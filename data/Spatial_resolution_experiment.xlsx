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revisions/userNames1.xml" ContentType="application/vnd.openxmlformats-officedocument.spreadsheetml.userNames+xml"/>
  <Override PartName="/docProps/core.xml" ContentType="application/vnd.openxmlformats-package.core-properties+xml"/>
  <Override PartName="/docProps/app.xml" ContentType="application/vnd.openxmlformats-officedocument.extended-properties+xml"/>
  <Override PartName="/xl/revisions/revisionHeaders.xml" ContentType="application/vnd.openxmlformats-officedocument.spreadsheetml.revisionHeaders+xml"/>
  <Override PartName="/xl/revisions/revisionLog3.xml" ContentType="application/vnd.openxmlformats-officedocument.spreadsheetml.revisionLog+xml"/>
  <Override PartName="/xl/revisions/revisionLog7.xml" ContentType="application/vnd.openxmlformats-officedocument.spreadsheetml.revisionLog+xml"/>
  <Override PartName="/xl/revisions/revisionLog2.xml" ContentType="application/vnd.openxmlformats-officedocument.spreadsheetml.revisionLog+xml"/>
  <Override PartName="/xl/revisions/revisionLog1.xml" ContentType="application/vnd.openxmlformats-officedocument.spreadsheetml.revisionLog+xml"/>
  <Override PartName="/xl/revisions/revisionLog6.xml" ContentType="application/vnd.openxmlformats-officedocument.spreadsheetml.revisionLog+xml"/>
  <Override PartName="/xl/revisions/revisionLog5.xml" ContentType="application/vnd.openxmlformats-officedocument.spreadsheetml.revisionLog+xml"/>
  <Override PartName="/xl/revisions/revisionLog4.xml" ContentType="application/vnd.openxmlformats-officedocument.spreadsheetml.revisionLog+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20"/>
  <workbookPr defaultThemeVersion="166925"/>
  <mc:AlternateContent xmlns:mc="http://schemas.openxmlformats.org/markup-compatibility/2006">
    <mc:Choice Requires="x15">
      <x15ac:absPath xmlns:x15ac="http://schemas.microsoft.com/office/spreadsheetml/2010/11/ac" url="https://lunduniversityo365-my.sharepoint.com/personal/an4718sc_lu_se/Documents/PhD/projects/panama/analyses/spatial_resolution/data/spatial_resolution_data/"/>
    </mc:Choice>
  </mc:AlternateContent>
  <xr:revisionPtr revIDLastSave="0" documentId="10_ncr:80_{301222F1-BDD5-774E-BEDF-FBACED2F9920}" xr6:coauthVersionLast="47" xr6:coauthVersionMax="47" xr10:uidLastSave="{00000000-0000-0000-0000-000000000000}"/>
  <bookViews>
    <workbookView xWindow="0" yWindow="760" windowWidth="33440" windowHeight="21580" activeTab="4" xr2:uid="{6E41431A-B2E0-E541-802C-2B37FD253AF0}"/>
  </bookViews>
  <sheets>
    <sheet name="maze1" sheetId="1" r:id="rId1"/>
    <sheet name="maze2" sheetId="2" r:id="rId2"/>
    <sheet name="turning_frequencies_maze1" sheetId="4" r:id="rId3"/>
    <sheet name="turning_frequencies_maze2" sheetId="5" r:id="rId4"/>
    <sheet name="light_levels_maze2" sheetId="6" r:id="rId5"/>
    <sheet name="light_levels_maze1" sheetId="7" r:id="rId6"/>
    <sheet name="Sheet2" sheetId="8" r:id="rId7"/>
    <sheet name="Sheet3" sheetId="3" r:id="rId8"/>
  </sheets>
  <calcPr calcId="191029"/>
  <customWorkbookViews>
    <customWorkbookView name="Andre Scheepers - Personal View" guid="{8A75D892-44B4-104C-BB94-8EB0D0E43396}" mergeInterval="0" personalView="1" maximized="1" yWindow="38" windowWidth="1672" windowHeight="1079" activeSheetId="6"/>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5" l="1"/>
  <c r="C4" i="5"/>
  <c r="C5" i="5"/>
  <c r="C6" i="5"/>
  <c r="C7" i="5"/>
  <c r="C8" i="5"/>
  <c r="C9" i="5"/>
  <c r="C10" i="5"/>
  <c r="C11" i="5"/>
  <c r="C12" i="5"/>
  <c r="C13" i="5"/>
  <c r="C14" i="5"/>
  <c r="C15" i="5"/>
  <c r="C16" i="5"/>
  <c r="C17" i="5"/>
  <c r="C18" i="5"/>
  <c r="C19" i="5"/>
  <c r="C20" i="5"/>
  <c r="C21" i="5"/>
  <c r="C22" i="5"/>
  <c r="C23" i="5"/>
  <c r="C24" i="5"/>
  <c r="C25" i="5"/>
  <c r="C26" i="5"/>
  <c r="C2" i="5"/>
  <c r="K3" i="5"/>
  <c r="K4" i="5"/>
  <c r="K5" i="5"/>
  <c r="K6" i="5"/>
  <c r="K7" i="5"/>
  <c r="K8" i="5"/>
  <c r="K9" i="5"/>
  <c r="K10" i="5"/>
  <c r="K11" i="5"/>
  <c r="K12" i="5"/>
  <c r="K13" i="5"/>
  <c r="K14" i="5"/>
  <c r="K15" i="5"/>
  <c r="K16" i="5"/>
  <c r="K17" i="5"/>
  <c r="K18" i="5"/>
  <c r="K19" i="5"/>
  <c r="K20" i="5"/>
  <c r="K21" i="5"/>
  <c r="K22" i="5"/>
  <c r="K23" i="5"/>
  <c r="K24" i="5"/>
  <c r="K25" i="5"/>
  <c r="K26" i="5"/>
  <c r="K2" i="5"/>
  <c r="J26" i="5"/>
  <c r="J14" i="5"/>
  <c r="J19" i="5"/>
  <c r="J22" i="5"/>
  <c r="J23" i="5"/>
  <c r="J25" i="5"/>
  <c r="M26" i="5" l="1"/>
  <c r="M23" i="5"/>
  <c r="M25" i="5"/>
  <c r="M19" i="5"/>
  <c r="M22" i="5"/>
  <c r="M14" i="5"/>
  <c r="F2" i="4"/>
  <c r="G2" i="4" s="1"/>
  <c r="H2" i="4" s="1"/>
  <c r="F4" i="4"/>
  <c r="F5" i="4"/>
  <c r="F6" i="4"/>
  <c r="G6" i="4" s="1"/>
  <c r="H6" i="4" s="1"/>
  <c r="F7" i="4"/>
  <c r="G7" i="4" s="1"/>
  <c r="H7" i="4" s="1"/>
  <c r="F8" i="4"/>
  <c r="G8" i="4" s="1"/>
  <c r="H8" i="4" s="1"/>
  <c r="F10" i="4"/>
  <c r="G10" i="4" s="1"/>
  <c r="H10" i="4" s="1"/>
  <c r="F11" i="4"/>
  <c r="G11" i="4" s="1"/>
  <c r="H11" i="4" s="1"/>
  <c r="F13" i="4"/>
  <c r="G13" i="4" s="1"/>
  <c r="H13" i="4" s="1"/>
  <c r="F16" i="4"/>
  <c r="G16" i="4" s="1"/>
  <c r="H16" i="4" s="1"/>
  <c r="F17" i="4"/>
  <c r="F19" i="4"/>
  <c r="F21" i="4"/>
  <c r="F24" i="4"/>
  <c r="G24" i="4" s="1"/>
  <c r="H24" i="4" s="1"/>
  <c r="F27" i="4"/>
  <c r="G27" i="4" s="1"/>
  <c r="H27" i="4" s="1"/>
  <c r="F31" i="4"/>
  <c r="G31" i="4" s="1"/>
  <c r="H31" i="4" s="1"/>
  <c r="F32" i="4"/>
  <c r="G32" i="4" s="1"/>
  <c r="H32" i="4" s="1"/>
  <c r="F34" i="4"/>
  <c r="G34" i="4" s="1"/>
  <c r="H34" i="4" s="1"/>
  <c r="F35" i="4"/>
  <c r="G35" i="4" s="1"/>
  <c r="H35" i="4" s="1"/>
  <c r="F36" i="4"/>
  <c r="G36" i="4" s="1"/>
  <c r="H36" i="4" s="1"/>
  <c r="F37" i="4"/>
  <c r="F38" i="4"/>
  <c r="F39" i="4"/>
  <c r="G39" i="4" s="1"/>
  <c r="H39" i="4" s="1"/>
  <c r="F40" i="4"/>
  <c r="G40" i="4" s="1"/>
  <c r="H40" i="4" s="1"/>
  <c r="F41" i="4"/>
  <c r="G41" i="4" s="1"/>
  <c r="H41" i="4" s="1"/>
  <c r="F42" i="4"/>
  <c r="G42" i="4" s="1"/>
  <c r="H42" i="4" s="1"/>
  <c r="F44" i="4"/>
  <c r="G44" i="4" s="1"/>
  <c r="H44" i="4" s="1"/>
  <c r="F45" i="4"/>
  <c r="G45" i="4" s="1"/>
  <c r="H45" i="4" s="1"/>
  <c r="F46" i="4"/>
  <c r="G46" i="4" s="1"/>
  <c r="H46" i="4" s="1"/>
  <c r="F49" i="4"/>
  <c r="G49" i="4" s="1"/>
  <c r="H49" i="4" s="1"/>
  <c r="F51" i="4"/>
  <c r="F52" i="4"/>
  <c r="G3" i="4"/>
  <c r="H3" i="4" s="1"/>
  <c r="G4" i="4"/>
  <c r="H4" i="4" s="1"/>
  <c r="G5" i="4"/>
  <c r="H5" i="4" s="1"/>
  <c r="G9" i="4"/>
  <c r="H9" i="4" s="1"/>
  <c r="G12" i="4"/>
  <c r="H12" i="4" s="1"/>
  <c r="G17" i="4"/>
  <c r="H17" i="4" s="1"/>
  <c r="G19" i="4"/>
  <c r="H19" i="4" s="1"/>
  <c r="G21" i="4"/>
  <c r="H21" i="4" s="1"/>
  <c r="G25" i="4"/>
  <c r="H25" i="4" s="1"/>
  <c r="G26" i="4"/>
  <c r="H26" i="4" s="1"/>
  <c r="G33" i="4"/>
  <c r="H33" i="4" s="1"/>
  <c r="G37" i="4"/>
  <c r="H37" i="4" s="1"/>
  <c r="G38" i="4"/>
  <c r="H38" i="4" s="1"/>
  <c r="G43" i="4"/>
  <c r="H43" i="4" s="1"/>
  <c r="G50" i="4"/>
  <c r="H50" i="4" s="1"/>
  <c r="G51" i="4"/>
  <c r="H51" i="4" s="1"/>
  <c r="G52" i="4"/>
  <c r="H52" i="4" s="1"/>
  <c r="J337" i="1"/>
  <c r="G337" i="1"/>
  <c r="J336" i="1"/>
  <c r="G336" i="1"/>
  <c r="J335" i="1"/>
  <c r="G335" i="1"/>
  <c r="J334" i="1"/>
  <c r="G334" i="1"/>
  <c r="G333" i="1"/>
  <c r="J332" i="1"/>
  <c r="G332" i="1"/>
  <c r="J331" i="1"/>
  <c r="J330" i="1"/>
  <c r="J328" i="1"/>
  <c r="G331" i="1"/>
  <c r="G330" i="1"/>
  <c r="G329" i="1"/>
  <c r="G328" i="1"/>
  <c r="J326" i="1"/>
  <c r="G326" i="1"/>
  <c r="G324" i="1"/>
  <c r="J279" i="1"/>
  <c r="J281" i="1"/>
  <c r="J282" i="1"/>
  <c r="J285" i="1"/>
  <c r="J286" i="1"/>
  <c r="J288" i="1"/>
  <c r="J289" i="1"/>
  <c r="J291" i="1"/>
  <c r="J293" i="1"/>
  <c r="J296" i="1"/>
  <c r="J297" i="1"/>
  <c r="J299" i="1"/>
  <c r="J323" i="1"/>
  <c r="G323" i="1"/>
  <c r="G322" i="1"/>
  <c r="J321" i="1"/>
  <c r="J320" i="1"/>
  <c r="G321" i="1"/>
  <c r="G320" i="1"/>
  <c r="G319" i="1"/>
  <c r="G318" i="1"/>
  <c r="J318" i="1"/>
  <c r="J317" i="1"/>
  <c r="G317" i="1"/>
  <c r="G316" i="1"/>
  <c r="G315" i="1"/>
  <c r="J314" i="1"/>
  <c r="G314" i="1"/>
  <c r="G313" i="1"/>
  <c r="G312" i="1"/>
  <c r="G311" i="1"/>
  <c r="J310" i="1"/>
  <c r="J308" i="1"/>
  <c r="G310" i="1"/>
  <c r="G309" i="1"/>
  <c r="G308" i="1"/>
  <c r="J307" i="1"/>
  <c r="J306" i="1"/>
  <c r="J304" i="1"/>
  <c r="G307" i="1"/>
  <c r="G306" i="1"/>
  <c r="G305" i="1"/>
  <c r="G304" i="1"/>
  <c r="J303" i="1"/>
  <c r="J302" i="1"/>
  <c r="J301" i="1"/>
  <c r="G303" i="1"/>
  <c r="G302" i="1"/>
  <c r="G301" i="1"/>
  <c r="G300" i="1"/>
  <c r="G297" i="1"/>
  <c r="G296" i="1"/>
  <c r="G295" i="1"/>
  <c r="G294" i="1"/>
  <c r="G293" i="1"/>
  <c r="G292" i="1"/>
  <c r="G291" i="1"/>
  <c r="G290" i="1"/>
  <c r="G289" i="1"/>
  <c r="G288" i="1"/>
  <c r="G287" i="1"/>
  <c r="G286" i="1"/>
  <c r="G285" i="1"/>
  <c r="G284" i="1"/>
  <c r="G283" i="1"/>
  <c r="G282" i="1"/>
  <c r="G281" i="1"/>
  <c r="G280" i="1"/>
  <c r="G279" i="1"/>
  <c r="G278" i="1"/>
  <c r="G277" i="1"/>
  <c r="G275" i="1"/>
  <c r="G274" i="1"/>
  <c r="G273" i="1"/>
  <c r="G253" i="2"/>
  <c r="G252" i="2"/>
  <c r="J251" i="2"/>
  <c r="G251" i="2"/>
  <c r="G250" i="2"/>
  <c r="G249" i="2"/>
  <c r="J249" i="2"/>
  <c r="J258" i="2"/>
  <c r="G258" i="2"/>
  <c r="J257" i="2"/>
  <c r="G257" i="2"/>
  <c r="J256" i="2"/>
  <c r="G256" i="2"/>
  <c r="G255" i="2"/>
  <c r="G271" i="1"/>
  <c r="G270" i="1"/>
  <c r="J269" i="1"/>
  <c r="J267" i="1"/>
  <c r="J266" i="1"/>
  <c r="J265" i="1"/>
  <c r="J264" i="1"/>
  <c r="G269" i="1"/>
  <c r="G268" i="1"/>
  <c r="G267" i="1"/>
  <c r="G266" i="1"/>
  <c r="G265" i="1"/>
  <c r="G264" i="1"/>
  <c r="G263" i="1"/>
  <c r="J262" i="1"/>
  <c r="G262" i="1"/>
  <c r="J261" i="1"/>
  <c r="G261" i="1"/>
  <c r="G260" i="1"/>
  <c r="G259" i="1"/>
  <c r="G258" i="1"/>
  <c r="G248" i="2"/>
  <c r="G257" i="1"/>
  <c r="G256" i="1"/>
  <c r="G255" i="1"/>
  <c r="G254" i="1"/>
  <c r="J257" i="1"/>
  <c r="J256" i="1"/>
  <c r="G247" i="2"/>
  <c r="J247" i="2"/>
  <c r="J246" i="2"/>
  <c r="J245" i="2"/>
  <c r="G246" i="2"/>
  <c r="G245" i="2"/>
  <c r="G253" i="1"/>
  <c r="J253" i="1"/>
  <c r="G206" i="1"/>
  <c r="G205" i="1"/>
  <c r="J206" i="1"/>
  <c r="J205" i="1"/>
  <c r="J213" i="1"/>
  <c r="G213" i="1"/>
  <c r="G209" i="1"/>
  <c r="G210" i="1"/>
  <c r="J210" i="1"/>
  <c r="J209" i="1"/>
  <c r="G238" i="2"/>
  <c r="G237" i="2"/>
  <c r="G236" i="2"/>
  <c r="G235" i="2"/>
  <c r="G244" i="2"/>
  <c r="G243" i="2"/>
  <c r="G242" i="2"/>
  <c r="G241" i="2"/>
  <c r="J243" i="2"/>
  <c r="J242" i="2"/>
  <c r="J241" i="2"/>
  <c r="G252" i="1"/>
  <c r="G251" i="1"/>
  <c r="J252" i="1"/>
  <c r="G240" i="2"/>
  <c r="G239" i="2"/>
  <c r="J240" i="2"/>
  <c r="J239" i="2"/>
  <c r="J238" i="2"/>
  <c r="G250" i="1"/>
  <c r="G249" i="1"/>
  <c r="J250" i="1"/>
  <c r="J249" i="1"/>
  <c r="J248" i="1"/>
  <c r="G211" i="1"/>
  <c r="G212" i="1"/>
  <c r="J212" i="1"/>
  <c r="J211" i="1"/>
  <c r="J214" i="1"/>
  <c r="J228" i="1"/>
  <c r="G228" i="1"/>
  <c r="G214" i="1"/>
  <c r="G215" i="1"/>
  <c r="G234" i="2"/>
  <c r="J234" i="2"/>
  <c r="J245" i="1"/>
  <c r="J244" i="1"/>
  <c r="G244" i="1"/>
  <c r="G248" i="1"/>
  <c r="G247" i="1"/>
  <c r="G246" i="1"/>
  <c r="J232" i="2"/>
  <c r="J233" i="2"/>
  <c r="G233" i="2"/>
  <c r="G232" i="2"/>
  <c r="G231" i="2"/>
  <c r="G230" i="2"/>
  <c r="J231" i="2"/>
  <c r="J230" i="2"/>
  <c r="J178" i="2"/>
  <c r="G178" i="2"/>
  <c r="G179" i="2"/>
  <c r="G186" i="2"/>
  <c r="G188" i="2"/>
  <c r="J188" i="2"/>
  <c r="G200" i="2"/>
  <c r="G199" i="2"/>
  <c r="J199" i="2"/>
  <c r="G224" i="2"/>
  <c r="J224" i="2"/>
  <c r="G223" i="2"/>
  <c r="G222" i="2"/>
  <c r="G221" i="2"/>
  <c r="J223" i="2"/>
  <c r="J222" i="2"/>
  <c r="J226" i="2"/>
  <c r="J229" i="2"/>
  <c r="J228" i="2"/>
  <c r="G229" i="2"/>
  <c r="G228" i="2"/>
  <c r="G227" i="2"/>
  <c r="G226" i="2"/>
  <c r="G225" i="2"/>
  <c r="G243" i="1"/>
  <c r="J243" i="1"/>
  <c r="G242" i="1"/>
  <c r="J242" i="1"/>
  <c r="J219" i="2"/>
  <c r="G218" i="2"/>
  <c r="G219" i="2"/>
  <c r="G220" i="2"/>
  <c r="J238" i="1"/>
  <c r="J236" i="1"/>
  <c r="G238" i="1"/>
  <c r="G237" i="1"/>
  <c r="G236" i="1"/>
  <c r="G235" i="1"/>
  <c r="G217" i="2"/>
  <c r="G216" i="2"/>
  <c r="G215" i="2"/>
  <c r="G214" i="2"/>
  <c r="G213" i="2"/>
  <c r="J217" i="2"/>
  <c r="J216" i="2"/>
  <c r="J215" i="2"/>
  <c r="J214" i="2"/>
  <c r="J213" i="2"/>
  <c r="G234" i="1"/>
  <c r="G233" i="1"/>
  <c r="J234" i="1"/>
  <c r="J233" i="1"/>
  <c r="G211" i="2"/>
  <c r="G210" i="2"/>
  <c r="G209" i="2"/>
  <c r="G208" i="2"/>
  <c r="J212" i="2"/>
  <c r="J210" i="2"/>
  <c r="J209" i="2"/>
  <c r="J208" i="2"/>
  <c r="G232" i="1"/>
  <c r="G231" i="1"/>
  <c r="J232" i="1"/>
  <c r="J231" i="1"/>
  <c r="J207" i="2"/>
  <c r="J206" i="2"/>
  <c r="J205" i="2"/>
  <c r="G207" i="2"/>
  <c r="G206" i="2"/>
  <c r="G205" i="2"/>
  <c r="G230" i="1"/>
  <c r="G229" i="1"/>
  <c r="J230" i="1"/>
  <c r="J229" i="1"/>
  <c r="G204" i="2"/>
  <c r="G203" i="2"/>
  <c r="G202" i="2"/>
  <c r="J204" i="2"/>
  <c r="J203" i="2"/>
  <c r="G198" i="2"/>
  <c r="G197" i="2"/>
  <c r="J198" i="2"/>
  <c r="J197" i="2"/>
  <c r="G225" i="1"/>
  <c r="G224" i="1"/>
  <c r="G223" i="1"/>
  <c r="J225" i="1"/>
  <c r="J224" i="1"/>
  <c r="G219" i="1"/>
  <c r="G221" i="1"/>
  <c r="J222" i="1"/>
  <c r="J221" i="1"/>
  <c r="J193" i="2"/>
  <c r="G218" i="1"/>
  <c r="G217" i="1"/>
  <c r="G216" i="1"/>
  <c r="J218" i="1"/>
  <c r="J217" i="1"/>
  <c r="E3" i="8"/>
  <c r="A3" i="8"/>
  <c r="E2" i="8"/>
  <c r="D2" i="8"/>
  <c r="C3" i="8"/>
  <c r="D3" i="8" s="1"/>
  <c r="C2" i="8"/>
  <c r="B3" i="8"/>
  <c r="B2" i="8"/>
  <c r="G184" i="2"/>
  <c r="J184" i="2"/>
  <c r="G182" i="2"/>
  <c r="J182" i="2"/>
  <c r="J201" i="1"/>
  <c r="G201" i="1"/>
  <c r="G203" i="1"/>
  <c r="G202" i="1"/>
  <c r="J203" i="1"/>
  <c r="J202" i="1"/>
  <c r="J181" i="2"/>
  <c r="J180" i="2"/>
  <c r="G200" i="1"/>
  <c r="G199" i="1"/>
  <c r="J200" i="1"/>
  <c r="J199" i="1"/>
  <c r="J198" i="1"/>
  <c r="G198" i="1"/>
  <c r="J177" i="2"/>
  <c r="J176" i="2"/>
  <c r="J175" i="2"/>
  <c r="G172" i="2"/>
  <c r="J174" i="2"/>
  <c r="J173" i="2"/>
  <c r="J172" i="2"/>
  <c r="J170" i="2"/>
  <c r="G171" i="2"/>
  <c r="G170" i="2"/>
  <c r="J169" i="2"/>
  <c r="J168" i="2"/>
  <c r="G177" i="2"/>
  <c r="G176" i="2"/>
  <c r="G175" i="2"/>
  <c r="G196" i="1"/>
  <c r="G195" i="1"/>
  <c r="J196" i="1"/>
  <c r="J195" i="1"/>
  <c r="G192" i="1"/>
  <c r="G191" i="1"/>
  <c r="J191" i="1"/>
  <c r="G193" i="1"/>
  <c r="J193" i="1"/>
  <c r="G165" i="2"/>
  <c r="G164" i="2"/>
  <c r="J188" i="1"/>
  <c r="G188" i="1"/>
  <c r="G187" i="1"/>
  <c r="G186" i="1"/>
  <c r="G185" i="1"/>
  <c r="J185" i="1"/>
  <c r="J183" i="1"/>
  <c r="G184" i="1"/>
  <c r="G183" i="1"/>
  <c r="G182" i="1"/>
  <c r="J190" i="1"/>
  <c r="J182" i="1"/>
  <c r="J153" i="2"/>
  <c r="G154" i="2"/>
  <c r="G153" i="2"/>
  <c r="G160" i="2"/>
  <c r="G159" i="2"/>
  <c r="G158" i="2"/>
  <c r="J161" i="2"/>
  <c r="J160" i="2"/>
  <c r="J159" i="2"/>
  <c r="J157" i="2"/>
  <c r="G157" i="2"/>
  <c r="G156" i="2"/>
  <c r="J156" i="2"/>
  <c r="G155" i="2"/>
  <c r="G163" i="2"/>
  <c r="J163" i="2"/>
  <c r="J162" i="2"/>
  <c r="G162" i="2"/>
  <c r="J152" i="2"/>
  <c r="G152" i="2"/>
  <c r="G151" i="2"/>
  <c r="J180" i="1"/>
  <c r="G181" i="1"/>
  <c r="G180" i="1"/>
  <c r="J148" i="2"/>
  <c r="G148" i="2"/>
  <c r="J175" i="1"/>
  <c r="G175" i="1"/>
  <c r="G174" i="1"/>
  <c r="G172" i="1"/>
  <c r="J166" i="1"/>
  <c r="G166" i="1"/>
  <c r="J169" i="1"/>
  <c r="G169" i="1"/>
  <c r="J170" i="1"/>
  <c r="G170" i="1"/>
  <c r="G177" i="1"/>
  <c r="J176" i="1"/>
  <c r="G176" i="1"/>
  <c r="G144" i="2"/>
  <c r="J144" i="2"/>
  <c r="J143" i="2"/>
  <c r="J139" i="2"/>
  <c r="G143" i="2"/>
  <c r="J135" i="2"/>
  <c r="G135" i="2"/>
  <c r="J153" i="1"/>
  <c r="G153" i="1"/>
  <c r="G157" i="1"/>
  <c r="J157" i="1"/>
  <c r="G162" i="1"/>
  <c r="G161" i="1"/>
  <c r="G160" i="1"/>
  <c r="J162" i="1"/>
  <c r="J160" i="1"/>
  <c r="J165" i="1"/>
  <c r="G165" i="1"/>
  <c r="G164" i="1"/>
  <c r="G163" i="1"/>
  <c r="J155" i="1"/>
  <c r="G155" i="1"/>
  <c r="G156" i="1"/>
  <c r="G154" i="1"/>
  <c r="J149" i="1"/>
  <c r="J151" i="1"/>
  <c r="J148" i="1"/>
  <c r="G149" i="1"/>
  <c r="G152" i="1"/>
  <c r="G151" i="1"/>
  <c r="G147" i="1"/>
  <c r="G146" i="1"/>
  <c r="J146" i="1"/>
  <c r="J145" i="1"/>
  <c r="G144" i="1"/>
  <c r="G145" i="1"/>
  <c r="J144" i="1"/>
  <c r="G131" i="2"/>
  <c r="G143" i="1"/>
  <c r="G142" i="1"/>
  <c r="J143" i="1"/>
  <c r="J142" i="1"/>
  <c r="G141" i="1"/>
  <c r="G140" i="1"/>
  <c r="G138" i="1"/>
  <c r="G139" i="1"/>
  <c r="J140" i="1"/>
  <c r="J139" i="1"/>
  <c r="J129" i="2"/>
  <c r="G129" i="2"/>
  <c r="G137" i="1"/>
  <c r="J138" i="1"/>
  <c r="J137" i="1"/>
  <c r="G135" i="1"/>
  <c r="J135" i="1"/>
  <c r="J128" i="2"/>
  <c r="G128" i="2"/>
  <c r="J126" i="2"/>
  <c r="G124" i="2"/>
  <c r="J124" i="2"/>
  <c r="G125" i="2"/>
  <c r="J125" i="2"/>
  <c r="M101" i="7"/>
  <c r="M100" i="7"/>
  <c r="M99" i="7"/>
  <c r="M98" i="7"/>
  <c r="M97" i="7"/>
  <c r="M96" i="7"/>
  <c r="M95" i="7"/>
  <c r="M94" i="7"/>
  <c r="G117" i="1"/>
  <c r="G118" i="1"/>
  <c r="G119" i="1"/>
  <c r="G120" i="1"/>
  <c r="G121" i="1"/>
  <c r="G122" i="1"/>
  <c r="J122" i="1"/>
  <c r="G123" i="1"/>
  <c r="J123" i="1"/>
  <c r="G124" i="1"/>
  <c r="G126" i="1"/>
  <c r="G125" i="1"/>
  <c r="J126" i="1"/>
  <c r="J125" i="1"/>
  <c r="J124" i="1"/>
  <c r="I24" i="5"/>
  <c r="M80" i="6"/>
  <c r="M79" i="6"/>
  <c r="M78" i="6"/>
  <c r="M77" i="6"/>
  <c r="J121" i="2"/>
  <c r="J122" i="2"/>
  <c r="G122" i="2"/>
  <c r="G118" i="2"/>
  <c r="J118" i="2"/>
  <c r="J117" i="2"/>
  <c r="G116" i="2"/>
  <c r="G115" i="2"/>
  <c r="J116" i="2"/>
  <c r="J115" i="2"/>
  <c r="I21" i="5"/>
  <c r="M76" i="6"/>
  <c r="G109" i="2"/>
  <c r="J109" i="2"/>
  <c r="M75" i="6"/>
  <c r="G104" i="2"/>
  <c r="J104" i="2"/>
  <c r="M74" i="6"/>
  <c r="G112" i="2"/>
  <c r="J112" i="2"/>
  <c r="M73" i="6"/>
  <c r="I20" i="5"/>
  <c r="J20" i="5" s="1"/>
  <c r="M20" i="5" s="1"/>
  <c r="G113" i="2"/>
  <c r="J113" i="2"/>
  <c r="M93" i="7"/>
  <c r="J116" i="1"/>
  <c r="G115" i="1"/>
  <c r="M92" i="7"/>
  <c r="G114" i="1"/>
  <c r="J114" i="1"/>
  <c r="I72" i="6"/>
  <c r="M72" i="6"/>
  <c r="J111" i="2"/>
  <c r="G111" i="2"/>
  <c r="M91" i="7"/>
  <c r="M90" i="7"/>
  <c r="J106" i="1"/>
  <c r="G106" i="1"/>
  <c r="J109" i="1"/>
  <c r="G107" i="1"/>
  <c r="M89" i="7"/>
  <c r="G109" i="1"/>
  <c r="M88" i="7"/>
  <c r="M87" i="7"/>
  <c r="M86" i="7"/>
  <c r="J112" i="1"/>
  <c r="G112" i="1"/>
  <c r="G111" i="1"/>
  <c r="G110" i="1"/>
  <c r="M85" i="7"/>
  <c r="G113" i="1"/>
  <c r="J113" i="1"/>
  <c r="X92" i="2"/>
  <c r="X95" i="2"/>
  <c r="X94" i="2"/>
  <c r="X100" i="2"/>
  <c r="X102" i="2"/>
  <c r="I67" i="6"/>
  <c r="X104" i="1"/>
  <c r="X97" i="1"/>
  <c r="X95" i="1"/>
  <c r="X93" i="1"/>
  <c r="X92" i="1"/>
  <c r="J75" i="7"/>
  <c r="J72" i="7"/>
  <c r="J73" i="7"/>
  <c r="J77" i="7"/>
  <c r="J83" i="7"/>
  <c r="I70" i="6"/>
  <c r="I63" i="6"/>
  <c r="I62" i="6"/>
  <c r="I60" i="6"/>
  <c r="I18" i="5"/>
  <c r="I17" i="5"/>
  <c r="I16" i="5"/>
  <c r="I15" i="5"/>
  <c r="I13" i="5"/>
  <c r="J13" i="5" s="1"/>
  <c r="M13" i="5" s="1"/>
  <c r="I12" i="5"/>
  <c r="I11" i="5"/>
  <c r="I8" i="5"/>
  <c r="I7" i="5"/>
  <c r="M83" i="7"/>
  <c r="G104" i="1"/>
  <c r="J104" i="1"/>
  <c r="M70" i="6"/>
  <c r="G102" i="2"/>
  <c r="J102" i="2"/>
  <c r="J44" i="2"/>
  <c r="M14" i="6"/>
  <c r="G44" i="2"/>
  <c r="J102" i="1"/>
  <c r="G102" i="1"/>
  <c r="I10" i="5"/>
  <c r="G100" i="2"/>
  <c r="J100" i="2"/>
  <c r="I9" i="5"/>
  <c r="I6" i="5"/>
  <c r="M75" i="7"/>
  <c r="G95" i="1"/>
  <c r="J95" i="1"/>
  <c r="M77" i="7"/>
  <c r="G97" i="1"/>
  <c r="J97" i="1"/>
  <c r="J96" i="1"/>
  <c r="I5" i="5"/>
  <c r="I4" i="5"/>
  <c r="M63" i="6"/>
  <c r="G95" i="2"/>
  <c r="J95" i="2"/>
  <c r="M62" i="6"/>
  <c r="G94" i="2"/>
  <c r="J94" i="2"/>
  <c r="J92" i="2"/>
  <c r="I3" i="5"/>
  <c r="M60" i="6"/>
  <c r="G92" i="2"/>
  <c r="J91" i="2"/>
  <c r="M57" i="6"/>
  <c r="G89" i="2"/>
  <c r="J89" i="2"/>
  <c r="I2" i="5"/>
  <c r="M56" i="6"/>
  <c r="G87" i="2"/>
  <c r="J87" i="2"/>
  <c r="M73" i="7"/>
  <c r="G93" i="1"/>
  <c r="J93" i="1"/>
  <c r="M72" i="7"/>
  <c r="M71" i="7"/>
  <c r="G92" i="1"/>
  <c r="J92" i="1"/>
  <c r="G91" i="1"/>
  <c r="J91" i="1"/>
  <c r="M70" i="7"/>
  <c r="M69" i="7"/>
  <c r="G90" i="1"/>
  <c r="J90" i="1"/>
  <c r="G89" i="1"/>
  <c r="J89" i="1"/>
  <c r="M64" i="7"/>
  <c r="G84" i="1"/>
  <c r="J84" i="1"/>
  <c r="M68" i="7"/>
  <c r="G88" i="1"/>
  <c r="J88" i="1"/>
  <c r="M67" i="7"/>
  <c r="M66" i="7"/>
  <c r="M65" i="7"/>
  <c r="G87" i="1"/>
  <c r="J87" i="1"/>
  <c r="G86" i="1"/>
  <c r="J86" i="1"/>
  <c r="J83" i="1"/>
  <c r="J82" i="1"/>
  <c r="G85" i="1"/>
  <c r="M38" i="6"/>
  <c r="M37" i="6"/>
  <c r="M41" i="6"/>
  <c r="M46" i="7"/>
  <c r="M63" i="7"/>
  <c r="M62" i="7"/>
  <c r="M61" i="7"/>
  <c r="M59" i="7"/>
  <c r="M57" i="7"/>
  <c r="M58" i="7"/>
  <c r="M55" i="7"/>
  <c r="M54" i="7"/>
  <c r="M53" i="7"/>
  <c r="M52" i="7"/>
  <c r="M51" i="7"/>
  <c r="M50" i="7"/>
  <c r="M49" i="7"/>
  <c r="M45" i="6"/>
  <c r="M44" i="6"/>
  <c r="M43" i="6"/>
  <c r="M54" i="6"/>
  <c r="M52" i="6"/>
  <c r="M51" i="6"/>
  <c r="M49" i="6"/>
  <c r="M48" i="6"/>
  <c r="M47" i="6"/>
  <c r="J76" i="2"/>
  <c r="G76" i="2"/>
  <c r="G75" i="2"/>
  <c r="J75" i="2"/>
  <c r="J74" i="2"/>
  <c r="G74" i="2"/>
  <c r="J73" i="2"/>
  <c r="G73" i="2"/>
  <c r="G72" i="2"/>
  <c r="G68" i="2"/>
  <c r="M44" i="7"/>
  <c r="M43" i="7"/>
  <c r="M42" i="7"/>
  <c r="M41" i="7"/>
  <c r="M40" i="7"/>
  <c r="M39" i="7"/>
  <c r="M38" i="7"/>
  <c r="M35" i="7"/>
  <c r="M34" i="7"/>
  <c r="M33" i="7"/>
  <c r="M32" i="7"/>
  <c r="M31" i="7"/>
  <c r="M30" i="7"/>
  <c r="M29" i="7"/>
  <c r="M28" i="7"/>
  <c r="M27" i="7"/>
  <c r="M25" i="7"/>
  <c r="M24" i="7"/>
  <c r="M23" i="7"/>
  <c r="M22" i="7"/>
  <c r="M21" i="7"/>
  <c r="M20" i="7"/>
  <c r="M19" i="7"/>
  <c r="M18" i="7"/>
  <c r="M17" i="7"/>
  <c r="M16" i="7"/>
  <c r="M15" i="7"/>
  <c r="M14" i="7"/>
  <c r="M12" i="7"/>
  <c r="M11" i="7"/>
  <c r="M10" i="7"/>
  <c r="M8" i="7"/>
  <c r="M6" i="7"/>
  <c r="M4" i="7"/>
  <c r="M3" i="7"/>
  <c r="M2" i="7"/>
  <c r="G83" i="1"/>
  <c r="G82" i="1"/>
  <c r="G81" i="1"/>
  <c r="J82" i="2"/>
  <c r="G82" i="2"/>
  <c r="J79" i="1"/>
  <c r="G79" i="1"/>
  <c r="G77" i="1"/>
  <c r="J77" i="1"/>
  <c r="G85" i="2"/>
  <c r="J85" i="2"/>
  <c r="G83" i="2"/>
  <c r="J83" i="2"/>
  <c r="G78" i="1"/>
  <c r="J78" i="1"/>
  <c r="J81" i="2"/>
  <c r="G80" i="2"/>
  <c r="J80" i="2"/>
  <c r="G79" i="2"/>
  <c r="G78" i="2"/>
  <c r="J79" i="2"/>
  <c r="J78" i="2"/>
  <c r="G66" i="1"/>
  <c r="J76" i="1"/>
  <c r="G75" i="1"/>
  <c r="G74" i="1"/>
  <c r="J74" i="1"/>
  <c r="G73" i="1"/>
  <c r="J73" i="1"/>
  <c r="G72" i="1"/>
  <c r="J72" i="1"/>
  <c r="G71" i="1"/>
  <c r="J71" i="1"/>
  <c r="G70" i="1"/>
  <c r="J70" i="1"/>
  <c r="G69" i="1"/>
  <c r="J69" i="1"/>
  <c r="J68" i="1"/>
  <c r="G67" i="1"/>
  <c r="J67" i="1"/>
  <c r="M36" i="6"/>
  <c r="M34" i="6"/>
  <c r="M33" i="6"/>
  <c r="M32" i="6"/>
  <c r="M31" i="6"/>
  <c r="G62" i="2"/>
  <c r="J62" i="2"/>
  <c r="J63" i="1"/>
  <c r="J69" i="2"/>
  <c r="G69" i="2"/>
  <c r="M30" i="6"/>
  <c r="M29" i="6"/>
  <c r="M28" i="6"/>
  <c r="M27" i="6"/>
  <c r="M26" i="6"/>
  <c r="M25" i="6"/>
  <c r="M24" i="6"/>
  <c r="M23" i="6"/>
  <c r="M22" i="6"/>
  <c r="M18" i="6"/>
  <c r="G50" i="2"/>
  <c r="M17" i="6"/>
  <c r="G58" i="2"/>
  <c r="J58" i="2"/>
  <c r="G60" i="2"/>
  <c r="G61" i="2"/>
  <c r="J61" i="2"/>
  <c r="G66" i="2"/>
  <c r="J66" i="2"/>
  <c r="G67" i="2"/>
  <c r="J67" i="2"/>
  <c r="G55" i="1"/>
  <c r="J55" i="1"/>
  <c r="J54" i="1"/>
  <c r="G53" i="1"/>
  <c r="J53" i="1"/>
  <c r="G51" i="1"/>
  <c r="J51" i="1"/>
  <c r="G50" i="1"/>
  <c r="G49" i="1"/>
  <c r="J50" i="1"/>
  <c r="J49" i="1"/>
  <c r="G58" i="1"/>
  <c r="J58" i="1"/>
  <c r="G61" i="1"/>
  <c r="J61" i="1"/>
  <c r="G60" i="1"/>
  <c r="J60" i="1"/>
  <c r="G59" i="1"/>
  <c r="J59" i="1"/>
  <c r="J62" i="1"/>
  <c r="G62" i="1"/>
  <c r="G56" i="1"/>
  <c r="G57" i="1"/>
  <c r="J57" i="1"/>
  <c r="M19" i="6"/>
  <c r="M21" i="6"/>
  <c r="M20" i="6"/>
  <c r="G59" i="2"/>
  <c r="J59" i="2"/>
  <c r="G57" i="2"/>
  <c r="J57" i="2"/>
  <c r="G54" i="2"/>
  <c r="G53" i="2"/>
  <c r="J54" i="2"/>
  <c r="G45" i="1"/>
  <c r="J45" i="1"/>
  <c r="G44" i="1"/>
  <c r="G48" i="1"/>
  <c r="J48" i="1"/>
  <c r="J47" i="1"/>
  <c r="J46" i="1"/>
  <c r="G47" i="1"/>
  <c r="G46" i="1"/>
  <c r="G43" i="1"/>
  <c r="J53" i="2"/>
  <c r="G56" i="2"/>
  <c r="G55" i="2"/>
  <c r="J56" i="2"/>
  <c r="J55" i="2"/>
  <c r="J50" i="2"/>
  <c r="J33" i="1"/>
  <c r="J38" i="1"/>
  <c r="G33" i="1"/>
  <c r="G37" i="1"/>
  <c r="G38" i="1"/>
  <c r="G36" i="1"/>
  <c r="J36" i="1"/>
  <c r="G42" i="1"/>
  <c r="J42" i="1"/>
  <c r="G41" i="1"/>
  <c r="G40" i="1"/>
  <c r="J41" i="1"/>
  <c r="G47" i="2"/>
  <c r="J47" i="2"/>
  <c r="G49" i="2"/>
  <c r="J49" i="2"/>
  <c r="G52" i="2"/>
  <c r="J52" i="2"/>
  <c r="J40" i="1"/>
  <c r="J39" i="1"/>
  <c r="G39" i="1"/>
  <c r="G51" i="2"/>
  <c r="J51" i="2"/>
  <c r="M16" i="6"/>
  <c r="M15" i="6"/>
  <c r="G46" i="2"/>
  <c r="J46" i="2"/>
  <c r="J45" i="2"/>
  <c r="G45" i="2"/>
  <c r="G30" i="1"/>
  <c r="J30" i="1"/>
  <c r="G32" i="1"/>
  <c r="J32" i="1"/>
  <c r="J31" i="1"/>
  <c r="M11" i="6"/>
  <c r="J29" i="1"/>
  <c r="G41" i="2"/>
  <c r="J41" i="2"/>
  <c r="G42" i="2"/>
  <c r="J42" i="2"/>
  <c r="J26" i="1"/>
  <c r="M10" i="6"/>
  <c r="G24" i="1"/>
  <c r="J24" i="1"/>
  <c r="G25" i="1"/>
  <c r="J25" i="1"/>
  <c r="M9" i="6"/>
  <c r="G39" i="2"/>
  <c r="G40" i="2"/>
  <c r="J39" i="2"/>
  <c r="J40" i="2"/>
  <c r="M8" i="6"/>
  <c r="G23" i="1"/>
  <c r="G38" i="2"/>
  <c r="J38" i="2"/>
  <c r="J22" i="1"/>
  <c r="J23" i="1"/>
  <c r="J36" i="2"/>
  <c r="J35" i="2"/>
  <c r="G21" i="1"/>
  <c r="J21" i="1"/>
  <c r="M2" i="6"/>
  <c r="J34" i="2"/>
  <c r="J18" i="1"/>
  <c r="G32" i="2"/>
  <c r="J32" i="2"/>
  <c r="G19" i="1"/>
  <c r="J19" i="1"/>
  <c r="J30" i="2"/>
  <c r="G17" i="1"/>
  <c r="J17" i="1"/>
  <c r="G16" i="1"/>
  <c r="J16" i="1"/>
  <c r="G13" i="1"/>
  <c r="J13" i="1"/>
  <c r="G14" i="1"/>
  <c r="J14" i="1"/>
  <c r="G11" i="2"/>
  <c r="G10" i="2"/>
  <c r="J12" i="2"/>
  <c r="J11" i="2"/>
  <c r="J10" i="2"/>
  <c r="G9" i="2"/>
  <c r="J9" i="2"/>
  <c r="J26" i="2"/>
  <c r="G26" i="2"/>
  <c r="G25" i="2"/>
  <c r="J25" i="2"/>
  <c r="G23" i="2"/>
  <c r="J23" i="2"/>
  <c r="J9" i="1"/>
  <c r="G11" i="1"/>
  <c r="J11" i="1"/>
  <c r="G12" i="1"/>
  <c r="J12" i="1"/>
  <c r="J10" i="1"/>
  <c r="J6" i="1"/>
  <c r="G24" i="2"/>
  <c r="J24" i="2"/>
  <c r="G27" i="2"/>
  <c r="J27" i="2"/>
  <c r="G6" i="1"/>
  <c r="G8" i="1"/>
  <c r="J8" i="1"/>
  <c r="G18" i="2"/>
  <c r="J18" i="2"/>
  <c r="J22" i="2"/>
  <c r="G21" i="2"/>
  <c r="J21" i="2"/>
  <c r="G20" i="2"/>
  <c r="G16" i="2"/>
  <c r="G15" i="2"/>
  <c r="J16" i="2"/>
  <c r="J15" i="2"/>
  <c r="G8" i="2"/>
  <c r="G7" i="2"/>
  <c r="G6" i="2"/>
  <c r="J8" i="2"/>
  <c r="J7" i="2"/>
  <c r="J6" i="2"/>
  <c r="G5" i="2"/>
  <c r="J5" i="2"/>
  <c r="G14" i="2"/>
  <c r="J14" i="2"/>
  <c r="G13" i="2"/>
  <c r="J13" i="2"/>
  <c r="J15" i="5" l="1"/>
  <c r="M15" i="5" s="1"/>
  <c r="J16" i="5"/>
  <c r="M16" i="5" s="1"/>
  <c r="J24" i="5"/>
  <c r="M24" i="5" s="1"/>
  <c r="J8" i="5"/>
  <c r="M8" i="5" s="1"/>
  <c r="J2" i="5"/>
  <c r="M2" i="5" s="1"/>
  <c r="J17" i="5"/>
  <c r="M17" i="5" s="1"/>
  <c r="J18" i="5"/>
  <c r="M18" i="5" s="1"/>
  <c r="J12" i="5"/>
  <c r="M12" i="5" s="1"/>
  <c r="J10" i="5"/>
  <c r="M10" i="5" s="1"/>
  <c r="J7" i="5"/>
  <c r="M7" i="5" s="1"/>
  <c r="J11" i="5"/>
  <c r="M11" i="5" s="1"/>
  <c r="J6" i="5"/>
  <c r="M6" i="5" s="1"/>
  <c r="J4" i="5"/>
  <c r="M4" i="5" s="1"/>
  <c r="J9" i="5"/>
  <c r="M9" i="5" s="1"/>
  <c r="J21" i="5"/>
  <c r="M21" i="5" s="1"/>
  <c r="J5" i="5"/>
  <c r="M5" i="5" s="1"/>
  <c r="J3" i="5"/>
  <c r="M3" i="5" s="1"/>
</calcChain>
</file>

<file path=xl/sharedStrings.xml><?xml version="1.0" encoding="utf-8"?>
<sst xmlns="http://schemas.openxmlformats.org/spreadsheetml/2006/main" count="5816" uniqueCount="803">
  <si>
    <t>ymaze</t>
  </si>
  <si>
    <t>nest</t>
  </si>
  <si>
    <t>video_name</t>
  </si>
  <si>
    <t>pos_vpatt_dep</t>
  </si>
  <si>
    <t>pos_vpatt_ret</t>
  </si>
  <si>
    <t>light_level_ret</t>
  </si>
  <si>
    <t>t_dep</t>
  </si>
  <si>
    <t>t_ret</t>
  </si>
  <si>
    <t>elapse_t_dep</t>
  </si>
  <si>
    <t>elapse_t_ret</t>
  </si>
  <si>
    <t>t_video_start</t>
  </si>
  <si>
    <t>side_vpatt_dep</t>
  </si>
  <si>
    <t>side_vpatt_ret</t>
  </si>
  <si>
    <t>R</t>
  </si>
  <si>
    <t>L</t>
  </si>
  <si>
    <t>C0014</t>
  </si>
  <si>
    <t>bee_flight</t>
  </si>
  <si>
    <t>C0013</t>
  </si>
  <si>
    <t>C0011</t>
  </si>
  <si>
    <t>C0012</t>
  </si>
  <si>
    <t>C0010</t>
  </si>
  <si>
    <t>notes</t>
  </si>
  <si>
    <t>raining, didn’t capture flight. Deleted</t>
  </si>
  <si>
    <t>C0009</t>
  </si>
  <si>
    <t>The video where the bee was lost. And the video that made me think I should have them leave and come back on both sides before starting 'testing'</t>
  </si>
  <si>
    <t>C0005</t>
  </si>
  <si>
    <t>no exit (antennae poked out), deleted</t>
  </si>
  <si>
    <t>NA</t>
  </si>
  <si>
    <t xml:space="preserve">This nest I didn’t write down the details, but I think it had two flights levaing and returning with the vertical pattern in the right arm and the first position when I first inserted it into maze. </t>
  </si>
  <si>
    <t>Saturday 24/02 morning was raining, didn’t do a trial. So perhaps another flight where the pattern was left in the left arm</t>
  </si>
  <si>
    <t>This bee never made it back into the nest. She tried the wrong hole repeatedly, then left into the night. Hopefully shes back tomorrow.</t>
  </si>
  <si>
    <t>C0016</t>
  </si>
  <si>
    <t>bee exited very early in day. No learning flight. Walked around maze for long time, eventually leaving. Probably dispersing female or a male.</t>
  </si>
  <si>
    <t>bee couldn’t geet out of maze, and eventually went back into nest</t>
  </si>
  <si>
    <t>Departure was very early, perhaps because of red lights at site. Or because previous days have been rainy and cloudy, so this morning was comparatively bright. Initial decision was correct, but from the video it didn’t seem as though the bee actually fixated the pattern. seems a fortuitous correct decision.</t>
  </si>
  <si>
    <t>borderline wrong decision</t>
  </si>
  <si>
    <t xml:space="preserve">very strong wrong decision. Untrained individual? Or just low light? I wonder if when they get too close to the pattern they look for the hole instead of the pattern. Or perhaps when they arent looking direcctly ahead they might fixate the outline of the circle for example, or the wall of the arm, which is 'correct' and this urges them on forward. Perhaps adding optic flow would help them aim themselves forward? but then it would also provide them with distance info, which is problematic when moving pattern around (amount optic flow will be out of register with home position). Tough situation. Perhaps Erics method alleviaets this? But in that case, their homes' appearance is out of register with the optic flow patterns. So again there will be a lack of agreement between different cues. </t>
  </si>
  <si>
    <t>date</t>
  </si>
  <si>
    <t>C0017</t>
  </si>
  <si>
    <t>C0018</t>
  </si>
  <si>
    <t>struggled to exit for the longest time despite the entrance of maze being off. Only managed once I added dark curtain to back of maze. Think she is attracted to brightness at back of maze due to open canopy there.</t>
  </si>
  <si>
    <t xml:space="preserve">It's difficult to classify this as a decision because she never left the maze. </t>
  </si>
  <si>
    <t xml:space="preserve">Rained in the morning. No video. Pattern was on Right however and I think entrance was off. So perhaps there was an exit and return while pattern was on right. </t>
  </si>
  <si>
    <t>C0017_2</t>
  </si>
  <si>
    <t>1*</t>
  </si>
  <si>
    <t xml:space="preserve">bee kept trying to enter but then came back out, as if the wrong nest was attached to the right pattern. The only explanation that makes sense to me (BESIDES MISALIGNED HOLE) is that the bee that exited was a dispersing male (didn’t do a very rigorous orientation flight) and then the bee returning was from the previous nest (2.1). Perhaps disoriented because of the insect trap that was on the previous night. </t>
  </si>
  <si>
    <t>C0021</t>
  </si>
  <si>
    <t xml:space="preserve">Bee didn’t exit the maze with the entrance on. So I don’t classify this as a return or count the decision (though I would call this a correct decision in some sense as she never lands on wrong stimulus).  This is the bee that never tries to long in the afternoon and always struggles to get out, presumably because the back of the maze is bright. </t>
  </si>
  <si>
    <t>C0022</t>
  </si>
  <si>
    <t>First time I tested the bee (switched side while she was out).</t>
  </si>
  <si>
    <t>C0015</t>
  </si>
  <si>
    <t>crawled around maze trying to find exit for an eternity.</t>
  </si>
  <si>
    <t>C0019</t>
  </si>
  <si>
    <t>Never exited maze with the entrance on.</t>
  </si>
  <si>
    <t>C0011_2</t>
  </si>
  <si>
    <t>C0013_2</t>
  </si>
  <si>
    <t>C0014_2</t>
  </si>
  <si>
    <t xml:space="preserve">NEW NEST!!! Bee never managed to exit maze with the entrance on. </t>
  </si>
  <si>
    <t>C0020</t>
  </si>
  <si>
    <t>3 departures and only 2 returns on camera</t>
  </si>
  <si>
    <t>C0024</t>
  </si>
  <si>
    <t>?</t>
  </si>
  <si>
    <t>C0023</t>
  </si>
  <si>
    <t>very short flight. Perhaps because she was moved to position 3, or because it was a new bee?</t>
  </si>
  <si>
    <t>C0025</t>
  </si>
  <si>
    <t>I let her out through the roof thinking I was getting rid of new untrained female. But she came back through entrance. So probably just the same problem of the back of maze being brighter.  She crawled around for ages.</t>
  </si>
  <si>
    <t>no activity. Deleted video</t>
  </si>
  <si>
    <t>C0020_2</t>
  </si>
  <si>
    <t>NEW NEST!!! She didn’t do learning flight and abandoned the nest. Deleted video</t>
  </si>
  <si>
    <t>NEW NEST!!! She didn’t make it back to the maze, I found her where she had exited nest on the previous night (on the spikes). I hope tonight she realizes she is somewhere new. Deleted video</t>
  </si>
  <si>
    <t>maze</t>
  </si>
  <si>
    <t>elapsed_t_ret_on_light_meter_video</t>
  </si>
  <si>
    <t>C0105</t>
  </si>
  <si>
    <t>C0104</t>
  </si>
  <si>
    <t>vpatt_freq_ret</t>
  </si>
  <si>
    <t>interesting approach, as if using the white brackets that join the maze boxes as landmarks</t>
  </si>
  <si>
    <t>C0026</t>
  </si>
  <si>
    <t>Very strange and short flight. First exited then immediately re-entered hole. Then exited again, this time surveying the whole Y-maze but not leaving it, almost like an orientation flight. The strange afternoon behaviour continues, or there are two bees in this nest. The mystery continues.</t>
  </si>
  <si>
    <t>C0027</t>
  </si>
  <si>
    <t>This bee did return, but only after I turned the camera off. Later than 06:30 am I think</t>
  </si>
  <si>
    <t>C0107</t>
  </si>
  <si>
    <t>C0106</t>
  </si>
  <si>
    <t>I may have let this bee out. She was in the wrong side when I changed pattern side. I think she was on the pattern when I removed it from the maze</t>
  </si>
  <si>
    <t>C0028</t>
  </si>
  <si>
    <t xml:space="preserve">no return. she didn’t know how to get back into the maze. Cleary she was using the patterns at position 1 as a landark, because she flew right up to the triangle (entrance was off), but then flew off into the canopy. I saw this in real life but cant see her returning in the video however. </t>
  </si>
  <si>
    <t xml:space="preserve">NA </t>
  </si>
  <si>
    <t>no bees exited maze this evening</t>
  </si>
  <si>
    <t>C0108</t>
  </si>
  <si>
    <t>C0110</t>
  </si>
  <si>
    <t>C0034</t>
  </si>
  <si>
    <t>C0033</t>
  </si>
  <si>
    <t>Crawled out of hole and straight back in. Perhaps the black curtain is no good.</t>
  </si>
  <si>
    <t>C0111</t>
  </si>
  <si>
    <t>C0112</t>
  </si>
  <si>
    <t>C0029</t>
  </si>
  <si>
    <t>Struggled to get out for at least 15 minutes</t>
  </si>
  <si>
    <t>Smooth exit</t>
  </si>
  <si>
    <t>C0113</t>
  </si>
  <si>
    <t>C0036</t>
  </si>
  <si>
    <t xml:space="preserve">Struggled to exit for at least 10 min. borderline incorrect decision. Difficult to tell if it is actually incorrect given the graininess of the line. But is basically on the line. </t>
  </si>
  <si>
    <t xml:space="preserve">readme: first thing to note is that the time of return in other sheet is when the bee is first seen in the video, it is not the time of hole entry. So the time you hear the beep on the light level camera (when bee enters hole) will be a several seconds after the time the bee has returned. this doesnt mean the different camera times are not synched. The time of return is very highly correlated with the time of the decision i think. Bees generally race through to the decision chamber. </t>
  </si>
  <si>
    <t>C0035</t>
  </si>
  <si>
    <t xml:space="preserve">I don’t think this decision should be counted if i can help it or if i have enough data. First because i had to disturb her to get her not to go back into her hole, and second because i was still fiddling with the maze when she returned. The reason for the position change was to try and get the bee out of the habit of always going back into the hole in the afternoon after very briefly trying to exit the maze. Was trying to make it easy for her.  </t>
  </si>
  <si>
    <t>C0114</t>
  </si>
  <si>
    <t>C0037</t>
  </si>
  <si>
    <t>C0038</t>
  </si>
  <si>
    <t xml:space="preserve">Didn’t exit maze. Maze was rotated 180 degrees to see if bee would exit more easily. </t>
  </si>
  <si>
    <t>C0031 &amp; C0038 (maze2 video directory)</t>
  </si>
  <si>
    <t>No video this morning. Took a spot reading from the light meter when I heard maze 2 beep for the return of the bee there.</t>
  </si>
  <si>
    <t>C0115</t>
  </si>
  <si>
    <t>C0030</t>
  </si>
  <si>
    <t>C0022_2</t>
  </si>
  <si>
    <t>C0027_2</t>
  </si>
  <si>
    <t>C0031_2</t>
  </si>
  <si>
    <t>C0041</t>
  </si>
  <si>
    <t>C0039</t>
  </si>
  <si>
    <t xml:space="preserve">no activity. Deleted video. She was in nest when I checked later in evening however. Must have returned during day, or it’s a new bee. </t>
  </si>
  <si>
    <t>C0032</t>
  </si>
  <si>
    <t xml:space="preserve">no activity. Video deleted. Perhaps because stick was a bit crushed and it blocked her movement to hole. </t>
  </si>
  <si>
    <t>C0119</t>
  </si>
  <si>
    <t>C0116</t>
  </si>
  <si>
    <t>2?</t>
  </si>
  <si>
    <t>C0046</t>
  </si>
  <si>
    <t>Sides are now switched on camera, since last night. She re-enters hole at 00:35:37</t>
  </si>
  <si>
    <t>I had switched sides by the time already before she left , so she didn’t get switched and she started on 0.05. She finally leaves after about 8 minutes of struggling.</t>
  </si>
  <si>
    <t>C0043</t>
  </si>
  <si>
    <t>Started on position 1 to get her in habit of exiting in the afternoon and through the big hole. She was supposed to be tested on 0.05 today, but forgot to change the pattern side</t>
  </si>
  <si>
    <t>C0121</t>
  </si>
  <si>
    <t>C0124</t>
  </si>
  <si>
    <t>unplugged beedetector on this morning so you wont hear beep to ensure cams are synched.</t>
  </si>
  <si>
    <t>C0052</t>
  </si>
  <si>
    <t xml:space="preserve">A second flight. I still don’t have evidence that there are two bees here, because there has never been an occasion where two bees have left without a return. So im hoping that this is still just one bee making multiple trips. </t>
  </si>
  <si>
    <t>C0044</t>
  </si>
  <si>
    <t>C0042</t>
  </si>
  <si>
    <t xml:space="preserve">Takes over a minute to enter hole. Goes down the wrong arm many times. Interesting. </t>
  </si>
  <si>
    <t>Strangely, she actually tries to enter wrong hole here! She wasn’t fixating the pattern when entering the wrong arm. It did look as though she looked down the maze towards the correct pattern but still flew sideways into the wrong arm. There was some slight interference from me here, but data should be fine still.</t>
  </si>
  <si>
    <t>C0053</t>
  </si>
  <si>
    <t>Wrong decision, but she definitely turns around sooner here than on higher frequency patterns I reckon</t>
  </si>
  <si>
    <t>C0051</t>
  </si>
  <si>
    <t>C0049</t>
  </si>
  <si>
    <t xml:space="preserve">between Saturday the 09/03 and Monday 11/03 pattern was not changed. </t>
  </si>
  <si>
    <t xml:space="preserve">Don’t think this exit was caught on video. Perhaps from night before. </t>
  </si>
  <si>
    <t>C0047</t>
  </si>
  <si>
    <t xml:space="preserve">Wrong decision, but again, very borderline given the low frequency and bright light. </t>
  </si>
  <si>
    <t>C0050</t>
  </si>
  <si>
    <t>again, starts turning before the start of the wrong arm, but then drifts into the wrong arm, so technically a wrong decision but she surely saw it before she crossed the arm line</t>
  </si>
  <si>
    <t>C0048</t>
  </si>
  <si>
    <t>C0047_2</t>
  </si>
  <si>
    <t>? Cant find departure on camera.</t>
  </si>
  <si>
    <t>C0057</t>
  </si>
  <si>
    <t xml:space="preserve">Haha. Such a funny landing on the return in the dark. Flying very slowly and controlled. </t>
  </si>
  <si>
    <t>C0056</t>
  </si>
  <si>
    <t>C0055</t>
  </si>
  <si>
    <t>cant find departure on camera</t>
  </si>
  <si>
    <t>C0054</t>
  </si>
  <si>
    <t>C0058</t>
  </si>
  <si>
    <t>C0059</t>
  </si>
  <si>
    <t>Another borderline incorrect decision</t>
  </si>
  <si>
    <t>C0060</t>
  </si>
  <si>
    <t>beedetector didn’t go off for this exit or the first one either</t>
  </si>
  <si>
    <t>C0061</t>
  </si>
  <si>
    <t>C0111_2</t>
  </si>
  <si>
    <t>actual_beep_time_video</t>
  </si>
  <si>
    <t>C0112_2</t>
  </si>
  <si>
    <t>C0109</t>
  </si>
  <si>
    <t>C0063</t>
  </si>
  <si>
    <t>C0068</t>
  </si>
  <si>
    <t>Been keeping pattern on right for past few sessions as she always guessed incorrectly on the right. I guess an incorrect choice gives more information? Now she guessed correct, will swap to left this evening</t>
  </si>
  <si>
    <t>C0067</t>
  </si>
  <si>
    <t>Added curtain to try get her to come out early and return in brighter light level</t>
  </si>
  <si>
    <t>C0066</t>
  </si>
  <si>
    <t>C0064</t>
  </si>
  <si>
    <t>pre-video start</t>
  </si>
  <si>
    <t xml:space="preserve">Difficult to make out her position of turning around, you have to watch as she enters maze and then it is possible to see. </t>
  </si>
  <si>
    <t>She came out a bit earlier today. Perhaps because I got her out early the previous morning. Or perhaps also because I shined my light a bit much when i checked on the hole this morning. Cant remember if I was trying to get her out early again. She exited through the side of the hole</t>
  </si>
  <si>
    <t>C0062</t>
  </si>
  <si>
    <t>no activity</t>
  </si>
  <si>
    <t>I shined a red light on the nest to try to get the bee to come out early</t>
  </si>
  <si>
    <t>C0125</t>
  </si>
  <si>
    <t>There was no beep on beetector</t>
  </si>
  <si>
    <t>C0127</t>
  </si>
  <si>
    <t>2024-03-13_‏‎05.38.12.MTS</t>
  </si>
  <si>
    <t>There was no beep on beetector. The offset for maze 1 beep was 1 minute 23 seconds, so I will use reading that is 1 minute 23 seconds before 00:40:20</t>
  </si>
  <si>
    <t>2024-03-13_18.15.36.MTS</t>
  </si>
  <si>
    <t>Bee returned before meter was turned on. Could use the first reading when meter was switched on.</t>
  </si>
  <si>
    <t>2024-03-14_05.38.18.MTS</t>
  </si>
  <si>
    <t>2024-03-14_18.07.28.MTS</t>
  </si>
  <si>
    <t>2024-03-15_05.37.18.MTS</t>
  </si>
  <si>
    <t>2024-03-15_18.11.04.MTS</t>
  </si>
  <si>
    <t>2024-03-16_05.45.52.MTS</t>
  </si>
  <si>
    <t>C0114_2</t>
  </si>
  <si>
    <t>C0115_2</t>
  </si>
  <si>
    <t>Didn’t count this as she exited maze and came striaght back</t>
  </si>
  <si>
    <t>couldn’t see return due to condensation on lens and loss of focus</t>
  </si>
  <si>
    <t>BE CAREFUL!!! SOMETIMES LCD DISPLAYS 0.XX INSTEAD OF 1.XX. CAN LEAD TO ORDER OF MAGNITUDE MISTAKE IF YOU'RE NOT CAREFUL ABOUT THE EXPONENT.</t>
  </si>
  <si>
    <t>got the two beetector cables mixed up I think</t>
  </si>
  <si>
    <t>How should I treat two decisions in a row where I havent changed pattern? In theory, the bee will have had a chance to learn some other low frequency feature on the second return. The reason I think of this is given the borderline incorrect decision under darker conditions here versus previous return - perhaps she learned some other feature on the previous return?</t>
  </si>
  <si>
    <t>C0069</t>
  </si>
  <si>
    <t>did not exit maze</t>
  </si>
  <si>
    <t>Completely missed this flight initially. Only noticed it when I was filling in light levels</t>
  </si>
  <si>
    <t>difficult to read lcd light meter</t>
  </si>
  <si>
    <t>2024-03-17_18.10.36.MTS</t>
  </si>
  <si>
    <t>difficult to read lcd again! Had to guess based on exponent changing</t>
  </si>
  <si>
    <t>2024-03-18_05.35.00.MTS</t>
  </si>
  <si>
    <t>Raining morning. No data</t>
  </si>
  <si>
    <t>2024-03-18_18.11.24.MTS</t>
  </si>
  <si>
    <t>2024-03-19_05.30.04.MTS</t>
  </si>
  <si>
    <t>Raining evening. No data</t>
  </si>
  <si>
    <t>2024-03-19_06.24.04.MTS</t>
  </si>
  <si>
    <t>vpatt_freq_dep</t>
  </si>
  <si>
    <t>C0071</t>
  </si>
  <si>
    <t xml:space="preserve">*unknown departure time, frist seen outside nest at 00:37:38.
Maze was rotated 180 degrees. Bee did not manage to get back inside. She was confused and still trying to enter from the old direction of the entrance. You can see this in the C0038 video, as the C0031 video cut out. She finall y leaves maze 00:53:59 after adding curtain. But didnt do the orientation flight outside maze I guess. </t>
  </si>
  <si>
    <t>Took the session off to rest.</t>
  </si>
  <si>
    <t xml:space="preserve">*00:49:24  first seen on wrong side, so that puts return time at 06:10:37. 
im unsure of what the decision was. The positioning of light and / or setting of camera (low lux mode) makes it very hard to see bee. I first make her out on wrong side though. Light also went off at start of morning due to cabl emalfunction perhaps. So im not even completely sure she exited maze. </t>
  </si>
  <si>
    <t>Departure is prior to video start.  She left the maze but came straight back, looking a bit disorientated. I wont count that as a decision.</t>
  </si>
  <si>
    <t>Departure is prior to video start. bee is already on the floor in wrong arm right next to decision chamber</t>
  </si>
  <si>
    <t>unknown return time. Video lost focus because I didn’t wipe off camera lens</t>
  </si>
  <si>
    <t>cant see the base numbers, only the exponent :( . But it must be a very low value to the power of -2, because the exponent changes roughly 1 minute later. ~0.0099</t>
  </si>
  <si>
    <t>rested this day</t>
  </si>
  <si>
    <t xml:space="preserve"> NA</t>
  </si>
  <si>
    <t>rain prevented data collection this day</t>
  </si>
  <si>
    <t>VIDEO started 17:55:00 according to the time stamp on original corrupted video. 17:55:24 (10 seconds before other camera) based on comparing beeps between videos. I had to find the time of the double beep on maze 1 video (00:37:20) to find the time of return</t>
  </si>
  <si>
    <t>VIDEO started 17:55:00 according to the time stamp on original corrupted video. 17:55:24 (10 seconds before other camera) based on comparing beeps between videos.  Two exits!? Two bees? I couldn’t find when the bee exited. Perhaps while I was changing patterns after her first return. Seems like bee may have left very ear. Bee returns 00:52:49 on other video</t>
  </si>
  <si>
    <t>patt_freq_ret</t>
  </si>
  <si>
    <t>C0072</t>
  </si>
  <si>
    <t>proper learning flight on departure. Perhaps bc I added long of stripe to bottom of maze. Bee returned before I could switch sides</t>
  </si>
  <si>
    <t>3</t>
  </si>
  <si>
    <t xml:space="preserve">Didn’t exit maze. </t>
  </si>
  <si>
    <t>C0075</t>
  </si>
  <si>
    <t>C0076</t>
  </si>
  <si>
    <t>didn’t change pattern for some reason.</t>
  </si>
  <si>
    <t>C0077</t>
  </si>
  <si>
    <t>borderline correct on a much higher freq pattern</t>
  </si>
  <si>
    <t>This may have been a new bee. Very short flight. And I think it was a bit smaller than the other/s id seen in this nest</t>
  </si>
  <si>
    <t>C0078</t>
  </si>
  <si>
    <t>This was very interesting. Went down correct arm, but turned around (almost the reverse of what I expect to see) and then went down incorrect arm and proceeded to try and enter the horizontal pattern. Very strong indication that this was a new bee?</t>
  </si>
  <si>
    <t>Same as the previous flight. Goes down the correct arm, but turns around and goes toward incorrect arm. Very strange. Also made me wondef if its perhaps caused by the fact that I made some other low frequency change, eg. Removing the tape? Or the table leg being a non-symmetrical landmark causing retinotopic mismatch?</t>
  </si>
  <si>
    <t>C0079</t>
  </si>
  <si>
    <t>pre-video start departure. Finally exits maze at 00:24:56</t>
  </si>
  <si>
    <t>Couldn’t find any return on camera. Perhaps because of the low visibilty. I tried to listen for beeps but also didn’t hear one.</t>
  </si>
  <si>
    <t>difficult to see. Didn’t make sure camera lens was clean. But it does look like a correct decision</t>
  </si>
  <si>
    <t>turning_distance_cm</t>
  </si>
  <si>
    <t>C0073</t>
  </si>
  <si>
    <t>So we have a problem with this nest. There is a bee that shows unusual behaviour. She arcs right but never goes further down the tunnel, she then always bends left. If the incorrect pattern is on the right, you might interpret that as her turning around in your turning freq analysis, yielding unusually large turning frequencies. Solution is to only look at the turning distances when the wrong pattern is on the left side perhaps?</t>
  </si>
  <si>
    <t>C0074</t>
  </si>
  <si>
    <t>Again, the strange behaviour. Chooses the correct side initially, but doesn’t go far enough down the tunnel to realise shes chosen correctly (I guess?) and then turns around to investigate wrong arm. Realizes shes in the wrong arm when she travels further down the tunnel than she did in the correct arm.</t>
  </si>
  <si>
    <t>couldnt find any return on camera</t>
  </si>
  <si>
    <t xml:space="preserve">Another example of the strange initial right arcing behaviour I would say. </t>
  </si>
  <si>
    <t>C0080</t>
  </si>
  <si>
    <t>C0081</t>
  </si>
  <si>
    <t>Afternoon off for Tupper talk</t>
  </si>
  <si>
    <t>C0082</t>
  </si>
  <si>
    <t>Another right arc</t>
  </si>
  <si>
    <t>C0083</t>
  </si>
  <si>
    <t>pre-video start departure. A very unexpected correct choice. 0.1cpd pattern, and she turns away from the left while still in the decision chamber. Surprising…</t>
  </si>
  <si>
    <t>cant find the return. Borderline incorrect decision. This and the first flight definitely making me rethink idea that they cant see 0.1. Despite apparent side preference for the left, she nailed this and the subsequent decision on 0.1 cpd</t>
  </si>
  <si>
    <t>C0084</t>
  </si>
  <si>
    <t xml:space="preserve">Incredibly poor visibility. 
technically correct, although she doesn’t go all the way down the track, which is strange and not what I was expecting to see. Was there some other low frequency cue she had become accustomed to while being on the other side? Or is this just variation?
So this is where the strange behaviour perhaps starts. Possible this is the new bee. She first goes left which is correct, but turns around and goes right. She then tries to enter the wrong pattern hole. </t>
  </si>
  <si>
    <t xml:space="preserve">She arcs left, and either sees its wrong at this point, then goes right. Based on previous few videos, I'd say this was a bee that 'believed' the pattern was on the right, ie. had a right side preference. </t>
  </si>
  <si>
    <t>Based on exit behaviour, short flight time and size, I have a hunch this may have been another new bee?</t>
  </si>
  <si>
    <t>C0070</t>
  </si>
  <si>
    <t>C0116_2</t>
  </si>
  <si>
    <t>C0117</t>
  </si>
  <si>
    <t>C0118</t>
  </si>
  <si>
    <t>C0120</t>
  </si>
  <si>
    <t>C0122</t>
  </si>
  <si>
    <t>C0123</t>
  </si>
  <si>
    <t>light_level_video_name</t>
  </si>
  <si>
    <t>maze_video_name</t>
  </si>
  <si>
    <t>C0082_2</t>
  </si>
  <si>
    <t>Tupper talk, no recording</t>
  </si>
  <si>
    <t>This video seems lost. May have mistakenly been deleted?</t>
  </si>
  <si>
    <t>couldn't find return on camera</t>
  </si>
  <si>
    <t>Tupper talk. No recording</t>
  </si>
  <si>
    <t>didn’t exit maze</t>
  </si>
  <si>
    <t>there was no beep in video</t>
  </si>
  <si>
    <t>many beeps because bee struggled to get into the hole</t>
  </si>
  <si>
    <t>No idea where this video is or if it ever existed</t>
  </si>
  <si>
    <t>2024-03-21_05.27.50.MTS</t>
  </si>
  <si>
    <t>2024-03-21_06.26.00.MTS</t>
  </si>
  <si>
    <t>Seem to have lost the video somehow</t>
  </si>
  <si>
    <t>2024-03-19_18.06.00.MTS</t>
  </si>
  <si>
    <t>C0086</t>
  </si>
  <si>
    <t xml:space="preserve">pre-video start departure. </t>
  </si>
  <si>
    <t>screenshot_name</t>
  </si>
  <si>
    <t>min_max_thresh_dist_pixels</t>
  </si>
  <si>
    <t>min_bee_thresh_dist_pixels</t>
  </si>
  <si>
    <t>120.75</t>
  </si>
  <si>
    <t>min_thresh_dist</t>
  </si>
  <si>
    <t>C0086_bf1_t1_merge</t>
  </si>
  <si>
    <t>long time to exit, almost as if it was a new bee</t>
  </si>
  <si>
    <t>C0130</t>
  </si>
  <si>
    <t>C0129</t>
  </si>
  <si>
    <t>C0087</t>
  </si>
  <si>
    <t>C0087_bf1_t1_merge</t>
  </si>
  <si>
    <t>C0087_bf1_t2_merge</t>
  </si>
  <si>
    <t>C0087_bf1_t3_merge</t>
  </si>
  <si>
    <t>C0088</t>
  </si>
  <si>
    <t>C0085</t>
  </si>
  <si>
    <t>C0128</t>
  </si>
  <si>
    <t>C0085_bf1_t1_merge</t>
  </si>
  <si>
    <t>C0085_bf1_t2_merge</t>
  </si>
  <si>
    <t>Another curious example of an initially correct choice, but then turning back and going to wrong side, but then turning back and coming to the correct side again. Perhaps due to low frequency information from the table leg that is not centered?</t>
  </si>
  <si>
    <t>C0131</t>
  </si>
  <si>
    <t>Took morning off</t>
  </si>
  <si>
    <t>C0089</t>
  </si>
  <si>
    <t>C0132</t>
  </si>
  <si>
    <t>C0090</t>
  </si>
  <si>
    <t>C0091</t>
  </si>
  <si>
    <t>C0134</t>
  </si>
  <si>
    <t xml:space="preserve"> </t>
  </si>
  <si>
    <t>C0089_bf1_t1_merge</t>
  </si>
  <si>
    <t>C0091_bf1_t1_merge</t>
  </si>
  <si>
    <t>C0080_bf1_t1_merge</t>
  </si>
  <si>
    <t>slightly blurry video</t>
  </si>
  <si>
    <t>no maze exit. Deleted video</t>
  </si>
  <si>
    <t>C0126</t>
  </si>
  <si>
    <t>C0133_NB_CALIB_FACTOR_MAYBE_WRONG</t>
  </si>
  <si>
    <t>My red light was shining. Might have had some effect on bee</t>
  </si>
  <si>
    <t>1.004x10-6</t>
  </si>
  <si>
    <t>1.004x10-6 OR 1.004x10-5 . Not sure which. But light levels looked too bright, so I guess it was 1.004x10-6</t>
  </si>
  <si>
    <t>C0135_NB_CALIB_FACTOR_APPEARS_DIFF_AGAIN</t>
  </si>
  <si>
    <t>C0136_NB_CALIB_FACTOR_APPEARS_DIFF_AGAIN.</t>
  </si>
  <si>
    <t>C0126_bf1_t1_merge</t>
  </si>
  <si>
    <t>C0085_bf1_t1_linesdrawn</t>
  </si>
  <si>
    <t>C0085_bf1_t2_linesdrawn</t>
  </si>
  <si>
    <t>C0093</t>
  </si>
  <si>
    <t>C0092</t>
  </si>
  <si>
    <t>no exit. Returned to hole only to emerge minutes later.</t>
  </si>
  <si>
    <t>1.004x10-5 / 1.004x10-6 . Not sure which</t>
  </si>
  <si>
    <t xml:space="preserve">1.004x10-5 / 1.004x10-6 . Not sure which. Numbers look similar to numbers I got with 1.004x10-6 factor. </t>
  </si>
  <si>
    <t>C0092_bf1_t3_linesdrawn</t>
  </si>
  <si>
    <t>C0092_bf1_t2_linesdrawn</t>
  </si>
  <si>
    <t>C0092_bf1_t1_linesdrawn</t>
  </si>
  <si>
    <t>. -2.46x10-2</t>
  </si>
  <si>
    <t>stimulus_size_mm</t>
  </si>
  <si>
    <t>arm_length_at_pos_3_mm</t>
  </si>
  <si>
    <t>patt_cycles</t>
  </si>
  <si>
    <t>light_meter_factor_used</t>
  </si>
  <si>
    <t>first_decision</t>
  </si>
  <si>
    <t>No data collection in morning. Analysing data</t>
  </si>
  <si>
    <t>no data collection in evening. Raining / analysis</t>
  </si>
  <si>
    <t>stimulus_frequency_at_314mm_cpd</t>
  </si>
  <si>
    <t>angular_subtense_of_stimulus_at_turn</t>
  </si>
  <si>
    <t>stimulus_cycles</t>
  </si>
  <si>
    <t>viewing_distance</t>
  </si>
  <si>
    <t>recalculated_patt_freq</t>
  </si>
  <si>
    <t>2*Atan(0.5*stimSize/stimDist)</t>
  </si>
  <si>
    <t>arm_length_cm_minus_3mm_pattern</t>
  </si>
  <si>
    <t xml:space="preserve">yes. Ignored first turn in right arm where she goes toward correct pattern but then turns away from it. </t>
  </si>
  <si>
    <t>no activity. Deleted video.  Perhaps an early exit and return?</t>
  </si>
  <si>
    <t>C0077_bf1_t1_linesdrawn</t>
  </si>
  <si>
    <t>C0086_bf1_t1_linesdrawn</t>
  </si>
  <si>
    <t>C0072_bf1_t1_linesdrawn</t>
  </si>
  <si>
    <t>correct decision</t>
  </si>
  <si>
    <t>C0076_2</t>
  </si>
  <si>
    <t>C0077_bf2_t1_linesdrawn</t>
  </si>
  <si>
    <t>Ignoring this video because she tried to enter wrong hole</t>
  </si>
  <si>
    <t>C0079_bf1_t1_linesdrawn</t>
  </si>
  <si>
    <t>C0081_bf1_t1_linesdrawn</t>
  </si>
  <si>
    <t>C0088_bf1_t1_linesdrawn</t>
  </si>
  <si>
    <t>C0088_bf1_t2_linesdrawn</t>
  </si>
  <si>
    <t>C0088_bf1_t3_linesdrawn</t>
  </si>
  <si>
    <t>C0088_bf2_t1_linesdrawn</t>
  </si>
  <si>
    <t xml:space="preserve">Do I count this wrong turn? On the grounds that she does this same weird arc to the left but continues into a full 360 and ends up going to the right in both the preceding and following video, I argue that her turn away from the left was not due to the pattern, but was either due to some other low frequency difference, or simply a habitual flight maneouver. </t>
  </si>
  <si>
    <t>C0094</t>
  </si>
  <si>
    <t>No light meter video</t>
  </si>
  <si>
    <t>No light meter video.</t>
  </si>
  <si>
    <t xml:space="preserve">no maze exit. </t>
  </si>
  <si>
    <t>no maze exit</t>
  </si>
  <si>
    <t>no light meter recording</t>
  </si>
  <si>
    <t>No idea what happened to this video for maze 2. there is a metadata file for the evening, but no video</t>
  </si>
  <si>
    <t>bee couldn’t get back into maze</t>
  </si>
  <si>
    <t>I'm not sure where the video is or what its called. It was written as C0033, but that video is for 7th march. Metadata file for 1st march exists (C0020_M01_2), but no video. tough to tell time of entry with poor lighting angles</t>
  </si>
  <si>
    <t>Negative light readings. Incorrect zeroing? I used the time I heard the beep, not the time she made the first decision, which was about a minute earlier. Im sure 0.2 units is not NB anyway</t>
  </si>
  <si>
    <t xml:space="preserve">No data collection. Raining. Didn’t change pattern back to 0.5 after evening testing. </t>
  </si>
  <si>
    <t>Light level video somehow lost, or never acquired. Technically correct decision. Theres an initial leftward arc (towards correct side) then goes to the right. She gets unusually close to, (OH WAIT, SHE ACTUALLY TRIES TO ENTER) the low frequency (0.05) pattern. Perhaps because shes a new bee, the same that was trying to enter the wrong pattern on the previous day?</t>
  </si>
  <si>
    <t>light_level_proxy</t>
  </si>
  <si>
    <t>These readings are a tad low. And there were negative readings on the light meter. Not zeroed properly? Numbers are not outrageous, but perhaps not perfectly accurate</t>
  </si>
  <si>
    <t>Slightly high. 5v bias was on and there were negative numbers initially. Not zeroed properly?</t>
  </si>
  <si>
    <t>I think this light level was very wrong, hence not even entering it here. Could perhaps be saved, need to rewatch video</t>
  </si>
  <si>
    <t xml:space="preserve">perhaps a tad high? 5v bias was on. Not sure what factor was being used. But the reading is suspiscious seeing as things were going wrong around this time. </t>
  </si>
  <si>
    <t>took morning off</t>
  </si>
  <si>
    <t>C0134_NB_CALIB_FACTOR_MAYBE_WRONG</t>
  </si>
  <si>
    <t>factor change</t>
  </si>
  <si>
    <t>light video missing</t>
  </si>
  <si>
    <t xml:space="preserve">Jumpy light levels in the beginning. </t>
  </si>
  <si>
    <t>no data collection morning. Analysis</t>
  </si>
  <si>
    <t>no data, raining</t>
  </si>
  <si>
    <t>morning off for analysis</t>
  </si>
  <si>
    <t>no data collection in evening. Analysis</t>
  </si>
  <si>
    <t>no data collection afternoon. Analysis</t>
  </si>
  <si>
    <t>C0096</t>
  </si>
  <si>
    <t>00:49:36</t>
  </si>
  <si>
    <t>Incredibly strange that she couldn’t get into her nest. Presumably an experienced bee, but didn’t want to go down the right arm. Many sessions on the other side, but still, why would she not go to the other side? Polarised light?</t>
  </si>
  <si>
    <t>missing light video</t>
  </si>
  <si>
    <t>2024-03-19_18.06.00</t>
  </si>
  <si>
    <t>18.06.00</t>
  </si>
  <si>
    <t>exited hole but then went back in so no maze exit</t>
  </si>
  <si>
    <t>no data collection this morning. Analysis</t>
  </si>
  <si>
    <t>no data collection this morning. Raining</t>
  </si>
  <si>
    <t>no data collection evening. Analysis</t>
  </si>
  <si>
    <t>5v bias was on. Not sure if a problem? Light readings a tad high?</t>
  </si>
  <si>
    <t>5v bias was on</t>
  </si>
  <si>
    <t>Negative numbers. Values droped to -1 x10-1 and then saturated. 5v bias was on</t>
  </si>
  <si>
    <t>*-0.97X10-1</t>
  </si>
  <si>
    <t>*-2.46x10-2</t>
  </si>
  <si>
    <t>C0129_negative_numbers_constrained_range</t>
  </si>
  <si>
    <t>C0130_negative_numbers_constrained_range</t>
  </si>
  <si>
    <t>negative numbers. Values started in the minus and to the power of -1. 5v bias on</t>
  </si>
  <si>
    <t>*-0.28x10-1</t>
  </si>
  <si>
    <t>*-0.92x10-1</t>
  </si>
  <si>
    <t>negative numbers, constrained range, and 5v bias on</t>
  </si>
  <si>
    <t xml:space="preserve">light video missing </t>
  </si>
  <si>
    <t>*0.0099</t>
  </si>
  <si>
    <t xml:space="preserve">Negative numbers, constrained range, 5v bias on. </t>
  </si>
  <si>
    <t>*0.159</t>
  </si>
  <si>
    <t>Bee returned before meter turned on</t>
  </si>
  <si>
    <t>C0074_bf1_t1_linesdrawn</t>
  </si>
  <si>
    <t>light_level_issue</t>
  </si>
  <si>
    <t>C0125_2_negative_numbers</t>
  </si>
  <si>
    <t>C0073_bf1_t1_linesdrawn</t>
  </si>
  <si>
    <t>arm_length_at_pos2_minus_3mmpattern</t>
  </si>
  <si>
    <t>C0054_2</t>
  </si>
  <si>
    <t>Technically wrong decision because she crossed line while flying backwards, but she seemed to see it initially and turned around in the decision chamber, but then lost control, flying backwards into the wrong arm</t>
  </si>
  <si>
    <t>C0041_bf1_t1_linesdrawn</t>
  </si>
  <si>
    <t>C0046_bf1_t1_linesdrawn</t>
  </si>
  <si>
    <t>C0048_bf1_t1_linesdrawn</t>
  </si>
  <si>
    <t>C0042_bf1_t1_linesdrawn</t>
  </si>
  <si>
    <t>many more turns, but the others similar to the first.</t>
  </si>
  <si>
    <t>C0037_bf1_t1_linesdrawn</t>
  </si>
  <si>
    <t>C0033_bf1_t1</t>
  </si>
  <si>
    <t>This was one of the first switches for this bee. Perhaps it explains the close approach</t>
  </si>
  <si>
    <t>C0066_bf2_t1_linesdrawn</t>
  </si>
  <si>
    <t>C0066_bf1_t1_linesdrawn</t>
  </si>
  <si>
    <t>C0067_bf1_t1_linesdrawn</t>
  </si>
  <si>
    <t>C0063_bf2_t1_linesdrawn</t>
  </si>
  <si>
    <t>C0058_bf1_t1_linesdrawn</t>
  </si>
  <si>
    <t xml:space="preserve">Perhaps a better criterion is to use the point at which they stop turning instead of closest distance. This bee loses control after stopping, sending it closer to the pattern than the point he actually realised it was wrong. </t>
  </si>
  <si>
    <t>C0059_bf1_t1_linesdrawn</t>
  </si>
  <si>
    <t xml:space="preserve">** actually, the light level checks out with level from a previous morning. I guess if the zero is quite large, it means the low-light measurements will be nonsense, but it wont have as much of an effect on the brighter measurements.  previous comment -Bullshit light level. Light meter didnt seem zeroed properly. Starting at -1 and had negative light readings at that level. 5v bias was also on. </t>
  </si>
  <si>
    <t>Factor change? Light levels jumpy at start of video, but appear to normalize</t>
  </si>
  <si>
    <t>factor change. But readings did not look weird other than that</t>
  </si>
  <si>
    <t>factor change. This illuminance value is higher than the others around the same time.  Could this be because of the factor I input (1.004x10-6) ? NB I think I may have made the factor x10-5. The reading on screen was 2.45. So to correct do I simply move decimal an extra place, so 2.45 becomes 0.245</t>
  </si>
  <si>
    <t>factor change. Jumpy numbers in the beginning. I'm not sure what was up with the light readings or light meter. Very strange</t>
  </si>
  <si>
    <t>proxy_method</t>
  </si>
  <si>
    <t>factor converted</t>
  </si>
  <si>
    <t>same time following evening</t>
  </si>
  <si>
    <t>same time previous evening and factor converted</t>
  </si>
  <si>
    <t>same time previous morning</t>
  </si>
  <si>
    <t>same time two mornings ago</t>
  </si>
  <si>
    <t>I think this taken from a previous / following morning</t>
  </si>
  <si>
    <t>Numbers too high. Constrained range. Not zeroed properly. 5V bias on</t>
  </si>
  <si>
    <t>number too high. Constrained range. 5v bias on.</t>
  </si>
  <si>
    <t>negative numbers.Not zeroed properly?</t>
  </si>
  <si>
    <t>Not zeroed properly and factor change.</t>
  </si>
  <si>
    <t>not sure</t>
  </si>
  <si>
    <t>number much higher than previous morning</t>
  </si>
  <si>
    <t>same time following evening and factor conversion</t>
  </si>
  <si>
    <t xml:space="preserve">Meter not zeroed propertly again? Values become negative as light level falls to around 10-2, suggesting the zero was too bright. </t>
  </si>
  <si>
    <t>same time previous evening</t>
  </si>
  <si>
    <t>C0069_bf1_t1_linesdrawn</t>
  </si>
  <si>
    <t>C0056_bf1_t1_linesdrawn</t>
  </si>
  <si>
    <t>C0057_bf2_t1_linesdrawn</t>
  </si>
  <si>
    <t>C0053_bf1_t1_linesdrawn</t>
  </si>
  <si>
    <t>C0055_bf2_t1_linesdrawn</t>
  </si>
  <si>
    <t>C0053_bf2_t1_linesdrawn</t>
  </si>
  <si>
    <t>Can I extract more signal from this data? There was a half turn before her full turn away. Is a half turn distinct enough from the approach you see when they make a correct choice to make it useful data?</t>
  </si>
  <si>
    <t>C0053_bf2_t2_linesdrawn</t>
  </si>
  <si>
    <t>C0052_bf1_t1_linesdrawn</t>
  </si>
  <si>
    <t>C0052_bf2_t1_linesdrawn</t>
  </si>
  <si>
    <t>C0049_bf2_t1_linesdrawn</t>
  </si>
  <si>
    <t>C0046_bf2_t1_linesdrawn</t>
  </si>
  <si>
    <t>C0102</t>
  </si>
  <si>
    <t>C0142</t>
  </si>
  <si>
    <t>C0102_bf1_t1_linesdrawn</t>
  </si>
  <si>
    <t>C0101</t>
  </si>
  <si>
    <t>C0141</t>
  </si>
  <si>
    <t>pre-video start departure. Lands on pattern. Takes an age just to get into the maze through the entrance circle. Then takes an age to get into hole. Also because hole was not perfectly aligned</t>
  </si>
  <si>
    <t>C0101_bf1_t1</t>
  </si>
  <si>
    <t>Inf</t>
  </si>
  <si>
    <t>Not sure how I'll treat / visualize these cases where bee actually lands on pattern. Because the frequency of the pattern will be infinite. Can still plot the distance though!</t>
  </si>
  <si>
    <t>C0100</t>
  </si>
  <si>
    <t>C0099</t>
  </si>
  <si>
    <t>C0098</t>
  </si>
  <si>
    <t>C0097</t>
  </si>
  <si>
    <t>C0140</t>
  </si>
  <si>
    <t>C0100_bf1_t1</t>
  </si>
  <si>
    <t>Besides landing on the pattern, there were subsequent turns she made afterwards where she was further away from the pattern. This might be useful data. Perhaps on a second pass over this data I can come up with a better set of rules to squeeze out this data</t>
  </si>
  <si>
    <t>C0100_bf2_t1_linesdrawn</t>
  </si>
  <si>
    <t>One of those rare occasions where the first decision was correct, but the bee fell down short of the pattern, then somehow ended up flying the other way into the  (right) arm allowing a turning distance data point despite the pattern being on the favoured side.</t>
  </si>
  <si>
    <t>Tons of turns in the wrong arm. And a land on the wrong pattern</t>
  </si>
  <si>
    <t>There are tons more turns than this. the average turn might be a bit shorter. I just took the closest approach on the first turn (as in the closest approach before returning back to the decsion chamber).</t>
  </si>
  <si>
    <t>C0139</t>
  </si>
  <si>
    <t>C0138</t>
  </si>
  <si>
    <t>C0137</t>
  </si>
  <si>
    <t>C0094_bf1_t1_linesdrawn</t>
  </si>
  <si>
    <t>C0103</t>
  </si>
  <si>
    <t>C0143</t>
  </si>
  <si>
    <t>pre-video start departure</t>
  </si>
  <si>
    <t>missed return</t>
  </si>
  <si>
    <t>C0144</t>
  </si>
  <si>
    <t>unclear lcd. Roughly the light level.</t>
  </si>
  <si>
    <t>the first of two turns</t>
  </si>
  <si>
    <t>C0104_bf1_t1_linesdrawn</t>
  </si>
  <si>
    <t>C0099_bf1_t1_linesdrawn</t>
  </si>
  <si>
    <t>C0095</t>
  </si>
  <si>
    <t>no activity. Heavy rain. Video deleted</t>
  </si>
  <si>
    <t>Skipped data collection. Looks like it will rain</t>
  </si>
  <si>
    <t>C0096_bf1_t1_linesdrawn</t>
  </si>
  <si>
    <t>No morning or evening data. Went to the beach.</t>
  </si>
  <si>
    <t>no morning data. Went to the beach.</t>
  </si>
  <si>
    <t>Double-wrong pattern test</t>
  </si>
  <si>
    <t xml:space="preserve">Missed her return on camera as she returned very late (around 06:40 if I remember correctly) </t>
  </si>
  <si>
    <t>No maze exit</t>
  </si>
  <si>
    <t>Raining</t>
  </si>
  <si>
    <t>Skipped data collection. Analysis</t>
  </si>
  <si>
    <t>C0148</t>
  </si>
  <si>
    <t>C0145</t>
  </si>
  <si>
    <t>C0146</t>
  </si>
  <si>
    <t>C0150</t>
  </si>
  <si>
    <t>C0097_bf1_t1_linesdrawn</t>
  </si>
  <si>
    <t>C0098_bf1_t1_linesdrawn</t>
  </si>
  <si>
    <t>C0101_bf1_t1_linesdrawn</t>
  </si>
  <si>
    <t>C0103_bf1_t1_linesdrawn</t>
  </si>
  <si>
    <t>no activity. Video deleted</t>
  </si>
  <si>
    <t xml:space="preserve">no activity. Video deleted. I think bee may have abandoned over weekend. </t>
  </si>
  <si>
    <t>2</t>
  </si>
  <si>
    <t>C0108_bf1_linesdrawn</t>
  </si>
  <si>
    <t>If I used a different criterion, eg. Distance of closest approach or slowing distance, I'd get a considerably lower frequency here.</t>
  </si>
  <si>
    <t>DIFFICULT TO INTERPRET! Chooses wrong side but turns around. Something low frequency turned her around? Too much testing on the right hand side?</t>
  </si>
  <si>
    <t>Double-wrong stimulus test. It's very strange how the distance of approach to the stimulus doesn’t seem symmetric - they turn earlier when going down the left side, but then approach way closer to the pattern when going to the right. Perhaps this is because they've been trained to 'expect' the correct pattern on the other side? 
Actually tries to enter wrong hole here.</t>
  </si>
  <si>
    <t>C0106_bf1_t1</t>
  </si>
  <si>
    <t>double-wrong stimulus test. More turns than the first one. Actually lands on wrong stimulus when going down right arm .</t>
  </si>
  <si>
    <t>Bit of interference with my red light</t>
  </si>
  <si>
    <t>she didn’t actually enter the hole yet after the first flight. So 2nd and 3rd flights are only technically flights I guess.</t>
  </si>
  <si>
    <t>factor change and light reading is 5 minutes earlier than actual arrival time</t>
  </si>
  <si>
    <t>C0147</t>
  </si>
  <si>
    <t>light level not on at this point</t>
  </si>
  <si>
    <t>light level not on yet.</t>
  </si>
  <si>
    <t>from previous morning roughly same time</t>
  </si>
  <si>
    <t>didn’t setup light meter</t>
  </si>
  <si>
    <t>Need to think about this more deeply. Only technically correct. She goes toward correct pattern but turns away, having obviously not seen it from that distance. How do I analyse this? It's potentially two bits of info: not seeing correct pattern from that distance, and seeing incorrect pattern from the turning distance.</t>
  </si>
  <si>
    <t>cant find any exit on camera nest. I think I might remember there being one though, although definitely no maze exit. Video not deleted in case data can be extracted from her turning away from wrong pattern on other side.</t>
  </si>
  <si>
    <t>Cant find return on camera.</t>
  </si>
  <si>
    <t>C0107_2</t>
  </si>
  <si>
    <t>no activity. Nest may have been abandoned. Didn’t see bee in it this morning. Video deleted</t>
  </si>
  <si>
    <t>1</t>
  </si>
  <si>
    <t>NEW NEST! no activity. Deleted video</t>
  </si>
  <si>
    <t>Don’t think there was activity. Hard to tell as I forgot IR lamp off. This may have been when bee left and didn’t come back :( . Video deleted.</t>
  </si>
  <si>
    <t>C0108_2</t>
  </si>
  <si>
    <t>1.4V</t>
  </si>
  <si>
    <t>1.5H</t>
  </si>
  <si>
    <t>NEW NEST! This one home pattern is horizontal</t>
  </si>
  <si>
    <t>NEW NEST! This one home pattern is vertical. Ie. a bee nest in each arm of maze</t>
  </si>
  <si>
    <t>no activity, video deleted</t>
  </si>
  <si>
    <t xml:space="preserve">Although she does cross the decision line, her first turn away from pattern, as well as her pause and hesitation, are certainly before the decision line. </t>
  </si>
  <si>
    <t>C0110_2</t>
  </si>
  <si>
    <t>2.6V</t>
  </si>
  <si>
    <t>2.7H</t>
  </si>
  <si>
    <t>NEW NEST WITH HORIZONTAL PATTERN. No activity</t>
  </si>
  <si>
    <t xml:space="preserve">Tried to enter wrong hole! Still learning. Or the pattern is just not 'stripey' enough. </t>
  </si>
  <si>
    <t>Presumably correct decision. very strange. Tries to get into horizontal strip nest, disappears, then re-appears, as if kicked out or couldn’t enter. Then tries to get into vertical strip nest, only to reappear. Previous bee did manage to get into vertical stripe nest. Only 2 possible explanations: 1. bee enters wrong (v stripe) nest and doesnt recognise that its wrong, then chases out v stripe bee. or 2, h stripe bee couldnt get back into her nest for some reason, perhaps cotton wool blocking it or something. I hope she comes home</t>
  </si>
  <si>
    <t>never returns from this flight</t>
  </si>
  <si>
    <t>Claudia says there was a bee that left pre-camera on. Probably was the bee on horizontal. But it did not return :(</t>
  </si>
  <si>
    <t>Tries to enter wrong hole</t>
  </si>
  <si>
    <t>no activity.</t>
  </si>
  <si>
    <t>Tries to enter wrong hole. Still not learned?</t>
  </si>
  <si>
    <t>tries to enter wrong hole!</t>
  </si>
  <si>
    <t>tries to enter wrong hole! Something is up. Should have learned by now. Stimuli too close? Pre video start departure</t>
  </si>
  <si>
    <t>No activity. Video deleted</t>
  </si>
  <si>
    <t>Pre-video start departure</t>
  </si>
  <si>
    <t>Horizontal nest was not in action for a while due to difficulty getting her to come back.</t>
  </si>
  <si>
    <t>No return on camera. Claudia moved stick to table where bee probably returned to given she didn’t really perform a learning flight on the exit</t>
  </si>
  <si>
    <t xml:space="preserve">NEW NEST! </t>
  </si>
  <si>
    <t>2.8H</t>
  </si>
  <si>
    <t>2.9V</t>
  </si>
  <si>
    <t>NEW NEST! Weird situation however. I think this is the same bee from the 2.7H nest. She just entered this stick bc her other stick was not on the table (previously she returned to maze 1 table and not maze 2 bc she didn’t do learning flight). Hope her exposure to horizontal stripes dont affect decisions.</t>
  </si>
  <si>
    <t>two bees try to return to this maze. The later one is from 2.6V originally. The earlier one I suspect is from 2.7H / 2.9V . She buzzed around in front of horizontal, but then left. Probably to go to her other nest home in front of maze 1. I think I need to stop using this bee. Too difficult.</t>
  </si>
  <si>
    <t>C0131 and C0132</t>
  </si>
  <si>
    <t>pre video start departure. She enters through arm while I am changing pattern. Not counting this</t>
  </si>
  <si>
    <t>Borderline correct, starts her turn before the line but then drifts over</t>
  </si>
  <si>
    <t>C0153 and C0154</t>
  </si>
  <si>
    <t>Pre-video start departure. Tries to enter from the back. Must have gotten out this way prev. Explains why I've not seen much of her</t>
  </si>
  <si>
    <t xml:space="preserve">Was this a correct decision? She turns a bit but then drifts into other chamber and turns some more. I need to compare flight paths when pattern is on the side they first turn into versus when it is on other side to find the body angle which signifies a turn! </t>
  </si>
  <si>
    <t>C0131_2</t>
  </si>
  <si>
    <t>Can barely see anything on this video. Cant tell the decision</t>
  </si>
  <si>
    <t>Cant see anything. Not sure about activity</t>
  </si>
  <si>
    <t>C0068_2</t>
  </si>
  <si>
    <t>C0069_2</t>
  </si>
  <si>
    <t>Pre video start departure. Wrong decision just inside the arm, but due to swerving, she moves deeper. Greatest distance down arm not a good indicator</t>
  </si>
  <si>
    <t>Cant see much, though it does look like a correct first decision</t>
  </si>
  <si>
    <t>pre-video departure</t>
  </si>
  <si>
    <t>initial decision correct, though she makes subsequent incorrect decisions</t>
  </si>
  <si>
    <t>No activity</t>
  </si>
  <si>
    <t>C0133</t>
  </si>
  <si>
    <t>C0135</t>
  </si>
  <si>
    <t>C0136</t>
  </si>
  <si>
    <t>Lighting of video is super bad. forgot lens off, see video C0130 for calibration lines using pattern skewer / stick</t>
  </si>
  <si>
    <t>Tries to enter wrong hole, still hasn’t learned? Need to move pattern back to furthest distance for a session or two to facilitate this?</t>
  </si>
  <si>
    <t>returning from previous night when she couldn’t get in</t>
  </si>
  <si>
    <t xml:space="preserve">Tries to enter wrong hole. </t>
  </si>
  <si>
    <t>Tries to enter wrong hole again, finally enters correct one</t>
  </si>
  <si>
    <t>Didn’t get return, but heard it just after camera off on beetector</t>
  </si>
  <si>
    <t>Tries to enter wrong hole. Leaves maze eventually after not getting into hole</t>
  </si>
  <si>
    <t>I'm not sure whether this is a departure, or the bee from the vertical pattern that entered by pushing through the horizontal bees nest… Strange</t>
  </si>
  <si>
    <t>pre-video start departure. Or didn’t return prev night?</t>
  </si>
  <si>
    <t>cant find departure on video</t>
  </si>
  <si>
    <t>pre-video start departure. Is this part of her entrance routine, or is that a wrong decision. She does the arc left, but barely looks left…</t>
  </si>
  <si>
    <t>pre-video start departure. Tries to enter hole.</t>
  </si>
  <si>
    <t>no activity. Need to fugure out what the original number of this nest was</t>
  </si>
  <si>
    <t>Video cuts out early. No returns. This is the same bee as im currently (02/05) using on the horizontal pattern I think. There was a period where this bee had two homes.</t>
  </si>
  <si>
    <t>Video cuts out early, no return</t>
  </si>
  <si>
    <t>She turns around twice here, first time the turn is within the decision chamber, second it is just inside the wrong arm. So her first decision (first chamber entered) is still technically wrong</t>
  </si>
  <si>
    <t>borderline incorrect. But would suggest very good spatial resolution! Possible?  Perhaps a more reasonable assumption is that she remembered the incorrect turn from her previous flight, and corrected this time? Or maybe this swerve is part of her routine? will need to check previous videos</t>
  </si>
  <si>
    <t xml:space="preserve">Pattern not oriented properly. She returned to an angled pattern. Wasn’t properly vertical.  She also struggled to enter nest. Cant see from video whether she ever did that morning as it cuts off. Entering old data, so I cant remember what happened here. </t>
  </si>
  <si>
    <t>Pre-video start departure. Tries to enter via the stick / sleeve. This stick also looks like boomerang shaped one that was the bees second home.</t>
  </si>
  <si>
    <t>This was the highly social nest where every bee abandoned. At the end of night I switched out nest to the one I am currently using on horizontal.</t>
  </si>
  <si>
    <t>This was the highly social nest where every bee abandoned. At the end of night I switched out nest to the one I am currently (03/05) using on horizontal.</t>
  </si>
  <si>
    <t>Wasnt entering entrance for some reason. Still learning? New bee?</t>
  </si>
  <si>
    <t>C0133 &amp; C0141</t>
  </si>
  <si>
    <t>C0134 &amp; C0141</t>
  </si>
  <si>
    <t>No return. Tries to enter via back  of stick. New bee? Strange she still hasn’t got it.</t>
  </si>
  <si>
    <t>no return on camera. Could it be a new bee? She looked bigger.</t>
  </si>
  <si>
    <t>2.8V</t>
  </si>
  <si>
    <t>2.9H</t>
  </si>
  <si>
    <t>NEW NEST!!!</t>
  </si>
  <si>
    <t>NEW NEST!!! No activity.</t>
  </si>
  <si>
    <t>I think shes exiting and re-entering from the back!!!</t>
  </si>
  <si>
    <t>FORGOT TO PRESS RECORD THIS EVENING</t>
  </si>
  <si>
    <t>Seems she abandoned</t>
  </si>
  <si>
    <t>seen at 00:33 trying to enter back of nest</t>
  </si>
  <si>
    <t>tries to enter through back at 18:12. she finally got back into nest today after her odyssey. Video deleted, no activity except bee being helped back inside nest.</t>
  </si>
  <si>
    <t>pattern_period_mm</t>
  </si>
  <si>
    <t>viewing_distance_mm</t>
  </si>
  <si>
    <t>spatial_freq</t>
  </si>
  <si>
    <t>degrees_per_cycle</t>
  </si>
  <si>
    <t>tangent_2*(0.5*pp / vd)</t>
  </si>
  <si>
    <t>C0149</t>
  </si>
  <si>
    <t xml:space="preserve">Borderline correct. Not sure whether to consider this as training or decision. </t>
  </si>
  <si>
    <t xml:space="preserve">technically correct, as she drifts into correct arm but doesn’t go down it. But then she is also borderline correct by going towards wrong arm, and U-turning </t>
  </si>
  <si>
    <t>C0120_2</t>
  </si>
  <si>
    <t xml:space="preserve">Cannot for the life of me find when this bee departed. And she must have departed while videos were running bc her head peaked out, unless it was a diff bee. </t>
  </si>
  <si>
    <t>pre-video start departure. This bee never came back prev evening, in video time at least. Never manages to go the opposite side :(</t>
  </si>
  <si>
    <t>C0151</t>
  </si>
  <si>
    <t>No return</t>
  </si>
  <si>
    <t>C0152</t>
  </si>
  <si>
    <t>Bee made it home in the end</t>
  </si>
  <si>
    <t>pre-video start departure. Bee made it home in end</t>
  </si>
  <si>
    <t>cant find dep on video . borderline incorrect</t>
  </si>
  <si>
    <t>C0153</t>
  </si>
  <si>
    <t>C0154</t>
  </si>
  <si>
    <t>Tries to enter wrong hole. Think she also returned much earlier and did the same. Multiple wrong decisions</t>
  </si>
  <si>
    <t>camera was 2.5 minutes ahead. Recalibrated now with macs clock</t>
  </si>
  <si>
    <t>Maze now ready for testing!! perhaps last training session this evening before patterns start to be rotated. bee returns multiple times (00:31:18, 00:33:38) before finally making it into crrect hole</t>
  </si>
  <si>
    <t>conversion factor</t>
  </si>
  <si>
    <t>C0155</t>
  </si>
  <si>
    <t xml:space="preserve">camera was 38 seconds ahead of time, recalibrated with mac clock before afternoon session (11/05) </t>
  </si>
  <si>
    <t>bee returned a few times earlier tried to enter wrong hole, finally managed to turn other way. Still seems to be learning this. hopefully this evening she gets it right without entering wrong hole.  It was very dark to be fair .</t>
  </si>
  <si>
    <t xml:space="preserve">I wonder if this is a second bee, given she didn’t make a wrong choice here, or if the same bee literally got the task betw flight 1 and 2. Two bees seems more likely. </t>
  </si>
  <si>
    <t xml:space="preserve">She didn’t make it in again. Was trying to enter via the back. The stick had fallen off the previous evening, probably why she re-learned that view. </t>
  </si>
  <si>
    <t>C0156</t>
  </si>
  <si>
    <t>Multiple wrong decisions</t>
  </si>
  <si>
    <t>Was busy changing pattern when she returned</t>
  </si>
  <si>
    <t>Testing started. Multiple wrong decisions</t>
  </si>
  <si>
    <t>C0157</t>
  </si>
  <si>
    <t>Cant find return, but could be hidden by blur from nught vision mode. Should look again.</t>
  </si>
  <si>
    <t>Cant find departure. Pre-start?</t>
  </si>
  <si>
    <t>training_or_testing</t>
  </si>
  <si>
    <t>training</t>
  </si>
  <si>
    <t>borderline</t>
  </si>
  <si>
    <t>testing</t>
  </si>
  <si>
    <t>C0158</t>
  </si>
  <si>
    <t>Wrong hole entry. Mustve been horizontal bee, as she was booted from vertical nest. Never got back into her nest</t>
  </si>
  <si>
    <t>Multiple wrong decisions. Never manages to re-enter nest</t>
  </si>
  <si>
    <t>C0159</t>
  </si>
  <si>
    <t>Comes back from prev night I imagine, sees its her hole, but doesn’t enter, just leaves. Probably coming back from prev night. I think its wasting information if I don’t count that as a trip.Could also look at it as multiple correct decisions, or something like this. There are other videos where stuff llike this happens (multiple decisions). I need to decide what to do about that</t>
  </si>
  <si>
    <t>Return from previous night probably. She makes a couple of returns earlier as well I reckon, Where she goes towards the left and literally reverses very nicely showing aversion to the vertical pattern</t>
  </si>
  <si>
    <t>C0160</t>
  </si>
  <si>
    <t>C0161</t>
  </si>
  <si>
    <t>Fogged camera. Cant see anything</t>
  </si>
  <si>
    <t>Doesn’t make it back in nest by video end</t>
  </si>
  <si>
    <t>Fogged camera. Cant see anything. Deleted video</t>
  </si>
  <si>
    <t>C0162</t>
  </si>
  <si>
    <t>Also makes a subseq wrong decision. Could be useful to analyse</t>
  </si>
  <si>
    <t>Multiple (3) wrong decisions. is this the horizontal bee that arrived earlier but never entered hole? Still the same bee that never returned prev night?</t>
  </si>
  <si>
    <t>Pre-start departure. Multiple wrong decisions</t>
  </si>
  <si>
    <t>multiple_decisions</t>
  </si>
  <si>
    <t>1,0</t>
  </si>
  <si>
    <t>0,0,0</t>
  </si>
  <si>
    <t>Not sure if this horizontal bee ever made it back that evening. Couldn’t find departure on vid, but didn’t search too hard</t>
  </si>
  <si>
    <t>training?</t>
  </si>
  <si>
    <t>pre-video start departure. Borderline incorrect</t>
  </si>
  <si>
    <t>testing or training? Not sure what to do with ?H</t>
  </si>
  <si>
    <t>C0163</t>
  </si>
  <si>
    <t>C0135_2</t>
  </si>
  <si>
    <t>0,1</t>
  </si>
  <si>
    <t>C0164</t>
  </si>
  <si>
    <t>same bee as in flight 1. She returned 3 times this morning, second time i stopped her from entering by putting lid in front of entrance. Clearly still learning. Can label previous times when hole was incorrectly entered as training. It is difficult as you might bias results by not also labelling the correct returns as training. Need to be careful about that.</t>
  </si>
  <si>
    <t>Wrong hole entry. Probably the new bee (see next morning same issue). Considering this as training.</t>
  </si>
  <si>
    <t>1,0,1,0,1</t>
  </si>
  <si>
    <t>I cant be sure which bee this was, so this data point should be excluded from analysis.</t>
  </si>
  <si>
    <t xml:space="preserve">Wrong decision, but its very hard to tell if this is a flight control issue. Was she fixating pattern? Looks a lot like she can discriminate the patterns from the decision chamber, as she kept swerving away inside the decision chamber from the wrong pattern. But could this be a side bias thing? Or a re-entry thing. Bees often re-enter the same arm multiple times. Its difficult to say whether a turn in the decision chamber is a turn away from the wrong pattern or a turn toward the correct one. </t>
  </si>
  <si>
    <t>1,1, 1, 0,1,0,1, 1(flying backwards), 1</t>
  </si>
  <si>
    <t>C0152_2</t>
  </si>
  <si>
    <t xml:space="preserve">Technically correct. What does it mean if they turn around in the correct arm? To me its consistant with the idea that the grey stimulus is a negative stimulus to the bee, because they are used to seeing stripes. This could be a result of over-testing one obviously-visible stimulus (ie. 0.1), where the bee becomes accustomed to seeing the stimulus from a certain position. A reason why it is essential to alternate frequency / position. </t>
  </si>
  <si>
    <t>C0165_trim</t>
  </si>
  <si>
    <t>Tries to enter wrong hole again</t>
  </si>
  <si>
    <t>C0166</t>
  </si>
  <si>
    <t>Perhaps its safe to start assuming the bee is trained now - she did not try to enter the wrong hole.</t>
  </si>
  <si>
    <t>Technically correct</t>
  </si>
  <si>
    <t>0,1,0,1,0,1,0,1,0</t>
  </si>
  <si>
    <t>C0065_1</t>
  </si>
  <si>
    <t>C0071_4</t>
  </si>
  <si>
    <t>might be the 'untriained' bee, gets awfully close to the pattern</t>
  </si>
  <si>
    <t>C0072_4</t>
  </si>
  <si>
    <t>C0066_1</t>
  </si>
  <si>
    <t>C0073_4</t>
  </si>
  <si>
    <t>C0076_3</t>
  </si>
  <si>
    <t>C0158_2</t>
  </si>
  <si>
    <t>C0156_2</t>
  </si>
  <si>
    <t>incorrect pattern fell off, so not sure I can count this decision. But would be incorrect</t>
  </si>
  <si>
    <t>as above. This bee enters correct arm though and turns around. This always complicates interpretations. But would be incorrect</t>
  </si>
  <si>
    <t>0, 1</t>
  </si>
  <si>
    <t>C0075_2</t>
  </si>
  <si>
    <t>0,0,0,1</t>
  </si>
  <si>
    <t>Wrong hole entry</t>
  </si>
  <si>
    <t>C0068_3</t>
  </si>
  <si>
    <t>Wrong hole entry. Both bees were entering wrong hole?!</t>
  </si>
  <si>
    <t>C0089_2</t>
  </si>
  <si>
    <t>C0003</t>
  </si>
  <si>
    <t>C0002</t>
  </si>
  <si>
    <t>C0001</t>
  </si>
  <si>
    <t>C0078_2</t>
  </si>
  <si>
    <t>C0077_2</t>
  </si>
  <si>
    <t>never actually enters hole. was this actually a wrong decision (in the sense that the point at which she turned was when she realized she went wrong), or a flight maneouvre? Only way to know is to get more data I guess?</t>
  </si>
  <si>
    <t>No return on camera</t>
  </si>
  <si>
    <t>C0074_2</t>
  </si>
  <si>
    <t>C0153_2</t>
  </si>
  <si>
    <t>C0154_2</t>
  </si>
  <si>
    <t>C0079_2</t>
  </si>
  <si>
    <t>C0159_2</t>
  </si>
  <si>
    <t>1,0,1</t>
  </si>
  <si>
    <t>bee abandoned. Ants in nest. Video deleted</t>
  </si>
  <si>
    <t>C0125_2</t>
  </si>
  <si>
    <t>No activity. Vertical pattern fell off disk, perhaps stopping exit and covering the view of the decision chamber. Video deleted</t>
  </si>
  <si>
    <t>C0137_2</t>
  </si>
  <si>
    <t>C0069_2 (12 MIN VIDEO, THINK THE SAME NIGHT AS C0137_2_</t>
  </si>
  <si>
    <t>this bee understood task (did not enter hole). While this sequence of data is very difficult to use for the binomial statistics, it can potentially be used in the turning distance data</t>
  </si>
  <si>
    <t>C0164_2</t>
  </si>
  <si>
    <t>C0165_2</t>
  </si>
  <si>
    <t>C0169</t>
  </si>
  <si>
    <t>C0173</t>
  </si>
  <si>
    <t>C0172</t>
  </si>
  <si>
    <t>C0171</t>
  </si>
  <si>
    <t>C0170</t>
  </si>
  <si>
    <t>C0067_2</t>
  </si>
  <si>
    <t>C0175</t>
  </si>
  <si>
    <t>C0174</t>
  </si>
  <si>
    <t>C0176</t>
  </si>
  <si>
    <t>C0178</t>
  </si>
  <si>
    <t>C0177</t>
  </si>
  <si>
    <t>forgot to turn on night mode. Video deleted</t>
  </si>
  <si>
    <t>C0180</t>
  </si>
  <si>
    <t>C0179</t>
  </si>
  <si>
    <t>0,1,0,0,1</t>
  </si>
  <si>
    <t>C0181</t>
  </si>
  <si>
    <t>C0182</t>
  </si>
  <si>
    <t>0,</t>
  </si>
  <si>
    <t>C0183</t>
  </si>
  <si>
    <t>Seems like a correct decision lathough she did cross the line</t>
  </si>
  <si>
    <t>C0184</t>
  </si>
  <si>
    <t>C0187</t>
  </si>
  <si>
    <t>C0186</t>
  </si>
  <si>
    <t>C0188</t>
  </si>
  <si>
    <t>C0189</t>
  </si>
  <si>
    <t>C0161_2</t>
  </si>
  <si>
    <t>C0162_2</t>
  </si>
  <si>
    <t>C0163_2</t>
  </si>
  <si>
    <t>C0166_2</t>
  </si>
  <si>
    <t>C0129_2</t>
  </si>
  <si>
    <t>C0190</t>
  </si>
  <si>
    <t>C0191</t>
  </si>
  <si>
    <t>C0192</t>
  </si>
  <si>
    <t>C0193</t>
  </si>
  <si>
    <t>C0194</t>
  </si>
  <si>
    <t>C0195</t>
  </si>
  <si>
    <t>C0196</t>
  </si>
  <si>
    <t>C0197</t>
  </si>
  <si>
    <t>C0198</t>
  </si>
  <si>
    <t>changed the arm angle, so bees behaved strangely. Ignore this data point</t>
  </si>
  <si>
    <t>arm_length_mm_minus_3mm_pattern</t>
  </si>
  <si>
    <t>cycle_width</t>
  </si>
  <si>
    <t>turning_distance_ignored</t>
  </si>
  <si>
    <t>cycle_width_mm</t>
  </si>
  <si>
    <t>distance_between_last_passed_and_next_landmark_(pixels)</t>
  </si>
  <si>
    <t>distance_of_last_passed_landmark_to_arm_start_(mm)</t>
  </si>
  <si>
    <t>dist_last_passed_landmark_to_bee_turn_point_(pixels)</t>
  </si>
  <si>
    <t>turning_distance_mm</t>
  </si>
  <si>
    <t>turning_freq</t>
  </si>
  <si>
    <t>C0126_2</t>
  </si>
  <si>
    <t>She didn’t try to enter wrong hole!!! Although she went the wrong way. She has learned and is ready for testing I reckion. Multiple decisions in this video. The second is wrong. will have to consider this as training. Unfortunately one of the patterns was left at position 1 while the other was at position 2. So I will label both as being at positiotn 1, as we don’t know which pattern they took the informatin from</t>
  </si>
  <si>
    <t>C0127_2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</si>
</sst>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400]h:mm:ss\ AM/PM"/>
  </numFmts>
  <fonts count="5" x14ac:knownFonts="1">
    <font>
      <sz val="12"/>
      <color theme="1"/>
      <name val="Calibri"/>
      <family val="2"/>
      <scheme val="minor"/>
    </font>
    <font>
      <sz val="8"/>
      <name val="Calibri"/>
      <family val="2"/>
      <scheme val="minor"/>
    </font>
    <font>
      <sz val="12"/>
      <color rgb="FFFF0000"/>
      <name val="Calibri"/>
      <family val="2"/>
      <scheme val="minor"/>
    </font>
    <font>
      <sz val="12"/>
      <color rgb="FF000000"/>
      <name val="Calibri"/>
      <family val="2"/>
      <scheme val="minor"/>
    </font>
    <font>
      <sz val="12"/>
      <color rgb="FF111111"/>
      <name val="Calibri"/>
      <family val="2"/>
      <scheme val="minor"/>
    </font>
  </fonts>
  <fills count="5">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FF0000"/>
        <bgColor indexed="64"/>
      </patternFill>
    </fill>
  </fills>
  <borders count="1">
    <border>
      <left/>
      <right/>
      <top/>
      <bottom/>
      <diagonal/>
    </border>
  </borders>
  <cellStyleXfs count="1">
    <xf numFmtId="0" fontId="0" fillId="0" borderId="0"/>
  </cellStyleXfs>
  <cellXfs count="44">
    <xf numFmtId="0" fontId="0" fillId="0" borderId="0" xfId="0"/>
    <xf numFmtId="0" fontId="0" fillId="0" borderId="0" xfId="0" applyAlignment="1">
      <alignment horizontal="left"/>
    </xf>
    <xf numFmtId="2" fontId="0" fillId="0" borderId="0" xfId="0" applyNumberFormat="1" applyAlignment="1">
      <alignment horizontal="left"/>
    </xf>
    <xf numFmtId="21" fontId="0" fillId="0" borderId="0" xfId="0" applyNumberFormat="1" applyAlignment="1">
      <alignment horizontal="left"/>
    </xf>
    <xf numFmtId="14" fontId="0" fillId="0" borderId="0" xfId="0" applyNumberFormat="1" applyAlignment="1">
      <alignment horizontal="left"/>
    </xf>
    <xf numFmtId="49" fontId="0" fillId="0" borderId="0" xfId="0" applyNumberFormat="1" applyAlignment="1">
      <alignment horizontal="left"/>
    </xf>
    <xf numFmtId="164" fontId="0" fillId="0" borderId="0" xfId="0" applyNumberFormat="1" applyAlignment="1">
      <alignment horizontal="left"/>
    </xf>
    <xf numFmtId="0" fontId="2" fillId="0" borderId="0" xfId="0" applyFont="1" applyAlignment="1">
      <alignment horizontal="left"/>
    </xf>
    <xf numFmtId="21" fontId="2" fillId="0" borderId="0" xfId="0" applyNumberFormat="1" applyFont="1" applyAlignment="1">
      <alignment horizontal="left"/>
    </xf>
    <xf numFmtId="14" fontId="2" fillId="0" borderId="0" xfId="0" applyNumberFormat="1" applyFont="1" applyAlignment="1">
      <alignment horizontal="left"/>
    </xf>
    <xf numFmtId="164" fontId="2" fillId="0" borderId="0" xfId="0" applyNumberFormat="1" applyFont="1" applyAlignment="1">
      <alignment horizontal="left"/>
    </xf>
    <xf numFmtId="49" fontId="2" fillId="0" borderId="0" xfId="0" applyNumberFormat="1" applyFont="1" applyAlignment="1">
      <alignment horizontal="left"/>
    </xf>
    <xf numFmtId="46" fontId="0" fillId="0" borderId="0" xfId="0" applyNumberFormat="1" applyAlignment="1">
      <alignment horizontal="left"/>
    </xf>
    <xf numFmtId="2" fontId="2" fillId="0" borderId="0" xfId="0" applyNumberFormat="1" applyFont="1" applyAlignment="1">
      <alignment horizontal="left"/>
    </xf>
    <xf numFmtId="21" fontId="4" fillId="0" borderId="0" xfId="0" applyNumberFormat="1" applyFont="1" applyAlignment="1">
      <alignment horizontal="left"/>
    </xf>
    <xf numFmtId="0" fontId="3" fillId="0" borderId="0" xfId="0" applyFont="1" applyAlignment="1">
      <alignment horizontal="left"/>
    </xf>
    <xf numFmtId="0" fontId="0" fillId="0" borderId="0" xfId="0" applyAlignment="1">
      <alignment horizontal="left" vertical="top"/>
    </xf>
    <xf numFmtId="0" fontId="3" fillId="0" borderId="0" xfId="0" applyFont="1"/>
    <xf numFmtId="14" fontId="0" fillId="0" borderId="0" xfId="0" applyNumberFormat="1"/>
    <xf numFmtId="0" fontId="0" fillId="2" borderId="0" xfId="0" applyFill="1"/>
    <xf numFmtId="0" fontId="2" fillId="0" borderId="0" xfId="0" quotePrefix="1" applyFont="1" applyAlignment="1">
      <alignment horizontal="left"/>
    </xf>
    <xf numFmtId="0" fontId="0" fillId="0" borderId="0" xfId="0" quotePrefix="1" applyAlignment="1">
      <alignment horizontal="left"/>
    </xf>
    <xf numFmtId="2" fontId="3" fillId="0" borderId="0" xfId="0" applyNumberFormat="1" applyFont="1" applyAlignment="1">
      <alignment horizontal="left"/>
    </xf>
    <xf numFmtId="14" fontId="3" fillId="0" borderId="0" xfId="0" applyNumberFormat="1" applyFont="1" applyAlignment="1">
      <alignment horizontal="left"/>
    </xf>
    <xf numFmtId="0" fontId="0" fillId="0" borderId="0" xfId="0" applyAlignment="1">
      <alignment horizontal="left" wrapText="1"/>
    </xf>
    <xf numFmtId="49" fontId="3" fillId="0" borderId="0" xfId="0" applyNumberFormat="1" applyFont="1" applyAlignment="1">
      <alignment horizontal="left"/>
    </xf>
    <xf numFmtId="21" fontId="3" fillId="0" borderId="0" xfId="0" applyNumberFormat="1" applyFont="1" applyAlignment="1">
      <alignment horizontal="left"/>
    </xf>
    <xf numFmtId="14" fontId="0" fillId="3" borderId="0" xfId="0" applyNumberFormat="1" applyFill="1" applyAlignment="1">
      <alignment horizontal="left"/>
    </xf>
    <xf numFmtId="0" fontId="0" fillId="2" borderId="0" xfId="0" applyFill="1" applyAlignment="1">
      <alignment horizontal="left"/>
    </xf>
    <xf numFmtId="49" fontId="0" fillId="2" borderId="0" xfId="0" applyNumberFormat="1" applyFill="1" applyAlignment="1">
      <alignment horizontal="left"/>
    </xf>
    <xf numFmtId="21" fontId="0" fillId="0" borderId="0" xfId="0" applyNumberFormat="1"/>
    <xf numFmtId="14" fontId="0" fillId="2" borderId="0" xfId="0" applyNumberFormat="1" applyFill="1" applyAlignment="1">
      <alignment horizontal="left"/>
    </xf>
    <xf numFmtId="0" fontId="0" fillId="0" borderId="0" xfId="0" applyAlignment="1">
      <alignment horizontal="left" shrinkToFit="1"/>
    </xf>
    <xf numFmtId="0" fontId="0" fillId="0" borderId="0" xfId="0" applyAlignment="1">
      <alignment shrinkToFit="1"/>
    </xf>
    <xf numFmtId="21" fontId="0" fillId="2" borderId="0" xfId="0" applyNumberFormat="1" applyFill="1" applyAlignment="1">
      <alignment horizontal="left"/>
    </xf>
    <xf numFmtId="2" fontId="0" fillId="2" borderId="0" xfId="0" applyNumberFormat="1" applyFill="1" applyAlignment="1">
      <alignment horizontal="left"/>
    </xf>
    <xf numFmtId="0" fontId="0" fillId="3" borderId="0" xfId="0" applyFill="1" applyAlignment="1">
      <alignment horizontal="left"/>
    </xf>
    <xf numFmtId="21" fontId="0" fillId="3" borderId="0" xfId="0" applyNumberFormat="1" applyFill="1" applyAlignment="1">
      <alignment horizontal="left"/>
    </xf>
    <xf numFmtId="2" fontId="0" fillId="3" borderId="0" xfId="0" applyNumberFormat="1" applyFill="1" applyAlignment="1">
      <alignment horizontal="left"/>
    </xf>
    <xf numFmtId="2" fontId="0" fillId="4" borderId="0" xfId="0" applyNumberFormat="1" applyFill="1" applyAlignment="1">
      <alignment horizontal="left"/>
    </xf>
    <xf numFmtId="0" fontId="0" fillId="4" borderId="0" xfId="0" applyFill="1" applyAlignment="1">
      <alignment horizontal="left"/>
    </xf>
    <xf numFmtId="2" fontId="3" fillId="4" borderId="0" xfId="0" applyNumberFormat="1" applyFont="1" applyFill="1" applyAlignment="1">
      <alignment horizontal="left"/>
    </xf>
    <xf numFmtId="21" fontId="0" fillId="4" borderId="0" xfId="0" applyNumberFormat="1" applyFill="1" applyAlignment="1">
      <alignment horizontal="left"/>
    </xf>
    <xf numFmtId="0" fontId="2" fillId="4" borderId="0" xfId="0" applyFont="1" applyFill="1" applyAlignment="1">
      <alignment horizontal="left"/>
    </xf>
  </cellXfs>
  <cellStyles count="1">
    <cellStyle name="Normal" xfId="0" builtinId="0"/>
  </cellStyles>
  <dxfs count="0"/>
  <tableStyles count="0" defaultTableStyle="TableStyleMedium2" defaultPivotStyle="PivotStyleLight16"/>
  <colors>
    <mruColors>
      <color rgb="FFFBFFB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revisionHeaders" Target="revisions/revisionHeader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usernames" Target="revisions/userNames1.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revisions/_rels/revisionHeaders.xml.rels><?xml version="1.0" encoding="UTF-8" standalone="yes"?>
<Relationships xmlns="http://schemas.openxmlformats.org/package/2006/relationships"><Relationship Id="rId3" Type="http://schemas.openxmlformats.org/officeDocument/2006/relationships/revisionLog" Target="revisionLog3.xml"/><Relationship Id="rId7" Type="http://schemas.openxmlformats.org/officeDocument/2006/relationships/revisionLog" Target="revisionLog7.xml"/><Relationship Id="rId2" Type="http://schemas.openxmlformats.org/officeDocument/2006/relationships/revisionLog" Target="revisionLog2.xml"/><Relationship Id="rId1" Type="http://schemas.openxmlformats.org/officeDocument/2006/relationships/revisionLog" Target="revisionLog1.xml"/><Relationship Id="rId6" Type="http://schemas.openxmlformats.org/officeDocument/2006/relationships/revisionLog" Target="revisionLog6.xml"/><Relationship Id="rId5" Type="http://schemas.openxmlformats.org/officeDocument/2006/relationships/revisionLog" Target="revisionLog5.xml"/><Relationship Id="rId4" Type="http://schemas.openxmlformats.org/officeDocument/2006/relationships/revisionLog" Target="revisionLog4.xml"/></Relationships>
</file>

<file path=xl/revisions/revisionHeaders.xml><?xml version="1.0" encoding="utf-8"?>
<headers xmlns="http://schemas.openxmlformats.org/spreadsheetml/2006/main" xmlns:r="http://schemas.openxmlformats.org/officeDocument/2006/relationships" xmlns:mc="http://schemas.openxmlformats.org/markup-compatibility/2006" xmlns:x14ac="http://schemas.microsoft.com/office/spreadsheetml/2009/9/ac" mc:Ignorable="x14ac" guid="{9AA92E24-C9BD-734B-A564-9966E12B2431}" diskRevisions="1" revisionId="1330" version="7">
  <header guid="{82DA5F4B-74D6-0F4E-8C3A-997C8B5A9649}" dateTime="2024-10-06T17:56:53" maxSheetId="9" userName="Andre Scheepers" r:id="rId1">
    <sheetIdMap count="8">
      <sheetId val="1"/>
      <sheetId val="2"/>
      <sheetId val="3"/>
      <sheetId val="4"/>
      <sheetId val="5"/>
      <sheetId val="6"/>
      <sheetId val="7"/>
      <sheetId val="8"/>
    </sheetIdMap>
  </header>
  <header guid="{2079D752-D1D4-7045-8499-0B922BD8D65D}" dateTime="2024-10-06T21:42:09" maxSheetId="9" userName="Andre Scheepers" r:id="rId2" minRId="1" maxRId="50">
    <sheetIdMap count="8">
      <sheetId val="1"/>
      <sheetId val="2"/>
      <sheetId val="3"/>
      <sheetId val="4"/>
      <sheetId val="5"/>
      <sheetId val="6"/>
      <sheetId val="7"/>
      <sheetId val="8"/>
    </sheetIdMap>
  </header>
  <header guid="{3EB342ED-86D2-BB40-AA76-8287C5EF6218}" dateTime="2024-10-06T21:42:56" maxSheetId="9" userName="Andre Scheepers" r:id="rId3" minRId="51" maxRId="53">
    <sheetIdMap count="8">
      <sheetId val="1"/>
      <sheetId val="2"/>
      <sheetId val="3"/>
      <sheetId val="4"/>
      <sheetId val="5"/>
      <sheetId val="6"/>
      <sheetId val="7"/>
      <sheetId val="8"/>
    </sheetIdMap>
  </header>
  <header guid="{CA1DC199-90D0-B44B-A584-B7049611C0AB}" dateTime="2024-10-06T21:56:15" maxSheetId="9" userName="Andre Scheepers" r:id="rId4" minRId="54" maxRId="82">
    <sheetIdMap count="8">
      <sheetId val="1"/>
      <sheetId val="2"/>
      <sheetId val="3"/>
      <sheetId val="4"/>
      <sheetId val="5"/>
      <sheetId val="6"/>
      <sheetId val="7"/>
      <sheetId val="8"/>
    </sheetIdMap>
  </header>
  <header guid="{99D9DD07-712B-8742-89CD-1D9151A47FA7}" dateTime="2025-03-14T14:16:39" maxSheetId="9" userName="Andre Scheepers" r:id="rId5" minRId="83" maxRId="84">
    <sheetIdMap count="8">
      <sheetId val="1"/>
      <sheetId val="2"/>
      <sheetId val="3"/>
      <sheetId val="4"/>
      <sheetId val="5"/>
      <sheetId val="6"/>
      <sheetId val="7"/>
      <sheetId val="8"/>
    </sheetIdMap>
  </header>
  <header guid="{39621D2D-CD13-4B43-B179-6F3F4790881F}" dateTime="2025-04-01T09:28:14" maxSheetId="9" userName="Andre Scheepers" r:id="rId6" minRId="85" maxRId="86">
    <sheetIdMap count="8">
      <sheetId val="1"/>
      <sheetId val="2"/>
      <sheetId val="3"/>
      <sheetId val="4"/>
      <sheetId val="5"/>
      <sheetId val="6"/>
      <sheetId val="7"/>
      <sheetId val="8"/>
    </sheetIdMap>
  </header>
  <header guid="{9AA92E24-C9BD-734B-A564-9966E12B2431}" dateTime="2025-05-05T14:18:46" maxSheetId="9" userName="Andre Scheepers" r:id="rId7" minRId="87" maxRId="1330">
    <sheetIdMap count="8">
      <sheetId val="1"/>
      <sheetId val="2"/>
      <sheetId val="4"/>
      <sheetId val="5"/>
      <sheetId val="6"/>
      <sheetId val="7"/>
      <sheetId val="8"/>
      <sheetId val="3"/>
    </sheetIdMap>
  </header>
</headers>
</file>

<file path=xl/revisions/revisionLog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file>

<file path=xl/revisions/revisionLog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1" sId="2" ref="A230:XFD230" action="deleteRow">
    <rfmt sheetId="2" xfDxf="1" sqref="A230:XFD230" start="0" length="0">
      <dxf>
        <fill>
          <patternFill patternType="solid">
            <bgColor rgb="FFFFFF00"/>
          </patternFill>
        </fill>
        <alignment horizontal="left"/>
      </dxf>
    </rfmt>
    <rcc rId="0" sId="2">
      <nc r="A230">
        <v>2</v>
      </nc>
    </rcc>
    <rcc rId="0" sId="2">
      <nc r="B230" t="inlineStr">
        <is>
          <t>2.8V</t>
        </is>
      </nc>
    </rcc>
    <rcc rId="0" sId="2">
      <nc r="C230">
        <v>1</v>
      </nc>
    </rcc>
    <rcc rId="0" sId="2">
      <nc r="D230" t="inlineStr">
        <is>
          <t>C0155_2</t>
        </is>
      </nc>
    </rcc>
    <rcc rId="0" sId="2">
      <nc r="E230" t="inlineStr">
        <is>
          <t>training</t>
        </is>
      </nc>
    </rcc>
    <rcc rId="0" sId="2" dxf="1" numFmtId="19">
      <nc r="F230">
        <v>45424</v>
      </nc>
      <ndxf>
        <numFmt numFmtId="19" formatCode="yyyy/mm/dd"/>
      </ndxf>
    </rcc>
    <rcc rId="0" sId="2" dxf="1">
      <nc r="G230">
        <f>H230 + K230</f>
      </nc>
      <ndxf>
        <numFmt numFmtId="26" formatCode="hh:mm:ss"/>
      </ndxf>
    </rcc>
    <rcc rId="0" sId="2" dxf="1" numFmtId="26">
      <nc r="H230">
        <v>0.22221064814814814</v>
      </nc>
      <ndxf>
        <numFmt numFmtId="26" formatCode="hh:mm:ss"/>
      </ndxf>
    </rcc>
    <rcc rId="0" sId="2" dxf="1" numFmtId="26">
      <nc r="I230">
        <v>8.2175925925925923E-3</v>
      </nc>
      <ndxf>
        <numFmt numFmtId="26" formatCode="hh:mm:ss"/>
      </ndxf>
    </rcc>
    <rcc rId="0" sId="2" dxf="1">
      <nc r="J230">
        <f>$H230 + $I230</f>
      </nc>
      <ndxf>
        <numFmt numFmtId="26" formatCode="hh:mm:ss"/>
      </ndxf>
    </rcc>
    <rcc rId="0" sId="2" dxf="1" numFmtId="26">
      <nc r="K230">
        <v>2.3738425925925927E-2</v>
      </nc>
      <ndxf>
        <numFmt numFmtId="26" formatCode="hh:mm:ss"/>
      </ndxf>
    </rcc>
    <rcc rId="0" sId="2">
      <nc r="L230">
        <v>1</v>
      </nc>
    </rcc>
    <rcc rId="0" sId="2">
      <nc r="M230" t="inlineStr">
        <is>
          <t>R</t>
        </is>
      </nc>
    </rcc>
    <rcc rId="0" sId="2">
      <nc r="N230">
        <v>1</v>
      </nc>
    </rcc>
    <rcc rId="0" sId="2">
      <nc r="O230" t="inlineStr">
        <is>
          <t>R</t>
        </is>
      </nc>
    </rcc>
    <rcc rId="0" sId="2">
      <nc r="P230">
        <v>0.1</v>
      </nc>
    </rcc>
    <rcc rId="0" sId="2">
      <nc r="Q230">
        <v>0.1</v>
      </nc>
    </rcc>
    <rcc rId="0" sId="2">
      <nc r="R230">
        <v>0</v>
      </nc>
    </rcc>
    <rcc rId="0" sId="2" dxf="1">
      <nc r="U230" t="inlineStr">
        <is>
          <t>NA</t>
        </is>
      </nc>
      <ndxf>
        <numFmt numFmtId="2" formatCode="0.00"/>
      </ndxf>
    </rcc>
    <rcc rId="0" sId="2" dxf="1">
      <nc r="V230" t="inlineStr">
        <is>
          <t>didn’t setup light meter</t>
        </is>
      </nc>
      <ndxf>
        <numFmt numFmtId="2" formatCode="0.00"/>
      </ndxf>
    </rcc>
    <rfmt sheetId="2" sqref="W230" start="0" length="0">
      <dxf>
        <numFmt numFmtId="2" formatCode="0.00"/>
      </dxf>
    </rfmt>
    <rfmt sheetId="2" sqref="X230" start="0" length="0">
      <dxf>
        <numFmt numFmtId="2" formatCode="0.00"/>
      </dxf>
    </rfmt>
  </rrc>
  <rrc rId="2" sId="2" ref="A230:XFD230" action="deleteRow">
    <rfmt sheetId="2" xfDxf="1" sqref="A230:XFD230" start="0" length="0">
      <dxf>
        <fill>
          <patternFill patternType="solid">
            <bgColor rgb="FFFFFF00"/>
          </patternFill>
        </fill>
        <alignment horizontal="left"/>
      </dxf>
    </rfmt>
    <rcc rId="0" sId="2">
      <nc r="A230">
        <v>2</v>
      </nc>
    </rcc>
    <rcc rId="0" sId="2">
      <nc r="B230" t="inlineStr">
        <is>
          <t>2.9H</t>
        </is>
      </nc>
    </rcc>
    <rcc rId="0" sId="2">
      <nc r="C230">
        <v>1</v>
      </nc>
    </rcc>
    <rcc rId="0" sId="2">
      <nc r="D230" t="inlineStr">
        <is>
          <t>C0155_2</t>
        </is>
      </nc>
    </rcc>
    <rcc rId="0" sId="2">
      <nc r="E230" t="inlineStr">
        <is>
          <t>training</t>
        </is>
      </nc>
    </rcc>
    <rcc rId="0" sId="2" dxf="1" numFmtId="19">
      <nc r="F230">
        <v>45424</v>
      </nc>
      <ndxf>
        <numFmt numFmtId="19" formatCode="yyyy/mm/dd"/>
      </ndxf>
    </rcc>
    <rcc rId="0" sId="2" dxf="1">
      <nc r="G230">
        <f>H230 + K230</f>
      </nc>
      <ndxf>
        <numFmt numFmtId="26" formatCode="hh:mm:ss"/>
      </ndxf>
    </rcc>
    <rcc rId="0" sId="2" dxf="1" numFmtId="26">
      <nc r="H230">
        <v>0.22221064814814814</v>
      </nc>
      <ndxf>
        <numFmt numFmtId="26" formatCode="hh:mm:ss"/>
      </ndxf>
    </rcc>
    <rcc rId="0" sId="2" dxf="1">
      <nc r="I230" t="inlineStr">
        <is>
          <t>NA</t>
        </is>
      </nc>
      <ndxf>
        <numFmt numFmtId="26" formatCode="hh:mm:ss"/>
      </ndxf>
    </rcc>
    <rcc rId="0" sId="2">
      <nc r="J230" t="inlineStr">
        <is>
          <t>NA</t>
        </is>
      </nc>
    </rcc>
    <rcc rId="0" sId="2" dxf="1" numFmtId="26">
      <nc r="K230">
        <v>1.2812499999999999E-2</v>
      </nc>
      <ndxf>
        <numFmt numFmtId="26" formatCode="hh:mm:ss"/>
      </ndxf>
    </rcc>
    <rcc rId="0" sId="2">
      <nc r="L230">
        <v>1</v>
      </nc>
    </rcc>
    <rcc rId="0" sId="2">
      <nc r="M230" t="inlineStr">
        <is>
          <t>L</t>
        </is>
      </nc>
    </rcc>
    <rcc rId="0" sId="2">
      <nc r="N230">
        <v>1</v>
      </nc>
    </rcc>
    <rcc rId="0" sId="2">
      <nc r="O230" t="inlineStr">
        <is>
          <t>L</t>
        </is>
      </nc>
    </rcc>
    <rcc rId="0" sId="2">
      <nc r="P230">
        <v>0.1</v>
      </nc>
    </rcc>
    <rcc rId="0" sId="2">
      <nc r="Q230">
        <v>0.1</v>
      </nc>
    </rcc>
    <rcc rId="0" sId="2">
      <nc r="R230">
        <v>0</v>
      </nc>
    </rcc>
    <rcc rId="0" sId="2" dxf="1">
      <nc r="U230" t="inlineStr">
        <is>
          <t>NA</t>
        </is>
      </nc>
      <ndxf>
        <numFmt numFmtId="2" formatCode="0.00"/>
      </ndxf>
    </rcc>
    <rcc rId="0" sId="2" dxf="1">
      <nc r="V230" t="inlineStr">
        <is>
          <t>didn’t setup light meter</t>
        </is>
      </nc>
      <ndxf>
        <numFmt numFmtId="2" formatCode="0.00"/>
      </ndxf>
    </rcc>
    <rfmt sheetId="2" sqref="W230" start="0" length="0">
      <dxf>
        <numFmt numFmtId="2" formatCode="0.00"/>
      </dxf>
    </rfmt>
    <rfmt sheetId="2" sqref="X230" start="0" length="0">
      <dxf>
        <numFmt numFmtId="2" formatCode="0.00"/>
      </dxf>
    </rfmt>
  </rrc>
  <rrc rId="3" sId="2" ref="A230:XFD230" action="deleteRow">
    <rfmt sheetId="2" xfDxf="1" sqref="A230:XFD230" start="0" length="0">
      <dxf>
        <fill>
          <patternFill patternType="solid">
            <bgColor rgb="FFFFFF00"/>
          </patternFill>
        </fill>
        <alignment horizontal="left"/>
      </dxf>
    </rfmt>
    <rcc rId="0" sId="2">
      <nc r="A230">
        <v>2</v>
      </nc>
    </rcc>
    <rcc rId="0" sId="2">
      <nc r="B230" t="inlineStr">
        <is>
          <t>2.9H</t>
        </is>
      </nc>
    </rcc>
    <rcc rId="0" sId="2">
      <nc r="C230">
        <v>2</v>
      </nc>
    </rcc>
    <rcc rId="0" sId="2">
      <nc r="D230" t="inlineStr">
        <is>
          <t>C0155_2</t>
        </is>
      </nc>
    </rcc>
    <rcc rId="0" sId="2">
      <nc r="E230" t="inlineStr">
        <is>
          <t>training</t>
        </is>
      </nc>
    </rcc>
    <rcc rId="0" sId="2" dxf="1" numFmtId="19">
      <nc r="F230">
        <v>45424</v>
      </nc>
      <ndxf>
        <numFmt numFmtId="19" formatCode="yyyy/mm/dd"/>
      </ndxf>
    </rcc>
    <rcc rId="0" sId="2" dxf="1">
      <nc r="G230">
        <f>H230 + K230</f>
      </nc>
      <ndxf>
        <numFmt numFmtId="26" formatCode="hh:mm:ss"/>
      </ndxf>
    </rcc>
    <rcc rId="0" sId="2" dxf="1" numFmtId="26">
      <nc r="H230">
        <v>0.22221064814814814</v>
      </nc>
      <ndxf>
        <numFmt numFmtId="26" formatCode="hh:mm:ss"/>
      </ndxf>
    </rcc>
    <rcc rId="0" sId="2" dxf="1" numFmtId="26">
      <nc r="I230">
        <v>1.3321759259259259E-2</v>
      </nc>
      <ndxf>
        <numFmt numFmtId="26" formatCode="hh:mm:ss"/>
      </ndxf>
    </rcc>
    <rcc rId="0" sId="2" dxf="1">
      <nc r="J230">
        <f>$H230 + $I230</f>
      </nc>
      <ndxf>
        <numFmt numFmtId="26" formatCode="hh:mm:ss"/>
      </ndxf>
    </rcc>
    <rcc rId="0" sId="2" dxf="1" numFmtId="26">
      <nc r="K230">
        <v>2.3425925925925926E-2</v>
      </nc>
      <ndxf>
        <numFmt numFmtId="26" formatCode="hh:mm:ss"/>
      </ndxf>
    </rcc>
    <rcc rId="0" sId="2">
      <nc r="L230">
        <v>1</v>
      </nc>
    </rcc>
    <rcc rId="0" sId="2">
      <nc r="M230" t="inlineStr">
        <is>
          <t>L</t>
        </is>
      </nc>
    </rcc>
    <rcc rId="0" sId="2">
      <nc r="N230">
        <v>1</v>
      </nc>
    </rcc>
    <rcc rId="0" sId="2">
      <nc r="O230" t="inlineStr">
        <is>
          <t>L</t>
        </is>
      </nc>
    </rcc>
    <rcc rId="0" sId="2">
      <nc r="P230">
        <v>0.1</v>
      </nc>
    </rcc>
    <rcc rId="0" sId="2">
      <nc r="Q230">
        <v>0.1</v>
      </nc>
    </rcc>
    <rcc rId="0" sId="2">
      <nc r="R230">
        <v>1</v>
      </nc>
    </rcc>
    <rcc rId="0" sId="2">
      <nc r="T230" t="inlineStr">
        <is>
          <t>will have to consider this as training. Unfortunately one of the patterns was left at position 1 while the other was at position 2. So I will label both as being at positiotn 1, as we don’t know which pattern they took the informatin from</t>
        </is>
      </nc>
    </rcc>
    <rcc rId="0" sId="2" dxf="1">
      <nc r="U230" t="inlineStr">
        <is>
          <t>NA</t>
        </is>
      </nc>
      <ndxf>
        <numFmt numFmtId="2" formatCode="0.00"/>
      </ndxf>
    </rcc>
    <rcc rId="0" sId="2" dxf="1">
      <nc r="V230" t="inlineStr">
        <is>
          <t>didn’t setup light meter</t>
        </is>
      </nc>
      <ndxf>
        <numFmt numFmtId="2" formatCode="0.00"/>
      </ndxf>
    </rcc>
    <rfmt sheetId="2" sqref="W230" start="0" length="0">
      <dxf>
        <numFmt numFmtId="2" formatCode="0.00"/>
      </dxf>
    </rfmt>
    <rfmt sheetId="2" sqref="X230" start="0" length="0">
      <dxf>
        <numFmt numFmtId="2" formatCode="0.00"/>
      </dxf>
    </rfmt>
  </rrc>
  <rcc rId="4" sId="2">
    <oc r="D102" t="inlineStr">
      <is>
        <t>C0127</t>
      </is>
    </oc>
    <nc r="D102" t="inlineStr">
      <is>
        <t>C0127_2</t>
      </is>
    </nc>
  </rcc>
  <rdn rId="5" name="_xlfn.TEXTSPLIT" function="1" oldFunction="1" hidden="1" oldHidden="1">
    <formula>#NAME?</formula>
  </rdn>
  <rcc rId="6" sId="5">
    <nc r="A2">
      <f>_xlfn.TEXTSPLIT($B2, "_")</f>
    </nc>
  </rcc>
  <rcc rId="7" sId="5">
    <nc r="A3">
      <f>_xlfn.TEXTSPLIT($B3, "_")</f>
    </nc>
  </rcc>
  <rcc rId="8" sId="5">
    <nc r="A4">
      <f>_xlfn.TEXTSPLIT($B4, "_")</f>
    </nc>
  </rcc>
  <rcc rId="9" sId="5">
    <nc r="A5">
      <f>_xlfn.TEXTSPLIT($B5, "_")</f>
    </nc>
  </rcc>
  <rcc rId="10" sId="5">
    <nc r="A6">
      <f>_xlfn.TEXTSPLIT($B6, "_")</f>
    </nc>
  </rcc>
  <rcc rId="11" sId="5">
    <nc r="A7">
      <f>_xlfn.TEXTSPLIT($B7, "_")</f>
    </nc>
  </rcc>
  <rcc rId="12" sId="5">
    <nc r="A8">
      <f>_xlfn.TEXTSPLIT($B8, "_")</f>
    </nc>
  </rcc>
  <rcc rId="13" sId="5">
    <nc r="A9">
      <f>_xlfn.TEXTSPLIT($B9, "_")</f>
    </nc>
  </rcc>
  <rcc rId="14" sId="5">
    <nc r="A10">
      <f>_xlfn.TEXTSPLIT($B10, "_")</f>
    </nc>
  </rcc>
  <rcc rId="15" sId="5">
    <nc r="A11">
      <f>_xlfn.TEXTSPLIT($B11, "_")</f>
    </nc>
  </rcc>
  <rcc rId="16" sId="5">
    <nc r="A12">
      <f>_xlfn.TEXTSPLIT($B12, "_")</f>
    </nc>
  </rcc>
  <rcc rId="17" sId="5">
    <nc r="A13">
      <f>_xlfn.TEXTSPLIT($B13, "_")</f>
    </nc>
  </rcc>
  <rcc rId="18" sId="5">
    <nc r="A14">
      <f>_xlfn.TEXTSPLIT($B14, "_")</f>
    </nc>
  </rcc>
  <rcc rId="19" sId="5">
    <nc r="A15">
      <f>_xlfn.TEXTSPLIT($B15, "_")</f>
    </nc>
  </rcc>
  <rcc rId="20" sId="5">
    <nc r="A16">
      <f>_xlfn.TEXTSPLIT($B16, "_")</f>
    </nc>
  </rcc>
  <rcc rId="21" sId="5">
    <nc r="A17">
      <f>_xlfn.TEXTSPLIT($B17, "_")</f>
    </nc>
  </rcc>
  <rcc rId="22" sId="5">
    <nc r="A18">
      <f>_xlfn.TEXTSPLIT($B18, "_")</f>
    </nc>
  </rcc>
  <rcc rId="23" sId="5">
    <nc r="A19">
      <f>_xlfn.TEXTSPLIT($B19, "_")</f>
    </nc>
  </rcc>
  <rcc rId="24" sId="5">
    <nc r="A20">
      <f>_xlfn.TEXTSPLIT($B20, "_")</f>
    </nc>
  </rcc>
  <rcc rId="25" sId="5">
    <nc r="A21">
      <f>_xlfn.TEXTSPLIT($B21, "_")</f>
    </nc>
  </rcc>
  <rcc rId="26" sId="5">
    <nc r="A22">
      <f>_xlfn.TEXTSPLIT($B22, "_")</f>
    </nc>
  </rcc>
  <rcc rId="27" sId="5">
    <nc r="A23">
      <f>_xlfn.TEXTSPLIT($B23, "_")</f>
    </nc>
  </rcc>
  <rcc rId="28" sId="5">
    <nc r="A24">
      <f>_xlfn.TEXTSPLIT($B24, "_")</f>
    </nc>
  </rcc>
  <rcc rId="29" sId="5">
    <nc r="A25">
      <f>_xlfn.TEXTSPLIT($B25, "_")</f>
    </nc>
  </rcc>
  <rcc rId="30" sId="5">
    <nc r="A26">
      <f>_xlfn.TEXTSPLIT($B26, "_")</f>
    </nc>
  </rcc>
  <rcc rId="31" sId="5">
    <nc r="A27">
      <f>_xlfn.TEXTSPLIT($B27, "_")</f>
    </nc>
  </rcc>
  <rcc rId="32" sId="5">
    <nc r="A28">
      <f>_xlfn.TEXTSPLIT($B28, "_")</f>
    </nc>
  </rcc>
  <rcc rId="33" sId="5">
    <nc r="A29">
      <f>_xlfn.TEXTSPLIT($B29, "_")</f>
    </nc>
  </rcc>
  <rcc rId="34" sId="5">
    <nc r="A30">
      <f>_xlfn.TEXTSPLIT($B30, "_")</f>
    </nc>
  </rcc>
  <rcc rId="35" sId="5">
    <nc r="A31">
      <f>_xlfn.TEXTSPLIT($B31, "_")</f>
    </nc>
  </rcc>
  <rcc rId="36" sId="5">
    <nc r="A32">
      <f>_xlfn.TEXTSPLIT($B32, "_")</f>
    </nc>
  </rcc>
  <rcc rId="37" sId="5">
    <nc r="A33">
      <f>_xlfn.TEXTSPLIT($B33, "_")</f>
    </nc>
  </rcc>
  <rcc rId="38" sId="5">
    <nc r="A34">
      <f>_xlfn.TEXTSPLIT($B34, "_")</f>
    </nc>
  </rcc>
  <rcc rId="39" sId="5">
    <nc r="A35">
      <f>_xlfn.TEXTSPLIT($B35, "_")</f>
    </nc>
  </rcc>
  <rcc rId="40" sId="5">
    <nc r="A36">
      <f>_xlfn.TEXTSPLIT($B36, "_")</f>
    </nc>
  </rcc>
  <rcc rId="41" sId="5">
    <nc r="A37">
      <f>_xlfn.TEXTSPLIT($B37, "_")</f>
    </nc>
  </rcc>
  <rcc rId="42" sId="5">
    <nc r="A38">
      <f>_xlfn.TEXTSPLIT($B38, "_")</f>
    </nc>
  </rcc>
  <rcc rId="43" sId="5">
    <nc r="A39">
      <f>_xlfn.TEXTSPLIT($B39, "_")</f>
    </nc>
  </rcc>
  <rcc rId="44" sId="5">
    <nc r="A40">
      <f>_xlfn.TEXTSPLIT($B40, "_")</f>
    </nc>
  </rcc>
  <rcc rId="45" sId="5">
    <nc r="A41">
      <f>_xlfn.TEXTSPLIT($B41, "_")</f>
    </nc>
  </rcc>
  <rcc rId="46" sId="5">
    <nc r="A42">
      <f>_xlfn.TEXTSPLIT($B42, "_")</f>
    </nc>
  </rcc>
  <rcc rId="47" sId="5">
    <nc r="A43">
      <f>_xlfn.TEXTSPLIT($B43, "_")</f>
    </nc>
  </rcc>
  <rcc rId="48" sId="5">
    <nc r="A44">
      <f>_xlfn.TEXTSPLIT($B44, "_")</f>
    </nc>
  </rcc>
  <rcc rId="49" sId="5">
    <nc r="A45">
      <f>_xlfn.TEXTSPLIT($B45, "_")</f>
    </nc>
  </rcc>
  <rcc rId="50" sId="5">
    <nc r="A46">
      <f>_xlfn.TEXTSPLIT($B46, "_")</f>
    </nc>
  </rcc>
</revisions>
</file>

<file path=xl/revisions/revisionLog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51" sId="5" ref="D1:D1048576" action="insertCol"/>
  <rm rId="52" sheetId="5" source="F1:F1048576" destination="D1:D1048576" sourceSheetId="5">
    <rfmt sheetId="5" xfDxf="1" sqref="D1:D1048576" start="0" length="0"/>
    <rfmt sheetId="5" sqref="D1" start="0" length="0">
      <dxf>
        <alignment horizontal="left" vertical="top"/>
      </dxf>
    </rfmt>
    <rfmt sheetId="5" sqref="D2" start="0" length="0">
      <dxf>
        <alignment horizontal="left" vertical="top"/>
      </dxf>
    </rfmt>
    <rfmt sheetId="5" sqref="D3" start="0" length="0">
      <dxf>
        <alignment horizontal="left" vertical="top"/>
      </dxf>
    </rfmt>
    <rfmt sheetId="5" sqref="D4" start="0" length="0">
      <dxf>
        <alignment horizontal="left" vertical="top"/>
      </dxf>
    </rfmt>
    <rfmt sheetId="5" sqref="D5" start="0" length="0">
      <dxf>
        <alignment horizontal="left" vertical="top"/>
      </dxf>
    </rfmt>
    <rfmt sheetId="5" sqref="D6" start="0" length="0">
      <dxf>
        <alignment horizontal="left" vertical="top"/>
      </dxf>
    </rfmt>
    <rfmt sheetId="5" sqref="D7" start="0" length="0">
      <dxf>
        <alignment horizontal="left" vertical="top"/>
      </dxf>
    </rfmt>
    <rfmt sheetId="5" sqref="D8" start="0" length="0">
      <dxf>
        <alignment horizontal="left" vertical="top"/>
      </dxf>
    </rfmt>
    <rfmt sheetId="5" sqref="D9" start="0" length="0">
      <dxf>
        <alignment horizontal="left" vertical="top"/>
      </dxf>
    </rfmt>
    <rfmt sheetId="5" sqref="D10" start="0" length="0">
      <dxf>
        <alignment horizontal="left" vertical="top"/>
      </dxf>
    </rfmt>
    <rfmt sheetId="5" sqref="D11" start="0" length="0">
      <dxf>
        <alignment horizontal="left" vertical="top"/>
      </dxf>
    </rfmt>
    <rfmt sheetId="5" sqref="D12" start="0" length="0">
      <dxf>
        <alignment horizontal="left" vertical="top"/>
      </dxf>
    </rfmt>
    <rfmt sheetId="5" sqref="D13" start="0" length="0">
      <dxf>
        <alignment horizontal="left" vertical="top"/>
      </dxf>
    </rfmt>
    <rfmt sheetId="5" sqref="D14" start="0" length="0">
      <dxf>
        <alignment horizontal="left" vertical="top"/>
      </dxf>
    </rfmt>
    <rfmt sheetId="5" sqref="D15" start="0" length="0">
      <dxf>
        <alignment horizontal="left" vertical="top"/>
      </dxf>
    </rfmt>
    <rfmt sheetId="5" sqref="D16" start="0" length="0">
      <dxf>
        <alignment horizontal="left" vertical="top"/>
      </dxf>
    </rfmt>
    <rfmt sheetId="5" sqref="D17" start="0" length="0">
      <dxf>
        <alignment horizontal="left" vertical="top"/>
      </dxf>
    </rfmt>
    <rfmt sheetId="5" sqref="D18" start="0" length="0">
      <dxf>
        <alignment horizontal="left" vertical="top"/>
      </dxf>
    </rfmt>
    <rfmt sheetId="5" sqref="D19" start="0" length="0">
      <dxf>
        <alignment horizontal="left" vertical="top"/>
      </dxf>
    </rfmt>
    <rfmt sheetId="5" sqref="D20" start="0" length="0">
      <dxf>
        <alignment horizontal="left" vertical="top"/>
      </dxf>
    </rfmt>
    <rfmt sheetId="5" sqref="D21" start="0" length="0">
      <dxf>
        <alignment horizontal="left" vertical="top"/>
      </dxf>
    </rfmt>
    <rfmt sheetId="5" sqref="D22" start="0" length="0">
      <dxf>
        <alignment horizontal="left" vertical="top"/>
      </dxf>
    </rfmt>
    <rfmt sheetId="5" sqref="D23" start="0" length="0">
      <dxf>
        <alignment horizontal="left" vertical="top"/>
      </dxf>
    </rfmt>
    <rfmt sheetId="5" sqref="D24" start="0" length="0">
      <dxf>
        <alignment horizontal="left" vertical="top"/>
      </dxf>
    </rfmt>
    <rfmt sheetId="5" sqref="D25" start="0" length="0">
      <dxf>
        <alignment horizontal="left" vertical="top"/>
      </dxf>
    </rfmt>
    <rfmt sheetId="5" sqref="D26" start="0" length="0">
      <dxf>
        <alignment horizontal="left" vertical="top"/>
      </dxf>
    </rfmt>
    <rfmt sheetId="5" sqref="D27" start="0" length="0">
      <dxf>
        <alignment horizontal="left" vertical="top"/>
      </dxf>
    </rfmt>
    <rfmt sheetId="5" sqref="D28" start="0" length="0">
      <dxf>
        <alignment horizontal="left" vertical="top"/>
      </dxf>
    </rfmt>
    <rfmt sheetId="5" sqref="D29" start="0" length="0">
      <dxf>
        <alignment horizontal="left" vertical="top"/>
      </dxf>
    </rfmt>
    <rfmt sheetId="5" sqref="D30" start="0" length="0">
      <dxf>
        <alignment horizontal="left" vertical="top"/>
      </dxf>
    </rfmt>
    <rfmt sheetId="5" sqref="D31" start="0" length="0">
      <dxf>
        <alignment horizontal="left" vertical="top"/>
      </dxf>
    </rfmt>
    <rfmt sheetId="5" sqref="D32" start="0" length="0">
      <dxf>
        <alignment horizontal="left" vertical="top"/>
      </dxf>
    </rfmt>
    <rfmt sheetId="5" sqref="D33" start="0" length="0">
      <dxf>
        <alignment horizontal="left" vertical="top"/>
      </dxf>
    </rfmt>
    <rfmt sheetId="5" sqref="D34" start="0" length="0">
      <dxf>
        <alignment horizontal="left" vertical="top"/>
      </dxf>
    </rfmt>
    <rfmt sheetId="5" sqref="D35" start="0" length="0">
      <dxf>
        <alignment horizontal="left" vertical="top"/>
      </dxf>
    </rfmt>
    <rfmt sheetId="5" sqref="D36" start="0" length="0">
      <dxf>
        <alignment horizontal="left" vertical="top"/>
      </dxf>
    </rfmt>
    <rfmt sheetId="5" sqref="D37" start="0" length="0">
      <dxf>
        <alignment horizontal="left" vertical="top"/>
      </dxf>
    </rfmt>
    <rfmt sheetId="5" sqref="D38" start="0" length="0">
      <dxf>
        <alignment horizontal="left" vertical="top"/>
      </dxf>
    </rfmt>
    <rfmt sheetId="5" sqref="D39" start="0" length="0">
      <dxf>
        <alignment horizontal="left" vertical="top"/>
      </dxf>
    </rfmt>
    <rfmt sheetId="5" sqref="D40" start="0" length="0">
      <dxf>
        <alignment horizontal="left" vertical="top"/>
      </dxf>
    </rfmt>
    <rfmt sheetId="5" sqref="D41" start="0" length="0">
      <dxf>
        <alignment horizontal="left" vertical="top"/>
      </dxf>
    </rfmt>
    <rfmt sheetId="5" sqref="D42" start="0" length="0">
      <dxf>
        <alignment horizontal="left" vertical="top"/>
      </dxf>
    </rfmt>
    <rfmt sheetId="5" sqref="D43" start="0" length="0">
      <dxf>
        <alignment horizontal="left" vertical="top"/>
      </dxf>
    </rfmt>
    <rfmt sheetId="5" sqref="D44" start="0" length="0">
      <dxf>
        <alignment horizontal="left" vertical="top"/>
      </dxf>
    </rfmt>
    <rfmt sheetId="5" sqref="D45" start="0" length="0">
      <dxf>
        <alignment horizontal="left" vertical="top"/>
      </dxf>
    </rfmt>
    <rfmt sheetId="5" sqref="D46" start="0" length="0">
      <dxf>
        <alignment horizontal="left" vertical="top"/>
      </dxf>
    </rfmt>
  </rm>
  <rrc rId="53" sId="5" ref="F1:F1048576" action="deleteCol">
    <rfmt sheetId="5" xfDxf="1" sqref="F1:F1048576" start="0" length="0"/>
  </rrc>
  <rcv guid="{8A75D892-44B4-104C-BB94-8EB0D0E43396}" action="delete"/>
  <rcv guid="{8A75D892-44B4-104C-BB94-8EB0D0E43396}" action="add"/>
</revisions>
</file>

<file path=xl/revisions/revisionLog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54" sId="5" ref="A28:XFD28" action="insertRow"/>
  <rm rId="55" sheetId="5" source="A26:XFD26" destination="A28:XFD28" sourceSheetId="5">
    <rfmt sheetId="5" xfDxf="1" sqref="A28:XFD28" start="0" length="0"/>
    <rfmt sheetId="5" sqref="B28" start="0" length="0">
      <dxf>
        <alignment horizontal="left" vertical="top"/>
      </dxf>
    </rfmt>
    <rfmt sheetId="5" sqref="C28" start="0" length="0">
      <dxf>
        <alignment horizontal="left" vertical="top"/>
      </dxf>
    </rfmt>
    <rfmt sheetId="5" sqref="D28" start="0" length="0">
      <dxf>
        <alignment horizontal="left" vertical="top"/>
      </dxf>
    </rfmt>
    <rfmt sheetId="5" sqref="E28" start="0" length="0">
      <dxf>
        <alignment horizontal="left" vertical="top"/>
      </dxf>
    </rfmt>
    <rfmt sheetId="5" sqref="F28" start="0" length="0">
      <dxf>
        <alignment horizontal="left" vertical="top"/>
      </dxf>
    </rfmt>
    <rfmt sheetId="5" sqref="G28" start="0" length="0">
      <dxf>
        <alignment horizontal="left" vertical="top"/>
      </dxf>
    </rfmt>
    <rfmt sheetId="5" sqref="H28" start="0" length="0">
      <dxf>
        <alignment horizontal="left" vertical="top"/>
      </dxf>
    </rfmt>
    <rfmt sheetId="5" sqref="I28" start="0" length="0">
      <dxf>
        <alignment horizontal="left" vertical="top"/>
      </dxf>
    </rfmt>
    <rfmt sheetId="5" sqref="J28" start="0" length="0">
      <dxf>
        <alignment horizontal="left" vertical="top"/>
      </dxf>
    </rfmt>
    <rfmt sheetId="5" sqref="K28" start="0" length="0">
      <dxf>
        <alignment horizontal="left" vertical="top"/>
      </dxf>
    </rfmt>
    <rfmt sheetId="5" sqref="L28" start="0" length="0">
      <dxf>
        <alignment horizontal="left" vertical="top"/>
      </dxf>
    </rfmt>
    <rfmt sheetId="5" sqref="M28" start="0" length="0">
      <dxf>
        <alignment horizontal="left" vertical="top"/>
      </dxf>
    </rfmt>
    <rfmt sheetId="5" sqref="N28" start="0" length="0">
      <dxf>
        <alignment vertical="top" shrinkToFit="1"/>
      </dxf>
    </rfmt>
    <rfmt sheetId="5" sqref="O28" start="0" length="0">
      <dxf>
        <alignment horizontal="left" vertical="top" shrinkToFit="1"/>
      </dxf>
    </rfmt>
  </rm>
  <rrc rId="56" sId="5" ref="A26:XFD26" action="deleteRow">
    <rfmt sheetId="5" xfDxf="1" sqref="A26:XFD26" start="0" length="0"/>
    <rfmt sheetId="5" sqref="N26" start="0" length="0">
      <dxf>
        <alignment vertical="top" shrinkToFit="1"/>
      </dxf>
    </rfmt>
    <rfmt sheetId="5" sqref="O26" start="0" length="0">
      <dxf>
        <alignment vertical="top" shrinkToFit="1"/>
      </dxf>
    </rfmt>
  </rrc>
  <rrc rId="57" sId="5" ref="A1:A1048576" action="insertCol"/>
  <rm rId="58" sheetId="5" source="D1:D1048576" destination="A1:A1048576" sourceSheetId="5">
    <rfmt sheetId="5" xfDxf="1" sqref="A1:A1048576" start="0" length="0"/>
  </rm>
  <rrc rId="59" sId="5" ref="D1:D1048576" action="deleteCol">
    <rfmt sheetId="5" xfDxf="1" sqref="D1:D1048576" start="0" length="0"/>
  </rrc>
  <rrc rId="60" sId="5" ref="B1:B1048576" action="insertCol"/>
  <rm rId="61" sheetId="5" source="E1:E1048576" destination="B1:B1048576" sourceSheetId="5">
    <rfmt sheetId="5" xfDxf="1" sqref="B1:B1048576" start="0" length="0"/>
    <rfmt sheetId="5" sqref="B1" start="0" length="0">
      <dxf>
        <alignment horizontal="left" vertical="top"/>
      </dxf>
    </rfmt>
    <rfmt sheetId="5" sqref="B2" start="0" length="0">
      <dxf>
        <alignment horizontal="left" vertical="top"/>
      </dxf>
    </rfmt>
    <rfmt sheetId="5" sqref="B3" start="0" length="0">
      <dxf>
        <alignment horizontal="left" vertical="top"/>
      </dxf>
    </rfmt>
    <rfmt sheetId="5" sqref="B4" start="0" length="0">
      <dxf>
        <alignment horizontal="left" vertical="top"/>
      </dxf>
    </rfmt>
    <rfmt sheetId="5" sqref="B5" start="0" length="0">
      <dxf>
        <alignment horizontal="left" vertical="top"/>
      </dxf>
    </rfmt>
    <rfmt sheetId="5" sqref="B6" start="0" length="0">
      <dxf>
        <alignment horizontal="left" vertical="top"/>
      </dxf>
    </rfmt>
    <rfmt sheetId="5" sqref="B7" start="0" length="0">
      <dxf>
        <alignment horizontal="left" vertical="top"/>
      </dxf>
    </rfmt>
    <rfmt sheetId="5" sqref="B8" start="0" length="0">
      <dxf>
        <alignment horizontal="left" vertical="top"/>
      </dxf>
    </rfmt>
    <rfmt sheetId="5" sqref="B9" start="0" length="0">
      <dxf>
        <alignment horizontal="left" vertical="top"/>
      </dxf>
    </rfmt>
    <rfmt sheetId="5" sqref="B10" start="0" length="0">
      <dxf>
        <alignment horizontal="left" vertical="top"/>
      </dxf>
    </rfmt>
    <rfmt sheetId="5" sqref="B11" start="0" length="0">
      <dxf>
        <alignment horizontal="left" vertical="top"/>
      </dxf>
    </rfmt>
    <rfmt sheetId="5" sqref="B12" start="0" length="0">
      <dxf>
        <alignment horizontal="left" vertical="top"/>
      </dxf>
    </rfmt>
    <rfmt sheetId="5" sqref="B13" start="0" length="0">
      <dxf>
        <alignment horizontal="left" vertical="top"/>
      </dxf>
    </rfmt>
    <rfmt sheetId="5" sqref="B14" start="0" length="0">
      <dxf>
        <alignment horizontal="left" vertical="top"/>
      </dxf>
    </rfmt>
    <rfmt sheetId="5" sqref="B15" start="0" length="0">
      <dxf>
        <alignment horizontal="left" vertical="top"/>
      </dxf>
    </rfmt>
    <rfmt sheetId="5" sqref="B16" start="0" length="0">
      <dxf>
        <alignment horizontal="left" vertical="top"/>
      </dxf>
    </rfmt>
    <rfmt sheetId="5" sqref="B17" start="0" length="0">
      <dxf>
        <alignment horizontal="left" vertical="top"/>
      </dxf>
    </rfmt>
    <rfmt sheetId="5" sqref="B18" start="0" length="0">
      <dxf>
        <alignment horizontal="left" vertical="top"/>
      </dxf>
    </rfmt>
    <rfmt sheetId="5" sqref="B19" start="0" length="0">
      <dxf>
        <alignment horizontal="left" vertical="top"/>
      </dxf>
    </rfmt>
    <rfmt sheetId="5" sqref="B20" start="0" length="0">
      <dxf>
        <alignment horizontal="left" vertical="top"/>
      </dxf>
    </rfmt>
    <rfmt sheetId="5" sqref="B21" start="0" length="0">
      <dxf>
        <alignment horizontal="left" vertical="top"/>
      </dxf>
    </rfmt>
    <rfmt sheetId="5" sqref="B22" start="0" length="0">
      <dxf>
        <alignment horizontal="left" vertical="top"/>
      </dxf>
    </rfmt>
    <rfmt sheetId="5" sqref="B23" start="0" length="0">
      <dxf>
        <alignment horizontal="left" vertical="top"/>
      </dxf>
    </rfmt>
    <rfmt sheetId="5" sqref="B24" start="0" length="0">
      <dxf>
        <alignment horizontal="left" vertical="top"/>
      </dxf>
    </rfmt>
    <rfmt sheetId="5" sqref="B25" start="0" length="0">
      <dxf>
        <alignment horizontal="left" vertical="top"/>
      </dxf>
    </rfmt>
    <rfmt sheetId="5" sqref="B26" start="0" length="0">
      <dxf>
        <alignment horizontal="left" vertical="top"/>
      </dxf>
    </rfmt>
    <rfmt sheetId="5" sqref="B27" start="0" length="0">
      <dxf>
        <alignment horizontal="left" vertical="top"/>
      </dxf>
    </rfmt>
    <rfmt sheetId="5" sqref="B28" start="0" length="0">
      <dxf>
        <alignment horizontal="left" vertical="top"/>
      </dxf>
    </rfmt>
    <rfmt sheetId="5" sqref="B29" start="0" length="0">
      <dxf>
        <alignment horizontal="left" vertical="top"/>
      </dxf>
    </rfmt>
    <rfmt sheetId="5" sqref="B30" start="0" length="0">
      <dxf>
        <alignment horizontal="left" vertical="top"/>
      </dxf>
    </rfmt>
    <rfmt sheetId="5" sqref="B31" start="0" length="0">
      <dxf>
        <alignment horizontal="left" vertical="top"/>
      </dxf>
    </rfmt>
    <rfmt sheetId="5" sqref="B32" start="0" length="0">
      <dxf>
        <alignment horizontal="left" vertical="top"/>
      </dxf>
    </rfmt>
    <rfmt sheetId="5" sqref="B33" start="0" length="0">
      <dxf>
        <alignment horizontal="left" vertical="top"/>
      </dxf>
    </rfmt>
    <rfmt sheetId="5" sqref="B34" start="0" length="0">
      <dxf>
        <alignment horizontal="left" vertical="top"/>
      </dxf>
    </rfmt>
    <rfmt sheetId="5" sqref="B35" start="0" length="0">
      <dxf>
        <alignment horizontal="left" vertical="top"/>
      </dxf>
    </rfmt>
    <rfmt sheetId="5" sqref="B36" start="0" length="0">
      <dxf>
        <alignment horizontal="left" vertical="top"/>
      </dxf>
    </rfmt>
    <rfmt sheetId="5" sqref="B37" start="0" length="0">
      <dxf>
        <alignment horizontal="left" vertical="top"/>
      </dxf>
    </rfmt>
    <rfmt sheetId="5" sqref="B38" start="0" length="0">
      <dxf>
        <alignment horizontal="left" vertical="top"/>
      </dxf>
    </rfmt>
    <rfmt sheetId="5" sqref="B39" start="0" length="0">
      <dxf>
        <alignment horizontal="left" vertical="top"/>
      </dxf>
    </rfmt>
    <rfmt sheetId="5" sqref="B40" start="0" length="0">
      <dxf>
        <alignment horizontal="left" vertical="top"/>
      </dxf>
    </rfmt>
    <rfmt sheetId="5" sqref="B41" start="0" length="0">
      <dxf>
        <alignment horizontal="left" vertical="top"/>
      </dxf>
    </rfmt>
    <rfmt sheetId="5" sqref="B42" start="0" length="0">
      <dxf>
        <alignment horizontal="left" vertical="top"/>
      </dxf>
    </rfmt>
    <rfmt sheetId="5" sqref="B43" start="0" length="0">
      <dxf>
        <alignment horizontal="left" vertical="top"/>
      </dxf>
    </rfmt>
    <rfmt sheetId="5" sqref="B44" start="0" length="0">
      <dxf>
        <alignment horizontal="left" vertical="top"/>
      </dxf>
    </rfmt>
    <rfmt sheetId="5" sqref="B45" start="0" length="0">
      <dxf>
        <alignment horizontal="left" vertical="top"/>
      </dxf>
    </rfmt>
    <rfmt sheetId="5" sqref="B46" start="0" length="0">
      <dxf>
        <alignment horizontal="left" vertical="top"/>
      </dxf>
    </rfmt>
  </rm>
  <rrc rId="62" sId="5" ref="E1:E1048576" action="deleteCol">
    <rfmt sheetId="5" xfDxf="1" sqref="E1:E1048576" start="0" length="0"/>
  </rrc>
  <rrc rId="63" sId="5" ref="A27:XFD27" action="deleteRow">
    <rfmt sheetId="5" xfDxf="1" sqref="A27:XFD27" start="0" length="0"/>
    <rcc rId="0" sId="5" dxf="1">
      <nc r="A27">
        <v>2</v>
      </nc>
      <ndxf>
        <alignment horizontal="left" vertical="top"/>
      </ndxf>
    </rcc>
    <rcc rId="0" sId="5">
      <nc r="C27">
        <f>_xlfn.TEXTSPLIT($D27, "_")</f>
      </nc>
    </rcc>
    <rcc rId="0" sId="5">
      <nc r="D27" t="inlineStr">
        <is>
          <t>C0105_bf1_t1</t>
        </is>
      </nc>
    </rcc>
    <rcc rId="0" sId="5" dxf="1">
      <nc r="K27">
        <f>VLOOKUP(L27, $P$51:$R$56, 2, FALSE)</f>
      </nc>
      <ndxf>
        <alignment horizontal="left" vertical="top"/>
      </ndxf>
    </rcc>
    <rfmt sheetId="5" sqref="N27" start="0" length="0">
      <dxf>
        <alignment vertical="top" shrinkToFit="1"/>
      </dxf>
    </rfmt>
    <rcc rId="0" sId="5" dxf="1">
      <nc r="O27" t="inlineStr">
        <is>
          <t xml:space="preserve">This wrong turn comes from a technically correct decision. Need to think about what this means more deeply. </t>
        </is>
      </nc>
      <ndxf>
        <alignment vertical="top" shrinkToFit="1"/>
      </ndxf>
    </rcc>
  </rrc>
  <rrc rId="64" sId="5" ref="A27:XFD27" action="deleteRow">
    <rfmt sheetId="5" xfDxf="1" sqref="A27:XFD27" start="0" length="0"/>
    <rcc rId="0" sId="5" dxf="1">
      <nc r="A27">
        <v>2</v>
      </nc>
      <ndxf>
        <alignment horizontal="left" vertical="top"/>
      </ndxf>
    </rcc>
    <rfmt sheetId="5" sqref="B27" start="0" length="0">
      <dxf>
        <alignment horizontal="left" vertical="top"/>
      </dxf>
    </rfmt>
    <rcc rId="0" sId="5">
      <nc r="C27">
        <f>_xlfn.TEXTSPLIT($D27, "_")</f>
      </nc>
    </rcc>
    <rcc rId="0" sId="5" dxf="1">
      <nc r="D27" t="inlineStr">
        <is>
          <t>C0068</t>
        </is>
      </nc>
      <ndxf>
        <alignment horizontal="left" vertical="top"/>
      </ndxf>
    </rcc>
    <rfmt sheetId="5" sqref="E27" start="0" length="0">
      <dxf>
        <alignment horizontal="left" vertical="top"/>
      </dxf>
    </rfmt>
    <rfmt sheetId="5" sqref="F27" start="0" length="0">
      <dxf>
        <alignment horizontal="left" vertical="top"/>
      </dxf>
    </rfmt>
    <rfmt sheetId="5" sqref="G27" start="0" length="0">
      <dxf>
        <alignment horizontal="left" vertical="top"/>
      </dxf>
    </rfmt>
    <rfmt sheetId="5" sqref="H27" start="0" length="0">
      <dxf>
        <alignment horizontal="left" vertical="top"/>
      </dxf>
    </rfmt>
    <rfmt sheetId="5" sqref="I27" start="0" length="0">
      <dxf>
        <alignment horizontal="left" vertical="top"/>
      </dxf>
    </rfmt>
    <rcc rId="0" sId="5" dxf="1">
      <nc r="J27">
        <f xml:space="preserve"> 312 - I27</f>
      </nc>
      <ndxf>
        <alignment horizontal="left" vertical="top"/>
      </ndxf>
    </rcc>
    <rcc rId="0" sId="5" dxf="1">
      <nc r="K27">
        <f>VLOOKUP(L27, $P$50:$R$55, 2, FALSE)</f>
      </nc>
      <ndxf>
        <alignment horizontal="left" vertical="top"/>
      </ndxf>
    </rcc>
    <rfmt sheetId="5" sqref="L27" start="0" length="0">
      <dxf>
        <alignment horizontal="left" vertical="top"/>
      </dxf>
    </rfmt>
    <rcc rId="0" sId="5" dxf="1">
      <nc r="M27">
        <f>1/((2*DEGREES(ATAN(0.5*$K27/$J27))))</f>
      </nc>
      <ndxf>
        <alignment horizontal="left" vertical="top"/>
      </ndxf>
    </rcc>
    <rfmt sheetId="5" sqref="N27" start="0" length="0">
      <dxf>
        <alignment horizontal="left" vertical="top" shrinkToFit="1"/>
      </dxf>
    </rfmt>
    <rfmt sheetId="5" sqref="O27" start="0" length="0">
      <dxf>
        <alignment horizontal="left" vertical="top" shrinkToFit="1"/>
      </dxf>
    </rfmt>
    <rfmt sheetId="5" sqref="Q27" start="0" length="0">
      <dxf>
        <alignment horizontal="left" vertical="top"/>
      </dxf>
    </rfmt>
    <rfmt sheetId="5" sqref="R27" start="0" length="0">
      <dxf>
        <alignment horizontal="left" vertical="top"/>
      </dxf>
    </rfmt>
    <rfmt sheetId="5" sqref="S27" start="0" length="0">
      <dxf>
        <alignment horizontal="left" vertical="top"/>
      </dxf>
    </rfmt>
    <rfmt sheetId="5" sqref="T27" start="0" length="0">
      <dxf>
        <alignment horizontal="left" vertical="top"/>
      </dxf>
    </rfmt>
    <rfmt sheetId="5" sqref="U27" start="0" length="0">
      <dxf>
        <alignment horizontal="left" vertical="top"/>
      </dxf>
    </rfmt>
    <rfmt sheetId="5" sqref="V27" start="0" length="0">
      <dxf>
        <alignment horizontal="left" vertical="top"/>
      </dxf>
    </rfmt>
    <rfmt sheetId="5" sqref="W27" start="0" length="0">
      <dxf>
        <alignment horizontal="left" vertical="top"/>
      </dxf>
    </rfmt>
    <rfmt sheetId="5" sqref="X27" start="0" length="0">
      <dxf>
        <alignment horizontal="left" vertical="top"/>
      </dxf>
    </rfmt>
  </rrc>
  <rrc rId="65" sId="5" ref="A27:XFD27" action="deleteRow">
    <rfmt sheetId="5" xfDxf="1" sqref="A27:XFD27" start="0" length="0"/>
    <rcc rId="0" sId="5" dxf="1">
      <nc r="A27">
        <v>2</v>
      </nc>
      <ndxf>
        <alignment horizontal="left" vertical="top"/>
      </ndxf>
    </rcc>
    <rfmt sheetId="5" sqref="B27" start="0" length="0">
      <dxf>
        <alignment horizontal="left" vertical="top"/>
      </dxf>
    </rfmt>
    <rcc rId="0" sId="5">
      <nc r="C27">
        <f>_xlfn.TEXTSPLIT($D27, "_")</f>
      </nc>
    </rcc>
    <rcc rId="0" sId="5" dxf="1">
      <nc r="D27" t="inlineStr">
        <is>
          <t>C0067</t>
        </is>
      </nc>
      <ndxf>
        <alignment horizontal="left" vertical="top"/>
      </ndxf>
    </rcc>
    <rfmt sheetId="5" sqref="E27" start="0" length="0">
      <dxf>
        <alignment horizontal="left" vertical="top"/>
      </dxf>
    </rfmt>
    <rfmt sheetId="5" sqref="F27" start="0" length="0">
      <dxf>
        <alignment horizontal="left" vertical="top"/>
      </dxf>
    </rfmt>
    <rfmt sheetId="5" sqref="G27" start="0" length="0">
      <dxf>
        <alignment horizontal="left" vertical="top"/>
      </dxf>
    </rfmt>
    <rfmt sheetId="5" sqref="H27" start="0" length="0">
      <dxf>
        <alignment horizontal="left" vertical="top"/>
      </dxf>
    </rfmt>
    <rfmt sheetId="5" sqref="I27" start="0" length="0">
      <dxf>
        <alignment horizontal="left" vertical="top"/>
      </dxf>
    </rfmt>
    <rcc rId="0" sId="5" dxf="1">
      <nc r="J27">
        <f xml:space="preserve"> 312 - I27</f>
      </nc>
      <ndxf>
        <alignment horizontal="left" vertical="top"/>
      </ndxf>
    </rcc>
    <rcc rId="0" sId="5" dxf="1">
      <nc r="K27">
        <f>VLOOKUP(L27, $P$49:$R$54, 2, FALSE)</f>
      </nc>
      <ndxf>
        <alignment horizontal="left" vertical="top"/>
      </ndxf>
    </rcc>
    <rfmt sheetId="5" sqref="L27" start="0" length="0">
      <dxf>
        <alignment horizontal="left" vertical="top"/>
      </dxf>
    </rfmt>
    <rcc rId="0" sId="5" dxf="1">
      <nc r="M27">
        <f>1/((2*DEGREES(ATAN(0.5*$K27/$J27))))</f>
      </nc>
      <ndxf>
        <alignment horizontal="left" vertical="top"/>
      </ndxf>
    </rcc>
    <rfmt sheetId="5" sqref="N27" start="0" length="0">
      <dxf>
        <alignment horizontal="left" vertical="top" shrinkToFit="1"/>
      </dxf>
    </rfmt>
    <rfmt sheetId="5" sqref="O27" start="0" length="0">
      <dxf>
        <alignment horizontal="left" vertical="top" shrinkToFit="1"/>
      </dxf>
    </rfmt>
    <rfmt sheetId="5" sqref="Q27" start="0" length="0">
      <dxf>
        <alignment horizontal="left" vertical="top"/>
      </dxf>
    </rfmt>
    <rfmt sheetId="5" sqref="R27" start="0" length="0">
      <dxf>
        <alignment horizontal="left" vertical="top"/>
      </dxf>
    </rfmt>
    <rfmt sheetId="5" sqref="S27" start="0" length="0">
      <dxf>
        <alignment horizontal="left" vertical="top"/>
      </dxf>
    </rfmt>
    <rfmt sheetId="5" sqref="T27" start="0" length="0">
      <dxf>
        <alignment horizontal="left" vertical="top"/>
      </dxf>
    </rfmt>
    <rfmt sheetId="5" sqref="U27" start="0" length="0">
      <dxf>
        <alignment horizontal="left" vertical="top"/>
      </dxf>
    </rfmt>
    <rfmt sheetId="5" sqref="V27" start="0" length="0">
      <dxf>
        <alignment horizontal="left" vertical="top"/>
      </dxf>
    </rfmt>
    <rfmt sheetId="5" sqref="W27" start="0" length="0">
      <dxf>
        <alignment horizontal="left" vertical="top"/>
      </dxf>
    </rfmt>
    <rfmt sheetId="5" sqref="X27" start="0" length="0">
      <dxf>
        <alignment horizontal="left" vertical="top"/>
      </dxf>
    </rfmt>
  </rrc>
  <rrc rId="66" sId="5" ref="A27:XFD27" action="deleteRow">
    <rfmt sheetId="5" xfDxf="1" sqref="A27:XFD27" start="0" length="0"/>
    <rcc rId="0" sId="5" dxf="1">
      <nc r="A27">
        <v>2</v>
      </nc>
      <ndxf>
        <alignment horizontal="left" vertical="top"/>
      </ndxf>
    </rcc>
    <rfmt sheetId="5" sqref="B27" start="0" length="0">
      <dxf>
        <alignment horizontal="left" vertical="top"/>
      </dxf>
    </rfmt>
    <rcc rId="0" sId="5">
      <nc r="C27">
        <f>_xlfn.TEXTSPLIT($D27, "_")</f>
      </nc>
    </rcc>
    <rcc rId="0" sId="5" dxf="1">
      <nc r="D27" t="inlineStr">
        <is>
          <t>C0066</t>
        </is>
      </nc>
      <ndxf>
        <alignment horizontal="left" vertical="top"/>
      </ndxf>
    </rcc>
    <rfmt sheetId="5" sqref="E27" start="0" length="0">
      <dxf>
        <alignment horizontal="left" vertical="top"/>
      </dxf>
    </rfmt>
    <rfmt sheetId="5" sqref="F27" start="0" length="0">
      <dxf>
        <alignment horizontal="left" vertical="top"/>
      </dxf>
    </rfmt>
    <rfmt sheetId="5" sqref="G27" start="0" length="0">
      <dxf>
        <alignment horizontal="left" vertical="top"/>
      </dxf>
    </rfmt>
    <rfmt sheetId="5" sqref="H27" start="0" length="0">
      <dxf>
        <alignment horizontal="left" vertical="top"/>
      </dxf>
    </rfmt>
    <rfmt sheetId="5" sqref="I27" start="0" length="0">
      <dxf>
        <alignment horizontal="left" vertical="top"/>
      </dxf>
    </rfmt>
    <rcc rId="0" sId="5" dxf="1">
      <nc r="J27">
        <f xml:space="preserve"> 312 - I27</f>
      </nc>
      <ndxf>
        <alignment horizontal="left" vertical="top"/>
      </ndxf>
    </rcc>
    <rcc rId="0" sId="5" dxf="1">
      <nc r="K27">
        <f>VLOOKUP(L27, $P$48:$R$53, 2, FALSE)</f>
      </nc>
      <ndxf>
        <alignment horizontal="left" vertical="top"/>
      </ndxf>
    </rcc>
    <rfmt sheetId="5" sqref="L27" start="0" length="0">
      <dxf>
        <alignment horizontal="left" vertical="top"/>
      </dxf>
    </rfmt>
    <rcc rId="0" sId="5" dxf="1">
      <nc r="M27">
        <f>1/((2*DEGREES(ATAN(0.5*$K27/$J27))))</f>
      </nc>
      <ndxf>
        <alignment horizontal="left" vertical="top"/>
      </ndxf>
    </rcc>
    <rfmt sheetId="5" sqref="N27" start="0" length="0">
      <dxf>
        <alignment horizontal="left" vertical="top" shrinkToFit="1"/>
      </dxf>
    </rfmt>
    <rfmt sheetId="5" sqref="O27" start="0" length="0">
      <dxf>
        <alignment horizontal="left" vertical="top" shrinkToFit="1"/>
      </dxf>
    </rfmt>
  </rrc>
  <rrc rId="67" sId="5" ref="A27:XFD27" action="deleteRow">
    <rfmt sheetId="5" xfDxf="1" sqref="A27:XFD27" start="0" length="0"/>
    <rcc rId="0" sId="5" dxf="1">
      <nc r="A27">
        <v>2</v>
      </nc>
      <ndxf>
        <alignment horizontal="left" vertical="top"/>
      </ndxf>
    </rcc>
    <rfmt sheetId="5" sqref="B27" start="0" length="0">
      <dxf>
        <alignment horizontal="left" vertical="top"/>
      </dxf>
    </rfmt>
    <rcc rId="0" sId="5">
      <nc r="C27">
        <f>_xlfn.TEXTSPLIT($D27, "_")</f>
      </nc>
    </rcc>
    <rcc rId="0" sId="5" dxf="1">
      <nc r="D27" t="inlineStr">
        <is>
          <t>C0064</t>
        </is>
      </nc>
      <ndxf>
        <alignment horizontal="left" vertical="top"/>
      </ndxf>
    </rcc>
    <rfmt sheetId="5" sqref="E27" start="0" length="0">
      <dxf>
        <alignment horizontal="left" vertical="top"/>
      </dxf>
    </rfmt>
    <rfmt sheetId="5" sqref="F27" start="0" length="0">
      <dxf>
        <alignment horizontal="left" vertical="top"/>
      </dxf>
    </rfmt>
    <rfmt sheetId="5" sqref="G27" start="0" length="0">
      <dxf>
        <alignment horizontal="left" vertical="top"/>
      </dxf>
    </rfmt>
    <rfmt sheetId="5" sqref="H27" start="0" length="0">
      <dxf>
        <alignment horizontal="left" vertical="top"/>
      </dxf>
    </rfmt>
    <rfmt sheetId="5" sqref="I27" start="0" length="0">
      <dxf>
        <alignment horizontal="left" vertical="top"/>
      </dxf>
    </rfmt>
    <rcc rId="0" sId="5" dxf="1">
      <nc r="J27">
        <f xml:space="preserve"> 312 - I27</f>
      </nc>
      <ndxf>
        <alignment horizontal="left" vertical="top"/>
      </ndxf>
    </rcc>
    <rcc rId="0" sId="5" dxf="1">
      <nc r="K27">
        <f>VLOOKUP(L27, $P$47:$R$52, 2, FALSE)</f>
      </nc>
      <ndxf>
        <alignment horizontal="left" vertical="top"/>
      </ndxf>
    </rcc>
    <rfmt sheetId="5" sqref="L27" start="0" length="0">
      <dxf>
        <alignment horizontal="left" vertical="top"/>
      </dxf>
    </rfmt>
    <rcc rId="0" sId="5" dxf="1">
      <nc r="M27">
        <f>1/((2*DEGREES(ATAN(0.5*$K27/$J27))))</f>
      </nc>
      <ndxf>
        <alignment horizontal="left" vertical="top"/>
      </ndxf>
    </rcc>
    <rfmt sheetId="5" sqref="N27" start="0" length="0">
      <dxf>
        <alignment horizontal="left" vertical="top" shrinkToFit="1"/>
      </dxf>
    </rfmt>
    <rfmt sheetId="5" sqref="O27" start="0" length="0">
      <dxf>
        <alignment horizontal="left" vertical="top" shrinkToFit="1"/>
      </dxf>
    </rfmt>
  </rrc>
  <rrc rId="68" sId="5" ref="A27:XFD27" action="deleteRow">
    <rfmt sheetId="5" xfDxf="1" sqref="A27:XFD27" start="0" length="0"/>
    <rcc rId="0" sId="5" dxf="1">
      <nc r="A27">
        <v>2</v>
      </nc>
      <ndxf>
        <alignment horizontal="left" vertical="top"/>
      </ndxf>
    </rcc>
    <rfmt sheetId="5" sqref="B27" start="0" length="0">
      <dxf>
        <alignment horizontal="left" vertical="top"/>
      </dxf>
    </rfmt>
    <rcc rId="0" sId="5">
      <nc r="C27">
        <f>_xlfn.TEXTSPLIT($D27, "_")</f>
      </nc>
    </rcc>
    <rcc rId="0" sId="5" dxf="1">
      <nc r="D27" t="inlineStr">
        <is>
          <t>C0063</t>
        </is>
      </nc>
      <ndxf>
        <alignment horizontal="left" vertical="top"/>
      </ndxf>
    </rcc>
    <rfmt sheetId="5" sqref="E27" start="0" length="0">
      <dxf>
        <alignment horizontal="left" vertical="top"/>
      </dxf>
    </rfmt>
    <rfmt sheetId="5" sqref="F27" start="0" length="0">
      <dxf>
        <alignment horizontal="left" vertical="top"/>
      </dxf>
    </rfmt>
    <rfmt sheetId="5" sqref="G27" start="0" length="0">
      <dxf>
        <alignment horizontal="left" vertical="top"/>
      </dxf>
    </rfmt>
    <rfmt sheetId="5" sqref="H27" start="0" length="0">
      <dxf>
        <alignment horizontal="left" vertical="top"/>
      </dxf>
    </rfmt>
    <rfmt sheetId="5" sqref="I27" start="0" length="0">
      <dxf>
        <alignment horizontal="left" vertical="top"/>
      </dxf>
    </rfmt>
    <rcc rId="0" sId="5" dxf="1">
      <nc r="J27">
        <f xml:space="preserve"> 312 - I27</f>
      </nc>
      <ndxf>
        <alignment horizontal="left" vertical="top"/>
      </ndxf>
    </rcc>
    <rcc rId="0" sId="5" dxf="1">
      <nc r="K27">
        <f>VLOOKUP(L27, $P$46:$R$51, 2, FALSE)</f>
      </nc>
      <ndxf>
        <alignment horizontal="left" vertical="top"/>
      </ndxf>
    </rcc>
    <rfmt sheetId="5" sqref="L27" start="0" length="0">
      <dxf>
        <alignment horizontal="left" vertical="top"/>
      </dxf>
    </rfmt>
    <rcc rId="0" sId="5" dxf="1">
      <nc r="M27">
        <f>1/((2*DEGREES(ATAN(0.5*$K27/$J27))))</f>
      </nc>
      <ndxf>
        <alignment horizontal="left" vertical="top"/>
      </ndxf>
    </rcc>
    <rfmt sheetId="5" sqref="N27" start="0" length="0">
      <dxf>
        <alignment horizontal="left" vertical="top" shrinkToFit="1"/>
      </dxf>
    </rfmt>
    <rfmt sheetId="5" sqref="O27" start="0" length="0">
      <dxf>
        <alignment horizontal="left" vertical="top" shrinkToFit="1"/>
      </dxf>
    </rfmt>
  </rrc>
  <rrc rId="69" sId="5" ref="A27:XFD27" action="deleteRow">
    <rfmt sheetId="5" xfDxf="1" sqref="A27:XFD27" start="0" length="0"/>
    <rcc rId="0" sId="5" dxf="1">
      <nc r="A27">
        <v>2</v>
      </nc>
      <ndxf>
        <alignment horizontal="left" vertical="top"/>
      </ndxf>
    </rcc>
    <rfmt sheetId="5" sqref="B27" start="0" length="0">
      <dxf>
        <alignment horizontal="left" vertical="top"/>
      </dxf>
    </rfmt>
    <rcc rId="0" sId="5">
      <nc r="C27">
        <f>_xlfn.TEXTSPLIT($D27, "_")</f>
      </nc>
    </rcc>
    <rcc rId="0" sId="5" dxf="1">
      <nc r="D27" t="inlineStr">
        <is>
          <t>C0062</t>
        </is>
      </nc>
      <ndxf>
        <alignment horizontal="left" vertical="top"/>
      </ndxf>
    </rcc>
    <rfmt sheetId="5" sqref="E27" start="0" length="0">
      <dxf>
        <alignment horizontal="left" vertical="top"/>
      </dxf>
    </rfmt>
    <rfmt sheetId="5" sqref="F27" start="0" length="0">
      <dxf>
        <alignment horizontal="left" vertical="top"/>
      </dxf>
    </rfmt>
    <rfmt sheetId="5" sqref="G27" start="0" length="0">
      <dxf>
        <alignment horizontal="left" vertical="top"/>
      </dxf>
    </rfmt>
    <rfmt sheetId="5" sqref="H27" start="0" length="0">
      <dxf>
        <alignment horizontal="left" vertical="top"/>
      </dxf>
    </rfmt>
    <rfmt sheetId="5" sqref="I27" start="0" length="0">
      <dxf>
        <alignment horizontal="left" vertical="top"/>
      </dxf>
    </rfmt>
    <rcc rId="0" sId="5" dxf="1">
      <nc r="J27">
        <f xml:space="preserve"> 312 - I27</f>
      </nc>
      <ndxf>
        <alignment horizontal="left" vertical="top"/>
      </ndxf>
    </rcc>
    <rcc rId="0" sId="5" dxf="1">
      <nc r="K27">
        <f>VLOOKUP(L27, $P$45:$R$50, 2, FALSE)</f>
      </nc>
      <ndxf>
        <alignment horizontal="left" vertical="top"/>
      </ndxf>
    </rcc>
    <rfmt sheetId="5" sqref="L27" start="0" length="0">
      <dxf>
        <alignment horizontal="left" vertical="top"/>
      </dxf>
    </rfmt>
    <rcc rId="0" sId="5" dxf="1">
      <nc r="M27">
        <f>1/((2*DEGREES(ATAN(0.5*$K27/$J27))))</f>
      </nc>
      <ndxf>
        <alignment horizontal="left" vertical="top"/>
      </ndxf>
    </rcc>
    <rfmt sheetId="5" sqref="N27" start="0" length="0">
      <dxf>
        <alignment horizontal="left" vertical="top" shrinkToFit="1"/>
      </dxf>
    </rfmt>
    <rfmt sheetId="5" sqref="O27" start="0" length="0">
      <dxf>
        <alignment horizontal="left" vertical="top" shrinkToFit="1"/>
      </dxf>
    </rfmt>
  </rrc>
  <rrc rId="70" sId="5" ref="A27:XFD27" action="deleteRow">
    <rfmt sheetId="5" xfDxf="1" sqref="A27:XFD27" start="0" length="0"/>
    <rcc rId="0" sId="5" dxf="1">
      <nc r="A27">
        <v>2</v>
      </nc>
      <ndxf>
        <alignment horizontal="left" vertical="top"/>
      </ndxf>
    </rcc>
    <rfmt sheetId="5" sqref="B27" start="0" length="0">
      <dxf>
        <alignment horizontal="left" vertical="top"/>
      </dxf>
    </rfmt>
    <rcc rId="0" sId="5">
      <nc r="C27">
        <f>_xlfn.TEXTSPLIT($D27, "_")</f>
      </nc>
    </rcc>
    <rcc rId="0" sId="5" dxf="1">
      <nc r="D27" t="inlineStr">
        <is>
          <t>C0075</t>
        </is>
      </nc>
      <ndxf>
        <alignment horizontal="left" vertical="top"/>
      </ndxf>
    </rcc>
    <rfmt sheetId="5" sqref="E27" start="0" length="0">
      <dxf>
        <alignment horizontal="left" vertical="top"/>
      </dxf>
    </rfmt>
    <rcc rId="0" sId="5" dxf="1">
      <nc r="F27" t="inlineStr">
        <is>
          <t>NA</t>
        </is>
      </nc>
      <ndxf>
        <alignment horizontal="left" vertical="top"/>
      </ndxf>
    </rcc>
    <rcc rId="0" sId="5" dxf="1">
      <nc r="G27" t="inlineStr">
        <is>
          <t>NA</t>
        </is>
      </nc>
      <ndxf>
        <alignment horizontal="left" vertical="top"/>
      </ndxf>
    </rcc>
    <rcc rId="0" sId="5" dxf="1">
      <nc r="H27" t="inlineStr">
        <is>
          <t>NA</t>
        </is>
      </nc>
      <ndxf>
        <alignment horizontal="left" vertical="top"/>
      </ndxf>
    </rcc>
    <rcc rId="0" sId="5" dxf="1">
      <nc r="I27" t="inlineStr">
        <is>
          <t>NA</t>
        </is>
      </nc>
      <ndxf>
        <alignment horizontal="left" vertical="top"/>
      </ndxf>
    </rcc>
    <rcc rId="0" sId="5" dxf="1">
      <nc r="J27">
        <f xml:space="preserve"> 312 - I27</f>
      </nc>
      <ndxf>
        <alignment horizontal="left" vertical="top"/>
      </ndxf>
    </rcc>
    <rcc rId="0" sId="5" dxf="1">
      <nc r="K27">
        <f>VLOOKUP(L27, $P$44:$R$49, 2, FALSE)</f>
      </nc>
      <ndxf>
        <alignment horizontal="left" vertical="top"/>
      </ndxf>
    </rcc>
    <rcc rId="0" sId="5" dxf="1">
      <nc r="L27" t="inlineStr">
        <is>
          <t>NA</t>
        </is>
      </nc>
      <ndxf>
        <alignment horizontal="left" vertical="top"/>
      </ndxf>
    </rcc>
    <rcc rId="0" sId="5" dxf="1">
      <nc r="M27">
        <f>1/((2*DEGREES(ATAN(0.5*$K27/$J27))))</f>
      </nc>
      <ndxf>
        <alignment horizontal="left" vertical="top"/>
      </ndxf>
    </rcc>
    <rcc rId="0" sId="5" dxf="1">
      <nc r="N27" t="inlineStr">
        <is>
          <t>NA</t>
        </is>
      </nc>
      <ndxf>
        <alignment horizontal="left" vertical="top" shrinkToFit="1"/>
      </ndxf>
    </rcc>
    <rcc rId="0" sId="5" dxf="1">
      <nc r="O27" t="inlineStr">
        <is>
          <t>no return on camera</t>
        </is>
      </nc>
      <ndxf>
        <alignment horizontal="left" vertical="top" shrinkToFit="1"/>
      </ndxf>
    </rcc>
  </rrc>
  <rrc rId="71" sId="5" ref="A27:XFD27" action="deleteRow">
    <rfmt sheetId="5" xfDxf="1" sqref="A27:XFD27" start="0" length="0"/>
    <rcc rId="0" sId="5" dxf="1">
      <nc r="A27">
        <v>2</v>
      </nc>
      <ndxf>
        <alignment horizontal="left" vertical="top"/>
      </ndxf>
    </rcc>
    <rfmt sheetId="5" sqref="B27" start="0" length="0">
      <dxf>
        <alignment horizontal="left" vertical="top"/>
      </dxf>
    </rfmt>
    <rcc rId="0" sId="5">
      <nc r="C27">
        <f>_xlfn.TEXTSPLIT($D27, "_")</f>
      </nc>
    </rcc>
    <rcc rId="0" sId="5" dxf="1">
      <nc r="D27" t="inlineStr">
        <is>
          <t>C0078</t>
        </is>
      </nc>
      <ndxf>
        <alignment horizontal="left" vertical="top"/>
      </ndxf>
    </rcc>
    <rfmt sheetId="5" sqref="E27" start="0" length="0">
      <dxf>
        <alignment horizontal="left" vertical="top"/>
      </dxf>
    </rfmt>
    <rcc rId="0" sId="5" dxf="1">
      <nc r="F27" t="inlineStr">
        <is>
          <t>NA</t>
        </is>
      </nc>
      <ndxf>
        <alignment horizontal="left" vertical="top"/>
      </ndxf>
    </rcc>
    <rcc rId="0" sId="5" dxf="1">
      <nc r="G27" t="inlineStr">
        <is>
          <t>NA</t>
        </is>
      </nc>
      <ndxf>
        <alignment horizontal="left" vertical="top"/>
      </ndxf>
    </rcc>
    <rcc rId="0" sId="5" dxf="1">
      <nc r="H27" t="inlineStr">
        <is>
          <t>NA</t>
        </is>
      </nc>
      <ndxf>
        <alignment horizontal="left" vertical="top"/>
      </ndxf>
    </rcc>
    <rcc rId="0" sId="5" dxf="1">
      <nc r="I27" t="inlineStr">
        <is>
          <t>NA</t>
        </is>
      </nc>
      <ndxf>
        <alignment horizontal="left" vertical="top"/>
      </ndxf>
    </rcc>
    <rcc rId="0" sId="5" dxf="1">
      <nc r="J27">
        <f xml:space="preserve"> 312 - I27</f>
      </nc>
      <ndxf>
        <alignment horizontal="left" vertical="top"/>
      </ndxf>
    </rcc>
    <rcc rId="0" sId="5" dxf="1">
      <nc r="K27">
        <f>VLOOKUP(L27, $P$43:$R$48, 2, FALSE)</f>
      </nc>
      <ndxf>
        <alignment horizontal="left" vertical="top"/>
      </ndxf>
    </rcc>
    <rcc rId="0" sId="5" dxf="1">
      <nc r="L27" t="inlineStr">
        <is>
          <t>NA</t>
        </is>
      </nc>
      <ndxf>
        <alignment horizontal="left" vertical="top"/>
      </ndxf>
    </rcc>
    <rcc rId="0" sId="5" dxf="1">
      <nc r="M27">
        <f>1/((2*DEGREES(ATAN(0.5*$K27/$J27))))</f>
      </nc>
      <ndxf>
        <alignment horizontal="left" vertical="top"/>
      </ndxf>
    </rcc>
    <rcc rId="0" sId="5" dxf="1">
      <nc r="N27" t="inlineStr">
        <is>
          <t>yes. First turn ignored in right arm</t>
        </is>
      </nc>
      <ndxf>
        <alignment horizontal="left" vertical="top" shrinkToFit="1"/>
      </ndxf>
    </rcc>
    <rfmt sheetId="5" sqref="O27" start="0" length="0">
      <dxf>
        <alignment horizontal="left" vertical="top" shrinkToFit="1"/>
      </dxf>
    </rfmt>
  </rrc>
  <rrc rId="72" sId="5" ref="A27:XFD27" action="deleteRow">
    <rfmt sheetId="5" xfDxf="1" sqref="A27:XFD27" start="0" length="0"/>
    <rcc rId="0" sId="5" dxf="1">
      <nc r="A27">
        <v>2</v>
      </nc>
      <ndxf>
        <alignment horizontal="left" vertical="top"/>
      </ndxf>
    </rcc>
    <rfmt sheetId="5" sqref="B27" start="0" length="0">
      <dxf>
        <alignment horizontal="left" vertical="top"/>
      </dxf>
    </rfmt>
    <rcc rId="0" sId="5">
      <nc r="C27">
        <f>_xlfn.TEXTSPLIT($D27, "_")</f>
      </nc>
    </rcc>
    <rcc rId="0" sId="5" dxf="1">
      <nc r="D27" t="inlineStr">
        <is>
          <t>C0082</t>
        </is>
      </nc>
      <ndxf>
        <alignment horizontal="left" vertical="top"/>
      </ndxf>
    </rcc>
    <rfmt sheetId="5" sqref="E27" start="0" length="0">
      <dxf>
        <alignment horizontal="left" vertical="top"/>
      </dxf>
    </rfmt>
    <rcc rId="0" sId="5" dxf="1">
      <nc r="F27" t="inlineStr">
        <is>
          <t>NA</t>
        </is>
      </nc>
      <ndxf>
        <alignment horizontal="left" vertical="top"/>
      </ndxf>
    </rcc>
    <rcc rId="0" sId="5" dxf="1">
      <nc r="G27" t="inlineStr">
        <is>
          <t>NA</t>
        </is>
      </nc>
      <ndxf>
        <alignment horizontal="left" vertical="top"/>
      </ndxf>
    </rcc>
    <rcc rId="0" sId="5" dxf="1">
      <nc r="H27" t="inlineStr">
        <is>
          <t>NA</t>
        </is>
      </nc>
      <ndxf>
        <alignment horizontal="left" vertical="top"/>
      </ndxf>
    </rcc>
    <rcc rId="0" sId="5" dxf="1">
      <nc r="I27" t="inlineStr">
        <is>
          <t>NA</t>
        </is>
      </nc>
      <ndxf>
        <alignment horizontal="left" vertical="top"/>
      </ndxf>
    </rcc>
    <rcc rId="0" sId="5" dxf="1">
      <nc r="J27">
        <f xml:space="preserve"> 312 - I27</f>
      </nc>
      <ndxf>
        <alignment horizontal="left" vertical="top"/>
      </ndxf>
    </rcc>
    <rcc rId="0" sId="5" dxf="1">
      <nc r="K27">
        <f>VLOOKUP(L27, $P$42:$R$47, 2, FALSE)</f>
      </nc>
      <ndxf>
        <alignment horizontal="left" vertical="top"/>
      </ndxf>
    </rcc>
    <rcc rId="0" sId="5" dxf="1">
      <nc r="L27" t="inlineStr">
        <is>
          <t>NA</t>
        </is>
      </nc>
      <ndxf>
        <alignment horizontal="left" vertical="top"/>
      </ndxf>
    </rcc>
    <rcc rId="0" sId="5" dxf="1">
      <nc r="M27">
        <f>1/((2*DEGREES(ATAN(0.5*$K27/$J27))))</f>
      </nc>
      <ndxf>
        <alignment horizontal="left" vertical="top"/>
      </ndxf>
    </rcc>
    <rfmt sheetId="5" sqref="N27" start="0" length="0">
      <dxf>
        <alignment horizontal="left" vertical="top" shrinkToFit="1"/>
      </dxf>
    </rfmt>
    <rfmt sheetId="5" sqref="O27" start="0" length="0">
      <dxf>
        <alignment horizontal="left" vertical="top" shrinkToFit="1"/>
      </dxf>
    </rfmt>
  </rrc>
  <rrc rId="73" sId="5" ref="A27:XFD27" action="deleteRow">
    <rfmt sheetId="5" xfDxf="1" sqref="A27:XFD27" start="0" length="0"/>
    <rcc rId="0" sId="5" dxf="1">
      <nc r="A27">
        <v>2</v>
      </nc>
      <ndxf>
        <alignment horizontal="left" vertical="top"/>
      </ndxf>
    </rcc>
    <rcc rId="0" sId="5" dxf="1" numFmtId="19">
      <nc r="B27">
        <v>45385</v>
      </nc>
      <ndxf>
        <numFmt numFmtId="19" formatCode="yyyy/mm/dd"/>
        <alignment horizontal="left" vertical="top"/>
      </ndxf>
    </rcc>
    <rcc rId="0" sId="5">
      <nc r="C27">
        <f>_xlfn.TEXTSPLIT($D27, "_")</f>
      </nc>
    </rcc>
    <rcc rId="0" sId="5" dxf="1">
      <nc r="D27" t="inlineStr">
        <is>
          <t>C0087</t>
        </is>
      </nc>
      <ndxf>
        <alignment horizontal="left" vertical="top"/>
      </ndxf>
    </rcc>
    <rfmt sheetId="5" sqref="E27" start="0" length="0">
      <dxf>
        <alignment horizontal="left" vertical="top"/>
      </dxf>
    </rfmt>
    <rcc rId="0" sId="5" dxf="1">
      <nc r="F27" t="inlineStr">
        <is>
          <t>NA</t>
        </is>
      </nc>
      <ndxf>
        <alignment horizontal="left" vertical="top"/>
      </ndxf>
    </rcc>
    <rcc rId="0" sId="5" dxf="1">
      <nc r="G27" t="inlineStr">
        <is>
          <t>NA</t>
        </is>
      </nc>
      <ndxf>
        <alignment horizontal="left" vertical="top"/>
      </ndxf>
    </rcc>
    <rcc rId="0" sId="5" dxf="1">
      <nc r="H27" t="inlineStr">
        <is>
          <t>NA</t>
        </is>
      </nc>
      <ndxf>
        <alignment horizontal="left" vertical="top"/>
      </ndxf>
    </rcc>
    <rcc rId="0" sId="5" dxf="1">
      <nc r="I27" t="inlineStr">
        <is>
          <t>NA</t>
        </is>
      </nc>
      <ndxf>
        <alignment horizontal="left" vertical="top"/>
      </ndxf>
    </rcc>
    <rcc rId="0" sId="5" dxf="1">
      <nc r="J27">
        <f xml:space="preserve"> 312 - I27</f>
      </nc>
      <ndxf>
        <alignment horizontal="left" vertical="top"/>
      </ndxf>
    </rcc>
    <rcc rId="0" sId="5" dxf="1">
      <nc r="K27">
        <f>VLOOKUP(L27, $P$41:$R$46, 2, FALSE)</f>
      </nc>
      <ndxf>
        <alignment horizontal="left" vertical="top"/>
      </ndxf>
    </rcc>
    <rcc rId="0" sId="5" dxf="1">
      <nc r="L27" t="inlineStr">
        <is>
          <t>NA</t>
        </is>
      </nc>
      <ndxf>
        <alignment horizontal="left" vertical="top"/>
      </ndxf>
    </rcc>
    <rcc rId="0" sId="5" dxf="1">
      <nc r="M27">
        <f>1/((2*DEGREES(ATAN(0.5*$K27/$J27))))</f>
      </nc>
      <ndxf>
        <alignment horizontal="left" vertical="top"/>
      </ndxf>
    </rcc>
    <rcc rId="0" sId="5" dxf="1">
      <nc r="N27" t="inlineStr">
        <is>
          <t>yes. First turn ignored in right arm</t>
        </is>
      </nc>
      <ndxf>
        <alignment horizontal="left" vertical="top" shrinkToFit="1"/>
      </ndxf>
    </rcc>
    <rfmt sheetId="5" sqref="O27" start="0" length="0">
      <dxf>
        <alignment horizontal="left" vertical="top" shrinkToFit="1"/>
      </dxf>
    </rfmt>
  </rrc>
  <rrc rId="74" sId="5" ref="A27:XFD27" action="deleteRow">
    <rfmt sheetId="5" xfDxf="1" sqref="A27:XFD27" start="0" length="0"/>
    <rcc rId="0" sId="5" dxf="1">
      <nc r="A27">
        <v>2</v>
      </nc>
      <ndxf>
        <alignment horizontal="left" vertical="top"/>
      </ndxf>
    </rcc>
    <rcc rId="0" sId="5" dxf="1">
      <nc r="B27" t="inlineStr">
        <is>
          <t>NA</t>
        </is>
      </nc>
      <ndxf>
        <alignment horizontal="left" vertical="top"/>
      </ndxf>
    </rcc>
    <rcc rId="0" sId="5">
      <nc r="C27">
        <f>_xlfn.TEXTSPLIT($D27, "_")</f>
      </nc>
    </rcc>
    <rcc rId="0" sId="5" dxf="1">
      <nc r="D27" t="inlineStr">
        <is>
          <t>C0057</t>
        </is>
      </nc>
      <ndxf>
        <alignment horizontal="left" vertical="top"/>
      </ndxf>
    </rcc>
    <rfmt sheetId="5" sqref="E27" start="0" length="0">
      <dxf>
        <alignment horizontal="left" vertical="top"/>
      </dxf>
    </rfmt>
    <rcc rId="0" sId="5" dxf="1">
      <nc r="F27" t="inlineStr">
        <is>
          <t>NA</t>
        </is>
      </nc>
      <ndxf>
        <alignment horizontal="left" vertical="top"/>
      </ndxf>
    </rcc>
    <rcc rId="0" sId="5" dxf="1">
      <nc r="G27" t="inlineStr">
        <is>
          <t>NA</t>
        </is>
      </nc>
      <ndxf>
        <alignment horizontal="left" vertical="top"/>
      </ndxf>
    </rcc>
    <rcc rId="0" sId="5" dxf="1">
      <nc r="H27" t="inlineStr">
        <is>
          <t>NA</t>
        </is>
      </nc>
      <ndxf>
        <alignment horizontal="left" vertical="top"/>
      </ndxf>
    </rcc>
    <rcc rId="0" sId="5" dxf="1">
      <nc r="I27" t="inlineStr">
        <is>
          <t>NA</t>
        </is>
      </nc>
      <ndxf>
        <alignment horizontal="left" vertical="top"/>
      </ndxf>
    </rcc>
    <rcc rId="0" sId="5" dxf="1">
      <nc r="J27">
        <f xml:space="preserve"> 312 - I27</f>
      </nc>
      <ndxf>
        <alignment horizontal="left" vertical="top"/>
      </ndxf>
    </rcc>
    <rcc rId="0" sId="5" dxf="1">
      <nc r="K27">
        <f>VLOOKUP(L27, $P$40:$R$45, 2, FALSE)</f>
      </nc>
      <ndxf>
        <alignment horizontal="left" vertical="top"/>
      </ndxf>
    </rcc>
    <rcc rId="0" sId="5" dxf="1">
      <nc r="L27" t="inlineStr">
        <is>
          <t>NA</t>
        </is>
      </nc>
      <ndxf>
        <alignment horizontal="left" vertical="top"/>
      </ndxf>
    </rcc>
    <rcc rId="0" sId="5" dxf="1">
      <nc r="M27">
        <f>1/((2*DEGREES(ATAN(0.5*$K27/$J27))))</f>
      </nc>
      <ndxf>
        <alignment horizontal="left" vertical="top"/>
      </ndxf>
    </rcc>
    <rfmt sheetId="5" sqref="N27" start="0" length="0">
      <dxf>
        <alignment vertical="top" shrinkToFit="1"/>
      </dxf>
    </rfmt>
    <rcc rId="0" sId="5" dxf="1">
      <nc r="O27" t="inlineStr">
        <is>
          <t>correct decision</t>
        </is>
      </nc>
      <ndxf>
        <alignment horizontal="left" vertical="top" shrinkToFit="1"/>
      </ndxf>
    </rcc>
  </rrc>
  <rrc rId="75" sId="5" ref="A27:XFD27" action="deleteRow">
    <rfmt sheetId="5" xfDxf="1" sqref="A27:XFD27" start="0" length="0"/>
    <rcc rId="0" sId="5" dxf="1">
      <nc r="A27">
        <v>2</v>
      </nc>
      <ndxf>
        <alignment horizontal="left" vertical="top"/>
      </ndxf>
    </rcc>
    <rcc rId="0" sId="5" dxf="1">
      <nc r="B27" t="inlineStr">
        <is>
          <t>NA</t>
        </is>
      </nc>
      <ndxf>
        <alignment horizontal="left" vertical="top"/>
      </ndxf>
    </rcc>
    <rcc rId="0" sId="5">
      <nc r="C27">
        <f>_xlfn.TEXTSPLIT($D27, "_")</f>
      </nc>
    </rcc>
    <rcc rId="0" sId="5" dxf="1">
      <nc r="D27" t="inlineStr">
        <is>
          <t>C0070</t>
        </is>
      </nc>
      <ndxf>
        <alignment horizontal="left" vertical="top"/>
      </ndxf>
    </rcc>
    <rfmt sheetId="5" sqref="E27" start="0" length="0">
      <dxf>
        <alignment horizontal="left" vertical="top"/>
      </dxf>
    </rfmt>
    <rcc rId="0" sId="5" dxf="1">
      <nc r="F27" t="inlineStr">
        <is>
          <t>NA</t>
        </is>
      </nc>
      <ndxf>
        <alignment horizontal="left" vertical="top"/>
      </ndxf>
    </rcc>
    <rcc rId="0" sId="5" dxf="1">
      <nc r="G27" t="inlineStr">
        <is>
          <t>NA</t>
        </is>
      </nc>
      <ndxf>
        <alignment horizontal="left" vertical="top"/>
      </ndxf>
    </rcc>
    <rcc rId="0" sId="5" dxf="1">
      <nc r="H27" t="inlineStr">
        <is>
          <t>NA</t>
        </is>
      </nc>
      <ndxf>
        <alignment horizontal="left" vertical="top"/>
      </ndxf>
    </rcc>
    <rcc rId="0" sId="5" dxf="1">
      <nc r="I27" t="inlineStr">
        <is>
          <t>NA</t>
        </is>
      </nc>
      <ndxf>
        <alignment horizontal="left" vertical="top"/>
      </ndxf>
    </rcc>
    <rcc rId="0" sId="5" dxf="1">
      <nc r="J27">
        <f xml:space="preserve"> 312 - I27</f>
      </nc>
      <ndxf>
        <alignment horizontal="left" vertical="top"/>
      </ndxf>
    </rcc>
    <rcc rId="0" sId="5" dxf="1">
      <nc r="K27">
        <f>VLOOKUP(L27, $P$39:$R$44, 2, FALSE)</f>
      </nc>
      <ndxf>
        <alignment horizontal="left" vertical="top"/>
      </ndxf>
    </rcc>
    <rcc rId="0" sId="5" dxf="1">
      <nc r="L27" t="inlineStr">
        <is>
          <t>NA</t>
        </is>
      </nc>
      <ndxf>
        <alignment horizontal="left" vertical="top"/>
      </ndxf>
    </rcc>
    <rcc rId="0" sId="5" dxf="1">
      <nc r="M27">
        <f>1/((2*DEGREES(ATAN(0.5*$K27/$J27))))</f>
      </nc>
      <ndxf>
        <alignment horizontal="left" vertical="top"/>
      </ndxf>
    </rcc>
    <rcc rId="0" sId="5" dxf="1">
      <nc r="N27" t="inlineStr">
        <is>
          <t>NA</t>
        </is>
      </nc>
      <ndxf>
        <alignment horizontal="left" vertical="top" shrinkToFit="1"/>
      </ndxf>
    </rcc>
    <rcc rId="0" sId="5" dxf="1">
      <nc r="O27" t="inlineStr">
        <is>
          <t>correct decision</t>
        </is>
      </nc>
      <ndxf>
        <alignment horizontal="left" vertical="top" shrinkToFit="1"/>
      </ndxf>
    </rcc>
  </rrc>
  <rrc rId="76" sId="5" ref="A27:XFD27" action="deleteRow">
    <rfmt sheetId="5" xfDxf="1" sqref="A27:XFD27" start="0" length="0"/>
    <rcc rId="0" sId="5" dxf="1">
      <nc r="A27">
        <v>2</v>
      </nc>
      <ndxf>
        <alignment horizontal="left" vertical="top"/>
      </ndxf>
    </rcc>
    <rfmt sheetId="5" sqref="B27" start="0" length="0">
      <dxf>
        <alignment horizontal="left" vertical="top"/>
      </dxf>
    </rfmt>
    <rcc rId="0" sId="5">
      <nc r="C27">
        <f>_xlfn.TEXTSPLIT($D27, "_")</f>
      </nc>
    </rcc>
    <rcc rId="0" sId="5" dxf="1">
      <nc r="D27" t="inlineStr">
        <is>
          <t>C0082_2</t>
        </is>
      </nc>
      <ndxf>
        <alignment horizontal="left" vertical="top"/>
      </ndxf>
    </rcc>
    <rfmt sheetId="5" sqref="E27" start="0" length="0">
      <dxf>
        <alignment horizontal="left" vertical="top"/>
      </dxf>
    </rfmt>
    <rcc rId="0" sId="5" dxf="1">
      <nc r="F27" t="inlineStr">
        <is>
          <t>NA</t>
        </is>
      </nc>
      <ndxf>
        <alignment horizontal="left" vertical="top"/>
      </ndxf>
    </rcc>
    <rcc rId="0" sId="5" dxf="1">
      <nc r="G27" t="inlineStr">
        <is>
          <t>NA</t>
        </is>
      </nc>
      <ndxf>
        <alignment horizontal="left" vertical="top"/>
      </ndxf>
    </rcc>
    <rcc rId="0" sId="5" dxf="1">
      <nc r="H27" t="inlineStr">
        <is>
          <t>NA</t>
        </is>
      </nc>
      <ndxf>
        <alignment horizontal="left" vertical="top"/>
      </ndxf>
    </rcc>
    <rcc rId="0" sId="5" dxf="1">
      <nc r="I27" t="inlineStr">
        <is>
          <t>NA</t>
        </is>
      </nc>
      <ndxf>
        <alignment horizontal="left" vertical="top"/>
      </ndxf>
    </rcc>
    <rcc rId="0" sId="5" dxf="1">
      <nc r="J27">
        <f xml:space="preserve"> 312 - I27</f>
      </nc>
      <ndxf>
        <alignment horizontal="left" vertical="top"/>
      </ndxf>
    </rcc>
    <rcc rId="0" sId="5" dxf="1">
      <nc r="K27">
        <f>VLOOKUP(L27, $P$38:$R$43, 2, FALSE)</f>
      </nc>
      <ndxf>
        <alignment horizontal="left" vertical="top"/>
      </ndxf>
    </rcc>
    <rcc rId="0" sId="5" dxf="1">
      <nc r="L27" t="inlineStr">
        <is>
          <t>NA</t>
        </is>
      </nc>
      <ndxf>
        <alignment horizontal="left" vertical="top"/>
      </ndxf>
    </rcc>
    <rcc rId="0" sId="5" dxf="1">
      <nc r="M27">
        <f>1/((2*DEGREES(ATAN(0.5*$K27/$J27))))</f>
      </nc>
      <ndxf>
        <alignment horizontal="left" vertical="top"/>
      </ndxf>
    </rcc>
    <rcc rId="0" sId="5" dxf="1">
      <nc r="N27" t="inlineStr">
        <is>
          <t>yes. Ignored first turn in right arm. In a previous video (C0074), the bee turns in the right arm despite the correct pattern being there. Evidence that this is just a habit turn for her.</t>
        </is>
      </nc>
      <ndxf>
        <alignment horizontal="left" vertical="top" shrinkToFit="1"/>
      </ndxf>
    </rcc>
    <rfmt sheetId="5" sqref="O27" start="0" length="0">
      <dxf>
        <alignment horizontal="left" vertical="top" shrinkToFit="1"/>
      </dxf>
    </rfmt>
  </rrc>
  <rrc rId="77" sId="5" ref="A27:XFD27" action="deleteRow">
    <rfmt sheetId="5" xfDxf="1" sqref="A27:XFD27" start="0" length="0"/>
    <rcc rId="0" sId="5" dxf="1">
      <nc r="A27">
        <v>2</v>
      </nc>
      <ndxf>
        <alignment horizontal="left" vertical="top"/>
      </ndxf>
    </rcc>
    <rcc rId="0" sId="5" dxf="1">
      <nc r="B27" t="inlineStr">
        <is>
          <t>NA</t>
        </is>
      </nc>
      <ndxf>
        <alignment horizontal="left" vertical="top"/>
      </ndxf>
    </rcc>
    <rcc rId="0" sId="5">
      <nc r="C27">
        <f>_xlfn.TEXTSPLIT($D27, "_")</f>
      </nc>
    </rcc>
    <rcc rId="0" sId="5" dxf="1">
      <nc r="D27" t="inlineStr">
        <is>
          <t>C0054</t>
        </is>
      </nc>
      <ndxf>
        <alignment horizontal="left" vertical="top"/>
      </ndxf>
    </rcc>
    <rfmt sheetId="5" sqref="E27" start="0" length="0">
      <dxf>
        <alignment horizontal="left" vertical="top"/>
      </dxf>
    </rfmt>
    <rcc rId="0" sId="5" dxf="1">
      <nc r="F27" t="inlineStr">
        <is>
          <t>NA</t>
        </is>
      </nc>
      <ndxf>
        <alignment horizontal="left" vertical="top"/>
      </ndxf>
    </rcc>
    <rcc rId="0" sId="5" dxf="1">
      <nc r="G27" t="inlineStr">
        <is>
          <t>NA</t>
        </is>
      </nc>
      <ndxf>
        <alignment horizontal="left" vertical="top"/>
      </ndxf>
    </rcc>
    <rcc rId="0" sId="5" dxf="1">
      <nc r="H27" t="inlineStr">
        <is>
          <t>NA</t>
        </is>
      </nc>
      <ndxf>
        <alignment horizontal="left" vertical="top"/>
      </ndxf>
    </rcc>
    <rcc rId="0" sId="5" dxf="1">
      <nc r="I27" t="inlineStr">
        <is>
          <t>NA</t>
        </is>
      </nc>
      <ndxf>
        <alignment horizontal="left" vertical="top"/>
      </ndxf>
    </rcc>
    <rcc rId="0" sId="5" dxf="1">
      <nc r="J27">
        <f xml:space="preserve"> 312 - I27</f>
      </nc>
      <ndxf>
        <alignment horizontal="left" vertical="top"/>
      </ndxf>
    </rcc>
    <rcc rId="0" sId="5" dxf="1">
      <nc r="K27">
        <f>VLOOKUP(L27, $P$37:$R$42, 2, FALSE)</f>
      </nc>
      <ndxf>
        <alignment horizontal="left" vertical="top"/>
      </ndxf>
    </rcc>
    <rcc rId="0" sId="5" dxf="1">
      <nc r="L27" t="inlineStr">
        <is>
          <t>NA</t>
        </is>
      </nc>
      <ndxf>
        <alignment horizontal="left" vertical="top"/>
      </ndxf>
    </rcc>
    <rcc rId="0" sId="5" dxf="1">
      <nc r="M27">
        <f>1/((2*DEGREES(ATAN(0.5*$K27/$J27))))</f>
      </nc>
      <ndxf>
        <alignment horizontal="left" vertical="top"/>
      </ndxf>
    </rcc>
    <rfmt sheetId="5" sqref="N27" start="0" length="0">
      <dxf>
        <alignment vertical="top" shrinkToFit="1"/>
      </dxf>
    </rfmt>
    <rcc rId="0" sId="5" dxf="1">
      <nc r="O27" t="inlineStr">
        <is>
          <t>correct decision</t>
        </is>
      </nc>
      <ndxf>
        <alignment horizontal="left" vertical="top" shrinkToFit="1"/>
      </ndxf>
    </rcc>
  </rrc>
  <rrc rId="78" sId="5" ref="A27:XFD27" action="deleteRow">
    <rfmt sheetId="5" xfDxf="1" sqref="A27:XFD27" start="0" length="0"/>
    <rcc rId="0" sId="5" dxf="1">
      <nc r="A27">
        <v>2</v>
      </nc>
      <ndxf>
        <alignment horizontal="left" vertical="top"/>
      </ndxf>
    </rcc>
    <rcc rId="0" sId="5">
      <nc r="B27" t="inlineStr">
        <is>
          <t>NA</t>
        </is>
      </nc>
    </rcc>
    <rcc rId="0" sId="5">
      <nc r="C27">
        <f>_xlfn.TEXTSPLIT($D27, "_")</f>
      </nc>
    </rcc>
    <rcc rId="0" sId="5" dxf="1">
      <nc r="D27" t="inlineStr">
        <is>
          <t>C0051</t>
        </is>
      </nc>
      <ndxf>
        <alignment horizontal="left" vertical="top"/>
      </ndxf>
    </rcc>
    <rfmt sheetId="5" sqref="E27" start="0" length="0">
      <dxf>
        <alignment horizontal="left" vertical="top"/>
      </dxf>
    </rfmt>
    <rcc rId="0" sId="5">
      <nc r="F27" t="inlineStr">
        <is>
          <t>NA</t>
        </is>
      </nc>
    </rcc>
    <rcc rId="0" sId="5">
      <nc r="G27" t="inlineStr">
        <is>
          <t>NA</t>
        </is>
      </nc>
    </rcc>
    <rcc rId="0" sId="5">
      <nc r="H27" t="inlineStr">
        <is>
          <t>NA</t>
        </is>
      </nc>
    </rcc>
    <rcc rId="0" sId="5">
      <nc r="I27" t="inlineStr">
        <is>
          <t>NA</t>
        </is>
      </nc>
    </rcc>
    <rcc rId="0" sId="5" dxf="1">
      <nc r="J27">
        <f xml:space="preserve"> 312 - I27</f>
      </nc>
      <ndxf>
        <alignment horizontal="left" vertical="top"/>
      </ndxf>
    </rcc>
    <rcc rId="0" sId="5" dxf="1">
      <nc r="K27">
        <f>VLOOKUP(L27, $P$36:$R$41, 2, FALSE)</f>
      </nc>
      <ndxf>
        <alignment horizontal="left" vertical="top"/>
      </ndxf>
    </rcc>
    <rcc rId="0" sId="5">
      <nc r="L27" t="inlineStr">
        <is>
          <t>NA</t>
        </is>
      </nc>
    </rcc>
    <rcc rId="0" sId="5" dxf="1">
      <nc r="M27">
        <f>1/((2*DEGREES(ATAN(0.5*$K27/$J27))))</f>
      </nc>
      <ndxf>
        <alignment horizontal="left" vertical="top"/>
      </ndxf>
    </rcc>
    <rfmt sheetId="5" sqref="N27" start="0" length="0">
      <dxf>
        <alignment vertical="top" shrinkToFit="1"/>
      </dxf>
    </rfmt>
    <rcc rId="0" sId="5" dxf="1">
      <nc r="O27" t="inlineStr">
        <is>
          <t>correct decision</t>
        </is>
      </nc>
      <ndxf>
        <alignment vertical="top" shrinkToFit="1"/>
      </ndxf>
    </rcc>
  </rrc>
  <rrc rId="79" sId="5" ref="A27:XFD27" action="deleteRow">
    <rfmt sheetId="5" xfDxf="1" sqref="A27:XFD27" start="0" length="0"/>
    <rcc rId="0" sId="5" dxf="1">
      <nc r="A27">
        <v>2</v>
      </nc>
      <ndxf>
        <alignment horizontal="left" vertical="top"/>
      </ndxf>
    </rcc>
    <rcc rId="0" sId="5">
      <nc r="B27" t="inlineStr">
        <is>
          <t>NA</t>
        </is>
      </nc>
    </rcc>
    <rcc rId="0" sId="5">
      <nc r="C27">
        <f>_xlfn.TEXTSPLIT($D27, "_")</f>
      </nc>
    </rcc>
    <rcc rId="0" sId="5" dxf="1">
      <nc r="D27" t="inlineStr">
        <is>
          <t>C0054_2</t>
        </is>
      </nc>
      <ndxf>
        <alignment horizontal="left" vertical="top"/>
      </ndxf>
    </rcc>
    <rfmt sheetId="5" sqref="E27" start="0" length="0">
      <dxf>
        <alignment horizontal="left" vertical="top"/>
      </dxf>
    </rfmt>
    <rcc rId="0" sId="5">
      <nc r="F27" t="inlineStr">
        <is>
          <t>NA</t>
        </is>
      </nc>
    </rcc>
    <rcc rId="0" sId="5">
      <nc r="G27" t="inlineStr">
        <is>
          <t>NA</t>
        </is>
      </nc>
    </rcc>
    <rcc rId="0" sId="5">
      <nc r="H27" t="inlineStr">
        <is>
          <t>NA</t>
        </is>
      </nc>
    </rcc>
    <rcc rId="0" sId="5">
      <nc r="I27" t="inlineStr">
        <is>
          <t>NA</t>
        </is>
      </nc>
    </rcc>
    <rcc rId="0" sId="5" dxf="1">
      <nc r="J27">
        <f xml:space="preserve"> 312 - I27</f>
      </nc>
      <ndxf>
        <alignment horizontal="left" vertical="top"/>
      </ndxf>
    </rcc>
    <rcc rId="0" sId="5" dxf="1">
      <nc r="K27">
        <f>VLOOKUP(L27, $P$35:$R$40, 2, FALSE)</f>
      </nc>
      <ndxf>
        <alignment horizontal="left" vertical="top"/>
      </ndxf>
    </rcc>
    <rcc rId="0" sId="5">
      <nc r="L27" t="inlineStr">
        <is>
          <t>NA</t>
        </is>
      </nc>
    </rcc>
    <rcc rId="0" sId="5" dxf="1">
      <nc r="M27">
        <f>1/((2*DEGREES(ATAN(0.5*$K27/$J27))))</f>
      </nc>
      <ndxf>
        <alignment horizontal="left" vertical="top"/>
      </ndxf>
    </rcc>
    <rfmt sheetId="5" sqref="N27" start="0" length="0">
      <dxf>
        <alignment vertical="top" shrinkToFit="1"/>
      </dxf>
    </rfmt>
    <rcc rId="0" sId="5" dxf="1">
      <nc r="O27" t="inlineStr">
        <is>
          <t>correct decision</t>
        </is>
      </nc>
      <ndxf>
        <alignment vertical="top" shrinkToFit="1"/>
      </ndxf>
    </rcc>
  </rrc>
  <rrc rId="80" sId="5" ref="A27:XFD27" action="deleteRow">
    <rfmt sheetId="5" xfDxf="1" sqref="A27:XFD27" start="0" length="0"/>
    <rcc rId="0" sId="5" dxf="1">
      <nc r="A27">
        <v>2</v>
      </nc>
      <ndxf>
        <alignment horizontal="left" vertical="top"/>
      </ndxf>
    </rcc>
    <rcc rId="0" sId="5">
      <nc r="B27" t="inlineStr">
        <is>
          <t>NA</t>
        </is>
      </nc>
    </rcc>
    <rcc rId="0" sId="5">
      <nc r="C27">
        <f>_xlfn.TEXTSPLIT($D27, "_")</f>
      </nc>
    </rcc>
    <rcc rId="0" sId="5" dxf="1">
      <nc r="D27" t="inlineStr">
        <is>
          <t>C0050</t>
        </is>
      </nc>
      <ndxf>
        <alignment horizontal="left" vertical="top"/>
      </ndxf>
    </rcc>
    <rfmt sheetId="5" sqref="E27" start="0" length="0">
      <dxf>
        <alignment horizontal="left" vertical="top"/>
      </dxf>
    </rfmt>
    <rcc rId="0" sId="5">
      <nc r="F27" t="inlineStr">
        <is>
          <t>NA</t>
        </is>
      </nc>
    </rcc>
    <rcc rId="0" sId="5">
      <nc r="G27" t="inlineStr">
        <is>
          <t>NA</t>
        </is>
      </nc>
    </rcc>
    <rcc rId="0" sId="5">
      <nc r="H27" t="inlineStr">
        <is>
          <t>NA</t>
        </is>
      </nc>
    </rcc>
    <rcc rId="0" sId="5">
      <nc r="I27" t="inlineStr">
        <is>
          <t>NA</t>
        </is>
      </nc>
    </rcc>
    <rcc rId="0" sId="5" dxf="1">
      <nc r="J27">
        <f xml:space="preserve"> 312 - I27</f>
      </nc>
      <ndxf>
        <alignment horizontal="left" vertical="top"/>
      </ndxf>
    </rcc>
    <rcc rId="0" sId="5" dxf="1">
      <nc r="K27">
        <f>VLOOKUP(L27, $P$34:$R$39, 2, FALSE)</f>
      </nc>
      <ndxf>
        <alignment horizontal="left" vertical="top"/>
      </ndxf>
    </rcc>
    <rcc rId="0" sId="5">
      <nc r="L27" t="inlineStr">
        <is>
          <t>NA</t>
        </is>
      </nc>
    </rcc>
    <rcc rId="0" sId="5" dxf="1">
      <nc r="M27">
        <f>1/((2*DEGREES(ATAN(0.5*$K27/$J27))))</f>
      </nc>
      <ndxf>
        <alignment horizontal="left" vertical="top"/>
      </ndxf>
    </rcc>
    <rfmt sheetId="5" sqref="N27" start="0" length="0">
      <dxf>
        <alignment vertical="top" shrinkToFit="1"/>
      </dxf>
    </rfmt>
    <rcc rId="0" sId="5" dxf="1">
      <nc r="O27" t="inlineStr">
        <is>
          <t>correct decision</t>
        </is>
      </nc>
      <ndxf>
        <alignment vertical="top" shrinkToFit="1"/>
      </ndxf>
    </rcc>
  </rrc>
  <rrc rId="81" sId="5" ref="A27:XFD27" action="deleteRow">
    <rfmt sheetId="5" xfDxf="1" sqref="A27:XFD27" start="0" length="0"/>
    <rcc rId="0" sId="5" dxf="1">
      <nc r="A27">
        <v>2</v>
      </nc>
      <ndxf>
        <alignment horizontal="left" vertical="top"/>
      </ndxf>
    </rcc>
    <rcc rId="0" sId="5">
      <nc r="B27" t="inlineStr">
        <is>
          <t>NA</t>
        </is>
      </nc>
    </rcc>
    <rcc rId="0" sId="5">
      <nc r="C27">
        <f>_xlfn.TEXTSPLIT($D27, "_")</f>
      </nc>
    </rcc>
    <rcc rId="0" sId="5" dxf="1">
      <nc r="D27" t="inlineStr">
        <is>
          <t>C0044</t>
        </is>
      </nc>
      <ndxf>
        <alignment horizontal="left" vertical="top"/>
      </ndxf>
    </rcc>
    <rfmt sheetId="5" sqref="E27" start="0" length="0">
      <dxf>
        <alignment horizontal="left" vertical="top"/>
      </dxf>
    </rfmt>
    <rcc rId="0" sId="5">
      <nc r="F27" t="inlineStr">
        <is>
          <t>NA</t>
        </is>
      </nc>
    </rcc>
    <rcc rId="0" sId="5">
      <nc r="G27" t="inlineStr">
        <is>
          <t>NA</t>
        </is>
      </nc>
    </rcc>
    <rcc rId="0" sId="5">
      <nc r="H27" t="inlineStr">
        <is>
          <t>NA</t>
        </is>
      </nc>
    </rcc>
    <rcc rId="0" sId="5">
      <nc r="I27" t="inlineStr">
        <is>
          <t>NA</t>
        </is>
      </nc>
    </rcc>
    <rcc rId="0" sId="5" dxf="1">
      <nc r="J27">
        <f xml:space="preserve"> 312 - I27</f>
      </nc>
      <ndxf>
        <alignment horizontal="left" vertical="top"/>
      </ndxf>
    </rcc>
    <rcc rId="0" sId="5" dxf="1">
      <nc r="K27">
        <f>VLOOKUP(L27, $P$33:$R$38, 2, FALSE)</f>
      </nc>
      <ndxf>
        <alignment horizontal="left" vertical="top"/>
      </ndxf>
    </rcc>
    <rcc rId="0" sId="5">
      <nc r="L27" t="inlineStr">
        <is>
          <t>NA</t>
        </is>
      </nc>
    </rcc>
    <rcc rId="0" sId="5" dxf="1">
      <nc r="M27">
        <f>1/((2*DEGREES(ATAN(0.5*$K27/$J27))))</f>
      </nc>
      <ndxf>
        <alignment horizontal="left" vertical="top"/>
      </ndxf>
    </rcc>
    <rfmt sheetId="5" sqref="N27" start="0" length="0">
      <dxf>
        <alignment vertical="top" shrinkToFit="1"/>
      </dxf>
    </rfmt>
    <rcc rId="0" sId="5" dxf="1">
      <nc r="O27" t="inlineStr">
        <is>
          <t>correct decision</t>
        </is>
      </nc>
      <ndxf>
        <alignment vertical="top" shrinkToFit="1"/>
      </ndxf>
    </rcc>
  </rrc>
  <rrc rId="82" sId="5" ref="A27:XFD27" action="deleteRow">
    <rfmt sheetId="5" xfDxf="1" sqref="A27:XFD27" start="0" length="0"/>
    <rcc rId="0" sId="5" dxf="1">
      <nc r="A27">
        <v>2</v>
      </nc>
      <ndxf>
        <alignment horizontal="left" vertical="top"/>
      </ndxf>
    </rcc>
    <rcc rId="0" sId="5">
      <nc r="B27" t="inlineStr">
        <is>
          <t>NA</t>
        </is>
      </nc>
    </rcc>
    <rcc rId="0" sId="5">
      <nc r="C27">
        <f>_xlfn.TEXTSPLIT($D27, "_")</f>
      </nc>
    </rcc>
    <rcc rId="0" sId="5">
      <nc r="D27" t="inlineStr">
        <is>
          <t>C0039</t>
        </is>
      </nc>
    </rcc>
    <rcc rId="0" sId="5">
      <nc r="F27" t="inlineStr">
        <is>
          <t>NA</t>
        </is>
      </nc>
    </rcc>
    <rcc rId="0" sId="5">
      <nc r="G27" t="inlineStr">
        <is>
          <t>NA</t>
        </is>
      </nc>
    </rcc>
    <rcc rId="0" sId="5">
      <nc r="H27" t="inlineStr">
        <is>
          <t>NA</t>
        </is>
      </nc>
    </rcc>
    <rcc rId="0" sId="5">
      <nc r="I27" t="inlineStr">
        <is>
          <t>NA</t>
        </is>
      </nc>
    </rcc>
    <rcc rId="0" sId="5" dxf="1">
      <nc r="J27">
        <f xml:space="preserve"> 312 - I27</f>
      </nc>
      <ndxf>
        <alignment horizontal="left" vertical="top"/>
      </ndxf>
    </rcc>
    <rcc rId="0" sId="5" dxf="1">
      <nc r="K27">
        <f>VLOOKUP(L27, $P$32:$R$37, 2, FALSE)</f>
      </nc>
      <ndxf>
        <alignment horizontal="left" vertical="top"/>
      </ndxf>
    </rcc>
    <rcc rId="0" sId="5">
      <nc r="L27" t="inlineStr">
        <is>
          <t>NA</t>
        </is>
      </nc>
    </rcc>
    <rcc rId="0" sId="5" dxf="1">
      <nc r="M27">
        <f>1/((2*DEGREES(ATAN(0.5*$K27/$J27))))</f>
      </nc>
      <ndxf>
        <alignment horizontal="left" vertical="top"/>
      </ndxf>
    </rcc>
    <rfmt sheetId="5" sqref="N27" start="0" length="0">
      <dxf>
        <alignment vertical="top" shrinkToFit="1"/>
      </dxf>
    </rfmt>
    <rcc rId="0" sId="5" dxf="1">
      <nc r="O27" t="inlineStr">
        <is>
          <t>Ignoring this trial, as she actually tried to enter the hole.</t>
        </is>
      </nc>
      <ndxf>
        <alignment vertical="top" shrinkToFit="1"/>
      </ndxf>
    </rcc>
  </rrc>
</revisions>
</file>

<file path=xl/revisions/revisionLog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fmt sheetId="1" sqref="P1:P1048576">
    <dxf>
      <fill>
        <patternFill patternType="solid">
          <bgColor rgb="FFFF0000"/>
        </patternFill>
      </fill>
    </dxf>
  </rfmt>
  <rfmt sheetId="1" sqref="Q1:Q1048576">
    <dxf>
      <fill>
        <patternFill patternType="solid">
          <bgColor rgb="FFFF0000"/>
        </patternFill>
      </fill>
    </dxf>
  </rfmt>
  <rrc rId="83" sId="1" ref="R1:R1048576" action="insertCol"/>
  <rfmt sheetId="1" sqref="R1:R1048576">
    <dxf>
      <fill>
        <patternFill patternType="none">
          <bgColor auto="1"/>
        </patternFill>
      </fill>
    </dxf>
  </rfmt>
  <rcc rId="84" sId="1">
    <nc r="R1" t="inlineStr">
      <is>
        <t>cycle_width</t>
      </is>
    </nc>
  </rcc>
</revisions>
</file>

<file path=xl/revisions/revisionLog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85" sId="2" ref="P1:P1048576" action="insertCol"/>
  <rcc rId="86" sId="2">
    <nc r="P1" t="inlineStr">
      <is>
        <t>cycle_width</t>
      </is>
    </nc>
  </rcc>
</revisions>
</file>

<file path=xl/revisions/revisionLog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87" sId="3">
    <oc r="A1" t="inlineStr">
      <is>
        <t>nest</t>
      </is>
    </oc>
    <nc r="A1"/>
  </rcc>
  <rcc rId="88" sId="3">
    <oc r="B1" t="inlineStr">
      <is>
        <t>bee_flight</t>
      </is>
    </oc>
    <nc r="B1"/>
  </rcc>
  <rcc rId="89" sId="3">
    <oc r="C1" t="inlineStr">
      <is>
        <t>video_name</t>
      </is>
    </oc>
    <nc r="C1"/>
  </rcc>
  <rcc rId="90" sId="3">
    <oc r="D1" t="inlineStr">
      <is>
        <t>date</t>
      </is>
    </oc>
    <nc r="D1"/>
  </rcc>
  <rcc rId="91" sId="3">
    <oc r="E1" t="inlineStr">
      <is>
        <t>t_video_start</t>
      </is>
    </oc>
    <nc r="E1"/>
  </rcc>
  <rcc rId="92" sId="3">
    <oc r="F1" t="inlineStr">
      <is>
        <t>elapse_t_dep</t>
      </is>
    </oc>
    <nc r="F1"/>
  </rcc>
  <rcc rId="93" sId="3">
    <oc r="G1" t="inlineStr">
      <is>
        <t>t_dep</t>
      </is>
    </oc>
    <nc r="G1"/>
  </rcc>
  <rcc rId="94" sId="3">
    <oc r="H1" t="inlineStr">
      <is>
        <t>elapse_t_ret</t>
      </is>
    </oc>
    <nc r="H1"/>
  </rcc>
  <rcc rId="95" sId="3">
    <oc r="I1" t="inlineStr">
      <is>
        <t>t_ret</t>
      </is>
    </oc>
    <nc r="I1"/>
  </rcc>
  <rcc rId="96" sId="3">
    <oc r="J1" t="inlineStr">
      <is>
        <t>side_dpatt_dep</t>
      </is>
    </oc>
    <nc r="J1"/>
  </rcc>
  <rcc rId="97" sId="3">
    <oc r="K1" t="inlineStr">
      <is>
        <t>side_dpatt_ret</t>
      </is>
    </oc>
    <nc r="K1"/>
  </rcc>
  <rcc rId="98" sId="3">
    <oc r="L1" t="inlineStr">
      <is>
        <t>first_decision</t>
      </is>
    </oc>
    <nc r="L1"/>
  </rcc>
  <rcc rId="99" sId="3">
    <oc r="M1" t="inlineStr">
      <is>
        <t>notes</t>
      </is>
    </oc>
    <nc r="M1"/>
  </rcc>
  <rcc rId="100" sId="3">
    <oc r="P1" t="inlineStr">
      <is>
        <t xml:space="preserve">NB. Left and right was defined by facing the entrance that faced the center of our forest clearing, </t>
      </is>
    </oc>
    <nc r="P1"/>
  </rcc>
  <rcc rId="101" sId="3">
    <oc r="A2">
      <v>1</v>
    </oc>
    <nc r="A2"/>
  </rcc>
  <rcc rId="102" sId="3">
    <oc r="C2" t="inlineStr">
      <is>
        <t>C0114</t>
      </is>
    </oc>
    <nc r="C2"/>
  </rcc>
  <rcc rId="103" sId="3" numFmtId="19">
    <oc r="D2">
      <v>45417</v>
    </oc>
    <nc r="D2"/>
  </rcc>
  <rcc rId="104" sId="3" numFmtId="26">
    <oc r="E2">
      <v>0.75337962962962968</v>
    </oc>
    <nc r="E2"/>
  </rcc>
  <rcc rId="105" sId="3" numFmtId="26">
    <oc r="F2">
      <v>2.3506944444444445E-2</v>
    </oc>
    <nc r="F2"/>
  </rcc>
  <rcc rId="106" sId="3">
    <oc r="G2">
      <f>$E2 +$F2</f>
    </oc>
    <nc r="G2"/>
  </rcc>
  <rcc rId="107" sId="3" numFmtId="26">
    <oc r="H2">
      <v>2.5868055555555554E-2</v>
    </oc>
    <nc r="H2"/>
  </rcc>
  <rcc rId="108" sId="3">
    <oc r="I2">
      <f>$E2+$H2</f>
    </oc>
    <nc r="I2"/>
  </rcc>
  <rcc rId="109" sId="3">
    <oc r="A3">
      <v>2</v>
    </oc>
    <nc r="A3"/>
  </rcc>
  <rcc rId="110" sId="3">
    <oc r="C3" t="inlineStr">
      <is>
        <t>C0114</t>
      </is>
    </oc>
    <nc r="C3"/>
  </rcc>
  <rcc rId="111" sId="3" numFmtId="19">
    <oc r="D3">
      <v>45417</v>
    </oc>
    <nc r="D3"/>
  </rcc>
  <rcc rId="112" sId="3" numFmtId="26">
    <oc r="E3">
      <v>0.75337962962962968</v>
    </oc>
    <nc r="E3"/>
  </rcc>
  <rcc rId="113" sId="3">
    <oc r="F3" t="inlineStr">
      <is>
        <t>NA</t>
      </is>
    </oc>
    <nc r="F3"/>
  </rcc>
  <rcc rId="114" sId="3">
    <oc r="G3" t="inlineStr">
      <is>
        <t>NA</t>
      </is>
    </oc>
    <nc r="G3"/>
  </rcc>
  <rcc rId="115" sId="3">
    <oc r="H3" t="inlineStr">
      <is>
        <t>NA</t>
      </is>
    </oc>
    <nc r="H3"/>
  </rcc>
  <rcc rId="116" sId="3">
    <oc r="I3" t="inlineStr">
      <is>
        <t>NA</t>
      </is>
    </oc>
    <nc r="I3"/>
  </rcc>
  <rcc rId="117" sId="3">
    <oc r="M3" t="inlineStr">
      <is>
        <t>no activity</t>
      </is>
    </oc>
    <nc r="M3"/>
  </rcc>
  <rcc rId="118" sId="3">
    <oc r="A4">
      <v>1</v>
    </oc>
    <nc r="A4"/>
  </rcc>
  <rcc rId="119" sId="3">
    <oc r="C4" t="inlineStr">
      <is>
        <t>C0115</t>
      </is>
    </oc>
    <nc r="C4"/>
  </rcc>
  <rcc rId="120" sId="3" numFmtId="19">
    <oc r="D4">
      <v>45418</v>
    </oc>
    <nc r="D4"/>
  </rcc>
  <rcc rId="121" sId="3" numFmtId="26">
    <oc r="E4">
      <v>0.2240625</v>
    </oc>
    <nc r="E4"/>
  </rcc>
  <rcc rId="122" sId="3">
    <oc r="F4" t="inlineStr">
      <is>
        <t>NA</t>
      </is>
    </oc>
    <nc r="F4"/>
  </rcc>
  <rcc rId="123" sId="3">
    <oc r="G4" t="inlineStr">
      <is>
        <t>NA</t>
      </is>
    </oc>
    <nc r="G4"/>
  </rcc>
  <rcc rId="124" sId="3">
    <oc r="H4" t="inlineStr">
      <is>
        <t>NA</t>
      </is>
    </oc>
    <nc r="H4"/>
  </rcc>
  <rcc rId="125" sId="3">
    <oc r="I4" t="inlineStr">
      <is>
        <t>NA</t>
      </is>
    </oc>
    <nc r="I4"/>
  </rcc>
  <rcc rId="126" sId="3">
    <oc r="M4" t="inlineStr">
      <is>
        <t>cant see any activity</t>
      </is>
    </oc>
    <nc r="M4"/>
  </rcc>
  <rcc rId="127" sId="3">
    <oc r="A5">
      <v>2</v>
    </oc>
    <nc r="A5"/>
  </rcc>
  <rcc rId="128" sId="3">
    <oc r="C5" t="inlineStr">
      <is>
        <t>C0115</t>
      </is>
    </oc>
    <nc r="C5"/>
  </rcc>
  <rcc rId="129" sId="3" numFmtId="19">
    <oc r="D5">
      <v>45418</v>
    </oc>
    <nc r="D5"/>
  </rcc>
  <rcc rId="130" sId="3" numFmtId="26">
    <oc r="E5">
      <v>0.2240625</v>
    </oc>
    <nc r="E5"/>
  </rcc>
  <rcc rId="131" sId="3">
    <oc r="F5" t="inlineStr">
      <is>
        <t>NA</t>
      </is>
    </oc>
    <nc r="F5"/>
  </rcc>
  <rcc rId="132" sId="3">
    <oc r="G5" t="inlineStr">
      <is>
        <t>NA</t>
      </is>
    </oc>
    <nc r="G5"/>
  </rcc>
  <rcc rId="133" sId="3">
    <oc r="H5" t="inlineStr">
      <is>
        <t>NA</t>
      </is>
    </oc>
    <nc r="H5"/>
  </rcc>
  <rcc rId="134" sId="3">
    <oc r="I5" t="inlineStr">
      <is>
        <t>NA</t>
      </is>
    </oc>
    <nc r="I5"/>
  </rcc>
  <rcc rId="135" sId="3">
    <oc r="M5" t="inlineStr">
      <is>
        <t>cant see any activity</t>
      </is>
    </oc>
    <nc r="M5"/>
  </rcc>
  <rcc rId="136" sId="3">
    <oc r="A6" t="inlineStr">
      <is>
        <t>?</t>
      </is>
    </oc>
    <nc r="A6"/>
  </rcc>
  <rcc rId="137" sId="3">
    <oc r="B6">
      <v>1</v>
    </oc>
    <nc r="B6"/>
  </rcc>
  <rcc rId="138" sId="3">
    <oc r="C6" t="inlineStr">
      <is>
        <t>C0117</t>
      </is>
    </oc>
    <nc r="C6"/>
  </rcc>
  <rcc rId="139" sId="3" numFmtId="26">
    <oc r="F6">
      <v>1.712962962962963E-3</v>
    </oc>
    <nc r="F6"/>
  </rcc>
  <rcc rId="140" sId="3" numFmtId="26">
    <oc r="H6">
      <v>1.3541666666666667E-2</v>
    </oc>
    <nc r="H6"/>
  </rcc>
  <rcc rId="141" sId="3">
    <oc r="A7" t="inlineStr">
      <is>
        <t>?</t>
      </is>
    </oc>
    <nc r="A7"/>
  </rcc>
  <rcc rId="142" sId="3">
    <oc r="B7">
      <v>2</v>
    </oc>
    <nc r="B7"/>
  </rcc>
  <rcc rId="143" sId="3" numFmtId="26">
    <oc r="F7">
      <v>1.4652777777777778E-2</v>
    </oc>
    <nc r="F7"/>
  </rcc>
  <rcc rId="144" sId="3" numFmtId="26">
    <oc r="H7">
      <v>1.9942129629629629E-2</v>
    </oc>
    <nc r="H7"/>
  </rcc>
  <rcc rId="145" sId="3">
    <oc r="B8">
      <v>3</v>
    </oc>
    <nc r="B8"/>
  </rcc>
  <rcc rId="146" sId="3" numFmtId="26">
    <oc r="H8">
      <v>3.0624999999999999E-2</v>
    </oc>
    <nc r="H8"/>
  </rcc>
  <rcc rId="147" sId="3">
    <oc r="A9" t="inlineStr">
      <is>
        <t>?</t>
      </is>
    </oc>
    <nc r="A9"/>
  </rcc>
  <rcc rId="148" sId="3">
    <oc r="B9">
      <v>1</v>
    </oc>
    <nc r="B9"/>
  </rcc>
  <rcc rId="149" sId="3" numFmtId="26">
    <oc r="F9">
      <v>1.7106481481481483E-2</v>
    </oc>
    <nc r="F9"/>
  </rcc>
  <rcc rId="150" sId="3" numFmtId="26">
    <oc r="H9">
      <v>2.4189814814814813E-2</v>
    </oc>
    <nc r="H9"/>
  </rcc>
  <rcc rId="151" sId="3">
    <oc r="C10" t="inlineStr">
      <is>
        <t>C0139</t>
      </is>
    </oc>
    <nc r="C10"/>
  </rcc>
  <rcc rId="152" sId="3">
    <oc r="A11" t="inlineStr">
      <is>
        <t>L1</t>
      </is>
    </oc>
    <nc r="A11"/>
  </rcc>
  <rcc rId="153" sId="3">
    <oc r="B11">
      <v>1</v>
    </oc>
    <nc r="B11"/>
  </rcc>
  <rcc rId="154" sId="3">
    <oc r="C11" t="inlineStr">
      <is>
        <t>C0144</t>
      </is>
    </oc>
    <nc r="C11"/>
  </rcc>
  <rcc rId="155" sId="3" numFmtId="26">
    <oc r="F11">
      <v>1.2951388888888889E-2</v>
    </oc>
    <nc r="F11"/>
  </rcc>
  <rcc rId="156" sId="3">
    <oc r="H11" t="inlineStr">
      <is>
        <t>NA</t>
      </is>
    </oc>
    <nc r="H11"/>
  </rcc>
  <rcc rId="157" sId="3">
    <oc r="M11" t="inlineStr">
      <is>
        <t>She didn’t manage to return</t>
      </is>
    </oc>
    <nc r="M11"/>
  </rcc>
  <rcc rId="158" sId="3">
    <oc r="A12" t="inlineStr">
      <is>
        <t>r1</t>
      </is>
    </oc>
    <nc r="A12"/>
  </rcc>
  <rcc rId="159" sId="3">
    <oc r="B12">
      <v>1</v>
    </oc>
    <nc r="B12"/>
  </rcc>
  <rcc rId="160" sId="3">
    <oc r="C12" t="inlineStr">
      <is>
        <t>C0144</t>
      </is>
    </oc>
    <nc r="C12"/>
  </rcc>
  <rcc rId="161" sId="3" numFmtId="26">
    <oc r="F12">
      <v>1.3541666666666667E-2</v>
    </oc>
    <nc r="F12"/>
  </rcc>
  <rcc rId="162" sId="3" numFmtId="26">
    <oc r="H12">
      <v>1.7696759259259259E-2</v>
    </oc>
    <nc r="H12"/>
  </rcc>
  <rcc rId="163" sId="3">
    <oc r="A13" t="inlineStr">
      <is>
        <t>r1</t>
      </is>
    </oc>
    <nc r="A13"/>
  </rcc>
  <rcc rId="164" sId="3">
    <oc r="B13">
      <v>2</v>
    </oc>
    <nc r="B13"/>
  </rcc>
  <rcc rId="165" sId="3">
    <oc r="C13" t="inlineStr">
      <is>
        <t>C0144</t>
      </is>
    </oc>
    <nc r="C13"/>
  </rcc>
  <rcc rId="166" sId="3" numFmtId="26">
    <oc r="F13">
      <v>2.0370370370370372E-2</v>
    </oc>
    <nc r="F13"/>
  </rcc>
  <rcc rId="167" sId="3" numFmtId="26">
    <oc r="H13">
      <v>2.7800925925925927E-2</v>
    </oc>
    <nc r="H13"/>
  </rcc>
  <rcc rId="168" sId="3">
    <oc r="A14" t="inlineStr">
      <is>
        <t>r1</t>
      </is>
    </oc>
    <nc r="A14"/>
  </rcc>
  <rcc rId="169" sId="3">
    <oc r="B14">
      <v>3</v>
    </oc>
    <nc r="B14"/>
  </rcc>
  <rcc rId="170" sId="3">
    <oc r="C14" t="inlineStr">
      <is>
        <t>C0144</t>
      </is>
    </oc>
    <nc r="C14"/>
  </rcc>
  <rcc rId="171" sId="3" numFmtId="26">
    <oc r="H14">
      <v>3.0787037037037036E-2</v>
    </oc>
    <nc r="H14"/>
  </rcc>
  <rcc rId="172" sId="3">
    <oc r="A15" t="inlineStr">
      <is>
        <t>r1</t>
      </is>
    </oc>
    <nc r="A15"/>
  </rcc>
  <rcc rId="173" sId="3">
    <oc r="B15">
      <v>1</v>
    </oc>
    <nc r="B15"/>
  </rcc>
  <rcc rId="174" sId="3">
    <oc r="C15" t="inlineStr">
      <is>
        <t>C0121</t>
      </is>
    </oc>
    <nc r="C15"/>
  </rcc>
  <rcc rId="175" sId="3" numFmtId="19">
    <oc r="D15">
      <v>45421</v>
    </oc>
    <nc r="D15"/>
  </rcc>
  <rcc rId="176" sId="3" numFmtId="26">
    <oc r="E15">
      <v>0.22563657407407409</v>
    </oc>
    <nc r="E15"/>
  </rcc>
  <rcc rId="177" sId="3">
    <oc r="F15" t="inlineStr">
      <is>
        <t>NA</t>
      </is>
    </oc>
    <nc r="F15"/>
  </rcc>
  <rcc rId="178" sId="3">
    <oc r="G15" t="inlineStr">
      <is>
        <t>NA</t>
      </is>
    </oc>
    <nc r="G15"/>
  </rcc>
  <rcc rId="179" sId="3" numFmtId="26">
    <oc r="H15">
      <v>1.5486111111111112E-2</v>
    </oc>
    <nc r="H15"/>
  </rcc>
  <rcc rId="180" sId="3">
    <oc r="I15">
      <f>$E15+$H15</f>
    </oc>
    <nc r="I15"/>
  </rcc>
  <rcc rId="181" sId="3">
    <oc r="A16" t="inlineStr">
      <is>
        <t>r1</t>
      </is>
    </oc>
    <nc r="A16"/>
  </rcc>
  <rcc rId="182" sId="3">
    <oc r="B16">
      <v>2</v>
    </oc>
    <nc r="B16"/>
  </rcc>
  <rcc rId="183" sId="3">
    <oc r="C16" t="inlineStr">
      <is>
        <t>C0121</t>
      </is>
    </oc>
    <nc r="C16"/>
  </rcc>
  <rcc rId="184" sId="3" numFmtId="19">
    <oc r="D16">
      <v>45421</v>
    </oc>
    <nc r="D16"/>
  </rcc>
  <rcc rId="185" sId="3" numFmtId="26">
    <oc r="E16">
      <v>0.22563657407407409</v>
    </oc>
    <nc r="E16"/>
  </rcc>
  <rcc rId="186" sId="3" numFmtId="26">
    <oc r="F16">
      <v>6.122685185185185E-3</v>
    </oc>
    <nc r="F16"/>
  </rcc>
  <rcc rId="187" sId="3">
    <oc r="G16">
      <f>$E16 +$F16</f>
    </oc>
    <nc r="G16"/>
  </rcc>
  <rcc rId="188" sId="3" numFmtId="26">
    <oc r="H16">
      <v>1.9050925925925926E-2</v>
    </oc>
    <nc r="H16"/>
  </rcc>
  <rcc rId="189" sId="3">
    <oc r="I16">
      <f>$E16+$H16</f>
    </oc>
    <nc r="I16"/>
  </rcc>
  <rcc rId="190" sId="3">
    <oc r="A17" t="inlineStr">
      <is>
        <t>L1</t>
      </is>
    </oc>
    <nc r="A17"/>
  </rcc>
  <rcc rId="191" sId="3">
    <oc r="B17">
      <v>1</v>
    </oc>
    <nc r="B17"/>
  </rcc>
  <rcc rId="192" sId="3">
    <oc r="C17" t="inlineStr">
      <is>
        <t>C0121</t>
      </is>
    </oc>
    <nc r="C17"/>
  </rcc>
  <rcc rId="193" sId="3" numFmtId="19">
    <oc r="D17">
      <v>45421</v>
    </oc>
    <nc r="D17"/>
  </rcc>
  <rcc rId="194" sId="3" numFmtId="26">
    <oc r="E17">
      <v>0.22563657407407409</v>
    </oc>
    <nc r="E17"/>
  </rcc>
  <rcc rId="195" sId="3">
    <oc r="F17" t="inlineStr">
      <is>
        <t>NA</t>
      </is>
    </oc>
    <nc r="F17"/>
  </rcc>
  <rcc rId="196" sId="3">
    <oc r="G17" t="inlineStr">
      <is>
        <t>NA</t>
      </is>
    </oc>
    <nc r="G17"/>
  </rcc>
  <rcc rId="197" sId="3" numFmtId="26">
    <oc r="H17">
      <v>1.9907407407407408E-2</v>
    </oc>
    <nc r="H17"/>
  </rcc>
  <rcc rId="198" sId="3">
    <oc r="I17">
      <f>$E17+$H17</f>
    </oc>
    <nc r="I17"/>
  </rcc>
  <rcc rId="199" sId="3">
    <oc r="M17" t="inlineStr">
      <is>
        <t>removed bag on her side to help her get in as she didn’t return to nest prev night</t>
      </is>
    </oc>
    <nc r="M17"/>
  </rcc>
  <rcc rId="200" sId="3">
    <oc r="A18" t="inlineStr">
      <is>
        <t>L1</t>
      </is>
    </oc>
    <nc r="A18"/>
  </rcc>
  <rcc rId="201" sId="3">
    <oc r="B18">
      <v>1</v>
    </oc>
    <nc r="B18"/>
  </rcc>
  <rcc rId="202" sId="3">
    <oc r="C18" t="inlineStr">
      <is>
        <t>C0122</t>
      </is>
    </oc>
    <nc r="C18"/>
  </rcc>
  <rcc rId="203" sId="3" numFmtId="19">
    <oc r="D18">
      <v>45421</v>
    </oc>
    <nc r="D18"/>
  </rcc>
  <rcc rId="204" sId="3" numFmtId="26">
    <oc r="E18">
      <v>0.77575231481481477</v>
    </oc>
    <nc r="E18"/>
  </rcc>
  <rcc rId="205" sId="3">
    <oc r="F18" t="inlineStr">
      <is>
        <t>NA</t>
      </is>
    </oc>
    <nc r="F18"/>
  </rcc>
  <rcc rId="206" sId="3">
    <oc r="G18" t="inlineStr">
      <is>
        <t>NA</t>
      </is>
    </oc>
    <nc r="G18"/>
  </rcc>
  <rcc rId="207" sId="3">
    <oc r="H18" t="inlineStr">
      <is>
        <t>NA</t>
      </is>
    </oc>
    <nc r="H18"/>
  </rcc>
  <rcc rId="208" sId="3">
    <oc r="I18" t="inlineStr">
      <is>
        <t>NA</t>
      </is>
    </oc>
    <nc r="I18"/>
  </rcc>
  <rcc rId="209" sId="3">
    <oc r="M18" t="inlineStr">
      <is>
        <t>pre-video start departure, I think. She returns, but doesn’t enter nest, things look too different.</t>
      </is>
    </oc>
    <nc r="M18"/>
  </rcc>
  <rcc rId="210" sId="3">
    <oc r="A19" t="inlineStr">
      <is>
        <t>r1</t>
      </is>
    </oc>
    <nc r="A19"/>
  </rcc>
  <rcc rId="211" sId="3">
    <oc r="B19">
      <v>1</v>
    </oc>
    <nc r="B19"/>
  </rcc>
  <rcc rId="212" sId="3">
    <oc r="C19" t="inlineStr">
      <is>
        <t>C0122</t>
      </is>
    </oc>
    <nc r="C19"/>
  </rcc>
  <rcc rId="213" sId="3" numFmtId="19">
    <oc r="D19">
      <v>45421</v>
    </oc>
    <nc r="D19"/>
  </rcc>
  <rcc rId="214" sId="3" numFmtId="26">
    <oc r="E19">
      <v>0.77575231481481477</v>
    </oc>
    <nc r="E19"/>
  </rcc>
  <rcc rId="215" sId="3">
    <oc r="F19" t="inlineStr">
      <is>
        <t>NA</t>
      </is>
    </oc>
    <nc r="F19"/>
  </rcc>
  <rcc rId="216" sId="3">
    <oc r="G19" t="inlineStr">
      <is>
        <t>NA</t>
      </is>
    </oc>
    <nc r="G19"/>
  </rcc>
  <rcc rId="217" sId="3" numFmtId="26">
    <oc r="H19">
      <v>2.7430555555555554E-3</v>
    </oc>
    <nc r="H19"/>
  </rcc>
  <rcc rId="218" sId="3">
    <oc r="I19">
      <f>$E19+$H19</f>
    </oc>
    <nc r="I19"/>
  </rcc>
  <rcc rId="219" sId="3">
    <oc r="A20" t="inlineStr">
      <is>
        <t>r1</t>
      </is>
    </oc>
    <nc r="A20"/>
  </rcc>
  <rcc rId="220" sId="3">
    <oc r="B20">
      <v>2</v>
    </oc>
    <nc r="B20"/>
  </rcc>
  <rcc rId="221" sId="3">
    <oc r="C20" t="inlineStr">
      <is>
        <t>C0122</t>
      </is>
    </oc>
    <nc r="C20"/>
  </rcc>
  <rcc rId="222" sId="3" numFmtId="19">
    <oc r="D20">
      <v>45421</v>
    </oc>
    <nc r="D20"/>
  </rcc>
  <rcc rId="223" sId="3" numFmtId="26">
    <oc r="E20">
      <v>0.77575231481481477</v>
    </oc>
    <nc r="E20"/>
  </rcc>
  <rcc rId="224" sId="3">
    <oc r="F20" t="inlineStr">
      <is>
        <t>NA</t>
      </is>
    </oc>
    <nc r="F20"/>
  </rcc>
  <rcc rId="225" sId="3">
    <oc r="G20" t="inlineStr">
      <is>
        <t>NA</t>
      </is>
    </oc>
    <nc r="G20"/>
  </rcc>
  <rcc rId="226" sId="3" numFmtId="26">
    <oc r="H20">
      <v>5.8101851851851856E-3</v>
    </oc>
    <nc r="H20"/>
  </rcc>
  <rcc rId="227" sId="3">
    <oc r="I20">
      <f>$E20+$H20</f>
    </oc>
    <nc r="I20"/>
  </rcc>
  <rcc rId="228" sId="3">
    <oc r="A21" t="inlineStr">
      <is>
        <t>r1</t>
      </is>
    </oc>
    <nc r="A21"/>
  </rcc>
  <rcc rId="229" sId="3">
    <oc r="B21">
      <v>3</v>
    </oc>
    <nc r="B21"/>
  </rcc>
  <rcc rId="230" sId="3">
    <oc r="C21" t="inlineStr">
      <is>
        <t>C0122</t>
      </is>
    </oc>
    <nc r="C21"/>
  </rcc>
  <rcc rId="231" sId="3" numFmtId="19">
    <oc r="D21">
      <v>45421</v>
    </oc>
    <nc r="D21"/>
  </rcc>
  <rcc rId="232" sId="3" numFmtId="26">
    <oc r="E21">
      <v>0.77575231481481477</v>
    </oc>
    <nc r="E21"/>
  </rcc>
  <rcc rId="233" sId="3">
    <oc r="F21" t="inlineStr">
      <is>
        <t>NA</t>
      </is>
    </oc>
    <nc r="F21"/>
  </rcc>
  <rcc rId="234" sId="3">
    <oc r="G21" t="inlineStr">
      <is>
        <t>NA</t>
      </is>
    </oc>
    <nc r="G21"/>
  </rcc>
  <rcc rId="235" sId="3" numFmtId="26">
    <oc r="H21">
      <v>7.4999999999999997E-3</v>
    </oc>
    <nc r="H21"/>
  </rcc>
  <rcc rId="236" sId="3">
    <oc r="I21">
      <f>$E21+$H21</f>
    </oc>
    <nc r="I21"/>
  </rcc>
  <rcc rId="237" sId="3">
    <oc r="A22" t="inlineStr">
      <is>
        <t>r1</t>
      </is>
    </oc>
    <nc r="A22"/>
  </rcc>
  <rcc rId="238" sId="3">
    <oc r="B22">
      <v>4</v>
    </oc>
    <nc r="B22"/>
  </rcc>
  <rcc rId="239" sId="3">
    <oc r="C22" t="inlineStr">
      <is>
        <t>C0122</t>
      </is>
    </oc>
    <nc r="C22"/>
  </rcc>
  <rcc rId="240" sId="3" numFmtId="19">
    <oc r="D22">
      <v>45421</v>
    </oc>
    <nc r="D22"/>
  </rcc>
  <rcc rId="241" sId="3" numFmtId="26">
    <oc r="E22">
      <v>0.77575231481481477</v>
    </oc>
    <nc r="E22"/>
  </rcc>
  <rcc rId="242" sId="3" numFmtId="26">
    <oc r="F22">
      <v>2.0138888888888888E-3</v>
    </oc>
    <nc r="F22"/>
  </rcc>
  <rcc rId="243" sId="3">
    <oc r="G22">
      <f>$E22 +$F22</f>
    </oc>
    <nc r="G22"/>
  </rcc>
  <rcc rId="244" sId="3" numFmtId="26">
    <oc r="H22">
      <v>1.0069444444444445E-2</v>
    </oc>
    <nc r="H22"/>
  </rcc>
  <rcc rId="245" sId="3">
    <oc r="I22">
      <f>$E22+$H22</f>
    </oc>
    <nc r="I22"/>
  </rcc>
  <rcc rId="246" sId="3">
    <oc r="A23" t="inlineStr">
      <is>
        <t>r1</t>
      </is>
    </oc>
    <nc r="A23"/>
  </rcc>
  <rcc rId="247" sId="3">
    <oc r="B23">
      <v>5</v>
    </oc>
    <nc r="B23"/>
  </rcc>
  <rcc rId="248" sId="3">
    <oc r="C23" t="inlineStr">
      <is>
        <t>C0122</t>
      </is>
    </oc>
    <nc r="C23"/>
  </rcc>
  <rcc rId="249" sId="3" numFmtId="19">
    <oc r="D23">
      <v>45421</v>
    </oc>
    <nc r="D23"/>
  </rcc>
  <rcc rId="250" sId="3" numFmtId="26">
    <oc r="E23">
      <v>0.77575231481481477</v>
    </oc>
    <nc r="E23"/>
  </rcc>
  <rcc rId="251" sId="3" numFmtId="26">
    <oc r="F23">
      <v>7.858796296296296E-3</v>
    </oc>
    <nc r="F23"/>
  </rcc>
  <rcc rId="252" sId="3">
    <oc r="G23">
      <f>$E23 +$F23</f>
    </oc>
    <nc r="G23"/>
  </rcc>
  <rcc rId="253" sId="3" numFmtId="26">
    <oc r="H23">
      <v>1.2233796296296296E-2</v>
    </oc>
    <nc r="H23"/>
  </rcc>
  <rcc rId="254" sId="3">
    <oc r="I23">
      <f>$E23+$H23</f>
    </oc>
    <nc r="I23"/>
  </rcc>
  <rcc rId="255" sId="3">
    <oc r="A24" t="inlineStr">
      <is>
        <t>r1</t>
      </is>
    </oc>
    <nc r="A24"/>
  </rcc>
  <rcc rId="256" sId="3">
    <oc r="B24">
      <v>6</v>
    </oc>
    <nc r="B24"/>
  </rcc>
  <rcc rId="257" sId="3">
    <oc r="C24" t="inlineStr">
      <is>
        <t>C0122</t>
      </is>
    </oc>
    <nc r="C24"/>
  </rcc>
  <rcc rId="258" sId="3" numFmtId="19">
    <oc r="D24">
      <v>45421</v>
    </oc>
    <nc r="D24"/>
  </rcc>
  <rcc rId="259" sId="3" numFmtId="26">
    <oc r="E24">
      <v>0.77575231481481477</v>
    </oc>
    <nc r="E24"/>
  </rcc>
  <rcc rId="260" sId="3" numFmtId="26">
    <oc r="F24">
      <v>1.3414351851851853E-2</v>
    </oc>
    <nc r="F24"/>
  </rcc>
  <rcc rId="261" sId="3">
    <oc r="G24">
      <f>$E24 +$F24</f>
    </oc>
    <nc r="G24"/>
  </rcc>
  <rcc rId="262" sId="3" numFmtId="26">
    <oc r="H24">
      <v>1.457175925925926E-2</v>
    </oc>
    <nc r="H24"/>
  </rcc>
  <rcc rId="263" sId="3">
    <oc r="I24">
      <f>$E24+$H24</f>
    </oc>
    <nc r="I24"/>
  </rcc>
  <rcc rId="264" sId="3">
    <oc r="A25" t="inlineStr">
      <is>
        <t>r1</t>
      </is>
    </oc>
    <nc r="A25"/>
  </rcc>
  <rcc rId="265" sId="3">
    <oc r="B25">
      <v>1</v>
    </oc>
    <nc r="B25"/>
  </rcc>
  <rcc rId="266" sId="3">
    <oc r="C25" t="inlineStr">
      <is>
        <t>C0123</t>
      </is>
    </oc>
    <nc r="C25"/>
  </rcc>
  <rcc rId="267" sId="3" numFmtId="19">
    <oc r="D25">
      <v>45422</v>
    </oc>
    <nc r="D25"/>
  </rcc>
  <rcc rId="268" sId="3" numFmtId="26">
    <oc r="E25">
      <v>0.22280092592592593</v>
    </oc>
    <nc r="E25"/>
  </rcc>
  <rcc rId="269" sId="3">
    <oc r="F25" t="inlineStr">
      <is>
        <t>NA</t>
      </is>
    </oc>
    <nc r="F25"/>
  </rcc>
  <rcc rId="270" sId="3">
    <oc r="G25" t="inlineStr">
      <is>
        <t>NA</t>
      </is>
    </oc>
    <nc r="G25"/>
  </rcc>
  <rcc rId="271" sId="3" numFmtId="26">
    <oc r="H25">
      <v>2.0729166666666667E-2</v>
    </oc>
    <nc r="H25"/>
  </rcc>
  <rcc rId="272" sId="3">
    <oc r="I25">
      <f>$E25+$H25</f>
    </oc>
    <nc r="I25"/>
  </rcc>
  <rcc rId="273" sId="3">
    <oc r="A26" t="inlineStr">
      <is>
        <t>r1</t>
      </is>
    </oc>
    <nc r="A26"/>
  </rcc>
  <rcc rId="274" sId="3">
    <oc r="B26">
      <v>2</v>
    </oc>
    <nc r="B26"/>
  </rcc>
  <rcc rId="275" sId="3">
    <oc r="C26" t="inlineStr">
      <is>
        <t>C0123</t>
      </is>
    </oc>
    <nc r="C26"/>
  </rcc>
  <rcc rId="276" sId="3" numFmtId="19">
    <oc r="D26">
      <v>45422</v>
    </oc>
    <nc r="D26"/>
  </rcc>
  <rcc rId="277" sId="3" numFmtId="26">
    <oc r="E26">
      <v>0.22280092592592593</v>
    </oc>
    <nc r="E26"/>
  </rcc>
  <rcc rId="278" sId="3" numFmtId="26">
    <oc r="F26">
      <v>1.34375E-2</v>
    </oc>
    <nc r="F26"/>
  </rcc>
  <rcc rId="279" sId="3">
    <oc r="G26">
      <f>$E26 +$F26</f>
    </oc>
    <nc r="G26"/>
  </rcc>
  <rcc rId="280" sId="3">
    <oc r="H26" t="inlineStr">
      <is>
        <t>NA</t>
      </is>
    </oc>
    <nc r="H26"/>
  </rcc>
  <rcc rId="281" sId="3">
    <oc r="I26" t="inlineStr">
      <is>
        <t>NA</t>
      </is>
    </oc>
    <nc r="I26"/>
  </rcc>
  <rcc rId="282" sId="3">
    <oc r="M26" t="inlineStr">
      <is>
        <t>Did not return. Difficult to tell from video how many bees did not make it back to nest, but at least one I think.</t>
      </is>
    </oc>
    <nc r="M26"/>
  </rcc>
  <rcc rId="283" sId="3">
    <oc r="A27" t="inlineStr">
      <is>
        <t>L1</t>
      </is>
    </oc>
    <nc r="A27"/>
  </rcc>
  <rcc rId="284" sId="3">
    <oc r="B27">
      <v>1</v>
    </oc>
    <nc r="B27"/>
  </rcc>
  <rcc rId="285" sId="3">
    <oc r="C27" t="inlineStr">
      <is>
        <t>C0123</t>
      </is>
    </oc>
    <nc r="C27"/>
  </rcc>
  <rcc rId="286" sId="3" numFmtId="19">
    <oc r="D27">
      <v>45422</v>
    </oc>
    <nc r="D27"/>
  </rcc>
  <rcc rId="287" sId="3" numFmtId="26">
    <oc r="E27">
      <v>0.22280092592592593</v>
    </oc>
    <nc r="E27"/>
  </rcc>
  <rcc rId="288" sId="3">
    <oc r="F27" t="inlineStr">
      <is>
        <t>NA</t>
      </is>
    </oc>
    <nc r="F27"/>
  </rcc>
  <rcc rId="289" sId="3">
    <oc r="G27" t="inlineStr">
      <is>
        <t>NA</t>
      </is>
    </oc>
    <nc r="G27"/>
  </rcc>
  <rcc rId="290" sId="3" numFmtId="26">
    <oc r="H27">
      <v>1.8032407407407407E-2</v>
    </oc>
    <nc r="H27"/>
  </rcc>
  <rcc rId="291" sId="3">
    <oc r="I27">
      <f>$E27+$H27</f>
    </oc>
    <nc r="I27"/>
  </rcc>
  <rcc rId="292" sId="3">
    <oc r="M27" t="inlineStr">
      <is>
        <t>Returned from previous night</t>
      </is>
    </oc>
    <nc r="M27"/>
  </rcc>
  <rcc rId="293" sId="3">
    <oc r="A28" t="inlineStr">
      <is>
        <t>r1</t>
      </is>
    </oc>
    <nc r="A28"/>
  </rcc>
  <rcc rId="294" sId="3">
    <oc r="B28">
      <v>1</v>
    </oc>
    <nc r="B28"/>
  </rcc>
  <rcc rId="295" sId="3">
    <oc r="C28" t="inlineStr">
      <is>
        <t>C0124</t>
      </is>
    </oc>
    <nc r="C28"/>
  </rcc>
  <rcc rId="296" sId="3" numFmtId="19">
    <oc r="D28">
      <v>45422</v>
    </oc>
    <nc r="D28"/>
  </rcc>
  <rcc rId="297" sId="3" numFmtId="26">
    <oc r="E28">
      <v>0.76055555555555554</v>
    </oc>
    <nc r="E28"/>
  </rcc>
  <rcc rId="298" sId="3" numFmtId="26">
    <oc r="F28">
      <v>1.0451388888888889E-2</v>
    </oc>
    <nc r="F28"/>
  </rcc>
  <rcc rId="299" sId="3">
    <oc r="G28">
      <f>$E28 +$F28</f>
    </oc>
    <nc r="G28"/>
  </rcc>
  <rcc rId="300" sId="3" numFmtId="26">
    <oc r="H28">
      <v>1.6481481481481482E-2</v>
    </oc>
    <nc r="H28"/>
  </rcc>
  <rcc rId="301" sId="3">
    <oc r="I28">
      <f>$E28+$H28</f>
    </oc>
    <nc r="I28"/>
  </rcc>
  <rcc rId="302" sId="3">
    <oc r="A29" t="inlineStr">
      <is>
        <t>L1</t>
      </is>
    </oc>
    <nc r="A29"/>
  </rcc>
  <rcc rId="303" sId="3">
    <oc r="B29">
      <v>1</v>
    </oc>
    <nc r="B29"/>
  </rcc>
  <rcc rId="304" sId="3">
    <oc r="C29" t="inlineStr">
      <is>
        <t>C0124</t>
      </is>
    </oc>
    <nc r="C29"/>
  </rcc>
  <rcc rId="305" sId="3" numFmtId="19">
    <oc r="D29">
      <v>45422</v>
    </oc>
    <nc r="D29"/>
  </rcc>
  <rcc rId="306" sId="3" numFmtId="26">
    <oc r="E29">
      <v>0.76055555555555554</v>
    </oc>
    <nc r="E29"/>
  </rcc>
  <rcc rId="307" sId="3">
    <oc r="F29" t="inlineStr">
      <is>
        <t>NA</t>
      </is>
    </oc>
    <nc r="F29"/>
  </rcc>
  <rcc rId="308" sId="3" numFmtId="26">
    <oc r="H29">
      <v>2.2465277777777778E-2</v>
    </oc>
    <nc r="H29"/>
  </rcc>
  <rcc rId="309" sId="3">
    <oc r="I29">
      <f>$E29+$H29</f>
    </oc>
    <nc r="I29"/>
  </rcc>
  <rcc rId="310" sId="3">
    <oc r="A30" t="inlineStr">
      <is>
        <t>L1</t>
      </is>
    </oc>
    <nc r="A30"/>
  </rcc>
  <rcc rId="311" sId="3">
    <oc r="B30">
      <v>1</v>
    </oc>
    <nc r="B30"/>
  </rcc>
  <rcc rId="312" sId="3">
    <oc r="C30" t="inlineStr">
      <is>
        <t>C0125</t>
      </is>
    </oc>
    <nc r="C30"/>
  </rcc>
  <rcc rId="313" sId="3" numFmtId="19">
    <oc r="D30">
      <v>45423</v>
    </oc>
    <nc r="D30"/>
  </rcc>
  <rcc rId="314" sId="3" numFmtId="26">
    <oc r="E30">
      <v>0.22274305555555557</v>
    </oc>
    <nc r="E30"/>
  </rcc>
  <rcc rId="315" sId="3" numFmtId="26">
    <oc r="F30">
      <v>1.0763888888888889E-2</v>
    </oc>
    <nc r="F30"/>
  </rcc>
  <rcc rId="316" sId="3" numFmtId="26">
    <oc r="H30">
      <v>2.5057870370370369E-2</v>
    </oc>
    <nc r="H30"/>
  </rcc>
  <rcc rId="317" sId="3">
    <oc r="I30">
      <f>$E30+$H30</f>
    </oc>
    <nc r="I30"/>
  </rcc>
  <rcc rId="318" sId="3">
    <oc r="M30" t="inlineStr">
      <is>
        <t>Metal disk had epoxy on it, meaning the sleeve was not tight, that’s the only way I can explain why it seems from these videos as though there were very many entrances and bees entered the wrong nests. Returns and tries to enter wrong hole at 00:18:30</t>
      </is>
    </oc>
    <nc r="M30"/>
  </rcc>
  <rcc rId="319" sId="3">
    <oc r="A31" t="inlineStr">
      <is>
        <t>r1</t>
      </is>
    </oc>
    <nc r="A31"/>
  </rcc>
  <rcc rId="320" sId="3">
    <oc r="B31">
      <v>1</v>
    </oc>
    <nc r="B31"/>
  </rcc>
  <rcc rId="321" sId="3">
    <oc r="C31" t="inlineStr">
      <is>
        <t>C0125</t>
      </is>
    </oc>
    <nc r="C31"/>
  </rcc>
  <rcc rId="322" sId="3" numFmtId="19">
    <oc r="D31">
      <v>45423</v>
    </oc>
    <nc r="D31"/>
  </rcc>
  <rcc rId="323" sId="3" numFmtId="26">
    <oc r="E31">
      <v>0.22274305555555557</v>
    </oc>
    <nc r="E31"/>
  </rcc>
  <rcc rId="324" sId="3">
    <oc r="F31" t="inlineStr">
      <is>
        <t>NA</t>
      </is>
    </oc>
    <nc r="F31"/>
  </rcc>
  <rcc rId="325" sId="3">
    <oc r="G31" t="inlineStr">
      <is>
        <t>NA</t>
      </is>
    </oc>
    <nc r="G31"/>
  </rcc>
  <rcc rId="326" sId="3" numFmtId="26">
    <oc r="H31">
      <v>2.3449074074074074E-2</v>
    </oc>
    <nc r="H31"/>
  </rcc>
  <rcc rId="327" sId="3">
    <oc r="I31">
      <f>$E31+$H31</f>
    </oc>
    <nc r="I31"/>
  </rcc>
  <rcc rId="328" sId="3">
    <oc r="M31" t="inlineStr">
      <is>
        <t xml:space="preserve">Pre-video start departure or she slipped out back because epoxy prevented tight fit. Metal disk had epoxy on it, meaning the sleeve was not tight, that’s the only way I can explain why it seems from these videos as though there were very many entrances and bees entered the wrong nests. </t>
      </is>
    </oc>
    <nc r="M31"/>
  </rcc>
  <rcc rId="329" sId="3">
    <oc r="A32" t="inlineStr">
      <is>
        <t>NA</t>
      </is>
    </oc>
    <nc r="A32"/>
  </rcc>
  <rcc rId="330" sId="3">
    <oc r="B32" t="inlineStr">
      <is>
        <t>NA</t>
      </is>
    </oc>
    <nc r="B32"/>
  </rcc>
  <rcc rId="331" sId="3">
    <oc r="C32" t="inlineStr">
      <is>
        <t>NA</t>
      </is>
    </oc>
    <nc r="C32"/>
  </rcc>
  <rcc rId="332" sId="3" numFmtId="19">
    <oc r="D32">
      <v>45423</v>
    </oc>
    <nc r="D32"/>
  </rcc>
  <rcc rId="333" sId="3">
    <oc r="E32" t="inlineStr">
      <is>
        <t>NA</t>
      </is>
    </oc>
    <nc r="E32"/>
  </rcc>
  <rcc rId="334" sId="3">
    <oc r="F32" t="inlineStr">
      <is>
        <t>NA</t>
      </is>
    </oc>
    <nc r="F32"/>
  </rcc>
  <rcc rId="335" sId="3">
    <oc r="G32" t="inlineStr">
      <is>
        <t>NA</t>
      </is>
    </oc>
    <nc r="G32"/>
  </rcc>
  <rcc rId="336" sId="3">
    <oc r="H32" t="inlineStr">
      <is>
        <t>NA</t>
      </is>
    </oc>
    <nc r="H32"/>
  </rcc>
  <rcc rId="337" sId="3">
    <oc r="I32" t="inlineStr">
      <is>
        <t>NA</t>
      </is>
    </oc>
    <nc r="I32"/>
  </rcc>
  <rcc rId="338" sId="3">
    <oc r="M32" t="inlineStr">
      <is>
        <t xml:space="preserve">camera was 1 minute ahead previously. Recalibrated ahead of evening session 11/05 </t>
      </is>
    </oc>
    <nc r="M32"/>
  </rcc>
  <rcc rId="339" sId="3">
    <oc r="A33" t="inlineStr">
      <is>
        <t>r1</t>
      </is>
    </oc>
    <nc r="A33"/>
  </rcc>
  <rcc rId="340" sId="3">
    <oc r="B33">
      <v>1</v>
    </oc>
    <nc r="B33"/>
  </rcc>
  <rcc rId="341" sId="3">
    <oc r="C33" t="inlineStr">
      <is>
        <t>C0126</t>
      </is>
    </oc>
    <nc r="C33"/>
  </rcc>
  <rcc rId="342" sId="3" numFmtId="19">
    <oc r="D33">
      <v>45424</v>
    </oc>
    <nc r="D33"/>
  </rcc>
  <rcc rId="343" sId="3" numFmtId="26">
    <oc r="E33">
      <v>0.22568287037037038</v>
    </oc>
    <nc r="E33"/>
  </rcc>
  <rcc rId="344" sId="3">
    <oc r="F33" t="inlineStr">
      <is>
        <t>NA</t>
      </is>
    </oc>
    <nc r="F33"/>
  </rcc>
  <rcc rId="345" sId="3">
    <oc r="G33" t="inlineStr">
      <is>
        <t>NA</t>
      </is>
    </oc>
    <nc r="G33"/>
  </rcc>
  <rcc rId="346" sId="3" numFmtId="26">
    <oc r="H33">
      <v>1.7939814814814815E-2</v>
    </oc>
    <nc r="H33"/>
  </rcc>
  <rcc rId="347" sId="3">
    <oc r="I33">
      <f>$E33+$H33</f>
    </oc>
    <nc r="I33"/>
  </rcc>
  <rcc rId="348" sId="3">
    <oc r="J33" t="inlineStr">
      <is>
        <t>L</t>
      </is>
    </oc>
    <nc r="J33"/>
  </rcc>
  <rcc rId="349" sId="3">
    <oc r="K33" t="inlineStr">
      <is>
        <t>R</t>
      </is>
    </oc>
    <nc r="K33"/>
  </rcc>
  <rcc rId="350" sId="3">
    <oc r="L33">
      <v>0</v>
    </oc>
    <nc r="L33"/>
  </rcc>
  <rcc rId="351" sId="3">
    <oc r="M33" t="inlineStr">
      <is>
        <t>I changed pattern before starting video, and seeing as I cant find departure on video, she must have left while patter was still on left side. This bee has finally got it correct on the opposite side.</t>
      </is>
    </oc>
    <nc r="M33"/>
  </rcc>
  <rcc rId="352" sId="3">
    <oc r="A34" t="inlineStr">
      <is>
        <t>r1</t>
      </is>
    </oc>
    <nc r="A34"/>
  </rcc>
  <rcc rId="353" sId="3">
    <oc r="B34">
      <v>2</v>
    </oc>
    <nc r="B34"/>
  </rcc>
  <rcc rId="354" sId="3">
    <oc r="C34" t="inlineStr">
      <is>
        <t>C0126</t>
      </is>
    </oc>
    <nc r="C34"/>
  </rcc>
  <rcc rId="355" sId="3" numFmtId="19">
    <oc r="D34">
      <v>45424</v>
    </oc>
    <nc r="D34"/>
  </rcc>
  <rcc rId="356" sId="3" numFmtId="26">
    <oc r="E34">
      <v>0.22568287037037038</v>
    </oc>
    <nc r="E34"/>
  </rcc>
  <rcc rId="357" sId="3" numFmtId="26">
    <oc r="F34">
      <v>9.6990740740740735E-3</v>
    </oc>
    <nc r="F34"/>
  </rcc>
  <rcc rId="358" sId="3">
    <oc r="G34">
      <f>$E34 +$F34</f>
    </oc>
    <nc r="G34"/>
  </rcc>
  <rcc rId="359" sId="3" numFmtId="26">
    <oc r="H34">
      <v>1.9849537037037037E-2</v>
    </oc>
    <nc r="H34"/>
  </rcc>
  <rcc rId="360" sId="3">
    <oc r="I34">
      <f>$E34+$H34</f>
    </oc>
    <nc r="I34"/>
  </rcc>
  <rcc rId="361" sId="3">
    <oc r="J34" t="inlineStr">
      <is>
        <t>R</t>
      </is>
    </oc>
    <nc r="J34"/>
  </rcc>
  <rcc rId="362" sId="3">
    <oc r="K34" t="inlineStr">
      <is>
        <t>R</t>
      </is>
    </oc>
    <nc r="K34"/>
  </rcc>
  <rcc rId="363" sId="3">
    <oc r="L34">
      <v>1</v>
    </oc>
    <nc r="L34"/>
  </rcc>
  <rcc rId="364" sId="3">
    <oc r="A35" t="inlineStr">
      <is>
        <t>r1</t>
      </is>
    </oc>
    <nc r="A35"/>
  </rcc>
  <rcc rId="365" sId="3">
    <oc r="B35">
      <v>3</v>
    </oc>
    <nc r="B35"/>
  </rcc>
  <rcc rId="366" sId="3">
    <oc r="C35" t="inlineStr">
      <is>
        <t>C0126</t>
      </is>
    </oc>
    <nc r="C35"/>
  </rcc>
  <rcc rId="367" sId="3" numFmtId="19">
    <oc r="D35">
      <v>45424</v>
    </oc>
    <nc r="D35"/>
  </rcc>
  <rcc rId="368" sId="3" numFmtId="26">
    <oc r="E35">
      <v>0.22568287037037038</v>
    </oc>
    <nc r="E35"/>
  </rcc>
  <rcc rId="369" sId="3" numFmtId="26">
    <oc r="F35">
      <v>2.0347222222222221E-2</v>
    </oc>
    <nc r="F35"/>
  </rcc>
  <rcc rId="370" sId="3">
    <oc r="G35">
      <f>$E35 +$F35</f>
    </oc>
    <nc r="G35"/>
  </rcc>
  <rcc rId="371" sId="3" numFmtId="26">
    <oc r="H35">
      <v>2.0486111111111111E-2</v>
    </oc>
    <nc r="H35"/>
  </rcc>
  <rcc rId="372" sId="3">
    <oc r="I35">
      <f>$E35+$H35</f>
    </oc>
    <nc r="I35"/>
  </rcc>
  <rcc rId="373" sId="3">
    <oc r="J35" t="inlineStr">
      <is>
        <t>R</t>
      </is>
    </oc>
    <nc r="J35"/>
  </rcc>
  <rcc rId="374" sId="3">
    <oc r="K35" t="inlineStr">
      <is>
        <t>R</t>
      </is>
    </oc>
    <nc r="K35"/>
  </rcc>
  <rcc rId="375" sId="3">
    <oc r="L35">
      <v>1</v>
    </oc>
    <nc r="L35"/>
  </rcc>
  <rcc rId="376" sId="3">
    <oc r="M35" t="inlineStr">
      <is>
        <t>This is the only bee that I know the departure and return are of the same bee</t>
      </is>
    </oc>
    <nc r="M35"/>
  </rcc>
  <rcc rId="377" sId="3">
    <oc r="A36" t="inlineStr">
      <is>
        <t>r1</t>
      </is>
    </oc>
    <nc r="A36"/>
  </rcc>
  <rcc rId="378" sId="3">
    <oc r="B36">
      <v>4</v>
    </oc>
    <nc r="B36"/>
  </rcc>
  <rcc rId="379" sId="3">
    <oc r="C36" t="inlineStr">
      <is>
        <t>C0126</t>
      </is>
    </oc>
    <nc r="C36"/>
  </rcc>
  <rcc rId="380" sId="3" numFmtId="19">
    <oc r="D36">
      <v>45424</v>
    </oc>
    <nc r="D36"/>
  </rcc>
  <rcc rId="381" sId="3" numFmtId="26">
    <oc r="E36">
      <v>0.22568287037037038</v>
    </oc>
    <nc r="E36"/>
  </rcc>
  <rcc rId="382" sId="3" numFmtId="26">
    <oc r="F36">
      <v>1.9050925925925926E-2</v>
    </oc>
    <nc r="F36"/>
  </rcc>
  <rcc rId="383" sId="3">
    <oc r="G36">
      <f>$E36 +$F36</f>
    </oc>
    <nc r="G36"/>
  </rcc>
  <rcc rId="384" sId="3" numFmtId="26">
    <oc r="H36">
      <v>2.5648148148148149E-2</v>
    </oc>
    <nc r="H36"/>
  </rcc>
  <rcc rId="385" sId="3">
    <oc r="I36">
      <f>$E36+$H36</f>
    </oc>
    <nc r="I36"/>
  </rcc>
  <rcc rId="386" sId="3">
    <oc r="J36" t="inlineStr">
      <is>
        <t>R</t>
      </is>
    </oc>
    <nc r="J36"/>
  </rcc>
  <rcc rId="387" sId="3">
    <oc r="K36" t="inlineStr">
      <is>
        <t>L</t>
      </is>
    </oc>
    <nc r="K36"/>
  </rcc>
  <rcc rId="388" sId="3">
    <oc r="L36">
      <v>1</v>
    </oc>
    <nc r="L36"/>
  </rcc>
  <rcc rId="389" sId="3">
    <oc r="A37" t="inlineStr">
      <is>
        <t>L1</t>
      </is>
    </oc>
    <nc r="A37"/>
  </rcc>
  <rcc rId="390" sId="3">
    <oc r="B37">
      <v>1</v>
    </oc>
    <nc r="B37"/>
  </rcc>
  <rcc rId="391" sId="3">
    <oc r="C37" t="inlineStr">
      <is>
        <t>C0126</t>
      </is>
    </oc>
    <nc r="C37"/>
  </rcc>
  <rcc rId="392" sId="3" numFmtId="19">
    <oc r="D37">
      <v>45424</v>
    </oc>
    <nc r="D37"/>
  </rcc>
  <rcc rId="393" sId="3" numFmtId="26">
    <oc r="E37">
      <v>0.22568287037037038</v>
    </oc>
    <nc r="E37"/>
  </rcc>
  <rcc rId="394" sId="3">
    <oc r="F37" t="inlineStr">
      <is>
        <t>NA</t>
      </is>
    </oc>
    <nc r="F37"/>
  </rcc>
  <rcc rId="395" sId="3">
    <oc r="G37" t="inlineStr">
      <is>
        <t>NA</t>
      </is>
    </oc>
    <nc r="G37"/>
  </rcc>
  <rcc rId="396" sId="3" numFmtId="26">
    <oc r="H37">
      <v>3.2199074074074074E-2</v>
    </oc>
    <nc r="H37"/>
  </rcc>
  <rcc rId="397" sId="3">
    <oc r="I37">
      <f>$E37+$H37</f>
    </oc>
    <nc r="I37"/>
  </rcc>
  <rcc rId="398" sId="3">
    <oc r="J37" t="inlineStr">
      <is>
        <t>R</t>
      </is>
    </oc>
    <nc r="J37"/>
  </rcc>
  <rcc rId="399" sId="3">
    <oc r="K37" t="inlineStr">
      <is>
        <t>R</t>
      </is>
    </oc>
    <nc r="K37"/>
  </rcc>
  <rcc rId="400" sId="3">
    <oc r="L37">
      <v>1</v>
    </oc>
    <nc r="L37"/>
  </rcc>
  <rcc rId="401" sId="3">
    <oc r="A38" t="inlineStr">
      <is>
        <t>r1</t>
      </is>
    </oc>
    <nc r="A38"/>
  </rcc>
  <rcc rId="402" sId="3">
    <oc r="B38">
      <v>1</v>
    </oc>
    <nc r="B38"/>
  </rcc>
  <rcc rId="403" sId="3">
    <oc r="C38" t="inlineStr">
      <is>
        <t>C0127</t>
      </is>
    </oc>
    <nc r="C38"/>
  </rcc>
  <rcc rId="404" sId="3" numFmtId="19">
    <oc r="D38">
      <v>45424</v>
    </oc>
    <nc r="D38"/>
  </rcc>
  <rcc rId="405" sId="3" numFmtId="26">
    <oc r="E38">
      <v>0.76817129629629632</v>
    </oc>
    <nc r="E38"/>
  </rcc>
  <rcc rId="406" sId="3" numFmtId="26">
    <oc r="F38">
      <v>3.0902777777777777E-3</v>
    </oc>
    <nc r="F38"/>
  </rcc>
  <rcc rId="407" sId="3">
    <oc r="G38">
      <f>$E38 +$F38</f>
    </oc>
    <nc r="G38"/>
  </rcc>
  <rcc rId="408" sId="3" numFmtId="26">
    <oc r="H38">
      <v>2.1215277777777777E-2</v>
    </oc>
    <nc r="H38"/>
  </rcc>
  <rcc rId="409" sId="3">
    <oc r="I38">
      <f>$E38+$H38</f>
    </oc>
    <nc r="I38"/>
  </rcc>
  <rcc rId="410" sId="3">
    <oc r="J38" t="inlineStr">
      <is>
        <t>R</t>
      </is>
    </oc>
    <nc r="J38"/>
  </rcc>
  <rcc rId="411" sId="3">
    <oc r="K38" t="inlineStr">
      <is>
        <t>R</t>
      </is>
    </oc>
    <nc r="K38"/>
  </rcc>
  <rcc rId="412" sId="3">
    <oc r="L38">
      <v>1</v>
    </oc>
    <nc r="L38"/>
  </rcc>
  <rcc rId="413" sId="3">
    <oc r="A39" t="inlineStr">
      <is>
        <t>L1</t>
      </is>
    </oc>
    <nc r="A39"/>
  </rcc>
  <rcc rId="414" sId="3">
    <oc r="B39" t="inlineStr">
      <is>
        <t>NA</t>
      </is>
    </oc>
    <nc r="B39"/>
  </rcc>
  <rcc rId="415" sId="3">
    <oc r="C39" t="inlineStr">
      <is>
        <t>C0127</t>
      </is>
    </oc>
    <nc r="C39"/>
  </rcc>
  <rcc rId="416" sId="3" numFmtId="19">
    <oc r="D39">
      <v>45424</v>
    </oc>
    <nc r="D39"/>
  </rcc>
  <rcc rId="417" sId="3" numFmtId="26">
    <oc r="E39">
      <v>0.76817129629629632</v>
    </oc>
    <nc r="E39"/>
  </rcc>
  <rcc rId="418" sId="3">
    <oc r="F39" t="inlineStr">
      <is>
        <t>NA</t>
      </is>
    </oc>
    <nc r="F39"/>
  </rcc>
  <rcc rId="419" sId="3">
    <oc r="G39" t="inlineStr">
      <is>
        <t>NA</t>
      </is>
    </oc>
    <nc r="G39"/>
  </rcc>
  <rcc rId="420" sId="3">
    <oc r="H39" t="inlineStr">
      <is>
        <t>NA</t>
      </is>
    </oc>
    <nc r="H39"/>
  </rcc>
  <rcc rId="421" sId="3">
    <oc r="I39" t="inlineStr">
      <is>
        <t>NA</t>
      </is>
    </oc>
    <nc r="I39"/>
  </rcc>
  <rcc rId="422" sId="3">
    <oc r="J39" t="inlineStr">
      <is>
        <t>L</t>
      </is>
    </oc>
    <nc r="J39"/>
  </rcc>
  <rcc rId="423" sId="3">
    <oc r="K39" t="inlineStr">
      <is>
        <t>L</t>
      </is>
    </oc>
    <nc r="K39"/>
  </rcc>
  <rcc rId="424" sId="3">
    <oc r="L39" t="inlineStr">
      <is>
        <t>NA</t>
      </is>
    </oc>
    <nc r="L39"/>
  </rcc>
  <rcc rId="425" sId="3">
    <oc r="M39" t="inlineStr">
      <is>
        <t>no activity</t>
      </is>
    </oc>
    <nc r="M39"/>
  </rcc>
  <rcc rId="426" sId="3">
    <oc r="A40" t="inlineStr">
      <is>
        <t>r1</t>
      </is>
    </oc>
    <nc r="A40"/>
  </rcc>
  <rcc rId="427" sId="3">
    <oc r="B40">
      <v>1</v>
    </oc>
    <nc r="B40"/>
  </rcc>
  <rcc rId="428" sId="3">
    <oc r="C40" t="inlineStr">
      <is>
        <t>C0128</t>
      </is>
    </oc>
    <nc r="C40"/>
  </rcc>
  <rcc rId="429" sId="3" numFmtId="19">
    <oc r="D40">
      <v>45425</v>
    </oc>
    <nc r="D40"/>
  </rcc>
  <rcc rId="430" sId="3" numFmtId="26">
    <oc r="E40">
      <v>0.21982638888888889</v>
    </oc>
    <nc r="E40"/>
  </rcc>
  <rcc rId="431" sId="3">
    <oc r="F40" t="inlineStr">
      <is>
        <t>NA</t>
      </is>
    </oc>
    <nc r="F40"/>
  </rcc>
  <rcc rId="432" sId="3">
    <oc r="G40" t="inlineStr">
      <is>
        <t>NA</t>
      </is>
    </oc>
    <nc r="G40"/>
  </rcc>
  <rcc rId="433" sId="3" numFmtId="26">
    <oc r="H40">
      <v>1.1458333333333333E-2</v>
    </oc>
    <nc r="H40"/>
  </rcc>
  <rcc rId="434" sId="3">
    <oc r="I40">
      <f>$E40+$H40</f>
    </oc>
    <nc r="I40"/>
  </rcc>
  <rcc rId="435" sId="3">
    <oc r="J40" t="inlineStr">
      <is>
        <t>L</t>
      </is>
    </oc>
    <nc r="J40"/>
  </rcc>
  <rcc rId="436" sId="3">
    <oc r="K40" t="inlineStr">
      <is>
        <t>L</t>
      </is>
    </oc>
    <nc r="K40"/>
  </rcc>
  <rcc rId="437" sId="3">
    <oc r="L40">
      <v>1</v>
    </oc>
    <nc r="L40"/>
  </rcc>
  <rcc rId="438" sId="3">
    <oc r="M40" t="inlineStr">
      <is>
        <t>pre-start departure</t>
      </is>
    </oc>
    <nc r="M40"/>
  </rcc>
  <rcc rId="439" sId="3">
    <oc r="A41" t="inlineStr">
      <is>
        <t>r1</t>
      </is>
    </oc>
    <nc r="A41"/>
  </rcc>
  <rcc rId="440" sId="3">
    <oc r="B41">
      <v>2</v>
    </oc>
    <nc r="B41"/>
  </rcc>
  <rcc rId="441" sId="3">
    <oc r="C41" t="inlineStr">
      <is>
        <t>C0128</t>
      </is>
    </oc>
    <nc r="C41"/>
  </rcc>
  <rcc rId="442" sId="3" numFmtId="19">
    <oc r="D41">
      <v>45425</v>
    </oc>
    <nc r="D41"/>
  </rcc>
  <rcc rId="443" sId="3" numFmtId="26">
    <oc r="E41">
      <v>0.21982638888888889</v>
    </oc>
    <nc r="E41"/>
  </rcc>
  <rcc rId="444" sId="3" numFmtId="26">
    <oc r="F41">
      <v>1.3541666666666667E-2</v>
    </oc>
    <nc r="F41"/>
  </rcc>
  <rcc rId="445" sId="3">
    <oc r="G41">
      <f>$E41 +$F41</f>
    </oc>
    <nc r="G41"/>
  </rcc>
  <rcc rId="446" sId="3" numFmtId="26">
    <oc r="H41">
      <v>2.4305555555555556E-2</v>
    </oc>
    <nc r="H41"/>
  </rcc>
  <rcc rId="447" sId="3">
    <oc r="I41">
      <f>$E41+$H41</f>
    </oc>
    <nc r="I41"/>
  </rcc>
  <rcc rId="448" sId="3">
    <oc r="J41" t="inlineStr">
      <is>
        <t>L</t>
      </is>
    </oc>
    <nc r="J41"/>
  </rcc>
  <rcc rId="449" sId="3">
    <oc r="K41" t="inlineStr">
      <is>
        <t>R</t>
      </is>
    </oc>
    <nc r="K41"/>
  </rcc>
  <rcc rId="450" sId="3">
    <oc r="L41">
      <v>1</v>
    </oc>
    <nc r="L41"/>
  </rcc>
  <rcc rId="451" sId="3">
    <oc r="A42" t="inlineStr">
      <is>
        <t>L1</t>
      </is>
    </oc>
    <nc r="A42"/>
  </rcc>
  <rcc rId="452" sId="3">
    <oc r="B42" t="inlineStr">
      <is>
        <t>NA</t>
      </is>
    </oc>
    <nc r="B42"/>
  </rcc>
  <rcc rId="453" sId="3">
    <oc r="C42" t="inlineStr">
      <is>
        <t>C0128</t>
      </is>
    </oc>
    <nc r="C42"/>
  </rcc>
  <rcc rId="454" sId="3" numFmtId="19">
    <oc r="D42">
      <v>45425</v>
    </oc>
    <nc r="D42"/>
  </rcc>
  <rcc rId="455" sId="3" numFmtId="26">
    <oc r="E42">
      <v>0.21982638888888889</v>
    </oc>
    <nc r="E42"/>
  </rcc>
  <rcc rId="456" sId="3">
    <oc r="F42" t="inlineStr">
      <is>
        <t>NA</t>
      </is>
    </oc>
    <nc r="F42"/>
  </rcc>
  <rcc rId="457" sId="3">
    <oc r="G42" t="inlineStr">
      <is>
        <t>NA</t>
      </is>
    </oc>
    <nc r="G42"/>
  </rcc>
  <rcc rId="458" sId="3">
    <oc r="H42" t="inlineStr">
      <is>
        <t>NA</t>
      </is>
    </oc>
    <nc r="H42"/>
  </rcc>
  <rcc rId="459" sId="3">
    <oc r="I42" t="inlineStr">
      <is>
        <t>NA</t>
      </is>
    </oc>
    <nc r="I42"/>
  </rcc>
  <rcc rId="460" sId="3">
    <oc r="J42" t="inlineStr">
      <is>
        <t>R</t>
      </is>
    </oc>
    <nc r="J42"/>
  </rcc>
  <rcc rId="461" sId="3">
    <oc r="K42" t="inlineStr">
      <is>
        <t>L</t>
      </is>
    </oc>
    <nc r="K42"/>
  </rcc>
  <rcc rId="462" sId="3">
    <oc r="L42" t="inlineStr">
      <is>
        <t>NA</t>
      </is>
    </oc>
    <nc r="L42"/>
  </rcc>
  <rcc rId="463" sId="3">
    <oc r="M42" t="inlineStr">
      <is>
        <t>no activity</t>
      </is>
    </oc>
    <nc r="M42"/>
  </rcc>
  <rcc rId="464" sId="3">
    <oc r="A43" t="inlineStr">
      <is>
        <t>r1</t>
      </is>
    </oc>
    <nc r="A43"/>
  </rcc>
  <rcc rId="465" sId="3">
    <oc r="B43">
      <v>1</v>
    </oc>
    <nc r="B43"/>
  </rcc>
  <rcc rId="466" sId="3">
    <oc r="C43" t="inlineStr">
      <is>
        <t>C0129</t>
      </is>
    </oc>
    <nc r="C43"/>
  </rcc>
  <rcc rId="467" sId="3" numFmtId="19">
    <oc r="D43">
      <v>45425</v>
    </oc>
    <nc r="D43"/>
  </rcc>
  <rcc rId="468" sId="3" numFmtId="26">
    <oc r="E43">
      <v>0.76304398148148145</v>
    </oc>
    <nc r="E43"/>
  </rcc>
  <rcc rId="469" sId="3" numFmtId="26">
    <oc r="F43">
      <v>5.8796296296296296E-3</v>
    </oc>
    <nc r="F43"/>
  </rcc>
  <rcc rId="470" sId="3">
    <oc r="G43">
      <f>$E43 +$F43</f>
    </oc>
    <nc r="G43"/>
  </rcc>
  <rcc rId="471" sId="3" numFmtId="26">
    <oc r="H43">
      <v>1.6319444444444445E-2</v>
    </oc>
    <nc r="H43"/>
  </rcc>
  <rcc rId="472" sId="3">
    <oc r="I43">
      <f>$E43+$H43</f>
    </oc>
    <nc r="I43"/>
  </rcc>
  <rcc rId="473" sId="3">
    <oc r="J43" t="inlineStr">
      <is>
        <t>R</t>
      </is>
    </oc>
    <nc r="J43"/>
  </rcc>
  <rcc rId="474" sId="3">
    <oc r="K43" t="inlineStr">
      <is>
        <t>R</t>
      </is>
    </oc>
    <nc r="K43"/>
  </rcc>
  <rcc rId="475" sId="3">
    <oc r="L43">
      <v>1</v>
    </oc>
    <nc r="L43"/>
  </rcc>
  <rcc rId="476" sId="3">
    <oc r="A44" t="inlineStr">
      <is>
        <t>L1</t>
      </is>
    </oc>
    <nc r="A44"/>
  </rcc>
  <rcc rId="477" sId="3">
    <oc r="B44" t="inlineStr">
      <is>
        <t>NA</t>
      </is>
    </oc>
    <nc r="B44"/>
  </rcc>
  <rcc rId="478" sId="3">
    <oc r="C44" t="inlineStr">
      <is>
        <t>C0129</t>
      </is>
    </oc>
    <nc r="C44"/>
  </rcc>
  <rcc rId="479" sId="3" numFmtId="19">
    <oc r="D44">
      <v>45425</v>
    </oc>
    <nc r="D44"/>
  </rcc>
  <rcc rId="480" sId="3" numFmtId="26">
    <oc r="E44">
      <v>0.76304398148148145</v>
    </oc>
    <nc r="E44"/>
  </rcc>
  <rcc rId="481" sId="3">
    <oc r="F44" t="inlineStr">
      <is>
        <t>NA</t>
      </is>
    </oc>
    <nc r="F44"/>
  </rcc>
  <rcc rId="482" sId="3">
    <oc r="G44" t="inlineStr">
      <is>
        <t>NA</t>
      </is>
    </oc>
    <nc r="G44"/>
  </rcc>
  <rcc rId="483" sId="3">
    <oc r="H44" t="inlineStr">
      <is>
        <t>NA</t>
      </is>
    </oc>
    <nc r="H44"/>
  </rcc>
  <rcc rId="484" sId="3">
    <oc r="I44" t="inlineStr">
      <is>
        <t>NA</t>
      </is>
    </oc>
    <nc r="I44"/>
  </rcc>
  <rcc rId="485" sId="3">
    <oc r="J44" t="inlineStr">
      <is>
        <t>R</t>
      </is>
    </oc>
    <nc r="J44"/>
  </rcc>
  <rcc rId="486" sId="3">
    <oc r="K44" t="inlineStr">
      <is>
        <t>L</t>
      </is>
    </oc>
    <nc r="K44"/>
  </rcc>
  <rcc rId="487" sId="3">
    <oc r="L44" t="inlineStr">
      <is>
        <t>NA</t>
      </is>
    </oc>
    <nc r="L44"/>
  </rcc>
  <rcc rId="488" sId="3">
    <oc r="M44" t="inlineStr">
      <is>
        <t>no activity, nest probably abandoned</t>
      </is>
    </oc>
    <nc r="M44"/>
  </rcc>
  <rcc rId="489" sId="3">
    <oc r="A45" t="inlineStr">
      <is>
        <t>r1</t>
      </is>
    </oc>
    <nc r="A45"/>
  </rcc>
  <rcc rId="490" sId="3">
    <oc r="B45">
      <v>1</v>
    </oc>
    <nc r="B45"/>
  </rcc>
  <rcc rId="491" sId="3">
    <oc r="C45" t="inlineStr">
      <is>
        <t>C0130</t>
      </is>
    </oc>
    <nc r="C45"/>
  </rcc>
  <rcc rId="492" sId="3" numFmtId="19">
    <oc r="D45">
      <v>45426</v>
    </oc>
    <nc r="D45"/>
  </rcc>
  <rcc rId="493" sId="3" numFmtId="26">
    <oc r="E45">
      <v>0.22405092592592593</v>
    </oc>
    <nc r="E45"/>
  </rcc>
  <rcc rId="494" sId="3">
    <oc r="F45" t="inlineStr">
      <is>
        <t>NA</t>
      </is>
    </oc>
    <nc r="F45"/>
  </rcc>
  <rcc rId="495" sId="3">
    <oc r="G45" t="inlineStr">
      <is>
        <t>NA</t>
      </is>
    </oc>
    <nc r="G45"/>
  </rcc>
  <rcc rId="496" sId="3" numFmtId="26">
    <oc r="H45">
      <v>1.9074074074074073E-2</v>
    </oc>
    <nc r="H45"/>
  </rcc>
  <rcc rId="497" sId="3">
    <oc r="I45">
      <f>$E45+$H45</f>
    </oc>
    <nc r="I45"/>
  </rcc>
  <rcc rId="498" sId="3">
    <oc r="J45" t="inlineStr">
      <is>
        <t>R</t>
      </is>
    </oc>
    <nc r="J45"/>
  </rcc>
  <rcc rId="499" sId="3">
    <oc r="K45" t="inlineStr">
      <is>
        <t>L</t>
      </is>
    </oc>
    <nc r="K45"/>
  </rcc>
  <rcc rId="500" sId="3">
    <oc r="L45">
      <v>1</v>
    </oc>
    <nc r="L45"/>
  </rcc>
  <rcc rId="501" sId="3">
    <oc r="M45" t="inlineStr">
      <is>
        <t>Pre-video start departure. pattern was flipped (top to bottom) by mistake. But she still got it right</t>
      </is>
    </oc>
    <nc r="M45"/>
  </rcc>
  <rcc rId="502" sId="3">
    <oc r="A46" t="inlineStr">
      <is>
        <t>r1</t>
      </is>
    </oc>
    <nc r="A46"/>
  </rcc>
  <rcc rId="503" sId="3">
    <oc r="B46">
      <v>1</v>
    </oc>
    <nc r="B46"/>
  </rcc>
  <rcc rId="504" sId="3">
    <oc r="C46" t="inlineStr">
      <is>
        <t>C0134</t>
      </is>
    </oc>
    <nc r="C46"/>
  </rcc>
  <rcc rId="505" sId="3" numFmtId="19">
    <oc r="D46">
      <v>45427</v>
    </oc>
    <nc r="D46"/>
  </rcc>
  <rcc rId="506" sId="3" numFmtId="26">
    <oc r="E46">
      <v>0.21755787037037036</v>
    </oc>
    <nc r="E46"/>
  </rcc>
  <rcc rId="507" sId="3">
    <oc r="F46" t="inlineStr">
      <is>
        <t>NA</t>
      </is>
    </oc>
    <nc r="F46"/>
  </rcc>
  <rcc rId="508" sId="3">
    <oc r="G46" t="inlineStr">
      <is>
        <t>NA</t>
      </is>
    </oc>
    <nc r="G46"/>
  </rcc>
  <rcc rId="509" sId="3" numFmtId="26">
    <oc r="H46">
      <v>1.6458333333333332E-2</v>
    </oc>
    <nc r="H46"/>
  </rcc>
  <rcc rId="510" sId="3">
    <oc r="I46">
      <f>$E46+$H46</f>
    </oc>
    <nc r="I46"/>
  </rcc>
  <rcc rId="511" sId="3">
    <oc r="J46" t="inlineStr">
      <is>
        <t>R</t>
      </is>
    </oc>
    <nc r="J46"/>
  </rcc>
  <rcc rId="512" sId="3">
    <oc r="K46" t="inlineStr">
      <is>
        <t>R</t>
      </is>
    </oc>
    <nc r="K46"/>
  </rcc>
  <rcc rId="513" sId="3">
    <oc r="L46">
      <v>0</v>
    </oc>
    <nc r="L46"/>
  </rcc>
  <rcc rId="514" sId="3">
    <oc r="M46" t="inlineStr">
      <is>
        <t>pre-start departure</t>
      </is>
    </oc>
    <nc r="M46"/>
  </rcc>
  <rcc rId="515" sId="3">
    <oc r="A47" t="inlineStr">
      <is>
        <t>r1</t>
      </is>
    </oc>
    <nc r="A47"/>
  </rcc>
  <rcc rId="516" sId="3">
    <oc r="B47">
      <v>2</v>
    </oc>
    <nc r="B47"/>
  </rcc>
  <rcc rId="517" sId="3">
    <oc r="C47" t="inlineStr">
      <is>
        <t>C0134</t>
      </is>
    </oc>
    <nc r="C47"/>
  </rcc>
  <rcc rId="518" sId="3" numFmtId="19">
    <oc r="D47">
      <v>45427</v>
    </oc>
    <nc r="D47"/>
  </rcc>
  <rcc rId="519" sId="3" numFmtId="26">
    <oc r="E47">
      <v>0.21755787037037036</v>
    </oc>
    <nc r="E47"/>
  </rcc>
  <rcc rId="520" sId="3" numFmtId="26">
    <oc r="F47">
      <v>1.7928240740740741E-2</v>
    </oc>
    <nc r="F47"/>
  </rcc>
  <rcc rId="521" sId="3">
    <oc r="G47">
      <f>$E47 +$F47</f>
    </oc>
    <nc r="G47"/>
  </rcc>
  <rcc rId="522" sId="3" numFmtId="26">
    <oc r="H47">
      <v>2.9074074074074075E-2</v>
    </oc>
    <nc r="H47"/>
  </rcc>
  <rcc rId="523" sId="3">
    <oc r="I47">
      <f>$E47+$H47</f>
    </oc>
    <nc r="I47"/>
  </rcc>
  <rcc rId="524" sId="3">
    <oc r="J47" t="inlineStr">
      <is>
        <t>R</t>
      </is>
    </oc>
    <nc r="J47"/>
  </rcc>
  <rcc rId="525" sId="3">
    <oc r="K47" t="inlineStr">
      <is>
        <t>R</t>
      </is>
    </oc>
    <nc r="K47"/>
  </rcc>
  <rcc rId="526" sId="3">
    <oc r="L47">
      <v>0</v>
    </oc>
    <nc r="L47"/>
  </rcc>
  <rcc rId="527" sId="3">
    <oc r="A48" t="inlineStr">
      <is>
        <t>r1</t>
      </is>
    </oc>
    <nc r="A48"/>
  </rcc>
  <rcc rId="528" sId="3">
    <oc r="B48">
      <v>1</v>
    </oc>
    <nc r="B48"/>
  </rcc>
  <rcc rId="529" sId="3">
    <oc r="C48" t="inlineStr">
      <is>
        <t>C0163</t>
      </is>
    </oc>
    <nc r="C48"/>
  </rcc>
  <rcc rId="530" sId="3" numFmtId="19">
    <oc r="D48">
      <v>45427</v>
    </oc>
    <nc r="D48"/>
  </rcc>
  <rcc rId="531" sId="3" numFmtId="26">
    <oc r="E48">
      <v>0.75754629629629633</v>
    </oc>
    <nc r="E48"/>
  </rcc>
  <rcc rId="532" sId="3" numFmtId="26">
    <oc r="F48">
      <v>1.1851851851851851E-2</v>
    </oc>
    <nc r="F48"/>
  </rcc>
  <rcc rId="533" sId="3">
    <oc r="G48">
      <f>$E48 +$F48</f>
    </oc>
    <nc r="G48"/>
  </rcc>
  <rcc rId="534" sId="3" numFmtId="26">
    <oc r="H48">
      <v>2.6226851851851852E-2</v>
    </oc>
    <nc r="H48"/>
  </rcc>
  <rcc rId="535" sId="3">
    <oc r="I48">
      <f>$E48+$H48</f>
    </oc>
    <nc r="I48"/>
  </rcc>
  <rcc rId="536" sId="3">
    <oc r="J48" t="inlineStr">
      <is>
        <t>R</t>
      </is>
    </oc>
    <nc r="J48"/>
  </rcc>
  <rcc rId="537" sId="3">
    <oc r="K48" t="inlineStr">
      <is>
        <t>L</t>
      </is>
    </oc>
    <nc r="K48"/>
  </rcc>
  <rcc rId="538" sId="3">
    <oc r="L48">
      <v>1</v>
    </oc>
    <nc r="L48"/>
  </rcc>
  <rcc rId="539" sId="3">
    <oc r="A49" t="inlineStr">
      <is>
        <t>r1</t>
      </is>
    </oc>
    <nc r="A49"/>
  </rcc>
  <rcc rId="540" sId="3">
    <oc r="B49">
      <v>1</v>
    </oc>
    <nc r="B49"/>
  </rcc>
  <rcc rId="541" sId="3">
    <oc r="C49" t="inlineStr">
      <is>
        <t>C0136</t>
      </is>
    </oc>
    <nc r="C49"/>
  </rcc>
  <rcc rId="542" sId="3" numFmtId="19">
    <oc r="D49">
      <v>45428</v>
    </oc>
    <nc r="D49"/>
  </rcc>
  <rcc rId="543" sId="3" numFmtId="26">
    <oc r="E49">
      <v>0.22225694444444444</v>
    </oc>
    <nc r="E49"/>
  </rcc>
  <rcc rId="544" sId="3">
    <oc r="F49" t="inlineStr">
      <is>
        <t>NA</t>
      </is>
    </oc>
    <nc r="F49"/>
  </rcc>
  <rcc rId="545" sId="3">
    <oc r="G49" t="inlineStr">
      <is>
        <t>NA</t>
      </is>
    </oc>
    <nc r="G49"/>
  </rcc>
  <rcc rId="546" sId="3" numFmtId="26">
    <oc r="H49">
      <v>1.9849537037037037E-2</v>
    </oc>
    <nc r="H49"/>
  </rcc>
  <rcc rId="547" sId="3">
    <oc r="I49">
      <f>$E49+$H49</f>
    </oc>
    <nc r="I49"/>
  </rcc>
  <rcc rId="548" sId="3">
    <oc r="J49" t="inlineStr">
      <is>
        <t>L</t>
      </is>
    </oc>
    <nc r="J49"/>
  </rcc>
  <rcc rId="549" sId="3">
    <oc r="K49" t="inlineStr">
      <is>
        <t>R</t>
      </is>
    </oc>
    <nc r="K49"/>
  </rcc>
  <rcc rId="550" sId="3">
    <oc r="L49">
      <v>0</v>
    </oc>
    <nc r="L49"/>
  </rcc>
  <rcc rId="551" sId="3">
    <oc r="A50" t="inlineStr">
      <is>
        <t>r1</t>
      </is>
    </oc>
    <nc r="A50"/>
  </rcc>
  <rcc rId="552" sId="3">
    <oc r="B50">
      <v>2</v>
    </oc>
    <nc r="B50"/>
  </rcc>
  <rcc rId="553" sId="3">
    <oc r="C50" t="inlineStr">
      <is>
        <t>C0136</t>
      </is>
    </oc>
    <nc r="C50"/>
  </rcc>
  <rcc rId="554" sId="3" numFmtId="19">
    <oc r="D50">
      <v>45428</v>
    </oc>
    <nc r="D50"/>
  </rcc>
  <rcc rId="555" sId="3" numFmtId="26">
    <oc r="E50">
      <v>0.22225694444444444</v>
    </oc>
    <nc r="E50"/>
  </rcc>
  <rcc rId="556" sId="3" numFmtId="26">
    <oc r="F50">
      <v>1.7418981481481483E-2</v>
    </oc>
    <nc r="F50"/>
  </rcc>
  <rcc rId="557" sId="3">
    <oc r="G50">
      <f>$E50 +$F50</f>
    </oc>
    <nc r="G50"/>
  </rcc>
  <rcc rId="558" sId="3" numFmtId="26">
    <oc r="H50">
      <v>2.1712962962962962E-2</v>
    </oc>
    <nc r="H50"/>
  </rcc>
  <rcc rId="559" sId="3">
    <oc r="I50">
      <f>$E50+$H50</f>
    </oc>
    <nc r="I50"/>
  </rcc>
  <rcc rId="560" sId="3">
    <oc r="J50" t="inlineStr">
      <is>
        <t>R</t>
      </is>
    </oc>
    <nc r="J50"/>
  </rcc>
  <rcc rId="561" sId="3">
    <oc r="K50" t="inlineStr">
      <is>
        <t>R</t>
      </is>
    </oc>
    <nc r="K50"/>
  </rcc>
  <rcc rId="562" sId="3">
    <oc r="L50">
      <v>1</v>
    </oc>
    <nc r="L50"/>
  </rcc>
  <rcc rId="563" sId="3">
    <oc r="A51" t="inlineStr">
      <is>
        <t>r1</t>
      </is>
    </oc>
    <nc r="A51"/>
  </rcc>
  <rcc rId="564" sId="3">
    <oc r="B51" t="inlineStr">
      <is>
        <t>NA</t>
      </is>
    </oc>
    <nc r="B51"/>
  </rcc>
  <rcc rId="565" sId="3">
    <oc r="C51" t="inlineStr">
      <is>
        <t>C0137</t>
      </is>
    </oc>
    <nc r="C51"/>
  </rcc>
  <rcc rId="566" sId="3" numFmtId="19">
    <oc r="D51">
      <v>45428</v>
    </oc>
    <nc r="D51"/>
  </rcc>
  <rcc rId="567" sId="3" numFmtId="26">
    <oc r="E51">
      <v>0.75386574074074075</v>
    </oc>
    <nc r="E51"/>
  </rcc>
  <rcc rId="568" sId="3">
    <oc r="F51" t="inlineStr">
      <is>
        <t>NA</t>
      </is>
    </oc>
    <nc r="F51"/>
  </rcc>
  <rcc rId="569" sId="3">
    <oc r="G51" t="inlineStr">
      <is>
        <t>NA</t>
      </is>
    </oc>
    <nc r="G51"/>
  </rcc>
  <rcc rId="570" sId="3">
    <oc r="H51" t="inlineStr">
      <is>
        <t>NA</t>
      </is>
    </oc>
    <nc r="H51"/>
  </rcc>
  <rcc rId="571" sId="3">
    <oc r="I51" t="inlineStr">
      <is>
        <t>NA</t>
      </is>
    </oc>
    <nc r="I51"/>
  </rcc>
  <rcc rId="572" sId="3">
    <oc r="J51" t="inlineStr">
      <is>
        <t>L</t>
      </is>
    </oc>
    <nc r="J51"/>
  </rcc>
  <rcc rId="573" sId="3">
    <oc r="K51" t="inlineStr">
      <is>
        <t>R</t>
      </is>
    </oc>
    <nc r="K51"/>
  </rcc>
  <rcc rId="574" sId="3">
    <oc r="L51" t="inlineStr">
      <is>
        <t>NA</t>
      </is>
    </oc>
    <nc r="L51"/>
  </rcc>
  <rcc rId="575" sId="3">
    <oc r="M51" t="inlineStr">
      <is>
        <t>no activity, or cant see the activity due to fog</t>
      </is>
    </oc>
    <nc r="M51"/>
  </rcc>
  <rcc rId="576" sId="3">
    <oc r="A52" t="inlineStr">
      <is>
        <t>r1</t>
      </is>
    </oc>
    <nc r="A52"/>
  </rcc>
  <rcc rId="577" sId="3">
    <oc r="B52">
      <v>1</v>
    </oc>
    <nc r="B52"/>
  </rcc>
  <rcc rId="578" sId="3">
    <oc r="C52" t="inlineStr">
      <is>
        <t>C0138</t>
      </is>
    </oc>
    <nc r="C52"/>
  </rcc>
  <rcc rId="579" sId="3" numFmtId="19">
    <oc r="D52">
      <v>45429</v>
    </oc>
    <nc r="D52"/>
  </rcc>
  <rcc rId="580" sId="3" numFmtId="26">
    <oc r="E52">
      <v>0.21700231481481483</v>
    </oc>
    <nc r="E52"/>
  </rcc>
  <rcc rId="581" sId="3" numFmtId="26">
    <oc r="H52">
      <v>1.9270833333333334E-2</v>
    </oc>
    <nc r="H52"/>
  </rcc>
  <rcc rId="582" sId="3">
    <oc r="I52">
      <f>$E52+$H52</f>
    </oc>
    <nc r="I52"/>
  </rcc>
  <rcc rId="583" sId="3">
    <oc r="J52" t="inlineStr">
      <is>
        <t>R</t>
      </is>
    </oc>
    <nc r="J52"/>
  </rcc>
  <rcc rId="584" sId="3">
    <oc r="K52" t="inlineStr">
      <is>
        <t>L</t>
      </is>
    </oc>
    <nc r="K52"/>
  </rcc>
  <rcc rId="585" sId="3">
    <oc r="L52">
      <v>1</v>
    </oc>
    <nc r="L52"/>
  </rcc>
  <rcc rId="586" sId="3">
    <oc r="A53" t="inlineStr">
      <is>
        <t>r1</t>
      </is>
    </oc>
    <nc r="A53"/>
  </rcc>
  <rcc rId="587" sId="3">
    <oc r="B53">
      <v>1</v>
    </oc>
    <nc r="B53"/>
  </rcc>
  <rcc rId="588" sId="3">
    <oc r="C53" t="inlineStr">
      <is>
        <t>C0133_2</t>
      </is>
    </oc>
    <nc r="C53"/>
  </rcc>
  <rcc rId="589" sId="3" numFmtId="19">
    <oc r="D53">
      <v>45429</v>
    </oc>
    <nc r="D53"/>
  </rcc>
  <rcc rId="590" sId="3" numFmtId="26">
    <oc r="E53">
      <v>0.76005787037037043</v>
    </oc>
    <nc r="E53"/>
  </rcc>
  <rcc rId="591" sId="3" numFmtId="26">
    <oc r="F53">
      <v>8.0324074074074082E-3</v>
    </oc>
    <nc r="F53"/>
  </rcc>
  <rcc rId="592" sId="3">
    <oc r="G53">
      <f>$E53 +$F53</f>
    </oc>
    <nc r="G53"/>
  </rcc>
  <rcc rId="593" sId="3" numFmtId="26">
    <oc r="H53">
      <v>1.9108796296296297E-2</v>
    </oc>
    <nc r="H53"/>
  </rcc>
  <rcc rId="594" sId="3">
    <oc r="I53">
      <f>$E53+$H53</f>
    </oc>
    <nc r="I53"/>
  </rcc>
  <rcc rId="595" sId="3">
    <oc r="J53" t="inlineStr">
      <is>
        <t>L</t>
      </is>
    </oc>
    <nc r="J53"/>
  </rcc>
  <rcc rId="596" sId="3">
    <oc r="K53" t="inlineStr">
      <is>
        <t>R</t>
      </is>
    </oc>
    <nc r="K53"/>
  </rcc>
  <rcc rId="597" sId="3">
    <oc r="L53">
      <v>1</v>
    </oc>
    <nc r="L53"/>
  </rcc>
  <rcc rId="598" sId="3">
    <oc r="M53" t="inlineStr">
      <is>
        <t xml:space="preserve">Makes two returns, the first time there is no decision (00:25:28). She simply sees pattern is wrong and flies away. </t>
      </is>
    </oc>
    <nc r="M53"/>
  </rcc>
  <rcc rId="599" sId="3">
    <oc r="A54" t="inlineStr">
      <is>
        <t>r1</t>
      </is>
    </oc>
    <nc r="A54"/>
  </rcc>
  <rcc rId="600" sId="3">
    <oc r="B54">
      <v>1</v>
    </oc>
    <nc r="B54"/>
  </rcc>
  <rcc rId="601" sId="3">
    <oc r="C54" t="inlineStr">
      <is>
        <t>C0134_2</t>
      </is>
    </oc>
    <nc r="C54"/>
  </rcc>
  <rcc rId="602" sId="3" numFmtId="19">
    <oc r="D54">
      <v>45430</v>
    </oc>
    <nc r="D54"/>
  </rcc>
  <rcc rId="603" sId="3" numFmtId="26">
    <oc r="E54">
      <v>0.2202662037037037</v>
    </oc>
    <nc r="E54"/>
  </rcc>
  <rcc rId="604" sId="3">
    <oc r="F54" t="inlineStr">
      <is>
        <t>NA</t>
      </is>
    </oc>
    <nc r="F54"/>
  </rcc>
  <rcc rId="605" sId="3">
    <oc r="G54" t="inlineStr">
      <is>
        <t>NA</t>
      </is>
    </oc>
    <nc r="G54"/>
  </rcc>
  <rcc rId="606" sId="3" numFmtId="26">
    <oc r="H54">
      <v>1.2777777777777779E-2</v>
    </oc>
    <nc r="H54"/>
  </rcc>
  <rcc rId="607" sId="3">
    <oc r="I54">
      <f>$E54+$H54</f>
    </oc>
    <nc r="I54"/>
  </rcc>
  <rcc rId="608" sId="3">
    <oc r="J54" t="inlineStr">
      <is>
        <t>R</t>
      </is>
    </oc>
    <nc r="J54"/>
  </rcc>
  <rcc rId="609" sId="3">
    <oc r="K54" t="inlineStr">
      <is>
        <t>R</t>
      </is>
    </oc>
    <nc r="K54"/>
  </rcc>
  <rcc rId="610" sId="3">
    <oc r="L54">
      <v>0</v>
    </oc>
    <nc r="L54"/>
  </rcc>
  <rcc rId="611" sId="3">
    <oc r="M54" t="inlineStr">
      <is>
        <t>doesn’t enter hole, but does land on diskt</t>
      </is>
    </oc>
    <nc r="M54"/>
  </rcc>
  <rcc rId="612" sId="3">
    <oc r="A55" t="inlineStr">
      <is>
        <t>r1</t>
      </is>
    </oc>
    <nc r="A55"/>
  </rcc>
  <rcc rId="613" sId="3">
    <oc r="B55">
      <v>2</v>
    </oc>
    <nc r="B55"/>
  </rcc>
  <rcc rId="614" sId="3">
    <oc r="C55" t="inlineStr">
      <is>
        <t>C0134_2</t>
      </is>
    </oc>
    <nc r="C55"/>
  </rcc>
  <rcc rId="615" sId="3" numFmtId="19">
    <oc r="D55">
      <v>45430</v>
    </oc>
    <nc r="D55"/>
  </rcc>
  <rcc rId="616" sId="3" numFmtId="26">
    <oc r="E55">
      <v>0.2202662037037037</v>
    </oc>
    <nc r="E55"/>
  </rcc>
  <rcc rId="617" sId="3" numFmtId="26">
    <oc r="F55">
      <v>1.4328703703703703E-2</v>
    </oc>
    <nc r="F55"/>
  </rcc>
  <rcc rId="618" sId="3">
    <oc r="G55">
      <f>$E55 +$F55</f>
    </oc>
    <nc r="G55"/>
  </rcc>
  <rcc rId="619" sId="3" numFmtId="26">
    <oc r="H55">
      <v>2.0787037037037038E-2</v>
    </oc>
    <nc r="H55"/>
  </rcc>
  <rcc rId="620" sId="3">
    <oc r="I55">
      <f>$E55+$H55</f>
    </oc>
    <nc r="I55"/>
  </rcc>
  <rcc rId="621" sId="3">
    <oc r="J55" t="inlineStr">
      <is>
        <t>R</t>
      </is>
    </oc>
    <nc r="J55"/>
  </rcc>
  <rcc rId="622" sId="3">
    <oc r="K55" t="inlineStr">
      <is>
        <t>R</t>
      </is>
    </oc>
    <nc r="K55"/>
  </rcc>
  <rcc rId="623" sId="3">
    <oc r="L55">
      <v>1</v>
    </oc>
    <nc r="L55"/>
  </rcc>
  <rcc rId="624" sId="3">
    <oc r="A56" t="inlineStr">
      <is>
        <t>r1</t>
      </is>
    </oc>
    <nc r="A56"/>
  </rcc>
  <rcc rId="625" sId="3">
    <oc r="B56">
      <v>3</v>
    </oc>
    <nc r="B56"/>
  </rcc>
  <rcc rId="626" sId="3">
    <oc r="C56" t="inlineStr">
      <is>
        <t>C0134_2</t>
      </is>
    </oc>
    <nc r="C56"/>
  </rcc>
  <rcc rId="627" sId="3" numFmtId="19">
    <oc r="D56">
      <v>45430</v>
    </oc>
    <nc r="D56"/>
  </rcc>
  <rcc rId="628" sId="3" numFmtId="26">
    <oc r="E56">
      <v>0.2202662037037037</v>
    </oc>
    <nc r="E56"/>
  </rcc>
  <rcc rId="629" sId="3">
    <oc r="F56" t="inlineStr">
      <is>
        <t>NA</t>
      </is>
    </oc>
    <nc r="F56"/>
  </rcc>
  <rcc rId="630" sId="3">
    <oc r="G56" t="inlineStr">
      <is>
        <t>NA</t>
      </is>
    </oc>
    <nc r="G56"/>
  </rcc>
  <rcc rId="631" sId="3" numFmtId="26">
    <oc r="H56">
      <v>3.3344907407407406E-2</v>
    </oc>
    <nc r="H56"/>
  </rcc>
  <rcc rId="632" sId="3">
    <oc r="I56">
      <f>$E56+$H56</f>
    </oc>
    <nc r="I56"/>
  </rcc>
  <rcc rId="633" sId="3">
    <oc r="J56" t="inlineStr">
      <is>
        <t>R</t>
      </is>
    </oc>
    <nc r="J56"/>
  </rcc>
  <rcc rId="634" sId="3">
    <oc r="K56" t="inlineStr">
      <is>
        <t>R</t>
      </is>
    </oc>
    <nc r="K56"/>
  </rcc>
  <rcc rId="635" sId="3">
    <oc r="L56">
      <v>0</v>
    </oc>
    <nc r="L56"/>
  </rcc>
  <rcc rId="636" sId="3">
    <oc r="A57" t="inlineStr">
      <is>
        <t>r1</t>
      </is>
    </oc>
    <nc r="A57"/>
  </rcc>
  <rcc rId="637" sId="3">
    <oc r="B57">
      <v>1</v>
    </oc>
    <nc r="B57"/>
  </rcc>
  <rcc rId="638" sId="3">
    <oc r="C57" t="inlineStr">
      <is>
        <t>C0135</t>
      </is>
    </oc>
    <nc r="C57"/>
  </rcc>
  <rcc rId="639" sId="3" numFmtId="19">
    <oc r="D57">
      <v>45430</v>
    </oc>
    <nc r="D57"/>
  </rcc>
  <rcc rId="640" sId="3" numFmtId="26">
    <oc r="E57">
      <v>0.75574074074074071</v>
    </oc>
    <nc r="E57"/>
  </rcc>
  <rcc rId="641" sId="3" numFmtId="26">
    <oc r="F57">
      <v>1.1527777777777777E-2</v>
    </oc>
    <nc r="F57"/>
  </rcc>
  <rcc rId="642" sId="3" numFmtId="26">
    <oc r="H57">
      <v>2.6990740740740742E-2</v>
    </oc>
    <nc r="H57"/>
  </rcc>
  <rcc rId="643" sId="3">
    <oc r="I57">
      <f>$E57+$H57</f>
    </oc>
    <nc r="I57"/>
  </rcc>
  <rcc rId="644" sId="3">
    <oc r="J57" t="inlineStr">
      <is>
        <t>R</t>
      </is>
    </oc>
    <nc r="J57"/>
  </rcc>
  <rcc rId="645" sId="3">
    <oc r="K57" t="inlineStr">
      <is>
        <t>L</t>
      </is>
    </oc>
    <nc r="K57"/>
  </rcc>
  <rcc rId="646" sId="3">
    <oc r="L57">
      <v>0</v>
    </oc>
    <nc r="L57"/>
  </rcc>
  <rcc rId="647" sId="3">
    <oc r="A58" t="inlineStr">
      <is>
        <t>r1</t>
      </is>
    </oc>
    <nc r="A58"/>
  </rcc>
  <rcc rId="648" sId="3">
    <oc r="B58">
      <v>1</v>
    </oc>
    <nc r="B58"/>
  </rcc>
  <rcc rId="649" sId="3">
    <oc r="C58" t="inlineStr">
      <is>
        <t>C0135</t>
      </is>
    </oc>
    <nc r="C58"/>
  </rcc>
  <rcc rId="650" sId="3" numFmtId="19">
    <oc r="D58">
      <v>45430</v>
    </oc>
    <nc r="D58"/>
  </rcc>
  <rcc rId="651" sId="3" numFmtId="26">
    <oc r="E58">
      <v>0.75574074074074071</v>
    </oc>
    <nc r="E58"/>
  </rcc>
  <rcc rId="652" sId="3" numFmtId="26">
    <oc r="F58">
      <v>2.5497685185185186E-2</v>
    </oc>
    <nc r="F58"/>
  </rcc>
  <rcc rId="653" sId="3" numFmtId="26">
    <oc r="H58">
      <v>3.3136574074074075E-2</v>
    </oc>
    <nc r="H58"/>
  </rcc>
  <rcc rId="654" sId="3">
    <oc r="I58">
      <f>$E58+$H58</f>
    </oc>
    <nc r="I58"/>
  </rcc>
  <rcc rId="655" sId="3">
    <oc r="J58" t="inlineStr">
      <is>
        <t>L</t>
      </is>
    </oc>
    <nc r="J58"/>
  </rcc>
  <rcc rId="656" sId="3">
    <oc r="K58" t="inlineStr">
      <is>
        <t>L</t>
      </is>
    </oc>
    <nc r="K58"/>
  </rcc>
  <rcc rId="657" sId="3">
    <oc r="L58">
      <v>0</v>
    </oc>
    <nc r="L58"/>
  </rcc>
  <rcc rId="658" sId="3">
    <oc r="A59" t="inlineStr">
      <is>
        <t>r1</t>
      </is>
    </oc>
    <nc r="A59"/>
  </rcc>
  <rcc rId="659" sId="3">
    <oc r="B59">
      <v>1</v>
    </oc>
    <nc r="B59"/>
  </rcc>
  <rcc rId="660" sId="3">
    <oc r="C59" t="inlineStr">
      <is>
        <t>C0141_2</t>
      </is>
    </oc>
    <nc r="C59"/>
  </rcc>
  <rcc rId="661" sId="3" numFmtId="19">
    <oc r="D59">
      <v>45437</v>
    </oc>
    <nc r="D59"/>
  </rcc>
  <rcc rId="662" sId="3" numFmtId="26">
    <oc r="E59">
      <v>0.75298611111111113</v>
    </oc>
    <nc r="E59"/>
  </rcc>
  <rcc rId="663" sId="3" numFmtId="26">
    <oc r="F59">
      <v>7.3842592592592597E-3</v>
    </oc>
    <nc r="F59"/>
  </rcc>
  <rcc rId="664" sId="3">
    <oc r="G59">
      <f>$E59 +$F59</f>
    </oc>
    <nc r="G59"/>
  </rcc>
  <rcc rId="665" sId="3" numFmtId="26">
    <oc r="H59">
      <v>4.4571759259259262E-2</v>
    </oc>
    <nc r="H59"/>
  </rcc>
  <rcc rId="666" sId="3">
    <oc r="I59">
      <f>$E59+$H59</f>
    </oc>
    <nc r="I59"/>
  </rcc>
  <rcc rId="667" sId="3">
    <oc r="J59" t="inlineStr">
      <is>
        <t>L</t>
      </is>
    </oc>
    <nc r="J59"/>
  </rcc>
  <rcc rId="668" sId="3">
    <oc r="K59" t="inlineStr">
      <is>
        <t>R</t>
      </is>
    </oc>
    <nc r="K59"/>
  </rcc>
  <rcc rId="669" sId="3">
    <oc r="L59">
      <v>1</v>
    </oc>
    <nc r="L59"/>
  </rcc>
  <rcc rId="670" sId="3">
    <oc r="A60" t="inlineStr">
      <is>
        <t>r1</t>
      </is>
    </oc>
    <nc r="A60"/>
  </rcc>
  <rcc rId="671" sId="3">
    <oc r="B60">
      <v>1</v>
    </oc>
    <nc r="B60"/>
  </rcc>
  <rcc rId="672" sId="3">
    <oc r="C60" t="inlineStr">
      <is>
        <t>C0142_2</t>
      </is>
    </oc>
    <nc r="C60"/>
  </rcc>
  <rcc rId="673" sId="3" numFmtId="19">
    <oc r="D60">
      <v>45438</v>
    </oc>
    <nc r="D60"/>
  </rcc>
  <rcc rId="674" sId="3" numFmtId="26">
    <oc r="E60">
      <v>0.22259259259259259</v>
    </oc>
    <nc r="E60"/>
  </rcc>
  <rcc rId="675" sId="3" numFmtId="26">
    <oc r="F60">
      <v>6.6087962962962966E-3</v>
    </oc>
    <nc r="F60"/>
  </rcc>
  <rcc rId="676" sId="3">
    <oc r="G60">
      <f>$E60 +$F60</f>
    </oc>
    <nc r="G60"/>
  </rcc>
  <rcc rId="677" sId="3" numFmtId="26">
    <oc r="H60">
      <v>2.4456018518518519E-2</v>
    </oc>
    <nc r="H60"/>
  </rcc>
  <rcc rId="678" sId="3">
    <oc r="I60">
      <f>$E60+$H60</f>
    </oc>
    <nc r="I60"/>
  </rcc>
  <rcc rId="679" sId="3">
    <oc r="J60" t="inlineStr">
      <is>
        <t>R</t>
      </is>
    </oc>
    <nc r="J60"/>
  </rcc>
  <rcc rId="680" sId="3">
    <oc r="K60" t="inlineStr">
      <is>
        <t>L</t>
      </is>
    </oc>
    <nc r="K60"/>
  </rcc>
  <rcc rId="681" sId="3">
    <oc r="L60">
      <v>1</v>
    </oc>
    <nc r="L60"/>
  </rcc>
  <rcc rId="682" sId="3">
    <oc r="A61" t="inlineStr">
      <is>
        <t>r1</t>
      </is>
    </oc>
    <nc r="A61"/>
  </rcc>
  <rcc rId="683" sId="3">
    <oc r="B61">
      <v>1</v>
    </oc>
    <nc r="B61"/>
  </rcc>
  <rcc rId="684" sId="3">
    <oc r="C61" t="inlineStr">
      <is>
        <t>C0088</t>
      </is>
    </oc>
    <nc r="C61"/>
  </rcc>
  <rcc rId="685" sId="3" numFmtId="19">
    <oc r="D61">
      <v>45435</v>
    </oc>
    <nc r="D61"/>
  </rcc>
  <rcc rId="686" sId="3" numFmtId="26">
    <oc r="E61">
      <v>0.22121527777777777</v>
    </oc>
    <nc r="E61"/>
  </rcc>
  <rcc rId="687" sId="3" numFmtId="26">
    <oc r="F61">
      <v>2.5613425925925925E-2</v>
    </oc>
    <nc r="F61"/>
  </rcc>
  <rcc rId="688" sId="3">
    <oc r="G61">
      <f>$E61 +$F61</f>
    </oc>
    <nc r="G61"/>
  </rcc>
  <rcc rId="689" sId="3" numFmtId="26">
    <oc r="H61">
      <v>4.0601851851851854E-2</v>
    </oc>
    <nc r="H61"/>
  </rcc>
  <rcc rId="690" sId="3">
    <oc r="I61">
      <f>$E61+$H61</f>
    </oc>
    <nc r="I61"/>
  </rcc>
  <rcc rId="691" sId="3">
    <oc r="J61" t="inlineStr">
      <is>
        <t>R</t>
      </is>
    </oc>
    <nc r="J61"/>
  </rcc>
  <rcc rId="692" sId="3">
    <oc r="K61" t="inlineStr">
      <is>
        <t>R</t>
      </is>
    </oc>
    <nc r="K61"/>
  </rcc>
  <rcc rId="693" sId="3">
    <oc r="L61">
      <v>1</v>
    </oc>
    <nc r="L61"/>
  </rcc>
  <rcc rId="694" sId="3">
    <oc r="A62" t="inlineStr">
      <is>
        <t>r1</t>
      </is>
    </oc>
    <nc r="A62"/>
  </rcc>
  <rcc rId="695" sId="3">
    <oc r="B62">
      <v>1</v>
    </oc>
    <nc r="B62"/>
  </rcc>
  <rcc rId="696" sId="3">
    <oc r="C62" t="inlineStr">
      <is>
        <t>C0087</t>
      </is>
    </oc>
    <nc r="C62"/>
  </rcc>
  <rcc rId="697" sId="3" numFmtId="19">
    <oc r="D62">
      <v>45434</v>
    </oc>
    <nc r="D62"/>
  </rcc>
  <rcc rId="698" sId="3" numFmtId="26">
    <oc r="E62">
      <v>0.76553240740740736</v>
    </oc>
    <nc r="E62"/>
  </rcc>
  <rcc rId="699" sId="3" numFmtId="26">
    <oc r="F62">
      <v>2.1180555555555558E-3</v>
    </oc>
    <nc r="F62"/>
  </rcc>
  <rcc rId="700" sId="3">
    <oc r="G62">
      <f>$E62 +$F62</f>
    </oc>
    <nc r="G62"/>
  </rcc>
  <rcc rId="701" sId="3" numFmtId="26">
    <oc r="H62">
      <v>1.6944444444444446E-2</v>
    </oc>
    <nc r="H62"/>
  </rcc>
  <rcc rId="702" sId="3">
    <oc r="I62">
      <f>$E62+$H62</f>
    </oc>
    <nc r="I62"/>
  </rcc>
  <rcc rId="703" sId="3">
    <oc r="J62" t="inlineStr">
      <is>
        <t>L</t>
      </is>
    </oc>
    <nc r="J62"/>
  </rcc>
  <rcc rId="704" sId="3">
    <oc r="K62" t="inlineStr">
      <is>
        <t>L</t>
      </is>
    </oc>
    <nc r="K62"/>
  </rcc>
  <rcc rId="705" sId="3">
    <oc r="L62">
      <v>1</v>
    </oc>
    <nc r="L62"/>
  </rcc>
  <rcc rId="706" sId="3">
    <oc r="A63" t="inlineStr">
      <is>
        <t>r1</t>
      </is>
    </oc>
    <nc r="A63"/>
  </rcc>
  <rcc rId="707" sId="3">
    <oc r="B63">
      <v>2</v>
    </oc>
    <nc r="B63"/>
  </rcc>
  <rcc rId="708" sId="3">
    <oc r="C63" t="inlineStr">
      <is>
        <t>C0087</t>
      </is>
    </oc>
    <nc r="C63"/>
  </rcc>
  <rcc rId="709" sId="3" numFmtId="19">
    <oc r="D63">
      <v>45434</v>
    </oc>
    <nc r="D63"/>
  </rcc>
  <rcc rId="710" sId="3" numFmtId="26">
    <oc r="E63">
      <v>0.76553240740740736</v>
    </oc>
    <nc r="E63"/>
  </rcc>
  <rcc rId="711" sId="3" numFmtId="26">
    <oc r="F63">
      <v>1.3657407407407408E-2</v>
    </oc>
    <nc r="F63"/>
  </rcc>
  <rcc rId="712" sId="3">
    <oc r="G63">
      <f>$E63 +$F63</f>
    </oc>
    <nc r="G63"/>
  </rcc>
  <rcc rId="713" sId="3" numFmtId="26">
    <oc r="H63">
      <v>3.0243055555555554E-2</v>
    </oc>
    <nc r="H63"/>
  </rcc>
  <rcc rId="714" sId="3">
    <oc r="I63">
      <f>$E63+$H63</f>
    </oc>
    <nc r="I63"/>
  </rcc>
  <rcc rId="715" sId="3">
    <oc r="J63" t="inlineStr">
      <is>
        <t>L</t>
      </is>
    </oc>
    <nc r="J63"/>
  </rcc>
  <rcc rId="716" sId="3">
    <oc r="K63" t="inlineStr">
      <is>
        <t>L</t>
      </is>
    </oc>
    <nc r="K63"/>
  </rcc>
  <rcc rId="717" sId="3">
    <oc r="L63">
      <v>1</v>
    </oc>
    <nc r="L63"/>
  </rcc>
  <rcc rId="718" sId="3">
    <oc r="M63" t="inlineStr">
      <is>
        <t>This was her 3rd or 4th return, but the only time she landed on disk. Never goes back into nest before video ends. First returns at 00:40:08</t>
      </is>
    </oc>
    <nc r="M63"/>
  </rcc>
  <rcc rId="719" sId="3">
    <oc r="A64" t="inlineStr">
      <is>
        <t>r1</t>
      </is>
    </oc>
    <nc r="A64"/>
  </rcc>
  <rcc rId="720" sId="3">
    <oc r="B64">
      <v>1</v>
    </oc>
    <nc r="B64"/>
  </rcc>
  <rcc rId="721" sId="3">
    <oc r="C64" t="inlineStr">
      <is>
        <t>C0086</t>
      </is>
    </oc>
    <nc r="C64"/>
  </rcc>
  <rcc rId="722" sId="3" numFmtId="19">
    <oc r="D64">
      <v>45434</v>
    </oc>
    <nc r="D64"/>
  </rcc>
  <rcc rId="723" sId="3" numFmtId="26">
    <oc r="E64">
      <v>0.22146990740740741</v>
    </oc>
    <nc r="E64"/>
  </rcc>
  <rcc rId="724" sId="3" numFmtId="26">
    <oc r="H64">
      <v>1.5405092592592592E-2</v>
    </oc>
    <nc r="H64"/>
  </rcc>
  <rcc rId="725" sId="3">
    <oc r="I64">
      <f>$E64+$H64</f>
    </oc>
    <nc r="I64"/>
  </rcc>
  <rcc rId="726" sId="3">
    <oc r="J64" t="inlineStr">
      <is>
        <t>R</t>
      </is>
    </oc>
    <nc r="J64"/>
  </rcc>
  <rcc rId="727" sId="3">
    <oc r="K64" t="inlineStr">
      <is>
        <t>L</t>
      </is>
    </oc>
    <nc r="K64"/>
  </rcc>
  <rcc rId="728" sId="3">
    <oc r="L64">
      <v>0</v>
    </oc>
    <nc r="L64"/>
  </rcc>
  <rcc rId="729" sId="3">
    <oc r="A65" t="inlineStr">
      <is>
        <t>r1</t>
      </is>
    </oc>
    <nc r="A65"/>
  </rcc>
  <rcc rId="730" sId="3">
    <oc r="B65">
      <v>2</v>
    </oc>
    <nc r="B65"/>
  </rcc>
  <rcc rId="731" sId="3">
    <oc r="C65" t="inlineStr">
      <is>
        <t>C0086</t>
      </is>
    </oc>
    <nc r="C65"/>
  </rcc>
  <rcc rId="732" sId="3" numFmtId="19">
    <oc r="D65">
      <v>45434</v>
    </oc>
    <nc r="D65"/>
  </rcc>
  <rcc rId="733" sId="3" numFmtId="26">
    <oc r="E65">
      <v>0.22146990740740741</v>
    </oc>
    <nc r="E65"/>
  </rcc>
  <rcc rId="734" sId="3" numFmtId="26">
    <oc r="F65">
      <v>1.7453703703703704E-2</v>
    </oc>
    <nc r="F65"/>
  </rcc>
  <rcc rId="735" sId="3">
    <oc r="G65">
      <f>$E65 +$F65</f>
    </oc>
    <nc r="G65"/>
  </rcc>
  <rcc rId="736" sId="3" numFmtId="26">
    <oc r="H65">
      <v>2.5833333333333333E-2</v>
    </oc>
    <nc r="H65"/>
  </rcc>
  <rcc rId="737" sId="3">
    <oc r="I65">
      <f>$E65+$H65</f>
    </oc>
    <nc r="I65"/>
  </rcc>
  <rcc rId="738" sId="3">
    <oc r="J65" t="inlineStr">
      <is>
        <t>L</t>
      </is>
    </oc>
    <nc r="J65"/>
  </rcc>
  <rcc rId="739" sId="3">
    <oc r="K65" t="inlineStr">
      <is>
        <t>L</t>
      </is>
    </oc>
    <nc r="K65"/>
  </rcc>
  <rcc rId="740" sId="3">
    <oc r="L65">
      <v>0</v>
    </oc>
    <nc r="L65"/>
  </rcc>
  <rcc rId="741" sId="3">
    <oc r="A66" t="inlineStr">
      <is>
        <t>r1</t>
      </is>
    </oc>
    <nc r="A66"/>
  </rcc>
  <rcc rId="742" sId="3">
    <oc r="B66">
      <v>1</v>
    </oc>
    <nc r="B66"/>
  </rcc>
  <rcc rId="743" sId="3">
    <oc r="C66" t="inlineStr">
      <is>
        <t>C0004</t>
      </is>
    </oc>
    <nc r="C66"/>
  </rcc>
  <rcc rId="744" sId="3" numFmtId="19">
    <oc r="D66">
      <v>45436</v>
    </oc>
    <nc r="D66"/>
  </rcc>
  <rcc rId="745" sId="3" numFmtId="26">
    <oc r="E66">
      <v>0.22917824074074075</v>
    </oc>
    <nc r="E66"/>
  </rcc>
  <rcc rId="746" sId="3" numFmtId="26">
    <oc r="H66">
      <v>1.3587962962962963E-2</v>
    </oc>
    <nc r="H66"/>
  </rcc>
  <rcc rId="747" sId="3">
    <oc r="I66">
      <f>$E66+$H66</f>
    </oc>
    <nc r="I66"/>
  </rcc>
  <rcc rId="748" sId="3">
    <oc r="J66" t="inlineStr">
      <is>
        <t>R</t>
      </is>
    </oc>
    <nc r="J66"/>
  </rcc>
  <rcc rId="749" sId="3">
    <oc r="K66" t="inlineStr">
      <is>
        <t>L</t>
      </is>
    </oc>
    <nc r="K66"/>
  </rcc>
  <rcc rId="750" sId="3">
    <oc r="L66">
      <v>0</v>
    </oc>
    <nc r="L66"/>
  </rcc>
  <rcc rId="751" sId="3">
    <oc r="A67" t="inlineStr">
      <is>
        <t>r1</t>
      </is>
    </oc>
    <nc r="A67"/>
  </rcc>
  <rcc rId="752" sId="3">
    <oc r="B67">
      <v>2</v>
    </oc>
    <nc r="B67"/>
  </rcc>
  <rcc rId="753" sId="3">
    <oc r="C67" t="inlineStr">
      <is>
        <t>C0004</t>
      </is>
    </oc>
    <nc r="C67"/>
  </rcc>
  <rcc rId="754" sId="3" numFmtId="19">
    <oc r="D67">
      <v>45436</v>
    </oc>
    <nc r="D67"/>
  </rcc>
  <rcc rId="755" sId="3" numFmtId="26">
    <oc r="E67">
      <v>0.22917824074074075</v>
    </oc>
    <nc r="E67"/>
  </rcc>
  <rcc rId="756" sId="3" numFmtId="26">
    <oc r="H67">
      <v>1.9837962962962963E-2</v>
    </oc>
    <nc r="H67"/>
  </rcc>
  <rcc rId="757" sId="3">
    <oc r="I67">
      <f>$E67+$H67</f>
    </oc>
    <nc r="I67"/>
  </rcc>
  <rcc rId="758" sId="3">
    <oc r="J67" t="inlineStr">
      <is>
        <t>R</t>
      </is>
    </oc>
    <nc r="J67"/>
  </rcc>
  <rcc rId="759" sId="3">
    <oc r="K67" t="inlineStr">
      <is>
        <t>L</t>
      </is>
    </oc>
    <nc r="K67"/>
  </rcc>
  <rcc rId="760" sId="3">
    <oc r="L67">
      <v>1</v>
    </oc>
    <nc r="L67"/>
  </rcc>
  <rcc rId="761" sId="3">
    <oc r="A68" t="inlineStr">
      <is>
        <t>r1</t>
      </is>
    </oc>
    <nc r="A68"/>
  </rcc>
  <rcc rId="762" sId="3">
    <oc r="B68">
      <v>1</v>
    </oc>
    <nc r="B68"/>
  </rcc>
  <rcc rId="763" sId="3">
    <oc r="C68" t="inlineStr">
      <is>
        <t>C0140</t>
      </is>
    </oc>
    <nc r="C68"/>
  </rcc>
  <rcc rId="764" sId="3" numFmtId="19">
    <oc r="D68">
      <v>45433</v>
    </oc>
    <nc r="D68"/>
  </rcc>
  <rcc rId="765" sId="3" numFmtId="26">
    <oc r="E68">
      <v>0.76710648148148153</v>
    </oc>
    <nc r="E68"/>
  </rcc>
  <rcc rId="766" sId="3" numFmtId="26">
    <oc r="H68">
      <v>1.4444444444444444E-2</v>
    </oc>
    <nc r="H68"/>
  </rcc>
  <rcc rId="767" sId="3">
    <oc r="I68">
      <f>$E68+$H68</f>
    </oc>
    <nc r="I68"/>
  </rcc>
  <rcc rId="768" sId="3">
    <oc r="J68" t="inlineStr">
      <is>
        <t>R</t>
      </is>
    </oc>
    <nc r="J68"/>
  </rcc>
  <rcc rId="769" sId="3">
    <oc r="K68" t="inlineStr">
      <is>
        <t>R</t>
      </is>
    </oc>
    <nc r="K68"/>
  </rcc>
  <rcc rId="770" sId="3">
    <oc r="L68">
      <v>1</v>
    </oc>
    <nc r="L68"/>
  </rcc>
  <rcc rId="771" sId="3">
    <oc r="A69" t="inlineStr">
      <is>
        <t>r1</t>
      </is>
    </oc>
    <nc r="A69"/>
  </rcc>
  <rcc rId="772" sId="3">
    <oc r="B69">
      <v>2</v>
    </oc>
    <nc r="B69"/>
  </rcc>
  <rcc rId="773" sId="3">
    <oc r="C69" t="inlineStr">
      <is>
        <t>C0140</t>
      </is>
    </oc>
    <nc r="C69"/>
  </rcc>
  <rcc rId="774" sId="3" numFmtId="19">
    <oc r="D69">
      <v>45433</v>
    </oc>
    <nc r="D69"/>
  </rcc>
  <rcc rId="775" sId="3" numFmtId="26">
    <oc r="E69">
      <v>0.76710648148148153</v>
    </oc>
    <nc r="E69"/>
  </rcc>
  <rcc rId="776" sId="3" numFmtId="26">
    <oc r="F69">
      <v>7.6504629629629631E-3</v>
    </oc>
    <nc r="F69"/>
  </rcc>
  <rcc rId="777" sId="3" numFmtId="26">
    <oc r="H69">
      <v>2.2303240740740742E-2</v>
    </oc>
    <nc r="H69"/>
  </rcc>
  <rcc rId="778" sId="3">
    <oc r="I69">
      <f>$E69+$H69</f>
    </oc>
    <nc r="I69"/>
  </rcc>
  <rcc rId="779" sId="3">
    <oc r="J69" t="inlineStr">
      <is>
        <t>R</t>
      </is>
    </oc>
    <nc r="J69"/>
  </rcc>
  <rcc rId="780" sId="3">
    <oc r="K69" t="inlineStr">
      <is>
        <t>R</t>
      </is>
    </oc>
    <nc r="K69"/>
  </rcc>
  <rcc rId="781" sId="3">
    <oc r="L69">
      <v>1</v>
    </oc>
    <nc r="L69"/>
  </rcc>
  <rcc rId="782" sId="3">
    <oc r="A70" t="inlineStr">
      <is>
        <t>r1</t>
      </is>
    </oc>
    <nc r="A70"/>
  </rcc>
  <rcc rId="783" sId="3">
    <oc r="B70">
      <v>1</v>
    </oc>
    <nc r="B70"/>
  </rcc>
  <rcc rId="784" sId="3">
    <oc r="C70" t="inlineStr">
      <is>
        <t>C0139_2</t>
      </is>
    </oc>
    <nc r="C70"/>
  </rcc>
  <rcc rId="785" sId="3" numFmtId="19">
    <oc r="D70">
      <v>45433</v>
    </oc>
    <nc r="D70"/>
  </rcc>
  <rcc rId="786" sId="3" numFmtId="26">
    <oc r="E70">
      <v>0.22061342592592592</v>
    </oc>
    <nc r="E70"/>
  </rcc>
  <rcc rId="787" sId="3" numFmtId="26">
    <oc r="H70">
      <v>1.0034722222222223E-2</v>
    </oc>
    <nc r="H70"/>
  </rcc>
  <rcc rId="788" sId="3">
    <oc r="I70">
      <f>$E70+$H70</f>
    </oc>
    <nc r="I70"/>
  </rcc>
  <rcc rId="789" sId="3">
    <oc r="J70" t="inlineStr">
      <is>
        <t>L</t>
      </is>
    </oc>
    <nc r="J70"/>
  </rcc>
  <rcc rId="790" sId="3">
    <oc r="K70" t="inlineStr">
      <is>
        <t>L</t>
      </is>
    </oc>
    <nc r="K70"/>
  </rcc>
  <rcc rId="791" sId="3">
    <oc r="L70">
      <v>0</v>
    </oc>
    <nc r="L70"/>
  </rcc>
  <rcc rId="792" sId="3">
    <oc r="A71" t="inlineStr">
      <is>
        <t>r1</t>
      </is>
    </oc>
    <nc r="A71"/>
  </rcc>
  <rcc rId="793" sId="3">
    <oc r="B71">
      <v>2</v>
    </oc>
    <nc r="B71"/>
  </rcc>
  <rcc rId="794" sId="3">
    <oc r="C71" t="inlineStr">
      <is>
        <t>C0139_2</t>
      </is>
    </oc>
    <nc r="C71"/>
  </rcc>
  <rcc rId="795" sId="3" numFmtId="19">
    <oc r="D71">
      <v>45433</v>
    </oc>
    <nc r="D71"/>
  </rcc>
  <rcc rId="796" sId="3" numFmtId="26">
    <oc r="E71">
      <v>0.22061342592592592</v>
    </oc>
    <nc r="E71"/>
  </rcc>
  <rcc rId="797" sId="3" numFmtId="26">
    <oc r="H71">
      <v>2.2789351851851852E-2</v>
    </oc>
    <nc r="H71"/>
  </rcc>
  <rcc rId="798" sId="3">
    <oc r="I71">
      <f>$E71+$H71</f>
    </oc>
    <nc r="I71"/>
  </rcc>
  <rcc rId="799" sId="3">
    <oc r="J71" t="inlineStr">
      <is>
        <t>L</t>
      </is>
    </oc>
    <nc r="J71"/>
  </rcc>
  <rcc rId="800" sId="3">
    <oc r="K71" t="inlineStr">
      <is>
        <t>R</t>
      </is>
    </oc>
    <nc r="K71"/>
  </rcc>
  <rcc rId="801" sId="3">
    <oc r="L71">
      <v>0</v>
    </oc>
    <nc r="L71"/>
  </rcc>
  <rcc rId="802" sId="3">
    <oc r="A72" t="inlineStr">
      <is>
        <t>r1</t>
      </is>
    </oc>
    <nc r="A72"/>
  </rcc>
  <rcc rId="803" sId="3">
    <oc r="B72">
      <v>3</v>
    </oc>
    <nc r="B72"/>
  </rcc>
  <rcc rId="804" sId="3">
    <oc r="C72" t="inlineStr">
      <is>
        <t>C0139_2</t>
      </is>
    </oc>
    <nc r="C72"/>
  </rcc>
  <rcc rId="805" sId="3" numFmtId="19">
    <oc r="D72">
      <v>45433</v>
    </oc>
    <nc r="D72"/>
  </rcc>
  <rcc rId="806" sId="3" numFmtId="26">
    <oc r="E72">
      <v>0.22061342592592592</v>
    </oc>
    <nc r="E72"/>
  </rcc>
  <rcc rId="807" sId="3" numFmtId="26">
    <oc r="F72">
      <v>1.5983796296296298E-2</v>
    </oc>
    <nc r="F72"/>
  </rcc>
  <rcc rId="808" sId="3" numFmtId="26">
    <oc r="H72">
      <v>3.050925925925926E-2</v>
    </oc>
    <nc r="H72"/>
  </rcc>
  <rcc rId="809" sId="3">
    <oc r="I72">
      <f>$E72+$H72</f>
    </oc>
    <nc r="I72"/>
  </rcc>
  <rcc rId="810" sId="3">
    <oc r="J72" t="inlineStr">
      <is>
        <t>R</t>
      </is>
    </oc>
    <nc r="J72"/>
  </rcc>
  <rcc rId="811" sId="3">
    <oc r="K72" t="inlineStr">
      <is>
        <t>R</t>
      </is>
    </oc>
    <nc r="K72"/>
  </rcc>
  <rcc rId="812" sId="3">
    <oc r="L72">
      <v>0</v>
    </oc>
    <nc r="L72"/>
  </rcc>
  <rcc rId="813" sId="3">
    <oc r="A73" t="inlineStr">
      <is>
        <t>r1</t>
      </is>
    </oc>
    <nc r="A73"/>
  </rcc>
  <rcc rId="814" sId="3">
    <oc r="B73">
      <v>4</v>
    </oc>
    <nc r="B73"/>
  </rcc>
  <rcc rId="815" sId="3">
    <oc r="C73" t="inlineStr">
      <is>
        <t>C0139_2</t>
      </is>
    </oc>
    <nc r="C73"/>
  </rcc>
  <rcc rId="816" sId="3" numFmtId="19">
    <oc r="D73">
      <v>45433</v>
    </oc>
    <nc r="D73"/>
  </rcc>
  <rcc rId="817" sId="3" numFmtId="26">
    <oc r="E73">
      <v>0.22061342592592592</v>
    </oc>
    <nc r="E73"/>
  </rcc>
  <rcc rId="818" sId="3" numFmtId="26">
    <oc r="F73">
      <v>2.5462962962962962E-2</v>
    </oc>
    <nc r="F73"/>
  </rcc>
  <rcc rId="819" sId="3" numFmtId="26">
    <oc r="H73">
      <v>3.30787037037037E-2</v>
    </oc>
    <nc r="H73"/>
  </rcc>
  <rcc rId="820" sId="3">
    <oc r="I73">
      <f>$E73+$H73</f>
    </oc>
    <nc r="I73"/>
  </rcc>
  <rcc rId="821" sId="3">
    <oc r="J73" t="inlineStr">
      <is>
        <t>R</t>
      </is>
    </oc>
    <nc r="J73"/>
  </rcc>
  <rcc rId="822" sId="3">
    <oc r="K73" t="inlineStr">
      <is>
        <t>R</t>
      </is>
    </oc>
    <nc r="K73"/>
  </rcc>
  <rcc rId="823" sId="3">
    <oc r="L73">
      <v>1</v>
    </oc>
    <nc r="L73"/>
  </rcc>
  <rcc rId="824" sId="3">
    <oc r="A74" t="inlineStr">
      <is>
        <t>r1</t>
      </is>
    </oc>
    <nc r="A74"/>
  </rcc>
  <rcc rId="825" sId="3">
    <oc r="B74">
      <v>1</v>
    </oc>
    <nc r="B74"/>
  </rcc>
  <rcc rId="826" sId="3">
    <oc r="C74" t="inlineStr">
      <is>
        <t>C0138_2</t>
      </is>
    </oc>
    <nc r="C74"/>
  </rcc>
  <rcc rId="827" sId="3" numFmtId="19">
    <oc r="D74">
      <v>45432</v>
    </oc>
    <nc r="D74"/>
  </rcc>
  <rcc rId="828" sId="3" numFmtId="26">
    <oc r="E74">
      <v>0.22245370370370371</v>
    </oc>
    <nc r="E74"/>
  </rcc>
  <rcc rId="829" sId="3" numFmtId="26">
    <oc r="H74">
      <v>1.5671296296296298E-2</v>
    </oc>
    <nc r="H74"/>
  </rcc>
  <rcc rId="830" sId="3">
    <oc r="I74">
      <f>$E74+$H74</f>
    </oc>
    <nc r="I74"/>
  </rcc>
  <rcc rId="831" sId="3">
    <oc r="J74" t="inlineStr">
      <is>
        <t>R</t>
      </is>
    </oc>
    <nc r="J74"/>
  </rcc>
  <rcc rId="832" sId="3">
    <oc r="K74" t="inlineStr">
      <is>
        <t>L</t>
      </is>
    </oc>
    <nc r="K74"/>
  </rcc>
  <rcc rId="833" sId="3">
    <oc r="L74">
      <v>0</v>
    </oc>
    <nc r="L74"/>
  </rcc>
  <rcc rId="834" sId="3">
    <oc r="A75" t="inlineStr">
      <is>
        <t>r1</t>
      </is>
    </oc>
    <nc r="A75"/>
  </rcc>
  <rcc rId="835" sId="3">
    <oc r="B75">
      <v>2</v>
    </oc>
    <nc r="B75"/>
  </rcc>
  <rcc rId="836" sId="3">
    <oc r="C75" t="inlineStr">
      <is>
        <t>C0138_2</t>
      </is>
    </oc>
    <nc r="C75"/>
  </rcc>
  <rcc rId="837" sId="3" numFmtId="19">
    <oc r="D75">
      <v>45432</v>
    </oc>
    <nc r="D75"/>
  </rcc>
  <rcc rId="838" sId="3" numFmtId="26">
    <oc r="E75">
      <v>0.22245370370370371</v>
    </oc>
    <nc r="E75"/>
  </rcc>
  <rcc rId="839" sId="3" numFmtId="26">
    <oc r="H75">
      <v>1.5844907407407408E-2</v>
    </oc>
    <nc r="H75"/>
  </rcc>
  <rcc rId="840" sId="3">
    <oc r="I75">
      <f>$E75+$H75</f>
    </oc>
    <nc r="I75"/>
  </rcc>
  <rcc rId="841" sId="3">
    <oc r="J75" t="inlineStr">
      <is>
        <t>R</t>
      </is>
    </oc>
    <nc r="J75"/>
  </rcc>
  <rcc rId="842" sId="3">
    <oc r="K75" t="inlineStr">
      <is>
        <t>L</t>
      </is>
    </oc>
    <nc r="K75"/>
  </rcc>
  <rcc rId="843" sId="3">
    <oc r="L75">
      <v>1</v>
    </oc>
    <nc r="L75"/>
  </rcc>
  <rcc rId="844" sId="3">
    <oc r="A76" t="inlineStr">
      <is>
        <t>r1</t>
      </is>
    </oc>
    <nc r="A76"/>
  </rcc>
  <rcc rId="845" sId="3">
    <oc r="B76">
      <v>3</v>
    </oc>
    <nc r="B76"/>
  </rcc>
  <rcc rId="846" sId="3">
    <oc r="C76" t="inlineStr">
      <is>
        <t>C0138_2</t>
      </is>
    </oc>
    <nc r="C76"/>
  </rcc>
  <rcc rId="847" sId="3" numFmtId="19">
    <oc r="D76">
      <v>45432</v>
    </oc>
    <nc r="D76"/>
  </rcc>
  <rcc rId="848" sId="3" numFmtId="26">
    <oc r="E76">
      <v>0.22245370370370371</v>
    </oc>
    <nc r="E76"/>
  </rcc>
  <rcc rId="849" sId="3" numFmtId="26">
    <oc r="H76">
      <v>2.1377314814814814E-2</v>
    </oc>
    <nc r="H76"/>
  </rcc>
  <rcc rId="850" sId="3">
    <oc r="I76">
      <f>$E76+$H76</f>
    </oc>
    <nc r="I76"/>
  </rcc>
  <rcc rId="851" sId="3">
    <oc r="J76" t="inlineStr">
      <is>
        <t>R</t>
      </is>
    </oc>
    <nc r="J76"/>
  </rcc>
  <rcc rId="852" sId="3">
    <oc r="K76" t="inlineStr">
      <is>
        <t>L</t>
      </is>
    </oc>
    <nc r="K76"/>
  </rcc>
  <rcc rId="853" sId="3">
    <oc r="L76">
      <v>0</v>
    </oc>
    <nc r="L76"/>
  </rcc>
  <rcc rId="854" sId="3">
    <oc r="A77" t="inlineStr">
      <is>
        <t>r1</t>
      </is>
    </oc>
    <nc r="A77"/>
  </rcc>
  <rcc rId="855" sId="3">
    <oc r="B77">
      <v>4</v>
    </oc>
    <nc r="B77"/>
  </rcc>
  <rcc rId="856" sId="3">
    <oc r="C77" t="inlineStr">
      <is>
        <t>C0138_2</t>
      </is>
    </oc>
    <nc r="C77"/>
  </rcc>
  <rcc rId="857" sId="3" numFmtId="19">
    <oc r="D77">
      <v>45432</v>
    </oc>
    <nc r="D77"/>
  </rcc>
  <rcc rId="858" sId="3" numFmtId="26">
    <oc r="E77">
      <v>0.22245370370370371</v>
    </oc>
    <nc r="E77"/>
  </rcc>
  <rcc rId="859" sId="3" numFmtId="26">
    <oc r="F77">
      <v>1.894675925925926E-2</v>
    </oc>
    <nc r="F77"/>
  </rcc>
  <rcc rId="860" sId="3" numFmtId="26">
    <oc r="H77">
      <v>2.8472222222222222E-2</v>
    </oc>
    <nc r="H77"/>
  </rcc>
  <rcc rId="861" sId="3">
    <oc r="I77">
      <f>$E77+$H77</f>
    </oc>
    <nc r="I77"/>
  </rcc>
  <rcc rId="862" sId="3">
    <oc r="J77" t="inlineStr">
      <is>
        <t>L</t>
      </is>
    </oc>
    <nc r="J77"/>
  </rcc>
  <rcc rId="863" sId="3">
    <oc r="K77" t="inlineStr">
      <is>
        <t>L</t>
      </is>
    </oc>
    <nc r="K77"/>
  </rcc>
  <rcc rId="864" sId="3">
    <oc r="L77">
      <v>0</v>
    </oc>
    <nc r="L77"/>
  </rcc>
  <rcc rId="865" sId="3">
    <oc r="A78" t="inlineStr">
      <is>
        <t>r1</t>
      </is>
    </oc>
    <nc r="A78"/>
  </rcc>
  <rcc rId="866" sId="3">
    <oc r="B78">
      <v>5</v>
    </oc>
    <nc r="B78"/>
  </rcc>
  <rcc rId="867" sId="3">
    <oc r="C78" t="inlineStr">
      <is>
        <t>C0138_2</t>
      </is>
    </oc>
    <nc r="C78"/>
  </rcc>
  <rcc rId="868" sId="3" numFmtId="19">
    <oc r="D78">
      <v>45432</v>
    </oc>
    <nc r="D78"/>
  </rcc>
  <rcc rId="869" sId="3" numFmtId="26">
    <oc r="E78">
      <v>0.22245370370370371</v>
    </oc>
    <nc r="E78"/>
  </rcc>
  <rcc rId="870" sId="3" numFmtId="26">
    <oc r="F78">
      <v>2.3831018518518519E-2</v>
    </oc>
    <nc r="F78"/>
  </rcc>
  <rcc rId="871" sId="3" numFmtId="26">
    <oc r="H78">
      <v>2.9768518518518517E-2</v>
    </oc>
    <nc r="H78"/>
  </rcc>
  <rcc rId="872" sId="3">
    <oc r="I78">
      <f>$E78+$H78</f>
    </oc>
    <nc r="I78"/>
  </rcc>
  <rcc rId="873" sId="3">
    <oc r="J78" t="inlineStr">
      <is>
        <t>L</t>
      </is>
    </oc>
    <nc r="J78"/>
  </rcc>
  <rcc rId="874" sId="3">
    <oc r="K78" t="inlineStr">
      <is>
        <t>L</t>
      </is>
    </oc>
    <nc r="K78"/>
  </rcc>
  <rcc rId="875" sId="3">
    <oc r="L78">
      <v>0</v>
    </oc>
    <nc r="L78"/>
  </rcc>
  <rcc rId="876" sId="3">
    <oc r="A79" t="inlineStr">
      <is>
        <t>r1</t>
      </is>
    </oc>
    <nc r="A79"/>
  </rcc>
  <rcc rId="877" sId="3">
    <oc r="B79">
      <v>1</v>
    </oc>
    <nc r="B79"/>
  </rcc>
  <rcc rId="878" sId="3">
    <oc r="C79" t="inlineStr">
      <is>
        <t>C0137_2</t>
      </is>
    </oc>
    <nc r="C79"/>
  </rcc>
  <rcc rId="879" sId="3" numFmtId="19">
    <oc r="D79">
      <v>45431</v>
    </oc>
    <nc r="D79"/>
  </rcc>
  <rcc rId="880" sId="3" numFmtId="26">
    <oc r="E79">
      <v>0.76153935185185184</v>
    </oc>
    <nc r="E79"/>
  </rcc>
  <rcc rId="881" sId="3" numFmtId="26">
    <oc r="F79">
      <v>2.0023148148148148E-2</v>
    </oc>
    <nc r="F79"/>
  </rcc>
  <rcc rId="882" sId="3">
    <oc r="G79" t="inlineStr">
      <is>
        <t>NA</t>
      </is>
    </oc>
    <nc r="G79"/>
  </rcc>
  <rcc rId="883" sId="3">
    <oc r="H79" t="inlineStr">
      <is>
        <t>NA</t>
      </is>
    </oc>
    <nc r="H79"/>
  </rcc>
  <rcc rId="884" sId="3">
    <oc r="I79" t="inlineStr">
      <is>
        <t>NA</t>
      </is>
    </oc>
    <nc r="I79"/>
  </rcc>
  <rcc rId="885" sId="3">
    <oc r="J79" t="inlineStr">
      <is>
        <t>R</t>
      </is>
    </oc>
    <nc r="J79"/>
  </rcc>
  <rcc rId="886" sId="3">
    <oc r="K79" t="inlineStr">
      <is>
        <t>R</t>
      </is>
    </oc>
    <nc r="K79"/>
  </rcc>
  <rcc rId="887" sId="3">
    <oc r="L79" t="inlineStr">
      <is>
        <t>NA</t>
      </is>
    </oc>
    <nc r="L79"/>
  </rcc>
  <rcc rId="888" sId="3">
    <oc r="M79" t="inlineStr">
      <is>
        <t>No return data bc I used camera to record maze 2 bc battery of maze 2 camera dies halway through</t>
      </is>
    </oc>
    <nc r="M79"/>
  </rcc>
  <rcc rId="889" sId="3">
    <oc r="A80" t="inlineStr">
      <is>
        <t>r1</t>
      </is>
    </oc>
    <nc r="A80"/>
  </rcc>
  <rcc rId="890" sId="3">
    <oc r="B80">
      <v>1</v>
    </oc>
    <nc r="B80"/>
  </rcc>
  <rcc rId="891" sId="3">
    <oc r="C80" t="inlineStr">
      <is>
        <t>C0136_2</t>
      </is>
    </oc>
    <nc r="C80"/>
  </rcc>
  <rcc rId="892" sId="3" numFmtId="19">
    <oc r="D80">
      <v>45431</v>
    </oc>
    <nc r="D80"/>
  </rcc>
  <rcc rId="893" sId="3" numFmtId="26">
    <oc r="E80">
      <v>0.21937499999999999</v>
    </oc>
    <nc r="E80"/>
  </rcc>
  <rcc rId="894" sId="3" numFmtId="26">
    <oc r="H80">
      <v>9.3055555555555548E-3</v>
    </oc>
    <nc r="H80"/>
  </rcc>
  <rcc rId="895" sId="3">
    <oc r="I80">
      <f>$E80+$H80</f>
    </oc>
    <nc r="I80"/>
  </rcc>
  <rcc rId="896" sId="3">
    <oc r="J80" t="inlineStr">
      <is>
        <t>L</t>
      </is>
    </oc>
    <nc r="J80"/>
  </rcc>
  <rcc rId="897" sId="3">
    <oc r="K80" t="inlineStr">
      <is>
        <t>L</t>
      </is>
    </oc>
    <nc r="K80"/>
  </rcc>
  <rcc rId="898" sId="3">
    <oc r="L80">
      <v>0</v>
    </oc>
    <nc r="L80"/>
  </rcc>
  <rcc rId="899" sId="3">
    <oc r="A81" t="inlineStr">
      <is>
        <t>r1</t>
      </is>
    </oc>
    <nc r="A81"/>
  </rcc>
  <rcc rId="900" sId="3">
    <oc r="B81">
      <v>2</v>
    </oc>
    <nc r="B81"/>
  </rcc>
  <rcc rId="901" sId="3">
    <oc r="C81" t="inlineStr">
      <is>
        <t>C0136_2</t>
      </is>
    </oc>
    <nc r="C81"/>
  </rcc>
  <rcc rId="902" sId="3" numFmtId="19">
    <oc r="D81">
      <v>45431</v>
    </oc>
    <nc r="D81"/>
  </rcc>
  <rcc rId="903" sId="3" numFmtId="26">
    <oc r="E81">
      <v>0.21937499999999999</v>
    </oc>
    <nc r="E81"/>
  </rcc>
  <rcc rId="904" sId="3" numFmtId="26">
    <oc r="H81">
      <v>1.6250000000000001E-2</v>
    </oc>
    <nc r="H81"/>
  </rcc>
  <rcc rId="905" sId="3">
    <oc r="I81">
      <f>$E81+$H81</f>
    </oc>
    <nc r="I81"/>
  </rcc>
  <rcc rId="906" sId="3">
    <oc r="J81" t="inlineStr">
      <is>
        <t>L</t>
      </is>
    </oc>
    <nc r="J81"/>
  </rcc>
  <rcc rId="907" sId="3">
    <oc r="K81" t="inlineStr">
      <is>
        <t>L</t>
      </is>
    </oc>
    <nc r="K81"/>
  </rcc>
  <rcc rId="908" sId="3">
    <oc r="L81">
      <v>1</v>
    </oc>
    <nc r="L81"/>
  </rcc>
  <rcc rId="909" sId="3">
    <oc r="A82" t="inlineStr">
      <is>
        <t>r1</t>
      </is>
    </oc>
    <nc r="A82"/>
  </rcc>
  <rcc rId="910" sId="3">
    <oc r="B82">
      <v>3</v>
    </oc>
    <nc r="B82"/>
  </rcc>
  <rcc rId="911" sId="3">
    <oc r="C82" t="inlineStr">
      <is>
        <t>C0136_2</t>
      </is>
    </oc>
    <nc r="C82"/>
  </rcc>
  <rcc rId="912" sId="3" numFmtId="19">
    <oc r="D82">
      <v>45431</v>
    </oc>
    <nc r="D82"/>
  </rcc>
  <rcc rId="913" sId="3" numFmtId="26">
    <oc r="E82">
      <v>0.21937499999999999</v>
    </oc>
    <nc r="E82"/>
  </rcc>
  <rcc rId="914" sId="3" numFmtId="26">
    <oc r="F82">
      <v>1.1041666666666667E-2</v>
    </oc>
    <nc r="F82"/>
  </rcc>
  <rcc rId="915" sId="3" numFmtId="26">
    <oc r="H82">
      <v>1.8252314814814815E-2</v>
    </oc>
    <nc r="H82"/>
  </rcc>
  <rcc rId="916" sId="3">
    <oc r="I82">
      <f>$E82+$H82</f>
    </oc>
    <nc r="I82"/>
  </rcc>
  <rcc rId="917" sId="3">
    <oc r="J82" t="inlineStr">
      <is>
        <t>L</t>
      </is>
    </oc>
    <nc r="J82"/>
  </rcc>
  <rcc rId="918" sId="3">
    <oc r="K82" t="inlineStr">
      <is>
        <t>L</t>
      </is>
    </oc>
    <nc r="K82"/>
  </rcc>
  <rcc rId="919" sId="3">
    <oc r="L82">
      <v>0</v>
    </oc>
    <nc r="L82"/>
  </rcc>
  <rcc rId="920" sId="3">
    <oc r="A83" t="inlineStr">
      <is>
        <t>r1</t>
      </is>
    </oc>
    <nc r="A83"/>
  </rcc>
  <rcc rId="921" sId="3">
    <oc r="B83">
      <v>4</v>
    </oc>
    <nc r="B83"/>
  </rcc>
  <rcc rId="922" sId="3">
    <oc r="C83" t="inlineStr">
      <is>
        <t>C0136_2</t>
      </is>
    </oc>
    <nc r="C83"/>
  </rcc>
  <rcc rId="923" sId="3" numFmtId="19">
    <oc r="D83">
      <v>45431</v>
    </oc>
    <nc r="D83"/>
  </rcc>
  <rcc rId="924" sId="3" numFmtId="26">
    <oc r="E83">
      <v>0.21937499999999999</v>
    </oc>
    <nc r="E83"/>
  </rcc>
  <rcc rId="925" sId="3" numFmtId="26">
    <oc r="F83">
      <v>2.0150462962962964E-2</v>
    </oc>
    <nc r="F83"/>
  </rcc>
  <rcc rId="926" sId="3" numFmtId="26">
    <oc r="H83">
      <v>2.3854166666666666E-2</v>
    </oc>
    <nc r="H83"/>
  </rcc>
  <rcc rId="927" sId="3">
    <oc r="I83">
      <f>$E83+$H83</f>
    </oc>
    <nc r="I83"/>
  </rcc>
  <rcc rId="928" sId="3">
    <oc r="J83" t="inlineStr">
      <is>
        <t>L</t>
      </is>
    </oc>
    <nc r="J83"/>
  </rcc>
  <rcc rId="929" sId="3">
    <oc r="K83" t="inlineStr">
      <is>
        <t>L</t>
      </is>
    </oc>
    <nc r="K83"/>
  </rcc>
  <rcc rId="930" sId="3">
    <oc r="L83">
      <v>1</v>
    </oc>
    <nc r="L83"/>
  </rcc>
  <rcc rId="931" sId="3">
    <oc r="A84" t="inlineStr">
      <is>
        <t>r1</t>
      </is>
    </oc>
    <nc r="A84"/>
  </rcc>
  <rcc rId="932" sId="3">
    <oc r="B84">
      <v>1</v>
    </oc>
    <nc r="B84"/>
  </rcc>
  <rcc rId="933" sId="3">
    <oc r="C84" t="inlineStr">
      <is>
        <t>C0167</t>
      </is>
    </oc>
    <nc r="C84"/>
  </rcc>
  <rcc rId="934" sId="3" numFmtId="19">
    <oc r="D84">
      <v>45438</v>
    </oc>
    <nc r="D84"/>
  </rcc>
  <rcc rId="935" sId="3" numFmtId="23">
    <oc r="E84">
      <v>0.75898148148148148</v>
    </oc>
    <nc r="E84"/>
  </rcc>
  <rcc rId="936" sId="3" numFmtId="26">
    <oc r="F84">
      <v>8.1250000000000003E-3</v>
    </oc>
    <nc r="F84"/>
  </rcc>
  <rcc rId="937" sId="3" numFmtId="26">
    <oc r="H84">
      <v>2.627314814814815E-2</v>
    </oc>
    <nc r="H84"/>
  </rcc>
  <rcc rId="938" sId="3">
    <oc r="I84">
      <f>$E84+$H84</f>
    </oc>
    <nc r="I84"/>
  </rcc>
  <rcc rId="939" sId="3">
    <oc r="J84" t="inlineStr">
      <is>
        <t>L</t>
      </is>
    </oc>
    <nc r="J84"/>
  </rcc>
  <rcc rId="940" sId="3">
    <oc r="K84" t="inlineStr">
      <is>
        <t>R</t>
      </is>
    </oc>
    <nc r="K84"/>
  </rcc>
  <rcc rId="941" sId="3">
    <oc r="L84">
      <v>0</v>
    </oc>
    <nc r="L84"/>
  </rcc>
  <rcc rId="942" sId="3">
    <oc r="A85" t="inlineStr">
      <is>
        <t>r1</t>
      </is>
    </oc>
    <nc r="A85"/>
  </rcc>
  <rcc rId="943" sId="3">
    <oc r="B85">
      <v>1</v>
    </oc>
    <nc r="B85"/>
  </rcc>
  <rcc rId="944" sId="3">
    <oc r="C85" t="inlineStr">
      <is>
        <t>C0168</t>
      </is>
    </oc>
    <nc r="C85"/>
  </rcc>
  <rcc rId="945" sId="3" numFmtId="19">
    <oc r="D85">
      <v>45439</v>
    </oc>
    <nc r="D85"/>
  </rcc>
  <rcc rId="946" sId="3" numFmtId="23">
    <oc r="E85">
      <v>0.21839120370370371</v>
    </oc>
    <nc r="E85"/>
  </rcc>
  <rcc rId="947" sId="3" numFmtId="26">
    <oc r="H85">
      <v>1.2083333333333333E-2</v>
    </oc>
    <nc r="H85"/>
  </rcc>
  <rcc rId="948" sId="3">
    <oc r="I85">
      <f>$E85+$H85</f>
    </oc>
    <nc r="I85"/>
  </rcc>
  <rcc rId="949" sId="3">
    <oc r="J85" t="inlineStr">
      <is>
        <t>R</t>
      </is>
    </oc>
    <nc r="J85"/>
  </rcc>
  <rcc rId="950" sId="3">
    <oc r="K85" t="inlineStr">
      <is>
        <t>R</t>
      </is>
    </oc>
    <nc r="K85"/>
  </rcc>
  <rcc rId="951" sId="3">
    <oc r="L85">
      <v>1</v>
    </oc>
    <nc r="L85"/>
  </rcc>
  <rcc rId="952" sId="3">
    <oc r="A86" t="inlineStr">
      <is>
        <t>r1</t>
      </is>
    </oc>
    <nc r="A86"/>
  </rcc>
  <rcc rId="953" sId="3">
    <oc r="B86">
      <v>2</v>
    </oc>
    <nc r="B86"/>
  </rcc>
  <rcc rId="954" sId="3">
    <oc r="C86" t="inlineStr">
      <is>
        <t>C0168</t>
      </is>
    </oc>
    <nc r="C86"/>
  </rcc>
  <rcc rId="955" sId="3" numFmtId="19">
    <oc r="D86">
      <v>45439</v>
    </oc>
    <nc r="D86"/>
  </rcc>
  <rcc rId="956" sId="3" numFmtId="23">
    <oc r="E86">
      <v>0.21839120370370371</v>
    </oc>
    <nc r="E86"/>
  </rcc>
  <rcc rId="957" sId="3" numFmtId="26">
    <oc r="F86">
      <v>1.3009259259259259E-2</v>
    </oc>
    <nc r="F86"/>
  </rcc>
  <rcc rId="958" sId="3" numFmtId="26">
    <oc r="H86">
      <v>3.9039351851851853E-2</v>
    </oc>
    <nc r="H86"/>
  </rcc>
  <rcc rId="959" sId="3">
    <oc r="I86">
      <f>$E86+$H86</f>
    </oc>
    <nc r="I86"/>
  </rcc>
  <rcc rId="960" sId="3">
    <oc r="J86" t="inlineStr">
      <is>
        <t>R</t>
      </is>
    </oc>
    <nc r="J86"/>
  </rcc>
  <rcc rId="961" sId="3">
    <oc r="K86" t="inlineStr">
      <is>
        <t>R</t>
      </is>
    </oc>
    <nc r="K86"/>
  </rcc>
  <rcc rId="962" sId="3">
    <oc r="L86">
      <v>0</v>
    </oc>
    <nc r="L86"/>
  </rcc>
  <rcc rId="963" sId="3">
    <oc r="A87" t="inlineStr">
      <is>
        <t>r1</t>
      </is>
    </oc>
    <nc r="A87"/>
  </rcc>
  <rcc rId="964" sId="3">
    <oc r="B87">
      <v>3</v>
    </oc>
    <nc r="B87"/>
  </rcc>
  <rcc rId="965" sId="3">
    <oc r="C87" t="inlineStr">
      <is>
        <t>C0168</t>
      </is>
    </oc>
    <nc r="C87"/>
  </rcc>
  <rcc rId="966" sId="3" numFmtId="19">
    <oc r="D87">
      <v>45439</v>
    </oc>
    <nc r="D87"/>
  </rcc>
  <rcc rId="967" sId="3" numFmtId="23">
    <oc r="E87">
      <v>0.21839120370370371</v>
    </oc>
    <nc r="E87"/>
  </rcc>
  <rcc rId="968" sId="3" numFmtId="26">
    <oc r="F87">
      <v>1.3009259259259259E-2</v>
    </oc>
    <nc r="F87"/>
  </rcc>
  <rcc rId="969" sId="3">
    <oc r="H87" t="inlineStr">
      <is>
        <t>NA</t>
      </is>
    </oc>
    <nc r="H87"/>
  </rcc>
  <rcc rId="970" sId="3">
    <oc r="I87" t="inlineStr">
      <is>
        <t>NA</t>
      </is>
    </oc>
    <nc r="I87"/>
  </rcc>
  <rcc rId="971" sId="3">
    <oc r="J87" t="inlineStr">
      <is>
        <t>R</t>
      </is>
    </oc>
    <nc r="J87"/>
  </rcc>
  <rcc rId="972" sId="3">
    <oc r="K87" t="inlineStr">
      <is>
        <t>R</t>
      </is>
    </oc>
    <nc r="K87"/>
  </rcc>
  <rcc rId="973" sId="3">
    <oc r="L87" t="inlineStr">
      <is>
        <t>NA</t>
      </is>
    </oc>
    <nc r="L87"/>
  </rcc>
  <rcc rId="974" sId="3">
    <oc r="A88" t="inlineStr">
      <is>
        <t>r1</t>
      </is>
    </oc>
    <nc r="A88"/>
  </rcc>
  <rcc rId="975" sId="3">
    <oc r="B88">
      <v>1</v>
    </oc>
    <nc r="B88"/>
  </rcc>
  <rcc rId="976" sId="3">
    <oc r="C88" t="inlineStr">
      <is>
        <t>C0167_2</t>
      </is>
    </oc>
    <nc r="C88"/>
  </rcc>
  <rcc rId="977" sId="3" numFmtId="19">
    <oc r="D88">
      <v>45443</v>
    </oc>
    <nc r="D88"/>
  </rcc>
  <rcc rId="978" sId="3" numFmtId="26">
    <oc r="E88">
      <v>0.76233796296296297</v>
    </oc>
    <nc r="E88"/>
  </rcc>
  <rcc rId="979" sId="3" numFmtId="26">
    <oc r="H88">
      <v>2.8715277777777777E-2</v>
    </oc>
    <nc r="H88"/>
  </rcc>
  <rcc rId="980" sId="3">
    <oc r="I88">
      <f>$E88+$H88</f>
    </oc>
    <nc r="I88"/>
  </rcc>
  <rcc rId="981" sId="3">
    <oc r="J88" t="inlineStr">
      <is>
        <t>R</t>
      </is>
    </oc>
    <nc r="J88"/>
  </rcc>
  <rcc rId="982" sId="3">
    <oc r="K88" t="inlineStr">
      <is>
        <t>L</t>
      </is>
    </oc>
    <nc r="K88"/>
  </rcc>
  <rcc rId="983" sId="3">
    <oc r="L88">
      <v>0</v>
    </oc>
    <nc r="L88"/>
  </rcc>
  <rcc rId="984" sId="3">
    <oc r="A89" t="inlineStr">
      <is>
        <t>r1</t>
      </is>
    </oc>
    <nc r="A89"/>
  </rcc>
  <rcc rId="985" sId="3">
    <oc r="B89">
      <v>2</v>
    </oc>
    <nc r="B89"/>
  </rcc>
  <rcc rId="986" sId="3">
    <oc r="C89" t="inlineStr">
      <is>
        <t>C0167_2</t>
      </is>
    </oc>
    <nc r="C89"/>
  </rcc>
  <rcc rId="987" sId="3" numFmtId="19">
    <oc r="D89">
      <v>45443</v>
    </oc>
    <nc r="D89"/>
  </rcc>
  <rcc rId="988" sId="3" numFmtId="26">
    <oc r="E89">
      <v>0.76233796296296297</v>
    </oc>
    <nc r="E89"/>
  </rcc>
  <rcc rId="989" sId="3" numFmtId="26">
    <oc r="H89">
      <v>2.8796296296296296E-2</v>
    </oc>
    <nc r="H89"/>
  </rcc>
  <rcc rId="990" sId="3">
    <oc r="I89">
      <f>$E89+$H89</f>
    </oc>
    <nc r="I89"/>
  </rcc>
  <rcc rId="991" sId="3">
    <oc r="J89" t="inlineStr">
      <is>
        <t>R</t>
      </is>
    </oc>
    <nc r="J89"/>
  </rcc>
  <rcc rId="992" sId="3">
    <oc r="K89" t="inlineStr">
      <is>
        <t>L</t>
      </is>
    </oc>
    <nc r="K89"/>
  </rcc>
  <rcc rId="993" sId="3">
    <oc r="L89">
      <v>0</v>
    </oc>
    <nc r="L89"/>
  </rcc>
  <rcc rId="994" sId="3">
    <oc r="A90" t="inlineStr">
      <is>
        <t>r1</t>
      </is>
    </oc>
    <nc r="A90"/>
  </rcc>
  <rcc rId="995" sId="3">
    <oc r="B90">
      <v>3</v>
    </oc>
    <nc r="B90"/>
  </rcc>
  <rcc rId="996" sId="3">
    <oc r="C90" t="inlineStr">
      <is>
        <t>C0167_2</t>
      </is>
    </oc>
    <nc r="C90"/>
  </rcc>
  <rcc rId="997" sId="3" numFmtId="19">
    <oc r="D90">
      <v>45443</v>
    </oc>
    <nc r="D90"/>
  </rcc>
  <rcc rId="998" sId="3" numFmtId="26">
    <oc r="E90">
      <v>0.76233796296296297</v>
    </oc>
    <nc r="E90"/>
  </rcc>
  <rcc rId="999" sId="3" numFmtId="26">
    <oc r="F90">
      <v>3.0497685185185187E-2</v>
    </oc>
    <nc r="F90"/>
  </rcc>
  <rcc rId="1000" sId="3">
    <oc r="G90">
      <f>$E90 +$F90</f>
    </oc>
    <nc r="G90"/>
  </rcc>
  <rcc rId="1001" sId="3" numFmtId="26">
    <oc r="H90">
      <v>3.5370370370370371E-2</v>
    </oc>
    <nc r="H90"/>
  </rcc>
  <rcc rId="1002" sId="3">
    <oc r="I90">
      <f>$E90+$H90</f>
    </oc>
    <nc r="I90"/>
  </rcc>
  <rcc rId="1003" sId="3">
    <oc r="J90" t="inlineStr">
      <is>
        <t>R</t>
      </is>
    </oc>
    <nc r="J90"/>
  </rcc>
  <rcc rId="1004" sId="3">
    <oc r="K90" t="inlineStr">
      <is>
        <t>L</t>
      </is>
    </oc>
    <nc r="K90"/>
  </rcc>
  <rcc rId="1005" sId="3">
    <oc r="L90">
      <v>0</v>
    </oc>
    <nc r="L90"/>
  </rcc>
  <rcc rId="1006" sId="3">
    <oc r="A91" t="inlineStr">
      <is>
        <t>r1</t>
      </is>
    </oc>
    <nc r="A91"/>
  </rcc>
  <rcc rId="1007" sId="3">
    <oc r="B91">
      <v>1</v>
    </oc>
    <nc r="B91"/>
  </rcc>
  <rcc rId="1008" sId="3">
    <oc r="C91" t="inlineStr">
      <is>
        <t>C0173</t>
      </is>
    </oc>
    <nc r="C91"/>
  </rcc>
  <rcc rId="1009" sId="3" numFmtId="19">
    <oc r="D91">
      <v>45447</v>
    </oc>
    <nc r="D91"/>
  </rcc>
  <rcc rId="1010" sId="3" numFmtId="26">
    <oc r="E91">
      <v>0.22120370370370371</v>
    </oc>
    <nc r="E91"/>
  </rcc>
  <rcc rId="1011" sId="3" numFmtId="26">
    <oc r="F91">
      <v>1.1909722222222223E-2</v>
    </oc>
    <nc r="F91"/>
  </rcc>
  <rcc rId="1012" sId="3">
    <oc r="G91">
      <f>$E91 +$F91</f>
    </oc>
    <nc r="G91"/>
  </rcc>
  <rcc rId="1013" sId="3" numFmtId="26">
    <oc r="H91">
      <v>2.5462962962962962E-2</v>
    </oc>
    <nc r="H91"/>
  </rcc>
  <rcc rId="1014" sId="3">
    <oc r="I91">
      <f>$E91+$H91</f>
    </oc>
    <nc r="I91"/>
  </rcc>
  <rcc rId="1015" sId="3">
    <oc r="J91" t="inlineStr">
      <is>
        <t>R</t>
      </is>
    </oc>
    <nc r="J91"/>
  </rcc>
  <rcc rId="1016" sId="3">
    <oc r="K91" t="inlineStr">
      <is>
        <t>R</t>
      </is>
    </oc>
    <nc r="K91"/>
  </rcc>
  <rcc rId="1017" sId="3">
    <oc r="L91">
      <v>1</v>
    </oc>
    <nc r="L91"/>
  </rcc>
  <rcc rId="1018" sId="3">
    <oc r="A92" t="inlineStr">
      <is>
        <t>r1</t>
      </is>
    </oc>
    <nc r="A92"/>
  </rcc>
  <rcc rId="1019" sId="3">
    <oc r="B92" t="inlineStr">
      <is>
        <t>NA</t>
      </is>
    </oc>
    <nc r="B92"/>
  </rcc>
  <rcc rId="1020" sId="3">
    <oc r="C92" t="inlineStr">
      <is>
        <t>C0172</t>
      </is>
    </oc>
    <nc r="C92"/>
  </rcc>
  <rcc rId="1021" sId="3" numFmtId="19">
    <oc r="D92">
      <v>45446</v>
    </oc>
    <nc r="D92"/>
  </rcc>
  <rcc rId="1022" sId="3" numFmtId="26">
    <oc r="E92">
      <v>0.76931712962962961</v>
    </oc>
    <nc r="E92"/>
  </rcc>
  <rcc rId="1023" sId="3">
    <oc r="F92" t="inlineStr">
      <is>
        <t>NA</t>
      </is>
    </oc>
    <nc r="F92"/>
  </rcc>
  <rcc rId="1024" sId="3">
    <oc r="G92" t="inlineStr">
      <is>
        <t>NA</t>
      </is>
    </oc>
    <nc r="G92"/>
  </rcc>
  <rcc rId="1025" sId="3">
    <oc r="H92" t="inlineStr">
      <is>
        <t>NA</t>
      </is>
    </oc>
    <nc r="H92"/>
  </rcc>
  <rcc rId="1026" sId="3">
    <oc r="I92" t="inlineStr">
      <is>
        <t>NA</t>
      </is>
    </oc>
    <nc r="I92"/>
  </rcc>
  <rcc rId="1027" sId="3">
    <oc r="J92" t="inlineStr">
      <is>
        <t>L</t>
      </is>
    </oc>
    <nc r="J92"/>
  </rcc>
  <rcc rId="1028" sId="3">
    <oc r="K92" t="inlineStr">
      <is>
        <t>L</t>
      </is>
    </oc>
    <nc r="K92"/>
  </rcc>
  <rcc rId="1029" sId="3">
    <oc r="L92" t="inlineStr">
      <is>
        <t>NA</t>
      </is>
    </oc>
    <nc r="L92"/>
  </rcc>
  <rcc rId="1030" sId="3">
    <oc r="M92" t="inlineStr">
      <is>
        <t>no activity. Video deleted</t>
      </is>
    </oc>
    <nc r="M92"/>
  </rcc>
  <rcc rId="1031" sId="3">
    <oc r="A93" t="inlineStr">
      <is>
        <t>r1</t>
      </is>
    </oc>
    <nc r="A93"/>
  </rcc>
  <rcc rId="1032" sId="3">
    <oc r="B93">
      <v>1</v>
    </oc>
    <nc r="B93"/>
  </rcc>
  <rcc rId="1033" sId="3">
    <oc r="C93" t="inlineStr">
      <is>
        <t>C0171</t>
      </is>
    </oc>
    <nc r="C93"/>
  </rcc>
  <rcc rId="1034" sId="3" numFmtId="19">
    <oc r="D93">
      <v>45446</v>
    </oc>
    <nc r="D93"/>
  </rcc>
  <rcc rId="1035" sId="3" numFmtId="26">
    <oc r="E93">
      <v>0.22300925925925927</v>
    </oc>
    <nc r="E93"/>
  </rcc>
  <rcc rId="1036" sId="3" numFmtId="26">
    <oc r="H93">
      <v>8.9120370370370378E-3</v>
    </oc>
    <nc r="H93"/>
  </rcc>
  <rcc rId="1037" sId="3">
    <oc r="I93">
      <f>$E93+$H93</f>
    </oc>
    <nc r="I93"/>
  </rcc>
  <rcc rId="1038" sId="3">
    <oc r="J93" t="inlineStr">
      <is>
        <t>R</t>
      </is>
    </oc>
    <nc r="J93"/>
  </rcc>
  <rcc rId="1039" sId="3">
    <oc r="K93" t="inlineStr">
      <is>
        <t>L</t>
      </is>
    </oc>
    <nc r="K93"/>
  </rcc>
  <rcc rId="1040" sId="3">
    <oc r="L93">
      <v>1</v>
    </oc>
    <nc r="L93"/>
  </rcc>
  <rcc rId="1041" sId="3">
    <oc r="A94" t="inlineStr">
      <is>
        <t>r1</t>
      </is>
    </oc>
    <nc r="A94"/>
  </rcc>
  <rcc rId="1042" sId="3">
    <oc r="B94">
      <v>2</v>
    </oc>
    <nc r="B94"/>
  </rcc>
  <rcc rId="1043" sId="3">
    <oc r="C94" t="inlineStr">
      <is>
        <t>C0171</t>
      </is>
    </oc>
    <nc r="C94"/>
  </rcc>
  <rcc rId="1044" sId="3" numFmtId="19">
    <oc r="D94">
      <v>45446</v>
    </oc>
    <nc r="D94"/>
  </rcc>
  <rcc rId="1045" sId="3" numFmtId="26">
    <oc r="E94">
      <v>0.22300925925925927</v>
    </oc>
    <nc r="E94"/>
  </rcc>
  <rcc rId="1046" sId="3" numFmtId="26">
    <oc r="H94">
      <v>1.8078703703703704E-2</v>
    </oc>
    <nc r="H94"/>
  </rcc>
  <rcc rId="1047" sId="3">
    <oc r="I94">
      <f>$E94+$H94</f>
    </oc>
    <nc r="I94"/>
  </rcc>
  <rcc rId="1048" sId="3">
    <oc r="J94" t="inlineStr">
      <is>
        <t>R</t>
      </is>
    </oc>
    <nc r="J94"/>
  </rcc>
  <rcc rId="1049" sId="3">
    <oc r="K94" t="inlineStr">
      <is>
        <t>L</t>
      </is>
    </oc>
    <nc r="K94"/>
  </rcc>
  <rcc rId="1050" sId="3">
    <oc r="L94">
      <v>0</v>
    </oc>
    <nc r="L94"/>
  </rcc>
  <rcc rId="1051" sId="3">
    <oc r="A95" t="inlineStr">
      <is>
        <t>r1</t>
      </is>
    </oc>
    <nc r="A95"/>
  </rcc>
  <rcc rId="1052" sId="3">
    <oc r="B95">
      <v>3</v>
    </oc>
    <nc r="B95"/>
  </rcc>
  <rcc rId="1053" sId="3">
    <oc r="C95" t="inlineStr">
      <is>
        <t>C0171</t>
      </is>
    </oc>
    <nc r="C95"/>
  </rcc>
  <rcc rId="1054" sId="3" numFmtId="19">
    <oc r="D95">
      <v>45446</v>
    </oc>
    <nc r="D95"/>
  </rcc>
  <rcc rId="1055" sId="3" numFmtId="26">
    <oc r="E95">
      <v>0.22300925925925927</v>
    </oc>
    <nc r="E95"/>
  </rcc>
  <rcc rId="1056" sId="3" numFmtId="26">
    <oc r="H95">
      <v>2.1724537037037039E-2</v>
    </oc>
    <nc r="H95"/>
  </rcc>
  <rcc rId="1057" sId="3">
    <oc r="I95">
      <f>$E95+$H95</f>
    </oc>
    <nc r="I95"/>
  </rcc>
  <rcc rId="1058" sId="3">
    <oc r="J95" t="inlineStr">
      <is>
        <t>R</t>
      </is>
    </oc>
    <nc r="J95"/>
  </rcc>
  <rcc rId="1059" sId="3">
    <oc r="K95" t="inlineStr">
      <is>
        <t>L</t>
      </is>
    </oc>
    <nc r="K95"/>
  </rcc>
  <rcc rId="1060" sId="3">
    <oc r="L95">
      <v>1</v>
    </oc>
    <nc r="L95"/>
  </rcc>
  <rcc rId="1061" sId="3">
    <oc r="A96" t="inlineStr">
      <is>
        <t>r1</t>
      </is>
    </oc>
    <nc r="A96"/>
  </rcc>
  <rcc rId="1062" sId="3">
    <oc r="B96">
      <v>4</v>
    </oc>
    <nc r="B96"/>
  </rcc>
  <rcc rId="1063" sId="3">
    <oc r="C96" t="inlineStr">
      <is>
        <t>C0171</t>
      </is>
    </oc>
    <nc r="C96"/>
  </rcc>
  <rcc rId="1064" sId="3" numFmtId="19">
    <oc r="D96">
      <v>45446</v>
    </oc>
    <nc r="D96"/>
  </rcc>
  <rcc rId="1065" sId="3" numFmtId="26">
    <oc r="E96">
      <v>0.22300925925925927</v>
    </oc>
    <nc r="E96"/>
  </rcc>
  <rcc rId="1066" sId="3" numFmtId="26">
    <oc r="F96">
      <v>1.9027777777777779E-2</v>
    </oc>
    <nc r="F96"/>
  </rcc>
  <rcc rId="1067" sId="3" numFmtId="26">
    <oc r="H96">
      <v>3.1284722222222221E-2</v>
    </oc>
    <nc r="H96"/>
  </rcc>
  <rcc rId="1068" sId="3">
    <oc r="I96">
      <f>$E96+$H96</f>
    </oc>
    <nc r="I96"/>
  </rcc>
  <rcc rId="1069" sId="3">
    <oc r="J96" t="inlineStr">
      <is>
        <t>L</t>
      </is>
    </oc>
    <nc r="J96"/>
  </rcc>
  <rcc rId="1070" sId="3">
    <oc r="K96" t="inlineStr">
      <is>
        <t>L</t>
      </is>
    </oc>
    <nc r="K96"/>
  </rcc>
  <rcc rId="1071" sId="3">
    <oc r="L96">
      <v>0</v>
    </oc>
    <nc r="L96"/>
  </rcc>
  <rcc rId="1072" sId="3">
    <oc r="A97" t="inlineStr">
      <is>
        <t>r1</t>
      </is>
    </oc>
    <nc r="A97"/>
  </rcc>
  <rcc rId="1073" sId="3">
    <oc r="B97">
      <v>1</v>
    </oc>
    <nc r="B97"/>
  </rcc>
  <rcc rId="1074" sId="3">
    <oc r="C97" t="inlineStr">
      <is>
        <t>C0170</t>
      </is>
    </oc>
    <nc r="C97"/>
  </rcc>
  <rcc rId="1075" sId="3" numFmtId="19">
    <oc r="D97">
      <v>45445</v>
    </oc>
    <nc r="D97"/>
  </rcc>
  <rcc rId="1076" sId="3" numFmtId="26">
    <oc r="E97">
      <v>0.7683564814814815</v>
    </oc>
    <nc r="E97"/>
  </rcc>
  <rcc rId="1077" sId="3" numFmtId="26">
    <oc r="F97">
      <v>2.488425925925926E-3</v>
    </oc>
    <nc r="F97"/>
  </rcc>
  <rcc rId="1078" sId="3" numFmtId="26">
    <oc r="H97">
      <v>1.4166666666666666E-2</v>
    </oc>
    <nc r="H97"/>
  </rcc>
  <rcc rId="1079" sId="3">
    <oc r="I97">
      <f>$E97+$H97</f>
    </oc>
    <nc r="I97"/>
  </rcc>
  <rcc rId="1080" sId="3">
    <oc r="J97" t="inlineStr">
      <is>
        <t>R</t>
      </is>
    </oc>
    <nc r="J97"/>
  </rcc>
  <rcc rId="1081" sId="3">
    <oc r="K97" t="inlineStr">
      <is>
        <t>R</t>
      </is>
    </oc>
    <nc r="K97"/>
  </rcc>
  <rcc rId="1082" sId="3">
    <oc r="L97">
      <v>1</v>
    </oc>
    <nc r="L97"/>
  </rcc>
  <rcc rId="1083" sId="3">
    <oc r="A98" t="inlineStr">
      <is>
        <t>r1</t>
      </is>
    </oc>
    <nc r="A98"/>
  </rcc>
  <rcc rId="1084" sId="3">
    <oc r="B98">
      <v>2</v>
    </oc>
    <nc r="B98"/>
  </rcc>
  <rcc rId="1085" sId="3">
    <oc r="C98" t="inlineStr">
      <is>
        <t>C0170</t>
      </is>
    </oc>
    <nc r="C98"/>
  </rcc>
  <rcc rId="1086" sId="3" numFmtId="19">
    <oc r="D98">
      <v>45445</v>
    </oc>
    <nc r="D98"/>
  </rcc>
  <rcc rId="1087" sId="3" numFmtId="26">
    <oc r="E98">
      <v>0.7683564814814815</v>
    </oc>
    <nc r="E98"/>
  </rcc>
  <rcc rId="1088" sId="3" numFmtId="26">
    <oc r="F98">
      <v>1.2083333333333333E-2</v>
    </oc>
    <nc r="F98"/>
  </rcc>
  <rcc rId="1089" sId="3" numFmtId="26">
    <oc r="H98">
      <v>2.8611111111111111E-2</v>
    </oc>
    <nc r="H98"/>
  </rcc>
  <rcc rId="1090" sId="3">
    <oc r="I98">
      <f>$E98+$H98</f>
    </oc>
    <nc r="I98"/>
  </rcc>
  <rcc rId="1091" sId="3">
    <oc r="J98" t="inlineStr">
      <is>
        <t>R</t>
      </is>
    </oc>
    <nc r="J98"/>
  </rcc>
  <rcc rId="1092" sId="3">
    <oc r="K98" t="inlineStr">
      <is>
        <t>R</t>
      </is>
    </oc>
    <nc r="K98"/>
  </rcc>
  <rcc rId="1093" sId="3">
    <oc r="L98">
      <v>1</v>
    </oc>
    <nc r="L98"/>
  </rcc>
  <rcc rId="1094" sId="3">
    <oc r="A99" t="inlineStr">
      <is>
        <t>r1</t>
      </is>
    </oc>
    <nc r="A99"/>
  </rcc>
  <rcc rId="1095" sId="3">
    <oc r="B99">
      <v>3</v>
    </oc>
    <nc r="B99"/>
  </rcc>
  <rcc rId="1096" sId="3">
    <oc r="C99" t="inlineStr">
      <is>
        <t>C0170</t>
      </is>
    </oc>
    <nc r="C99"/>
  </rcc>
  <rcc rId="1097" sId="3" numFmtId="19">
    <oc r="D99">
      <v>45445</v>
    </oc>
    <nc r="D99"/>
  </rcc>
  <rcc rId="1098" sId="3" numFmtId="26">
    <oc r="E99">
      <v>0.7683564814814815</v>
    </oc>
    <nc r="E99"/>
  </rcc>
  <rcc rId="1099" sId="3" numFmtId="26">
    <oc r="F99">
      <v>1.4618055555555556E-2</v>
    </oc>
    <nc r="F99"/>
  </rcc>
  <rcc rId="1100" sId="3" numFmtId="26">
    <oc r="H99">
      <v>3.0972222222222224E-2</v>
    </oc>
    <nc r="H99"/>
  </rcc>
  <rcc rId="1101" sId="3">
    <oc r="I99">
      <f>$E99+$H99</f>
    </oc>
    <nc r="I99"/>
  </rcc>
  <rcc rId="1102" sId="3">
    <oc r="J99" t="inlineStr">
      <is>
        <t>R</t>
      </is>
    </oc>
    <nc r="J99"/>
  </rcc>
  <rcc rId="1103" sId="3">
    <oc r="K99" t="inlineStr">
      <is>
        <t>R</t>
      </is>
    </oc>
    <nc r="K99"/>
  </rcc>
  <rcc rId="1104" sId="3">
    <oc r="L99">
      <v>1</v>
    </oc>
    <nc r="L99"/>
  </rcc>
  <rcc rId="1105" sId="3">
    <oc r="A100" t="inlineStr">
      <is>
        <t>r1</t>
      </is>
    </oc>
    <nc r="A100"/>
  </rcc>
  <rcc rId="1106" sId="3">
    <oc r="B100">
      <v>1</v>
    </oc>
    <nc r="B100"/>
  </rcc>
  <rcc rId="1107" sId="3">
    <oc r="C100" t="inlineStr">
      <is>
        <t>C0169</t>
      </is>
    </oc>
    <nc r="C100"/>
  </rcc>
  <rcc rId="1108" sId="3" numFmtId="19">
    <oc r="D100">
      <v>45445</v>
    </oc>
    <nc r="D100"/>
  </rcc>
  <rcc rId="1109" sId="3" numFmtId="26">
    <oc r="E100">
      <v>0.23495370370370369</v>
    </oc>
    <nc r="E100"/>
  </rcc>
  <rcc rId="1110" sId="3" numFmtId="26">
    <oc r="H100">
      <v>2.3263888888888887E-3</v>
    </oc>
    <nc r="H100"/>
  </rcc>
  <rcc rId="1111" sId="3">
    <oc r="I100">
      <f>$E100+$H100</f>
    </oc>
    <nc r="I100"/>
  </rcc>
  <rcc rId="1112" sId="3">
    <oc r="J100" t="inlineStr">
      <is>
        <t>L</t>
      </is>
    </oc>
    <nc r="J100"/>
  </rcc>
  <rcc rId="1113" sId="3">
    <oc r="K100" t="inlineStr">
      <is>
        <t>R</t>
      </is>
    </oc>
    <nc r="K100"/>
  </rcc>
  <rcc rId="1114" sId="3">
    <oc r="L100">
      <v>1</v>
    </oc>
    <nc r="L100"/>
  </rcc>
  <rcc rId="1115" sId="3">
    <oc r="A101" t="inlineStr">
      <is>
        <t>r1</t>
      </is>
    </oc>
    <nc r="A101"/>
  </rcc>
  <rcc rId="1116" sId="3">
    <oc r="B101">
      <v>2</v>
    </oc>
    <nc r="B101"/>
  </rcc>
  <rcc rId="1117" sId="3">
    <oc r="C101" t="inlineStr">
      <is>
        <t>C0169</t>
      </is>
    </oc>
    <nc r="C101"/>
  </rcc>
  <rcc rId="1118" sId="3" numFmtId="19">
    <oc r="D101">
      <v>45445</v>
    </oc>
    <nc r="D101"/>
  </rcc>
  <rcc rId="1119" sId="3" numFmtId="26">
    <oc r="E101">
      <v>0.23495370370370369</v>
    </oc>
    <nc r="E101"/>
  </rcc>
  <rcc rId="1120" sId="3" numFmtId="26">
    <oc r="F101">
      <v>3.2754629629629631E-3</v>
    </oc>
    <nc r="F101"/>
  </rcc>
  <rcc rId="1121" sId="3" numFmtId="26">
    <oc r="H101">
      <v>1.0543981481481482E-2</v>
    </oc>
    <nc r="H101"/>
  </rcc>
  <rcc rId="1122" sId="3">
    <oc r="I101">
      <f>$E101+$H101</f>
    </oc>
    <nc r="I101"/>
  </rcc>
  <rcc rId="1123" sId="3">
    <oc r="J101" t="inlineStr">
      <is>
        <t>R</t>
      </is>
    </oc>
    <nc r="J101"/>
  </rcc>
  <rcc rId="1124" sId="3">
    <oc r="K101" t="inlineStr">
      <is>
        <t>R</t>
      </is>
    </oc>
    <nc r="K101"/>
  </rcc>
  <rcc rId="1125" sId="3">
    <oc r="L101">
      <v>1</v>
    </oc>
    <nc r="L101"/>
  </rcc>
  <rcc rId="1126" sId="3">
    <oc r="A102" t="inlineStr">
      <is>
        <t>r1</t>
      </is>
    </oc>
    <nc r="A102"/>
  </rcc>
  <rcc rId="1127" sId="3">
    <oc r="B102">
      <v>3</v>
    </oc>
    <nc r="B102"/>
  </rcc>
  <rcc rId="1128" sId="3">
    <oc r="C102" t="inlineStr">
      <is>
        <t>C0169</t>
      </is>
    </oc>
    <nc r="C102"/>
  </rcc>
  <rcc rId="1129" sId="3" numFmtId="19">
    <oc r="D102">
      <v>45445</v>
    </oc>
    <nc r="D102"/>
  </rcc>
  <rcc rId="1130" sId="3" numFmtId="26">
    <oc r="E102">
      <v>0.23495370370370369</v>
    </oc>
    <nc r="E102"/>
  </rcc>
  <rcc rId="1131" sId="3" numFmtId="26">
    <oc r="F102">
      <v>1.1319444444444444E-2</v>
    </oc>
    <nc r="F102"/>
  </rcc>
  <rcc rId="1132" sId="3" numFmtId="26">
    <oc r="H102">
      <v>2.3043981481481481E-2</v>
    </oc>
    <nc r="H102"/>
  </rcc>
  <rcc rId="1133" sId="3">
    <oc r="I102">
      <f>$E102+$H102</f>
    </oc>
    <nc r="I102"/>
  </rcc>
  <rcc rId="1134" sId="3">
    <oc r="J102" t="inlineStr">
      <is>
        <t>R</t>
      </is>
    </oc>
    <nc r="J102"/>
  </rcc>
  <rcc rId="1135" sId="3">
    <oc r="K102" t="inlineStr">
      <is>
        <t>R</t>
      </is>
    </oc>
    <nc r="K102"/>
  </rcc>
  <rcc rId="1136" sId="3">
    <oc r="L102">
      <v>1</v>
    </oc>
    <nc r="L102"/>
  </rcc>
  <rcc rId="1137" sId="3">
    <oc r="A103" t="inlineStr">
      <is>
        <t>r1</t>
      </is>
    </oc>
    <nc r="A103"/>
  </rcc>
  <rcc rId="1138" sId="3">
    <oc r="B103">
      <v>4</v>
    </oc>
    <nc r="B103"/>
  </rcc>
  <rcc rId="1139" sId="3">
    <oc r="C103" t="inlineStr">
      <is>
        <t>C0169</t>
      </is>
    </oc>
    <nc r="C103"/>
  </rcc>
  <rcc rId="1140" sId="3" numFmtId="19">
    <oc r="D103">
      <v>45445</v>
    </oc>
    <nc r="D103"/>
  </rcc>
  <rcc rId="1141" sId="3" numFmtId="26">
    <oc r="E103">
      <v>0.23495370370370369</v>
    </oc>
    <nc r="E103"/>
  </rcc>
  <rcc rId="1142" sId="3" numFmtId="26">
    <oc r="F103">
      <v>2.3680555555555555E-2</v>
    </oc>
    <nc r="F103"/>
  </rcc>
  <rcc rId="1143" sId="3">
    <oc r="H103" t="inlineStr">
      <is>
        <t>NA</t>
      </is>
    </oc>
    <nc r="H103"/>
  </rcc>
  <rcc rId="1144" sId="3">
    <oc r="J103" t="inlineStr">
      <is>
        <t>R</t>
      </is>
    </oc>
    <nc r="J103"/>
  </rcc>
  <rcc rId="1145" sId="3">
    <oc r="K103" t="inlineStr">
      <is>
        <t>R</t>
      </is>
    </oc>
    <nc r="K103"/>
  </rcc>
  <rcc rId="1146" sId="3">
    <oc r="L103" t="inlineStr">
      <is>
        <t>NA</t>
      </is>
    </oc>
    <nc r="L103"/>
  </rcc>
  <rcc rId="1147" sId="3">
    <oc r="A104" t="inlineStr">
      <is>
        <t>r1</t>
      </is>
    </oc>
    <nc r="A104"/>
  </rcc>
  <rcc rId="1148" sId="3">
    <oc r="B104">
      <v>1</v>
    </oc>
    <nc r="B104"/>
  </rcc>
  <rcc rId="1149" sId="3">
    <oc r="C104" t="inlineStr">
      <is>
        <t>C0168_2</t>
      </is>
    </oc>
    <nc r="C104"/>
  </rcc>
  <rcc rId="1150" sId="3" numFmtId="19">
    <oc r="D104">
      <v>45444</v>
    </oc>
    <nc r="D104"/>
  </rcc>
  <rcc rId="1151" sId="3" numFmtId="26">
    <oc r="E104">
      <v>0.22562499999999999</v>
    </oc>
    <nc r="E104"/>
  </rcc>
  <rcc rId="1152" sId="3" numFmtId="26">
    <oc r="H104">
      <v>2.2916666666666667E-3</v>
    </oc>
    <nc r="H104"/>
  </rcc>
  <rcc rId="1153" sId="3">
    <oc r="I104">
      <f>$E104+$H104</f>
    </oc>
    <nc r="I104"/>
  </rcc>
  <rcc rId="1154" sId="3">
    <oc r="J104" t="inlineStr">
      <is>
        <t>L</t>
      </is>
    </oc>
    <nc r="J104"/>
  </rcc>
  <rcc rId="1155" sId="3">
    <oc r="K104" t="inlineStr">
      <is>
        <t>L</t>
      </is>
    </oc>
    <nc r="K104"/>
  </rcc>
  <rcc rId="1156" sId="3">
    <oc r="L104" t="inlineStr">
      <is>
        <t>NA</t>
      </is>
    </oc>
    <nc r="L104"/>
  </rcc>
  <rcc rId="1157" sId="3">
    <oc r="A105" t="inlineStr">
      <is>
        <t>r1</t>
      </is>
    </oc>
    <nc r="A105"/>
  </rcc>
  <rcc rId="1158" sId="3">
    <oc r="B105">
      <v>2</v>
    </oc>
    <nc r="B105"/>
  </rcc>
  <rcc rId="1159" sId="3">
    <oc r="C105" t="inlineStr">
      <is>
        <t>C0168_2</t>
      </is>
    </oc>
    <nc r="C105"/>
  </rcc>
  <rcc rId="1160" sId="3" numFmtId="19">
    <oc r="D105">
      <v>45444</v>
    </oc>
    <nc r="D105"/>
  </rcc>
  <rcc rId="1161" sId="3" numFmtId="26">
    <oc r="E105">
      <v>0.22562499999999999</v>
    </oc>
    <nc r="E105"/>
  </rcc>
  <rcc rId="1162" sId="3" numFmtId="26">
    <oc r="F105">
      <v>3.2175925925925926E-3</v>
    </oc>
    <nc r="F105"/>
  </rcc>
  <rcc rId="1163" sId="3" numFmtId="26">
    <oc r="H105">
      <v>1.3877314814814815E-2</v>
    </oc>
    <nc r="H105"/>
  </rcc>
  <rcc rId="1164" sId="3">
    <oc r="I105">
      <f>$E105+$H105</f>
    </oc>
    <nc r="I105"/>
  </rcc>
  <rcc rId="1165" sId="3">
    <oc r="J105" t="inlineStr">
      <is>
        <t>L</t>
      </is>
    </oc>
    <nc r="J105"/>
  </rcc>
  <rcc rId="1166" sId="3">
    <oc r="K105" t="inlineStr">
      <is>
        <t>L</t>
      </is>
    </oc>
    <nc r="K105"/>
  </rcc>
  <rcc rId="1167" sId="3">
    <oc r="L105">
      <v>0</v>
    </oc>
    <nc r="L105"/>
  </rcc>
  <rcc rId="1168" sId="3">
    <oc r="A106" t="inlineStr">
      <is>
        <t>r1</t>
      </is>
    </oc>
    <nc r="A106"/>
  </rcc>
  <rcc rId="1169" sId="3">
    <oc r="B106">
      <v>3</v>
    </oc>
    <nc r="B106"/>
  </rcc>
  <rcc rId="1170" sId="3">
    <oc r="C106" t="inlineStr">
      <is>
        <t>C0168_2</t>
      </is>
    </oc>
    <nc r="C106"/>
  </rcc>
  <rcc rId="1171" sId="3" numFmtId="19">
    <oc r="D106">
      <v>45444</v>
    </oc>
    <nc r="D106"/>
  </rcc>
  <rcc rId="1172" sId="3" numFmtId="26">
    <oc r="E106">
      <v>0.22562499999999999</v>
    </oc>
    <nc r="E106"/>
  </rcc>
  <rcc rId="1173" sId="3" numFmtId="26">
    <oc r="F106">
      <v>1.5995370370370372E-2</v>
    </oc>
    <nc r="F106"/>
  </rcc>
  <rcc rId="1174" sId="3" numFmtId="26">
    <oc r="H106">
      <v>2.2997685185185184E-2</v>
    </oc>
    <nc r="H106"/>
  </rcc>
  <rcc rId="1175" sId="3">
    <oc r="I106">
      <f>$E106+$H106</f>
    </oc>
    <nc r="I106"/>
  </rcc>
  <rcc rId="1176" sId="3">
    <oc r="J106" t="inlineStr">
      <is>
        <t>L</t>
      </is>
    </oc>
    <nc r="J106"/>
  </rcc>
  <rcc rId="1177" sId="3">
    <oc r="K106" t="inlineStr">
      <is>
        <t>L</t>
      </is>
    </oc>
    <nc r="K106"/>
  </rcc>
  <rcc rId="1178" sId="3">
    <oc r="L106">
      <v>0</v>
    </oc>
    <nc r="L106"/>
  </rcc>
  <rcc rId="1179" sId="3">
    <oc r="A107" t="inlineStr">
      <is>
        <t>r1</t>
      </is>
    </oc>
    <nc r="A107"/>
  </rcc>
  <rcc rId="1180" sId="3">
    <oc r="B107">
      <v>4</v>
    </oc>
    <nc r="B107"/>
  </rcc>
  <rcc rId="1181" sId="3">
    <oc r="C107" t="inlineStr">
      <is>
        <t>C0168_2</t>
      </is>
    </oc>
    <nc r="C107"/>
  </rcc>
  <rcc rId="1182" sId="3" numFmtId="19">
    <oc r="D107">
      <v>45444</v>
    </oc>
    <nc r="D107"/>
  </rcc>
  <rcc rId="1183" sId="3" numFmtId="26">
    <oc r="E107">
      <v>0.22562499999999999</v>
    </oc>
    <nc r="E107"/>
  </rcc>
  <rcc rId="1184" sId="3" numFmtId="26">
    <oc r="F107">
      <v>1.5995370370370372E-2</v>
    </oc>
    <nc r="F107"/>
  </rcc>
  <rcc rId="1185" sId="3" numFmtId="26">
    <oc r="H107">
      <v>3.1018518518518518E-2</v>
    </oc>
    <nc r="H107"/>
  </rcc>
  <rcc rId="1186" sId="3">
    <oc r="I107">
      <f>$E107+$H107</f>
    </oc>
    <nc r="I107"/>
  </rcc>
  <rcc rId="1187" sId="3">
    <oc r="J107" t="inlineStr">
      <is>
        <t>L</t>
      </is>
    </oc>
    <nc r="J107"/>
  </rcc>
  <rcc rId="1188" sId="3">
    <oc r="K107" t="inlineStr">
      <is>
        <t>L</t>
      </is>
    </oc>
    <nc r="K107"/>
  </rcc>
  <rcc rId="1189" sId="3">
    <oc r="L107">
      <v>0</v>
    </oc>
    <nc r="L107"/>
  </rcc>
  <rcc rId="1190" sId="3">
    <oc r="A108" t="inlineStr">
      <is>
        <t>r1</t>
      </is>
    </oc>
    <nc r="A108"/>
  </rcc>
  <rcc rId="1191" sId="3">
    <oc r="B108">
      <v>1</v>
    </oc>
    <nc r="B108"/>
  </rcc>
  <rcc rId="1192" sId="3">
    <oc r="C108" t="inlineStr">
      <is>
        <t>C0174</t>
      </is>
    </oc>
    <nc r="C108"/>
  </rcc>
  <rcc rId="1193" sId="3" numFmtId="19">
    <oc r="D108">
      <v>45448</v>
    </oc>
    <nc r="D108"/>
  </rcc>
  <rcc rId="1194" sId="3" numFmtId="26">
    <oc r="E108">
      <v>0.22292824074074075</v>
    </oc>
    <nc r="E108"/>
  </rcc>
  <rcc rId="1195" sId="3" numFmtId="26">
    <oc r="H108">
      <v>1.4467592592592593E-2</v>
    </oc>
    <nc r="H108"/>
  </rcc>
  <rcc rId="1196" sId="3">
    <oc r="I108">
      <f>$E108+$H108</f>
    </oc>
    <nc r="I108"/>
  </rcc>
  <rcc rId="1197" sId="3">
    <oc r="J108" t="inlineStr">
      <is>
        <t>R</t>
      </is>
    </oc>
    <nc r="J108"/>
  </rcc>
  <rcc rId="1198" sId="3">
    <oc r="K108" t="inlineStr">
      <is>
        <t>L</t>
      </is>
    </oc>
    <nc r="K108"/>
  </rcc>
  <rcc rId="1199" sId="3">
    <oc r="L108">
      <v>1</v>
    </oc>
    <nc r="L108"/>
  </rcc>
  <rcc rId="1200" sId="3">
    <oc r="A109" t="inlineStr">
      <is>
        <t>r1</t>
      </is>
    </oc>
    <nc r="A109"/>
  </rcc>
  <rcc rId="1201" sId="3">
    <oc r="B109">
      <v>2</v>
    </oc>
    <nc r="B109"/>
  </rcc>
  <rcc rId="1202" sId="3">
    <oc r="C109" t="inlineStr">
      <is>
        <t>C0174</t>
      </is>
    </oc>
    <nc r="C109"/>
  </rcc>
  <rcc rId="1203" sId="3" numFmtId="19">
    <oc r="D109">
      <v>45448</v>
    </oc>
    <nc r="D109"/>
  </rcc>
  <rcc rId="1204" sId="3" numFmtId="26">
    <oc r="E109">
      <v>0.22292824074074075</v>
    </oc>
    <nc r="E109"/>
  </rcc>
  <rcc rId="1205" sId="3" numFmtId="26">
    <oc r="F109">
      <v>1.5810185185185184E-2</v>
    </oc>
    <nc r="F109"/>
  </rcc>
  <rcc rId="1206" sId="3" numFmtId="26">
    <oc r="H109">
      <v>2.5057870370370369E-2</v>
    </oc>
    <nc r="H109"/>
  </rcc>
  <rcc rId="1207" sId="3">
    <oc r="I109">
      <f>$E109+$H109</f>
    </oc>
    <nc r="I109"/>
  </rcc>
  <rcc rId="1208" sId="3">
    <oc r="J109" t="inlineStr">
      <is>
        <t>L</t>
      </is>
    </oc>
    <nc r="J109"/>
  </rcc>
  <rcc rId="1209" sId="3">
    <oc r="K109" t="inlineStr">
      <is>
        <t>L</t>
      </is>
    </oc>
    <nc r="K109"/>
  </rcc>
  <rcc rId="1210" sId="3">
    <oc r="L109">
      <v>1</v>
    </oc>
    <nc r="L109"/>
  </rcc>
  <rcc rId="1211" sId="3">
    <oc r="A110" t="inlineStr">
      <is>
        <t>r1</t>
      </is>
    </oc>
    <nc r="A110"/>
  </rcc>
  <rcc rId="1212" sId="3">
    <oc r="B110">
      <v>1</v>
    </oc>
    <nc r="B110"/>
  </rcc>
  <rcc rId="1213" sId="3">
    <oc r="C110" t="inlineStr">
      <is>
        <t>C0176</t>
      </is>
    </oc>
    <nc r="C110"/>
  </rcc>
  <rcc rId="1214" sId="3" numFmtId="19">
    <oc r="D110">
      <v>45449</v>
    </oc>
    <nc r="D110"/>
  </rcc>
  <rcc rId="1215" sId="3" numFmtId="26">
    <oc r="E110">
      <v>0.22288194444444445</v>
    </oc>
    <nc r="E110"/>
  </rcc>
  <rcc rId="1216" sId="3" numFmtId="26">
    <oc r="H110">
      <v>2.2453703703703705E-2</v>
    </oc>
    <nc r="H110"/>
  </rcc>
  <rcc rId="1217" sId="3">
    <oc r="I110">
      <f>$E110+$H110</f>
    </oc>
    <nc r="I110"/>
  </rcc>
  <rcc rId="1218" sId="3">
    <oc r="J110" t="inlineStr">
      <is>
        <t>R</t>
      </is>
    </oc>
    <nc r="J110"/>
  </rcc>
  <rcc rId="1219" sId="3">
    <oc r="K110" t="inlineStr">
      <is>
        <t>R</t>
      </is>
    </oc>
    <nc r="K110"/>
  </rcc>
  <rcc rId="1220" sId="3">
    <oc r="L110">
      <v>1</v>
    </oc>
    <nc r="L110"/>
  </rcc>
  <rcc rId="1221" sId="3">
    <oc r="A111" t="inlineStr">
      <is>
        <t>r1</t>
      </is>
    </oc>
    <nc r="A111"/>
  </rcc>
  <rcc rId="1222" sId="3">
    <oc r="B111">
      <v>1</v>
    </oc>
    <nc r="B111"/>
  </rcc>
  <rcc rId="1223" sId="3">
    <oc r="C111" t="inlineStr">
      <is>
        <t>C0175</t>
      </is>
    </oc>
    <nc r="C111"/>
  </rcc>
  <rcc rId="1224" sId="3" numFmtId="19">
    <oc r="D111">
      <v>45448</v>
    </oc>
    <nc r="D111"/>
  </rcc>
  <rcc rId="1225" sId="3" numFmtId="26">
    <oc r="E111">
      <v>0.76597222222222228</v>
    </oc>
    <nc r="E111"/>
  </rcc>
  <rcc rId="1226" sId="3" numFmtId="26">
    <oc r="F111">
      <v>3.5532407407407409E-3</v>
    </oc>
    <nc r="F111"/>
  </rcc>
  <rcc rId="1227" sId="3">
    <oc r="G111">
      <f>$E111 +$F111</f>
    </oc>
    <nc r="G111"/>
  </rcc>
  <rcc rId="1228" sId="3" numFmtId="26">
    <oc r="H111">
      <v>1.6053240740740739E-2</v>
    </oc>
    <nc r="H111"/>
  </rcc>
  <rcc rId="1229" sId="3">
    <oc r="I111">
      <f>$E111+$H111</f>
    </oc>
    <nc r="I111"/>
  </rcc>
  <rcc rId="1230" sId="3">
    <oc r="J111" t="inlineStr">
      <is>
        <t>L</t>
      </is>
    </oc>
    <nc r="J111"/>
  </rcc>
  <rcc rId="1231" sId="3">
    <oc r="K111" t="inlineStr">
      <is>
        <t>L</t>
      </is>
    </oc>
    <nc r="K111"/>
  </rcc>
  <rcc rId="1232" sId="3">
    <oc r="L111">
      <v>1</v>
    </oc>
    <nc r="L111"/>
  </rcc>
  <rcc rId="1233" sId="3">
    <oc r="A112" t="inlineStr">
      <is>
        <t>r1</t>
      </is>
    </oc>
    <nc r="A112"/>
  </rcc>
  <rcc rId="1234" sId="3">
    <oc r="B112">
      <v>1</v>
    </oc>
    <nc r="B112"/>
  </rcc>
  <rcc rId="1235" sId="3">
    <oc r="C112" t="inlineStr">
      <is>
        <t>C0178</t>
      </is>
    </oc>
    <nc r="C112"/>
  </rcc>
  <rcc rId="1236" sId="3" numFmtId="19">
    <oc r="D112">
      <v>45450</v>
    </oc>
    <nc r="D112"/>
  </rcc>
  <rcc rId="1237" sId="3" numFmtId="26">
    <oc r="E112">
      <v>0.22208333333333333</v>
    </oc>
    <nc r="E112"/>
  </rcc>
  <rcc rId="1238" sId="3" numFmtId="26">
    <oc r="F112">
      <v>8.1944444444444452E-3</v>
    </oc>
    <nc r="F112"/>
  </rcc>
  <rcc rId="1239" sId="3">
    <oc r="G112">
      <f>$E112 +$F112</f>
    </oc>
    <nc r="G112"/>
  </rcc>
  <rcc rId="1240" sId="3" numFmtId="26">
    <oc r="H112">
      <v>2.6724537037037036E-2</v>
    </oc>
    <nc r="H112"/>
  </rcc>
  <rcc rId="1241" sId="3">
    <oc r="I112">
      <f>$E112+$H112</f>
    </oc>
    <nc r="I112"/>
  </rcc>
  <rcc rId="1242" sId="3">
    <oc r="J112" t="inlineStr">
      <is>
        <t>L</t>
      </is>
    </oc>
    <nc r="J112"/>
  </rcc>
  <rcc rId="1243" sId="3">
    <oc r="K112" t="inlineStr">
      <is>
        <t>R</t>
      </is>
    </oc>
    <nc r="K112"/>
  </rcc>
  <rcc rId="1244" sId="3">
    <oc r="L112">
      <v>1</v>
    </oc>
    <nc r="L112"/>
  </rcc>
  <rcc rId="1245" sId="3">
    <oc r="A113" t="inlineStr">
      <is>
        <t>r1</t>
      </is>
    </oc>
    <nc r="A113"/>
  </rcc>
  <rcc rId="1246" sId="3">
    <oc r="B113">
      <v>1</v>
    </oc>
    <nc r="B113"/>
  </rcc>
  <rcc rId="1247" sId="3">
    <oc r="C113" t="inlineStr">
      <is>
        <t>C0177</t>
      </is>
    </oc>
    <nc r="C113"/>
  </rcc>
  <rcc rId="1248" sId="3" numFmtId="19">
    <oc r="D113">
      <v>45449</v>
    </oc>
    <nc r="D113"/>
  </rcc>
  <rcc rId="1249" sId="3" numFmtId="26">
    <oc r="E113">
      <v>0.76804398148148145</v>
    </oc>
    <nc r="E113"/>
  </rcc>
  <rcc rId="1250" sId="3">
    <oc r="G113">
      <f>$E113 +$F113</f>
    </oc>
    <nc r="G113"/>
  </rcc>
  <rcc rId="1251" sId="3" numFmtId="26">
    <oc r="H113">
      <v>2.0081018518518519E-2</v>
    </oc>
    <nc r="H113"/>
  </rcc>
  <rcc rId="1252" sId="3">
    <oc r="I113">
      <f>$E113+$H113</f>
    </oc>
    <nc r="I113"/>
  </rcc>
  <rcc rId="1253" sId="3">
    <oc r="J113" t="inlineStr">
      <is>
        <t>R</t>
      </is>
    </oc>
    <nc r="J113"/>
  </rcc>
  <rcc rId="1254" sId="3">
    <oc r="K113" t="inlineStr">
      <is>
        <t>L</t>
      </is>
    </oc>
    <nc r="K113"/>
  </rcc>
  <rcc rId="1255" sId="3">
    <oc r="L113">
      <v>1</v>
    </oc>
    <nc r="L113"/>
  </rcc>
  <rcc rId="1256" sId="3">
    <oc r="A114" t="inlineStr">
      <is>
        <t>r1</t>
      </is>
    </oc>
    <nc r="A114"/>
  </rcc>
  <rcc rId="1257" sId="3">
    <oc r="B114">
      <v>1</v>
    </oc>
    <nc r="B114"/>
  </rcc>
  <rcc rId="1258" sId="3">
    <oc r="C114" t="inlineStr">
      <is>
        <t>C0179</t>
      </is>
    </oc>
    <nc r="C114"/>
  </rcc>
  <rcc rId="1259" sId="3" numFmtId="19">
    <oc r="D114">
      <v>45450</v>
    </oc>
    <nc r="D114"/>
  </rcc>
  <rcc rId="1260" sId="3" numFmtId="26">
    <oc r="E114">
      <v>0.76629629629629625</v>
    </oc>
    <nc r="E114"/>
  </rcc>
  <rcc rId="1261" sId="3" numFmtId="26">
    <oc r="F114">
      <v>9.8842592592592593E-3</v>
    </oc>
    <nc r="F114"/>
  </rcc>
  <rcc rId="1262" sId="3">
    <oc r="G114">
      <f>$E114 +$F114</f>
    </oc>
    <nc r="G114"/>
  </rcc>
  <rcc rId="1263" sId="3" numFmtId="26">
    <oc r="H114">
      <v>2.2974537037037036E-2</v>
    </oc>
    <nc r="H114"/>
  </rcc>
  <rcc rId="1264" sId="3">
    <oc r="I114">
      <f>$E114+$H114</f>
    </oc>
    <nc r="I114"/>
  </rcc>
  <rcc rId="1265" sId="3">
    <oc r="J114" t="inlineStr">
      <is>
        <t>R</t>
      </is>
    </oc>
    <nc r="J114"/>
  </rcc>
  <rcc rId="1266" sId="3">
    <oc r="K114" t="inlineStr">
      <is>
        <t>L</t>
      </is>
    </oc>
    <nc r="K114"/>
  </rcc>
  <rcc rId="1267" sId="3">
    <oc r="L114">
      <v>1</v>
    </oc>
    <nc r="L114"/>
  </rcc>
  <rcc rId="1268" sId="3">
    <oc r="A115" t="inlineStr">
      <is>
        <t>r1</t>
      </is>
    </oc>
    <nc r="A115"/>
  </rcc>
  <rcc rId="1269" sId="3">
    <oc r="B115">
      <v>1</v>
    </oc>
    <nc r="B115"/>
  </rcc>
  <rcc rId="1270" sId="3">
    <oc r="C115" t="inlineStr">
      <is>
        <t>C0180</t>
      </is>
    </oc>
    <nc r="C115"/>
  </rcc>
  <rcc rId="1271" sId="3" numFmtId="19">
    <oc r="D115">
      <v>45451</v>
    </oc>
    <nc r="D115"/>
  </rcc>
  <rcc rId="1272" sId="3" numFmtId="26">
    <oc r="E115">
      <v>0.21954861111111112</v>
    </oc>
    <nc r="E115"/>
  </rcc>
  <rcc rId="1273" sId="3" numFmtId="26">
    <oc r="F115">
      <v>1.1516203703703704E-2</v>
    </oc>
    <nc r="F115"/>
  </rcc>
  <rcc rId="1274" sId="3">
    <oc r="G115">
      <f>$E115 +$F115</f>
    </oc>
    <nc r="G115"/>
  </rcc>
  <rcc rId="1275" sId="3">
    <oc r="H115" t="inlineStr">
      <is>
        <t>NA</t>
      </is>
    </oc>
    <nc r="H115"/>
  </rcc>
  <rcc rId="1276" sId="3">
    <oc r="J115" t="inlineStr">
      <is>
        <t>L</t>
      </is>
    </oc>
    <nc r="J115"/>
  </rcc>
  <rcc rId="1277" sId="3">
    <oc r="K115" t="inlineStr">
      <is>
        <t>L</t>
      </is>
    </oc>
    <nc r="K115"/>
  </rcc>
  <rcc rId="1278" sId="3">
    <oc r="L115" t="inlineStr">
      <is>
        <t>NA</t>
      </is>
    </oc>
    <nc r="L115"/>
  </rcc>
  <rcc rId="1279" sId="3">
    <oc r="M115" t="inlineStr">
      <is>
        <t xml:space="preserve">no return. </t>
      </is>
    </oc>
    <nc r="M115"/>
  </rcc>
  <rcc rId="1280" sId="3">
    <oc r="A116" t="inlineStr">
      <is>
        <t>r1</t>
      </is>
    </oc>
    <nc r="A116"/>
  </rcc>
  <rcc rId="1281" sId="3">
    <oc r="B116">
      <v>1</v>
    </oc>
    <nc r="B116"/>
  </rcc>
  <rcc rId="1282" sId="3">
    <oc r="C116" t="inlineStr">
      <is>
        <t>C0181</t>
      </is>
    </oc>
    <nc r="C116"/>
  </rcc>
  <rcc rId="1283" sId="3" numFmtId="19">
    <oc r="D116">
      <v>45451</v>
    </oc>
    <nc r="D116"/>
  </rcc>
  <rcc rId="1284" sId="3" numFmtId="26">
    <oc r="E116">
      <v>0.7720717592592593</v>
    </oc>
    <nc r="E116"/>
  </rcc>
  <rcc rId="1285" sId="3">
    <oc r="F116" t="inlineStr">
      <is>
        <t>NA</t>
      </is>
    </oc>
    <nc r="F116"/>
  </rcc>
  <rcc rId="1286" sId="3">
    <oc r="G116" t="inlineStr">
      <is>
        <t>NA</t>
      </is>
    </oc>
    <nc r="G116"/>
  </rcc>
  <rcc rId="1287" sId="3">
    <oc r="H116" t="inlineStr">
      <is>
        <t>NA</t>
      </is>
    </oc>
    <nc r="H116"/>
  </rcc>
  <rcc rId="1288" sId="3">
    <oc r="I116" t="inlineStr">
      <is>
        <t>NA</t>
      </is>
    </oc>
    <nc r="I116"/>
  </rcc>
  <rcc rId="1289" sId="3">
    <oc r="J116" t="inlineStr">
      <is>
        <t>L</t>
      </is>
    </oc>
    <nc r="J116"/>
  </rcc>
  <rcc rId="1290" sId="3">
    <oc r="K116" t="inlineStr">
      <is>
        <t>R</t>
      </is>
    </oc>
    <nc r="K116"/>
  </rcc>
  <rcc rId="1291" sId="3">
    <oc r="L116" t="inlineStr">
      <is>
        <t>NA</t>
      </is>
    </oc>
    <nc r="L116"/>
  </rcc>
  <rcc rId="1292" sId="3">
    <oc r="M116" t="inlineStr">
      <is>
        <t>no activity. Bee may have died / abandoned. Video deleted</t>
      </is>
    </oc>
    <nc r="M116"/>
  </rcc>
  <rcc rId="1293" sId="3">
    <oc r="A117" t="inlineStr">
      <is>
        <t>r1</t>
      </is>
    </oc>
    <nc r="A117"/>
  </rcc>
  <rcc rId="1294" sId="3">
    <oc r="B117">
      <v>1</v>
    </oc>
    <nc r="B117"/>
  </rcc>
  <rcc rId="1295" sId="3">
    <oc r="C117" t="inlineStr">
      <is>
        <t>C0182</t>
      </is>
    </oc>
    <nc r="C117"/>
  </rcc>
  <rcc rId="1296" sId="3" numFmtId="19">
    <oc r="D117">
      <v>45452</v>
    </oc>
    <nc r="D117"/>
  </rcc>
  <rcc rId="1297" sId="3" numFmtId="26">
    <oc r="E117">
      <v>0.21922453703703704</v>
    </oc>
    <nc r="E117"/>
  </rcc>
  <rcc rId="1298" sId="3">
    <oc r="F117" t="inlineStr">
      <is>
        <t>NA</t>
      </is>
    </oc>
    <nc r="F117"/>
  </rcc>
  <rcc rId="1299" sId="3">
    <oc r="G117" t="inlineStr">
      <is>
        <t>NA</t>
      </is>
    </oc>
    <nc r="G117"/>
  </rcc>
  <rcc rId="1300" sId="3">
    <oc r="H117" t="inlineStr">
      <is>
        <t>NA</t>
      </is>
    </oc>
    <nc r="H117"/>
  </rcc>
  <rcc rId="1301" sId="3">
    <oc r="I117" t="inlineStr">
      <is>
        <t>NA</t>
      </is>
    </oc>
    <nc r="I117"/>
  </rcc>
  <rcc rId="1302" sId="3">
    <oc r="J117" t="inlineStr">
      <is>
        <t>R</t>
      </is>
    </oc>
    <nc r="J117"/>
  </rcc>
  <rcc rId="1303" sId="3">
    <oc r="K117" t="inlineStr">
      <is>
        <t>R</t>
      </is>
    </oc>
    <nc r="K117"/>
  </rcc>
  <rcc rId="1304" sId="3">
    <oc r="L117" t="inlineStr">
      <is>
        <t>NA</t>
      </is>
    </oc>
    <nc r="L117"/>
  </rcc>
  <rcc rId="1305" sId="3">
    <oc r="M117" t="inlineStr">
      <is>
        <t>no activity. Video deleted</t>
      </is>
    </oc>
    <nc r="M117"/>
  </rcc>
  <rcc rId="1306" sId="3">
    <oc r="A118" t="inlineStr">
      <is>
        <t>r1</t>
      </is>
    </oc>
    <nc r="A118"/>
  </rcc>
  <rcc rId="1307" sId="3">
    <oc r="B118">
      <v>1</v>
    </oc>
    <nc r="B118"/>
  </rcc>
  <rcc rId="1308" sId="3">
    <oc r="C118" t="inlineStr">
      <is>
        <t>C0185</t>
      </is>
    </oc>
    <nc r="C118"/>
  </rcc>
  <rcc rId="1309" sId="3" numFmtId="19">
    <oc r="D118">
      <v>45453</v>
    </oc>
    <nc r="D118"/>
  </rcc>
  <rcc rId="1310" sId="3" numFmtId="26">
    <oc r="E118">
      <v>0.21704861111111112</v>
    </oc>
    <nc r="E118"/>
  </rcc>
  <rcc rId="1311" sId="3" numFmtId="26">
    <oc r="F118">
      <v>1.0995370370370371E-3</v>
    </oc>
    <nc r="F118"/>
  </rcc>
  <rcc rId="1312" sId="3">
    <oc r="G118">
      <f>$E118 +$F118</f>
    </oc>
    <nc r="G118"/>
  </rcc>
  <rcc rId="1313" sId="3" numFmtId="26">
    <oc r="H118">
      <v>1.3553240740740741E-2</v>
    </oc>
    <nc r="H118"/>
  </rcc>
  <rcc rId="1314" sId="3">
    <oc r="I118">
      <f>$E118+$H118</f>
    </oc>
    <nc r="I118"/>
  </rcc>
  <rcc rId="1315" sId="3">
    <oc r="J118" t="inlineStr">
      <is>
        <t>R</t>
      </is>
    </oc>
    <nc r="J118"/>
  </rcc>
  <rcc rId="1316" sId="3">
    <oc r="K118" t="inlineStr">
      <is>
        <t>L</t>
      </is>
    </oc>
    <nc r="K118"/>
  </rcc>
  <rcc rId="1317" sId="3">
    <oc r="L118">
      <v>1</v>
    </oc>
    <nc r="L118"/>
  </rcc>
  <rcc rId="1318" sId="3">
    <oc r="A119" t="inlineStr">
      <is>
        <t>r1</t>
      </is>
    </oc>
    <nc r="A119"/>
  </rcc>
  <rcc rId="1319" sId="3">
    <oc r="B119">
      <v>2</v>
    </oc>
    <nc r="B119"/>
  </rcc>
  <rcc rId="1320" sId="3">
    <oc r="C119" t="inlineStr">
      <is>
        <t>C0185</t>
      </is>
    </oc>
    <nc r="C119"/>
  </rcc>
  <rcc rId="1321" sId="3" numFmtId="19">
    <oc r="D119">
      <v>45453</v>
    </oc>
    <nc r="D119"/>
  </rcc>
  <rcc rId="1322" sId="3" numFmtId="26">
    <oc r="E119">
      <v>0.21704861111111112</v>
    </oc>
    <nc r="E119"/>
  </rcc>
  <rcc rId="1323" sId="3" numFmtId="26">
    <oc r="F119">
      <v>1.412037037037037E-2</v>
    </oc>
    <nc r="F119"/>
  </rcc>
  <rcc rId="1324" sId="3">
    <oc r="G119">
      <f>$E119 +$F119</f>
    </oc>
    <nc r="G119"/>
  </rcc>
  <rcc rId="1325" sId="3" numFmtId="26">
    <oc r="H119">
      <v>2.8877314814814814E-2</v>
    </oc>
    <nc r="H119"/>
  </rcc>
  <rcc rId="1326" sId="3">
    <oc r="I119">
      <f>$E119+$H119</f>
    </oc>
    <nc r="I119"/>
  </rcc>
  <rcc rId="1327" sId="3">
    <oc r="J119" t="inlineStr">
      <is>
        <t>L</t>
      </is>
    </oc>
    <nc r="J119"/>
  </rcc>
  <rcc rId="1328" sId="3">
    <oc r="K119" t="inlineStr">
      <is>
        <t>L</t>
      </is>
    </oc>
    <nc r="K119"/>
  </rcc>
  <rcc rId="1329" sId="3">
    <oc r="L119">
      <v>1</v>
    </oc>
    <nc r="L119"/>
  </rcc>
  <rcv guid="{8A75D892-44B4-104C-BB94-8EB0D0E43396}" action="delete"/>
  <rcv guid="{8A75D892-44B4-104C-BB94-8EB0D0E43396}" action="add"/>
  <rsnm rId="1330" sheetId="3" oldName="[Spatial_resolution_experiment.xlsx]dorsal_canopy_exp" newName="[Spatial_resolution_experiment.xlsx]Sheet3"/>
</revisions>
</file>

<file path=xl/revisions/userNames1.xml><?xml version="1.0" encoding="utf-8"?>
<users xmlns="http://schemas.openxmlformats.org/spreadsheetml/2006/main" xmlns:r="http://schemas.openxmlformats.org/officeDocument/2006/relationships" xmlns:mc="http://schemas.openxmlformats.org/markup-compatibility/2006" xmlns:x14ac="http://schemas.microsoft.com/office/spreadsheetml/2009/9/ac" mc:Ignorable="x14ac" count="4">
  <userInfo guid="{CA1DC199-90D0-B44B-A584-B7049611C0AB}" name="Andre Scheepers" id="-922286283" dateTime="2024-10-06T17:56:53"/>
  <userInfo guid="{CA1DC199-90D0-B44B-A584-B7049611C0AB}" name="Andre Scheepers" id="-922287409" dateTime="2025-02-24T17:20:09"/>
  <userInfo guid="{39621D2D-CD13-4B43-B179-6F3F4790881F}" name="Andre Scheepers" id="-922258916" dateTime="2025-03-13T16:39:40"/>
  <userInfo guid="{9AA92E24-C9BD-734B-A564-9966E12B2431}" name="Andre Scheepers" id="-922249875" dateTime="2025-05-05T14:16:44"/>
</user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5A4D8A-3837-C04D-9096-B7E58473E238}">
  <dimension ref="A1:Y338"/>
  <sheetViews>
    <sheetView zoomScale="90" zoomScaleNormal="90" workbookViewId="0">
      <pane ySplit="1" topLeftCell="A2" activePane="bottomLeft" state="frozen"/>
      <selection pane="bottomLeft" activeCell="T122" sqref="A1:XFD1048576"/>
    </sheetView>
  </sheetViews>
  <sheetFormatPr baseColWidth="10" defaultRowHeight="16" x14ac:dyDescent="0.2"/>
  <cols>
    <col min="1" max="4" width="10.83203125" style="1"/>
    <col min="5" max="5" width="10.83203125" style="4"/>
    <col min="6" max="6" width="13.5" style="4" customWidth="1"/>
    <col min="7" max="7" width="10.83203125" style="6"/>
    <col min="8" max="8" width="14.1640625" style="1" customWidth="1"/>
    <col min="9" max="9" width="16.5" style="1" customWidth="1"/>
    <col min="10" max="10" width="10.83203125" style="1"/>
    <col min="11" max="11" width="13.1640625" style="6" customWidth="1"/>
    <col min="12" max="12" width="15.1640625" style="1" customWidth="1"/>
    <col min="13" max="13" width="16.83203125" style="1" customWidth="1"/>
    <col min="14" max="14" width="13.6640625" style="5" customWidth="1"/>
    <col min="15" max="15" width="16" style="1" customWidth="1"/>
    <col min="16" max="16" width="10.83203125" style="39"/>
    <col min="17" max="17" width="14.5" style="39" customWidth="1"/>
    <col min="18" max="18" width="16.6640625" style="2" customWidth="1"/>
    <col min="19" max="19" width="14.5" style="1" customWidth="1"/>
    <col min="20" max="20" width="14.5" style="2" customWidth="1"/>
    <col min="21" max="21" width="39.6640625" style="1" customWidth="1"/>
    <col min="22" max="25" width="13.6640625" style="1" customWidth="1"/>
    <col min="26" max="16384" width="10.83203125" style="1"/>
  </cols>
  <sheetData>
    <row r="1" spans="1:25" x14ac:dyDescent="0.2">
      <c r="A1" s="1" t="s">
        <v>0</v>
      </c>
      <c r="B1" s="1" t="s">
        <v>1</v>
      </c>
      <c r="C1" s="1" t="s">
        <v>16</v>
      </c>
      <c r="D1" s="1" t="s">
        <v>2</v>
      </c>
      <c r="E1" s="4" t="s">
        <v>37</v>
      </c>
      <c r="F1" s="4" t="s">
        <v>668</v>
      </c>
      <c r="G1" s="6" t="s">
        <v>7</v>
      </c>
      <c r="H1" s="1" t="s">
        <v>10</v>
      </c>
      <c r="I1" s="1" t="s">
        <v>8</v>
      </c>
      <c r="J1" s="1" t="s">
        <v>6</v>
      </c>
      <c r="K1" s="6" t="s">
        <v>9</v>
      </c>
      <c r="L1" s="1" t="s">
        <v>3</v>
      </c>
      <c r="M1" s="1" t="s">
        <v>11</v>
      </c>
      <c r="N1" s="5" t="s">
        <v>4</v>
      </c>
      <c r="O1" s="1" t="s">
        <v>12</v>
      </c>
      <c r="P1" s="39" t="s">
        <v>209</v>
      </c>
      <c r="Q1" s="39" t="s">
        <v>74</v>
      </c>
      <c r="R1" s="2" t="s">
        <v>792</v>
      </c>
      <c r="S1" s="1" t="s">
        <v>339</v>
      </c>
      <c r="T1" s="2" t="s">
        <v>687</v>
      </c>
      <c r="U1" s="1" t="s">
        <v>21</v>
      </c>
      <c r="V1" s="2" t="s">
        <v>5</v>
      </c>
      <c r="W1" s="2" t="s">
        <v>419</v>
      </c>
      <c r="X1" s="2" t="s">
        <v>377</v>
      </c>
      <c r="Y1" s="2" t="s">
        <v>445</v>
      </c>
    </row>
    <row r="2" spans="1:25" x14ac:dyDescent="0.2">
      <c r="A2" s="1">
        <v>1</v>
      </c>
      <c r="B2" s="1">
        <v>1.2</v>
      </c>
      <c r="D2" s="1" t="s">
        <v>25</v>
      </c>
      <c r="E2" s="4">
        <v>45340</v>
      </c>
      <c r="P2" s="40">
        <v>0.1</v>
      </c>
      <c r="U2" s="1" t="s">
        <v>26</v>
      </c>
    </row>
    <row r="3" spans="1:25" x14ac:dyDescent="0.2">
      <c r="A3" s="1">
        <v>1</v>
      </c>
      <c r="B3" s="1">
        <v>1.1000000000000001</v>
      </c>
      <c r="C3" s="1">
        <v>1</v>
      </c>
      <c r="D3" s="1" t="s">
        <v>23</v>
      </c>
      <c r="E3" s="4">
        <v>45342</v>
      </c>
      <c r="H3" s="3">
        <v>0.22586805555555556</v>
      </c>
      <c r="P3" s="40">
        <v>0.1</v>
      </c>
      <c r="S3" s="1">
        <v>0</v>
      </c>
      <c r="U3" s="1" t="s">
        <v>24</v>
      </c>
    </row>
    <row r="4" spans="1:25" x14ac:dyDescent="0.2">
      <c r="A4" s="1">
        <v>1</v>
      </c>
      <c r="B4" s="1">
        <v>1.2</v>
      </c>
      <c r="C4" s="1">
        <v>1</v>
      </c>
      <c r="D4" s="1" t="s">
        <v>31</v>
      </c>
      <c r="E4" s="4">
        <v>45346</v>
      </c>
      <c r="H4" s="3">
        <v>0.75783564814814808</v>
      </c>
      <c r="I4" s="3">
        <v>8.4722222222222213E-3</v>
      </c>
      <c r="U4" s="1" t="s">
        <v>32</v>
      </c>
    </row>
    <row r="5" spans="1:25" x14ac:dyDescent="0.2">
      <c r="A5" s="1">
        <v>1</v>
      </c>
      <c r="B5" s="1">
        <v>1.2</v>
      </c>
      <c r="C5" s="1">
        <v>2</v>
      </c>
      <c r="D5" s="1" t="s">
        <v>31</v>
      </c>
      <c r="E5" s="4">
        <v>45346</v>
      </c>
      <c r="H5" s="3">
        <v>0.75783564814814808</v>
      </c>
      <c r="I5" s="3">
        <v>1.5740740740740743E-2</v>
      </c>
      <c r="K5" s="6">
        <v>1.7187499999999998E-2</v>
      </c>
      <c r="U5" s="1" t="s">
        <v>33</v>
      </c>
    </row>
    <row r="6" spans="1:25" x14ac:dyDescent="0.2">
      <c r="A6" s="1">
        <v>1</v>
      </c>
      <c r="B6" s="1">
        <v>1.2</v>
      </c>
      <c r="C6" s="1">
        <v>1</v>
      </c>
      <c r="D6" s="1" t="s">
        <v>19</v>
      </c>
      <c r="E6" s="4">
        <v>45347</v>
      </c>
      <c r="G6" s="6">
        <f>K6+H6</f>
        <v>0.78136574074074072</v>
      </c>
      <c r="H6" s="3">
        <v>0.75321759259259258</v>
      </c>
      <c r="I6" s="3">
        <v>2.4583333333333332E-2</v>
      </c>
      <c r="J6" s="3">
        <f>I6+H6</f>
        <v>0.77780092592592587</v>
      </c>
      <c r="K6" s="6">
        <v>2.8148148148148148E-2</v>
      </c>
      <c r="L6" s="1">
        <v>1</v>
      </c>
      <c r="M6" s="1" t="s">
        <v>14</v>
      </c>
      <c r="N6" s="5">
        <v>1</v>
      </c>
      <c r="O6" s="1" t="s">
        <v>14</v>
      </c>
      <c r="S6" s="1">
        <v>0</v>
      </c>
      <c r="U6" s="1" t="s">
        <v>41</v>
      </c>
    </row>
    <row r="7" spans="1:25" x14ac:dyDescent="0.2">
      <c r="A7" s="1">
        <v>1</v>
      </c>
      <c r="B7" s="1">
        <v>1.2</v>
      </c>
      <c r="C7" s="1" t="s">
        <v>27</v>
      </c>
      <c r="D7" s="1" t="s">
        <v>27</v>
      </c>
      <c r="E7" s="4">
        <v>45347</v>
      </c>
      <c r="G7" s="6" t="s">
        <v>27</v>
      </c>
      <c r="H7" s="1" t="s">
        <v>27</v>
      </c>
      <c r="I7" s="1" t="s">
        <v>27</v>
      </c>
      <c r="J7" s="1" t="s">
        <v>27</v>
      </c>
      <c r="K7" s="6" t="s">
        <v>27</v>
      </c>
      <c r="L7" s="1" t="s">
        <v>27</v>
      </c>
      <c r="M7" s="1" t="s">
        <v>27</v>
      </c>
      <c r="N7" s="5" t="s">
        <v>27</v>
      </c>
      <c r="O7" s="1" t="s">
        <v>27</v>
      </c>
      <c r="P7" s="40">
        <v>0.1</v>
      </c>
      <c r="S7" s="1" t="s">
        <v>27</v>
      </c>
      <c r="U7" s="1" t="s">
        <v>42</v>
      </c>
      <c r="V7" s="1" t="s">
        <v>27</v>
      </c>
    </row>
    <row r="8" spans="1:25" x14ac:dyDescent="0.2">
      <c r="A8" s="1">
        <v>1</v>
      </c>
      <c r="B8" s="1">
        <v>1.2</v>
      </c>
      <c r="C8" s="1">
        <v>1</v>
      </c>
      <c r="D8" s="1" t="s">
        <v>39</v>
      </c>
      <c r="E8" s="4">
        <v>45348</v>
      </c>
      <c r="G8" s="6">
        <f>K8+H8</f>
        <v>0.26777777777777778</v>
      </c>
      <c r="H8" s="3">
        <v>0.2245949074074074</v>
      </c>
      <c r="I8" s="3">
        <v>3.0000000000000002E-2</v>
      </c>
      <c r="J8" s="3">
        <f t="shared" ref="J8:J14" si="0">I8+H8</f>
        <v>0.25459490740740742</v>
      </c>
      <c r="K8" s="6">
        <v>4.3182870370370365E-2</v>
      </c>
      <c r="L8" s="1">
        <v>1</v>
      </c>
      <c r="M8" s="1" t="s">
        <v>14</v>
      </c>
      <c r="N8" s="5">
        <v>1</v>
      </c>
      <c r="O8" s="1" t="s">
        <v>14</v>
      </c>
      <c r="S8" s="1">
        <v>0</v>
      </c>
      <c r="U8" s="1" t="s">
        <v>40</v>
      </c>
    </row>
    <row r="9" spans="1:25" x14ac:dyDescent="0.2">
      <c r="A9" s="1">
        <v>1</v>
      </c>
      <c r="B9" s="1">
        <v>1.2</v>
      </c>
      <c r="C9" s="1">
        <v>1</v>
      </c>
      <c r="D9" s="1" t="s">
        <v>52</v>
      </c>
      <c r="E9" s="4">
        <v>45348</v>
      </c>
      <c r="G9" s="6" t="s">
        <v>27</v>
      </c>
      <c r="H9" s="3">
        <v>0.75501157407407404</v>
      </c>
      <c r="I9" s="3">
        <v>2.1898148148148149E-2</v>
      </c>
      <c r="J9" s="3">
        <f t="shared" si="0"/>
        <v>0.77690972222222221</v>
      </c>
      <c r="K9" s="6" t="s">
        <v>27</v>
      </c>
      <c r="L9" s="1">
        <v>1</v>
      </c>
      <c r="M9" s="1" t="s">
        <v>14</v>
      </c>
      <c r="N9" s="5" t="s">
        <v>27</v>
      </c>
      <c r="O9" s="1" t="s">
        <v>27</v>
      </c>
      <c r="P9" s="40">
        <v>0.1</v>
      </c>
      <c r="S9" s="1" t="s">
        <v>27</v>
      </c>
      <c r="U9" s="1" t="s">
        <v>53</v>
      </c>
    </row>
    <row r="10" spans="1:25" x14ac:dyDescent="0.2">
      <c r="A10" s="1">
        <v>1</v>
      </c>
      <c r="B10" s="1">
        <v>1.2</v>
      </c>
      <c r="C10" s="1">
        <v>1</v>
      </c>
      <c r="D10" s="1" t="s">
        <v>46</v>
      </c>
      <c r="E10" s="4">
        <v>45349</v>
      </c>
      <c r="G10" s="6" t="s">
        <v>27</v>
      </c>
      <c r="H10" s="3">
        <v>0.75640046296296293</v>
      </c>
      <c r="I10" s="3">
        <v>1.9212962962962963E-2</v>
      </c>
      <c r="J10" s="3">
        <f t="shared" si="0"/>
        <v>0.77561342592592586</v>
      </c>
      <c r="K10" s="6" t="s">
        <v>27</v>
      </c>
      <c r="L10" s="1">
        <v>1</v>
      </c>
      <c r="M10" s="1" t="s">
        <v>13</v>
      </c>
      <c r="N10" s="5" t="s">
        <v>27</v>
      </c>
      <c r="O10" s="1" t="s">
        <v>27</v>
      </c>
      <c r="P10" s="40">
        <v>0.1</v>
      </c>
      <c r="S10" s="1" t="s">
        <v>27</v>
      </c>
      <c r="U10" s="1" t="s">
        <v>47</v>
      </c>
      <c r="V10" s="1" t="s">
        <v>27</v>
      </c>
    </row>
    <row r="11" spans="1:25" x14ac:dyDescent="0.2">
      <c r="A11" s="1">
        <v>1</v>
      </c>
      <c r="B11" s="1">
        <v>1.2</v>
      </c>
      <c r="C11" s="1">
        <v>1</v>
      </c>
      <c r="D11" s="1" t="s">
        <v>50</v>
      </c>
      <c r="E11" s="4">
        <v>45349</v>
      </c>
      <c r="G11" s="6">
        <f>K11+H11</f>
        <v>0.2727546296296296</v>
      </c>
      <c r="H11" s="3">
        <v>0.22537037037037036</v>
      </c>
      <c r="I11" s="3">
        <v>3.4212962962962966E-2</v>
      </c>
      <c r="J11" s="3">
        <f t="shared" si="0"/>
        <v>0.25958333333333333</v>
      </c>
      <c r="K11" s="6">
        <v>4.7384259259259258E-2</v>
      </c>
      <c r="L11" s="1">
        <v>1</v>
      </c>
      <c r="M11" s="1" t="s">
        <v>13</v>
      </c>
      <c r="N11" s="5">
        <v>1</v>
      </c>
      <c r="O11" s="1" t="s">
        <v>13</v>
      </c>
      <c r="P11" s="40">
        <v>0.1</v>
      </c>
      <c r="S11" s="1">
        <v>1</v>
      </c>
      <c r="U11" s="1" t="s">
        <v>51</v>
      </c>
    </row>
    <row r="12" spans="1:25" x14ac:dyDescent="0.2">
      <c r="A12" s="1">
        <v>1</v>
      </c>
      <c r="B12" s="1">
        <v>1.2</v>
      </c>
      <c r="C12" s="1">
        <v>1</v>
      </c>
      <c r="D12" s="1" t="s">
        <v>48</v>
      </c>
      <c r="E12" s="4">
        <v>45350</v>
      </c>
      <c r="G12" s="6">
        <f>K12+H12</f>
        <v>0.26076388888888891</v>
      </c>
      <c r="H12" s="3">
        <v>0.23605324074074074</v>
      </c>
      <c r="I12" s="3">
        <v>1.5069444444444443E-2</v>
      </c>
      <c r="J12" s="3">
        <f t="shared" si="0"/>
        <v>0.25112268518518521</v>
      </c>
      <c r="K12" s="6">
        <v>2.4710648148148148E-2</v>
      </c>
      <c r="L12" s="1">
        <v>1</v>
      </c>
      <c r="M12" s="1" t="s">
        <v>13</v>
      </c>
      <c r="N12" s="5">
        <v>1</v>
      </c>
      <c r="O12" s="1" t="s">
        <v>14</v>
      </c>
      <c r="P12" s="40">
        <v>0.1</v>
      </c>
      <c r="S12" s="1">
        <v>1</v>
      </c>
      <c r="U12" s="1" t="s">
        <v>49</v>
      </c>
    </row>
    <row r="13" spans="1:25" x14ac:dyDescent="0.2">
      <c r="A13" s="1">
        <v>1</v>
      </c>
      <c r="B13" s="1">
        <v>1.2</v>
      </c>
      <c r="C13" s="1">
        <v>1</v>
      </c>
      <c r="D13" s="1" t="s">
        <v>62</v>
      </c>
      <c r="E13" s="4">
        <v>45350</v>
      </c>
      <c r="G13" s="6">
        <f>K13+H13</f>
        <v>0.77898148148148139</v>
      </c>
      <c r="H13" s="3">
        <v>0.7640162037037036</v>
      </c>
      <c r="I13" s="3">
        <v>1.2719907407407407E-2</v>
      </c>
      <c r="J13" s="3">
        <f t="shared" si="0"/>
        <v>0.77673611111111096</v>
      </c>
      <c r="K13" s="6">
        <v>1.4965277777777779E-2</v>
      </c>
      <c r="L13" s="1">
        <v>3</v>
      </c>
      <c r="M13" s="1" t="s">
        <v>61</v>
      </c>
      <c r="N13" s="5">
        <v>3</v>
      </c>
      <c r="O13" s="1" t="s">
        <v>61</v>
      </c>
      <c r="P13" s="40">
        <v>0.1</v>
      </c>
      <c r="S13" s="1">
        <v>1</v>
      </c>
      <c r="U13" s="1" t="s">
        <v>63</v>
      </c>
    </row>
    <row r="14" spans="1:25" x14ac:dyDescent="0.2">
      <c r="A14" s="1">
        <v>1</v>
      </c>
      <c r="B14" s="1">
        <v>1.2</v>
      </c>
      <c r="C14" s="1">
        <v>1</v>
      </c>
      <c r="D14" s="1" t="s">
        <v>60</v>
      </c>
      <c r="E14" s="4">
        <v>45351</v>
      </c>
      <c r="G14" s="6">
        <f>K14+H14</f>
        <v>0.78778935185185184</v>
      </c>
      <c r="H14" s="3">
        <v>0.7509837962962963</v>
      </c>
      <c r="I14" s="3">
        <v>2.7071759259259257E-2</v>
      </c>
      <c r="J14" s="3">
        <f t="shared" si="0"/>
        <v>0.77805555555555561</v>
      </c>
      <c r="K14" s="6">
        <v>3.6805555555555557E-2</v>
      </c>
      <c r="L14" s="1">
        <v>3</v>
      </c>
      <c r="M14" s="1" t="s">
        <v>61</v>
      </c>
      <c r="N14" s="5">
        <v>3</v>
      </c>
      <c r="O14" s="1" t="s">
        <v>61</v>
      </c>
      <c r="P14" s="40">
        <v>0.1</v>
      </c>
      <c r="S14" s="1">
        <v>1</v>
      </c>
      <c r="V14" s="1">
        <v>4.9699999999999996E-3</v>
      </c>
    </row>
    <row r="15" spans="1:25" x14ac:dyDescent="0.2">
      <c r="A15" s="1">
        <v>1</v>
      </c>
      <c r="B15" s="1">
        <v>1.2</v>
      </c>
      <c r="C15" s="1" t="s">
        <v>27</v>
      </c>
      <c r="D15" s="1" t="s">
        <v>27</v>
      </c>
      <c r="E15" s="4">
        <v>45351</v>
      </c>
      <c r="G15" s="6" t="s">
        <v>27</v>
      </c>
      <c r="H15" s="1" t="s">
        <v>27</v>
      </c>
      <c r="I15" s="1" t="s">
        <v>27</v>
      </c>
      <c r="J15" s="1" t="s">
        <v>27</v>
      </c>
      <c r="K15" s="6" t="s">
        <v>27</v>
      </c>
      <c r="L15" s="1" t="s">
        <v>27</v>
      </c>
      <c r="M15" s="1" t="s">
        <v>61</v>
      </c>
      <c r="N15" s="1" t="s">
        <v>27</v>
      </c>
      <c r="O15" s="1" t="s">
        <v>61</v>
      </c>
      <c r="P15" s="40">
        <v>0.1</v>
      </c>
      <c r="S15" s="1" t="s">
        <v>27</v>
      </c>
      <c r="U15" s="1" t="s">
        <v>212</v>
      </c>
      <c r="V15" s="1" t="s">
        <v>27</v>
      </c>
    </row>
    <row r="16" spans="1:25" x14ac:dyDescent="0.2">
      <c r="A16" s="1">
        <v>1</v>
      </c>
      <c r="B16" s="1">
        <v>1.2</v>
      </c>
      <c r="C16" s="1">
        <v>1</v>
      </c>
      <c r="D16" s="1" t="s">
        <v>64</v>
      </c>
      <c r="E16" s="4">
        <v>45352</v>
      </c>
      <c r="G16" s="6">
        <f>K16+H16</f>
        <v>0.24906249999999999</v>
      </c>
      <c r="H16" s="3">
        <v>0.22006944444444443</v>
      </c>
      <c r="I16" s="3">
        <v>6.6782407407407415E-3</v>
      </c>
      <c r="J16" s="3">
        <f>I16+H16</f>
        <v>0.22674768518518518</v>
      </c>
      <c r="K16" s="6">
        <v>2.8993055555555553E-2</v>
      </c>
      <c r="L16" s="1">
        <v>3</v>
      </c>
      <c r="M16" s="1" t="s">
        <v>61</v>
      </c>
      <c r="N16" s="5">
        <v>3</v>
      </c>
      <c r="O16" s="1" t="s">
        <v>61</v>
      </c>
      <c r="P16" s="40">
        <v>0.1</v>
      </c>
      <c r="S16" s="1">
        <v>0</v>
      </c>
      <c r="V16" s="1">
        <v>3.5300000000000002E-3</v>
      </c>
    </row>
    <row r="17" spans="1:25" x14ac:dyDescent="0.2">
      <c r="A17" s="1">
        <v>1</v>
      </c>
      <c r="B17" s="1">
        <v>1.2</v>
      </c>
      <c r="C17" s="1">
        <v>2</v>
      </c>
      <c r="D17" s="1" t="s">
        <v>64</v>
      </c>
      <c r="E17" s="4">
        <v>45352</v>
      </c>
      <c r="G17" s="6">
        <f>K17+H17</f>
        <v>0.27140046296296294</v>
      </c>
      <c r="H17" s="3">
        <v>0.22006944444444443</v>
      </c>
      <c r="I17" s="3">
        <v>3.1898148148148148E-2</v>
      </c>
      <c r="J17" s="3">
        <f>I17+H17</f>
        <v>0.2519675925925926</v>
      </c>
      <c r="K17" s="6">
        <v>5.1331018518518519E-2</v>
      </c>
      <c r="L17" s="1">
        <v>3</v>
      </c>
      <c r="M17" s="1" t="s">
        <v>61</v>
      </c>
      <c r="N17" s="5">
        <v>3</v>
      </c>
      <c r="O17" s="1" t="s">
        <v>61</v>
      </c>
      <c r="P17" s="40">
        <v>0.1</v>
      </c>
      <c r="S17" s="1">
        <v>0</v>
      </c>
      <c r="U17" s="1" t="s">
        <v>65</v>
      </c>
      <c r="V17" s="1">
        <v>1.7849999999999999</v>
      </c>
    </row>
    <row r="18" spans="1:25" x14ac:dyDescent="0.2">
      <c r="A18" s="1">
        <v>1</v>
      </c>
      <c r="B18" s="1">
        <v>1.2</v>
      </c>
      <c r="C18" s="1">
        <v>1</v>
      </c>
      <c r="D18" s="1" t="s">
        <v>76</v>
      </c>
      <c r="E18" s="4">
        <v>45352</v>
      </c>
      <c r="G18" s="6" t="s">
        <v>27</v>
      </c>
      <c r="H18" s="3">
        <v>0.75002314814814808</v>
      </c>
      <c r="I18" s="3">
        <v>2.4259259259259258E-2</v>
      </c>
      <c r="J18" s="3">
        <f>I18+H18</f>
        <v>0.77428240740740728</v>
      </c>
      <c r="K18" s="6" t="s">
        <v>27</v>
      </c>
      <c r="L18" s="1">
        <v>3</v>
      </c>
      <c r="M18" s="1" t="s">
        <v>14</v>
      </c>
      <c r="N18" s="5" t="s">
        <v>27</v>
      </c>
      <c r="O18" s="1" t="s">
        <v>27</v>
      </c>
      <c r="P18" s="40">
        <v>0.1</v>
      </c>
      <c r="Q18" s="39" t="s">
        <v>27</v>
      </c>
      <c r="S18" s="1" t="s">
        <v>27</v>
      </c>
      <c r="U18" s="1" t="s">
        <v>77</v>
      </c>
      <c r="V18" s="1" t="s">
        <v>27</v>
      </c>
    </row>
    <row r="19" spans="1:25" x14ac:dyDescent="0.2">
      <c r="A19" s="1">
        <v>1</v>
      </c>
      <c r="B19" s="1">
        <v>1.2</v>
      </c>
      <c r="C19" s="1">
        <v>1</v>
      </c>
      <c r="D19" s="1" t="s">
        <v>111</v>
      </c>
      <c r="E19" s="4">
        <v>45353</v>
      </c>
      <c r="G19" s="6">
        <f>K19+H19</f>
        <v>0.25237268518518519</v>
      </c>
      <c r="H19" s="3">
        <v>0.2200115740740741</v>
      </c>
      <c r="I19" s="3">
        <v>2.3009259259259257E-2</v>
      </c>
      <c r="J19" s="3">
        <f>I19+H19</f>
        <v>0.24302083333333335</v>
      </c>
      <c r="K19" s="6">
        <v>3.2361111111111111E-2</v>
      </c>
      <c r="L19" s="1">
        <v>3</v>
      </c>
      <c r="M19" s="1" t="s">
        <v>14</v>
      </c>
      <c r="N19" s="1">
        <v>3</v>
      </c>
      <c r="O19" s="1" t="s">
        <v>13</v>
      </c>
      <c r="P19" s="40">
        <v>0.1</v>
      </c>
      <c r="Q19" s="40">
        <v>0.05</v>
      </c>
      <c r="R19" s="1"/>
      <c r="S19" s="1">
        <v>1</v>
      </c>
      <c r="T19" s="1"/>
      <c r="V19" s="1">
        <v>1.39E-3</v>
      </c>
    </row>
    <row r="20" spans="1:25" x14ac:dyDescent="0.2">
      <c r="A20" s="1">
        <v>1</v>
      </c>
      <c r="B20" s="1">
        <v>1.2</v>
      </c>
      <c r="C20" s="1" t="s">
        <v>27</v>
      </c>
      <c r="D20" s="1" t="s">
        <v>83</v>
      </c>
      <c r="E20" s="4">
        <v>45353</v>
      </c>
      <c r="G20" s="6" t="s">
        <v>27</v>
      </c>
      <c r="H20" s="3">
        <v>0.74763888888888896</v>
      </c>
      <c r="I20" s="1" t="s">
        <v>27</v>
      </c>
      <c r="J20" s="1" t="s">
        <v>27</v>
      </c>
      <c r="K20" s="6" t="s">
        <v>27</v>
      </c>
      <c r="L20" s="1">
        <v>3</v>
      </c>
      <c r="M20" s="1" t="s">
        <v>13</v>
      </c>
      <c r="N20" s="5" t="s">
        <v>27</v>
      </c>
      <c r="O20" s="1" t="s">
        <v>27</v>
      </c>
      <c r="P20" s="40">
        <v>0.1</v>
      </c>
      <c r="Q20" s="39" t="s">
        <v>27</v>
      </c>
      <c r="S20" s="1" t="s">
        <v>27</v>
      </c>
      <c r="U20" s="1" t="s">
        <v>66</v>
      </c>
      <c r="V20" s="1" t="s">
        <v>27</v>
      </c>
    </row>
    <row r="21" spans="1:25" x14ac:dyDescent="0.2">
      <c r="A21" s="1">
        <v>1</v>
      </c>
      <c r="B21" s="1">
        <v>1.2</v>
      </c>
      <c r="C21" s="1">
        <v>1</v>
      </c>
      <c r="D21" s="1" t="s">
        <v>113</v>
      </c>
      <c r="E21" s="4">
        <v>45354</v>
      </c>
      <c r="G21" s="6">
        <f>K21+H21</f>
        <v>0.25850694444444444</v>
      </c>
      <c r="H21" s="3">
        <v>0.22565972222222222</v>
      </c>
      <c r="I21" s="3">
        <v>2.3912037037037034E-2</v>
      </c>
      <c r="J21" s="3">
        <f t="shared" ref="J21:J26" si="1">I21+H21</f>
        <v>0.24957175925925926</v>
      </c>
      <c r="K21" s="6">
        <v>3.2847222222222222E-2</v>
      </c>
      <c r="L21" s="1">
        <v>3</v>
      </c>
      <c r="M21" s="1" t="s">
        <v>13</v>
      </c>
      <c r="N21" s="1">
        <v>3</v>
      </c>
      <c r="O21" s="1" t="s">
        <v>14</v>
      </c>
      <c r="P21" s="40">
        <v>0.1</v>
      </c>
      <c r="Q21" s="40">
        <v>0.15</v>
      </c>
      <c r="R21" s="1"/>
      <c r="S21" s="1">
        <v>0</v>
      </c>
      <c r="T21" s="1"/>
      <c r="U21" s="1" t="s">
        <v>82</v>
      </c>
      <c r="V21" s="1">
        <v>2.0199999999999999E-2</v>
      </c>
    </row>
    <row r="22" spans="1:25" x14ac:dyDescent="0.2">
      <c r="A22" s="1">
        <v>1</v>
      </c>
      <c r="B22" s="1">
        <v>1.2</v>
      </c>
      <c r="C22" s="1" t="s">
        <v>27</v>
      </c>
      <c r="D22" s="1" t="s">
        <v>90</v>
      </c>
      <c r="E22" s="4">
        <v>45354</v>
      </c>
      <c r="G22" s="6" t="s">
        <v>27</v>
      </c>
      <c r="H22" s="3">
        <v>0.75173611111111116</v>
      </c>
      <c r="I22" s="3">
        <v>2.3090277777777779E-2</v>
      </c>
      <c r="J22" s="3">
        <f t="shared" si="1"/>
        <v>0.77482638888888888</v>
      </c>
      <c r="K22" s="6" t="s">
        <v>27</v>
      </c>
      <c r="L22" s="1">
        <v>3</v>
      </c>
      <c r="M22" s="1" t="s">
        <v>14</v>
      </c>
      <c r="N22" s="5" t="s">
        <v>27</v>
      </c>
      <c r="O22" s="1" t="s">
        <v>27</v>
      </c>
      <c r="P22" s="40">
        <v>0.1</v>
      </c>
      <c r="Q22" s="39" t="s">
        <v>27</v>
      </c>
      <c r="S22" s="1" t="s">
        <v>27</v>
      </c>
      <c r="U22" s="1" t="s">
        <v>91</v>
      </c>
      <c r="V22" s="1" t="s">
        <v>27</v>
      </c>
    </row>
    <row r="23" spans="1:25" x14ac:dyDescent="0.2">
      <c r="A23" s="1">
        <v>1</v>
      </c>
      <c r="B23" s="1">
        <v>1.2</v>
      </c>
      <c r="C23" s="1">
        <v>1</v>
      </c>
      <c r="D23" s="1" t="s">
        <v>89</v>
      </c>
      <c r="E23" s="4">
        <v>45355</v>
      </c>
      <c r="G23" s="6">
        <f>K23+H23</f>
        <v>0.25762731481481482</v>
      </c>
      <c r="H23" s="3">
        <v>0.22564814814814815</v>
      </c>
      <c r="I23" s="3">
        <v>2.3506944444444445E-2</v>
      </c>
      <c r="J23" s="3">
        <f t="shared" si="1"/>
        <v>0.24915509259259261</v>
      </c>
      <c r="K23" s="6">
        <v>3.1979166666666663E-2</v>
      </c>
      <c r="L23" s="1">
        <v>3</v>
      </c>
      <c r="M23" s="1" t="s">
        <v>14</v>
      </c>
      <c r="N23" s="1">
        <v>3</v>
      </c>
      <c r="O23" s="1" t="s">
        <v>13</v>
      </c>
      <c r="P23" s="40">
        <v>0.1</v>
      </c>
      <c r="Q23" s="40">
        <v>0.05</v>
      </c>
      <c r="R23" s="1"/>
      <c r="S23" s="1">
        <v>1</v>
      </c>
      <c r="T23" s="1"/>
      <c r="V23" s="1">
        <v>1.562E-2</v>
      </c>
    </row>
    <row r="24" spans="1:25" x14ac:dyDescent="0.2">
      <c r="A24" s="1">
        <v>1</v>
      </c>
      <c r="B24" s="1">
        <v>1.2</v>
      </c>
      <c r="C24" s="1">
        <v>1</v>
      </c>
      <c r="D24" s="1" t="s">
        <v>101</v>
      </c>
      <c r="E24" s="4">
        <v>45355</v>
      </c>
      <c r="G24" s="6">
        <f>K24+H24</f>
        <v>0.78077546296296285</v>
      </c>
      <c r="H24" s="3">
        <v>0.74509259259259253</v>
      </c>
      <c r="I24" s="3">
        <v>2.9641203703703701E-2</v>
      </c>
      <c r="J24" s="3">
        <f t="shared" si="1"/>
        <v>0.77473379629629624</v>
      </c>
      <c r="K24" s="6">
        <v>3.5682870370370372E-2</v>
      </c>
      <c r="L24" s="1">
        <v>1</v>
      </c>
      <c r="M24" s="1" t="s">
        <v>14</v>
      </c>
      <c r="N24" s="1">
        <v>3</v>
      </c>
      <c r="O24" s="1" t="s">
        <v>13</v>
      </c>
      <c r="P24" s="40">
        <v>0.1</v>
      </c>
      <c r="Q24" s="40">
        <v>0.1</v>
      </c>
      <c r="R24" s="1"/>
      <c r="S24" s="1" t="s">
        <v>27</v>
      </c>
      <c r="T24" s="1"/>
      <c r="U24" s="1" t="s">
        <v>102</v>
      </c>
      <c r="V24" s="1">
        <v>0.1085</v>
      </c>
    </row>
    <row r="25" spans="1:25" x14ac:dyDescent="0.2">
      <c r="A25" s="1">
        <v>1</v>
      </c>
      <c r="B25" s="1">
        <v>1.2</v>
      </c>
      <c r="C25" s="1">
        <v>1</v>
      </c>
      <c r="D25" s="1" t="s">
        <v>98</v>
      </c>
      <c r="E25" s="4">
        <v>45356</v>
      </c>
      <c r="G25" s="6">
        <f>K25+H25</f>
        <v>0.25917824074074075</v>
      </c>
      <c r="H25" s="3">
        <v>0.22554398148148147</v>
      </c>
      <c r="I25" s="3">
        <v>2.0208333333333335E-2</v>
      </c>
      <c r="J25" s="3">
        <f t="shared" si="1"/>
        <v>0.2457523148148148</v>
      </c>
      <c r="K25" s="6">
        <v>3.363425925925926E-2</v>
      </c>
      <c r="L25" s="1">
        <v>3</v>
      </c>
      <c r="M25" s="1" t="s">
        <v>13</v>
      </c>
      <c r="N25" s="1">
        <v>3</v>
      </c>
      <c r="O25" s="1" t="s">
        <v>14</v>
      </c>
      <c r="P25" s="40">
        <v>0.1</v>
      </c>
      <c r="Q25" s="40">
        <v>0.15</v>
      </c>
      <c r="R25" s="1"/>
      <c r="S25" s="1">
        <v>0</v>
      </c>
      <c r="T25" s="1"/>
      <c r="U25" s="1" t="s">
        <v>99</v>
      </c>
      <c r="V25" s="1">
        <v>3.61E-2</v>
      </c>
    </row>
    <row r="26" spans="1:25" x14ac:dyDescent="0.2">
      <c r="A26" s="1">
        <v>1</v>
      </c>
      <c r="B26" s="1">
        <v>1.2</v>
      </c>
      <c r="C26" s="1" t="s">
        <v>27</v>
      </c>
      <c r="D26" s="1" t="s">
        <v>104</v>
      </c>
      <c r="E26" s="4">
        <v>45356</v>
      </c>
      <c r="G26" s="6" t="s">
        <v>27</v>
      </c>
      <c r="H26" s="3">
        <v>0.75541666666666663</v>
      </c>
      <c r="I26" s="3">
        <v>1.6296296296296295E-2</v>
      </c>
      <c r="J26" s="3">
        <f t="shared" si="1"/>
        <v>0.77171296296296288</v>
      </c>
      <c r="K26" s="6" t="s">
        <v>27</v>
      </c>
      <c r="L26" s="1">
        <v>3</v>
      </c>
      <c r="M26" s="1" t="s">
        <v>14</v>
      </c>
      <c r="N26" s="5" t="s">
        <v>27</v>
      </c>
      <c r="O26" s="1" t="s">
        <v>27</v>
      </c>
      <c r="P26" s="40">
        <v>0.1</v>
      </c>
      <c r="Q26" s="39" t="s">
        <v>27</v>
      </c>
      <c r="S26" s="1" t="s">
        <v>27</v>
      </c>
      <c r="U26" s="1" t="s">
        <v>106</v>
      </c>
      <c r="V26" s="1" t="s">
        <v>27</v>
      </c>
    </row>
    <row r="27" spans="1:25" x14ac:dyDescent="0.2">
      <c r="A27" s="1">
        <v>1</v>
      </c>
      <c r="B27" s="1">
        <v>1.2</v>
      </c>
      <c r="C27" s="1" t="s">
        <v>27</v>
      </c>
      <c r="D27" s="1" t="s">
        <v>107</v>
      </c>
      <c r="E27" s="4">
        <v>45357</v>
      </c>
      <c r="G27" s="6" t="s">
        <v>27</v>
      </c>
      <c r="H27" s="3">
        <v>0.22777777777777777</v>
      </c>
      <c r="I27" s="1" t="s">
        <v>27</v>
      </c>
      <c r="J27" s="1" t="s">
        <v>27</v>
      </c>
      <c r="K27" s="6" t="s">
        <v>27</v>
      </c>
      <c r="L27" s="1">
        <v>3</v>
      </c>
      <c r="M27" s="1" t="s">
        <v>13</v>
      </c>
      <c r="N27" s="5" t="s">
        <v>27</v>
      </c>
      <c r="O27" s="1" t="s">
        <v>27</v>
      </c>
      <c r="P27" s="40">
        <v>0.1</v>
      </c>
      <c r="Q27" s="39" t="s">
        <v>27</v>
      </c>
      <c r="S27" s="1" t="s">
        <v>27</v>
      </c>
      <c r="U27" s="16" t="s">
        <v>211</v>
      </c>
      <c r="V27" s="1" t="s">
        <v>27</v>
      </c>
    </row>
    <row r="28" spans="1:25" s="7" customFormat="1" x14ac:dyDescent="0.2">
      <c r="A28" s="1">
        <v>1</v>
      </c>
      <c r="B28" s="1">
        <v>1.2</v>
      </c>
      <c r="C28" s="1" t="s">
        <v>27</v>
      </c>
      <c r="D28" s="1" t="s">
        <v>115</v>
      </c>
      <c r="E28" s="4">
        <v>45357</v>
      </c>
      <c r="F28" s="4"/>
      <c r="G28" s="6" t="s">
        <v>27</v>
      </c>
      <c r="H28" s="3">
        <v>0.74667824074074074</v>
      </c>
      <c r="I28" s="1" t="s">
        <v>27</v>
      </c>
      <c r="J28" s="1" t="s">
        <v>27</v>
      </c>
      <c r="K28" s="6" t="s">
        <v>27</v>
      </c>
      <c r="L28" s="1">
        <v>3</v>
      </c>
      <c r="M28" s="1" t="s">
        <v>14</v>
      </c>
      <c r="N28" s="1" t="s">
        <v>27</v>
      </c>
      <c r="O28" s="1" t="s">
        <v>27</v>
      </c>
      <c r="P28" s="40">
        <v>0.1</v>
      </c>
      <c r="Q28" s="39" t="s">
        <v>27</v>
      </c>
      <c r="R28" s="2"/>
      <c r="S28" s="1" t="s">
        <v>27</v>
      </c>
      <c r="T28" s="2"/>
      <c r="U28" s="1" t="s">
        <v>116</v>
      </c>
      <c r="V28" s="1" t="s">
        <v>27</v>
      </c>
      <c r="W28" s="1"/>
      <c r="X28" s="1"/>
      <c r="Y28" s="1"/>
    </row>
    <row r="29" spans="1:25" x14ac:dyDescent="0.2">
      <c r="A29" s="1">
        <v>1</v>
      </c>
      <c r="B29" s="1">
        <v>1.2</v>
      </c>
      <c r="C29" s="1">
        <v>1</v>
      </c>
      <c r="D29" s="1" t="s">
        <v>114</v>
      </c>
      <c r="E29" s="4">
        <v>45358</v>
      </c>
      <c r="G29" s="6" t="s">
        <v>27</v>
      </c>
      <c r="H29" s="3">
        <v>0.22306712962962963</v>
      </c>
      <c r="I29" s="3">
        <v>2.476851851851852E-2</v>
      </c>
      <c r="J29" s="3">
        <f>I29+H29</f>
        <v>0.24783564814814815</v>
      </c>
      <c r="K29" s="6" t="s">
        <v>27</v>
      </c>
      <c r="L29" s="1">
        <v>3</v>
      </c>
      <c r="M29" s="1" t="s">
        <v>14</v>
      </c>
      <c r="N29" s="1">
        <v>3</v>
      </c>
      <c r="O29" s="1" t="s">
        <v>13</v>
      </c>
      <c r="P29" s="40">
        <v>0.1</v>
      </c>
      <c r="Q29" s="40">
        <v>0.15</v>
      </c>
      <c r="R29" s="1"/>
      <c r="S29" s="1" t="s">
        <v>27</v>
      </c>
      <c r="T29" s="1"/>
      <c r="U29" s="1" t="s">
        <v>213</v>
      </c>
      <c r="V29" s="1">
        <v>2.6499999999999999E-2</v>
      </c>
    </row>
    <row r="30" spans="1:25" x14ac:dyDescent="0.2">
      <c r="A30" s="1">
        <v>1</v>
      </c>
      <c r="B30" s="1">
        <v>1.2</v>
      </c>
      <c r="C30" s="1">
        <v>1</v>
      </c>
      <c r="D30" s="1" t="s">
        <v>125</v>
      </c>
      <c r="E30" s="4">
        <v>45358</v>
      </c>
      <c r="G30" s="6">
        <f>K30+H30</f>
        <v>0.78069444444444447</v>
      </c>
      <c r="H30" s="3">
        <v>0.75565972222222222</v>
      </c>
      <c r="I30" s="3">
        <v>1.554398148148148E-2</v>
      </c>
      <c r="J30" s="3">
        <f>I30+H30</f>
        <v>0.77120370370370372</v>
      </c>
      <c r="K30" s="6">
        <v>2.5034722222222222E-2</v>
      </c>
      <c r="L30" s="1">
        <v>1</v>
      </c>
      <c r="M30" s="1" t="s">
        <v>13</v>
      </c>
      <c r="N30" s="1">
        <v>3</v>
      </c>
      <c r="O30" s="1" t="s">
        <v>14</v>
      </c>
      <c r="P30" s="40">
        <v>0.1</v>
      </c>
      <c r="Q30" s="40">
        <v>0.1</v>
      </c>
      <c r="R30" s="1"/>
      <c r="S30" s="1">
        <v>1</v>
      </c>
      <c r="T30" s="1"/>
      <c r="U30" s="1" t="s">
        <v>126</v>
      </c>
      <c r="V30" s="1">
        <v>0.1134</v>
      </c>
    </row>
    <row r="31" spans="1:25" x14ac:dyDescent="0.2">
      <c r="A31" s="1">
        <v>1</v>
      </c>
      <c r="B31" s="1">
        <v>1.2</v>
      </c>
      <c r="C31" s="1">
        <v>1</v>
      </c>
      <c r="D31" s="1" t="s">
        <v>122</v>
      </c>
      <c r="E31" s="4">
        <v>45359</v>
      </c>
      <c r="G31" s="6" t="s">
        <v>27</v>
      </c>
      <c r="H31" s="3">
        <v>0.22653935185185184</v>
      </c>
      <c r="I31" s="3">
        <v>2.2847222222222224E-2</v>
      </c>
      <c r="J31" s="3">
        <f>I31+H31</f>
        <v>0.24938657407407405</v>
      </c>
      <c r="K31" s="6" t="s">
        <v>27</v>
      </c>
      <c r="L31" s="1">
        <v>3</v>
      </c>
      <c r="M31" s="1" t="s">
        <v>14</v>
      </c>
      <c r="N31" s="1" t="s">
        <v>27</v>
      </c>
      <c r="O31" s="1" t="s">
        <v>27</v>
      </c>
      <c r="P31" s="40">
        <v>0.1</v>
      </c>
      <c r="Q31" s="39" t="s">
        <v>27</v>
      </c>
      <c r="S31" s="1" t="s">
        <v>27</v>
      </c>
      <c r="U31" s="1" t="s">
        <v>123</v>
      </c>
      <c r="V31" s="1" t="s">
        <v>27</v>
      </c>
    </row>
    <row r="32" spans="1:25" x14ac:dyDescent="0.2">
      <c r="A32" s="1">
        <v>1</v>
      </c>
      <c r="B32" s="1">
        <v>1.2</v>
      </c>
      <c r="C32" s="1" t="s">
        <v>121</v>
      </c>
      <c r="D32" s="1" t="s">
        <v>122</v>
      </c>
      <c r="E32" s="4">
        <v>45359</v>
      </c>
      <c r="G32" s="6">
        <f>K32+H32</f>
        <v>0.27071759259259259</v>
      </c>
      <c r="H32" s="3">
        <v>0.22653935185185184</v>
      </c>
      <c r="I32" s="3">
        <v>3.2361111111111111E-2</v>
      </c>
      <c r="J32" s="3">
        <f>I32+H32</f>
        <v>0.25890046296296293</v>
      </c>
      <c r="K32" s="6">
        <v>4.4178240740740747E-2</v>
      </c>
      <c r="L32" s="1">
        <v>3</v>
      </c>
      <c r="M32" s="1" t="s">
        <v>13</v>
      </c>
      <c r="N32" s="1">
        <v>3</v>
      </c>
      <c r="O32" s="1" t="s">
        <v>13</v>
      </c>
      <c r="P32" s="40">
        <v>0.05</v>
      </c>
      <c r="Q32" s="40">
        <v>0.05</v>
      </c>
      <c r="R32" s="1"/>
      <c r="S32" s="1">
        <v>0</v>
      </c>
      <c r="T32" s="1"/>
      <c r="U32" s="1" t="s">
        <v>124</v>
      </c>
      <c r="V32" s="1">
        <v>1.899</v>
      </c>
    </row>
    <row r="33" spans="1:25" x14ac:dyDescent="0.2">
      <c r="A33" s="1">
        <v>1</v>
      </c>
      <c r="B33" s="1">
        <v>1.2</v>
      </c>
      <c r="C33" s="1">
        <v>1</v>
      </c>
      <c r="D33" s="1" t="s">
        <v>142</v>
      </c>
      <c r="E33" s="4">
        <v>45359</v>
      </c>
      <c r="G33" s="6">
        <f>K33+H33</f>
        <v>0.78964120370370372</v>
      </c>
      <c r="H33" s="3">
        <v>0.73743055555555559</v>
      </c>
      <c r="I33" s="3">
        <v>3.2881944444444443E-2</v>
      </c>
      <c r="J33" s="3">
        <f>I33+H33</f>
        <v>0.77031250000000007</v>
      </c>
      <c r="K33" s="6">
        <v>5.2210648148148152E-2</v>
      </c>
      <c r="L33" s="1">
        <v>1</v>
      </c>
      <c r="M33" s="1" t="s">
        <v>13</v>
      </c>
      <c r="N33" s="1">
        <v>3</v>
      </c>
      <c r="O33" s="1" t="s">
        <v>14</v>
      </c>
      <c r="P33" s="40">
        <v>0.1</v>
      </c>
      <c r="Q33" s="40">
        <v>0.1</v>
      </c>
      <c r="R33" s="1"/>
      <c r="S33" s="1">
        <v>1</v>
      </c>
      <c r="T33" s="1"/>
    </row>
    <row r="34" spans="1:25" x14ac:dyDescent="0.2">
      <c r="A34" s="1">
        <v>1</v>
      </c>
      <c r="B34" s="1">
        <v>1.2</v>
      </c>
      <c r="C34" s="1" t="s">
        <v>27</v>
      </c>
      <c r="D34" s="1" t="s">
        <v>27</v>
      </c>
      <c r="E34" s="4">
        <v>45360</v>
      </c>
      <c r="G34" s="6" t="s">
        <v>27</v>
      </c>
      <c r="H34" s="1" t="s">
        <v>27</v>
      </c>
      <c r="I34" s="1" t="s">
        <v>27</v>
      </c>
      <c r="J34" s="1" t="s">
        <v>27</v>
      </c>
      <c r="K34" s="6" t="s">
        <v>27</v>
      </c>
      <c r="L34" s="1" t="s">
        <v>27</v>
      </c>
      <c r="S34" s="1" t="s">
        <v>27</v>
      </c>
      <c r="U34" s="1" t="s">
        <v>140</v>
      </c>
      <c r="V34" s="1" t="s">
        <v>27</v>
      </c>
    </row>
    <row r="35" spans="1:25" x14ac:dyDescent="0.2">
      <c r="A35" s="1">
        <v>1</v>
      </c>
      <c r="B35" s="1">
        <v>1.2</v>
      </c>
      <c r="C35" s="1" t="s">
        <v>27</v>
      </c>
      <c r="D35" s="1" t="s">
        <v>27</v>
      </c>
      <c r="E35" s="4">
        <v>45361</v>
      </c>
      <c r="G35" s="6" t="s">
        <v>27</v>
      </c>
      <c r="H35" s="1" t="s">
        <v>27</v>
      </c>
      <c r="I35" s="1" t="s">
        <v>27</v>
      </c>
      <c r="J35" s="1" t="s">
        <v>27</v>
      </c>
      <c r="K35" s="6" t="s">
        <v>27</v>
      </c>
      <c r="L35" s="1" t="s">
        <v>27</v>
      </c>
      <c r="S35" s="1" t="s">
        <v>27</v>
      </c>
      <c r="U35" s="1" t="s">
        <v>140</v>
      </c>
      <c r="V35" s="1" t="s">
        <v>27</v>
      </c>
    </row>
    <row r="36" spans="1:25" x14ac:dyDescent="0.2">
      <c r="A36" s="1">
        <v>1</v>
      </c>
      <c r="B36" s="1">
        <v>1.2</v>
      </c>
      <c r="C36" s="1">
        <v>1</v>
      </c>
      <c r="D36" s="1" t="s">
        <v>138</v>
      </c>
      <c r="E36" s="4">
        <v>45362</v>
      </c>
      <c r="G36" s="6">
        <f t="shared" ref="G36:G51" si="2">K36+H36</f>
        <v>0.78787037037037033</v>
      </c>
      <c r="H36" s="3">
        <v>0.74858796296296293</v>
      </c>
      <c r="I36" s="3">
        <v>1.8587962962962962E-2</v>
      </c>
      <c r="J36" s="3">
        <f>I36+H36</f>
        <v>0.76717592592592587</v>
      </c>
      <c r="K36" s="6">
        <v>3.9282407407407412E-2</v>
      </c>
      <c r="L36" s="1">
        <v>3</v>
      </c>
      <c r="M36" s="1" t="s">
        <v>13</v>
      </c>
      <c r="N36" s="1">
        <v>3</v>
      </c>
      <c r="O36" s="1" t="s">
        <v>14</v>
      </c>
      <c r="P36" s="40">
        <v>0.1</v>
      </c>
      <c r="Q36" s="40">
        <v>0.05</v>
      </c>
      <c r="R36" s="1"/>
      <c r="S36" s="1">
        <v>1</v>
      </c>
      <c r="T36" s="1"/>
      <c r="V36" s="1">
        <v>2.9099999999999998E-3</v>
      </c>
    </row>
    <row r="37" spans="1:25" x14ac:dyDescent="0.2">
      <c r="A37" s="1">
        <v>1</v>
      </c>
      <c r="B37" s="1">
        <v>1.2</v>
      </c>
      <c r="C37" s="1">
        <v>1</v>
      </c>
      <c r="D37" s="1" t="s">
        <v>139</v>
      </c>
      <c r="E37" s="4">
        <v>45362</v>
      </c>
      <c r="G37" s="6">
        <f t="shared" si="2"/>
        <v>0.25252314814814814</v>
      </c>
      <c r="H37" s="3">
        <v>0.22737268518518519</v>
      </c>
      <c r="I37" s="1" t="s">
        <v>27</v>
      </c>
      <c r="J37" s="1" t="s">
        <v>27</v>
      </c>
      <c r="K37" s="6">
        <v>2.5150462962962961E-2</v>
      </c>
      <c r="L37" s="1">
        <v>3</v>
      </c>
      <c r="M37" s="1" t="s">
        <v>14</v>
      </c>
      <c r="N37" s="1">
        <v>3</v>
      </c>
      <c r="O37" s="1" t="s">
        <v>14</v>
      </c>
      <c r="P37" s="40">
        <v>0.1</v>
      </c>
      <c r="Q37" s="40">
        <v>0.1</v>
      </c>
      <c r="R37" s="1"/>
      <c r="S37" s="1">
        <v>1</v>
      </c>
      <c r="T37" s="1"/>
      <c r="U37" s="1" t="s">
        <v>141</v>
      </c>
      <c r="V37" s="1">
        <v>2.5799999999999998E-3</v>
      </c>
    </row>
    <row r="38" spans="1:25" x14ac:dyDescent="0.2">
      <c r="A38" s="1">
        <v>1</v>
      </c>
      <c r="B38" s="1">
        <v>1.2</v>
      </c>
      <c r="C38" s="1">
        <v>2</v>
      </c>
      <c r="D38" s="1" t="s">
        <v>139</v>
      </c>
      <c r="E38" s="4">
        <v>45362</v>
      </c>
      <c r="G38" s="6">
        <f t="shared" si="2"/>
        <v>0.26149305555555558</v>
      </c>
      <c r="H38" s="3">
        <v>0.22737268518518519</v>
      </c>
      <c r="I38" s="3">
        <v>2.7210648148148147E-2</v>
      </c>
      <c r="J38" s="3">
        <f>I38+H38</f>
        <v>0.25458333333333333</v>
      </c>
      <c r="K38" s="6">
        <v>3.412037037037037E-2</v>
      </c>
      <c r="L38" s="1">
        <v>3</v>
      </c>
      <c r="M38" s="1" t="s">
        <v>14</v>
      </c>
      <c r="N38" s="1">
        <v>3</v>
      </c>
      <c r="O38" s="1" t="s">
        <v>13</v>
      </c>
      <c r="P38" s="40">
        <v>0.1</v>
      </c>
      <c r="Q38" s="40">
        <v>0.15</v>
      </c>
      <c r="R38" s="1"/>
      <c r="S38" s="1">
        <v>0</v>
      </c>
      <c r="T38" s="1"/>
      <c r="V38" s="1">
        <v>3.5999999999999997E-2</v>
      </c>
    </row>
    <row r="39" spans="1:25" x14ac:dyDescent="0.2">
      <c r="A39" s="1">
        <v>1</v>
      </c>
      <c r="B39" s="1">
        <v>1.2</v>
      </c>
      <c r="C39" s="1">
        <v>1</v>
      </c>
      <c r="D39" s="1" t="s">
        <v>130</v>
      </c>
      <c r="E39" s="4">
        <v>45363</v>
      </c>
      <c r="G39" s="6">
        <f t="shared" si="2"/>
        <v>0.25710648148148146</v>
      </c>
      <c r="H39" s="3">
        <v>0.22120370370370371</v>
      </c>
      <c r="I39" s="3">
        <v>2.4004629629629629E-2</v>
      </c>
      <c r="J39" s="3">
        <f>I39+H39</f>
        <v>0.24520833333333333</v>
      </c>
      <c r="K39" s="6">
        <v>3.5902777777777777E-2</v>
      </c>
      <c r="L39" s="1">
        <v>3</v>
      </c>
      <c r="M39" s="1" t="s">
        <v>14</v>
      </c>
      <c r="N39" s="1">
        <v>3</v>
      </c>
      <c r="O39" s="1" t="s">
        <v>13</v>
      </c>
      <c r="P39" s="40">
        <v>0.1</v>
      </c>
      <c r="Q39" s="40">
        <v>0.1</v>
      </c>
      <c r="R39" s="1"/>
      <c r="S39" s="1">
        <v>0</v>
      </c>
      <c r="T39" s="1"/>
      <c r="V39" s="1">
        <v>1.6039999999999999E-2</v>
      </c>
    </row>
    <row r="40" spans="1:25" x14ac:dyDescent="0.2">
      <c r="A40" s="1">
        <v>1</v>
      </c>
      <c r="B40" s="1">
        <v>1.2</v>
      </c>
      <c r="C40" s="1">
        <v>2</v>
      </c>
      <c r="D40" s="1" t="s">
        <v>130</v>
      </c>
      <c r="E40" s="4">
        <v>45363</v>
      </c>
      <c r="G40" s="6">
        <f t="shared" si="2"/>
        <v>0.2658449074074074</v>
      </c>
      <c r="H40" s="3">
        <v>0.22120370370370371</v>
      </c>
      <c r="I40" s="3">
        <v>3.7280092592592594E-2</v>
      </c>
      <c r="J40" s="3">
        <f>I40+H40</f>
        <v>0.25848379629629631</v>
      </c>
      <c r="K40" s="6">
        <v>4.4641203703703704E-2</v>
      </c>
      <c r="L40" s="1">
        <v>3</v>
      </c>
      <c r="M40" s="1" t="s">
        <v>13</v>
      </c>
      <c r="N40" s="1">
        <v>3</v>
      </c>
      <c r="O40" s="1" t="s">
        <v>13</v>
      </c>
      <c r="P40" s="40">
        <v>0.1</v>
      </c>
      <c r="Q40" s="40">
        <v>0.1</v>
      </c>
      <c r="R40" s="1"/>
      <c r="S40" s="1">
        <v>0</v>
      </c>
      <c r="T40" s="1"/>
      <c r="U40" s="1" t="s">
        <v>131</v>
      </c>
      <c r="V40" s="1">
        <v>0.52400000000000002</v>
      </c>
    </row>
    <row r="41" spans="1:25" x14ac:dyDescent="0.2">
      <c r="A41" s="1">
        <v>1</v>
      </c>
      <c r="B41" s="1">
        <v>1.2</v>
      </c>
      <c r="C41" s="1">
        <v>1</v>
      </c>
      <c r="D41" s="1" t="s">
        <v>136</v>
      </c>
      <c r="E41" s="4">
        <v>45363</v>
      </c>
      <c r="G41" s="6">
        <f t="shared" si="2"/>
        <v>0.77847222222222223</v>
      </c>
      <c r="H41" s="3">
        <v>0.75079861111111112</v>
      </c>
      <c r="I41" s="3">
        <v>1.9594907407407405E-2</v>
      </c>
      <c r="J41" s="3">
        <f>I41+H41</f>
        <v>0.77039351851851856</v>
      </c>
      <c r="K41" s="6">
        <v>2.7673611111111111E-2</v>
      </c>
      <c r="L41" s="1">
        <v>3</v>
      </c>
      <c r="M41" s="1" t="s">
        <v>13</v>
      </c>
      <c r="N41" s="1">
        <v>3</v>
      </c>
      <c r="O41" s="1" t="s">
        <v>14</v>
      </c>
      <c r="P41" s="40">
        <v>0.1</v>
      </c>
      <c r="Q41" s="40">
        <v>0.1</v>
      </c>
      <c r="R41" s="1"/>
      <c r="S41" s="1">
        <v>1</v>
      </c>
      <c r="T41" s="1"/>
      <c r="V41" s="1">
        <v>9.2100000000000001E-2</v>
      </c>
    </row>
    <row r="42" spans="1:25" x14ac:dyDescent="0.2">
      <c r="A42" s="1">
        <v>1</v>
      </c>
      <c r="B42" s="1">
        <v>1.2</v>
      </c>
      <c r="C42" s="1">
        <v>2</v>
      </c>
      <c r="D42" s="1" t="s">
        <v>136</v>
      </c>
      <c r="E42" s="4">
        <v>45363</v>
      </c>
      <c r="G42" s="6">
        <f t="shared" si="2"/>
        <v>0.7882986111111111</v>
      </c>
      <c r="H42" s="3">
        <v>0.75079861111111112</v>
      </c>
      <c r="I42" s="3">
        <v>2.8460648148148148E-2</v>
      </c>
      <c r="J42" s="3">
        <f>I42+H42</f>
        <v>0.77925925925925932</v>
      </c>
      <c r="K42" s="6">
        <v>3.7499999999999999E-2</v>
      </c>
      <c r="L42" s="1">
        <v>3</v>
      </c>
      <c r="M42" s="1" t="s">
        <v>14</v>
      </c>
      <c r="N42" s="1">
        <v>3</v>
      </c>
      <c r="O42" s="1" t="s">
        <v>13</v>
      </c>
      <c r="P42" s="40">
        <v>0.1</v>
      </c>
      <c r="Q42" s="40">
        <v>0.05</v>
      </c>
      <c r="R42" s="1"/>
      <c r="S42" s="1">
        <v>0</v>
      </c>
      <c r="T42" s="1"/>
      <c r="U42" s="1" t="s">
        <v>137</v>
      </c>
      <c r="V42" s="1">
        <v>1.763E-3</v>
      </c>
    </row>
    <row r="43" spans="1:25" s="7" customFormat="1" x14ac:dyDescent="0.2">
      <c r="A43" s="1">
        <v>1</v>
      </c>
      <c r="B43" s="1">
        <v>1.2</v>
      </c>
      <c r="C43" s="1">
        <v>1</v>
      </c>
      <c r="D43" s="1" t="s">
        <v>147</v>
      </c>
      <c r="E43" s="4">
        <v>45364</v>
      </c>
      <c r="F43" s="4"/>
      <c r="G43" s="6">
        <f t="shared" si="2"/>
        <v>0.25965277777777779</v>
      </c>
      <c r="H43" s="3">
        <v>0.2293287037037037</v>
      </c>
      <c r="I43" s="1" t="s">
        <v>27</v>
      </c>
      <c r="J43" s="1" t="s">
        <v>27</v>
      </c>
      <c r="K43" s="6">
        <v>3.0324074074074073E-2</v>
      </c>
      <c r="L43" s="1">
        <v>3</v>
      </c>
      <c r="M43" s="1" t="s">
        <v>13</v>
      </c>
      <c r="N43" s="1">
        <v>3</v>
      </c>
      <c r="O43" s="1" t="s">
        <v>14</v>
      </c>
      <c r="P43" s="40">
        <v>0.05</v>
      </c>
      <c r="Q43" s="40">
        <v>0.05</v>
      </c>
      <c r="R43" s="1"/>
      <c r="S43" s="1">
        <v>1</v>
      </c>
      <c r="T43" s="1"/>
      <c r="U43" s="1" t="s">
        <v>148</v>
      </c>
      <c r="V43" s="1">
        <v>1.8499999999999999E-2</v>
      </c>
      <c r="W43" s="1"/>
      <c r="X43" s="1"/>
      <c r="Y43" s="1"/>
    </row>
    <row r="44" spans="1:25" x14ac:dyDescent="0.2">
      <c r="A44" s="1">
        <v>1</v>
      </c>
      <c r="B44" s="1">
        <v>1.2</v>
      </c>
      <c r="C44" s="1">
        <v>1</v>
      </c>
      <c r="D44" s="1" t="s">
        <v>152</v>
      </c>
      <c r="E44" s="4">
        <v>45364</v>
      </c>
      <c r="G44" s="6">
        <f t="shared" si="2"/>
        <v>0.75667824074074075</v>
      </c>
      <c r="H44" s="3">
        <v>0.74851851851851847</v>
      </c>
      <c r="I44" s="1" t="s">
        <v>27</v>
      </c>
      <c r="J44" s="1" t="s">
        <v>27</v>
      </c>
      <c r="K44" s="6">
        <v>8.1597222222222227E-3</v>
      </c>
      <c r="L44" s="1">
        <v>3</v>
      </c>
      <c r="M44" s="1" t="s">
        <v>14</v>
      </c>
      <c r="N44" s="1">
        <v>3</v>
      </c>
      <c r="O44" s="1" t="s">
        <v>14</v>
      </c>
      <c r="P44" s="40">
        <v>0.05</v>
      </c>
      <c r="Q44" s="40">
        <v>0.05</v>
      </c>
      <c r="R44" s="1"/>
      <c r="S44" s="1">
        <v>1</v>
      </c>
      <c r="T44" s="1"/>
      <c r="U44" s="1" t="s">
        <v>153</v>
      </c>
      <c r="V44" s="1" t="s">
        <v>27</v>
      </c>
      <c r="W44" s="1" t="s">
        <v>417</v>
      </c>
      <c r="X44" s="1">
        <v>8.5</v>
      </c>
    </row>
    <row r="45" spans="1:25" x14ac:dyDescent="0.2">
      <c r="A45" s="1">
        <v>1</v>
      </c>
      <c r="B45" s="1">
        <v>1.2</v>
      </c>
      <c r="C45" s="1">
        <v>2</v>
      </c>
      <c r="D45" s="1" t="s">
        <v>152</v>
      </c>
      <c r="E45" s="4">
        <v>45364</v>
      </c>
      <c r="G45" s="6">
        <f t="shared" si="2"/>
        <v>0.7806249999999999</v>
      </c>
      <c r="H45" s="3">
        <v>0.74851851851851847</v>
      </c>
      <c r="I45" s="3">
        <v>9.7916666666666673E-3</v>
      </c>
      <c r="J45" s="3">
        <f t="shared" ref="J45:J51" si="3">I45+H45</f>
        <v>0.75831018518518511</v>
      </c>
      <c r="K45" s="6">
        <v>3.2106481481481479E-2</v>
      </c>
      <c r="L45" s="1">
        <v>3</v>
      </c>
      <c r="M45" s="1" t="s">
        <v>14</v>
      </c>
      <c r="N45" s="1">
        <v>3</v>
      </c>
      <c r="O45" s="1" t="s">
        <v>13</v>
      </c>
      <c r="P45" s="40">
        <v>0.05</v>
      </c>
      <c r="Q45" s="40">
        <v>0.05</v>
      </c>
      <c r="R45" s="1"/>
      <c r="S45" s="1">
        <v>0</v>
      </c>
      <c r="T45" s="1"/>
      <c r="V45" s="1">
        <v>4.6199999999999998E-2</v>
      </c>
    </row>
    <row r="46" spans="1:25" x14ac:dyDescent="0.2">
      <c r="A46" s="1">
        <v>1</v>
      </c>
      <c r="B46" s="1">
        <v>1.2</v>
      </c>
      <c r="C46" s="1">
        <v>1</v>
      </c>
      <c r="D46" s="1" t="s">
        <v>149</v>
      </c>
      <c r="E46" s="4">
        <v>45365</v>
      </c>
      <c r="G46" s="6">
        <f t="shared" si="2"/>
        <v>0.78318287037037038</v>
      </c>
      <c r="H46" s="3">
        <v>0.75199074074074079</v>
      </c>
      <c r="I46" s="3">
        <v>1.9027777777777779E-2</v>
      </c>
      <c r="J46" s="3">
        <f t="shared" si="3"/>
        <v>0.77101851851851855</v>
      </c>
      <c r="K46" s="6">
        <v>3.1192129629629629E-2</v>
      </c>
      <c r="L46" s="1">
        <v>3</v>
      </c>
      <c r="M46" s="1" t="s">
        <v>13</v>
      </c>
      <c r="N46" s="5" t="s">
        <v>226</v>
      </c>
      <c r="O46" s="1" t="s">
        <v>14</v>
      </c>
      <c r="P46" s="40">
        <v>0.05</v>
      </c>
      <c r="Q46" s="40">
        <v>0.05</v>
      </c>
      <c r="R46" s="1"/>
      <c r="S46" s="1">
        <v>1</v>
      </c>
      <c r="T46" s="1"/>
      <c r="V46" s="1">
        <v>1.77E-2</v>
      </c>
    </row>
    <row r="47" spans="1:25" x14ac:dyDescent="0.2">
      <c r="A47" s="1">
        <v>1</v>
      </c>
      <c r="B47" s="1">
        <v>1.2</v>
      </c>
      <c r="C47" s="1">
        <v>2</v>
      </c>
      <c r="D47" s="1" t="s">
        <v>149</v>
      </c>
      <c r="E47" s="4">
        <v>45365</v>
      </c>
      <c r="G47" s="6">
        <f t="shared" si="2"/>
        <v>0.79114583333333344</v>
      </c>
      <c r="H47" s="3">
        <v>0.75199074074074079</v>
      </c>
      <c r="I47" s="3">
        <v>3.2812500000000001E-2</v>
      </c>
      <c r="J47" s="3">
        <f t="shared" si="3"/>
        <v>0.78480324074074082</v>
      </c>
      <c r="K47" s="6">
        <v>3.9155092592592596E-2</v>
      </c>
      <c r="L47" s="1">
        <v>3</v>
      </c>
      <c r="M47" s="1" t="s">
        <v>14</v>
      </c>
      <c r="N47" s="1">
        <v>3</v>
      </c>
      <c r="O47" s="1" t="s">
        <v>13</v>
      </c>
      <c r="P47" s="40">
        <v>0.05</v>
      </c>
      <c r="Q47" s="40">
        <v>0.05</v>
      </c>
      <c r="R47" s="1"/>
      <c r="S47" s="1">
        <v>0</v>
      </c>
      <c r="T47" s="1"/>
      <c r="U47" s="7" t="s">
        <v>150</v>
      </c>
      <c r="V47" s="1">
        <v>8.6E-3</v>
      </c>
    </row>
    <row r="48" spans="1:25" x14ac:dyDescent="0.2">
      <c r="A48" s="1">
        <v>1</v>
      </c>
      <c r="B48" s="1">
        <v>1.2</v>
      </c>
      <c r="C48" s="1">
        <v>1</v>
      </c>
      <c r="D48" s="1" t="s">
        <v>151</v>
      </c>
      <c r="E48" s="4">
        <v>45365</v>
      </c>
      <c r="G48" s="6">
        <f t="shared" si="2"/>
        <v>0.25800925925925927</v>
      </c>
      <c r="H48" s="3">
        <v>0.23135416666666667</v>
      </c>
      <c r="I48" s="3">
        <v>1.5520833333333333E-2</v>
      </c>
      <c r="J48" s="3">
        <f t="shared" si="3"/>
        <v>0.24687500000000001</v>
      </c>
      <c r="K48" s="6">
        <v>2.6655092592592591E-2</v>
      </c>
      <c r="L48" s="1">
        <v>3</v>
      </c>
      <c r="M48" s="1" t="s">
        <v>14</v>
      </c>
      <c r="N48" s="1">
        <v>3</v>
      </c>
      <c r="O48" s="1" t="s">
        <v>13</v>
      </c>
      <c r="P48" s="40">
        <v>0.05</v>
      </c>
      <c r="Q48" s="40">
        <v>0.05</v>
      </c>
      <c r="R48" s="1"/>
      <c r="S48" s="1">
        <v>0</v>
      </c>
      <c r="T48" s="1"/>
      <c r="V48" s="1">
        <v>5.2499999999999998E-2</v>
      </c>
    </row>
    <row r="49" spans="1:25" x14ac:dyDescent="0.2">
      <c r="A49" s="1">
        <v>1</v>
      </c>
      <c r="B49" s="1">
        <v>1.2</v>
      </c>
      <c r="C49" s="1">
        <v>1</v>
      </c>
      <c r="D49" s="1" t="s">
        <v>155</v>
      </c>
      <c r="E49" s="4">
        <v>45366</v>
      </c>
      <c r="G49" s="6">
        <f t="shared" si="2"/>
        <v>0.25900462962962967</v>
      </c>
      <c r="H49" s="3">
        <v>0.22723379629629631</v>
      </c>
      <c r="I49" s="3">
        <v>2.3553240740740739E-2</v>
      </c>
      <c r="J49" s="3">
        <f t="shared" si="3"/>
        <v>0.25078703703703703</v>
      </c>
      <c r="K49" s="6">
        <v>3.1770833333333331E-2</v>
      </c>
      <c r="L49" s="1">
        <v>3</v>
      </c>
      <c r="M49" s="1" t="s">
        <v>14</v>
      </c>
      <c r="N49" s="1">
        <v>3</v>
      </c>
      <c r="O49" s="1" t="s">
        <v>13</v>
      </c>
      <c r="P49" s="40">
        <v>0.05</v>
      </c>
      <c r="Q49" s="40">
        <v>0.05</v>
      </c>
      <c r="R49" s="1"/>
      <c r="S49" s="1">
        <v>0</v>
      </c>
      <c r="T49" s="1"/>
      <c r="V49" s="1">
        <v>6.08E-2</v>
      </c>
    </row>
    <row r="50" spans="1:25" x14ac:dyDescent="0.2">
      <c r="A50" s="1">
        <v>1</v>
      </c>
      <c r="B50" s="1">
        <v>1.2</v>
      </c>
      <c r="C50" s="1">
        <v>2</v>
      </c>
      <c r="D50" s="1" t="s">
        <v>155</v>
      </c>
      <c r="E50" s="4">
        <v>45366</v>
      </c>
      <c r="G50" s="6">
        <f t="shared" si="2"/>
        <v>0.26502314814814815</v>
      </c>
      <c r="H50" s="3">
        <v>0.22723379629629631</v>
      </c>
      <c r="I50" s="3">
        <v>3.318287037037037E-2</v>
      </c>
      <c r="J50" s="3">
        <f t="shared" si="3"/>
        <v>0.26041666666666669</v>
      </c>
      <c r="K50" s="6">
        <v>3.7789351851851852E-2</v>
      </c>
      <c r="L50" s="1">
        <v>3</v>
      </c>
      <c r="M50" s="1" t="s">
        <v>13</v>
      </c>
      <c r="N50" s="1">
        <v>3</v>
      </c>
      <c r="O50" s="1" t="s">
        <v>14</v>
      </c>
      <c r="P50" s="40">
        <v>0.05</v>
      </c>
      <c r="Q50" s="40">
        <v>0.05</v>
      </c>
      <c r="R50" s="1"/>
      <c r="S50" s="1">
        <v>1</v>
      </c>
      <c r="T50" s="1"/>
      <c r="V50" s="1">
        <v>0.56100000000000005</v>
      </c>
    </row>
    <row r="51" spans="1:25" x14ac:dyDescent="0.2">
      <c r="A51" s="1">
        <v>1</v>
      </c>
      <c r="B51" s="1">
        <v>1.2</v>
      </c>
      <c r="C51" s="1">
        <v>1</v>
      </c>
      <c r="D51" s="1" t="s">
        <v>156</v>
      </c>
      <c r="E51" s="4">
        <v>45366</v>
      </c>
      <c r="G51" s="6">
        <f t="shared" si="2"/>
        <v>0.7882986111111111</v>
      </c>
      <c r="H51" s="3">
        <v>0.75307870370370367</v>
      </c>
      <c r="I51" s="3">
        <v>1.5706018518518518E-2</v>
      </c>
      <c r="J51" s="3">
        <f t="shared" si="3"/>
        <v>0.76878472222222216</v>
      </c>
      <c r="K51" s="6">
        <v>3.5219907407407408E-2</v>
      </c>
      <c r="L51" s="1">
        <v>3</v>
      </c>
      <c r="M51" s="1" t="s">
        <v>14</v>
      </c>
      <c r="N51" s="1">
        <v>3</v>
      </c>
      <c r="O51" s="1" t="s">
        <v>13</v>
      </c>
      <c r="P51" s="40">
        <v>0.05</v>
      </c>
      <c r="Q51" s="40">
        <v>0.05</v>
      </c>
      <c r="R51" s="1"/>
      <c r="S51" s="1">
        <v>0</v>
      </c>
      <c r="T51" s="1"/>
      <c r="V51" s="1">
        <v>1.3699999999999999E-3</v>
      </c>
    </row>
    <row r="52" spans="1:25" x14ac:dyDescent="0.2">
      <c r="A52" s="1">
        <v>1</v>
      </c>
      <c r="B52" s="1">
        <v>1.2</v>
      </c>
      <c r="C52" s="1">
        <v>1</v>
      </c>
      <c r="D52" s="1" t="s">
        <v>158</v>
      </c>
      <c r="E52" s="4">
        <v>45367</v>
      </c>
      <c r="G52" s="6" t="s">
        <v>27</v>
      </c>
      <c r="H52" s="3">
        <v>0.24211805555555554</v>
      </c>
      <c r="I52" s="3" t="s">
        <v>27</v>
      </c>
      <c r="J52" s="1" t="s">
        <v>27</v>
      </c>
      <c r="K52" s="6" t="s">
        <v>27</v>
      </c>
      <c r="L52" s="1">
        <v>3</v>
      </c>
      <c r="M52" s="1" t="s">
        <v>13</v>
      </c>
      <c r="N52" s="1">
        <v>3</v>
      </c>
      <c r="O52" s="1" t="s">
        <v>13</v>
      </c>
      <c r="P52" s="40">
        <v>0.05</v>
      </c>
      <c r="Q52" s="40">
        <v>0.05</v>
      </c>
      <c r="R52" s="1"/>
      <c r="S52" s="1" t="s">
        <v>27</v>
      </c>
      <c r="T52" s="1"/>
      <c r="U52" s="1" t="s">
        <v>214</v>
      </c>
      <c r="V52" s="1" t="s">
        <v>27</v>
      </c>
    </row>
    <row r="53" spans="1:25" x14ac:dyDescent="0.2">
      <c r="A53" s="1">
        <v>1</v>
      </c>
      <c r="B53" s="1">
        <v>1.2</v>
      </c>
      <c r="C53" s="1">
        <v>2</v>
      </c>
      <c r="D53" s="1" t="s">
        <v>158</v>
      </c>
      <c r="E53" s="4">
        <v>45367</v>
      </c>
      <c r="G53" s="6">
        <f>K53+H53</f>
        <v>0.25092592592592594</v>
      </c>
      <c r="H53" s="3">
        <v>0.24211805555555554</v>
      </c>
      <c r="I53" s="3">
        <v>1.9675925925925924E-3</v>
      </c>
      <c r="J53" s="3">
        <f>I53+H53</f>
        <v>0.24408564814814815</v>
      </c>
      <c r="K53" s="6">
        <v>8.8078703703703704E-3</v>
      </c>
      <c r="L53" s="1">
        <v>3</v>
      </c>
      <c r="M53" s="1" t="s">
        <v>13</v>
      </c>
      <c r="N53" s="1">
        <v>3</v>
      </c>
      <c r="O53" s="1" t="s">
        <v>14</v>
      </c>
      <c r="P53" s="40">
        <v>0.05</v>
      </c>
      <c r="Q53" s="40">
        <v>0.05</v>
      </c>
      <c r="R53" s="1"/>
      <c r="S53" s="1">
        <v>1</v>
      </c>
      <c r="T53" s="1"/>
      <c r="U53" s="1" t="s">
        <v>159</v>
      </c>
      <c r="V53" s="7" t="s">
        <v>416</v>
      </c>
      <c r="W53" s="7" t="s">
        <v>415</v>
      </c>
      <c r="X53" s="7">
        <v>5.0600000000000005E-4</v>
      </c>
      <c r="Y53" s="7" t="s">
        <v>449</v>
      </c>
    </row>
    <row r="54" spans="1:25" x14ac:dyDescent="0.2">
      <c r="A54" s="1">
        <v>1</v>
      </c>
      <c r="B54" s="1">
        <v>1.2</v>
      </c>
      <c r="C54" s="1">
        <v>3</v>
      </c>
      <c r="D54" s="1" t="s">
        <v>158</v>
      </c>
      <c r="E54" s="4">
        <v>45367</v>
      </c>
      <c r="G54" s="6" t="s">
        <v>27</v>
      </c>
      <c r="H54" s="3">
        <v>0.24211805555555554</v>
      </c>
      <c r="I54" s="6">
        <v>1.0266203703703704E-2</v>
      </c>
      <c r="J54" s="3">
        <f>I54+H54</f>
        <v>0.25238425925925922</v>
      </c>
      <c r="K54" s="6" t="s">
        <v>27</v>
      </c>
      <c r="L54" s="1">
        <v>3</v>
      </c>
      <c r="M54" s="1" t="s">
        <v>14</v>
      </c>
      <c r="N54" s="1">
        <v>3</v>
      </c>
      <c r="O54" s="1" t="s">
        <v>13</v>
      </c>
      <c r="P54" s="40">
        <v>0.05</v>
      </c>
      <c r="Q54" s="40">
        <v>0.05</v>
      </c>
      <c r="R54" s="1"/>
      <c r="S54" s="1" t="s">
        <v>27</v>
      </c>
      <c r="T54" s="1"/>
      <c r="U54" s="1" t="s">
        <v>216</v>
      </c>
      <c r="V54" s="1" t="s">
        <v>27</v>
      </c>
    </row>
    <row r="55" spans="1:25" x14ac:dyDescent="0.2">
      <c r="A55" s="1">
        <v>1</v>
      </c>
      <c r="B55" s="1">
        <v>1.2</v>
      </c>
      <c r="C55" s="1">
        <v>1</v>
      </c>
      <c r="D55" s="1" t="s">
        <v>160</v>
      </c>
      <c r="E55" s="4">
        <v>45367</v>
      </c>
      <c r="G55" s="6">
        <f t="shared" ref="G55:G62" si="4">K55+H55</f>
        <v>0.78707175925925921</v>
      </c>
      <c r="H55" s="3">
        <v>0.7512847222222222</v>
      </c>
      <c r="I55" s="3">
        <v>2.3587962962962963E-2</v>
      </c>
      <c r="J55" s="3">
        <f>I55+H55</f>
        <v>0.77487268518518515</v>
      </c>
      <c r="K55" s="6">
        <v>3.5787037037037034E-2</v>
      </c>
      <c r="L55" s="1">
        <v>2</v>
      </c>
      <c r="M55" s="1" t="s">
        <v>13</v>
      </c>
      <c r="N55" s="1">
        <v>2</v>
      </c>
      <c r="O55" s="1" t="s">
        <v>14</v>
      </c>
      <c r="P55" s="40">
        <v>0.05</v>
      </c>
      <c r="Q55" s="40">
        <v>0.05</v>
      </c>
      <c r="R55" s="1"/>
      <c r="S55" s="1">
        <v>1</v>
      </c>
      <c r="T55" s="1"/>
      <c r="V55" s="1">
        <v>4.5900000000000003E-3</v>
      </c>
    </row>
    <row r="56" spans="1:25" x14ac:dyDescent="0.2">
      <c r="A56" s="1">
        <v>1</v>
      </c>
      <c r="B56" s="1">
        <v>1.2</v>
      </c>
      <c r="C56" s="1">
        <v>1</v>
      </c>
      <c r="D56" s="1" t="s">
        <v>165</v>
      </c>
      <c r="E56" s="4">
        <v>45368</v>
      </c>
      <c r="G56" s="6">
        <f t="shared" si="4"/>
        <v>0.25017361111111114</v>
      </c>
      <c r="H56" s="3">
        <v>0.23034722222222223</v>
      </c>
      <c r="I56" s="3" t="s">
        <v>27</v>
      </c>
      <c r="J56" s="1" t="s">
        <v>27</v>
      </c>
      <c r="K56" s="6">
        <v>1.982638888888889E-2</v>
      </c>
      <c r="L56" s="1">
        <v>3</v>
      </c>
      <c r="M56" s="1" t="s">
        <v>14</v>
      </c>
      <c r="N56" s="1">
        <v>3</v>
      </c>
      <c r="O56" s="1" t="s">
        <v>14</v>
      </c>
      <c r="P56" s="40">
        <v>0.05</v>
      </c>
      <c r="Q56" s="40">
        <v>0.05</v>
      </c>
      <c r="R56" s="1"/>
      <c r="S56" s="1">
        <v>1</v>
      </c>
      <c r="T56" s="1"/>
      <c r="U56" s="1" t="s">
        <v>215</v>
      </c>
      <c r="V56" s="7">
        <v>1.1469999999999999E-2</v>
      </c>
      <c r="W56" s="1" t="s">
        <v>457</v>
      </c>
    </row>
    <row r="57" spans="1:25" x14ac:dyDescent="0.2">
      <c r="A57" s="1">
        <v>1</v>
      </c>
      <c r="B57" s="1">
        <v>1.2</v>
      </c>
      <c r="C57" s="1">
        <v>2</v>
      </c>
      <c r="D57" s="1" t="s">
        <v>165</v>
      </c>
      <c r="E57" s="4">
        <v>45368</v>
      </c>
      <c r="G57" s="6">
        <f t="shared" si="4"/>
        <v>0.26189814814814816</v>
      </c>
      <c r="H57" s="3">
        <v>0.23034722222222223</v>
      </c>
      <c r="I57" s="3">
        <v>2.3078703703703702E-2</v>
      </c>
      <c r="J57" s="3">
        <f t="shared" ref="J57:J63" si="5">I57+H57</f>
        <v>0.25342592592592594</v>
      </c>
      <c r="K57" s="6">
        <v>3.1550925925925927E-2</v>
      </c>
      <c r="L57" s="1">
        <v>3</v>
      </c>
      <c r="M57" s="1" t="s">
        <v>13</v>
      </c>
      <c r="N57" s="1">
        <v>3</v>
      </c>
      <c r="O57" s="1" t="s">
        <v>13</v>
      </c>
      <c r="P57" s="40">
        <v>0.05</v>
      </c>
      <c r="Q57" s="40">
        <v>0.05</v>
      </c>
      <c r="R57" s="1"/>
      <c r="S57" s="1">
        <v>0</v>
      </c>
      <c r="T57" s="1"/>
      <c r="U57" s="1" t="s">
        <v>173</v>
      </c>
      <c r="V57" s="1">
        <v>0.39300000000000002</v>
      </c>
    </row>
    <row r="58" spans="1:25" x14ac:dyDescent="0.2">
      <c r="A58" s="1">
        <v>1</v>
      </c>
      <c r="B58" s="1">
        <v>1.2</v>
      </c>
      <c r="C58" s="1">
        <v>1</v>
      </c>
      <c r="D58" s="1" t="s">
        <v>171</v>
      </c>
      <c r="E58" s="4">
        <v>45368</v>
      </c>
      <c r="G58" s="6">
        <f t="shared" si="4"/>
        <v>0.78758101851851858</v>
      </c>
      <c r="H58" s="3">
        <v>0.74692129629629633</v>
      </c>
      <c r="I58" s="3">
        <v>2.5277777777777777E-2</v>
      </c>
      <c r="J58" s="3">
        <f t="shared" si="5"/>
        <v>0.77219907407407407</v>
      </c>
      <c r="K58" s="6">
        <v>4.0659722222222222E-2</v>
      </c>
      <c r="L58" s="1">
        <v>3</v>
      </c>
      <c r="M58" s="1" t="s">
        <v>13</v>
      </c>
      <c r="N58" s="1">
        <v>3</v>
      </c>
      <c r="O58" s="1" t="s">
        <v>14</v>
      </c>
      <c r="P58" s="40">
        <v>0.05</v>
      </c>
      <c r="Q58" s="40">
        <v>0.05</v>
      </c>
      <c r="R58" s="1"/>
      <c r="S58" s="1">
        <v>1</v>
      </c>
      <c r="T58" s="1"/>
      <c r="V58" s="1">
        <v>1.14E-3</v>
      </c>
    </row>
    <row r="59" spans="1:25" x14ac:dyDescent="0.2">
      <c r="A59" s="1">
        <v>1</v>
      </c>
      <c r="B59" s="1">
        <v>1.2</v>
      </c>
      <c r="C59" s="1">
        <v>1</v>
      </c>
      <c r="D59" s="1" t="s">
        <v>168</v>
      </c>
      <c r="E59" s="4">
        <v>45369</v>
      </c>
      <c r="G59" s="6">
        <f t="shared" si="4"/>
        <v>0.78405092592592596</v>
      </c>
      <c r="H59" s="3">
        <v>0.76052083333333331</v>
      </c>
      <c r="I59" s="3">
        <v>1.5069444444444444E-2</v>
      </c>
      <c r="J59" s="3">
        <f t="shared" si="5"/>
        <v>0.77559027777777778</v>
      </c>
      <c r="K59" s="6">
        <v>2.3530092592592592E-2</v>
      </c>
      <c r="L59" s="1">
        <v>3</v>
      </c>
      <c r="M59" s="1" t="s">
        <v>13</v>
      </c>
      <c r="N59" s="1">
        <v>3</v>
      </c>
      <c r="O59" s="1" t="s">
        <v>13</v>
      </c>
      <c r="P59" s="40">
        <v>0.05</v>
      </c>
      <c r="Q59" s="40">
        <v>0.05</v>
      </c>
      <c r="R59" s="1"/>
      <c r="S59" s="1">
        <v>0</v>
      </c>
      <c r="T59" s="1"/>
      <c r="U59" s="1" t="s">
        <v>169</v>
      </c>
      <c r="V59" s="7" t="s">
        <v>414</v>
      </c>
      <c r="W59" s="1" t="s">
        <v>217</v>
      </c>
      <c r="X59" s="1">
        <v>9.7699999999999992E-3</v>
      </c>
      <c r="Y59" s="7" t="s">
        <v>451</v>
      </c>
    </row>
    <row r="60" spans="1:25" x14ac:dyDescent="0.2">
      <c r="A60" s="1">
        <v>1</v>
      </c>
      <c r="B60" s="1">
        <v>1.2</v>
      </c>
      <c r="C60" s="1">
        <v>1</v>
      </c>
      <c r="D60" s="1" t="s">
        <v>170</v>
      </c>
      <c r="E60" s="4">
        <v>45369</v>
      </c>
      <c r="G60" s="6">
        <f t="shared" si="4"/>
        <v>0.24724537037037037</v>
      </c>
      <c r="H60" s="3">
        <v>0.22981481481481481</v>
      </c>
      <c r="I60" s="3">
        <v>1.15625E-2</v>
      </c>
      <c r="J60" s="3">
        <f t="shared" si="5"/>
        <v>0.24137731481481481</v>
      </c>
      <c r="K60" s="6">
        <v>1.7430555555555557E-2</v>
      </c>
      <c r="L60" s="1">
        <v>3</v>
      </c>
      <c r="M60" s="1" t="s">
        <v>14</v>
      </c>
      <c r="N60" s="1">
        <v>3</v>
      </c>
      <c r="O60" s="1" t="s">
        <v>13</v>
      </c>
      <c r="P60" s="40">
        <v>0.05</v>
      </c>
      <c r="Q60" s="40">
        <v>0.05</v>
      </c>
      <c r="R60" s="1"/>
      <c r="S60" s="1">
        <v>0</v>
      </c>
      <c r="T60" s="1"/>
      <c r="V60" s="7">
        <v>6.7000000000000002E-3</v>
      </c>
      <c r="W60" s="1" t="s">
        <v>453</v>
      </c>
    </row>
    <row r="61" spans="1:25" x14ac:dyDescent="0.2">
      <c r="A61" s="1">
        <v>1</v>
      </c>
      <c r="B61" s="1">
        <v>1.2</v>
      </c>
      <c r="C61" s="1">
        <v>2</v>
      </c>
      <c r="D61" s="1" t="s">
        <v>170</v>
      </c>
      <c r="E61" s="4">
        <v>45369</v>
      </c>
      <c r="G61" s="6">
        <f t="shared" si="4"/>
        <v>0.25831018518518517</v>
      </c>
      <c r="H61" s="3">
        <v>0.22981481481481481</v>
      </c>
      <c r="I61" s="3">
        <v>1.90625E-2</v>
      </c>
      <c r="J61" s="3">
        <f t="shared" si="5"/>
        <v>0.24887731481481482</v>
      </c>
      <c r="K61" s="6">
        <v>2.8495370370370369E-2</v>
      </c>
      <c r="L61" s="1">
        <v>3</v>
      </c>
      <c r="M61" s="1" t="s">
        <v>13</v>
      </c>
      <c r="N61" s="1">
        <v>3</v>
      </c>
      <c r="O61" s="1" t="s">
        <v>13</v>
      </c>
      <c r="P61" s="40">
        <v>0.05</v>
      </c>
      <c r="Q61" s="40">
        <v>0.05</v>
      </c>
      <c r="R61" s="1"/>
      <c r="S61" s="1">
        <v>0</v>
      </c>
      <c r="T61" s="1"/>
      <c r="V61" s="1">
        <v>4.9200000000000001E-2</v>
      </c>
    </row>
    <row r="62" spans="1:25" x14ac:dyDescent="0.2">
      <c r="A62" s="1">
        <v>1</v>
      </c>
      <c r="B62" s="1">
        <v>1.2</v>
      </c>
      <c r="C62" s="1">
        <v>1</v>
      </c>
      <c r="D62" s="1" t="s">
        <v>166</v>
      </c>
      <c r="E62" s="4">
        <v>45370</v>
      </c>
      <c r="G62" s="6">
        <f t="shared" si="4"/>
        <v>0.26055555555555554</v>
      </c>
      <c r="H62" s="3">
        <v>0.22402777777777777</v>
      </c>
      <c r="I62" s="3">
        <v>2.3483796296296298E-2</v>
      </c>
      <c r="J62" s="3">
        <f t="shared" si="5"/>
        <v>0.24751157407407406</v>
      </c>
      <c r="K62" s="6">
        <v>3.6527777777777777E-2</v>
      </c>
      <c r="L62" s="1">
        <v>3</v>
      </c>
      <c r="M62" s="1" t="s">
        <v>13</v>
      </c>
      <c r="N62" s="1">
        <v>3</v>
      </c>
      <c r="O62" s="1" t="s">
        <v>13</v>
      </c>
      <c r="P62" s="40">
        <v>0.05</v>
      </c>
      <c r="Q62" s="40">
        <v>0.05</v>
      </c>
      <c r="R62" s="1"/>
      <c r="S62" s="1">
        <v>1</v>
      </c>
      <c r="T62" s="1"/>
      <c r="U62" s="1" t="s">
        <v>167</v>
      </c>
      <c r="V62" s="1">
        <v>5.8200000000000002E-2</v>
      </c>
    </row>
    <row r="63" spans="1:25" x14ac:dyDescent="0.2">
      <c r="A63" s="1">
        <v>1</v>
      </c>
      <c r="B63" s="1">
        <v>1.2</v>
      </c>
      <c r="C63" s="1">
        <v>1</v>
      </c>
      <c r="D63" s="1" t="s">
        <v>197</v>
      </c>
      <c r="E63" s="4">
        <v>45370</v>
      </c>
      <c r="G63" s="6" t="s">
        <v>27</v>
      </c>
      <c r="H63" s="3">
        <v>0.76035879629629632</v>
      </c>
      <c r="I63" s="3">
        <v>1.457175925925926E-2</v>
      </c>
      <c r="J63" s="3">
        <f t="shared" si="5"/>
        <v>0.77493055555555557</v>
      </c>
      <c r="K63" s="6" t="s">
        <v>27</v>
      </c>
      <c r="L63" s="1">
        <v>3</v>
      </c>
      <c r="M63" s="1" t="s">
        <v>13</v>
      </c>
      <c r="N63" s="1">
        <v>3</v>
      </c>
      <c r="O63" s="1" t="s">
        <v>13</v>
      </c>
      <c r="P63" s="40">
        <v>0.05</v>
      </c>
      <c r="Q63" s="40">
        <v>0.05</v>
      </c>
      <c r="R63" s="1"/>
      <c r="S63" s="1" t="s">
        <v>27</v>
      </c>
      <c r="T63" s="1"/>
      <c r="U63" s="1" t="s">
        <v>198</v>
      </c>
      <c r="V63" s="1" t="s">
        <v>27</v>
      </c>
    </row>
    <row r="64" spans="1:25" x14ac:dyDescent="0.2">
      <c r="A64" s="1">
        <v>1</v>
      </c>
      <c r="B64" s="1">
        <v>1.2</v>
      </c>
      <c r="C64" s="1" t="s">
        <v>27</v>
      </c>
      <c r="D64" s="1" t="s">
        <v>27</v>
      </c>
      <c r="E64" s="4">
        <v>45371</v>
      </c>
      <c r="G64" s="6" t="s">
        <v>27</v>
      </c>
      <c r="H64" s="1" t="s">
        <v>27</v>
      </c>
      <c r="I64" s="1" t="s">
        <v>27</v>
      </c>
      <c r="J64" s="1" t="s">
        <v>27</v>
      </c>
      <c r="K64" s="6" t="s">
        <v>27</v>
      </c>
      <c r="U64" s="1" t="s">
        <v>204</v>
      </c>
      <c r="V64" s="1" t="s">
        <v>27</v>
      </c>
    </row>
    <row r="65" spans="1:24" x14ac:dyDescent="0.2">
      <c r="A65" s="1">
        <v>1</v>
      </c>
      <c r="B65" s="1">
        <v>1.2</v>
      </c>
      <c r="C65" s="1" t="s">
        <v>27</v>
      </c>
      <c r="D65" s="1" t="s">
        <v>27</v>
      </c>
      <c r="E65" s="4">
        <v>45371</v>
      </c>
      <c r="G65" s="6" t="s">
        <v>27</v>
      </c>
      <c r="H65" s="1" t="s">
        <v>27</v>
      </c>
      <c r="I65" s="1" t="s">
        <v>27</v>
      </c>
      <c r="J65" s="1" t="s">
        <v>27</v>
      </c>
      <c r="K65" s="6" t="s">
        <v>27</v>
      </c>
      <c r="U65" s="1" t="s">
        <v>207</v>
      </c>
      <c r="V65" s="1" t="s">
        <v>27</v>
      </c>
    </row>
    <row r="66" spans="1:24" x14ac:dyDescent="0.2">
      <c r="A66" s="1">
        <v>1</v>
      </c>
      <c r="B66" s="1">
        <v>1.2</v>
      </c>
      <c r="C66" s="1">
        <v>1</v>
      </c>
      <c r="D66" s="1" t="s">
        <v>210</v>
      </c>
      <c r="E66" s="4">
        <v>45372</v>
      </c>
      <c r="G66" s="6">
        <f>K66+H66</f>
        <v>0.26060185185185186</v>
      </c>
      <c r="H66" s="3">
        <v>0.2263425925925926</v>
      </c>
      <c r="I66" s="1" t="s">
        <v>27</v>
      </c>
      <c r="J66" s="1" t="s">
        <v>27</v>
      </c>
      <c r="K66" s="6">
        <v>3.425925925925926E-2</v>
      </c>
      <c r="L66" s="1">
        <v>3</v>
      </c>
      <c r="M66" s="1" t="s">
        <v>13</v>
      </c>
      <c r="N66" s="1">
        <v>3</v>
      </c>
      <c r="O66" s="1" t="s">
        <v>14</v>
      </c>
      <c r="P66" s="40">
        <v>0.5</v>
      </c>
      <c r="Q66" s="40">
        <v>0.1</v>
      </c>
      <c r="R66" s="1"/>
      <c r="S66" s="1" t="s">
        <v>27</v>
      </c>
      <c r="T66" s="1"/>
      <c r="U66" s="1" t="s">
        <v>240</v>
      </c>
      <c r="V66" s="1">
        <v>0.22700000000000001</v>
      </c>
    </row>
    <row r="67" spans="1:24" x14ac:dyDescent="0.2">
      <c r="A67" s="1">
        <v>1</v>
      </c>
      <c r="B67" s="1">
        <v>1.2</v>
      </c>
      <c r="C67" s="1">
        <v>1</v>
      </c>
      <c r="D67" s="1" t="s">
        <v>224</v>
      </c>
      <c r="E67" s="4">
        <v>45372</v>
      </c>
      <c r="G67" s="6">
        <f>K67+H67</f>
        <v>0.77483796296296303</v>
      </c>
      <c r="H67" s="3">
        <v>0.76459490740740743</v>
      </c>
      <c r="I67" s="3">
        <v>6.030092592592593E-3</v>
      </c>
      <c r="J67" s="3">
        <f t="shared" ref="J67:J74" si="6">I67+H67</f>
        <v>0.770625</v>
      </c>
      <c r="K67" s="6">
        <v>1.0243055555555556E-2</v>
      </c>
      <c r="L67" s="1">
        <v>3</v>
      </c>
      <c r="M67" s="1" t="s">
        <v>13</v>
      </c>
      <c r="N67" s="1">
        <v>3</v>
      </c>
      <c r="O67" s="1" t="s">
        <v>13</v>
      </c>
      <c r="P67" s="40">
        <v>0.05</v>
      </c>
      <c r="Q67" s="40">
        <v>0.05</v>
      </c>
      <c r="R67" s="1"/>
      <c r="S67" s="1">
        <v>0</v>
      </c>
      <c r="T67" s="1"/>
      <c r="U67" s="1" t="s">
        <v>225</v>
      </c>
      <c r="V67" s="1" t="s">
        <v>27</v>
      </c>
      <c r="W67" s="1" t="s">
        <v>413</v>
      </c>
      <c r="X67" s="1">
        <v>0.54600000000000004</v>
      </c>
    </row>
    <row r="68" spans="1:24" x14ac:dyDescent="0.2">
      <c r="A68" s="1">
        <v>1</v>
      </c>
      <c r="B68" s="1">
        <v>1.2</v>
      </c>
      <c r="C68" s="1">
        <v>2</v>
      </c>
      <c r="D68" s="1" t="s">
        <v>224</v>
      </c>
      <c r="E68" s="4">
        <v>45372</v>
      </c>
      <c r="G68" s="6" t="s">
        <v>27</v>
      </c>
      <c r="H68" s="3">
        <v>0.76459490740740743</v>
      </c>
      <c r="I68" s="3">
        <v>1.1076388888888889E-2</v>
      </c>
      <c r="J68" s="3">
        <f t="shared" si="6"/>
        <v>0.77567129629629628</v>
      </c>
      <c r="K68" s="6" t="s">
        <v>27</v>
      </c>
      <c r="L68" s="1">
        <v>3</v>
      </c>
      <c r="M68" s="1" t="s">
        <v>13</v>
      </c>
      <c r="N68" s="1">
        <v>3</v>
      </c>
      <c r="O68" s="1" t="s">
        <v>13</v>
      </c>
      <c r="P68" s="40">
        <v>0.05</v>
      </c>
      <c r="Q68" s="40">
        <v>0.05</v>
      </c>
      <c r="R68" s="1"/>
      <c r="S68" s="1" t="s">
        <v>27</v>
      </c>
      <c r="T68" s="1"/>
      <c r="U68" s="1" t="s">
        <v>227</v>
      </c>
      <c r="V68" s="1" t="s">
        <v>27</v>
      </c>
    </row>
    <row r="69" spans="1:24" x14ac:dyDescent="0.2">
      <c r="A69" s="1">
        <v>1</v>
      </c>
      <c r="B69" s="1">
        <v>1.2</v>
      </c>
      <c r="C69" s="1">
        <v>1</v>
      </c>
      <c r="D69" s="1" t="s">
        <v>228</v>
      </c>
      <c r="E69" s="4">
        <v>45373</v>
      </c>
      <c r="G69" s="6">
        <f t="shared" ref="G69:G75" si="7">K69+H69</f>
        <v>0.25677083333333334</v>
      </c>
      <c r="H69" s="3">
        <v>0.23457175925925927</v>
      </c>
      <c r="I69" s="3">
        <v>1.0347222222222223E-2</v>
      </c>
      <c r="J69" s="3">
        <f t="shared" si="6"/>
        <v>0.2449189814814815</v>
      </c>
      <c r="K69" s="6">
        <v>2.2199074074074072E-2</v>
      </c>
      <c r="L69" s="1">
        <v>3</v>
      </c>
      <c r="M69" s="1" t="s">
        <v>13</v>
      </c>
      <c r="N69" s="1">
        <v>3</v>
      </c>
      <c r="O69" s="1" t="s">
        <v>14</v>
      </c>
      <c r="P69" s="40">
        <v>0.05</v>
      </c>
      <c r="Q69" s="40">
        <v>0.15</v>
      </c>
      <c r="R69" s="1"/>
      <c r="S69" s="1">
        <v>1</v>
      </c>
      <c r="T69" s="1"/>
      <c r="V69" s="1">
        <v>9.2299999999999993E-2</v>
      </c>
    </row>
    <row r="70" spans="1:24" x14ac:dyDescent="0.2">
      <c r="A70" s="1">
        <v>1</v>
      </c>
      <c r="B70" s="1">
        <v>1.2</v>
      </c>
      <c r="C70" s="1">
        <v>1</v>
      </c>
      <c r="D70" s="1" t="s">
        <v>229</v>
      </c>
      <c r="E70" s="4">
        <v>45373</v>
      </c>
      <c r="G70" s="6">
        <f t="shared" si="7"/>
        <v>0.77311342592592591</v>
      </c>
      <c r="H70" s="3">
        <v>0.74407407407407411</v>
      </c>
      <c r="I70" s="3">
        <v>2.6215277777777778E-2</v>
      </c>
      <c r="J70" s="3">
        <f t="shared" si="6"/>
        <v>0.77028935185185188</v>
      </c>
      <c r="K70" s="6">
        <v>2.9039351851851851E-2</v>
      </c>
      <c r="L70" s="1">
        <v>3</v>
      </c>
      <c r="M70" s="1" t="s">
        <v>14</v>
      </c>
      <c r="N70" s="1">
        <v>3</v>
      </c>
      <c r="O70" s="1" t="s">
        <v>14</v>
      </c>
      <c r="P70" s="40">
        <v>0.05</v>
      </c>
      <c r="Q70" s="40">
        <v>0.05</v>
      </c>
      <c r="R70" s="1"/>
      <c r="S70" s="1">
        <v>1</v>
      </c>
      <c r="T70" s="1"/>
      <c r="U70" s="1" t="s">
        <v>230</v>
      </c>
      <c r="V70" s="1">
        <v>0.54600000000000004</v>
      </c>
    </row>
    <row r="71" spans="1:24" x14ac:dyDescent="0.2">
      <c r="A71" s="1">
        <v>1</v>
      </c>
      <c r="B71" s="1">
        <v>1.2</v>
      </c>
      <c r="C71" s="1">
        <v>1</v>
      </c>
      <c r="D71" s="1" t="s">
        <v>231</v>
      </c>
      <c r="E71" s="4">
        <v>45374</v>
      </c>
      <c r="G71" s="6">
        <f t="shared" si="7"/>
        <v>0.25959490740740743</v>
      </c>
      <c r="H71" s="3">
        <v>0.2424537037037037</v>
      </c>
      <c r="I71" s="3">
        <v>6.1921296296296299E-3</v>
      </c>
      <c r="J71" s="3">
        <f t="shared" si="6"/>
        <v>0.24864583333333332</v>
      </c>
      <c r="K71" s="6">
        <v>1.7141203703703704E-2</v>
      </c>
      <c r="L71" s="1">
        <v>3</v>
      </c>
      <c r="M71" s="1" t="s">
        <v>14</v>
      </c>
      <c r="N71" s="1">
        <v>3</v>
      </c>
      <c r="O71" s="1" t="s">
        <v>13</v>
      </c>
      <c r="P71" s="40">
        <v>0.05</v>
      </c>
      <c r="Q71" s="40">
        <v>0.15</v>
      </c>
      <c r="R71" s="1"/>
      <c r="S71" s="1">
        <v>0</v>
      </c>
      <c r="T71" s="1"/>
      <c r="U71" s="1" t="s">
        <v>232</v>
      </c>
      <c r="V71" s="1">
        <v>0.24</v>
      </c>
    </row>
    <row r="72" spans="1:24" x14ac:dyDescent="0.2">
      <c r="A72" s="1">
        <v>1</v>
      </c>
      <c r="B72" s="1">
        <v>1.2</v>
      </c>
      <c r="C72" s="1">
        <v>2</v>
      </c>
      <c r="D72" s="1" t="s">
        <v>231</v>
      </c>
      <c r="E72" s="4">
        <v>45374</v>
      </c>
      <c r="G72" s="6">
        <f t="shared" si="7"/>
        <v>0.26443287037037039</v>
      </c>
      <c r="H72" s="3">
        <v>0.2424537037037037</v>
      </c>
      <c r="I72" s="6">
        <v>1.7881944444444443E-2</v>
      </c>
      <c r="J72" s="3">
        <f t="shared" si="6"/>
        <v>0.26033564814814814</v>
      </c>
      <c r="K72" s="6">
        <v>2.1979166666666668E-2</v>
      </c>
      <c r="L72" s="1">
        <v>3</v>
      </c>
      <c r="M72" s="1" t="s">
        <v>13</v>
      </c>
      <c r="N72" s="1">
        <v>3</v>
      </c>
      <c r="O72" s="1" t="s">
        <v>13</v>
      </c>
      <c r="P72" s="40">
        <v>0.15</v>
      </c>
      <c r="Q72" s="40">
        <v>0.15</v>
      </c>
      <c r="R72" s="1"/>
      <c r="S72" s="1">
        <v>0</v>
      </c>
      <c r="T72" s="1"/>
      <c r="U72" s="1" t="s">
        <v>233</v>
      </c>
      <c r="V72" s="1">
        <v>0.70799999999999996</v>
      </c>
    </row>
    <row r="73" spans="1:24" x14ac:dyDescent="0.2">
      <c r="A73" s="1">
        <v>1</v>
      </c>
      <c r="B73" s="1">
        <v>1.2</v>
      </c>
      <c r="C73" s="1">
        <v>1</v>
      </c>
      <c r="D73" s="1" t="s">
        <v>234</v>
      </c>
      <c r="E73" s="4">
        <v>45374</v>
      </c>
      <c r="G73" s="6">
        <f t="shared" si="7"/>
        <v>0.77297453703703711</v>
      </c>
      <c r="H73" s="3">
        <v>0.75896990740740744</v>
      </c>
      <c r="I73" s="3">
        <v>7.5462962962962966E-3</v>
      </c>
      <c r="J73" s="3">
        <f t="shared" si="6"/>
        <v>0.76651620370370377</v>
      </c>
      <c r="K73" s="6">
        <v>1.4004629629629629E-2</v>
      </c>
      <c r="L73" s="1">
        <v>3</v>
      </c>
      <c r="M73" s="1" t="s">
        <v>13</v>
      </c>
      <c r="N73" s="1">
        <v>3</v>
      </c>
      <c r="O73" s="1" t="s">
        <v>14</v>
      </c>
      <c r="P73" s="40">
        <v>0.05</v>
      </c>
      <c r="Q73" s="40">
        <v>0.05</v>
      </c>
      <c r="R73" s="1"/>
      <c r="S73" s="1">
        <v>1</v>
      </c>
      <c r="T73" s="1"/>
      <c r="U73" s="1" t="s">
        <v>235</v>
      </c>
      <c r="V73" s="1">
        <v>0.85299999999999998</v>
      </c>
    </row>
    <row r="74" spans="1:24" x14ac:dyDescent="0.2">
      <c r="A74" s="1">
        <v>1</v>
      </c>
      <c r="B74" s="1">
        <v>1.2</v>
      </c>
      <c r="C74" s="1">
        <v>2</v>
      </c>
      <c r="D74" s="1" t="s">
        <v>234</v>
      </c>
      <c r="E74" s="4">
        <v>45374</v>
      </c>
      <c r="G74" s="6">
        <f t="shared" si="7"/>
        <v>0.78350694444444446</v>
      </c>
      <c r="H74" s="3">
        <v>0.75896990740740744</v>
      </c>
      <c r="I74" s="3">
        <v>1.5509259259259259E-2</v>
      </c>
      <c r="J74" s="3">
        <f t="shared" si="6"/>
        <v>0.77447916666666672</v>
      </c>
      <c r="K74" s="6">
        <v>2.4537037037037038E-2</v>
      </c>
      <c r="L74" s="1">
        <v>3</v>
      </c>
      <c r="M74" s="1" t="s">
        <v>14</v>
      </c>
      <c r="N74" s="1">
        <v>3</v>
      </c>
      <c r="O74" s="1" t="s">
        <v>14</v>
      </c>
      <c r="P74" s="40">
        <v>0.05</v>
      </c>
      <c r="Q74" s="43">
        <v>0.05</v>
      </c>
      <c r="R74" s="7"/>
      <c r="S74" s="1">
        <v>1</v>
      </c>
      <c r="T74" s="7"/>
      <c r="U74" s="1" t="s">
        <v>236</v>
      </c>
      <c r="V74" s="1">
        <v>2.1899999999999999E-2</v>
      </c>
    </row>
    <row r="75" spans="1:24" x14ac:dyDescent="0.2">
      <c r="A75" s="1">
        <v>1</v>
      </c>
      <c r="B75" s="1">
        <v>1.2</v>
      </c>
      <c r="C75" s="1">
        <v>1</v>
      </c>
      <c r="D75" s="1" t="s">
        <v>237</v>
      </c>
      <c r="E75" s="4">
        <v>45375</v>
      </c>
      <c r="G75" s="6">
        <f t="shared" si="7"/>
        <v>0.26059027777777777</v>
      </c>
      <c r="H75" s="3">
        <v>0.22921296296296295</v>
      </c>
      <c r="I75" s="1" t="s">
        <v>27</v>
      </c>
      <c r="J75" s="1" t="s">
        <v>27</v>
      </c>
      <c r="K75" s="6">
        <v>3.1377314814814816E-2</v>
      </c>
      <c r="L75" s="1">
        <v>3</v>
      </c>
      <c r="M75" s="1" t="s">
        <v>14</v>
      </c>
      <c r="N75" s="1">
        <v>3</v>
      </c>
      <c r="O75" s="1" t="s">
        <v>13</v>
      </c>
      <c r="P75" s="40">
        <v>0.05</v>
      </c>
      <c r="Q75" s="43">
        <v>0.05</v>
      </c>
      <c r="R75" s="7"/>
      <c r="S75" s="1">
        <v>0</v>
      </c>
      <c r="T75" s="7"/>
      <c r="U75" s="1" t="s">
        <v>238</v>
      </c>
      <c r="V75" s="1">
        <v>0.378</v>
      </c>
    </row>
    <row r="76" spans="1:24" x14ac:dyDescent="0.2">
      <c r="A76" s="1">
        <v>1</v>
      </c>
      <c r="B76" s="1">
        <v>1.2</v>
      </c>
      <c r="C76" s="1">
        <v>2</v>
      </c>
      <c r="D76" s="1" t="s">
        <v>237</v>
      </c>
      <c r="E76" s="4">
        <v>45375</v>
      </c>
      <c r="G76" s="6" t="s">
        <v>27</v>
      </c>
      <c r="H76" s="3">
        <v>0.22921296296296295</v>
      </c>
      <c r="I76" s="3">
        <v>3.2083333333333332E-2</v>
      </c>
      <c r="J76" s="3">
        <f>I76+H76</f>
        <v>0.2612962962962963</v>
      </c>
      <c r="K76" s="6" t="s">
        <v>27</v>
      </c>
      <c r="L76" s="1">
        <v>3</v>
      </c>
      <c r="M76" s="1" t="s">
        <v>13</v>
      </c>
      <c r="N76" s="1">
        <v>3</v>
      </c>
      <c r="O76" s="1" t="s">
        <v>13</v>
      </c>
      <c r="P76" s="40">
        <v>0.05</v>
      </c>
      <c r="Q76" s="43">
        <v>0.05</v>
      </c>
      <c r="R76" s="7"/>
      <c r="S76" s="1" t="s">
        <v>27</v>
      </c>
      <c r="T76" s="7"/>
      <c r="U76" s="1" t="s">
        <v>239</v>
      </c>
      <c r="V76" s="1" t="s">
        <v>27</v>
      </c>
    </row>
    <row r="77" spans="1:24" x14ac:dyDescent="0.2">
      <c r="A77" s="1">
        <v>1</v>
      </c>
      <c r="B77" s="1">
        <v>1.2</v>
      </c>
      <c r="C77" s="1">
        <v>1</v>
      </c>
      <c r="D77" s="1" t="s">
        <v>248</v>
      </c>
      <c r="E77" s="4">
        <v>45375</v>
      </c>
      <c r="G77" s="6">
        <f>K77+H77</f>
        <v>0.7900462962962963</v>
      </c>
      <c r="H77" s="3">
        <v>0.75851851851851848</v>
      </c>
      <c r="I77" s="3">
        <v>1.4409722222222223E-2</v>
      </c>
      <c r="J77" s="3">
        <f>I77+H77</f>
        <v>0.77292824074074074</v>
      </c>
      <c r="K77" s="6">
        <v>3.152777777777778E-2</v>
      </c>
      <c r="L77" s="1">
        <v>3</v>
      </c>
      <c r="M77" s="1" t="s">
        <v>13</v>
      </c>
      <c r="N77" s="1">
        <v>3</v>
      </c>
      <c r="O77" s="1" t="s">
        <v>14</v>
      </c>
      <c r="P77" s="40">
        <v>0.05</v>
      </c>
      <c r="Q77" s="40">
        <v>0.1</v>
      </c>
      <c r="R77" s="1"/>
      <c r="S77" s="1">
        <v>1</v>
      </c>
      <c r="T77" s="1"/>
      <c r="V77" s="1">
        <v>6.8999999999999997E-4</v>
      </c>
    </row>
    <row r="78" spans="1:24" x14ac:dyDescent="0.2">
      <c r="A78" s="1">
        <v>1</v>
      </c>
      <c r="B78" s="1">
        <v>1.2</v>
      </c>
      <c r="C78" s="1">
        <v>1</v>
      </c>
      <c r="D78" s="1" t="s">
        <v>355</v>
      </c>
      <c r="E78" s="4">
        <v>45376</v>
      </c>
      <c r="G78" s="6">
        <f>K78+H78</f>
        <v>0.78878472222222218</v>
      </c>
      <c r="H78" s="3">
        <v>0.75509259259259254</v>
      </c>
      <c r="I78" s="3">
        <v>1.1284722222222222E-2</v>
      </c>
      <c r="J78" s="3">
        <f>I78+H78</f>
        <v>0.76637731481481475</v>
      </c>
      <c r="K78" s="6">
        <v>3.3692129629629627E-2</v>
      </c>
      <c r="L78" s="1">
        <v>3</v>
      </c>
      <c r="M78" s="1" t="s">
        <v>13</v>
      </c>
      <c r="N78" s="1">
        <v>3</v>
      </c>
      <c r="O78" s="1" t="s">
        <v>13</v>
      </c>
      <c r="P78" s="40">
        <v>0.05</v>
      </c>
      <c r="Q78" s="43">
        <v>0.05</v>
      </c>
      <c r="R78" s="7"/>
      <c r="S78" s="1">
        <v>1</v>
      </c>
      <c r="T78" s="7"/>
      <c r="V78" s="1">
        <v>9.3000000000000005E-4</v>
      </c>
    </row>
    <row r="79" spans="1:24" x14ac:dyDescent="0.2">
      <c r="A79" s="1">
        <v>1</v>
      </c>
      <c r="B79" s="1">
        <v>1.2</v>
      </c>
      <c r="C79" s="1">
        <v>1</v>
      </c>
      <c r="D79" s="1" t="s">
        <v>249</v>
      </c>
      <c r="E79" s="4">
        <v>45376</v>
      </c>
      <c r="G79" s="6">
        <f>K79+H79</f>
        <v>0.2697222222222222</v>
      </c>
      <c r="H79" s="3">
        <v>0.23847222222222222</v>
      </c>
      <c r="I79" s="3">
        <v>1.724537037037037E-3</v>
      </c>
      <c r="J79" s="3">
        <f>I79+H79</f>
        <v>0.24019675925925926</v>
      </c>
      <c r="K79" s="6">
        <v>3.125E-2</v>
      </c>
      <c r="L79" s="1">
        <v>3</v>
      </c>
      <c r="M79" s="1" t="s">
        <v>14</v>
      </c>
      <c r="N79" s="1">
        <v>3</v>
      </c>
      <c r="O79" s="1" t="s">
        <v>13</v>
      </c>
      <c r="P79" s="40">
        <v>0.05</v>
      </c>
      <c r="Q79" s="40">
        <v>0.15</v>
      </c>
      <c r="R79" s="1"/>
      <c r="S79" s="1">
        <v>0</v>
      </c>
      <c r="T79" s="1"/>
      <c r="V79" s="1">
        <v>3.56</v>
      </c>
    </row>
    <row r="80" spans="1:24" x14ac:dyDescent="0.2">
      <c r="A80" s="1">
        <v>1</v>
      </c>
      <c r="B80" s="1">
        <v>1.2</v>
      </c>
      <c r="C80" s="1" t="s">
        <v>27</v>
      </c>
      <c r="D80" s="1" t="s">
        <v>27</v>
      </c>
      <c r="E80" s="4">
        <v>45377</v>
      </c>
      <c r="G80" s="6" t="s">
        <v>27</v>
      </c>
      <c r="H80" s="1" t="s">
        <v>27</v>
      </c>
      <c r="I80" s="1" t="s">
        <v>27</v>
      </c>
      <c r="J80" s="1" t="s">
        <v>27</v>
      </c>
      <c r="K80" s="6" t="s">
        <v>27</v>
      </c>
      <c r="L80" s="1">
        <v>3</v>
      </c>
      <c r="M80" s="1" t="s">
        <v>13</v>
      </c>
      <c r="N80" s="1">
        <v>3</v>
      </c>
      <c r="O80" s="1" t="s">
        <v>13</v>
      </c>
      <c r="P80" s="40">
        <v>0.05</v>
      </c>
      <c r="Q80" s="40">
        <v>0.05</v>
      </c>
      <c r="R80" s="1"/>
      <c r="S80" s="1" t="s">
        <v>27</v>
      </c>
      <c r="T80" s="1"/>
      <c r="U80" s="1" t="s">
        <v>250</v>
      </c>
      <c r="V80" s="1" t="s">
        <v>27</v>
      </c>
    </row>
    <row r="81" spans="1:25" x14ac:dyDescent="0.2">
      <c r="A81" s="1">
        <v>1</v>
      </c>
      <c r="B81" s="1">
        <v>1.2</v>
      </c>
      <c r="C81" s="1">
        <v>1</v>
      </c>
      <c r="D81" s="1" t="s">
        <v>253</v>
      </c>
      <c r="E81" s="4">
        <v>45377</v>
      </c>
      <c r="G81" s="6">
        <f t="shared" ref="G81:G93" si="8">K81+H81</f>
        <v>0.25787037037037036</v>
      </c>
      <c r="H81" s="3">
        <v>0.23776620370370372</v>
      </c>
      <c r="I81" s="1" t="s">
        <v>27</v>
      </c>
      <c r="J81" s="1" t="s">
        <v>27</v>
      </c>
      <c r="K81" s="6">
        <v>2.0104166666666666E-2</v>
      </c>
      <c r="L81" s="1">
        <v>3</v>
      </c>
      <c r="M81" s="1" t="s">
        <v>14</v>
      </c>
      <c r="N81" s="1">
        <v>3</v>
      </c>
      <c r="O81" s="1" t="s">
        <v>13</v>
      </c>
      <c r="P81" s="40">
        <v>0.05</v>
      </c>
      <c r="Q81" s="40">
        <v>0.1</v>
      </c>
      <c r="R81" s="1"/>
      <c r="S81" s="1">
        <v>1</v>
      </c>
      <c r="T81" s="1"/>
      <c r="U81" s="1" t="s">
        <v>254</v>
      </c>
      <c r="V81" s="1">
        <v>0.251</v>
      </c>
    </row>
    <row r="82" spans="1:25" x14ac:dyDescent="0.2">
      <c r="A82" s="1">
        <v>1</v>
      </c>
      <c r="B82" s="1">
        <v>1.2</v>
      </c>
      <c r="C82" s="1">
        <v>2</v>
      </c>
      <c r="D82" s="1" t="s">
        <v>253</v>
      </c>
      <c r="E82" s="4">
        <v>45377</v>
      </c>
      <c r="G82" s="6">
        <f t="shared" si="8"/>
        <v>0.27064814814814814</v>
      </c>
      <c r="H82" s="3">
        <v>0.23776620370370372</v>
      </c>
      <c r="I82" s="3">
        <v>2.0775462962962964E-2</v>
      </c>
      <c r="J82" s="3">
        <f>I82+H82</f>
        <v>0.25854166666666667</v>
      </c>
      <c r="K82" s="6">
        <v>3.2881944444444443E-2</v>
      </c>
      <c r="L82" s="1">
        <v>3</v>
      </c>
      <c r="M82" s="1" t="s">
        <v>13</v>
      </c>
      <c r="N82" s="1">
        <v>3</v>
      </c>
      <c r="O82" s="1" t="s">
        <v>13</v>
      </c>
      <c r="P82" s="40">
        <v>0.1</v>
      </c>
      <c r="Q82" s="40">
        <v>0.1</v>
      </c>
      <c r="R82" s="1"/>
      <c r="S82" s="1">
        <v>0</v>
      </c>
      <c r="T82" s="1"/>
      <c r="U82" s="1" t="s">
        <v>255</v>
      </c>
      <c r="V82" s="15">
        <v>5.0199999999999996</v>
      </c>
    </row>
    <row r="83" spans="1:25" x14ac:dyDescent="0.2">
      <c r="A83" s="1">
        <v>1</v>
      </c>
      <c r="B83" s="1">
        <v>1.2</v>
      </c>
      <c r="C83" s="1">
        <v>1</v>
      </c>
      <c r="D83" s="1" t="s">
        <v>256</v>
      </c>
      <c r="E83" s="4">
        <v>45378</v>
      </c>
      <c r="G83" s="6">
        <f t="shared" si="8"/>
        <v>0.25310185185185186</v>
      </c>
      <c r="H83" s="3">
        <v>0.23241898148148149</v>
      </c>
      <c r="I83" s="3">
        <v>1.0231481481481482E-2</v>
      </c>
      <c r="J83" s="3">
        <f>I83+H83</f>
        <v>0.24265046296296297</v>
      </c>
      <c r="K83" s="6">
        <v>2.0682870370370369E-2</v>
      </c>
      <c r="L83" s="1">
        <v>3</v>
      </c>
      <c r="M83" s="1" t="s">
        <v>13</v>
      </c>
      <c r="N83" s="1">
        <v>3</v>
      </c>
      <c r="O83" s="1" t="s">
        <v>14</v>
      </c>
      <c r="P83" s="40">
        <v>0.05</v>
      </c>
      <c r="Q83" s="40">
        <v>0.15</v>
      </c>
      <c r="R83" s="1"/>
      <c r="S83" s="1">
        <v>1</v>
      </c>
      <c r="T83" s="1"/>
      <c r="V83" s="7">
        <v>3.6400000000000002E-2</v>
      </c>
    </row>
    <row r="84" spans="1:25" x14ac:dyDescent="0.2">
      <c r="A84" s="1">
        <v>1</v>
      </c>
      <c r="B84" s="1">
        <v>1.2</v>
      </c>
      <c r="C84" s="1">
        <v>1</v>
      </c>
      <c r="D84" s="1" t="s">
        <v>298</v>
      </c>
      <c r="E84" s="4">
        <v>45378</v>
      </c>
      <c r="G84" s="6">
        <f t="shared" si="8"/>
        <v>0.78462962962962968</v>
      </c>
      <c r="H84" s="3">
        <v>0.76035879629629632</v>
      </c>
      <c r="I84" s="3">
        <v>2.4305555555555556E-3</v>
      </c>
      <c r="J84" s="3">
        <f>I84+H84</f>
        <v>0.76278935185185193</v>
      </c>
      <c r="K84" s="6">
        <v>2.4270833333333332E-2</v>
      </c>
      <c r="L84" s="1">
        <v>3</v>
      </c>
      <c r="M84" s="1" t="s">
        <v>14</v>
      </c>
      <c r="N84" s="1">
        <v>3</v>
      </c>
      <c r="O84" s="1" t="s">
        <v>13</v>
      </c>
      <c r="P84" s="40">
        <v>0.05</v>
      </c>
      <c r="Q84" s="40">
        <v>0.05</v>
      </c>
      <c r="R84" s="1"/>
      <c r="S84" s="1">
        <v>0</v>
      </c>
      <c r="T84" s="1"/>
      <c r="V84" s="15">
        <v>6.28E-3</v>
      </c>
    </row>
    <row r="85" spans="1:25" x14ac:dyDescent="0.2">
      <c r="A85" s="1">
        <v>1</v>
      </c>
      <c r="B85" s="1">
        <v>1.2</v>
      </c>
      <c r="C85" s="1">
        <v>1</v>
      </c>
      <c r="D85" s="1" t="s">
        <v>282</v>
      </c>
      <c r="E85" s="4">
        <v>45379</v>
      </c>
      <c r="G85" s="6">
        <f t="shared" si="8"/>
        <v>0.24640046296296297</v>
      </c>
      <c r="H85" s="3">
        <v>0.23401620370370371</v>
      </c>
      <c r="I85" s="1" t="s">
        <v>27</v>
      </c>
      <c r="J85" s="1" t="s">
        <v>27</v>
      </c>
      <c r="K85" s="6">
        <v>1.238425925925926E-2</v>
      </c>
      <c r="L85" s="1">
        <v>3</v>
      </c>
      <c r="M85" s="1" t="s">
        <v>13</v>
      </c>
      <c r="N85" s="1">
        <v>3</v>
      </c>
      <c r="O85" s="1" t="s">
        <v>13</v>
      </c>
      <c r="P85" s="40">
        <v>0.05</v>
      </c>
      <c r="Q85" s="40">
        <v>0.05</v>
      </c>
      <c r="R85" s="1"/>
      <c r="S85" s="1">
        <v>0</v>
      </c>
      <c r="T85" s="1"/>
      <c r="U85" s="1" t="s">
        <v>283</v>
      </c>
      <c r="V85" s="7" t="s">
        <v>410</v>
      </c>
      <c r="W85" s="7" t="s">
        <v>409</v>
      </c>
      <c r="X85" s="7">
        <v>1.2869999999999999E-2</v>
      </c>
      <c r="Y85" s="7" t="s">
        <v>450</v>
      </c>
    </row>
    <row r="86" spans="1:25" x14ac:dyDescent="0.2">
      <c r="A86" s="1">
        <v>1</v>
      </c>
      <c r="B86" s="1">
        <v>1.2</v>
      </c>
      <c r="C86" s="1">
        <v>2</v>
      </c>
      <c r="D86" s="1" t="s">
        <v>282</v>
      </c>
      <c r="E86" s="4">
        <v>45379</v>
      </c>
      <c r="G86" s="6">
        <f t="shared" si="8"/>
        <v>0.25540509259259259</v>
      </c>
      <c r="H86" s="3">
        <v>0.23401620370370371</v>
      </c>
      <c r="I86" s="3">
        <v>1.3761574074074074E-2</v>
      </c>
      <c r="J86" s="3">
        <f t="shared" ref="J86:J93" si="9">I86+H86</f>
        <v>0.24777777777777779</v>
      </c>
      <c r="K86" s="6">
        <v>2.1388888888888888E-2</v>
      </c>
      <c r="L86" s="1">
        <v>3</v>
      </c>
      <c r="M86" s="1" t="s">
        <v>13</v>
      </c>
      <c r="N86" s="1">
        <v>3</v>
      </c>
      <c r="O86" s="1" t="s">
        <v>14</v>
      </c>
      <c r="P86" s="40">
        <v>0.05</v>
      </c>
      <c r="Q86" s="39">
        <v>0.1</v>
      </c>
      <c r="S86" s="1">
        <v>1</v>
      </c>
      <c r="U86" s="1" t="s">
        <v>290</v>
      </c>
      <c r="V86" s="7" t="s">
        <v>411</v>
      </c>
      <c r="W86" s="7" t="s">
        <v>409</v>
      </c>
      <c r="X86" s="7">
        <v>0.14929999999999999</v>
      </c>
      <c r="Y86" s="7" t="s">
        <v>449</v>
      </c>
    </row>
    <row r="87" spans="1:25" x14ac:dyDescent="0.2">
      <c r="A87" s="1">
        <v>1</v>
      </c>
      <c r="B87" s="1">
        <v>1.2</v>
      </c>
      <c r="C87" s="1">
        <v>3</v>
      </c>
      <c r="D87" s="1" t="s">
        <v>282</v>
      </c>
      <c r="E87" s="4">
        <v>45379</v>
      </c>
      <c r="G87" s="6">
        <f t="shared" si="8"/>
        <v>0.26923611111111112</v>
      </c>
      <c r="H87" s="3">
        <v>0.23401620370370371</v>
      </c>
      <c r="I87" s="3">
        <v>2.361111111111111E-2</v>
      </c>
      <c r="J87" s="3">
        <f t="shared" si="9"/>
        <v>0.25762731481481482</v>
      </c>
      <c r="K87" s="6">
        <v>3.5219907407407408E-2</v>
      </c>
      <c r="L87" s="1">
        <v>3</v>
      </c>
      <c r="M87" s="1" t="s">
        <v>14</v>
      </c>
      <c r="N87" s="1">
        <v>3</v>
      </c>
      <c r="O87" s="1" t="s">
        <v>14</v>
      </c>
      <c r="P87" s="40">
        <v>0.05</v>
      </c>
      <c r="Q87" s="39">
        <v>0.1</v>
      </c>
      <c r="S87" s="1">
        <v>1</v>
      </c>
      <c r="V87" s="7">
        <v>3.83</v>
      </c>
      <c r="W87" s="1" t="s">
        <v>412</v>
      </c>
    </row>
    <row r="88" spans="1:25" x14ac:dyDescent="0.2">
      <c r="A88" s="1">
        <v>1</v>
      </c>
      <c r="B88" s="1">
        <v>1.2</v>
      </c>
      <c r="C88" s="1">
        <v>1</v>
      </c>
      <c r="D88" s="1" t="s">
        <v>293</v>
      </c>
      <c r="E88" s="4">
        <v>45379</v>
      </c>
      <c r="G88" s="6">
        <f t="shared" si="8"/>
        <v>0.78693287037037041</v>
      </c>
      <c r="H88" s="3">
        <v>0.75502314814814819</v>
      </c>
      <c r="I88" s="3">
        <v>6.5393518518518517E-3</v>
      </c>
      <c r="J88" s="3">
        <f t="shared" si="9"/>
        <v>0.76156250000000003</v>
      </c>
      <c r="K88" s="6">
        <v>3.1909722222222221E-2</v>
      </c>
      <c r="L88" s="1">
        <v>3</v>
      </c>
      <c r="M88" s="1" t="s">
        <v>14</v>
      </c>
      <c r="N88" s="1">
        <v>3</v>
      </c>
      <c r="O88" s="1" t="s">
        <v>13</v>
      </c>
      <c r="P88" s="40">
        <v>0.05</v>
      </c>
      <c r="Q88" s="39">
        <v>0.15</v>
      </c>
      <c r="S88" s="1">
        <v>0</v>
      </c>
      <c r="V88" s="7" t="s">
        <v>405</v>
      </c>
      <c r="W88" s="7" t="s">
        <v>404</v>
      </c>
      <c r="X88" s="7">
        <v>6.5199999999999998E-3</v>
      </c>
      <c r="Y88" s="7" t="s">
        <v>447</v>
      </c>
    </row>
    <row r="89" spans="1:25" x14ac:dyDescent="0.2">
      <c r="A89" s="1">
        <v>1</v>
      </c>
      <c r="B89" s="1">
        <v>1.2</v>
      </c>
      <c r="C89" s="1">
        <v>1</v>
      </c>
      <c r="D89" s="1" t="s">
        <v>297</v>
      </c>
      <c r="E89" s="4">
        <v>45380</v>
      </c>
      <c r="G89" s="6">
        <f t="shared" si="8"/>
        <v>0.25002314814814813</v>
      </c>
      <c r="H89" s="3">
        <v>0.22991898148148149</v>
      </c>
      <c r="I89" s="3">
        <v>9.5949074074074079E-3</v>
      </c>
      <c r="J89" s="3">
        <f t="shared" si="9"/>
        <v>0.23951388888888889</v>
      </c>
      <c r="K89" s="6">
        <v>2.0104166666666666E-2</v>
      </c>
      <c r="L89" s="1">
        <v>3</v>
      </c>
      <c r="M89" s="1" t="s">
        <v>13</v>
      </c>
      <c r="N89" s="1">
        <v>3</v>
      </c>
      <c r="O89" s="1" t="s">
        <v>13</v>
      </c>
      <c r="P89" s="40">
        <v>0.05</v>
      </c>
      <c r="Q89" s="40">
        <v>0.05</v>
      </c>
      <c r="R89" s="1"/>
      <c r="S89" s="1">
        <v>0</v>
      </c>
      <c r="T89" s="1"/>
      <c r="V89" s="1">
        <v>1.0630000000000001E-2</v>
      </c>
    </row>
    <row r="90" spans="1:25" x14ac:dyDescent="0.2">
      <c r="A90" s="1">
        <v>1</v>
      </c>
      <c r="B90" s="1">
        <v>1.2</v>
      </c>
      <c r="C90" s="1">
        <v>2</v>
      </c>
      <c r="D90" s="1" t="s">
        <v>297</v>
      </c>
      <c r="E90" s="4">
        <v>45380</v>
      </c>
      <c r="G90" s="6">
        <f t="shared" si="8"/>
        <v>0.26598379629629632</v>
      </c>
      <c r="H90" s="3">
        <v>0.22991898148148149</v>
      </c>
      <c r="I90" s="3">
        <v>2.1238425925925924E-2</v>
      </c>
      <c r="J90" s="3">
        <f t="shared" si="9"/>
        <v>0.25115740740740744</v>
      </c>
      <c r="K90" s="6">
        <v>3.6064814814814813E-2</v>
      </c>
      <c r="L90" s="1">
        <v>3</v>
      </c>
      <c r="M90" s="1" t="s">
        <v>13</v>
      </c>
      <c r="N90" s="1">
        <v>3</v>
      </c>
      <c r="O90" s="1" t="s">
        <v>14</v>
      </c>
      <c r="P90" s="40">
        <v>0.05</v>
      </c>
      <c r="Q90" s="40">
        <v>0.05</v>
      </c>
      <c r="R90" s="1"/>
      <c r="S90" s="1">
        <v>1</v>
      </c>
      <c r="T90" s="1"/>
      <c r="U90" s="1" t="s">
        <v>302</v>
      </c>
      <c r="V90" s="1">
        <v>1.5820000000000001</v>
      </c>
    </row>
    <row r="91" spans="1:25" x14ac:dyDescent="0.2">
      <c r="A91" s="1">
        <v>1</v>
      </c>
      <c r="B91" s="1">
        <v>1.2</v>
      </c>
      <c r="C91" s="1">
        <v>1</v>
      </c>
      <c r="D91" s="1" t="s">
        <v>305</v>
      </c>
      <c r="E91" s="4">
        <v>45380</v>
      </c>
      <c r="G91" s="6">
        <f t="shared" si="8"/>
        <v>0.78753472222222221</v>
      </c>
      <c r="H91" s="3">
        <v>0.7643981481481481</v>
      </c>
      <c r="I91" s="3">
        <v>2.7199074074074074E-3</v>
      </c>
      <c r="J91" s="3">
        <f t="shared" si="9"/>
        <v>0.76711805555555557</v>
      </c>
      <c r="K91" s="6">
        <v>2.3136574074074073E-2</v>
      </c>
      <c r="L91" s="1">
        <v>3</v>
      </c>
      <c r="M91" s="1" t="s">
        <v>13</v>
      </c>
      <c r="N91" s="1">
        <v>3</v>
      </c>
      <c r="O91" s="1" t="s">
        <v>14</v>
      </c>
      <c r="P91" s="40">
        <v>0.05</v>
      </c>
      <c r="Q91" s="39">
        <v>0.1</v>
      </c>
      <c r="S91" s="1">
        <v>0</v>
      </c>
      <c r="V91" s="1">
        <v>5.5900000000000004E-3</v>
      </c>
    </row>
    <row r="92" spans="1:25" x14ac:dyDescent="0.2">
      <c r="A92" s="1">
        <v>1</v>
      </c>
      <c r="B92" s="1">
        <v>1.2</v>
      </c>
      <c r="C92" s="1">
        <v>1</v>
      </c>
      <c r="D92" s="1" t="s">
        <v>307</v>
      </c>
      <c r="E92" s="4">
        <v>45381</v>
      </c>
      <c r="G92" s="6">
        <f t="shared" si="8"/>
        <v>0.26030092592592591</v>
      </c>
      <c r="H92" s="3">
        <v>0.23271990740740742</v>
      </c>
      <c r="I92" s="3">
        <v>9.9421296296296289E-3</v>
      </c>
      <c r="J92" s="3">
        <f t="shared" si="9"/>
        <v>0.24266203703703704</v>
      </c>
      <c r="K92" s="6">
        <v>2.7581018518518519E-2</v>
      </c>
      <c r="L92" s="1">
        <v>3</v>
      </c>
      <c r="M92" s="1" t="s">
        <v>14</v>
      </c>
      <c r="N92" s="1">
        <v>3</v>
      </c>
      <c r="O92" s="1" t="s">
        <v>13</v>
      </c>
      <c r="P92" s="40">
        <v>0.05</v>
      </c>
      <c r="Q92" s="39">
        <v>0.15</v>
      </c>
      <c r="S92" s="1">
        <v>0</v>
      </c>
      <c r="V92" s="7">
        <v>2.4500000000000002</v>
      </c>
      <c r="W92" s="7" t="s">
        <v>443</v>
      </c>
      <c r="X92" s="20">
        <f>( V92 * (1.004*10^-6)) / (1.081*10^-5)</f>
        <v>0.22754856614246069</v>
      </c>
      <c r="Y92" s="20" t="s">
        <v>446</v>
      </c>
    </row>
    <row r="93" spans="1:25" ht="17" customHeight="1" x14ac:dyDescent="0.2">
      <c r="A93" s="1">
        <v>1</v>
      </c>
      <c r="B93" s="1">
        <v>1.2</v>
      </c>
      <c r="C93" s="1">
        <v>1</v>
      </c>
      <c r="D93" s="1" t="s">
        <v>308</v>
      </c>
      <c r="E93" s="4">
        <v>45381</v>
      </c>
      <c r="G93" s="6">
        <f t="shared" si="8"/>
        <v>0.78467592592592594</v>
      </c>
      <c r="H93" s="3">
        <v>0.75762731481481482</v>
      </c>
      <c r="I93" s="3">
        <v>1.4305555555555556E-2</v>
      </c>
      <c r="J93" s="3">
        <f t="shared" si="9"/>
        <v>0.77193287037037039</v>
      </c>
      <c r="K93" s="6">
        <v>2.704861111111111E-2</v>
      </c>
      <c r="L93" s="1">
        <v>3</v>
      </c>
      <c r="M93" s="1" t="s">
        <v>13</v>
      </c>
      <c r="N93" s="1">
        <v>3</v>
      </c>
      <c r="O93" s="1" t="s">
        <v>14</v>
      </c>
      <c r="P93" s="40">
        <v>0.05</v>
      </c>
      <c r="Q93" s="40">
        <v>0.05</v>
      </c>
      <c r="R93" s="1"/>
      <c r="S93" s="1">
        <v>1</v>
      </c>
      <c r="T93" s="1"/>
      <c r="V93" s="7">
        <v>5.0099999999999999E-2</v>
      </c>
      <c r="W93" s="7" t="s">
        <v>442</v>
      </c>
      <c r="X93" s="20">
        <f>( V93 * (1.004*10^-6)) / (1.081*10^-5)</f>
        <v>4.6531359851988904E-3</v>
      </c>
      <c r="Y93" s="20" t="s">
        <v>446</v>
      </c>
    </row>
    <row r="94" spans="1:25" x14ac:dyDescent="0.2">
      <c r="A94" s="1">
        <v>1</v>
      </c>
      <c r="B94" s="1">
        <v>1.2</v>
      </c>
      <c r="C94" s="1" t="s">
        <v>27</v>
      </c>
      <c r="D94" s="1" t="s">
        <v>27</v>
      </c>
      <c r="E94" s="4">
        <v>45382</v>
      </c>
      <c r="G94" s="6" t="s">
        <v>27</v>
      </c>
      <c r="H94" s="1" t="s">
        <v>27</v>
      </c>
      <c r="I94" s="1" t="s">
        <v>27</v>
      </c>
      <c r="J94" s="1" t="s">
        <v>27</v>
      </c>
      <c r="K94" s="6" t="s">
        <v>27</v>
      </c>
      <c r="L94" s="1">
        <v>3</v>
      </c>
      <c r="M94" s="1" t="s">
        <v>14</v>
      </c>
      <c r="N94" s="1">
        <v>3</v>
      </c>
      <c r="O94" s="1" t="s">
        <v>14</v>
      </c>
      <c r="P94" s="40">
        <v>0.05</v>
      </c>
      <c r="Q94" s="40">
        <v>0.05</v>
      </c>
      <c r="R94" s="1"/>
      <c r="S94" s="1" t="s">
        <v>27</v>
      </c>
      <c r="T94" s="1"/>
      <c r="U94" s="1" t="s">
        <v>304</v>
      </c>
      <c r="V94" s="1" t="s">
        <v>27</v>
      </c>
    </row>
    <row r="95" spans="1:25" x14ac:dyDescent="0.2">
      <c r="A95" s="1">
        <v>1</v>
      </c>
      <c r="B95" s="1">
        <v>1.2</v>
      </c>
      <c r="C95" s="1">
        <v>1</v>
      </c>
      <c r="D95" s="1" t="s">
        <v>327</v>
      </c>
      <c r="E95" s="4">
        <v>45382</v>
      </c>
      <c r="G95" s="6">
        <f>K95+H95</f>
        <v>0.79083333333333328</v>
      </c>
      <c r="H95" s="3">
        <v>0.7560648148148148</v>
      </c>
      <c r="I95" s="3">
        <v>1.8761574074074073E-2</v>
      </c>
      <c r="J95" s="3">
        <f>I95+H95</f>
        <v>0.77482638888888888</v>
      </c>
      <c r="K95" s="6">
        <v>3.4768518518518518E-2</v>
      </c>
      <c r="L95" s="1">
        <v>3</v>
      </c>
      <c r="M95" s="1" t="s">
        <v>14</v>
      </c>
      <c r="N95" s="1">
        <v>3</v>
      </c>
      <c r="O95" s="1" t="s">
        <v>13</v>
      </c>
      <c r="P95" s="39">
        <v>0.05</v>
      </c>
      <c r="Q95" s="39">
        <v>0.1</v>
      </c>
      <c r="S95" s="1">
        <v>0</v>
      </c>
      <c r="V95" s="7" t="s">
        <v>406</v>
      </c>
      <c r="W95" s="11" t="s">
        <v>455</v>
      </c>
      <c r="X95" s="21">
        <f>(0.00477* (1.004*10^-6)) / (1.081*10^-5)</f>
        <v>4.4302312673450507E-4</v>
      </c>
      <c r="Y95" s="7" t="s">
        <v>448</v>
      </c>
    </row>
    <row r="96" spans="1:25" x14ac:dyDescent="0.2">
      <c r="A96" s="1">
        <v>1</v>
      </c>
      <c r="B96" s="1">
        <v>1.2</v>
      </c>
      <c r="C96" s="1">
        <v>1</v>
      </c>
      <c r="D96" s="1" t="s">
        <v>326</v>
      </c>
      <c r="E96" s="4">
        <v>45383</v>
      </c>
      <c r="G96" s="6" t="s">
        <v>27</v>
      </c>
      <c r="H96" s="3">
        <v>0.22825231481481481</v>
      </c>
      <c r="I96" s="3">
        <v>9.6874999999999999E-3</v>
      </c>
      <c r="J96" s="3">
        <f>I96+H96</f>
        <v>0.2379398148148148</v>
      </c>
      <c r="K96" s="6" t="s">
        <v>27</v>
      </c>
      <c r="L96" s="1">
        <v>3</v>
      </c>
      <c r="M96" s="1" t="s">
        <v>13</v>
      </c>
      <c r="N96" s="1">
        <v>3</v>
      </c>
      <c r="O96" s="1" t="s">
        <v>13</v>
      </c>
      <c r="P96" s="40">
        <v>0.05</v>
      </c>
      <c r="Q96" s="40">
        <v>0.05</v>
      </c>
      <c r="R96" s="1"/>
      <c r="S96" s="1" t="s">
        <v>27</v>
      </c>
      <c r="T96" s="1"/>
      <c r="U96" s="1" t="s">
        <v>328</v>
      </c>
      <c r="V96" s="1" t="s">
        <v>27</v>
      </c>
    </row>
    <row r="97" spans="1:25" x14ac:dyDescent="0.2">
      <c r="A97" s="1">
        <v>1</v>
      </c>
      <c r="B97" s="1">
        <v>1.2</v>
      </c>
      <c r="C97" s="1">
        <v>2</v>
      </c>
      <c r="D97" s="1" t="s">
        <v>326</v>
      </c>
      <c r="E97" s="4">
        <v>45383</v>
      </c>
      <c r="G97" s="6">
        <f>K97+H97</f>
        <v>0.26740740740740743</v>
      </c>
      <c r="H97" s="3">
        <v>0.22825231481481481</v>
      </c>
      <c r="I97" s="3">
        <v>1.773148148148148E-2</v>
      </c>
      <c r="J97" s="3">
        <f>I97+H97</f>
        <v>0.2459837962962963</v>
      </c>
      <c r="K97" s="6">
        <v>3.9155092592592596E-2</v>
      </c>
      <c r="L97" s="1">
        <v>3</v>
      </c>
      <c r="M97" s="1" t="s">
        <v>13</v>
      </c>
      <c r="N97" s="1">
        <v>3</v>
      </c>
      <c r="O97" s="1" t="s">
        <v>14</v>
      </c>
      <c r="P97" s="39">
        <v>0.05</v>
      </c>
      <c r="Q97" s="39">
        <v>0.15</v>
      </c>
      <c r="S97" s="1">
        <v>1</v>
      </c>
      <c r="V97" s="7">
        <v>14</v>
      </c>
      <c r="W97" s="7" t="s">
        <v>444</v>
      </c>
      <c r="X97" s="20">
        <f>( V97 * (1.004*10^-6)) / (1.081*10^-5)</f>
        <v>1.3002775208140611</v>
      </c>
      <c r="Y97" s="20" t="s">
        <v>446</v>
      </c>
    </row>
    <row r="98" spans="1:25" x14ac:dyDescent="0.2">
      <c r="A98" s="1">
        <v>1</v>
      </c>
      <c r="B98" s="1">
        <v>1.2</v>
      </c>
      <c r="C98" s="1" t="s">
        <v>27</v>
      </c>
      <c r="D98" s="1" t="s">
        <v>27</v>
      </c>
      <c r="E98" s="4">
        <v>45383</v>
      </c>
      <c r="G98" s="6" t="s">
        <v>27</v>
      </c>
      <c r="H98" s="1" t="s">
        <v>27</v>
      </c>
      <c r="I98" s="1" t="s">
        <v>27</v>
      </c>
      <c r="J98" s="1" t="s">
        <v>27</v>
      </c>
      <c r="K98" s="6" t="s">
        <v>27</v>
      </c>
      <c r="S98" s="1" t="s">
        <v>27</v>
      </c>
      <c r="U98" s="1" t="s">
        <v>341</v>
      </c>
      <c r="V98" s="1" t="s">
        <v>27</v>
      </c>
    </row>
    <row r="99" spans="1:25" x14ac:dyDescent="0.2">
      <c r="A99" s="1">
        <v>1</v>
      </c>
      <c r="B99" s="1">
        <v>1.2</v>
      </c>
      <c r="C99" s="1" t="s">
        <v>27</v>
      </c>
      <c r="D99" s="1" t="s">
        <v>27</v>
      </c>
      <c r="E99" s="4">
        <v>45384</v>
      </c>
      <c r="G99" s="6" t="s">
        <v>27</v>
      </c>
      <c r="H99" s="1" t="s">
        <v>27</v>
      </c>
      <c r="I99" s="1" t="s">
        <v>27</v>
      </c>
      <c r="J99" s="1" t="s">
        <v>27</v>
      </c>
      <c r="K99" s="6" t="s">
        <v>27</v>
      </c>
      <c r="S99" s="1" t="s">
        <v>27</v>
      </c>
      <c r="U99" s="1" t="s">
        <v>340</v>
      </c>
      <c r="V99" s="1" t="s">
        <v>27</v>
      </c>
    </row>
    <row r="100" spans="1:25" x14ac:dyDescent="0.2">
      <c r="A100" s="1">
        <v>1</v>
      </c>
      <c r="B100" s="1">
        <v>1.2</v>
      </c>
      <c r="C100" s="1" t="s">
        <v>27</v>
      </c>
      <c r="D100" s="1" t="s">
        <v>27</v>
      </c>
      <c r="E100" s="4">
        <v>45384</v>
      </c>
      <c r="G100" s="1" t="s">
        <v>27</v>
      </c>
      <c r="H100" s="1" t="s">
        <v>27</v>
      </c>
      <c r="I100" s="1" t="s">
        <v>27</v>
      </c>
      <c r="J100" s="1" t="s">
        <v>27</v>
      </c>
      <c r="S100" s="1" t="s">
        <v>27</v>
      </c>
      <c r="V100" s="1" t="s">
        <v>27</v>
      </c>
    </row>
    <row r="101" spans="1:25" x14ac:dyDescent="0.2">
      <c r="A101" s="1">
        <v>1</v>
      </c>
      <c r="B101" s="1">
        <v>1.2</v>
      </c>
      <c r="C101" s="1" t="s">
        <v>27</v>
      </c>
      <c r="D101" s="1" t="s">
        <v>27</v>
      </c>
      <c r="E101" s="4">
        <v>45385</v>
      </c>
      <c r="G101" s="1" t="s">
        <v>27</v>
      </c>
      <c r="H101" s="1" t="s">
        <v>27</v>
      </c>
      <c r="I101" s="1" t="s">
        <v>27</v>
      </c>
      <c r="J101" s="1" t="s">
        <v>27</v>
      </c>
      <c r="S101" s="1" t="s">
        <v>27</v>
      </c>
      <c r="V101" s="1" t="s">
        <v>27</v>
      </c>
    </row>
    <row r="102" spans="1:25" x14ac:dyDescent="0.2">
      <c r="A102" s="1">
        <v>1</v>
      </c>
      <c r="B102" s="1">
        <v>1.2</v>
      </c>
      <c r="C102" s="1">
        <v>1</v>
      </c>
      <c r="D102" s="1" t="s">
        <v>365</v>
      </c>
      <c r="E102" s="4">
        <v>45385</v>
      </c>
      <c r="G102" s="6">
        <f>K102+H102</f>
        <v>0.79365740740740742</v>
      </c>
      <c r="H102" s="3">
        <v>0.76187499999999997</v>
      </c>
      <c r="I102" s="3">
        <v>1.6689814814814814E-2</v>
      </c>
      <c r="J102" s="3">
        <f>I102+H102</f>
        <v>0.77856481481481477</v>
      </c>
      <c r="K102" s="6">
        <v>3.1782407407407405E-2</v>
      </c>
      <c r="L102" s="1">
        <v>3</v>
      </c>
      <c r="M102" s="1" t="s">
        <v>14</v>
      </c>
      <c r="N102" s="1">
        <v>3</v>
      </c>
      <c r="O102" s="1" t="s">
        <v>14</v>
      </c>
      <c r="P102" s="40">
        <v>0.05</v>
      </c>
      <c r="Q102" s="40">
        <v>0.05</v>
      </c>
      <c r="R102" s="1"/>
      <c r="S102" s="1">
        <v>1</v>
      </c>
      <c r="T102" s="1"/>
      <c r="V102" s="1" t="s">
        <v>27</v>
      </c>
      <c r="W102" s="1" t="s">
        <v>395</v>
      </c>
    </row>
    <row r="103" spans="1:25" x14ac:dyDescent="0.2">
      <c r="A103" s="1">
        <v>1</v>
      </c>
      <c r="B103" s="1">
        <v>1.2</v>
      </c>
      <c r="C103" s="1" t="s">
        <v>27</v>
      </c>
      <c r="D103" s="1" t="s">
        <v>27</v>
      </c>
      <c r="E103" s="4">
        <v>45386</v>
      </c>
      <c r="G103" s="6" t="s">
        <v>27</v>
      </c>
      <c r="H103" s="3" t="s">
        <v>27</v>
      </c>
      <c r="I103" s="3" t="s">
        <v>27</v>
      </c>
      <c r="J103" s="3" t="s">
        <v>27</v>
      </c>
      <c r="K103" s="6" t="s">
        <v>27</v>
      </c>
      <c r="L103" s="1">
        <v>3</v>
      </c>
      <c r="N103" s="1">
        <v>3</v>
      </c>
      <c r="P103" s="40"/>
      <c r="Q103" s="40"/>
      <c r="R103" s="1"/>
      <c r="S103" s="1" t="s">
        <v>27</v>
      </c>
      <c r="T103" s="1"/>
      <c r="U103" s="1" t="s">
        <v>387</v>
      </c>
      <c r="V103" s="1" t="s">
        <v>27</v>
      </c>
    </row>
    <row r="104" spans="1:25" x14ac:dyDescent="0.2">
      <c r="A104" s="1">
        <v>1</v>
      </c>
      <c r="B104" s="1">
        <v>1.2</v>
      </c>
      <c r="C104" s="1">
        <v>1</v>
      </c>
      <c r="D104" s="1" t="s">
        <v>392</v>
      </c>
      <c r="E104" s="4">
        <v>45386</v>
      </c>
      <c r="G104" s="6">
        <f>K104+H104</f>
        <v>0.79339120370370364</v>
      </c>
      <c r="H104" s="3">
        <v>0.75894675925925925</v>
      </c>
      <c r="I104" s="3">
        <v>1.5925925925925927E-2</v>
      </c>
      <c r="J104" s="3">
        <f>I104+H104</f>
        <v>0.77487268518518515</v>
      </c>
      <c r="K104" s="6" t="s">
        <v>393</v>
      </c>
      <c r="L104" s="1">
        <v>3</v>
      </c>
      <c r="M104" s="6" t="s">
        <v>14</v>
      </c>
      <c r="N104" s="1">
        <v>3</v>
      </c>
      <c r="O104" s="1" t="s">
        <v>13</v>
      </c>
      <c r="P104" s="40">
        <v>0.05</v>
      </c>
      <c r="Q104" s="40">
        <v>0.05</v>
      </c>
      <c r="R104" s="1"/>
      <c r="S104" s="2">
        <v>0</v>
      </c>
      <c r="T104" s="1"/>
      <c r="U104" s="1" t="s">
        <v>394</v>
      </c>
      <c r="V104" s="7">
        <v>2.5100000000000001E-3</v>
      </c>
      <c r="W104" s="7" t="s">
        <v>384</v>
      </c>
      <c r="X104" s="20">
        <f>( V104 * (1.004*10^-6)) / (1.081*10^-5)</f>
        <v>2.331211840888067E-4</v>
      </c>
      <c r="Y104" s="20" t="s">
        <v>446</v>
      </c>
    </row>
    <row r="105" spans="1:25" x14ac:dyDescent="0.2">
      <c r="A105" s="1">
        <v>1</v>
      </c>
      <c r="B105" s="1">
        <v>1.2</v>
      </c>
      <c r="C105" s="1" t="s">
        <v>27</v>
      </c>
      <c r="D105" s="1" t="s">
        <v>27</v>
      </c>
      <c r="E105" s="4">
        <v>45387</v>
      </c>
      <c r="G105" s="6" t="s">
        <v>27</v>
      </c>
      <c r="H105" s="1" t="s">
        <v>27</v>
      </c>
      <c r="I105" s="1" t="s">
        <v>27</v>
      </c>
      <c r="J105" s="1" t="s">
        <v>27</v>
      </c>
      <c r="K105" s="6" t="s">
        <v>27</v>
      </c>
      <c r="L105" s="1">
        <v>3</v>
      </c>
      <c r="N105" s="1">
        <v>3</v>
      </c>
      <c r="S105" s="1" t="s">
        <v>27</v>
      </c>
      <c r="V105" s="1" t="s">
        <v>27</v>
      </c>
    </row>
    <row r="106" spans="1:25" x14ac:dyDescent="0.2">
      <c r="A106" s="1">
        <v>1</v>
      </c>
      <c r="B106" s="1">
        <v>1.2</v>
      </c>
      <c r="C106" s="1">
        <v>1</v>
      </c>
      <c r="D106" s="1" t="s">
        <v>485</v>
      </c>
      <c r="E106" s="4">
        <v>45387</v>
      </c>
      <c r="G106" s="6">
        <f>K106+H106</f>
        <v>0.79177083333333342</v>
      </c>
      <c r="H106" s="3">
        <v>0.76597222222222228</v>
      </c>
      <c r="I106" s="3">
        <v>7.6851851851851855E-3</v>
      </c>
      <c r="J106" s="3">
        <f>I106+H106</f>
        <v>0.77365740740740752</v>
      </c>
      <c r="K106" s="6">
        <v>2.5798611111111112E-2</v>
      </c>
      <c r="L106" s="1">
        <v>3</v>
      </c>
      <c r="M106" s="1" t="s">
        <v>13</v>
      </c>
      <c r="N106" s="5" t="s">
        <v>226</v>
      </c>
      <c r="O106" s="1" t="s">
        <v>14</v>
      </c>
      <c r="P106" s="40">
        <v>0.05</v>
      </c>
      <c r="Q106" s="39">
        <v>0.1</v>
      </c>
      <c r="S106" s="1">
        <v>1</v>
      </c>
      <c r="V106" s="1">
        <v>2.4099999999999998E-3</v>
      </c>
      <c r="W106" s="7" t="s">
        <v>384</v>
      </c>
    </row>
    <row r="107" spans="1:25" x14ac:dyDescent="0.2">
      <c r="A107" s="1">
        <v>1</v>
      </c>
      <c r="B107" s="1">
        <v>1.2</v>
      </c>
      <c r="C107" s="1">
        <v>1</v>
      </c>
      <c r="D107" s="1" t="s">
        <v>484</v>
      </c>
      <c r="E107" s="4">
        <v>45388</v>
      </c>
      <c r="G107" s="6">
        <f>K107+H107</f>
        <v>0.78626157407407415</v>
      </c>
      <c r="H107" s="3">
        <v>0.76644675925925931</v>
      </c>
      <c r="I107" s="1" t="s">
        <v>27</v>
      </c>
      <c r="J107" s="1" t="s">
        <v>27</v>
      </c>
      <c r="K107" s="6">
        <v>1.9814814814814816E-2</v>
      </c>
      <c r="L107" s="1">
        <v>3</v>
      </c>
      <c r="M107" s="1" t="s">
        <v>14</v>
      </c>
      <c r="N107" s="5" t="s">
        <v>226</v>
      </c>
      <c r="O107" s="1" t="s">
        <v>14</v>
      </c>
      <c r="P107" s="40">
        <v>0.05</v>
      </c>
      <c r="Q107" s="40">
        <v>0.05</v>
      </c>
      <c r="R107" s="1"/>
      <c r="S107" s="1">
        <v>1</v>
      </c>
      <c r="T107" s="1"/>
      <c r="U107" s="1" t="s">
        <v>153</v>
      </c>
      <c r="V107" s="1">
        <v>9.8099999999999993E-3</v>
      </c>
      <c r="W107" s="7" t="s">
        <v>384</v>
      </c>
    </row>
    <row r="108" spans="1:25" x14ac:dyDescent="0.2">
      <c r="A108" s="1">
        <v>1</v>
      </c>
      <c r="B108" s="1">
        <v>1.2</v>
      </c>
      <c r="C108" s="1" t="s">
        <v>27</v>
      </c>
      <c r="D108" s="1" t="s">
        <v>27</v>
      </c>
      <c r="E108" s="4">
        <v>45388</v>
      </c>
      <c r="G108" s="6" t="s">
        <v>27</v>
      </c>
      <c r="H108" s="1" t="s">
        <v>27</v>
      </c>
      <c r="I108" s="1" t="s">
        <v>27</v>
      </c>
      <c r="J108" s="1" t="s">
        <v>27</v>
      </c>
      <c r="K108" s="6" t="s">
        <v>27</v>
      </c>
      <c r="S108" s="1" t="s">
        <v>27</v>
      </c>
      <c r="V108" s="1" t="s">
        <v>27</v>
      </c>
      <c r="W108" s="1" t="s">
        <v>27</v>
      </c>
      <c r="X108" s="1" t="s">
        <v>27</v>
      </c>
      <c r="Y108" s="1" t="s">
        <v>27</v>
      </c>
    </row>
    <row r="109" spans="1:25" x14ac:dyDescent="0.2">
      <c r="A109" s="1">
        <v>1</v>
      </c>
      <c r="B109" s="1">
        <v>1.2</v>
      </c>
      <c r="C109" s="1">
        <v>1</v>
      </c>
      <c r="D109" s="1" t="s">
        <v>483</v>
      </c>
      <c r="E109" s="4">
        <v>45389</v>
      </c>
      <c r="G109" s="6">
        <f t="shared" ref="G109:G115" si="10">K109+H109</f>
        <v>0.79043981481481473</v>
      </c>
      <c r="H109" s="3">
        <v>0.76728009259259256</v>
      </c>
      <c r="I109" s="3">
        <v>2.9513888888888888E-3</v>
      </c>
      <c r="J109" s="3">
        <f>I109+H109</f>
        <v>0.77023148148148146</v>
      </c>
      <c r="K109" s="6">
        <v>2.3159722222222224E-2</v>
      </c>
      <c r="L109" s="1">
        <v>3</v>
      </c>
      <c r="M109" s="1" t="s">
        <v>14</v>
      </c>
      <c r="N109" s="1">
        <v>3</v>
      </c>
      <c r="O109" s="1" t="s">
        <v>13</v>
      </c>
      <c r="P109" s="40">
        <v>0.05</v>
      </c>
      <c r="Q109" s="40">
        <v>0.05</v>
      </c>
      <c r="R109" s="1"/>
      <c r="S109" s="1">
        <v>0</v>
      </c>
      <c r="T109" s="1"/>
      <c r="U109" s="1" t="s">
        <v>491</v>
      </c>
      <c r="V109" s="1">
        <v>1.73E-3</v>
      </c>
      <c r="W109" s="7" t="s">
        <v>384</v>
      </c>
    </row>
    <row r="110" spans="1:25" x14ac:dyDescent="0.2">
      <c r="A110" s="1">
        <v>1</v>
      </c>
      <c r="B110" s="1">
        <v>1.2</v>
      </c>
      <c r="C110" s="1">
        <v>1</v>
      </c>
      <c r="D110" s="1" t="s">
        <v>476</v>
      </c>
      <c r="E110" s="4">
        <v>45390</v>
      </c>
      <c r="G110" s="6">
        <f t="shared" si="10"/>
        <v>0.79108796296296291</v>
      </c>
      <c r="H110" s="3">
        <v>0.76578703703703699</v>
      </c>
      <c r="I110" s="1" t="s">
        <v>27</v>
      </c>
      <c r="J110" s="1" t="s">
        <v>27</v>
      </c>
      <c r="K110" s="6">
        <v>2.5300925925925925E-2</v>
      </c>
      <c r="L110" s="1">
        <v>3</v>
      </c>
      <c r="M110" s="1" t="s">
        <v>14</v>
      </c>
      <c r="N110" s="1">
        <v>3</v>
      </c>
      <c r="O110" s="1" t="s">
        <v>13</v>
      </c>
      <c r="P110" s="40">
        <v>0.05</v>
      </c>
      <c r="Q110" s="39">
        <v>0.1</v>
      </c>
      <c r="S110" s="1">
        <v>0</v>
      </c>
      <c r="U110" s="1" t="s">
        <v>478</v>
      </c>
      <c r="V110" s="1">
        <v>1.06E-3</v>
      </c>
      <c r="W110" s="7" t="s">
        <v>384</v>
      </c>
    </row>
    <row r="111" spans="1:25" x14ac:dyDescent="0.2">
      <c r="A111" s="1">
        <v>1</v>
      </c>
      <c r="B111" s="1">
        <v>1.2</v>
      </c>
      <c r="C111" s="1">
        <v>1</v>
      </c>
      <c r="D111" s="1" t="s">
        <v>482</v>
      </c>
      <c r="E111" s="4">
        <v>45390</v>
      </c>
      <c r="G111" s="6">
        <f t="shared" si="10"/>
        <v>0.24300925925925926</v>
      </c>
      <c r="H111" s="3">
        <v>0.23207175925925927</v>
      </c>
      <c r="I111" s="1" t="s">
        <v>27</v>
      </c>
      <c r="J111" s="1" t="s">
        <v>27</v>
      </c>
      <c r="K111" s="6">
        <v>1.0937499999999999E-2</v>
      </c>
      <c r="L111" s="1">
        <v>3</v>
      </c>
      <c r="M111" s="1" t="s">
        <v>13</v>
      </c>
      <c r="N111" s="1">
        <v>3</v>
      </c>
      <c r="O111" s="1" t="s">
        <v>13</v>
      </c>
      <c r="P111" s="40">
        <v>0.05</v>
      </c>
      <c r="Q111" s="40">
        <v>0.05</v>
      </c>
      <c r="R111" s="1"/>
      <c r="S111" s="1">
        <v>0</v>
      </c>
      <c r="T111" s="1"/>
      <c r="U111" s="1" t="s">
        <v>283</v>
      </c>
      <c r="V111" s="1">
        <v>5.1599999999999997E-3</v>
      </c>
      <c r="W111" s="7" t="s">
        <v>384</v>
      </c>
    </row>
    <row r="112" spans="1:25" x14ac:dyDescent="0.2">
      <c r="A112" s="1">
        <v>1</v>
      </c>
      <c r="B112" s="1">
        <v>1.2</v>
      </c>
      <c r="C112" s="1">
        <v>2</v>
      </c>
      <c r="D112" s="1" t="s">
        <v>482</v>
      </c>
      <c r="E112" s="4">
        <v>45390</v>
      </c>
      <c r="G112" s="6">
        <f t="shared" si="10"/>
        <v>0.25400462962962966</v>
      </c>
      <c r="H112" s="3">
        <v>0.23207175925925927</v>
      </c>
      <c r="I112" s="3">
        <v>1.4722222222222222E-2</v>
      </c>
      <c r="J112" s="3">
        <f>I112+H112</f>
        <v>0.24679398148148149</v>
      </c>
      <c r="K112" s="6">
        <v>2.193287037037037E-2</v>
      </c>
      <c r="L112" s="1">
        <v>3</v>
      </c>
      <c r="M112" s="1" t="s">
        <v>13</v>
      </c>
      <c r="N112" s="1">
        <v>3</v>
      </c>
      <c r="O112" s="1" t="s">
        <v>14</v>
      </c>
      <c r="P112" s="40">
        <v>0.05</v>
      </c>
      <c r="Q112" s="39">
        <v>0.1</v>
      </c>
      <c r="S112" s="1">
        <v>1</v>
      </c>
      <c r="V112" s="1">
        <v>0.94699999999999995</v>
      </c>
      <c r="W112" s="7" t="s">
        <v>384</v>
      </c>
    </row>
    <row r="113" spans="1:25" x14ac:dyDescent="0.2">
      <c r="A113" s="1">
        <v>1</v>
      </c>
      <c r="B113" s="1">
        <v>1.2</v>
      </c>
      <c r="C113" s="1">
        <v>1</v>
      </c>
      <c r="D113" s="1" t="s">
        <v>473</v>
      </c>
      <c r="E113" s="4">
        <v>45391</v>
      </c>
      <c r="G113" s="6">
        <f t="shared" si="10"/>
        <v>0.25509259259259259</v>
      </c>
      <c r="H113" s="3">
        <v>0.23136574074074073</v>
      </c>
      <c r="I113" s="3">
        <v>3.7152777777777778E-3</v>
      </c>
      <c r="J113" s="3">
        <f>I113+H113</f>
        <v>0.23508101851851851</v>
      </c>
      <c r="K113" s="6">
        <v>2.3726851851851853E-2</v>
      </c>
      <c r="L113" s="1">
        <v>3</v>
      </c>
      <c r="M113" s="1" t="s">
        <v>13</v>
      </c>
      <c r="N113" s="1">
        <v>3</v>
      </c>
      <c r="O113" s="1" t="s">
        <v>13</v>
      </c>
      <c r="P113" s="40">
        <v>0.05</v>
      </c>
      <c r="Q113" s="39">
        <v>0.15</v>
      </c>
      <c r="S113" s="1">
        <v>0</v>
      </c>
      <c r="V113" s="1">
        <v>0.94899999999999995</v>
      </c>
      <c r="W113" s="7" t="s">
        <v>384</v>
      </c>
    </row>
    <row r="114" spans="1:25" x14ac:dyDescent="0.2">
      <c r="A114" s="1">
        <v>1</v>
      </c>
      <c r="B114" s="1">
        <v>1.2</v>
      </c>
      <c r="C114" s="1">
        <v>1</v>
      </c>
      <c r="D114" s="1" t="s">
        <v>497</v>
      </c>
      <c r="E114" s="4">
        <v>45391</v>
      </c>
      <c r="G114" s="6">
        <f t="shared" si="10"/>
        <v>0.78599537037037037</v>
      </c>
      <c r="H114" s="3">
        <v>0.76300925925925922</v>
      </c>
      <c r="I114" s="3">
        <v>6.7129629629629631E-3</v>
      </c>
      <c r="J114" s="3">
        <f>I114+H114</f>
        <v>0.7697222222222222</v>
      </c>
      <c r="K114" s="6">
        <v>2.298611111111111E-2</v>
      </c>
      <c r="L114" s="1">
        <v>3</v>
      </c>
      <c r="M114" s="1" t="s">
        <v>13</v>
      </c>
      <c r="N114" s="5" t="s">
        <v>226</v>
      </c>
      <c r="O114" s="1" t="s">
        <v>14</v>
      </c>
      <c r="P114" s="39">
        <v>0.05</v>
      </c>
      <c r="Q114" s="39">
        <v>0.15</v>
      </c>
      <c r="S114" s="1">
        <v>1</v>
      </c>
      <c r="V114" s="1">
        <v>8.2100000000000003E-3</v>
      </c>
      <c r="W114" s="1" t="s">
        <v>384</v>
      </c>
    </row>
    <row r="115" spans="1:25" x14ac:dyDescent="0.2">
      <c r="A115" s="1">
        <v>1</v>
      </c>
      <c r="B115" s="1">
        <v>1.2</v>
      </c>
      <c r="C115" s="1">
        <v>1</v>
      </c>
      <c r="D115" s="1" t="s">
        <v>73</v>
      </c>
      <c r="E115" s="4">
        <v>45392</v>
      </c>
      <c r="G115" s="6">
        <f t="shared" si="10"/>
        <v>0.23944444444444443</v>
      </c>
      <c r="H115" s="3">
        <v>0.23087962962962963</v>
      </c>
      <c r="I115" s="1" t="s">
        <v>27</v>
      </c>
      <c r="J115" s="1" t="s">
        <v>27</v>
      </c>
      <c r="K115" s="6">
        <v>8.564814814814815E-3</v>
      </c>
      <c r="L115" s="1">
        <v>3</v>
      </c>
      <c r="M115" s="1" t="s">
        <v>14</v>
      </c>
      <c r="N115" s="5" t="s">
        <v>226</v>
      </c>
      <c r="O115" s="1" t="s">
        <v>13</v>
      </c>
      <c r="P115" s="39">
        <v>0.15</v>
      </c>
      <c r="Q115" s="39">
        <v>0.15</v>
      </c>
      <c r="S115" s="1">
        <v>0</v>
      </c>
      <c r="U115" s="1" t="s">
        <v>499</v>
      </c>
      <c r="V115" s="1">
        <v>7.0000000000000001E-3</v>
      </c>
      <c r="W115" s="1" t="s">
        <v>502</v>
      </c>
    </row>
    <row r="116" spans="1:25" x14ac:dyDescent="0.2">
      <c r="A116" s="1">
        <v>1</v>
      </c>
      <c r="B116" s="1">
        <v>1.2</v>
      </c>
      <c r="C116" s="1">
        <v>2</v>
      </c>
      <c r="D116" s="1" t="s">
        <v>73</v>
      </c>
      <c r="E116" s="4">
        <v>45392</v>
      </c>
      <c r="G116" s="6" t="s">
        <v>27</v>
      </c>
      <c r="H116" s="3">
        <v>0.23087962962962963</v>
      </c>
      <c r="I116" s="3">
        <v>9.8842592592592593E-3</v>
      </c>
      <c r="J116" s="3">
        <f>I116+H116</f>
        <v>0.24076388888888889</v>
      </c>
      <c r="K116" s="6" t="s">
        <v>27</v>
      </c>
      <c r="L116" s="1">
        <v>3</v>
      </c>
      <c r="M116" s="1" t="s">
        <v>13</v>
      </c>
      <c r="N116" s="5" t="s">
        <v>226</v>
      </c>
      <c r="O116" s="1" t="s">
        <v>13</v>
      </c>
      <c r="P116" s="39">
        <v>0.15</v>
      </c>
      <c r="Q116" s="39">
        <v>0.15</v>
      </c>
      <c r="S116" s="1" t="s">
        <v>27</v>
      </c>
      <c r="U116" s="1" t="s">
        <v>500</v>
      </c>
      <c r="V116" s="1" t="s">
        <v>27</v>
      </c>
      <c r="W116" s="1" t="s">
        <v>27</v>
      </c>
      <c r="X116" s="1" t="s">
        <v>27</v>
      </c>
      <c r="Y116" s="1" t="s">
        <v>27</v>
      </c>
    </row>
    <row r="117" spans="1:25" x14ac:dyDescent="0.2">
      <c r="A117" s="1">
        <v>1</v>
      </c>
      <c r="B117" s="1">
        <v>1.2</v>
      </c>
      <c r="C117" s="1">
        <v>5</v>
      </c>
      <c r="D117" s="1" t="s">
        <v>72</v>
      </c>
      <c r="E117" s="4">
        <v>45393</v>
      </c>
      <c r="G117" s="6">
        <f t="shared" ref="G117:G126" si="11">K117+H117</f>
        <v>0.27635416666666668</v>
      </c>
      <c r="H117" s="3">
        <v>0.22325231481481481</v>
      </c>
      <c r="K117" s="3">
        <v>5.3101851851851851E-2</v>
      </c>
      <c r="L117" s="1">
        <v>3</v>
      </c>
      <c r="M117" s="1" t="s">
        <v>13</v>
      </c>
      <c r="N117" s="1">
        <v>3</v>
      </c>
      <c r="O117" s="1" t="s">
        <v>13</v>
      </c>
      <c r="P117" s="40">
        <v>0.3</v>
      </c>
      <c r="Q117" s="40">
        <v>0.3</v>
      </c>
      <c r="R117" s="1"/>
      <c r="T117" s="1"/>
    </row>
    <row r="118" spans="1:25" x14ac:dyDescent="0.2">
      <c r="A118" s="1">
        <v>1</v>
      </c>
      <c r="B118" s="1">
        <v>1.2</v>
      </c>
      <c r="C118" s="1">
        <v>4</v>
      </c>
      <c r="D118" s="1" t="s">
        <v>72</v>
      </c>
      <c r="E118" s="4">
        <v>45393</v>
      </c>
      <c r="G118" s="6">
        <f t="shared" si="11"/>
        <v>0.24847222222222221</v>
      </c>
      <c r="H118" s="3">
        <v>0.22325231481481481</v>
      </c>
      <c r="K118" s="3">
        <v>2.5219907407407406E-2</v>
      </c>
      <c r="L118" s="1">
        <v>3</v>
      </c>
      <c r="M118" s="1" t="s">
        <v>13</v>
      </c>
      <c r="N118" s="1">
        <v>3</v>
      </c>
      <c r="O118" s="1" t="s">
        <v>13</v>
      </c>
      <c r="P118" s="40">
        <v>0.3</v>
      </c>
      <c r="Q118" s="40">
        <v>0.3</v>
      </c>
      <c r="R118" s="1"/>
      <c r="T118" s="1"/>
    </row>
    <row r="119" spans="1:25" x14ac:dyDescent="0.2">
      <c r="A119" s="1">
        <v>1</v>
      </c>
      <c r="B119" s="1">
        <v>1.2</v>
      </c>
      <c r="C119" s="1">
        <v>3</v>
      </c>
      <c r="D119" s="1" t="s">
        <v>72</v>
      </c>
      <c r="E119" s="4">
        <v>45393</v>
      </c>
      <c r="G119" s="6">
        <f t="shared" si="11"/>
        <v>0.24243055555555554</v>
      </c>
      <c r="H119" s="3">
        <v>0.22325231481481481</v>
      </c>
      <c r="K119" s="3">
        <v>1.9178240740740742E-2</v>
      </c>
      <c r="L119" s="1">
        <v>3</v>
      </c>
      <c r="M119" s="1" t="s">
        <v>13</v>
      </c>
      <c r="N119" s="1">
        <v>3</v>
      </c>
      <c r="O119" s="1" t="s">
        <v>13</v>
      </c>
      <c r="P119" s="40">
        <v>0.3</v>
      </c>
      <c r="Q119" s="40">
        <v>0.3</v>
      </c>
      <c r="R119" s="1"/>
      <c r="S119" s="1">
        <v>0</v>
      </c>
      <c r="T119" s="1"/>
      <c r="U119" s="1" t="s">
        <v>535</v>
      </c>
    </row>
    <row r="120" spans="1:25" x14ac:dyDescent="0.2">
      <c r="A120" s="1">
        <v>1</v>
      </c>
      <c r="B120" s="1">
        <v>1.2</v>
      </c>
      <c r="C120" s="1">
        <v>2</v>
      </c>
      <c r="D120" s="1" t="s">
        <v>72</v>
      </c>
      <c r="E120" s="4">
        <v>45393</v>
      </c>
      <c r="G120" s="6">
        <f t="shared" si="11"/>
        <v>0.2383912037037037</v>
      </c>
      <c r="H120" s="3">
        <v>0.22325231481481481</v>
      </c>
      <c r="K120" s="3">
        <v>1.5138888888888889E-2</v>
      </c>
      <c r="L120" s="1">
        <v>3</v>
      </c>
      <c r="M120" s="1" t="s">
        <v>13</v>
      </c>
      <c r="N120" s="1">
        <v>3</v>
      </c>
      <c r="O120" s="1" t="s">
        <v>13</v>
      </c>
      <c r="P120" s="40">
        <v>0.3</v>
      </c>
      <c r="Q120" s="40">
        <v>0.3</v>
      </c>
      <c r="R120" s="1"/>
      <c r="S120" s="1">
        <v>0</v>
      </c>
      <c r="T120" s="1"/>
    </row>
    <row r="121" spans="1:25" x14ac:dyDescent="0.2">
      <c r="A121" s="1">
        <v>1</v>
      </c>
      <c r="B121" s="1">
        <v>1.2</v>
      </c>
      <c r="C121" s="1">
        <v>1</v>
      </c>
      <c r="D121" s="1" t="s">
        <v>72</v>
      </c>
      <c r="E121" s="4">
        <v>45393</v>
      </c>
      <c r="G121" s="6">
        <f t="shared" si="11"/>
        <v>0.23265046296296296</v>
      </c>
      <c r="H121" s="3">
        <v>0.22325231481481481</v>
      </c>
      <c r="I121" s="3">
        <v>3.8194444444444443E-3</v>
      </c>
      <c r="K121" s="6">
        <v>9.3981481481481485E-3</v>
      </c>
      <c r="L121" s="1">
        <v>3</v>
      </c>
      <c r="M121" s="1" t="s">
        <v>13</v>
      </c>
      <c r="N121" s="5" t="s">
        <v>226</v>
      </c>
      <c r="O121" s="1" t="s">
        <v>13</v>
      </c>
      <c r="P121" s="39">
        <v>0.15</v>
      </c>
      <c r="Q121" s="39">
        <v>0.15</v>
      </c>
      <c r="S121" s="1">
        <v>0</v>
      </c>
      <c r="U121" s="1" t="s">
        <v>534</v>
      </c>
    </row>
    <row r="122" spans="1:25" ht="153" x14ac:dyDescent="0.2">
      <c r="A122" s="1">
        <v>1</v>
      </c>
      <c r="B122" s="1">
        <v>1.2</v>
      </c>
      <c r="C122" s="1">
        <v>1</v>
      </c>
      <c r="D122" s="1" t="s">
        <v>81</v>
      </c>
      <c r="E122" s="4">
        <v>45393</v>
      </c>
      <c r="G122" s="6">
        <f t="shared" si="11"/>
        <v>0.7855671296296296</v>
      </c>
      <c r="H122" s="3">
        <v>0.76173611111111106</v>
      </c>
      <c r="I122" s="3">
        <v>8.3449074074074068E-3</v>
      </c>
      <c r="J122" s="3">
        <f>K122+H122</f>
        <v>0.7855671296296296</v>
      </c>
      <c r="K122" s="3">
        <v>2.3831018518518519E-2</v>
      </c>
      <c r="L122" s="1">
        <v>3</v>
      </c>
      <c r="M122" s="1" t="s">
        <v>13</v>
      </c>
      <c r="N122" s="5" t="s">
        <v>226</v>
      </c>
      <c r="O122" s="1" t="s">
        <v>14</v>
      </c>
      <c r="P122" s="39">
        <v>0.3</v>
      </c>
      <c r="Q122" s="39">
        <v>0.3</v>
      </c>
      <c r="S122" s="1" t="s">
        <v>27</v>
      </c>
      <c r="U122" s="24" t="s">
        <v>531</v>
      </c>
    </row>
    <row r="123" spans="1:25" x14ac:dyDescent="0.2">
      <c r="A123" s="1">
        <v>1</v>
      </c>
      <c r="B123" s="1">
        <v>1.2</v>
      </c>
      <c r="C123" s="1">
        <v>3</v>
      </c>
      <c r="D123" s="1" t="s">
        <v>80</v>
      </c>
      <c r="E123" s="23">
        <v>45394</v>
      </c>
      <c r="F123" s="23"/>
      <c r="G123" s="6">
        <f t="shared" si="11"/>
        <v>0.27350694444444446</v>
      </c>
      <c r="H123" s="3">
        <v>0.22929398148148147</v>
      </c>
      <c r="I123" s="3">
        <v>2.4722222222222222E-2</v>
      </c>
      <c r="J123" s="3">
        <f>I123+H123</f>
        <v>0.2540162037037037</v>
      </c>
      <c r="K123" s="6">
        <v>4.4212962962962961E-2</v>
      </c>
      <c r="L123" s="1">
        <v>3</v>
      </c>
      <c r="M123" s="1" t="s">
        <v>14</v>
      </c>
      <c r="N123" s="5" t="s">
        <v>226</v>
      </c>
      <c r="O123" s="1" t="s">
        <v>14</v>
      </c>
      <c r="P123" s="39">
        <v>0.3</v>
      </c>
      <c r="Q123" s="39">
        <v>0.3</v>
      </c>
      <c r="S123" s="1">
        <v>1</v>
      </c>
    </row>
    <row r="124" spans="1:25" x14ac:dyDescent="0.2">
      <c r="A124" s="1">
        <v>1</v>
      </c>
      <c r="B124" s="1">
        <v>1.2</v>
      </c>
      <c r="C124" s="1">
        <v>2</v>
      </c>
      <c r="D124" s="1" t="s">
        <v>80</v>
      </c>
      <c r="E124" s="23">
        <v>45394</v>
      </c>
      <c r="F124" s="23"/>
      <c r="G124" s="6">
        <f t="shared" si="11"/>
        <v>0.25049768518518517</v>
      </c>
      <c r="H124" s="3">
        <v>0.22929398148148147</v>
      </c>
      <c r="I124" s="3">
        <v>1.4317129629629629E-2</v>
      </c>
      <c r="J124" s="3">
        <f>I124+H124</f>
        <v>0.24361111111111111</v>
      </c>
      <c r="K124" s="6">
        <v>2.1203703703703704E-2</v>
      </c>
      <c r="L124" s="1">
        <v>3</v>
      </c>
      <c r="M124" s="1" t="s">
        <v>14</v>
      </c>
      <c r="N124" s="5" t="s">
        <v>226</v>
      </c>
      <c r="O124" s="1" t="s">
        <v>14</v>
      </c>
      <c r="P124" s="39">
        <v>0.3</v>
      </c>
      <c r="Q124" s="39">
        <v>0.3</v>
      </c>
      <c r="S124" s="1">
        <v>1</v>
      </c>
    </row>
    <row r="125" spans="1:25" x14ac:dyDescent="0.2">
      <c r="A125" s="1">
        <v>1</v>
      </c>
      <c r="B125" s="1">
        <v>1.2</v>
      </c>
      <c r="C125" s="1">
        <v>1</v>
      </c>
      <c r="D125" s="1" t="s">
        <v>80</v>
      </c>
      <c r="E125" s="23">
        <v>45394</v>
      </c>
      <c r="F125" s="23"/>
      <c r="G125" s="6">
        <f t="shared" si="11"/>
        <v>0.23868055555555553</v>
      </c>
      <c r="H125" s="3">
        <v>0.22929398148148147</v>
      </c>
      <c r="I125" s="3">
        <v>1.0763888888888889E-3</v>
      </c>
      <c r="J125" s="3">
        <f>I125+H125</f>
        <v>0.23037037037037036</v>
      </c>
      <c r="K125" s="6">
        <v>9.3865740740740732E-3</v>
      </c>
      <c r="L125" s="1">
        <v>3</v>
      </c>
      <c r="M125" s="1" t="s">
        <v>14</v>
      </c>
      <c r="N125" s="5" t="s">
        <v>226</v>
      </c>
      <c r="O125" s="1" t="s">
        <v>14</v>
      </c>
      <c r="P125" s="39">
        <v>0.3</v>
      </c>
      <c r="Q125" s="39">
        <v>0.3</v>
      </c>
      <c r="S125" s="1">
        <v>1</v>
      </c>
      <c r="U125" s="1" t="s">
        <v>530</v>
      </c>
    </row>
    <row r="126" spans="1:25" x14ac:dyDescent="0.2">
      <c r="A126" s="1">
        <v>1</v>
      </c>
      <c r="B126" s="1">
        <v>1.2</v>
      </c>
      <c r="C126" s="1">
        <v>1</v>
      </c>
      <c r="D126" s="1" t="s">
        <v>87</v>
      </c>
      <c r="E126" s="23">
        <v>45394</v>
      </c>
      <c r="F126" s="23"/>
      <c r="G126" s="6">
        <f t="shared" si="11"/>
        <v>0.78399305555555554</v>
      </c>
      <c r="H126" s="3">
        <v>0.76060185185185181</v>
      </c>
      <c r="I126" s="3">
        <v>3.1134259259259257E-3</v>
      </c>
      <c r="J126" s="3">
        <f>I126+H126</f>
        <v>0.7637152777777777</v>
      </c>
      <c r="K126" s="6">
        <v>2.3391203703703702E-2</v>
      </c>
      <c r="L126" s="1">
        <v>3</v>
      </c>
      <c r="M126" s="1" t="s">
        <v>14</v>
      </c>
      <c r="N126" s="5" t="s">
        <v>527</v>
      </c>
      <c r="O126" s="1" t="s">
        <v>13</v>
      </c>
      <c r="P126" s="39">
        <v>0.3</v>
      </c>
      <c r="Q126" s="39">
        <v>0.1</v>
      </c>
      <c r="S126" s="1">
        <v>0</v>
      </c>
    </row>
    <row r="127" spans="1:25" x14ac:dyDescent="0.2">
      <c r="A127" s="1">
        <v>1</v>
      </c>
      <c r="B127" s="1">
        <v>1.2</v>
      </c>
      <c r="C127" s="1" t="s">
        <v>27</v>
      </c>
      <c r="D127" s="1" t="s">
        <v>27</v>
      </c>
      <c r="E127" s="4">
        <v>45395</v>
      </c>
      <c r="G127" s="1" t="s">
        <v>27</v>
      </c>
      <c r="H127" s="1" t="s">
        <v>27</v>
      </c>
      <c r="I127" s="1" t="s">
        <v>27</v>
      </c>
      <c r="J127" s="1" t="s">
        <v>27</v>
      </c>
      <c r="K127" s="1" t="s">
        <v>27</v>
      </c>
      <c r="N127" s="1"/>
      <c r="P127" s="40">
        <v>0.15</v>
      </c>
      <c r="Q127" s="40">
        <v>0.15</v>
      </c>
      <c r="R127" s="1"/>
      <c r="S127" s="1" t="s">
        <v>27</v>
      </c>
      <c r="T127" s="1"/>
      <c r="U127" s="1" t="s">
        <v>510</v>
      </c>
      <c r="V127" s="1" t="s">
        <v>27</v>
      </c>
      <c r="W127" s="1" t="s">
        <v>27</v>
      </c>
      <c r="X127" s="1" t="s">
        <v>27</v>
      </c>
      <c r="Y127" s="1" t="s">
        <v>27</v>
      </c>
    </row>
    <row r="128" spans="1:25" x14ac:dyDescent="0.2">
      <c r="A128" s="1">
        <v>1</v>
      </c>
      <c r="B128" s="1">
        <v>1.2</v>
      </c>
      <c r="C128" s="1" t="s">
        <v>27</v>
      </c>
      <c r="D128" s="1" t="s">
        <v>27</v>
      </c>
      <c r="E128" s="4">
        <v>45396</v>
      </c>
      <c r="G128" s="1" t="s">
        <v>27</v>
      </c>
      <c r="H128" s="1" t="s">
        <v>27</v>
      </c>
      <c r="I128" s="1" t="s">
        <v>27</v>
      </c>
      <c r="J128" s="1" t="s">
        <v>27</v>
      </c>
      <c r="K128" s="1" t="s">
        <v>27</v>
      </c>
      <c r="N128" s="1"/>
      <c r="P128" s="40">
        <v>0.15</v>
      </c>
      <c r="Q128" s="40">
        <v>0.15</v>
      </c>
      <c r="R128" s="1"/>
      <c r="S128" s="1" t="s">
        <v>27</v>
      </c>
      <c r="T128" s="1"/>
      <c r="U128" s="1" t="s">
        <v>511</v>
      </c>
      <c r="V128" s="1" t="s">
        <v>27</v>
      </c>
      <c r="W128" s="1" t="s">
        <v>27</v>
      </c>
      <c r="X128" s="1" t="s">
        <v>27</v>
      </c>
      <c r="Y128" s="1" t="s">
        <v>27</v>
      </c>
    </row>
    <row r="129" spans="1:25" x14ac:dyDescent="0.2">
      <c r="A129" s="1">
        <v>1</v>
      </c>
      <c r="B129" s="1">
        <v>1.2</v>
      </c>
      <c r="C129" s="1" t="s">
        <v>27</v>
      </c>
      <c r="D129" s="1" t="s">
        <v>164</v>
      </c>
      <c r="E129" s="23">
        <v>45396</v>
      </c>
      <c r="F129" s="23"/>
      <c r="G129" s="6" t="s">
        <v>27</v>
      </c>
      <c r="H129" s="1" t="s">
        <v>27</v>
      </c>
      <c r="I129" s="1" t="s">
        <v>27</v>
      </c>
      <c r="J129" s="1" t="s">
        <v>27</v>
      </c>
      <c r="K129" s="6" t="s">
        <v>27</v>
      </c>
      <c r="L129" s="1">
        <v>3</v>
      </c>
      <c r="M129" s="1" t="s">
        <v>14</v>
      </c>
      <c r="N129" s="5" t="s">
        <v>226</v>
      </c>
      <c r="O129" s="1" t="s">
        <v>13</v>
      </c>
      <c r="P129" s="39">
        <v>0.1</v>
      </c>
      <c r="Q129" s="39">
        <v>0.3</v>
      </c>
      <c r="S129" s="1" t="s">
        <v>27</v>
      </c>
      <c r="U129" s="1" t="s">
        <v>525</v>
      </c>
      <c r="V129" s="1" t="s">
        <v>27</v>
      </c>
      <c r="W129" s="1" t="s">
        <v>27</v>
      </c>
      <c r="X129" s="1" t="s">
        <v>27</v>
      </c>
      <c r="Y129" s="1" t="s">
        <v>27</v>
      </c>
    </row>
    <row r="130" spans="1:25" x14ac:dyDescent="0.2">
      <c r="A130" s="1">
        <v>1</v>
      </c>
      <c r="B130" s="1">
        <v>1.2</v>
      </c>
      <c r="C130" s="1" t="s">
        <v>27</v>
      </c>
      <c r="D130" s="1" t="s">
        <v>88</v>
      </c>
      <c r="E130" s="23">
        <v>45397</v>
      </c>
      <c r="F130" s="23"/>
      <c r="G130" s="6" t="s">
        <v>27</v>
      </c>
      <c r="H130" s="1" t="s">
        <v>27</v>
      </c>
      <c r="I130" s="1" t="s">
        <v>27</v>
      </c>
      <c r="J130" s="1" t="s">
        <v>27</v>
      </c>
      <c r="K130" s="6" t="s">
        <v>27</v>
      </c>
      <c r="L130" s="1">
        <v>3</v>
      </c>
      <c r="M130" s="1" t="s">
        <v>13</v>
      </c>
      <c r="N130" s="5" t="s">
        <v>226</v>
      </c>
      <c r="O130" s="1" t="s">
        <v>13</v>
      </c>
      <c r="P130" s="39">
        <v>0.3</v>
      </c>
      <c r="Q130" s="39">
        <v>0.3</v>
      </c>
      <c r="S130" s="1" t="s">
        <v>27</v>
      </c>
      <c r="U130" s="1" t="s">
        <v>526</v>
      </c>
      <c r="V130" s="1" t="s">
        <v>27</v>
      </c>
      <c r="W130" s="1" t="s">
        <v>27</v>
      </c>
      <c r="X130" s="1" t="s">
        <v>27</v>
      </c>
      <c r="Y130" s="1" t="s">
        <v>27</v>
      </c>
    </row>
    <row r="131" spans="1:25" x14ac:dyDescent="0.2">
      <c r="A131" s="1">
        <v>1</v>
      </c>
      <c r="B131" s="1">
        <v>1.3</v>
      </c>
      <c r="C131" s="1" t="s">
        <v>27</v>
      </c>
      <c r="D131" s="1" t="s">
        <v>92</v>
      </c>
      <c r="E131" s="4">
        <v>45397</v>
      </c>
      <c r="G131" s="6" t="s">
        <v>27</v>
      </c>
      <c r="H131" s="3">
        <v>0.76298611111111114</v>
      </c>
      <c r="I131" s="6" t="s">
        <v>27</v>
      </c>
      <c r="J131" s="1" t="s">
        <v>27</v>
      </c>
      <c r="K131" s="15" t="s">
        <v>27</v>
      </c>
      <c r="L131" s="15">
        <v>1</v>
      </c>
      <c r="M131" s="15" t="s">
        <v>13</v>
      </c>
      <c r="N131" s="25" t="s">
        <v>547</v>
      </c>
      <c r="O131" s="15" t="s">
        <v>13</v>
      </c>
      <c r="P131" s="39">
        <v>0.3</v>
      </c>
      <c r="Q131" s="39">
        <v>0.3</v>
      </c>
      <c r="S131" s="15" t="s">
        <v>27</v>
      </c>
      <c r="U131" s="1" t="s">
        <v>548</v>
      </c>
      <c r="V131" s="1" t="s">
        <v>27</v>
      </c>
      <c r="W131" s="1" t="s">
        <v>27</v>
      </c>
      <c r="X131" s="1" t="s">
        <v>27</v>
      </c>
      <c r="Y131" s="1" t="s">
        <v>27</v>
      </c>
    </row>
    <row r="132" spans="1:25" x14ac:dyDescent="0.2">
      <c r="A132" s="1">
        <v>1</v>
      </c>
      <c r="B132" s="1">
        <v>1.3</v>
      </c>
      <c r="C132" s="1" t="s">
        <v>27</v>
      </c>
      <c r="D132" s="1" t="s">
        <v>93</v>
      </c>
      <c r="E132" s="4">
        <v>45398</v>
      </c>
      <c r="G132" s="6" t="s">
        <v>27</v>
      </c>
      <c r="H132" s="3">
        <v>0.22712962962962963</v>
      </c>
      <c r="I132" s="6" t="s">
        <v>27</v>
      </c>
      <c r="J132" s="1" t="s">
        <v>27</v>
      </c>
      <c r="K132" s="1" t="s">
        <v>27</v>
      </c>
      <c r="L132" s="1">
        <v>1</v>
      </c>
      <c r="M132" s="1" t="s">
        <v>13</v>
      </c>
      <c r="N132" s="5" t="s">
        <v>547</v>
      </c>
      <c r="O132" s="1" t="s">
        <v>13</v>
      </c>
      <c r="P132" s="39">
        <v>0.3</v>
      </c>
      <c r="Q132" s="39">
        <v>0.3</v>
      </c>
      <c r="S132" s="1" t="s">
        <v>27</v>
      </c>
      <c r="U132" s="1" t="s">
        <v>66</v>
      </c>
      <c r="V132" s="1" t="s">
        <v>27</v>
      </c>
      <c r="W132" s="1" t="s">
        <v>27</v>
      </c>
      <c r="X132" s="1" t="s">
        <v>27</v>
      </c>
      <c r="Y132" s="1" t="s">
        <v>27</v>
      </c>
    </row>
    <row r="133" spans="1:25" x14ac:dyDescent="0.2">
      <c r="A133" s="1">
        <v>1</v>
      </c>
      <c r="B133" s="1">
        <v>1.3</v>
      </c>
      <c r="C133" s="1" t="s">
        <v>27</v>
      </c>
      <c r="D133" s="1" t="s">
        <v>97</v>
      </c>
      <c r="E133" s="4">
        <v>45398</v>
      </c>
      <c r="G133" s="6" t="s">
        <v>27</v>
      </c>
      <c r="H133" s="3">
        <v>0.75630787037037039</v>
      </c>
      <c r="I133" s="6" t="s">
        <v>27</v>
      </c>
      <c r="J133" s="1" t="s">
        <v>27</v>
      </c>
      <c r="K133" s="15" t="s">
        <v>27</v>
      </c>
      <c r="L133" s="15">
        <v>1</v>
      </c>
      <c r="M133" s="15" t="s">
        <v>13</v>
      </c>
      <c r="N133" s="25" t="s">
        <v>547</v>
      </c>
      <c r="O133" s="15" t="s">
        <v>13</v>
      </c>
      <c r="P133" s="39">
        <v>0.3</v>
      </c>
      <c r="Q133" s="39">
        <v>0.3</v>
      </c>
      <c r="S133" s="15" t="s">
        <v>27</v>
      </c>
      <c r="U133" s="1" t="s">
        <v>549</v>
      </c>
      <c r="V133" s="1" t="s">
        <v>27</v>
      </c>
      <c r="W133" s="1" t="s">
        <v>27</v>
      </c>
      <c r="X133" s="1" t="s">
        <v>27</v>
      </c>
      <c r="Y133" s="1" t="s">
        <v>27</v>
      </c>
    </row>
    <row r="134" spans="1:25" x14ac:dyDescent="0.2">
      <c r="A134" s="1">
        <v>1</v>
      </c>
      <c r="B134" s="1">
        <v>1.3</v>
      </c>
      <c r="C134" s="1" t="s">
        <v>27</v>
      </c>
      <c r="D134" s="1" t="s">
        <v>545</v>
      </c>
      <c r="E134" s="4">
        <v>45399</v>
      </c>
      <c r="G134" s="6" t="s">
        <v>27</v>
      </c>
      <c r="H134" s="6">
        <v>0.22869212962962962</v>
      </c>
      <c r="I134" s="6" t="s">
        <v>27</v>
      </c>
      <c r="J134" s="1" t="s">
        <v>27</v>
      </c>
      <c r="K134" s="1" t="s">
        <v>27</v>
      </c>
      <c r="L134" s="1">
        <v>1</v>
      </c>
      <c r="M134" s="1" t="s">
        <v>13</v>
      </c>
      <c r="N134" s="5" t="s">
        <v>547</v>
      </c>
      <c r="O134" s="1" t="s">
        <v>13</v>
      </c>
      <c r="P134" s="39">
        <v>0.3</v>
      </c>
      <c r="Q134" s="39">
        <v>0.3</v>
      </c>
      <c r="S134" s="1" t="s">
        <v>27</v>
      </c>
      <c r="U134" s="1" t="s">
        <v>546</v>
      </c>
      <c r="V134" s="1" t="s">
        <v>27</v>
      </c>
      <c r="W134" s="1" t="s">
        <v>27</v>
      </c>
      <c r="X134" s="1" t="s">
        <v>27</v>
      </c>
      <c r="Y134" s="1" t="s">
        <v>27</v>
      </c>
    </row>
    <row r="135" spans="1:25" x14ac:dyDescent="0.2">
      <c r="A135" s="1">
        <v>1</v>
      </c>
      <c r="B135" s="1" t="s">
        <v>551</v>
      </c>
      <c r="C135" s="1">
        <v>1</v>
      </c>
      <c r="D135" s="1" t="s">
        <v>550</v>
      </c>
      <c r="E135" s="4">
        <v>45399</v>
      </c>
      <c r="F135" s="4" t="s">
        <v>669</v>
      </c>
      <c r="G135" s="6">
        <f>K135+H135</f>
        <v>0.78700231481481486</v>
      </c>
      <c r="H135" s="3">
        <v>0.75390046296296298</v>
      </c>
      <c r="I135" s="26">
        <v>2.9502314814814815E-2</v>
      </c>
      <c r="J135" s="3">
        <f>I135+H135</f>
        <v>0.78340277777777778</v>
      </c>
      <c r="K135" s="6">
        <v>3.3101851851851855E-2</v>
      </c>
      <c r="L135" s="1">
        <v>1</v>
      </c>
      <c r="M135" s="1" t="s">
        <v>13</v>
      </c>
      <c r="N135" s="5" t="s">
        <v>547</v>
      </c>
      <c r="O135" s="1" t="s">
        <v>13</v>
      </c>
      <c r="P135" s="39">
        <v>0.3</v>
      </c>
      <c r="Q135" s="39">
        <v>0.3</v>
      </c>
      <c r="S135" s="1">
        <v>1</v>
      </c>
      <c r="U135" s="1" t="s">
        <v>553</v>
      </c>
      <c r="V135" s="1" t="s">
        <v>27</v>
      </c>
      <c r="W135" s="1" t="s">
        <v>541</v>
      </c>
    </row>
    <row r="136" spans="1:25" x14ac:dyDescent="0.2">
      <c r="A136" s="1">
        <v>1</v>
      </c>
      <c r="B136" s="1" t="s">
        <v>552</v>
      </c>
      <c r="C136" s="1" t="s">
        <v>27</v>
      </c>
      <c r="D136" s="1" t="s">
        <v>550</v>
      </c>
      <c r="E136" s="4">
        <v>45399</v>
      </c>
      <c r="F136" s="4" t="s">
        <v>669</v>
      </c>
      <c r="G136" s="6" t="s">
        <v>27</v>
      </c>
      <c r="H136" s="15" t="s">
        <v>27</v>
      </c>
      <c r="I136" s="15" t="s">
        <v>27</v>
      </c>
      <c r="J136" s="15" t="s">
        <v>27</v>
      </c>
      <c r="K136" s="6" t="s">
        <v>27</v>
      </c>
      <c r="L136" s="15">
        <v>1</v>
      </c>
      <c r="M136" s="1" t="s">
        <v>14</v>
      </c>
      <c r="N136" s="5" t="s">
        <v>547</v>
      </c>
      <c r="O136" s="1" t="s">
        <v>14</v>
      </c>
      <c r="P136" s="41">
        <v>0.3</v>
      </c>
      <c r="Q136" s="41">
        <v>0.3</v>
      </c>
      <c r="R136" s="22"/>
      <c r="S136" s="1" t="s">
        <v>27</v>
      </c>
      <c r="T136" s="22"/>
      <c r="U136" s="1" t="s">
        <v>554</v>
      </c>
      <c r="V136" s="1" t="s">
        <v>27</v>
      </c>
      <c r="W136" s="1" t="s">
        <v>27</v>
      </c>
      <c r="X136" s="1" t="s">
        <v>27</v>
      </c>
      <c r="Y136" s="1" t="s">
        <v>27</v>
      </c>
    </row>
    <row r="137" spans="1:25" x14ac:dyDescent="0.2">
      <c r="A137" s="1">
        <v>1</v>
      </c>
      <c r="B137" s="1" t="s">
        <v>551</v>
      </c>
      <c r="C137" s="1">
        <v>1</v>
      </c>
      <c r="D137" s="1" t="s">
        <v>120</v>
      </c>
      <c r="E137" s="4">
        <v>45400</v>
      </c>
      <c r="F137" s="4" t="s">
        <v>669</v>
      </c>
      <c r="G137" s="6">
        <f t="shared" ref="G137:G147" si="12">K137+H137</f>
        <v>0.24857638888888889</v>
      </c>
      <c r="H137" s="3">
        <v>0.22273148148148147</v>
      </c>
      <c r="I137" s="3">
        <v>6.9444444444444441E-3</v>
      </c>
      <c r="J137" s="3">
        <f>I137+H137</f>
        <v>0.22967592592592592</v>
      </c>
      <c r="K137" s="6">
        <v>2.5844907407407407E-2</v>
      </c>
      <c r="L137" s="1">
        <v>1</v>
      </c>
      <c r="M137" s="1" t="s">
        <v>13</v>
      </c>
      <c r="N137" s="5" t="s">
        <v>547</v>
      </c>
      <c r="O137" s="1" t="s">
        <v>13</v>
      </c>
      <c r="P137" s="39">
        <v>0.1</v>
      </c>
      <c r="Q137" s="39">
        <v>0.1</v>
      </c>
      <c r="S137" s="1">
        <v>1</v>
      </c>
      <c r="V137" s="1" t="s">
        <v>27</v>
      </c>
      <c r="W137" s="1" t="s">
        <v>541</v>
      </c>
    </row>
    <row r="138" spans="1:25" x14ac:dyDescent="0.2">
      <c r="A138" s="1">
        <v>1</v>
      </c>
      <c r="B138" s="1" t="s">
        <v>552</v>
      </c>
      <c r="C138" s="1">
        <v>1</v>
      </c>
      <c r="D138" s="1" t="s">
        <v>120</v>
      </c>
      <c r="E138" s="4">
        <v>45400</v>
      </c>
      <c r="F138" s="4" t="s">
        <v>669</v>
      </c>
      <c r="G138" s="6">
        <f t="shared" si="12"/>
        <v>0.26263888888888887</v>
      </c>
      <c r="H138" s="3">
        <v>0.22273148148148147</v>
      </c>
      <c r="I138" s="3">
        <v>2.4525462962962964E-2</v>
      </c>
      <c r="J138" s="3">
        <f>I138+H138</f>
        <v>0.24725694444444443</v>
      </c>
      <c r="K138" s="6">
        <v>3.9907407407407405E-2</v>
      </c>
      <c r="L138" s="15">
        <v>1</v>
      </c>
      <c r="M138" s="1" t="s">
        <v>14</v>
      </c>
      <c r="N138" s="5" t="s">
        <v>547</v>
      </c>
      <c r="O138" s="1" t="s">
        <v>14</v>
      </c>
      <c r="P138" s="39">
        <v>0.1</v>
      </c>
      <c r="Q138" s="39">
        <v>0.1</v>
      </c>
      <c r="S138" s="1">
        <v>1</v>
      </c>
      <c r="V138" s="1" t="s">
        <v>27</v>
      </c>
      <c r="W138" s="1" t="s">
        <v>541</v>
      </c>
    </row>
    <row r="139" spans="1:25" x14ac:dyDescent="0.2">
      <c r="A139" s="1">
        <v>1</v>
      </c>
      <c r="B139" s="1" t="s">
        <v>551</v>
      </c>
      <c r="C139" s="1">
        <v>1</v>
      </c>
      <c r="D139" s="1" t="s">
        <v>262</v>
      </c>
      <c r="E139" s="4">
        <v>45400</v>
      </c>
      <c r="F139" s="4" t="s">
        <v>669</v>
      </c>
      <c r="G139" s="6">
        <f t="shared" si="12"/>
        <v>0.78427083333333336</v>
      </c>
      <c r="H139" s="3">
        <v>0.76255787037037037</v>
      </c>
      <c r="I139" s="3">
        <v>1.9479166666666665E-2</v>
      </c>
      <c r="J139" s="3">
        <f>I139+H139</f>
        <v>0.78203703703703709</v>
      </c>
      <c r="K139" s="6">
        <v>2.1712962962962962E-2</v>
      </c>
      <c r="L139" s="1">
        <v>1</v>
      </c>
      <c r="M139" s="1" t="s">
        <v>14</v>
      </c>
      <c r="N139" s="5" t="s">
        <v>547</v>
      </c>
      <c r="O139" s="1" t="s">
        <v>14</v>
      </c>
      <c r="P139" s="39">
        <v>0.05</v>
      </c>
      <c r="Q139" s="39">
        <v>0.05</v>
      </c>
      <c r="S139" s="1">
        <v>1</v>
      </c>
      <c r="V139" s="1" t="s">
        <v>27</v>
      </c>
      <c r="W139" s="1" t="s">
        <v>541</v>
      </c>
    </row>
    <row r="140" spans="1:25" x14ac:dyDescent="0.2">
      <c r="A140" s="1">
        <v>1</v>
      </c>
      <c r="B140" s="1" t="s">
        <v>552</v>
      </c>
      <c r="C140" s="1">
        <v>1</v>
      </c>
      <c r="D140" s="1" t="s">
        <v>262</v>
      </c>
      <c r="E140" s="4">
        <v>45400</v>
      </c>
      <c r="F140" s="4" t="s">
        <v>669</v>
      </c>
      <c r="G140" s="6">
        <f t="shared" si="12"/>
        <v>0.78964120370370372</v>
      </c>
      <c r="H140" s="3">
        <v>0.76255787037037037</v>
      </c>
      <c r="I140" s="3">
        <v>1.7824074074074076E-2</v>
      </c>
      <c r="J140" s="3">
        <f>I140+H140</f>
        <v>0.78038194444444442</v>
      </c>
      <c r="K140" s="6">
        <v>2.7083333333333334E-2</v>
      </c>
      <c r="L140" s="1">
        <v>1</v>
      </c>
      <c r="M140" s="1" t="s">
        <v>13</v>
      </c>
      <c r="N140" s="5" t="s">
        <v>547</v>
      </c>
      <c r="O140" s="1" t="s">
        <v>13</v>
      </c>
      <c r="P140" s="39">
        <v>0.05</v>
      </c>
      <c r="Q140" s="39">
        <v>0.05</v>
      </c>
      <c r="S140" s="1">
        <v>1</v>
      </c>
      <c r="V140" s="1" t="s">
        <v>27</v>
      </c>
      <c r="W140" s="1" t="s">
        <v>541</v>
      </c>
    </row>
    <row r="141" spans="1:25" x14ac:dyDescent="0.2">
      <c r="A141" s="1">
        <v>1</v>
      </c>
      <c r="B141" s="1" t="s">
        <v>551</v>
      </c>
      <c r="C141" s="1">
        <v>1</v>
      </c>
      <c r="D141" s="1" t="s">
        <v>557</v>
      </c>
      <c r="E141" s="4">
        <v>45401</v>
      </c>
      <c r="F141" s="4" t="s">
        <v>669</v>
      </c>
      <c r="G141" s="6">
        <f t="shared" si="12"/>
        <v>0.23703703703703705</v>
      </c>
      <c r="H141" s="3">
        <v>0.22218750000000001</v>
      </c>
      <c r="I141" s="1" t="s">
        <v>27</v>
      </c>
      <c r="J141" s="1" t="s">
        <v>27</v>
      </c>
      <c r="K141" s="6">
        <v>1.4849537037037038E-2</v>
      </c>
      <c r="L141" s="1">
        <v>1</v>
      </c>
      <c r="M141" s="1" t="s">
        <v>14</v>
      </c>
      <c r="N141" s="5" t="s">
        <v>547</v>
      </c>
      <c r="O141" s="1" t="s">
        <v>14</v>
      </c>
      <c r="P141" s="39">
        <v>0.05</v>
      </c>
      <c r="Q141" s="39">
        <v>0.05</v>
      </c>
      <c r="S141" s="1">
        <v>1</v>
      </c>
      <c r="U141" s="1" t="s">
        <v>499</v>
      </c>
      <c r="V141" s="1" t="s">
        <v>27</v>
      </c>
      <c r="W141" s="1" t="s">
        <v>541</v>
      </c>
    </row>
    <row r="142" spans="1:25" x14ac:dyDescent="0.2">
      <c r="A142" s="1">
        <v>1</v>
      </c>
      <c r="B142" s="1" t="s">
        <v>551</v>
      </c>
      <c r="C142" s="1">
        <v>2</v>
      </c>
      <c r="D142" s="1" t="s">
        <v>557</v>
      </c>
      <c r="E142" s="4">
        <v>45401</v>
      </c>
      <c r="F142" s="4" t="s">
        <v>669</v>
      </c>
      <c r="G142" s="6">
        <f t="shared" si="12"/>
        <v>0.24986111111111112</v>
      </c>
      <c r="H142" s="3">
        <v>0.22218750000000001</v>
      </c>
      <c r="I142" s="3">
        <v>1.6643518518518519E-2</v>
      </c>
      <c r="J142" s="3">
        <f>I142+H142</f>
        <v>0.23883101851851854</v>
      </c>
      <c r="K142" s="6">
        <v>2.7673611111111111E-2</v>
      </c>
      <c r="L142" s="28">
        <v>1</v>
      </c>
      <c r="M142" s="1" t="s">
        <v>14</v>
      </c>
      <c r="N142" s="29" t="s">
        <v>547</v>
      </c>
      <c r="O142" s="1" t="s">
        <v>14</v>
      </c>
      <c r="P142" s="39">
        <v>0.05</v>
      </c>
      <c r="Q142" s="39">
        <v>0.05</v>
      </c>
      <c r="S142" s="1">
        <v>1</v>
      </c>
      <c r="V142" s="1" t="s">
        <v>27</v>
      </c>
      <c r="W142" s="1" t="s">
        <v>541</v>
      </c>
    </row>
    <row r="143" spans="1:25" x14ac:dyDescent="0.2">
      <c r="A143" s="1">
        <v>1</v>
      </c>
      <c r="B143" s="1" t="s">
        <v>552</v>
      </c>
      <c r="C143" s="1">
        <v>1</v>
      </c>
      <c r="D143" s="1" t="s">
        <v>557</v>
      </c>
      <c r="E143" s="4">
        <v>45401</v>
      </c>
      <c r="F143" s="4" t="s">
        <v>669</v>
      </c>
      <c r="G143" s="6">
        <f t="shared" si="12"/>
        <v>0.25265046296296295</v>
      </c>
      <c r="H143" s="3">
        <v>0.22218750000000001</v>
      </c>
      <c r="I143" s="3">
        <v>1.9166666666666665E-2</v>
      </c>
      <c r="J143" s="3">
        <f>I143+H143</f>
        <v>0.24135416666666668</v>
      </c>
      <c r="K143" s="6">
        <v>3.0462962962962963E-2</v>
      </c>
      <c r="L143" s="28">
        <v>1</v>
      </c>
      <c r="M143" s="1" t="s">
        <v>13</v>
      </c>
      <c r="N143" s="29" t="s">
        <v>547</v>
      </c>
      <c r="O143" s="1" t="s">
        <v>13</v>
      </c>
      <c r="P143" s="39">
        <v>0.05</v>
      </c>
      <c r="Q143" s="39">
        <v>0.05</v>
      </c>
      <c r="S143" s="1">
        <v>1</v>
      </c>
      <c r="V143" s="1" t="s">
        <v>27</v>
      </c>
      <c r="W143" s="15" t="s">
        <v>541</v>
      </c>
    </row>
    <row r="144" spans="1:25" x14ac:dyDescent="0.2">
      <c r="A144" s="1">
        <v>1</v>
      </c>
      <c r="B144" s="1" t="s">
        <v>551</v>
      </c>
      <c r="C144" s="1">
        <v>1</v>
      </c>
      <c r="D144" s="1" t="s">
        <v>263</v>
      </c>
      <c r="E144" s="4">
        <v>45401</v>
      </c>
      <c r="F144" s="31" t="s">
        <v>671</v>
      </c>
      <c r="G144" s="6">
        <f t="shared" si="12"/>
        <v>0.78755787037037028</v>
      </c>
      <c r="H144" s="3">
        <v>0.76921296296296293</v>
      </c>
      <c r="I144" s="3">
        <v>1.0173611111111111E-2</v>
      </c>
      <c r="J144" s="3">
        <f>I144+H144</f>
        <v>0.77938657407407408</v>
      </c>
      <c r="K144" s="6">
        <v>1.8344907407407407E-2</v>
      </c>
      <c r="L144" s="1">
        <v>2</v>
      </c>
      <c r="M144" s="1" t="s">
        <v>14</v>
      </c>
      <c r="N144" s="5" t="s">
        <v>527</v>
      </c>
      <c r="O144" s="1" t="s">
        <v>13</v>
      </c>
      <c r="P144" s="39">
        <v>0.05</v>
      </c>
      <c r="Q144" s="39">
        <v>0.05</v>
      </c>
      <c r="S144" s="1">
        <v>0</v>
      </c>
      <c r="U144" s="1" t="s">
        <v>561</v>
      </c>
      <c r="V144" s="1" t="s">
        <v>27</v>
      </c>
      <c r="W144" s="15" t="s">
        <v>541</v>
      </c>
    </row>
    <row r="145" spans="1:23" x14ac:dyDescent="0.2">
      <c r="A145" s="1">
        <v>1</v>
      </c>
      <c r="B145" s="1" t="s">
        <v>552</v>
      </c>
      <c r="C145" s="1">
        <v>1</v>
      </c>
      <c r="D145" s="1" t="s">
        <v>263</v>
      </c>
      <c r="E145" s="4">
        <v>45401</v>
      </c>
      <c r="F145" s="31" t="s">
        <v>669</v>
      </c>
      <c r="G145" s="6">
        <f t="shared" si="12"/>
        <v>0.78535879629629624</v>
      </c>
      <c r="H145" s="3">
        <v>0.76921296296296293</v>
      </c>
      <c r="I145" s="3">
        <v>6.4467592592592588E-3</v>
      </c>
      <c r="J145" s="3">
        <f>I145+H145</f>
        <v>0.77565972222222224</v>
      </c>
      <c r="K145" s="6">
        <v>1.6145833333333335E-2</v>
      </c>
      <c r="L145" s="1">
        <v>2</v>
      </c>
      <c r="M145" s="1" t="s">
        <v>13</v>
      </c>
      <c r="N145" s="5" t="s">
        <v>527</v>
      </c>
      <c r="O145" s="1" t="s">
        <v>14</v>
      </c>
      <c r="P145" s="39">
        <v>0.05</v>
      </c>
      <c r="Q145" s="39">
        <v>0.05</v>
      </c>
      <c r="S145" s="1">
        <v>1</v>
      </c>
      <c r="V145" s="1" t="s">
        <v>27</v>
      </c>
      <c r="W145" s="15" t="s">
        <v>541</v>
      </c>
    </row>
    <row r="146" spans="1:23" x14ac:dyDescent="0.2">
      <c r="A146" s="1">
        <v>1</v>
      </c>
      <c r="B146" s="1" t="s">
        <v>552</v>
      </c>
      <c r="C146" s="1">
        <v>1</v>
      </c>
      <c r="D146" s="1" t="s">
        <v>119</v>
      </c>
      <c r="E146" s="4">
        <v>45402</v>
      </c>
      <c r="F146" s="31" t="s">
        <v>669</v>
      </c>
      <c r="G146" s="6">
        <f t="shared" si="12"/>
        <v>0.24453703703703705</v>
      </c>
      <c r="H146" s="3">
        <v>0.21969907407407407</v>
      </c>
      <c r="I146" s="3">
        <v>1.337962962962963E-2</v>
      </c>
      <c r="J146" s="3">
        <f>I146+H146</f>
        <v>0.2330787037037037</v>
      </c>
      <c r="K146" s="6">
        <v>2.4837962962962964E-2</v>
      </c>
      <c r="L146" s="1">
        <v>2</v>
      </c>
      <c r="M146" s="1" t="s">
        <v>14</v>
      </c>
      <c r="N146" s="5" t="s">
        <v>527</v>
      </c>
      <c r="O146" s="1" t="s">
        <v>14</v>
      </c>
      <c r="P146" s="39">
        <v>0.05</v>
      </c>
      <c r="Q146" s="39">
        <v>0.05</v>
      </c>
      <c r="S146" s="1">
        <v>1</v>
      </c>
      <c r="U146" s="1" t="s">
        <v>562</v>
      </c>
      <c r="V146" s="1" t="s">
        <v>27</v>
      </c>
      <c r="W146" s="15" t="s">
        <v>541</v>
      </c>
    </row>
    <row r="147" spans="1:23" x14ac:dyDescent="0.2">
      <c r="A147" s="1">
        <v>1</v>
      </c>
      <c r="B147" s="1" t="s">
        <v>551</v>
      </c>
      <c r="C147" s="1">
        <v>1</v>
      </c>
      <c r="D147" s="1" t="s">
        <v>119</v>
      </c>
      <c r="E147" s="4">
        <v>45402</v>
      </c>
      <c r="F147" s="31" t="s">
        <v>671</v>
      </c>
      <c r="G147" s="6">
        <f t="shared" si="12"/>
        <v>0.24439814814814814</v>
      </c>
      <c r="H147" s="3">
        <v>0.21969907407407407</v>
      </c>
      <c r="I147" s="1" t="s">
        <v>27</v>
      </c>
      <c r="J147" s="1" t="s">
        <v>27</v>
      </c>
      <c r="K147" s="6">
        <v>2.4699074074074075E-2</v>
      </c>
      <c r="L147" s="1">
        <v>2</v>
      </c>
      <c r="M147" s="1" t="s">
        <v>13</v>
      </c>
      <c r="N147" s="5" t="s">
        <v>527</v>
      </c>
      <c r="O147" s="1" t="s">
        <v>13</v>
      </c>
      <c r="P147" s="39">
        <v>0.05</v>
      </c>
      <c r="Q147" s="39">
        <v>0.05</v>
      </c>
      <c r="S147" s="1">
        <v>1</v>
      </c>
      <c r="U147" s="1" t="s">
        <v>499</v>
      </c>
      <c r="V147" s="1" t="s">
        <v>27</v>
      </c>
      <c r="W147" s="15" t="s">
        <v>541</v>
      </c>
    </row>
    <row r="148" spans="1:23" x14ac:dyDescent="0.2">
      <c r="A148" s="1">
        <v>1</v>
      </c>
      <c r="B148" s="1" t="s">
        <v>552</v>
      </c>
      <c r="C148" s="1">
        <v>2</v>
      </c>
      <c r="D148" s="1" t="s">
        <v>119</v>
      </c>
      <c r="E148" s="23">
        <v>45402</v>
      </c>
      <c r="F148" s="31" t="s">
        <v>669</v>
      </c>
      <c r="G148" s="6" t="s">
        <v>27</v>
      </c>
      <c r="H148" s="3">
        <v>0.21969907407407407</v>
      </c>
      <c r="I148" s="3">
        <v>2.7604166666666666E-2</v>
      </c>
      <c r="J148" s="3">
        <f>I148+H148</f>
        <v>0.24730324074074073</v>
      </c>
      <c r="K148" s="6" t="s">
        <v>27</v>
      </c>
      <c r="L148" s="1">
        <v>2</v>
      </c>
      <c r="M148" s="1" t="s">
        <v>14</v>
      </c>
      <c r="N148" s="5" t="s">
        <v>527</v>
      </c>
      <c r="O148" s="1" t="s">
        <v>13</v>
      </c>
      <c r="P148" s="39">
        <v>0.05</v>
      </c>
      <c r="Q148" s="39">
        <v>0.05</v>
      </c>
      <c r="S148" s="1" t="s">
        <v>27</v>
      </c>
      <c r="U148" s="1" t="s">
        <v>563</v>
      </c>
      <c r="V148" s="1" t="s">
        <v>27</v>
      </c>
      <c r="W148" s="15" t="s">
        <v>541</v>
      </c>
    </row>
    <row r="149" spans="1:23" x14ac:dyDescent="0.2">
      <c r="A149" s="1">
        <v>1</v>
      </c>
      <c r="B149" s="1" t="s">
        <v>552</v>
      </c>
      <c r="C149" s="1">
        <v>1</v>
      </c>
      <c r="D149" s="1" t="s">
        <v>264</v>
      </c>
      <c r="E149" s="4">
        <v>45402</v>
      </c>
      <c r="F149" s="31" t="s">
        <v>669</v>
      </c>
      <c r="G149" s="6">
        <f>K149+H149</f>
        <v>0.78506944444444449</v>
      </c>
      <c r="H149" s="3">
        <v>0.75356481481481485</v>
      </c>
      <c r="I149" s="3">
        <v>2.4189814814814813E-2</v>
      </c>
      <c r="J149" s="3">
        <f>I149+H149</f>
        <v>0.77775462962962971</v>
      </c>
      <c r="K149" s="6">
        <v>3.1504629629629632E-2</v>
      </c>
      <c r="L149" s="1">
        <v>2</v>
      </c>
      <c r="M149" s="1" t="s">
        <v>13</v>
      </c>
      <c r="N149" s="5" t="s">
        <v>527</v>
      </c>
      <c r="O149" s="1" t="s">
        <v>14</v>
      </c>
      <c r="P149" s="39">
        <v>0.05</v>
      </c>
      <c r="Q149" s="39">
        <v>0.05</v>
      </c>
      <c r="S149" s="1">
        <v>0</v>
      </c>
      <c r="U149" s="1" t="s">
        <v>565</v>
      </c>
      <c r="V149" s="1" t="s">
        <v>27</v>
      </c>
      <c r="W149" s="15" t="s">
        <v>541</v>
      </c>
    </row>
    <row r="150" spans="1:23" x14ac:dyDescent="0.2">
      <c r="A150" s="1">
        <v>1</v>
      </c>
      <c r="B150" s="1" t="s">
        <v>551</v>
      </c>
      <c r="C150" s="1">
        <v>1</v>
      </c>
      <c r="D150" s="1" t="s">
        <v>264</v>
      </c>
      <c r="E150" s="4">
        <v>45402</v>
      </c>
      <c r="F150" s="31" t="s">
        <v>671</v>
      </c>
      <c r="G150" s="6" t="s">
        <v>27</v>
      </c>
      <c r="H150" s="3">
        <v>0.75356481481481485</v>
      </c>
      <c r="I150" s="1" t="s">
        <v>27</v>
      </c>
      <c r="J150" s="1" t="s">
        <v>27</v>
      </c>
      <c r="K150" s="6" t="s">
        <v>27</v>
      </c>
      <c r="L150" s="1">
        <v>2</v>
      </c>
      <c r="M150" s="1" t="s">
        <v>14</v>
      </c>
      <c r="N150" s="5" t="s">
        <v>527</v>
      </c>
      <c r="O150" s="1" t="s">
        <v>13</v>
      </c>
      <c r="P150" s="39">
        <v>0.05</v>
      </c>
      <c r="Q150" s="39">
        <v>0.05</v>
      </c>
      <c r="S150" s="1" t="s">
        <v>27</v>
      </c>
      <c r="U150" s="1" t="s">
        <v>566</v>
      </c>
      <c r="V150" s="1" t="s">
        <v>27</v>
      </c>
      <c r="W150" s="15" t="s">
        <v>541</v>
      </c>
    </row>
    <row r="151" spans="1:23" x14ac:dyDescent="0.2">
      <c r="A151" s="1">
        <v>1</v>
      </c>
      <c r="B151" s="1" t="s">
        <v>552</v>
      </c>
      <c r="C151" s="1">
        <v>1</v>
      </c>
      <c r="D151" s="1" t="s">
        <v>265</v>
      </c>
      <c r="E151" s="4">
        <v>45403</v>
      </c>
      <c r="F151" s="31" t="s">
        <v>669</v>
      </c>
      <c r="G151" s="6">
        <f t="shared" ref="G151:G157" si="13">K151+H151</f>
        <v>0.2575925925925926</v>
      </c>
      <c r="H151" s="3">
        <v>0.22217592592592592</v>
      </c>
      <c r="I151" s="3">
        <v>1.5821759259259258E-2</v>
      </c>
      <c r="J151" s="3">
        <f>I151+H151</f>
        <v>0.23799768518518516</v>
      </c>
      <c r="K151" s="6">
        <v>3.5416666666666666E-2</v>
      </c>
      <c r="L151" s="1">
        <v>2</v>
      </c>
      <c r="M151" s="1" t="s">
        <v>14</v>
      </c>
      <c r="N151" s="5" t="s">
        <v>527</v>
      </c>
      <c r="O151" s="1" t="s">
        <v>13</v>
      </c>
      <c r="P151" s="39">
        <v>0.05</v>
      </c>
      <c r="Q151" s="39">
        <v>0.05</v>
      </c>
      <c r="S151" s="1">
        <v>1</v>
      </c>
      <c r="V151" s="1" t="s">
        <v>27</v>
      </c>
      <c r="W151" s="15" t="s">
        <v>541</v>
      </c>
    </row>
    <row r="152" spans="1:23" x14ac:dyDescent="0.2">
      <c r="A152" s="1">
        <v>1</v>
      </c>
      <c r="B152" s="1" t="s">
        <v>551</v>
      </c>
      <c r="C152" s="1">
        <v>1</v>
      </c>
      <c r="D152" s="1" t="s">
        <v>265</v>
      </c>
      <c r="E152" s="4">
        <v>45403</v>
      </c>
      <c r="F152" s="31" t="s">
        <v>671</v>
      </c>
      <c r="G152" s="6">
        <f t="shared" si="13"/>
        <v>0.24523148148148147</v>
      </c>
      <c r="H152" s="3">
        <v>0.22217592592592592</v>
      </c>
      <c r="I152" s="1" t="s">
        <v>27</v>
      </c>
      <c r="J152" s="1" t="s">
        <v>27</v>
      </c>
      <c r="K152" s="6">
        <v>2.3055555555555555E-2</v>
      </c>
      <c r="L152" s="1">
        <v>2</v>
      </c>
      <c r="M152" s="1" t="s">
        <v>13</v>
      </c>
      <c r="N152" s="5" t="s">
        <v>527</v>
      </c>
      <c r="O152" s="1" t="s">
        <v>14</v>
      </c>
      <c r="P152" s="39">
        <v>0.05</v>
      </c>
      <c r="Q152" s="39">
        <v>0.05</v>
      </c>
      <c r="S152" s="1">
        <v>1</v>
      </c>
      <c r="U152" s="1" t="s">
        <v>499</v>
      </c>
      <c r="V152" s="1" t="s">
        <v>27</v>
      </c>
      <c r="W152" s="15" t="s">
        <v>541</v>
      </c>
    </row>
    <row r="153" spans="1:23" x14ac:dyDescent="0.2">
      <c r="A153" s="1">
        <v>1</v>
      </c>
      <c r="B153" s="1" t="s">
        <v>552</v>
      </c>
      <c r="C153" s="1">
        <v>1</v>
      </c>
      <c r="D153" s="1" t="s">
        <v>266</v>
      </c>
      <c r="E153" s="4">
        <v>45403</v>
      </c>
      <c r="F153" s="31" t="s">
        <v>669</v>
      </c>
      <c r="G153" s="6">
        <f t="shared" si="13"/>
        <v>0.79046296296296303</v>
      </c>
      <c r="H153" s="3">
        <v>0.77098379629629632</v>
      </c>
      <c r="I153" s="3">
        <v>1.4351851851851852E-3</v>
      </c>
      <c r="J153" s="3">
        <f>I153+H153</f>
        <v>0.77241898148148147</v>
      </c>
      <c r="K153" s="6">
        <v>1.9479166666666665E-2</v>
      </c>
      <c r="L153" s="1">
        <v>2</v>
      </c>
      <c r="M153" s="1" t="s">
        <v>13</v>
      </c>
      <c r="N153" s="5" t="s">
        <v>527</v>
      </c>
      <c r="O153" s="1" t="s">
        <v>14</v>
      </c>
      <c r="P153" s="39">
        <v>0.05</v>
      </c>
      <c r="Q153" s="39">
        <v>0.05</v>
      </c>
      <c r="S153" s="1">
        <v>1</v>
      </c>
      <c r="V153" s="1" t="s">
        <v>27</v>
      </c>
      <c r="W153" s="15" t="s">
        <v>541</v>
      </c>
    </row>
    <row r="154" spans="1:23" x14ac:dyDescent="0.2">
      <c r="A154" s="1">
        <v>1</v>
      </c>
      <c r="B154" s="1" t="s">
        <v>552</v>
      </c>
      <c r="C154" s="1">
        <v>1</v>
      </c>
      <c r="D154" s="1" t="s">
        <v>128</v>
      </c>
      <c r="E154" s="4">
        <v>45404</v>
      </c>
      <c r="F154" s="31" t="s">
        <v>669</v>
      </c>
      <c r="G154" s="6">
        <f t="shared" si="13"/>
        <v>0.23616898148148149</v>
      </c>
      <c r="H154" s="3">
        <v>0.21555555555555556</v>
      </c>
      <c r="I154" s="1" t="s">
        <v>27</v>
      </c>
      <c r="J154" s="1" t="s">
        <v>27</v>
      </c>
      <c r="K154" s="3">
        <v>2.0613425925925927E-2</v>
      </c>
      <c r="L154" s="1">
        <v>2</v>
      </c>
      <c r="M154" s="1" t="s">
        <v>14</v>
      </c>
      <c r="N154" s="5" t="s">
        <v>527</v>
      </c>
      <c r="O154" s="1" t="s">
        <v>14</v>
      </c>
      <c r="P154" s="39">
        <v>0.05</v>
      </c>
      <c r="Q154" s="39">
        <v>0.05</v>
      </c>
      <c r="S154" s="1">
        <v>0</v>
      </c>
      <c r="V154" s="1" t="s">
        <v>27</v>
      </c>
      <c r="W154" s="15" t="s">
        <v>541</v>
      </c>
    </row>
    <row r="155" spans="1:23" x14ac:dyDescent="0.2">
      <c r="A155" s="1">
        <v>1</v>
      </c>
      <c r="B155" s="1" t="s">
        <v>552</v>
      </c>
      <c r="C155" s="1">
        <v>2</v>
      </c>
      <c r="D155" s="1" t="s">
        <v>128</v>
      </c>
      <c r="E155" s="4">
        <v>45404</v>
      </c>
      <c r="F155" s="31" t="s">
        <v>669</v>
      </c>
      <c r="G155" s="6">
        <f t="shared" si="13"/>
        <v>0.24469907407407407</v>
      </c>
      <c r="H155" s="3">
        <v>0.21555555555555556</v>
      </c>
      <c r="I155" s="3">
        <v>2.4444444444444446E-2</v>
      </c>
      <c r="J155" s="3">
        <f>I155+H155</f>
        <v>0.24</v>
      </c>
      <c r="K155" s="6">
        <v>2.914351851851852E-2</v>
      </c>
      <c r="L155" s="1">
        <v>2</v>
      </c>
      <c r="M155" s="1" t="s">
        <v>14</v>
      </c>
      <c r="N155" s="5" t="s">
        <v>527</v>
      </c>
      <c r="O155" s="1" t="s">
        <v>14</v>
      </c>
      <c r="P155" s="39">
        <v>0.05</v>
      </c>
      <c r="Q155" s="39">
        <v>0.05</v>
      </c>
      <c r="S155" s="1">
        <v>0</v>
      </c>
      <c r="U155" s="1" t="s">
        <v>567</v>
      </c>
      <c r="V155" s="1" t="s">
        <v>27</v>
      </c>
      <c r="W155" s="15" t="s">
        <v>541</v>
      </c>
    </row>
    <row r="156" spans="1:23" x14ac:dyDescent="0.2">
      <c r="A156" s="1">
        <v>1</v>
      </c>
      <c r="B156" s="1" t="s">
        <v>551</v>
      </c>
      <c r="C156" s="1">
        <v>1</v>
      </c>
      <c r="D156" s="1" t="s">
        <v>128</v>
      </c>
      <c r="E156" s="4">
        <v>45404</v>
      </c>
      <c r="F156" s="31" t="s">
        <v>671</v>
      </c>
      <c r="G156" s="6">
        <f t="shared" si="13"/>
        <v>0.24150462962962962</v>
      </c>
      <c r="H156" s="3">
        <v>0.21555555555555556</v>
      </c>
      <c r="I156" s="1" t="s">
        <v>27</v>
      </c>
      <c r="J156" s="1" t="s">
        <v>27</v>
      </c>
      <c r="K156" s="6">
        <v>2.5949074074074076E-2</v>
      </c>
      <c r="L156" s="1">
        <v>2</v>
      </c>
      <c r="M156" s="1" t="s">
        <v>13</v>
      </c>
      <c r="N156" s="5" t="s">
        <v>527</v>
      </c>
      <c r="O156" s="1" t="s">
        <v>13</v>
      </c>
      <c r="P156" s="39">
        <v>0.05</v>
      </c>
      <c r="Q156" s="39">
        <v>0.05</v>
      </c>
      <c r="S156" s="1">
        <v>0</v>
      </c>
      <c r="V156" s="1" t="s">
        <v>27</v>
      </c>
      <c r="W156" s="15" t="s">
        <v>541</v>
      </c>
    </row>
    <row r="157" spans="1:23" x14ac:dyDescent="0.2">
      <c r="A157" s="1">
        <v>1</v>
      </c>
      <c r="B157" s="1" t="s">
        <v>552</v>
      </c>
      <c r="C157" s="1">
        <v>1</v>
      </c>
      <c r="D157" s="1" t="s">
        <v>178</v>
      </c>
      <c r="E157" s="4">
        <v>45404</v>
      </c>
      <c r="F157" s="31" t="s">
        <v>669</v>
      </c>
      <c r="G157" s="6">
        <f t="shared" si="13"/>
        <v>0.78515046296296287</v>
      </c>
      <c r="H157" s="3">
        <v>0.76487268518518514</v>
      </c>
      <c r="I157" s="3">
        <v>8.8425925925925929E-3</v>
      </c>
      <c r="J157" s="3">
        <f>I157+H157</f>
        <v>0.77371527777777771</v>
      </c>
      <c r="K157" s="6">
        <v>2.0277777777777777E-2</v>
      </c>
      <c r="L157" s="1">
        <v>2</v>
      </c>
      <c r="M157" s="1" t="s">
        <v>14</v>
      </c>
      <c r="N157" s="5" t="s">
        <v>527</v>
      </c>
      <c r="O157" s="1" t="s">
        <v>14</v>
      </c>
      <c r="P157" s="39">
        <v>0.05</v>
      </c>
      <c r="Q157" s="39">
        <v>0.05</v>
      </c>
      <c r="S157" s="1">
        <v>1</v>
      </c>
      <c r="V157" s="15" t="s">
        <v>27</v>
      </c>
      <c r="W157" s="15" t="s">
        <v>541</v>
      </c>
    </row>
    <row r="158" spans="1:23" x14ac:dyDescent="0.2">
      <c r="A158" s="1">
        <v>1</v>
      </c>
      <c r="B158" s="1" t="s">
        <v>551</v>
      </c>
      <c r="C158" s="1" t="s">
        <v>27</v>
      </c>
      <c r="D158" s="1" t="s">
        <v>180</v>
      </c>
      <c r="E158" s="4">
        <v>45405</v>
      </c>
      <c r="F158" s="31" t="s">
        <v>671</v>
      </c>
      <c r="G158" s="6" t="s">
        <v>27</v>
      </c>
      <c r="H158" s="3">
        <v>0.76297453703703699</v>
      </c>
      <c r="I158" s="1" t="s">
        <v>27</v>
      </c>
      <c r="J158" s="1" t="s">
        <v>27</v>
      </c>
      <c r="K158" s="1" t="s">
        <v>27</v>
      </c>
      <c r="L158" s="1">
        <v>2</v>
      </c>
      <c r="M158" s="1" t="s">
        <v>14</v>
      </c>
      <c r="N158" s="5" t="s">
        <v>527</v>
      </c>
      <c r="O158" s="1" t="s">
        <v>14</v>
      </c>
      <c r="P158" s="39">
        <v>0.05</v>
      </c>
      <c r="Q158" s="39">
        <v>0.05</v>
      </c>
      <c r="S158" s="1" t="s">
        <v>27</v>
      </c>
      <c r="U158" s="1" t="s">
        <v>570</v>
      </c>
      <c r="V158" s="1" t="s">
        <v>27</v>
      </c>
      <c r="W158" s="15" t="s">
        <v>541</v>
      </c>
    </row>
    <row r="159" spans="1:23" x14ac:dyDescent="0.2">
      <c r="A159" s="1">
        <v>1</v>
      </c>
      <c r="B159" s="1" t="s">
        <v>552</v>
      </c>
      <c r="C159" s="1" t="s">
        <v>27</v>
      </c>
      <c r="D159" s="1" t="s">
        <v>180</v>
      </c>
      <c r="E159" s="4">
        <v>45405</v>
      </c>
      <c r="F159" s="31" t="s">
        <v>669</v>
      </c>
      <c r="G159" s="6" t="s">
        <v>27</v>
      </c>
      <c r="H159" s="3">
        <v>0.76297453703703699</v>
      </c>
      <c r="I159" s="1" t="s">
        <v>27</v>
      </c>
      <c r="J159" s="1" t="s">
        <v>27</v>
      </c>
      <c r="K159" s="1" t="s">
        <v>27</v>
      </c>
      <c r="L159" s="1">
        <v>2</v>
      </c>
      <c r="M159" s="1" t="s">
        <v>13</v>
      </c>
      <c r="N159" s="5" t="s">
        <v>527</v>
      </c>
      <c r="O159" s="1" t="s">
        <v>13</v>
      </c>
      <c r="P159" s="39">
        <v>0.05</v>
      </c>
      <c r="Q159" s="39">
        <v>0.05</v>
      </c>
      <c r="S159" s="1" t="s">
        <v>27</v>
      </c>
      <c r="U159" s="1" t="s">
        <v>570</v>
      </c>
      <c r="V159" s="1" t="s">
        <v>27</v>
      </c>
      <c r="W159" s="15" t="s">
        <v>541</v>
      </c>
    </row>
    <row r="160" spans="1:23" x14ac:dyDescent="0.2">
      <c r="A160" s="1">
        <v>1</v>
      </c>
      <c r="B160" s="1" t="s">
        <v>552</v>
      </c>
      <c r="C160" s="1">
        <v>1</v>
      </c>
      <c r="D160" s="1" t="s">
        <v>316</v>
      </c>
      <c r="E160" s="4">
        <v>45405</v>
      </c>
      <c r="F160" s="31" t="s">
        <v>669</v>
      </c>
      <c r="G160" s="6">
        <f t="shared" ref="G160:G166" si="14">K160+H160</f>
        <v>0.24346064814814816</v>
      </c>
      <c r="H160" s="3">
        <v>0.22270833333333334</v>
      </c>
      <c r="I160" s="3">
        <v>1.5694444444444445E-2</v>
      </c>
      <c r="J160" s="3">
        <f>I160+H160</f>
        <v>0.2384027777777778</v>
      </c>
      <c r="K160" s="6">
        <v>2.0752314814814814E-2</v>
      </c>
      <c r="L160" s="1">
        <v>2</v>
      </c>
      <c r="M160" s="1" t="s">
        <v>13</v>
      </c>
      <c r="N160" s="5" t="s">
        <v>527</v>
      </c>
      <c r="O160" s="1" t="s">
        <v>13</v>
      </c>
      <c r="P160" s="39">
        <v>0.05</v>
      </c>
      <c r="Q160" s="39">
        <v>0.05</v>
      </c>
      <c r="S160" s="1">
        <v>1</v>
      </c>
      <c r="V160" s="1" t="s">
        <v>27</v>
      </c>
      <c r="W160" s="15" t="s">
        <v>541</v>
      </c>
    </row>
    <row r="161" spans="1:23" x14ac:dyDescent="0.2">
      <c r="A161" s="1">
        <v>1</v>
      </c>
      <c r="B161" s="1" t="s">
        <v>551</v>
      </c>
      <c r="C161" s="1">
        <v>1</v>
      </c>
      <c r="D161" s="1" t="s">
        <v>316</v>
      </c>
      <c r="E161" s="4">
        <v>45405</v>
      </c>
      <c r="F161" s="31" t="s">
        <v>671</v>
      </c>
      <c r="G161" s="6">
        <f t="shared" si="14"/>
        <v>0.24447916666666666</v>
      </c>
      <c r="H161" s="3">
        <v>0.22270833333333334</v>
      </c>
      <c r="I161" s="1" t="s">
        <v>27</v>
      </c>
      <c r="J161" s="1" t="s">
        <v>27</v>
      </c>
      <c r="K161" s="6">
        <v>2.1770833333333333E-2</v>
      </c>
      <c r="L161" s="1">
        <v>2</v>
      </c>
      <c r="M161" s="1" t="s">
        <v>14</v>
      </c>
      <c r="N161" s="5" t="s">
        <v>527</v>
      </c>
      <c r="O161" s="1" t="s">
        <v>14</v>
      </c>
      <c r="P161" s="39">
        <v>0.05</v>
      </c>
      <c r="Q161" s="39">
        <v>0.05</v>
      </c>
      <c r="S161" s="1">
        <v>1</v>
      </c>
      <c r="U161" s="1" t="s">
        <v>571</v>
      </c>
      <c r="V161" s="1" t="s">
        <v>27</v>
      </c>
      <c r="W161" s="15" t="s">
        <v>541</v>
      </c>
    </row>
    <row r="162" spans="1:23" x14ac:dyDescent="0.2">
      <c r="A162" s="1">
        <v>1</v>
      </c>
      <c r="B162" s="1" t="s">
        <v>552</v>
      </c>
      <c r="C162" s="1">
        <v>2</v>
      </c>
      <c r="D162" s="1" t="s">
        <v>316</v>
      </c>
      <c r="E162" s="4">
        <v>45405</v>
      </c>
      <c r="F162" s="31" t="s">
        <v>669</v>
      </c>
      <c r="G162" s="6">
        <f t="shared" si="14"/>
        <v>0.24832175925925926</v>
      </c>
      <c r="H162" s="3">
        <v>0.22270833333333334</v>
      </c>
      <c r="I162" s="6">
        <v>2.3252314814814816E-2</v>
      </c>
      <c r="J162" s="3">
        <f>I162+H162</f>
        <v>0.24596064814814816</v>
      </c>
      <c r="K162" s="6">
        <v>2.5613425925925925E-2</v>
      </c>
      <c r="L162" s="1">
        <v>2</v>
      </c>
      <c r="M162" s="1" t="s">
        <v>13</v>
      </c>
      <c r="N162" s="5" t="s">
        <v>527</v>
      </c>
      <c r="O162" s="1" t="s">
        <v>13</v>
      </c>
      <c r="P162" s="39">
        <v>0.05</v>
      </c>
      <c r="Q162" s="39">
        <v>0.05</v>
      </c>
      <c r="S162" s="1">
        <v>1</v>
      </c>
      <c r="V162" s="15" t="s">
        <v>27</v>
      </c>
      <c r="W162" s="15" t="s">
        <v>541</v>
      </c>
    </row>
    <row r="163" spans="1:23" x14ac:dyDescent="0.2">
      <c r="A163" s="1">
        <v>1</v>
      </c>
      <c r="B163" s="1" t="s">
        <v>552</v>
      </c>
      <c r="C163" s="1">
        <v>1</v>
      </c>
      <c r="D163" s="1" t="s">
        <v>299</v>
      </c>
      <c r="E163" s="4">
        <v>45406</v>
      </c>
      <c r="F163" s="31" t="s">
        <v>669</v>
      </c>
      <c r="G163" s="6">
        <f t="shared" si="14"/>
        <v>0.24834490740740739</v>
      </c>
      <c r="H163" s="3">
        <v>0.22096064814814814</v>
      </c>
      <c r="I163" s="1" t="s">
        <v>27</v>
      </c>
      <c r="J163" s="1" t="s">
        <v>27</v>
      </c>
      <c r="K163" s="6">
        <v>2.7384259259259261E-2</v>
      </c>
      <c r="L163" s="1">
        <v>2</v>
      </c>
      <c r="M163" s="1" t="s">
        <v>13</v>
      </c>
      <c r="N163" s="5" t="s">
        <v>527</v>
      </c>
      <c r="O163" s="1" t="s">
        <v>14</v>
      </c>
      <c r="P163" s="39">
        <v>0.05</v>
      </c>
      <c r="Q163" s="39">
        <v>0.05</v>
      </c>
      <c r="S163" s="1">
        <v>0</v>
      </c>
      <c r="U163" s="1" t="s">
        <v>569</v>
      </c>
      <c r="V163" s="1" t="s">
        <v>27</v>
      </c>
      <c r="W163" s="15" t="s">
        <v>541</v>
      </c>
    </row>
    <row r="164" spans="1:23" x14ac:dyDescent="0.2">
      <c r="A164" s="1">
        <v>1</v>
      </c>
      <c r="B164" s="1" t="s">
        <v>551</v>
      </c>
      <c r="C164" s="1">
        <v>1</v>
      </c>
      <c r="D164" s="1" t="s">
        <v>299</v>
      </c>
      <c r="E164" s="4">
        <v>45406</v>
      </c>
      <c r="F164" s="31" t="s">
        <v>671</v>
      </c>
      <c r="G164" s="6">
        <f t="shared" si="14"/>
        <v>0.24840277777777778</v>
      </c>
      <c r="H164" s="3">
        <v>0.22096064814814814</v>
      </c>
      <c r="I164" s="1" t="s">
        <v>27</v>
      </c>
      <c r="J164" s="1" t="s">
        <v>27</v>
      </c>
      <c r="K164" s="6">
        <v>2.7442129629629629E-2</v>
      </c>
      <c r="L164" s="1">
        <v>2</v>
      </c>
      <c r="M164" s="1" t="s">
        <v>14</v>
      </c>
      <c r="N164" s="5" t="s">
        <v>527</v>
      </c>
      <c r="O164" s="1" t="s">
        <v>13</v>
      </c>
      <c r="P164" s="39">
        <v>0.05</v>
      </c>
      <c r="Q164" s="39">
        <v>0.05</v>
      </c>
      <c r="S164" s="1">
        <v>0</v>
      </c>
      <c r="U164" s="1" t="s">
        <v>499</v>
      </c>
      <c r="V164" s="1" t="s">
        <v>27</v>
      </c>
      <c r="W164" s="15" t="s">
        <v>541</v>
      </c>
    </row>
    <row r="165" spans="1:23" x14ac:dyDescent="0.2">
      <c r="A165" s="1">
        <v>1</v>
      </c>
      <c r="B165" s="1" t="s">
        <v>552</v>
      </c>
      <c r="C165" s="1">
        <v>2</v>
      </c>
      <c r="D165" s="1" t="s">
        <v>299</v>
      </c>
      <c r="E165" s="4">
        <v>45406</v>
      </c>
      <c r="F165" s="31" t="s">
        <v>669</v>
      </c>
      <c r="G165" s="6">
        <f t="shared" si="14"/>
        <v>0.25394675925925925</v>
      </c>
      <c r="H165" s="3">
        <v>0.22096064814814814</v>
      </c>
      <c r="I165" s="3">
        <v>2.2731481481481481E-2</v>
      </c>
      <c r="J165" s="3">
        <f>I165+H165</f>
        <v>0.24369212962962963</v>
      </c>
      <c r="K165" s="6">
        <v>3.2986111111111112E-2</v>
      </c>
      <c r="L165" s="1">
        <v>2</v>
      </c>
      <c r="M165" s="1" t="s">
        <v>14</v>
      </c>
      <c r="N165" s="5" t="s">
        <v>527</v>
      </c>
      <c r="O165" s="1" t="s">
        <v>14</v>
      </c>
      <c r="P165" s="39">
        <v>0.05</v>
      </c>
      <c r="Q165" s="39">
        <v>0.05</v>
      </c>
      <c r="S165" s="1">
        <v>0</v>
      </c>
      <c r="U165" s="1" t="s">
        <v>568</v>
      </c>
      <c r="V165" s="1" t="s">
        <v>27</v>
      </c>
      <c r="W165" s="15" t="s">
        <v>541</v>
      </c>
    </row>
    <row r="166" spans="1:23" x14ac:dyDescent="0.2">
      <c r="A166" s="1">
        <v>1</v>
      </c>
      <c r="B166" s="1" t="s">
        <v>552</v>
      </c>
      <c r="C166" s="1">
        <v>1</v>
      </c>
      <c r="D166" s="1" t="s">
        <v>292</v>
      </c>
      <c r="E166" s="4">
        <v>45406</v>
      </c>
      <c r="F166" s="4" t="s">
        <v>671</v>
      </c>
      <c r="G166" s="6">
        <f t="shared" si="14"/>
        <v>0.78427083333333336</v>
      </c>
      <c r="H166" s="3">
        <v>0.76820601851851855</v>
      </c>
      <c r="I166" s="3">
        <v>9.1087962962962971E-3</v>
      </c>
      <c r="J166" s="3">
        <f>I166+H166</f>
        <v>0.7773148148148149</v>
      </c>
      <c r="K166" s="6">
        <v>1.6064814814814816E-2</v>
      </c>
      <c r="L166" s="1">
        <v>2</v>
      </c>
      <c r="M166" s="1" t="s">
        <v>14</v>
      </c>
      <c r="N166" s="5" t="s">
        <v>226</v>
      </c>
      <c r="O166" s="1" t="s">
        <v>13</v>
      </c>
      <c r="P166" s="39">
        <v>0.05</v>
      </c>
      <c r="Q166" s="39">
        <v>0.1</v>
      </c>
      <c r="S166" s="1">
        <v>1</v>
      </c>
      <c r="V166" s="15" t="s">
        <v>27</v>
      </c>
      <c r="W166" s="15" t="s">
        <v>541</v>
      </c>
    </row>
    <row r="167" spans="1:23" x14ac:dyDescent="0.2">
      <c r="A167" s="1">
        <v>1</v>
      </c>
      <c r="B167" s="1" t="s">
        <v>551</v>
      </c>
      <c r="C167" s="1" t="s">
        <v>27</v>
      </c>
      <c r="D167" s="1" t="s">
        <v>292</v>
      </c>
      <c r="E167" s="4">
        <v>45406</v>
      </c>
      <c r="F167" s="4" t="s">
        <v>671</v>
      </c>
      <c r="G167" s="6" t="s">
        <v>27</v>
      </c>
      <c r="H167" s="3">
        <v>0.76820601851851855</v>
      </c>
      <c r="I167" s="1" t="s">
        <v>27</v>
      </c>
      <c r="J167" s="1" t="s">
        <v>27</v>
      </c>
      <c r="K167" s="6" t="s">
        <v>27</v>
      </c>
      <c r="L167" s="1">
        <v>2</v>
      </c>
      <c r="M167" s="1" t="s">
        <v>13</v>
      </c>
      <c r="N167" s="5" t="s">
        <v>226</v>
      </c>
      <c r="O167" s="1" t="s">
        <v>14</v>
      </c>
      <c r="P167" s="39">
        <v>0.05</v>
      </c>
      <c r="Q167" s="39">
        <v>0.1</v>
      </c>
      <c r="S167" s="1" t="s">
        <v>27</v>
      </c>
      <c r="V167" s="15" t="s">
        <v>27</v>
      </c>
      <c r="W167" s="15" t="s">
        <v>541</v>
      </c>
    </row>
    <row r="168" spans="1:23" x14ac:dyDescent="0.2">
      <c r="A168" s="1">
        <v>1</v>
      </c>
      <c r="B168" s="1" t="s">
        <v>551</v>
      </c>
      <c r="C168" s="1">
        <v>1</v>
      </c>
      <c r="D168" s="1" t="s">
        <v>291</v>
      </c>
      <c r="E168" s="4">
        <v>45407</v>
      </c>
      <c r="F168" s="4" t="s">
        <v>671</v>
      </c>
      <c r="G168" s="6" t="s">
        <v>27</v>
      </c>
      <c r="H168" s="3">
        <v>0.75351851851851848</v>
      </c>
      <c r="I168" s="1" t="s">
        <v>27</v>
      </c>
      <c r="J168" s="1" t="s">
        <v>27</v>
      </c>
      <c r="K168" s="6" t="s">
        <v>27</v>
      </c>
      <c r="L168" s="1">
        <v>3</v>
      </c>
      <c r="M168" s="1" t="s">
        <v>14</v>
      </c>
      <c r="N168" s="5" t="s">
        <v>226</v>
      </c>
      <c r="O168" s="1" t="s">
        <v>14</v>
      </c>
      <c r="P168" s="39">
        <v>0.1</v>
      </c>
      <c r="Q168" s="39">
        <v>0.1</v>
      </c>
      <c r="S168" s="1" t="s">
        <v>27</v>
      </c>
      <c r="U168" s="1" t="s">
        <v>587</v>
      </c>
      <c r="V168" s="15" t="s">
        <v>27</v>
      </c>
      <c r="W168" s="15" t="s">
        <v>541</v>
      </c>
    </row>
    <row r="169" spans="1:23" x14ac:dyDescent="0.2">
      <c r="A169" s="1">
        <v>1</v>
      </c>
      <c r="B169" s="1" t="s">
        <v>552</v>
      </c>
      <c r="C169" s="1">
        <v>1</v>
      </c>
      <c r="D169" s="1" t="s">
        <v>291</v>
      </c>
      <c r="E169" s="4">
        <v>45407</v>
      </c>
      <c r="F169" s="4" t="s">
        <v>671</v>
      </c>
      <c r="G169" s="6">
        <f>K169+H169</f>
        <v>0.76717592592592587</v>
      </c>
      <c r="H169" s="3">
        <v>0.75351851851851848</v>
      </c>
      <c r="I169" s="3">
        <v>1.1817129629629629E-2</v>
      </c>
      <c r="J169" s="3">
        <f>I169+H169</f>
        <v>0.76533564814814814</v>
      </c>
      <c r="K169" s="6">
        <v>1.3657407407407408E-2</v>
      </c>
      <c r="L169" s="1">
        <v>3</v>
      </c>
      <c r="M169" s="1" t="s">
        <v>13</v>
      </c>
      <c r="N169" s="5" t="s">
        <v>226</v>
      </c>
      <c r="O169" s="1" t="s">
        <v>13</v>
      </c>
      <c r="P169" s="39">
        <v>0.1</v>
      </c>
      <c r="Q169" s="39">
        <v>0.1</v>
      </c>
      <c r="S169" s="1" t="s">
        <v>27</v>
      </c>
      <c r="U169" s="1" t="s">
        <v>586</v>
      </c>
      <c r="V169" s="15" t="s">
        <v>27</v>
      </c>
      <c r="W169" s="15" t="s">
        <v>541</v>
      </c>
    </row>
    <row r="170" spans="1:23" x14ac:dyDescent="0.2">
      <c r="A170" s="1">
        <v>1</v>
      </c>
      <c r="B170" s="1" t="s">
        <v>551</v>
      </c>
      <c r="C170" s="1">
        <v>1</v>
      </c>
      <c r="D170" s="1" t="s">
        <v>585</v>
      </c>
      <c r="E170" s="4">
        <v>45408</v>
      </c>
      <c r="F170" s="4" t="s">
        <v>671</v>
      </c>
      <c r="G170" s="6">
        <f>K170+H170</f>
        <v>0.78583333333333338</v>
      </c>
      <c r="H170" s="3">
        <v>0.75815972222222228</v>
      </c>
      <c r="I170" s="3">
        <v>2.2743055555555555E-2</v>
      </c>
      <c r="J170" s="3">
        <f>I170+H170</f>
        <v>0.78090277777777783</v>
      </c>
      <c r="K170" s="6">
        <v>2.7673611111111111E-2</v>
      </c>
      <c r="L170" s="1">
        <v>3</v>
      </c>
      <c r="M170" s="1" t="s">
        <v>14</v>
      </c>
      <c r="N170" s="5" t="s">
        <v>226</v>
      </c>
      <c r="O170" s="1" t="s">
        <v>14</v>
      </c>
      <c r="P170" s="39">
        <v>0.1</v>
      </c>
      <c r="Q170" s="39">
        <v>0.1</v>
      </c>
      <c r="S170" s="1">
        <v>1</v>
      </c>
      <c r="V170" s="15" t="s">
        <v>27</v>
      </c>
      <c r="W170" s="15" t="s">
        <v>541</v>
      </c>
    </row>
    <row r="171" spans="1:23" x14ac:dyDescent="0.2">
      <c r="A171" s="1">
        <v>1</v>
      </c>
      <c r="B171" s="1" t="s">
        <v>552</v>
      </c>
      <c r="C171" s="1" t="s">
        <v>27</v>
      </c>
      <c r="D171" s="1" t="s">
        <v>585</v>
      </c>
      <c r="E171" s="4">
        <v>45408</v>
      </c>
      <c r="F171" s="4" t="s">
        <v>671</v>
      </c>
      <c r="G171" s="6" t="s">
        <v>27</v>
      </c>
      <c r="H171" s="3">
        <v>0.75815972222222228</v>
      </c>
      <c r="I171" s="1" t="s">
        <v>27</v>
      </c>
      <c r="J171" s="1" t="s">
        <v>27</v>
      </c>
      <c r="K171" s="6" t="s">
        <v>27</v>
      </c>
      <c r="L171" s="1">
        <v>3</v>
      </c>
      <c r="M171" s="1" t="s">
        <v>13</v>
      </c>
      <c r="N171" s="5" t="s">
        <v>226</v>
      </c>
      <c r="O171" s="1" t="s">
        <v>13</v>
      </c>
      <c r="P171" s="39">
        <v>0.1</v>
      </c>
      <c r="Q171" s="39">
        <v>0.1</v>
      </c>
      <c r="S171" s="1" t="s">
        <v>27</v>
      </c>
      <c r="V171" s="15" t="s">
        <v>27</v>
      </c>
      <c r="W171" s="15" t="s">
        <v>541</v>
      </c>
    </row>
    <row r="172" spans="1:23" x14ac:dyDescent="0.2">
      <c r="A172" s="1">
        <v>1</v>
      </c>
      <c r="B172" s="1" t="s">
        <v>552</v>
      </c>
      <c r="C172" s="1">
        <v>1</v>
      </c>
      <c r="D172" s="1" t="s">
        <v>588</v>
      </c>
      <c r="E172" s="4">
        <v>45409</v>
      </c>
      <c r="F172" s="4" t="s">
        <v>671</v>
      </c>
      <c r="G172" s="6">
        <f>K172+H172</f>
        <v>0.78149305555555559</v>
      </c>
      <c r="H172" s="3">
        <v>0.77422453703703709</v>
      </c>
      <c r="I172" s="1" t="s">
        <v>27</v>
      </c>
      <c r="J172" s="1" t="s">
        <v>27</v>
      </c>
      <c r="K172" s="6">
        <v>7.2685185185185188E-3</v>
      </c>
      <c r="L172" s="1">
        <v>2</v>
      </c>
      <c r="M172" s="1" t="s">
        <v>14</v>
      </c>
      <c r="N172" s="5" t="s">
        <v>527</v>
      </c>
      <c r="O172" s="1" t="s">
        <v>14</v>
      </c>
      <c r="P172" s="39">
        <v>0.1</v>
      </c>
      <c r="Q172" s="39">
        <v>0.1</v>
      </c>
      <c r="S172" s="1">
        <v>0</v>
      </c>
      <c r="U172" s="1" t="s">
        <v>590</v>
      </c>
      <c r="V172" s="15" t="s">
        <v>27</v>
      </c>
      <c r="W172" s="15" t="s">
        <v>541</v>
      </c>
    </row>
    <row r="173" spans="1:23" x14ac:dyDescent="0.2">
      <c r="A173" s="1">
        <v>1</v>
      </c>
      <c r="B173" s="1" t="s">
        <v>551</v>
      </c>
      <c r="C173" s="1" t="s">
        <v>27</v>
      </c>
      <c r="D173" s="1" t="s">
        <v>588</v>
      </c>
      <c r="E173" s="4">
        <v>45409</v>
      </c>
      <c r="F173" s="4" t="s">
        <v>671</v>
      </c>
      <c r="G173" s="6" t="s">
        <v>27</v>
      </c>
      <c r="H173" s="3">
        <v>0.77422453703703709</v>
      </c>
      <c r="I173" s="1" t="s">
        <v>27</v>
      </c>
      <c r="J173" s="1" t="s">
        <v>27</v>
      </c>
      <c r="K173" s="6" t="s">
        <v>27</v>
      </c>
      <c r="L173" s="1">
        <v>2</v>
      </c>
      <c r="M173" s="1" t="s">
        <v>13</v>
      </c>
      <c r="N173" s="5" t="s">
        <v>527</v>
      </c>
      <c r="O173" s="1" t="s">
        <v>13</v>
      </c>
      <c r="P173" s="39">
        <v>0.1</v>
      </c>
      <c r="Q173" s="39">
        <v>0.1</v>
      </c>
      <c r="S173" s="1" t="s">
        <v>27</v>
      </c>
      <c r="U173" s="1" t="s">
        <v>566</v>
      </c>
      <c r="V173" s="15" t="s">
        <v>27</v>
      </c>
      <c r="W173" s="15" t="s">
        <v>541</v>
      </c>
    </row>
    <row r="174" spans="1:23" x14ac:dyDescent="0.2">
      <c r="A174" s="1">
        <v>1</v>
      </c>
      <c r="B174" s="1" t="s">
        <v>551</v>
      </c>
      <c r="C174" s="1">
        <v>1</v>
      </c>
      <c r="D174" s="1" t="s">
        <v>589</v>
      </c>
      <c r="E174" s="4">
        <v>45410</v>
      </c>
      <c r="F174" s="4" t="s">
        <v>671</v>
      </c>
      <c r="G174" s="6">
        <f>K174+H174</f>
        <v>0.24263888888888888</v>
      </c>
      <c r="H174" s="3">
        <v>0.23318287037037036</v>
      </c>
      <c r="I174" s="1" t="s">
        <v>27</v>
      </c>
      <c r="J174" s="1" t="s">
        <v>27</v>
      </c>
      <c r="K174" s="6">
        <v>9.4560185185185181E-3</v>
      </c>
      <c r="L174" s="1">
        <v>2</v>
      </c>
      <c r="M174" s="1" t="s">
        <v>13</v>
      </c>
      <c r="N174" s="5" t="s">
        <v>527</v>
      </c>
      <c r="O174" s="1" t="s">
        <v>13</v>
      </c>
      <c r="P174" s="39">
        <v>0.1</v>
      </c>
      <c r="Q174" s="39">
        <v>0.1</v>
      </c>
      <c r="S174" s="1">
        <v>0</v>
      </c>
      <c r="U174" s="1" t="s">
        <v>592</v>
      </c>
      <c r="V174" s="15" t="s">
        <v>27</v>
      </c>
      <c r="W174" s="15" t="s">
        <v>541</v>
      </c>
    </row>
    <row r="175" spans="1:23" x14ac:dyDescent="0.2">
      <c r="A175" s="1">
        <v>1</v>
      </c>
      <c r="B175" s="1" t="s">
        <v>552</v>
      </c>
      <c r="C175" s="1">
        <v>1</v>
      </c>
      <c r="D175" s="1" t="s">
        <v>589</v>
      </c>
      <c r="E175" s="4">
        <v>45410</v>
      </c>
      <c r="F175" s="4" t="s">
        <v>671</v>
      </c>
      <c r="G175" s="6">
        <f>K175+H175</f>
        <v>0.25074074074074071</v>
      </c>
      <c r="H175" s="3">
        <v>0.23318287037037036</v>
      </c>
      <c r="I175" s="3">
        <v>1.0254629629629629E-2</v>
      </c>
      <c r="J175" s="3">
        <f>I175+H175</f>
        <v>0.2434375</v>
      </c>
      <c r="K175" s="6">
        <v>1.755787037037037E-2</v>
      </c>
      <c r="L175" s="1">
        <v>2</v>
      </c>
      <c r="M175" s="1" t="s">
        <v>14</v>
      </c>
      <c r="N175" s="5" t="s">
        <v>527</v>
      </c>
      <c r="O175" s="1" t="s">
        <v>14</v>
      </c>
      <c r="P175" s="39">
        <v>0.1</v>
      </c>
      <c r="Q175" s="39">
        <v>0.1</v>
      </c>
      <c r="S175" s="1" t="s">
        <v>27</v>
      </c>
      <c r="U175" s="1" t="s">
        <v>591</v>
      </c>
      <c r="V175" s="15" t="s">
        <v>27</v>
      </c>
      <c r="W175" s="15" t="s">
        <v>541</v>
      </c>
    </row>
    <row r="176" spans="1:23" x14ac:dyDescent="0.2">
      <c r="A176" s="1">
        <v>1</v>
      </c>
      <c r="B176" s="1" t="s">
        <v>552</v>
      </c>
      <c r="C176" s="1">
        <v>1</v>
      </c>
      <c r="D176" s="1" t="s">
        <v>579</v>
      </c>
      <c r="E176" s="4">
        <v>45411</v>
      </c>
      <c r="F176" s="4" t="s">
        <v>671</v>
      </c>
      <c r="G176" s="6">
        <f>K176+H176</f>
        <v>0.24672453703703703</v>
      </c>
      <c r="H176" s="6">
        <v>0.23614583333333333</v>
      </c>
      <c r="I176" s="3">
        <v>3.7268518518518519E-3</v>
      </c>
      <c r="J176" s="3">
        <f>I176+H176</f>
        <v>0.23987268518518517</v>
      </c>
      <c r="K176" s="6">
        <v>1.0578703703703703E-2</v>
      </c>
      <c r="L176" s="1">
        <v>2</v>
      </c>
      <c r="M176" s="1" t="s">
        <v>13</v>
      </c>
      <c r="N176" s="5" t="s">
        <v>527</v>
      </c>
      <c r="O176" s="1" t="s">
        <v>14</v>
      </c>
      <c r="P176" s="39">
        <v>0.1</v>
      </c>
      <c r="Q176" s="39">
        <v>0.1</v>
      </c>
      <c r="S176" s="1">
        <v>1</v>
      </c>
      <c r="U176" s="1" t="s">
        <v>581</v>
      </c>
      <c r="V176" s="15" t="s">
        <v>27</v>
      </c>
      <c r="W176" s="15" t="s">
        <v>541</v>
      </c>
    </row>
    <row r="177" spans="1:23" x14ac:dyDescent="0.2">
      <c r="A177" s="1">
        <v>1</v>
      </c>
      <c r="B177" s="1" t="s">
        <v>551</v>
      </c>
      <c r="C177" s="1">
        <v>1</v>
      </c>
      <c r="D177" s="1" t="s">
        <v>579</v>
      </c>
      <c r="E177" s="4">
        <v>45411</v>
      </c>
      <c r="F177" s="4" t="s">
        <v>671</v>
      </c>
      <c r="G177" s="6">
        <f>K177+H177</f>
        <v>0.24275462962962963</v>
      </c>
      <c r="H177" s="6">
        <v>0.23614583333333333</v>
      </c>
      <c r="I177" s="1" t="s">
        <v>27</v>
      </c>
      <c r="J177" s="1" t="s">
        <v>27</v>
      </c>
      <c r="K177" s="6">
        <v>6.6087962962962966E-3</v>
      </c>
      <c r="L177" s="1">
        <v>2</v>
      </c>
      <c r="M177" s="1" t="s">
        <v>14</v>
      </c>
      <c r="N177" s="5" t="s">
        <v>527</v>
      </c>
      <c r="O177" s="1" t="s">
        <v>13</v>
      </c>
      <c r="P177" s="39">
        <v>0.1</v>
      </c>
      <c r="Q177" s="39">
        <v>0.1</v>
      </c>
      <c r="S177" s="1" t="s">
        <v>27</v>
      </c>
      <c r="U177" s="1" t="s">
        <v>580</v>
      </c>
      <c r="V177" s="15" t="s">
        <v>27</v>
      </c>
      <c r="W177" s="15" t="s">
        <v>541</v>
      </c>
    </row>
    <row r="178" spans="1:23" x14ac:dyDescent="0.2">
      <c r="A178" s="1">
        <v>1</v>
      </c>
      <c r="B178" s="1" t="s">
        <v>552</v>
      </c>
      <c r="C178" s="1" t="s">
        <v>27</v>
      </c>
      <c r="D178" s="1" t="s">
        <v>306</v>
      </c>
      <c r="E178" s="4">
        <v>45411</v>
      </c>
      <c r="F178" s="4" t="s">
        <v>671</v>
      </c>
      <c r="G178" s="6" t="s">
        <v>27</v>
      </c>
      <c r="H178" s="3">
        <v>0.76478009259259261</v>
      </c>
      <c r="I178" s="1" t="s">
        <v>27</v>
      </c>
      <c r="J178" s="1" t="s">
        <v>27</v>
      </c>
      <c r="K178" s="6" t="s">
        <v>27</v>
      </c>
      <c r="L178" s="1">
        <v>2</v>
      </c>
      <c r="M178" s="1" t="s">
        <v>14</v>
      </c>
      <c r="N178" s="5" t="s">
        <v>527</v>
      </c>
      <c r="O178" s="1" t="s">
        <v>13</v>
      </c>
      <c r="P178" s="39">
        <v>0.1</v>
      </c>
      <c r="Q178" s="39">
        <v>0.1</v>
      </c>
      <c r="S178" s="1" t="s">
        <v>27</v>
      </c>
      <c r="U178" s="1" t="s">
        <v>594</v>
      </c>
      <c r="V178" s="15" t="s">
        <v>27</v>
      </c>
      <c r="W178" s="15" t="s">
        <v>541</v>
      </c>
    </row>
    <row r="179" spans="1:23" x14ac:dyDescent="0.2">
      <c r="A179" s="1">
        <v>1</v>
      </c>
      <c r="B179" s="1" t="s">
        <v>551</v>
      </c>
      <c r="C179" s="1" t="s">
        <v>27</v>
      </c>
      <c r="D179" s="1" t="s">
        <v>306</v>
      </c>
      <c r="E179" s="4">
        <v>45411</v>
      </c>
      <c r="F179" s="4" t="s">
        <v>671</v>
      </c>
      <c r="G179" s="6" t="s">
        <v>27</v>
      </c>
      <c r="H179" s="3">
        <v>0.76478009259259261</v>
      </c>
      <c r="I179" s="1" t="s">
        <v>27</v>
      </c>
      <c r="J179" s="1" t="s">
        <v>27</v>
      </c>
      <c r="K179" s="6" t="s">
        <v>27</v>
      </c>
      <c r="L179" s="1">
        <v>2</v>
      </c>
      <c r="M179" s="1" t="s">
        <v>13</v>
      </c>
      <c r="N179" s="5" t="s">
        <v>527</v>
      </c>
      <c r="O179" s="1" t="s">
        <v>14</v>
      </c>
      <c r="P179" s="39">
        <v>0.1</v>
      </c>
      <c r="Q179" s="39">
        <v>0.1</v>
      </c>
      <c r="S179" s="1" t="s">
        <v>27</v>
      </c>
      <c r="V179" s="15" t="s">
        <v>27</v>
      </c>
      <c r="W179" s="15" t="s">
        <v>541</v>
      </c>
    </row>
    <row r="180" spans="1:23" x14ac:dyDescent="0.2">
      <c r="A180" s="1">
        <v>1</v>
      </c>
      <c r="B180" s="1" t="s">
        <v>552</v>
      </c>
      <c r="C180" s="1">
        <v>1</v>
      </c>
      <c r="D180" s="1" t="s">
        <v>595</v>
      </c>
      <c r="E180" s="4">
        <v>45412</v>
      </c>
      <c r="F180" s="4" t="s">
        <v>671</v>
      </c>
      <c r="G180" s="6">
        <f t="shared" ref="G180:G188" si="15">K180+H180</f>
        <v>0.24892361111111111</v>
      </c>
      <c r="H180" s="3">
        <v>0.22111111111111112</v>
      </c>
      <c r="I180" s="3">
        <v>1.9247685185185184E-2</v>
      </c>
      <c r="J180" s="3">
        <f>I180+H180</f>
        <v>0.24035879629629631</v>
      </c>
      <c r="K180" s="6">
        <v>2.78125E-2</v>
      </c>
      <c r="L180" s="1">
        <v>2</v>
      </c>
      <c r="M180" s="1" t="s">
        <v>13</v>
      </c>
      <c r="N180" s="5" t="s">
        <v>527</v>
      </c>
      <c r="O180" s="1" t="s">
        <v>13</v>
      </c>
      <c r="P180" s="39">
        <v>0.1</v>
      </c>
      <c r="Q180" s="39">
        <v>0.1</v>
      </c>
      <c r="S180" s="1">
        <v>1</v>
      </c>
      <c r="V180" s="15" t="s">
        <v>27</v>
      </c>
      <c r="W180" s="15" t="s">
        <v>541</v>
      </c>
    </row>
    <row r="181" spans="1:23" x14ac:dyDescent="0.2">
      <c r="A181" s="1">
        <v>1</v>
      </c>
      <c r="B181" s="1" t="s">
        <v>551</v>
      </c>
      <c r="D181" s="1" t="s">
        <v>595</v>
      </c>
      <c r="E181" s="4">
        <v>45412</v>
      </c>
      <c r="F181" s="4" t="s">
        <v>671</v>
      </c>
      <c r="G181" s="6">
        <f t="shared" si="15"/>
        <v>0.24458333333333335</v>
      </c>
      <c r="H181" s="3">
        <v>0.22111111111111112</v>
      </c>
      <c r="I181" s="1" t="s">
        <v>27</v>
      </c>
      <c r="J181" s="1" t="s">
        <v>27</v>
      </c>
      <c r="K181" s="3">
        <v>2.3472222222222221E-2</v>
      </c>
      <c r="L181" s="1">
        <v>2</v>
      </c>
      <c r="M181" s="1" t="s">
        <v>14</v>
      </c>
      <c r="N181" s="5" t="s">
        <v>527</v>
      </c>
      <c r="O181" s="1" t="s">
        <v>14</v>
      </c>
      <c r="P181" s="39">
        <v>0.1</v>
      </c>
      <c r="Q181" s="39">
        <v>0.1</v>
      </c>
      <c r="S181" s="1">
        <v>1</v>
      </c>
      <c r="V181" s="15" t="s">
        <v>27</v>
      </c>
      <c r="W181" s="15" t="s">
        <v>541</v>
      </c>
    </row>
    <row r="182" spans="1:23" x14ac:dyDescent="0.2">
      <c r="A182" s="1">
        <v>1</v>
      </c>
      <c r="B182" s="1" t="s">
        <v>551</v>
      </c>
      <c r="C182" s="1">
        <v>1</v>
      </c>
      <c r="D182" s="1" t="s">
        <v>309</v>
      </c>
      <c r="E182" s="4">
        <v>45412</v>
      </c>
      <c r="F182" s="4" t="s">
        <v>671</v>
      </c>
      <c r="G182" s="6">
        <f t="shared" si="15"/>
        <v>0.78949074074074077</v>
      </c>
      <c r="H182" s="3">
        <v>0.76178240740740744</v>
      </c>
      <c r="I182" s="3">
        <v>1.9583333333333335E-2</v>
      </c>
      <c r="J182" s="3">
        <f>I182+H182</f>
        <v>0.78136574074074072</v>
      </c>
      <c r="K182" s="6">
        <v>2.7708333333333335E-2</v>
      </c>
      <c r="L182" s="1">
        <v>2</v>
      </c>
      <c r="M182" s="1" t="s">
        <v>14</v>
      </c>
      <c r="N182" s="5" t="s">
        <v>527</v>
      </c>
      <c r="O182" s="1" t="s">
        <v>13</v>
      </c>
      <c r="P182" s="39">
        <v>0.1</v>
      </c>
      <c r="Q182" s="39">
        <v>0.1</v>
      </c>
      <c r="S182" s="1">
        <v>1</v>
      </c>
      <c r="V182" s="15" t="s">
        <v>27</v>
      </c>
      <c r="W182" s="15" t="s">
        <v>541</v>
      </c>
    </row>
    <row r="183" spans="1:23" x14ac:dyDescent="0.2">
      <c r="A183" s="1">
        <v>1</v>
      </c>
      <c r="B183" s="1" t="s">
        <v>552</v>
      </c>
      <c r="C183" s="1">
        <v>1</v>
      </c>
      <c r="D183" s="1" t="s">
        <v>596</v>
      </c>
      <c r="E183" s="4">
        <v>45413</v>
      </c>
      <c r="F183" s="4" t="s">
        <v>671</v>
      </c>
      <c r="G183" s="6">
        <f t="shared" si="15"/>
        <v>0.24297453703703703</v>
      </c>
      <c r="H183" s="3">
        <v>0.21949074074074074</v>
      </c>
      <c r="I183" s="3">
        <v>1.8368055555555554E-2</v>
      </c>
      <c r="J183" s="3">
        <f>I183+H183</f>
        <v>0.2378587962962963</v>
      </c>
      <c r="K183" s="6">
        <v>2.3483796296296298E-2</v>
      </c>
      <c r="L183" s="1">
        <v>2</v>
      </c>
      <c r="M183" s="1" t="s">
        <v>14</v>
      </c>
      <c r="N183" s="5" t="s">
        <v>527</v>
      </c>
      <c r="O183" s="1" t="s">
        <v>13</v>
      </c>
      <c r="P183" s="39">
        <v>0.1</v>
      </c>
      <c r="Q183" s="39">
        <v>0.1</v>
      </c>
      <c r="S183" s="1">
        <v>1</v>
      </c>
      <c r="V183" s="15" t="s">
        <v>27</v>
      </c>
      <c r="W183" s="15" t="s">
        <v>541</v>
      </c>
    </row>
    <row r="184" spans="1:23" x14ac:dyDescent="0.2">
      <c r="A184" s="1">
        <v>1</v>
      </c>
      <c r="B184" s="1" t="s">
        <v>551</v>
      </c>
      <c r="C184" s="1">
        <v>1</v>
      </c>
      <c r="D184" s="1" t="s">
        <v>596</v>
      </c>
      <c r="E184" s="4">
        <v>45413</v>
      </c>
      <c r="F184" s="4" t="s">
        <v>671</v>
      </c>
      <c r="G184" s="6">
        <f t="shared" si="15"/>
        <v>0.24356481481481482</v>
      </c>
      <c r="H184" s="3">
        <v>0.21949074074074074</v>
      </c>
      <c r="I184" s="1" t="s">
        <v>27</v>
      </c>
      <c r="J184" s="1" t="s">
        <v>27</v>
      </c>
      <c r="K184" s="6">
        <v>2.4074074074074074E-2</v>
      </c>
      <c r="L184" s="1">
        <v>2</v>
      </c>
      <c r="M184" s="1" t="s">
        <v>13</v>
      </c>
      <c r="N184" s="5" t="s">
        <v>527</v>
      </c>
      <c r="O184" s="1" t="s">
        <v>14</v>
      </c>
      <c r="P184" s="39">
        <v>0.1</v>
      </c>
      <c r="Q184" s="39">
        <v>0.1</v>
      </c>
      <c r="S184" s="1">
        <v>1</v>
      </c>
      <c r="U184" s="1" t="s">
        <v>606</v>
      </c>
      <c r="V184" s="15" t="s">
        <v>27</v>
      </c>
      <c r="W184" s="15" t="s">
        <v>541</v>
      </c>
    </row>
    <row r="185" spans="1:23" x14ac:dyDescent="0.2">
      <c r="A185" s="1">
        <v>1</v>
      </c>
      <c r="B185" s="1" t="s">
        <v>552</v>
      </c>
      <c r="C185" s="1">
        <v>1</v>
      </c>
      <c r="D185" s="1" t="s">
        <v>495</v>
      </c>
      <c r="E185" s="4">
        <v>45414</v>
      </c>
      <c r="F185" s="4" t="s">
        <v>671</v>
      </c>
      <c r="G185" s="6">
        <f t="shared" si="15"/>
        <v>0.24671296296296297</v>
      </c>
      <c r="H185" s="3">
        <v>0.21854166666666666</v>
      </c>
      <c r="I185" s="3">
        <v>2.2731481481481481E-2</v>
      </c>
      <c r="J185" s="3">
        <f>I185+H185</f>
        <v>0.24127314814814815</v>
      </c>
      <c r="K185" s="6">
        <v>2.8171296296296295E-2</v>
      </c>
      <c r="L185" s="1">
        <v>3</v>
      </c>
      <c r="M185" s="1" t="s">
        <v>13</v>
      </c>
      <c r="N185" s="5" t="s">
        <v>527</v>
      </c>
      <c r="O185" s="1" t="s">
        <v>14</v>
      </c>
      <c r="P185" s="39">
        <v>0.1</v>
      </c>
      <c r="Q185" s="39">
        <v>0.1</v>
      </c>
      <c r="S185" s="1">
        <v>0</v>
      </c>
      <c r="V185" s="15" t="s">
        <v>27</v>
      </c>
      <c r="W185" s="15" t="s">
        <v>541</v>
      </c>
    </row>
    <row r="186" spans="1:23" x14ac:dyDescent="0.2">
      <c r="A186" s="1">
        <v>1</v>
      </c>
      <c r="B186" s="1" t="s">
        <v>552</v>
      </c>
      <c r="C186" s="1">
        <v>2</v>
      </c>
      <c r="D186" s="1" t="s">
        <v>495</v>
      </c>
      <c r="E186" s="4">
        <v>45414</v>
      </c>
      <c r="F186" s="4" t="s">
        <v>671</v>
      </c>
      <c r="G186" s="6">
        <f t="shared" si="15"/>
        <v>0.25666666666666665</v>
      </c>
      <c r="H186" s="3">
        <v>0.21854166666666666</v>
      </c>
      <c r="I186" s="1" t="s">
        <v>27</v>
      </c>
      <c r="J186" s="1" t="s">
        <v>27</v>
      </c>
      <c r="K186" s="6">
        <v>3.8124999999999999E-2</v>
      </c>
      <c r="L186" s="1">
        <v>3</v>
      </c>
      <c r="M186" s="1" t="s">
        <v>13</v>
      </c>
      <c r="N186" s="5" t="s">
        <v>527</v>
      </c>
      <c r="O186" s="1" t="s">
        <v>14</v>
      </c>
      <c r="P186" s="39">
        <v>0.1</v>
      </c>
      <c r="Q186" s="39">
        <v>0.1</v>
      </c>
      <c r="S186" s="1">
        <v>1</v>
      </c>
      <c r="U186" s="1" t="s">
        <v>607</v>
      </c>
      <c r="V186" s="15" t="s">
        <v>27</v>
      </c>
      <c r="W186" s="15" t="s">
        <v>541</v>
      </c>
    </row>
    <row r="187" spans="1:23" x14ac:dyDescent="0.2">
      <c r="A187" s="1">
        <v>1</v>
      </c>
      <c r="B187" s="1" t="s">
        <v>551</v>
      </c>
      <c r="C187" s="1">
        <v>1</v>
      </c>
      <c r="D187" s="1" t="s">
        <v>495</v>
      </c>
      <c r="E187" s="4">
        <v>45414</v>
      </c>
      <c r="F187" s="4" t="s">
        <v>671</v>
      </c>
      <c r="G187" s="6">
        <f t="shared" si="15"/>
        <v>0.25842592592592595</v>
      </c>
      <c r="H187" s="3">
        <v>0.21854166666666666</v>
      </c>
      <c r="I187" s="1" t="s">
        <v>27</v>
      </c>
      <c r="J187" s="1" t="s">
        <v>27</v>
      </c>
      <c r="K187" s="6">
        <v>3.9884259259259258E-2</v>
      </c>
      <c r="L187" s="1">
        <v>3</v>
      </c>
      <c r="M187" s="1" t="s">
        <v>14</v>
      </c>
      <c r="N187" s="5" t="s">
        <v>527</v>
      </c>
      <c r="O187" s="1" t="s">
        <v>13</v>
      </c>
      <c r="P187" s="39">
        <v>0.1</v>
      </c>
      <c r="Q187" s="39">
        <v>0.1</v>
      </c>
      <c r="S187" s="1">
        <v>0</v>
      </c>
      <c r="U187" s="1" t="s">
        <v>607</v>
      </c>
      <c r="V187" s="15" t="s">
        <v>27</v>
      </c>
      <c r="W187" s="15" t="s">
        <v>541</v>
      </c>
    </row>
    <row r="188" spans="1:23" x14ac:dyDescent="0.2">
      <c r="A188" s="1">
        <v>1</v>
      </c>
      <c r="B188" s="1" t="s">
        <v>551</v>
      </c>
      <c r="C188" s="1">
        <v>1</v>
      </c>
      <c r="D188" s="1" t="s">
        <v>494</v>
      </c>
      <c r="E188" s="4">
        <v>45414</v>
      </c>
      <c r="F188" s="4" t="s">
        <v>671</v>
      </c>
      <c r="G188" s="6">
        <f t="shared" si="15"/>
        <v>0.78454861111111107</v>
      </c>
      <c r="H188" s="3">
        <v>0.76202546296296292</v>
      </c>
      <c r="I188" s="3">
        <v>1.4247685185185184E-2</v>
      </c>
      <c r="J188" s="3">
        <f>I188+H188</f>
        <v>0.77627314814814807</v>
      </c>
      <c r="K188" s="6">
        <v>2.252314814814815E-2</v>
      </c>
      <c r="L188" s="1">
        <v>2</v>
      </c>
      <c r="M188" s="1" t="s">
        <v>13</v>
      </c>
      <c r="N188" s="5" t="s">
        <v>527</v>
      </c>
      <c r="O188" s="1" t="s">
        <v>14</v>
      </c>
      <c r="P188" s="39">
        <v>0.1</v>
      </c>
      <c r="Q188" s="39">
        <v>0.1</v>
      </c>
      <c r="S188" s="1">
        <v>1</v>
      </c>
      <c r="V188" s="15" t="s">
        <v>27</v>
      </c>
      <c r="W188" s="15" t="s">
        <v>541</v>
      </c>
    </row>
    <row r="189" spans="1:23" x14ac:dyDescent="0.2">
      <c r="A189" s="1">
        <v>1</v>
      </c>
      <c r="B189" s="1" t="s">
        <v>552</v>
      </c>
      <c r="C189" s="1">
        <v>1</v>
      </c>
      <c r="D189" s="1" t="s">
        <v>494</v>
      </c>
      <c r="E189" s="4">
        <v>45414</v>
      </c>
      <c r="F189" s="4" t="s">
        <v>671</v>
      </c>
      <c r="G189" s="6" t="s">
        <v>27</v>
      </c>
      <c r="H189" s="3">
        <v>0.76202546296296292</v>
      </c>
      <c r="I189" s="1" t="s">
        <v>27</v>
      </c>
      <c r="J189" s="1" t="s">
        <v>27</v>
      </c>
      <c r="K189" s="6" t="s">
        <v>27</v>
      </c>
      <c r="L189" s="1">
        <v>2</v>
      </c>
      <c r="M189" s="1" t="s">
        <v>14</v>
      </c>
      <c r="N189" s="5" t="s">
        <v>527</v>
      </c>
      <c r="O189" s="1" t="s">
        <v>13</v>
      </c>
      <c r="P189" s="39">
        <v>0.1</v>
      </c>
      <c r="Q189" s="39">
        <v>0.1</v>
      </c>
      <c r="S189" s="1" t="s">
        <v>27</v>
      </c>
      <c r="U189" s="1" t="s">
        <v>176</v>
      </c>
      <c r="V189" s="15" t="s">
        <v>27</v>
      </c>
      <c r="W189" s="15" t="s">
        <v>541</v>
      </c>
    </row>
    <row r="190" spans="1:23" x14ac:dyDescent="0.2">
      <c r="A190" s="1">
        <v>1</v>
      </c>
      <c r="B190" s="1" t="s">
        <v>552</v>
      </c>
      <c r="C190" s="1">
        <v>1</v>
      </c>
      <c r="D190" s="1" t="s">
        <v>309</v>
      </c>
      <c r="E190" s="4" t="s">
        <v>27</v>
      </c>
      <c r="F190" s="4" t="s">
        <v>671</v>
      </c>
      <c r="G190" s="6" t="s">
        <v>27</v>
      </c>
      <c r="H190" s="3">
        <v>0.76178240740740744</v>
      </c>
      <c r="I190" s="3">
        <v>2.7222222222222221E-2</v>
      </c>
      <c r="J190" s="3">
        <f>I190+H190</f>
        <v>0.78900462962962969</v>
      </c>
      <c r="K190" s="6" t="s">
        <v>27</v>
      </c>
      <c r="L190" s="1">
        <v>2</v>
      </c>
      <c r="M190" s="1" t="s">
        <v>14</v>
      </c>
      <c r="N190" s="5" t="s">
        <v>527</v>
      </c>
      <c r="O190" s="1" t="s">
        <v>14</v>
      </c>
      <c r="P190" s="39">
        <v>0.1</v>
      </c>
      <c r="Q190" s="39">
        <v>0.1</v>
      </c>
      <c r="S190" s="1" t="s">
        <v>27</v>
      </c>
      <c r="U190" s="1" t="s">
        <v>605</v>
      </c>
      <c r="V190" s="15" t="s">
        <v>27</v>
      </c>
      <c r="W190" s="15" t="s">
        <v>541</v>
      </c>
    </row>
    <row r="191" spans="1:23" x14ac:dyDescent="0.2">
      <c r="A191" s="1">
        <v>1</v>
      </c>
      <c r="B191" s="1" t="s">
        <v>552</v>
      </c>
      <c r="C191" s="1">
        <v>1</v>
      </c>
      <c r="D191" s="1" t="s">
        <v>260</v>
      </c>
      <c r="E191" s="4">
        <v>45410</v>
      </c>
      <c r="F191" s="4" t="s">
        <v>671</v>
      </c>
      <c r="G191" s="6">
        <f>K191+H191</f>
        <v>0.78246527777777775</v>
      </c>
      <c r="H191" s="3">
        <v>0.76336805555555554</v>
      </c>
      <c r="I191" s="3">
        <v>9.5370370370370366E-3</v>
      </c>
      <c r="J191" s="3">
        <f>I191+H191</f>
        <v>0.77290509259259255</v>
      </c>
      <c r="K191" s="6">
        <v>1.9097222222222224E-2</v>
      </c>
      <c r="L191" s="1">
        <v>2</v>
      </c>
      <c r="M191" s="1" t="s">
        <v>14</v>
      </c>
      <c r="N191" s="5" t="s">
        <v>527</v>
      </c>
      <c r="O191" s="1" t="s">
        <v>13</v>
      </c>
      <c r="P191" s="39">
        <v>0.1</v>
      </c>
      <c r="Q191" s="39">
        <v>0.1</v>
      </c>
      <c r="S191" s="1">
        <v>1</v>
      </c>
      <c r="V191" s="15" t="s">
        <v>27</v>
      </c>
      <c r="W191" s="15" t="s">
        <v>541</v>
      </c>
    </row>
    <row r="192" spans="1:23" x14ac:dyDescent="0.2">
      <c r="A192" s="1">
        <v>1</v>
      </c>
      <c r="B192" s="1" t="s">
        <v>551</v>
      </c>
      <c r="C192" s="1">
        <v>1</v>
      </c>
      <c r="D192" s="1" t="s">
        <v>260</v>
      </c>
      <c r="E192" s="4">
        <v>45410</v>
      </c>
      <c r="F192" s="4" t="s">
        <v>671</v>
      </c>
      <c r="G192" s="6">
        <f>K192+H192</f>
        <v>0.78259259259259262</v>
      </c>
      <c r="H192" s="3">
        <v>0.76336805555555554</v>
      </c>
      <c r="K192" s="6">
        <v>1.9224537037037037E-2</v>
      </c>
      <c r="L192" s="1">
        <v>2</v>
      </c>
      <c r="M192" s="1" t="s">
        <v>13</v>
      </c>
      <c r="N192" s="5" t="s">
        <v>527</v>
      </c>
      <c r="O192" s="1" t="s">
        <v>14</v>
      </c>
      <c r="P192" s="39">
        <v>0.1</v>
      </c>
      <c r="Q192" s="39">
        <v>0.1</v>
      </c>
      <c r="S192" s="1">
        <v>0</v>
      </c>
      <c r="U192" s="1" t="s">
        <v>153</v>
      </c>
      <c r="V192" s="15" t="s">
        <v>27</v>
      </c>
      <c r="W192" s="15" t="s">
        <v>541</v>
      </c>
    </row>
    <row r="193" spans="1:23" x14ac:dyDescent="0.2">
      <c r="A193" s="1">
        <v>1</v>
      </c>
      <c r="B193" s="1" t="s">
        <v>551</v>
      </c>
      <c r="C193" s="1">
        <v>1</v>
      </c>
      <c r="D193" s="1" t="s">
        <v>597</v>
      </c>
      <c r="E193" s="4">
        <v>45413</v>
      </c>
      <c r="F193" s="4" t="s">
        <v>671</v>
      </c>
      <c r="G193" s="6">
        <f>K193+H193</f>
        <v>0.77811342592592592</v>
      </c>
      <c r="H193" s="3">
        <v>0.77603009259259259</v>
      </c>
      <c r="I193" s="3">
        <v>7.7546296296296293E-4</v>
      </c>
      <c r="J193" s="3">
        <f>I193+H193</f>
        <v>0.77680555555555553</v>
      </c>
      <c r="K193" s="6">
        <v>2.0833333333333333E-3</v>
      </c>
      <c r="L193" s="1">
        <v>2</v>
      </c>
      <c r="M193" s="1" t="s">
        <v>14</v>
      </c>
      <c r="N193" s="5" t="s">
        <v>527</v>
      </c>
      <c r="O193" s="1" t="s">
        <v>14</v>
      </c>
      <c r="P193" s="39">
        <v>0.1</v>
      </c>
      <c r="Q193" s="39">
        <v>0.1</v>
      </c>
      <c r="S193" s="1">
        <v>1</v>
      </c>
      <c r="V193" s="15" t="s">
        <v>27</v>
      </c>
      <c r="W193" s="15" t="s">
        <v>541</v>
      </c>
    </row>
    <row r="194" spans="1:23" x14ac:dyDescent="0.2">
      <c r="A194" s="1">
        <v>1</v>
      </c>
      <c r="B194" s="1" t="s">
        <v>552</v>
      </c>
      <c r="C194" s="1" t="s">
        <v>27</v>
      </c>
      <c r="D194" s="1" t="s">
        <v>597</v>
      </c>
      <c r="E194" s="4">
        <v>45413</v>
      </c>
      <c r="F194" s="4" t="s">
        <v>671</v>
      </c>
      <c r="G194" s="6" t="s">
        <v>27</v>
      </c>
      <c r="H194" s="3">
        <v>0.77603009259259259</v>
      </c>
      <c r="I194" s="1" t="s">
        <v>27</v>
      </c>
      <c r="J194" s="1" t="s">
        <v>27</v>
      </c>
      <c r="K194" s="6" t="s">
        <v>27</v>
      </c>
      <c r="L194" s="1">
        <v>2</v>
      </c>
      <c r="M194" s="1" t="s">
        <v>13</v>
      </c>
      <c r="N194" s="5" t="s">
        <v>527</v>
      </c>
      <c r="O194" s="1" t="s">
        <v>13</v>
      </c>
      <c r="P194" s="39">
        <v>0.1</v>
      </c>
      <c r="Q194" s="39">
        <v>0.1</v>
      </c>
      <c r="S194" s="1" t="s">
        <v>27</v>
      </c>
      <c r="U194" s="1" t="s">
        <v>176</v>
      </c>
      <c r="V194" s="15" t="s">
        <v>27</v>
      </c>
      <c r="W194" s="15" t="s">
        <v>541</v>
      </c>
    </row>
    <row r="195" spans="1:23" x14ac:dyDescent="0.2">
      <c r="A195" s="1">
        <v>1</v>
      </c>
      <c r="B195" s="1" t="s">
        <v>551</v>
      </c>
      <c r="C195" s="1">
        <v>1</v>
      </c>
      <c r="D195" s="1" t="s">
        <v>493</v>
      </c>
      <c r="E195" s="4">
        <v>45415</v>
      </c>
      <c r="F195" s="4" t="s">
        <v>671</v>
      </c>
      <c r="G195" s="6">
        <f>K195+H195</f>
        <v>0.24337962962962964</v>
      </c>
      <c r="H195" s="3">
        <v>0.22266203703703705</v>
      </c>
      <c r="I195" s="3">
        <v>1.0752314814814815E-2</v>
      </c>
      <c r="J195" s="3">
        <f>I195+H195</f>
        <v>0.23341435185185186</v>
      </c>
      <c r="K195" s="6">
        <v>2.0717592592592593E-2</v>
      </c>
      <c r="L195" s="1">
        <v>2</v>
      </c>
      <c r="M195" s="1" t="s">
        <v>14</v>
      </c>
      <c r="N195" s="5" t="s">
        <v>527</v>
      </c>
      <c r="O195" s="1" t="s">
        <v>13</v>
      </c>
      <c r="P195" s="39">
        <v>0.1</v>
      </c>
      <c r="Q195" s="39">
        <v>0.1</v>
      </c>
      <c r="S195" s="1">
        <v>1</v>
      </c>
      <c r="V195" s="15" t="s">
        <v>27</v>
      </c>
      <c r="W195" s="15" t="s">
        <v>541</v>
      </c>
    </row>
    <row r="196" spans="1:23" x14ac:dyDescent="0.2">
      <c r="A196" s="1">
        <v>1</v>
      </c>
      <c r="B196" s="1" t="s">
        <v>552</v>
      </c>
      <c r="C196" s="1">
        <v>1</v>
      </c>
      <c r="D196" s="1" t="s">
        <v>493</v>
      </c>
      <c r="E196" s="4">
        <v>45415</v>
      </c>
      <c r="F196" s="4" t="s">
        <v>671</v>
      </c>
      <c r="G196" s="6">
        <f>K196+H196</f>
        <v>0.24672453703703706</v>
      </c>
      <c r="H196" s="3">
        <v>0.22266203703703705</v>
      </c>
      <c r="I196" s="3">
        <v>1.6053240740740739E-2</v>
      </c>
      <c r="J196" s="3">
        <f>I196+H196</f>
        <v>0.23871527777777779</v>
      </c>
      <c r="K196" s="6">
        <v>2.4062500000000001E-2</v>
      </c>
      <c r="L196" s="1">
        <v>2</v>
      </c>
      <c r="M196" s="1" t="s">
        <v>14</v>
      </c>
      <c r="N196" s="5" t="s">
        <v>527</v>
      </c>
      <c r="O196" s="1" t="s">
        <v>14</v>
      </c>
      <c r="P196" s="39">
        <v>0.1</v>
      </c>
      <c r="Q196" s="39">
        <v>0.1</v>
      </c>
      <c r="S196" s="1">
        <v>0</v>
      </c>
      <c r="U196" s="1" t="s">
        <v>613</v>
      </c>
      <c r="V196" s="15" t="s">
        <v>27</v>
      </c>
      <c r="W196" s="15" t="s">
        <v>541</v>
      </c>
    </row>
    <row r="197" spans="1:23" x14ac:dyDescent="0.2">
      <c r="A197" s="1">
        <v>1</v>
      </c>
      <c r="B197" s="1" t="s">
        <v>552</v>
      </c>
      <c r="C197" s="1">
        <v>1</v>
      </c>
      <c r="D197" s="1" t="s">
        <v>486</v>
      </c>
      <c r="E197" s="4">
        <v>45415</v>
      </c>
      <c r="F197" s="4" t="s">
        <v>671</v>
      </c>
      <c r="G197" s="6" t="s">
        <v>27</v>
      </c>
      <c r="H197" s="3">
        <v>0.75718750000000001</v>
      </c>
      <c r="I197" s="1" t="s">
        <v>27</v>
      </c>
      <c r="J197" s="1" t="s">
        <v>27</v>
      </c>
      <c r="K197" s="6" t="s">
        <v>27</v>
      </c>
      <c r="L197" s="1">
        <v>2</v>
      </c>
      <c r="M197" s="1" t="s">
        <v>14</v>
      </c>
      <c r="N197" s="5" t="s">
        <v>527</v>
      </c>
      <c r="O197" s="1" t="s">
        <v>13</v>
      </c>
      <c r="P197" s="39">
        <v>0.1</v>
      </c>
      <c r="Q197" s="39">
        <v>0.1</v>
      </c>
      <c r="S197" s="1" t="s">
        <v>27</v>
      </c>
      <c r="U197" s="1" t="s">
        <v>594</v>
      </c>
      <c r="V197" s="15" t="s">
        <v>27</v>
      </c>
      <c r="W197" s="15" t="s">
        <v>541</v>
      </c>
    </row>
    <row r="198" spans="1:23" x14ac:dyDescent="0.2">
      <c r="A198" s="1">
        <v>1</v>
      </c>
      <c r="B198" s="1" t="s">
        <v>551</v>
      </c>
      <c r="C198" s="1">
        <v>1</v>
      </c>
      <c r="D198" s="1" t="s">
        <v>486</v>
      </c>
      <c r="E198" s="4">
        <v>45415</v>
      </c>
      <c r="F198" s="4" t="s">
        <v>671</v>
      </c>
      <c r="G198" s="6">
        <f t="shared" ref="G198:G203" si="16">K198+H198</f>
        <v>0.78275462962962961</v>
      </c>
      <c r="H198" s="3">
        <v>0.75718750000000001</v>
      </c>
      <c r="I198" s="3">
        <v>2.3969907407407409E-2</v>
      </c>
      <c r="J198" s="3">
        <f t="shared" ref="J198:J203" si="17">I198+H198</f>
        <v>0.78115740740740747</v>
      </c>
      <c r="K198" s="6">
        <v>2.5567129629629631E-2</v>
      </c>
      <c r="L198" s="1">
        <v>2</v>
      </c>
      <c r="M198" s="1" t="s">
        <v>13</v>
      </c>
      <c r="N198" s="5" t="s">
        <v>527</v>
      </c>
      <c r="O198" s="1" t="s">
        <v>13</v>
      </c>
      <c r="P198" s="39">
        <v>0.1</v>
      </c>
      <c r="Q198" s="39">
        <v>0.1</v>
      </c>
      <c r="S198" s="1">
        <v>1</v>
      </c>
      <c r="V198" s="15" t="s">
        <v>27</v>
      </c>
      <c r="W198" s="15" t="s">
        <v>541</v>
      </c>
    </row>
    <row r="199" spans="1:23" x14ac:dyDescent="0.2">
      <c r="A199" s="1">
        <v>1</v>
      </c>
      <c r="B199" s="1" t="s">
        <v>551</v>
      </c>
      <c r="C199" s="1">
        <v>1</v>
      </c>
      <c r="D199" s="1" t="s">
        <v>477</v>
      </c>
      <c r="E199" s="4">
        <v>45416</v>
      </c>
      <c r="F199" s="4" t="s">
        <v>671</v>
      </c>
      <c r="G199" s="6">
        <f t="shared" si="16"/>
        <v>0.24674768518518519</v>
      </c>
      <c r="H199" s="3">
        <v>0.22224537037037037</v>
      </c>
      <c r="I199" s="3">
        <v>9.1782407407407403E-3</v>
      </c>
      <c r="J199" s="3">
        <f t="shared" si="17"/>
        <v>0.23142361111111112</v>
      </c>
      <c r="K199" s="6">
        <v>2.4502314814814814E-2</v>
      </c>
      <c r="L199" s="1">
        <v>2</v>
      </c>
      <c r="M199" s="1" t="s">
        <v>14</v>
      </c>
      <c r="N199" s="5" t="s">
        <v>527</v>
      </c>
      <c r="O199" s="1" t="s">
        <v>14</v>
      </c>
      <c r="P199" s="39">
        <v>0.3</v>
      </c>
      <c r="Q199" s="39">
        <v>0.3</v>
      </c>
      <c r="S199" s="1">
        <v>0</v>
      </c>
      <c r="V199" s="15" t="s">
        <v>27</v>
      </c>
      <c r="W199" s="15" t="s">
        <v>541</v>
      </c>
    </row>
    <row r="200" spans="1:23" x14ac:dyDescent="0.2">
      <c r="A200" s="1">
        <v>1</v>
      </c>
      <c r="B200" s="1" t="s">
        <v>552</v>
      </c>
      <c r="C200" s="1">
        <v>1</v>
      </c>
      <c r="D200" s="1" t="s">
        <v>477</v>
      </c>
      <c r="E200" s="4">
        <v>45416</v>
      </c>
      <c r="F200" s="4" t="s">
        <v>671</v>
      </c>
      <c r="G200" s="6">
        <f t="shared" si="16"/>
        <v>0.24774305555555556</v>
      </c>
      <c r="H200" s="3">
        <v>0.22224537037037037</v>
      </c>
      <c r="I200" s="3">
        <v>1.9988425925925927E-2</v>
      </c>
      <c r="J200" s="3">
        <f t="shared" si="17"/>
        <v>0.24223379629629629</v>
      </c>
      <c r="K200" s="3">
        <v>2.5497685185185186E-2</v>
      </c>
      <c r="L200" s="1">
        <v>2</v>
      </c>
      <c r="M200" s="1" t="s">
        <v>13</v>
      </c>
      <c r="N200" s="5" t="s">
        <v>527</v>
      </c>
      <c r="O200" s="1" t="s">
        <v>13</v>
      </c>
      <c r="P200" s="39">
        <v>0.3</v>
      </c>
      <c r="Q200" s="39">
        <v>0.3</v>
      </c>
      <c r="S200" s="1">
        <v>1</v>
      </c>
      <c r="V200" s="15" t="s">
        <v>27</v>
      </c>
      <c r="W200" s="15" t="s">
        <v>541</v>
      </c>
    </row>
    <row r="201" spans="1:23" x14ac:dyDescent="0.2">
      <c r="A201" s="1">
        <v>1</v>
      </c>
      <c r="B201" s="1" t="s">
        <v>551</v>
      </c>
      <c r="C201" s="1">
        <v>1</v>
      </c>
      <c r="D201" s="1" t="s">
        <v>498</v>
      </c>
      <c r="E201" s="4">
        <v>45417</v>
      </c>
      <c r="F201" s="4" t="s">
        <v>671</v>
      </c>
      <c r="G201" s="6">
        <f t="shared" si="16"/>
        <v>0.78546296296296292</v>
      </c>
      <c r="H201" s="3">
        <v>0.75489583333333332</v>
      </c>
      <c r="I201" s="3">
        <v>2.6631944444444444E-2</v>
      </c>
      <c r="J201" s="3">
        <f t="shared" si="17"/>
        <v>0.78152777777777782</v>
      </c>
      <c r="K201" s="3">
        <v>3.0567129629629628E-2</v>
      </c>
      <c r="L201" s="1">
        <v>2</v>
      </c>
      <c r="M201" s="1" t="s">
        <v>13</v>
      </c>
      <c r="N201" s="5" t="s">
        <v>527</v>
      </c>
      <c r="O201" s="1" t="s">
        <v>14</v>
      </c>
      <c r="P201" s="39">
        <v>0.3</v>
      </c>
      <c r="Q201" s="39">
        <v>0.3</v>
      </c>
      <c r="S201" s="1">
        <v>0</v>
      </c>
      <c r="V201" s="15" t="s">
        <v>27</v>
      </c>
      <c r="W201" s="15" t="s">
        <v>541</v>
      </c>
    </row>
    <row r="202" spans="1:23" x14ac:dyDescent="0.2">
      <c r="A202" s="1">
        <v>1</v>
      </c>
      <c r="B202" s="1" t="s">
        <v>551</v>
      </c>
      <c r="C202" s="1">
        <v>1</v>
      </c>
      <c r="D202" s="1" t="s">
        <v>501</v>
      </c>
      <c r="E202" s="4">
        <v>45418</v>
      </c>
      <c r="F202" s="4" t="s">
        <v>671</v>
      </c>
      <c r="G202" s="6">
        <f t="shared" si="16"/>
        <v>0.24012731481481481</v>
      </c>
      <c r="H202" s="3">
        <v>0.22247685185185184</v>
      </c>
      <c r="I202" s="3">
        <v>1.2615740740740742E-2</v>
      </c>
      <c r="J202" s="3">
        <f t="shared" si="17"/>
        <v>0.23509259259259258</v>
      </c>
      <c r="K202" s="6">
        <v>1.7650462962962962E-2</v>
      </c>
      <c r="L202" s="1">
        <v>2</v>
      </c>
      <c r="M202" s="1" t="s">
        <v>14</v>
      </c>
      <c r="N202" s="5" t="s">
        <v>527</v>
      </c>
      <c r="O202" s="1" t="s">
        <v>13</v>
      </c>
      <c r="P202" s="39">
        <v>0.1</v>
      </c>
      <c r="Q202" s="39">
        <v>0.1</v>
      </c>
      <c r="S202" s="1">
        <v>1</v>
      </c>
      <c r="V202" s="15" t="s">
        <v>27</v>
      </c>
      <c r="W202" s="15" t="s">
        <v>541</v>
      </c>
    </row>
    <row r="203" spans="1:23" x14ac:dyDescent="0.2">
      <c r="A203" s="1">
        <v>1</v>
      </c>
      <c r="B203" s="1" t="s">
        <v>552</v>
      </c>
      <c r="C203" s="1">
        <v>1</v>
      </c>
      <c r="D203" s="1" t="s">
        <v>501</v>
      </c>
      <c r="E203" s="4">
        <v>45418</v>
      </c>
      <c r="F203" s="4" t="s">
        <v>671</v>
      </c>
      <c r="G203" s="6">
        <f t="shared" si="16"/>
        <v>0.24710648148148148</v>
      </c>
      <c r="H203" s="3">
        <v>0.22247685185185184</v>
      </c>
      <c r="I203" s="3">
        <v>2.0254629629629629E-2</v>
      </c>
      <c r="J203" s="3">
        <f t="shared" si="17"/>
        <v>0.24273148148148146</v>
      </c>
      <c r="K203" s="6">
        <v>2.462962962962963E-2</v>
      </c>
      <c r="L203" s="1">
        <v>2</v>
      </c>
      <c r="M203" s="1" t="s">
        <v>13</v>
      </c>
      <c r="N203" s="5" t="s">
        <v>527</v>
      </c>
      <c r="O203" s="1" t="s">
        <v>14</v>
      </c>
      <c r="P203" s="39">
        <v>0.1</v>
      </c>
      <c r="Q203" s="39">
        <v>0.1</v>
      </c>
      <c r="S203" s="1" t="s">
        <v>27</v>
      </c>
      <c r="U203" s="1" t="s">
        <v>628</v>
      </c>
      <c r="V203" s="15" t="s">
        <v>27</v>
      </c>
      <c r="W203" s="15" t="s">
        <v>541</v>
      </c>
    </row>
    <row r="204" spans="1:23" x14ac:dyDescent="0.2">
      <c r="A204" s="1">
        <v>1</v>
      </c>
      <c r="B204" s="1" t="s">
        <v>27</v>
      </c>
      <c r="C204" s="1" t="s">
        <v>27</v>
      </c>
      <c r="D204" s="1" t="s">
        <v>27</v>
      </c>
      <c r="E204" s="4">
        <v>45416</v>
      </c>
      <c r="F204" s="6" t="s">
        <v>27</v>
      </c>
      <c r="G204" s="6" t="s">
        <v>27</v>
      </c>
      <c r="H204" s="1" t="s">
        <v>27</v>
      </c>
      <c r="I204" s="1" t="s">
        <v>27</v>
      </c>
      <c r="J204" s="1" t="s">
        <v>27</v>
      </c>
      <c r="K204" s="1" t="s">
        <v>27</v>
      </c>
      <c r="L204" s="1" t="s">
        <v>27</v>
      </c>
      <c r="M204" s="1" t="s">
        <v>27</v>
      </c>
      <c r="N204" s="1" t="s">
        <v>27</v>
      </c>
      <c r="O204" s="1" t="s">
        <v>27</v>
      </c>
      <c r="P204" s="40" t="s">
        <v>27</v>
      </c>
      <c r="Q204" s="40" t="s">
        <v>27</v>
      </c>
      <c r="R204" s="1"/>
      <c r="S204" s="1" t="s">
        <v>27</v>
      </c>
      <c r="T204" s="1"/>
      <c r="U204" s="1" t="s">
        <v>629</v>
      </c>
      <c r="V204" s="6" t="s">
        <v>27</v>
      </c>
      <c r="W204" s="6" t="s">
        <v>27</v>
      </c>
    </row>
    <row r="205" spans="1:23" x14ac:dyDescent="0.2">
      <c r="A205" s="1">
        <v>1</v>
      </c>
      <c r="B205" s="1" t="s">
        <v>552</v>
      </c>
      <c r="C205" s="1">
        <v>1</v>
      </c>
      <c r="D205" s="1" t="s">
        <v>518</v>
      </c>
      <c r="E205" s="4">
        <v>45418</v>
      </c>
      <c r="F205" s="4" t="s">
        <v>671</v>
      </c>
      <c r="G205" s="6">
        <f>K205+H205</f>
        <v>0.79791666666666672</v>
      </c>
      <c r="H205" s="3">
        <v>0.76704861111111111</v>
      </c>
      <c r="I205" s="3">
        <v>8.0439814814814818E-3</v>
      </c>
      <c r="J205" s="3">
        <f>I205+H205</f>
        <v>0.77509259259259256</v>
      </c>
      <c r="K205" s="6">
        <v>3.0868055555555555E-2</v>
      </c>
      <c r="L205" s="1">
        <v>2</v>
      </c>
      <c r="M205" s="1" t="s">
        <v>14</v>
      </c>
      <c r="N205" s="5" t="s">
        <v>527</v>
      </c>
      <c r="O205" s="1" t="s">
        <v>13</v>
      </c>
      <c r="P205" s="39">
        <v>0.1</v>
      </c>
      <c r="Q205" s="39">
        <v>0.1</v>
      </c>
      <c r="S205" s="1">
        <v>0</v>
      </c>
      <c r="U205" s="1" t="s">
        <v>631</v>
      </c>
      <c r="V205" s="15" t="s">
        <v>27</v>
      </c>
      <c r="W205" s="15" t="s">
        <v>541</v>
      </c>
    </row>
    <row r="206" spans="1:23" x14ac:dyDescent="0.2">
      <c r="A206" s="1">
        <v>1</v>
      </c>
      <c r="B206" s="1" t="s">
        <v>551</v>
      </c>
      <c r="C206" s="1">
        <v>1</v>
      </c>
      <c r="D206" s="1" t="s">
        <v>518</v>
      </c>
      <c r="E206" s="4">
        <v>45418</v>
      </c>
      <c r="F206" s="4" t="s">
        <v>671</v>
      </c>
      <c r="G206" s="6">
        <f>K206+H206</f>
        <v>0.78592592592592592</v>
      </c>
      <c r="H206" s="3">
        <v>0.76704861111111111</v>
      </c>
      <c r="I206" s="3">
        <v>1.3078703703703703E-2</v>
      </c>
      <c r="J206" s="3">
        <f>I206+H206</f>
        <v>0.78012731481481479</v>
      </c>
      <c r="K206" s="6">
        <v>1.8877314814814816E-2</v>
      </c>
      <c r="L206" s="1">
        <v>2</v>
      </c>
      <c r="M206" s="1" t="s">
        <v>14</v>
      </c>
      <c r="N206" s="5" t="s">
        <v>527</v>
      </c>
      <c r="O206" s="1" t="s">
        <v>14</v>
      </c>
      <c r="P206" s="39">
        <v>0.1</v>
      </c>
      <c r="Q206" s="39">
        <v>0.1</v>
      </c>
      <c r="S206" s="1">
        <v>0</v>
      </c>
      <c r="V206" s="15" t="s">
        <v>27</v>
      </c>
      <c r="W206" s="15" t="s">
        <v>541</v>
      </c>
    </row>
    <row r="207" spans="1:23" x14ac:dyDescent="0.2">
      <c r="A207" s="1">
        <v>1</v>
      </c>
      <c r="B207" s="1" t="s">
        <v>552</v>
      </c>
      <c r="C207" s="1">
        <v>1</v>
      </c>
      <c r="D207" s="1" t="s">
        <v>519</v>
      </c>
      <c r="E207" s="4">
        <v>45419</v>
      </c>
      <c r="F207" s="4" t="s">
        <v>671</v>
      </c>
      <c r="G207" s="6" t="s">
        <v>27</v>
      </c>
      <c r="H207" s="3">
        <v>0.22409722222222223</v>
      </c>
      <c r="I207" s="1" t="s">
        <v>27</v>
      </c>
      <c r="J207" s="1" t="s">
        <v>27</v>
      </c>
      <c r="K207" s="1" t="s">
        <v>27</v>
      </c>
      <c r="L207" s="1">
        <v>2</v>
      </c>
      <c r="M207" s="1" t="s">
        <v>13</v>
      </c>
      <c r="N207" s="5" t="s">
        <v>527</v>
      </c>
      <c r="O207" s="1" t="s">
        <v>13</v>
      </c>
      <c r="P207" s="39">
        <v>0.1</v>
      </c>
      <c r="Q207" s="39">
        <v>0.1</v>
      </c>
      <c r="S207" s="1" t="s">
        <v>27</v>
      </c>
      <c r="U207" s="1" t="s">
        <v>632</v>
      </c>
      <c r="V207" s="15" t="s">
        <v>27</v>
      </c>
      <c r="W207" s="15" t="s">
        <v>541</v>
      </c>
    </row>
    <row r="208" spans="1:23" x14ac:dyDescent="0.2">
      <c r="A208" s="1">
        <v>1</v>
      </c>
      <c r="B208" s="1" t="s">
        <v>551</v>
      </c>
      <c r="C208" s="1" t="s">
        <v>27</v>
      </c>
      <c r="D208" s="1" t="s">
        <v>519</v>
      </c>
      <c r="E208" s="4">
        <v>45419</v>
      </c>
      <c r="F208" s="4" t="s">
        <v>671</v>
      </c>
      <c r="G208" s="6" t="s">
        <v>27</v>
      </c>
      <c r="H208" s="3">
        <v>0.22409722222222223</v>
      </c>
      <c r="I208" s="1" t="s">
        <v>27</v>
      </c>
      <c r="J208" s="1" t="s">
        <v>27</v>
      </c>
      <c r="K208" s="1" t="s">
        <v>27</v>
      </c>
      <c r="L208" s="1">
        <v>2</v>
      </c>
      <c r="M208" s="1" t="s">
        <v>14</v>
      </c>
      <c r="N208" s="5" t="s">
        <v>527</v>
      </c>
      <c r="O208" s="1" t="s">
        <v>14</v>
      </c>
      <c r="P208" s="39">
        <v>0.1</v>
      </c>
      <c r="Q208" s="39">
        <v>0.1</v>
      </c>
      <c r="S208" s="1" t="s">
        <v>27</v>
      </c>
      <c r="U208" s="1" t="s">
        <v>566</v>
      </c>
      <c r="V208" s="15" t="s">
        <v>27</v>
      </c>
      <c r="W208" s="15" t="s">
        <v>541</v>
      </c>
    </row>
    <row r="209" spans="1:23" x14ac:dyDescent="0.2">
      <c r="A209" s="1">
        <v>1</v>
      </c>
      <c r="B209" s="1" t="s">
        <v>552</v>
      </c>
      <c r="C209" s="1">
        <v>1</v>
      </c>
      <c r="D209" s="1" t="s">
        <v>638</v>
      </c>
      <c r="E209" s="4">
        <v>45420</v>
      </c>
      <c r="F209" s="4" t="s">
        <v>671</v>
      </c>
      <c r="G209" s="6">
        <f t="shared" ref="G209:G219" si="18">K209+H209</f>
        <v>0.78833333333333333</v>
      </c>
      <c r="H209" s="3">
        <v>0.75777777777777777</v>
      </c>
      <c r="I209" s="3">
        <v>1.8368055555555554E-2</v>
      </c>
      <c r="J209" s="3">
        <f t="shared" ref="J209:J214" si="19">I209+H209</f>
        <v>0.77614583333333331</v>
      </c>
      <c r="K209" s="6">
        <v>3.0555555555555555E-2</v>
      </c>
      <c r="L209" s="1">
        <v>1</v>
      </c>
      <c r="M209" s="1" t="s">
        <v>14</v>
      </c>
      <c r="N209" s="5" t="s">
        <v>527</v>
      </c>
      <c r="O209" s="1" t="s">
        <v>13</v>
      </c>
      <c r="P209" s="39">
        <v>0.1</v>
      </c>
      <c r="Q209" s="39">
        <v>0.1</v>
      </c>
      <c r="S209" s="1">
        <v>0</v>
      </c>
      <c r="U209" s="1" t="s">
        <v>639</v>
      </c>
      <c r="V209" s="15" t="s">
        <v>27</v>
      </c>
      <c r="W209" s="15" t="s">
        <v>541</v>
      </c>
    </row>
    <row r="210" spans="1:23" x14ac:dyDescent="0.2">
      <c r="A210" s="1">
        <v>1</v>
      </c>
      <c r="B210" s="1" t="s">
        <v>551</v>
      </c>
      <c r="C210" s="1">
        <v>1</v>
      </c>
      <c r="D210" s="1" t="s">
        <v>638</v>
      </c>
      <c r="E210" s="4">
        <v>45420</v>
      </c>
      <c r="F210" s="4" t="s">
        <v>671</v>
      </c>
      <c r="G210" s="6">
        <f t="shared" si="18"/>
        <v>0.78938657407407409</v>
      </c>
      <c r="H210" s="3">
        <v>0.75777777777777777</v>
      </c>
      <c r="I210" s="3">
        <v>2.9618055555555557E-2</v>
      </c>
      <c r="J210" s="3">
        <f t="shared" si="19"/>
        <v>0.78739583333333329</v>
      </c>
      <c r="K210" s="6">
        <v>3.1608796296296295E-2</v>
      </c>
      <c r="L210" s="1">
        <v>2</v>
      </c>
      <c r="M210" s="1" t="s">
        <v>14</v>
      </c>
      <c r="N210" s="5" t="s">
        <v>527</v>
      </c>
      <c r="O210" s="1" t="s">
        <v>13</v>
      </c>
      <c r="P210" s="39">
        <v>0.1</v>
      </c>
      <c r="Q210" s="39">
        <v>0.1</v>
      </c>
      <c r="S210" s="1">
        <v>1</v>
      </c>
      <c r="U210" s="1" t="s">
        <v>640</v>
      </c>
      <c r="V210" s="15" t="s">
        <v>27</v>
      </c>
      <c r="W210" s="15" t="s">
        <v>541</v>
      </c>
    </row>
    <row r="211" spans="1:23" x14ac:dyDescent="0.2">
      <c r="A211" s="1">
        <v>1</v>
      </c>
      <c r="B211" s="1" t="s">
        <v>551</v>
      </c>
      <c r="C211" s="1">
        <v>1</v>
      </c>
      <c r="D211" s="1" t="s">
        <v>517</v>
      </c>
      <c r="E211" s="4">
        <v>45420</v>
      </c>
      <c r="F211" s="4" t="s">
        <v>669</v>
      </c>
      <c r="G211" s="6">
        <f t="shared" si="18"/>
        <v>0.2462847222222222</v>
      </c>
      <c r="H211" s="3">
        <v>0.22472222222222221</v>
      </c>
      <c r="I211" s="3">
        <v>1.462962962962963E-2</v>
      </c>
      <c r="J211" s="3">
        <f t="shared" si="19"/>
        <v>0.23935185185185184</v>
      </c>
      <c r="K211" s="6">
        <v>2.1562499999999998E-2</v>
      </c>
      <c r="L211" s="1">
        <v>2</v>
      </c>
      <c r="M211" s="1" t="s">
        <v>13</v>
      </c>
      <c r="N211" s="5" t="s">
        <v>547</v>
      </c>
      <c r="O211" s="1" t="s">
        <v>13</v>
      </c>
      <c r="P211" s="39">
        <v>0.1</v>
      </c>
      <c r="Q211" s="39">
        <v>0.1</v>
      </c>
      <c r="S211" s="1">
        <v>1</v>
      </c>
      <c r="V211" s="15" t="s">
        <v>27</v>
      </c>
      <c r="W211" s="15" t="s">
        <v>541</v>
      </c>
    </row>
    <row r="212" spans="1:23" x14ac:dyDescent="0.2">
      <c r="A212" s="1">
        <v>1</v>
      </c>
      <c r="B212" s="1" t="s">
        <v>552</v>
      </c>
      <c r="C212" s="1">
        <v>1</v>
      </c>
      <c r="D212" s="1" t="s">
        <v>517</v>
      </c>
      <c r="E212" s="4">
        <v>45420</v>
      </c>
      <c r="F212" s="4" t="s">
        <v>669</v>
      </c>
      <c r="G212" s="6">
        <f t="shared" si="18"/>
        <v>0.2503009259259259</v>
      </c>
      <c r="H212" s="3">
        <v>0.22472222222222221</v>
      </c>
      <c r="I212" s="3">
        <v>1.462962962962963E-2</v>
      </c>
      <c r="J212" s="3">
        <f t="shared" si="19"/>
        <v>0.23935185185185184</v>
      </c>
      <c r="K212" s="6">
        <v>2.5578703703703704E-2</v>
      </c>
      <c r="L212" s="1">
        <v>2</v>
      </c>
      <c r="M212" s="1" t="s">
        <v>14</v>
      </c>
      <c r="N212" s="5" t="s">
        <v>547</v>
      </c>
      <c r="O212" s="1" t="s">
        <v>14</v>
      </c>
      <c r="P212" s="39">
        <v>0.1</v>
      </c>
      <c r="Q212" s="39">
        <v>0.1</v>
      </c>
      <c r="S212" s="1">
        <v>1</v>
      </c>
      <c r="V212" s="15" t="s">
        <v>27</v>
      </c>
      <c r="W212" s="15" t="s">
        <v>541</v>
      </c>
    </row>
    <row r="213" spans="1:23" x14ac:dyDescent="0.2">
      <c r="A213" s="1">
        <v>1</v>
      </c>
      <c r="B213" s="1" t="s">
        <v>551</v>
      </c>
      <c r="C213" s="1">
        <v>1</v>
      </c>
      <c r="D213" s="1" t="s">
        <v>537</v>
      </c>
      <c r="E213" s="4">
        <v>45419</v>
      </c>
      <c r="F213" s="4" t="s">
        <v>671</v>
      </c>
      <c r="G213" s="6">
        <f t="shared" si="18"/>
        <v>0.79108796296296291</v>
      </c>
      <c r="H213" s="3">
        <v>0.76631944444444444</v>
      </c>
      <c r="I213" s="3">
        <v>1.3460648148148149E-2</v>
      </c>
      <c r="J213" s="3">
        <f t="shared" si="19"/>
        <v>0.77978009259259262</v>
      </c>
      <c r="K213" s="6">
        <v>2.476851851851852E-2</v>
      </c>
      <c r="L213" s="1">
        <v>2</v>
      </c>
      <c r="M213" s="1" t="s">
        <v>14</v>
      </c>
      <c r="O213" s="1" t="s">
        <v>13</v>
      </c>
      <c r="P213" s="39">
        <v>0.1</v>
      </c>
      <c r="Q213" s="39">
        <v>0.3</v>
      </c>
      <c r="S213" s="1">
        <v>1</v>
      </c>
      <c r="T213" s="2" t="s">
        <v>711</v>
      </c>
      <c r="U213" s="1" t="s">
        <v>710</v>
      </c>
      <c r="V213" s="15" t="s">
        <v>27</v>
      </c>
      <c r="W213" s="15" t="s">
        <v>541</v>
      </c>
    </row>
    <row r="214" spans="1:23" x14ac:dyDescent="0.2">
      <c r="A214" s="1">
        <v>1</v>
      </c>
      <c r="B214" s="1" t="s">
        <v>551</v>
      </c>
      <c r="C214" s="1">
        <v>1</v>
      </c>
      <c r="D214" s="1" t="s">
        <v>520</v>
      </c>
      <c r="E214" s="4">
        <v>45421</v>
      </c>
      <c r="F214" s="4" t="s">
        <v>671</v>
      </c>
      <c r="G214" s="6">
        <f t="shared" si="18"/>
        <v>0.24347222222222223</v>
      </c>
      <c r="H214" s="3">
        <v>0.22457175925925926</v>
      </c>
      <c r="I214" s="3">
        <v>1.3761574074074074E-2</v>
      </c>
      <c r="J214" s="3">
        <f t="shared" si="19"/>
        <v>0.23833333333333334</v>
      </c>
      <c r="K214" s="6">
        <v>1.8900462962962963E-2</v>
      </c>
      <c r="L214" s="1">
        <v>2</v>
      </c>
      <c r="M214" s="1" t="s">
        <v>13</v>
      </c>
      <c r="N214" s="5" t="s">
        <v>527</v>
      </c>
      <c r="O214" s="1" t="s">
        <v>13</v>
      </c>
      <c r="P214" s="39">
        <v>0.3</v>
      </c>
      <c r="Q214" s="39">
        <v>0.3</v>
      </c>
      <c r="S214" s="1">
        <v>1</v>
      </c>
      <c r="U214" s="1" t="s">
        <v>705</v>
      </c>
      <c r="V214" s="15" t="s">
        <v>27</v>
      </c>
      <c r="W214" s="15" t="s">
        <v>541</v>
      </c>
    </row>
    <row r="215" spans="1:23" x14ac:dyDescent="0.2">
      <c r="A215" s="1">
        <v>1</v>
      </c>
      <c r="B215" s="1" t="s">
        <v>552</v>
      </c>
      <c r="C215" s="1">
        <v>1</v>
      </c>
      <c r="D215" s="1" t="s">
        <v>520</v>
      </c>
      <c r="E215" s="4">
        <v>45421</v>
      </c>
      <c r="F215" s="4" t="s">
        <v>671</v>
      </c>
      <c r="G215" s="6">
        <f t="shared" si="18"/>
        <v>0.25059027777777776</v>
      </c>
      <c r="H215" s="3">
        <v>0.22457175925925926</v>
      </c>
      <c r="I215" s="1" t="s">
        <v>27</v>
      </c>
      <c r="J215" s="1" t="s">
        <v>27</v>
      </c>
      <c r="K215" s="6">
        <v>2.6018518518518517E-2</v>
      </c>
      <c r="L215" s="1">
        <v>2</v>
      </c>
      <c r="M215" s="1" t="s">
        <v>14</v>
      </c>
      <c r="N215" s="5" t="s">
        <v>527</v>
      </c>
      <c r="O215" s="1" t="s">
        <v>14</v>
      </c>
      <c r="P215" s="39">
        <v>0.3</v>
      </c>
      <c r="Q215" s="39">
        <v>0.3</v>
      </c>
      <c r="S215" s="1">
        <v>0</v>
      </c>
      <c r="U215" s="1" t="s">
        <v>642</v>
      </c>
      <c r="V215" s="15" t="s">
        <v>27</v>
      </c>
      <c r="W215" s="15" t="s">
        <v>541</v>
      </c>
    </row>
    <row r="216" spans="1:23" x14ac:dyDescent="0.2">
      <c r="A216" s="1">
        <v>1</v>
      </c>
      <c r="B216" s="1" t="s">
        <v>552</v>
      </c>
      <c r="C216" s="1">
        <v>1</v>
      </c>
      <c r="D216" s="1" t="s">
        <v>644</v>
      </c>
      <c r="E216" s="4">
        <v>45421</v>
      </c>
      <c r="F216" s="4" t="s">
        <v>671</v>
      </c>
      <c r="G216" s="6">
        <f t="shared" si="18"/>
        <v>0.77841435185185182</v>
      </c>
      <c r="H216" s="3">
        <v>0.77351851851851849</v>
      </c>
      <c r="I216" s="1" t="s">
        <v>27</v>
      </c>
      <c r="J216" s="3" t="s">
        <v>27</v>
      </c>
      <c r="K216" s="6">
        <v>4.8958333333333336E-3</v>
      </c>
      <c r="L216" s="1">
        <v>2</v>
      </c>
      <c r="M216" s="1" t="s">
        <v>14</v>
      </c>
      <c r="N216" s="5" t="s">
        <v>527</v>
      </c>
      <c r="O216" s="1" t="s">
        <v>14</v>
      </c>
      <c r="P216" s="39">
        <v>0.3</v>
      </c>
      <c r="Q216" s="39">
        <v>0.3</v>
      </c>
      <c r="S216" s="1">
        <v>0</v>
      </c>
      <c r="U216" s="1" t="s">
        <v>499</v>
      </c>
      <c r="V216" s="15" t="s">
        <v>27</v>
      </c>
      <c r="W216" s="15" t="s">
        <v>541</v>
      </c>
    </row>
    <row r="217" spans="1:23" x14ac:dyDescent="0.2">
      <c r="A217" s="1">
        <v>1</v>
      </c>
      <c r="B217" s="1" t="s">
        <v>552</v>
      </c>
      <c r="C217" s="1">
        <v>2</v>
      </c>
      <c r="D217" s="1" t="s">
        <v>644</v>
      </c>
      <c r="E217" s="4">
        <v>45421</v>
      </c>
      <c r="F217" s="4" t="s">
        <v>671</v>
      </c>
      <c r="G217" s="6">
        <f t="shared" si="18"/>
        <v>0.78284722222222225</v>
      </c>
      <c r="H217" s="3">
        <v>0.77351851851851849</v>
      </c>
      <c r="I217" s="3">
        <v>6.0416666666666665E-3</v>
      </c>
      <c r="J217" s="3">
        <f>I217+H217</f>
        <v>0.77956018518518511</v>
      </c>
      <c r="K217" s="6">
        <v>9.3287037037037036E-3</v>
      </c>
      <c r="L217" s="1">
        <v>2</v>
      </c>
      <c r="M217" s="1" t="s">
        <v>14</v>
      </c>
      <c r="N217" s="5" t="s">
        <v>527</v>
      </c>
      <c r="O217" s="1" t="s">
        <v>14</v>
      </c>
      <c r="P217" s="39">
        <v>0.3</v>
      </c>
      <c r="Q217" s="39">
        <v>0.3</v>
      </c>
      <c r="S217" s="1">
        <v>0</v>
      </c>
      <c r="V217" s="15" t="s">
        <v>27</v>
      </c>
      <c r="W217" s="15" t="s">
        <v>541</v>
      </c>
    </row>
    <row r="218" spans="1:23" x14ac:dyDescent="0.2">
      <c r="A218" s="1">
        <v>1</v>
      </c>
      <c r="B218" s="1" t="s">
        <v>551</v>
      </c>
      <c r="C218" s="1">
        <v>1</v>
      </c>
      <c r="D218" s="1" t="s">
        <v>644</v>
      </c>
      <c r="E218" s="4">
        <v>45421</v>
      </c>
      <c r="F218" s="4" t="s">
        <v>671</v>
      </c>
      <c r="G218" s="6">
        <f t="shared" si="18"/>
        <v>0.78520833333333329</v>
      </c>
      <c r="H218" s="3">
        <v>0.77351851851851849</v>
      </c>
      <c r="I218" s="3">
        <v>8.8888888888888889E-3</v>
      </c>
      <c r="J218" s="3">
        <f>I218+H218</f>
        <v>0.78240740740740733</v>
      </c>
      <c r="K218" s="6">
        <v>1.1689814814814814E-2</v>
      </c>
      <c r="L218" s="1">
        <v>2</v>
      </c>
      <c r="M218" s="1" t="s">
        <v>13</v>
      </c>
      <c r="N218" s="5" t="s">
        <v>527</v>
      </c>
      <c r="O218" s="1" t="s">
        <v>13</v>
      </c>
      <c r="P218" s="39">
        <v>0.3</v>
      </c>
      <c r="Q218" s="39">
        <v>0.3</v>
      </c>
      <c r="S218" s="1">
        <v>1</v>
      </c>
      <c r="V218" s="15" t="s">
        <v>27</v>
      </c>
      <c r="W218" s="15" t="s">
        <v>541</v>
      </c>
    </row>
    <row r="219" spans="1:23" x14ac:dyDescent="0.2">
      <c r="A219" s="1">
        <v>1</v>
      </c>
      <c r="B219" s="1" t="s">
        <v>552</v>
      </c>
      <c r="C219" s="1">
        <v>1</v>
      </c>
      <c r="D219" s="1" t="s">
        <v>646</v>
      </c>
      <c r="E219" s="4">
        <v>45422</v>
      </c>
      <c r="F219" s="4" t="s">
        <v>671</v>
      </c>
      <c r="G219" s="6">
        <f t="shared" si="18"/>
        <v>0.24454861111111112</v>
      </c>
      <c r="H219" s="6">
        <v>0.22093750000000001</v>
      </c>
      <c r="I219" s="1" t="s">
        <v>27</v>
      </c>
      <c r="J219" s="1" t="s">
        <v>27</v>
      </c>
      <c r="K219" s="6">
        <v>2.361111111111111E-2</v>
      </c>
      <c r="L219" s="1">
        <v>2</v>
      </c>
      <c r="M219" s="1" t="s">
        <v>14</v>
      </c>
      <c r="N219" s="5" t="s">
        <v>527</v>
      </c>
      <c r="O219" s="1" t="s">
        <v>13</v>
      </c>
      <c r="P219" s="39">
        <v>0.1</v>
      </c>
      <c r="Q219" s="39">
        <v>0.1</v>
      </c>
      <c r="S219" s="1">
        <v>1</v>
      </c>
      <c r="U219" s="1" t="s">
        <v>499</v>
      </c>
      <c r="V219" s="15" t="s">
        <v>27</v>
      </c>
      <c r="W219" s="15" t="s">
        <v>541</v>
      </c>
    </row>
    <row r="220" spans="1:23" x14ac:dyDescent="0.2">
      <c r="A220" s="1">
        <v>1</v>
      </c>
      <c r="B220" s="1" t="s">
        <v>551</v>
      </c>
      <c r="C220" s="1">
        <v>1</v>
      </c>
      <c r="D220" s="1" t="s">
        <v>644</v>
      </c>
      <c r="E220" s="4">
        <v>45422</v>
      </c>
      <c r="F220" s="4" t="s">
        <v>671</v>
      </c>
      <c r="G220" s="6" t="s">
        <v>27</v>
      </c>
      <c r="H220" s="6">
        <v>0.22093750000000001</v>
      </c>
      <c r="I220" s="1" t="s">
        <v>27</v>
      </c>
      <c r="J220" s="1" t="s">
        <v>27</v>
      </c>
      <c r="K220" s="1" t="s">
        <v>27</v>
      </c>
      <c r="L220" s="1">
        <v>2</v>
      </c>
      <c r="M220" s="1" t="s">
        <v>13</v>
      </c>
      <c r="N220" s="5" t="s">
        <v>527</v>
      </c>
      <c r="O220" s="1" t="s">
        <v>14</v>
      </c>
      <c r="P220" s="39">
        <v>0.1</v>
      </c>
      <c r="Q220" s="39">
        <v>0.1</v>
      </c>
      <c r="S220" s="1" t="s">
        <v>27</v>
      </c>
      <c r="V220" s="15" t="s">
        <v>27</v>
      </c>
      <c r="W220" s="15" t="s">
        <v>541</v>
      </c>
    </row>
    <row r="221" spans="1:23" x14ac:dyDescent="0.2">
      <c r="A221" s="1">
        <v>1</v>
      </c>
      <c r="B221" s="1" t="s">
        <v>552</v>
      </c>
      <c r="C221" s="1">
        <v>1</v>
      </c>
      <c r="D221" s="1" t="s">
        <v>650</v>
      </c>
      <c r="E221" s="4">
        <v>45422</v>
      </c>
      <c r="F221" s="4" t="s">
        <v>671</v>
      </c>
      <c r="G221" s="6">
        <f>K221+H221</f>
        <v>0.78937499999999994</v>
      </c>
      <c r="H221" s="3">
        <v>0.75746527777777772</v>
      </c>
      <c r="I221" s="3">
        <v>1.275462962962963E-2</v>
      </c>
      <c r="J221" s="3">
        <f>I221+H221</f>
        <v>0.77021990740740731</v>
      </c>
      <c r="K221" s="6">
        <v>3.1909722222222221E-2</v>
      </c>
      <c r="L221" s="1">
        <v>2</v>
      </c>
      <c r="M221" s="1" t="s">
        <v>13</v>
      </c>
      <c r="N221" s="5" t="s">
        <v>527</v>
      </c>
      <c r="O221" s="1" t="s">
        <v>14</v>
      </c>
      <c r="P221" s="39">
        <v>0.1</v>
      </c>
      <c r="Q221" s="39">
        <v>0.1</v>
      </c>
      <c r="S221" s="1">
        <v>0</v>
      </c>
      <c r="V221" s="15" t="s">
        <v>27</v>
      </c>
      <c r="W221" s="15" t="s">
        <v>541</v>
      </c>
    </row>
    <row r="222" spans="1:23" x14ac:dyDescent="0.2">
      <c r="A222" s="1">
        <v>1</v>
      </c>
      <c r="B222" s="1" t="s">
        <v>551</v>
      </c>
      <c r="C222" s="1">
        <v>1</v>
      </c>
      <c r="D222" s="1" t="s">
        <v>650</v>
      </c>
      <c r="E222" s="4">
        <v>45422</v>
      </c>
      <c r="F222" s="4" t="s">
        <v>671</v>
      </c>
      <c r="G222" s="6" t="s">
        <v>27</v>
      </c>
      <c r="H222" s="3">
        <v>0.75746527777777772</v>
      </c>
      <c r="I222" s="3">
        <v>2.4363425925925927E-2</v>
      </c>
      <c r="J222" s="3">
        <f>I222+H222</f>
        <v>0.78182870370370361</v>
      </c>
      <c r="L222" s="1">
        <v>2</v>
      </c>
      <c r="M222" s="1" t="s">
        <v>13</v>
      </c>
      <c r="N222" s="5" t="s">
        <v>527</v>
      </c>
      <c r="O222" s="1" t="s">
        <v>13</v>
      </c>
      <c r="P222" s="39">
        <v>0.1</v>
      </c>
      <c r="Q222" s="39">
        <v>0.1</v>
      </c>
      <c r="S222" s="1" t="s">
        <v>27</v>
      </c>
      <c r="U222" s="1" t="s">
        <v>198</v>
      </c>
      <c r="V222" s="15" t="s">
        <v>27</v>
      </c>
      <c r="W222" s="15" t="s">
        <v>541</v>
      </c>
    </row>
    <row r="223" spans="1:23" x14ac:dyDescent="0.2">
      <c r="A223" s="1">
        <v>1</v>
      </c>
      <c r="B223" s="1" t="s">
        <v>552</v>
      </c>
      <c r="C223" s="1">
        <v>1</v>
      </c>
      <c r="D223" s="1" t="s">
        <v>651</v>
      </c>
      <c r="E223" s="4">
        <v>45423</v>
      </c>
      <c r="F223" s="4" t="s">
        <v>671</v>
      </c>
      <c r="G223" s="6">
        <f>K223+H223</f>
        <v>0.23833333333333334</v>
      </c>
      <c r="H223" s="3">
        <v>0.22107638888888889</v>
      </c>
      <c r="I223" s="1" t="s">
        <v>27</v>
      </c>
      <c r="J223" s="1" t="s">
        <v>27</v>
      </c>
      <c r="K223" s="6">
        <v>1.7256944444444443E-2</v>
      </c>
      <c r="L223" s="1">
        <v>2</v>
      </c>
      <c r="M223" s="1" t="s">
        <v>14</v>
      </c>
      <c r="N223" s="5" t="s">
        <v>527</v>
      </c>
      <c r="O223" s="1" t="s">
        <v>13</v>
      </c>
      <c r="P223" s="39">
        <v>0.1</v>
      </c>
      <c r="Q223" s="39">
        <v>0.3</v>
      </c>
      <c r="S223" s="1">
        <v>1</v>
      </c>
      <c r="U223" s="1" t="s">
        <v>499</v>
      </c>
      <c r="V223" s="15" t="s">
        <v>27</v>
      </c>
      <c r="W223" s="15" t="s">
        <v>541</v>
      </c>
    </row>
    <row r="224" spans="1:23" x14ac:dyDescent="0.2">
      <c r="A224" s="1">
        <v>1</v>
      </c>
      <c r="B224" s="1" t="s">
        <v>552</v>
      </c>
      <c r="C224" s="1">
        <v>2</v>
      </c>
      <c r="D224" s="1" t="s">
        <v>651</v>
      </c>
      <c r="E224" s="4">
        <v>45423</v>
      </c>
      <c r="F224" s="4" t="s">
        <v>671</v>
      </c>
      <c r="G224" s="6">
        <f>K224+H224</f>
        <v>0.24685185185185185</v>
      </c>
      <c r="H224" s="3">
        <v>0.22107638888888889</v>
      </c>
      <c r="I224" s="3">
        <v>2.2141203703703705E-2</v>
      </c>
      <c r="J224" s="3">
        <f>I224+H224</f>
        <v>0.2432175925925926</v>
      </c>
      <c r="K224" s="6">
        <v>2.5775462962962962E-2</v>
      </c>
      <c r="L224" s="1">
        <v>2</v>
      </c>
      <c r="M224" s="1" t="s">
        <v>13</v>
      </c>
      <c r="N224" s="5" t="s">
        <v>527</v>
      </c>
      <c r="O224" s="1" t="s">
        <v>13</v>
      </c>
      <c r="P224" s="39">
        <v>0.3</v>
      </c>
      <c r="Q224" s="39">
        <v>0.3</v>
      </c>
      <c r="S224" s="1">
        <v>1</v>
      </c>
      <c r="V224" s="15" t="s">
        <v>27</v>
      </c>
      <c r="W224" s="15" t="s">
        <v>541</v>
      </c>
    </row>
    <row r="225" spans="1:23" x14ac:dyDescent="0.2">
      <c r="A225" s="1">
        <v>1</v>
      </c>
      <c r="B225" s="1" t="s">
        <v>551</v>
      </c>
      <c r="C225" s="1">
        <v>1</v>
      </c>
      <c r="D225" s="1" t="s">
        <v>651</v>
      </c>
      <c r="E225" s="4">
        <v>45423</v>
      </c>
      <c r="F225" s="4" t="s">
        <v>671</v>
      </c>
      <c r="G225" s="6">
        <f>K225+H225</f>
        <v>0.23802083333333335</v>
      </c>
      <c r="H225" s="3">
        <v>0.22107638888888889</v>
      </c>
      <c r="I225" s="3">
        <v>1.1886574074074074E-2</v>
      </c>
      <c r="J225" s="3">
        <f>I225+H225</f>
        <v>0.23296296296296296</v>
      </c>
      <c r="K225" s="6">
        <v>1.6944444444444446E-2</v>
      </c>
      <c r="L225" s="1">
        <v>2</v>
      </c>
      <c r="M225" s="1" t="s">
        <v>13</v>
      </c>
      <c r="N225" s="5" t="s">
        <v>527</v>
      </c>
      <c r="O225" s="1" t="s">
        <v>13</v>
      </c>
      <c r="P225" s="39">
        <v>0.3</v>
      </c>
      <c r="Q225" s="39">
        <v>0.3</v>
      </c>
      <c r="S225" s="1">
        <v>0</v>
      </c>
      <c r="U225" s="1" t="s">
        <v>652</v>
      </c>
      <c r="V225" s="15" t="s">
        <v>27</v>
      </c>
      <c r="W225" s="15" t="s">
        <v>541</v>
      </c>
    </row>
    <row r="226" spans="1:23" x14ac:dyDescent="0.2">
      <c r="A226" s="1">
        <v>1</v>
      </c>
      <c r="B226" s="1" t="s">
        <v>27</v>
      </c>
      <c r="C226" s="1" t="s">
        <v>27</v>
      </c>
      <c r="D226" s="1" t="s">
        <v>27</v>
      </c>
      <c r="E226" s="4">
        <v>45423</v>
      </c>
      <c r="F226" s="4" t="s">
        <v>671</v>
      </c>
      <c r="G226" s="6" t="s">
        <v>27</v>
      </c>
      <c r="H226" s="3" t="s">
        <v>27</v>
      </c>
      <c r="I226" s="3" t="s">
        <v>27</v>
      </c>
      <c r="J226" s="3" t="s">
        <v>27</v>
      </c>
      <c r="K226" s="3" t="s">
        <v>27</v>
      </c>
      <c r="L226" s="3" t="s">
        <v>27</v>
      </c>
      <c r="M226" s="3" t="s">
        <v>27</v>
      </c>
      <c r="N226" s="3" t="s">
        <v>27</v>
      </c>
      <c r="O226" s="3" t="s">
        <v>27</v>
      </c>
      <c r="P226" s="42" t="s">
        <v>27</v>
      </c>
      <c r="Q226" s="42" t="s">
        <v>27</v>
      </c>
      <c r="R226" s="3"/>
      <c r="S226" s="3" t="s">
        <v>27</v>
      </c>
      <c r="T226" s="3"/>
      <c r="U226" s="1" t="s">
        <v>653</v>
      </c>
      <c r="V226" s="6" t="s">
        <v>27</v>
      </c>
      <c r="W226" s="6" t="s">
        <v>27</v>
      </c>
    </row>
    <row r="227" spans="1:23" x14ac:dyDescent="0.2">
      <c r="A227" s="1">
        <v>1</v>
      </c>
      <c r="B227" s="1" t="s">
        <v>552</v>
      </c>
      <c r="C227" s="1">
        <v>1</v>
      </c>
      <c r="D227" s="1" t="s">
        <v>704</v>
      </c>
      <c r="E227" s="4">
        <v>45424</v>
      </c>
      <c r="F227" s="4" t="s">
        <v>671</v>
      </c>
      <c r="G227" s="6" t="s">
        <v>27</v>
      </c>
      <c r="H227" s="3">
        <v>0.21905092592592593</v>
      </c>
      <c r="I227" s="3" t="s">
        <v>27</v>
      </c>
      <c r="J227" s="3" t="s">
        <v>27</v>
      </c>
      <c r="K227" s="3" t="s">
        <v>27</v>
      </c>
      <c r="L227" s="1">
        <v>2</v>
      </c>
      <c r="M227" s="1" t="s">
        <v>13</v>
      </c>
      <c r="N227" s="5" t="s">
        <v>527</v>
      </c>
      <c r="O227" s="1" t="s">
        <v>13</v>
      </c>
      <c r="P227" s="39">
        <v>0.1</v>
      </c>
      <c r="Q227" s="39">
        <v>0.1</v>
      </c>
      <c r="S227" s="1" t="s">
        <v>27</v>
      </c>
      <c r="U227" s="1" t="s">
        <v>660</v>
      </c>
      <c r="V227" s="15" t="s">
        <v>27</v>
      </c>
      <c r="W227" s="15" t="s">
        <v>541</v>
      </c>
    </row>
    <row r="228" spans="1:23" x14ac:dyDescent="0.2">
      <c r="A228" s="1">
        <v>1</v>
      </c>
      <c r="B228" s="1" t="s">
        <v>551</v>
      </c>
      <c r="C228" s="1">
        <v>1</v>
      </c>
      <c r="D228" s="1" t="s">
        <v>704</v>
      </c>
      <c r="E228" s="4">
        <v>45424</v>
      </c>
      <c r="F228" s="4" t="s">
        <v>671</v>
      </c>
      <c r="G228" s="6">
        <f t="shared" ref="G228:G238" si="20">K228+H228</f>
        <v>0.24171296296296296</v>
      </c>
      <c r="H228" s="3">
        <v>0.21905092592592593</v>
      </c>
      <c r="I228" s="3">
        <v>8.0902777777777778E-3</v>
      </c>
      <c r="J228" s="3">
        <f t="shared" ref="J228:J234" si="21">I228+H228</f>
        <v>0.22714120370370369</v>
      </c>
      <c r="K228" s="6">
        <v>2.2662037037037036E-2</v>
      </c>
      <c r="L228" s="1">
        <v>2</v>
      </c>
      <c r="M228" s="1" t="s">
        <v>14</v>
      </c>
      <c r="N228" s="5" t="s">
        <v>527</v>
      </c>
      <c r="O228" s="1" t="s">
        <v>14</v>
      </c>
      <c r="P228" s="39">
        <v>0.1</v>
      </c>
      <c r="Q228" s="39">
        <v>0.1</v>
      </c>
      <c r="S228" s="1">
        <v>1</v>
      </c>
      <c r="V228" s="15" t="s">
        <v>27</v>
      </c>
      <c r="W228" s="15" t="s">
        <v>541</v>
      </c>
    </row>
    <row r="229" spans="1:23" x14ac:dyDescent="0.2">
      <c r="A229" s="1">
        <v>1</v>
      </c>
      <c r="B229" s="1" t="s">
        <v>552</v>
      </c>
      <c r="C229" s="1">
        <v>1</v>
      </c>
      <c r="D229" s="1" t="s">
        <v>661</v>
      </c>
      <c r="E229" s="4">
        <v>45424</v>
      </c>
      <c r="F229" s="4" t="s">
        <v>671</v>
      </c>
      <c r="G229" s="6">
        <f t="shared" si="20"/>
        <v>0.78322916666666664</v>
      </c>
      <c r="H229" s="3">
        <v>0.76358796296296294</v>
      </c>
      <c r="I229" s="3">
        <v>2.9745370370370373E-3</v>
      </c>
      <c r="J229" s="3">
        <f t="shared" si="21"/>
        <v>0.76656249999999992</v>
      </c>
      <c r="K229" s="6">
        <v>1.9641203703703702E-2</v>
      </c>
      <c r="L229" s="1">
        <v>2</v>
      </c>
      <c r="M229" s="1" t="s">
        <v>13</v>
      </c>
      <c r="N229" s="5" t="s">
        <v>527</v>
      </c>
      <c r="O229" s="1" t="s">
        <v>14</v>
      </c>
      <c r="P229" s="39">
        <v>0.1</v>
      </c>
      <c r="Q229" s="39">
        <v>0.1</v>
      </c>
      <c r="S229" s="1" t="s">
        <v>27</v>
      </c>
      <c r="U229" s="1" t="s">
        <v>663</v>
      </c>
      <c r="V229" s="15" t="s">
        <v>27</v>
      </c>
      <c r="W229" s="15" t="s">
        <v>541</v>
      </c>
    </row>
    <row r="230" spans="1:23" x14ac:dyDescent="0.2">
      <c r="A230" s="1">
        <v>1</v>
      </c>
      <c r="B230" s="1" t="s">
        <v>551</v>
      </c>
      <c r="C230" s="1">
        <v>1</v>
      </c>
      <c r="D230" s="1" t="s">
        <v>661</v>
      </c>
      <c r="E230" s="4">
        <v>45424</v>
      </c>
      <c r="F230" s="4" t="s">
        <v>671</v>
      </c>
      <c r="G230" s="6">
        <f t="shared" si="20"/>
        <v>0.79142361111111104</v>
      </c>
      <c r="H230" s="3">
        <v>0.76358796296296294</v>
      </c>
      <c r="I230" s="3">
        <v>1.375E-2</v>
      </c>
      <c r="J230" s="3">
        <f t="shared" si="21"/>
        <v>0.77733796296296298</v>
      </c>
      <c r="K230" s="6">
        <v>2.7835648148148148E-2</v>
      </c>
      <c r="L230" s="1">
        <v>2</v>
      </c>
      <c r="M230" s="1" t="s">
        <v>14</v>
      </c>
      <c r="N230" s="5" t="s">
        <v>527</v>
      </c>
      <c r="O230" s="1" t="s">
        <v>13</v>
      </c>
      <c r="P230" s="39">
        <v>0.1</v>
      </c>
      <c r="Q230" s="39">
        <v>0.3</v>
      </c>
      <c r="S230" s="1">
        <v>0</v>
      </c>
      <c r="U230" s="1" t="s">
        <v>662</v>
      </c>
      <c r="V230" s="15" t="s">
        <v>27</v>
      </c>
      <c r="W230" s="15" t="s">
        <v>541</v>
      </c>
    </row>
    <row r="231" spans="1:23" x14ac:dyDescent="0.2">
      <c r="A231" s="1">
        <v>1</v>
      </c>
      <c r="B231" s="1" t="s">
        <v>552</v>
      </c>
      <c r="C231" s="1">
        <v>1</v>
      </c>
      <c r="D231" s="1" t="s">
        <v>665</v>
      </c>
      <c r="E231" s="4">
        <v>45425</v>
      </c>
      <c r="F231" s="4" t="s">
        <v>671</v>
      </c>
      <c r="G231" s="6">
        <f t="shared" si="20"/>
        <v>0.24660879629629628</v>
      </c>
      <c r="H231" s="3">
        <v>0.21570601851851851</v>
      </c>
      <c r="I231" s="3">
        <v>2.326388888888889E-2</v>
      </c>
      <c r="J231" s="3">
        <f t="shared" si="21"/>
        <v>0.23896990740740739</v>
      </c>
      <c r="K231" s="6">
        <v>3.0902777777777779E-2</v>
      </c>
      <c r="L231" s="1">
        <v>2</v>
      </c>
      <c r="M231" s="1" t="s">
        <v>13</v>
      </c>
      <c r="N231" s="5" t="s">
        <v>527</v>
      </c>
      <c r="O231" s="1" t="s">
        <v>13</v>
      </c>
      <c r="P231" s="39">
        <v>0.1</v>
      </c>
      <c r="Q231" s="39">
        <v>0.1</v>
      </c>
      <c r="S231" s="1">
        <v>1</v>
      </c>
      <c r="V231" s="15" t="s">
        <v>27</v>
      </c>
      <c r="W231" s="15" t="s">
        <v>541</v>
      </c>
    </row>
    <row r="232" spans="1:23" x14ac:dyDescent="0.2">
      <c r="A232" s="1">
        <v>1</v>
      </c>
      <c r="B232" s="1" t="s">
        <v>551</v>
      </c>
      <c r="C232" s="1">
        <v>1</v>
      </c>
      <c r="D232" s="1" t="s">
        <v>665</v>
      </c>
      <c r="E232" s="4">
        <v>45425</v>
      </c>
      <c r="F232" s="4" t="s">
        <v>671</v>
      </c>
      <c r="G232" s="6">
        <f t="shared" si="20"/>
        <v>0.24053240740740739</v>
      </c>
      <c r="H232" s="3">
        <v>0.21570601851851851</v>
      </c>
      <c r="I232" s="3">
        <v>7.0254629629629634E-3</v>
      </c>
      <c r="J232" s="3">
        <f t="shared" si="21"/>
        <v>0.22273148148148147</v>
      </c>
      <c r="K232" s="6">
        <v>2.4826388888888887E-2</v>
      </c>
      <c r="L232" s="1">
        <v>2</v>
      </c>
      <c r="M232" s="1" t="s">
        <v>13</v>
      </c>
      <c r="N232" s="5" t="s">
        <v>527</v>
      </c>
      <c r="O232" s="1" t="s">
        <v>14</v>
      </c>
      <c r="P232" s="39">
        <v>0.1</v>
      </c>
      <c r="Q232" s="39">
        <v>0.1</v>
      </c>
      <c r="S232" s="1">
        <v>1</v>
      </c>
      <c r="V232" s="15" t="s">
        <v>27</v>
      </c>
      <c r="W232" s="15" t="s">
        <v>541</v>
      </c>
    </row>
    <row r="233" spans="1:23" x14ac:dyDescent="0.2">
      <c r="A233" s="1">
        <v>1</v>
      </c>
      <c r="B233" s="1" t="s">
        <v>552</v>
      </c>
      <c r="C233" s="1">
        <v>1</v>
      </c>
      <c r="D233" s="1" t="s">
        <v>672</v>
      </c>
      <c r="E233" s="4">
        <v>45425</v>
      </c>
      <c r="F233" s="4" t="s">
        <v>671</v>
      </c>
      <c r="G233" s="6">
        <f t="shared" si="20"/>
        <v>0.78916666666666668</v>
      </c>
      <c r="H233" s="3">
        <v>0.76613425925925926</v>
      </c>
      <c r="I233" s="3">
        <v>8.7152777777777784E-3</v>
      </c>
      <c r="J233" s="3">
        <f t="shared" si="21"/>
        <v>0.77484953703703707</v>
      </c>
      <c r="K233" s="6">
        <v>2.3032407407407408E-2</v>
      </c>
      <c r="L233" s="1">
        <v>2</v>
      </c>
      <c r="M233" s="1" t="s">
        <v>13</v>
      </c>
      <c r="N233" s="5" t="s">
        <v>527</v>
      </c>
      <c r="O233" s="1" t="s">
        <v>14</v>
      </c>
      <c r="P233" s="39">
        <v>0.1</v>
      </c>
      <c r="Q233" s="39">
        <v>0.3</v>
      </c>
      <c r="S233" s="1">
        <v>0</v>
      </c>
      <c r="U233" s="1" t="s">
        <v>673</v>
      </c>
      <c r="V233" s="15" t="s">
        <v>27</v>
      </c>
      <c r="W233" s="15" t="s">
        <v>541</v>
      </c>
    </row>
    <row r="234" spans="1:23" x14ac:dyDescent="0.2">
      <c r="A234" s="1">
        <v>1</v>
      </c>
      <c r="B234" s="1" t="s">
        <v>551</v>
      </c>
      <c r="C234" s="1">
        <v>1</v>
      </c>
      <c r="D234" s="1" t="s">
        <v>672</v>
      </c>
      <c r="E234" s="4">
        <v>45425</v>
      </c>
      <c r="F234" s="23" t="s">
        <v>671</v>
      </c>
      <c r="G234" s="6">
        <f t="shared" si="20"/>
        <v>0.78479166666666667</v>
      </c>
      <c r="H234" s="3">
        <v>0.76613425925925926</v>
      </c>
      <c r="I234" s="3">
        <v>1.324074074074074E-2</v>
      </c>
      <c r="J234" s="3">
        <f t="shared" si="21"/>
        <v>0.77937500000000004</v>
      </c>
      <c r="K234" s="6">
        <v>1.8657407407407407E-2</v>
      </c>
      <c r="L234" s="1">
        <v>2</v>
      </c>
      <c r="M234" s="1" t="s">
        <v>14</v>
      </c>
      <c r="N234" s="5" t="s">
        <v>527</v>
      </c>
      <c r="O234" s="1" t="s">
        <v>13</v>
      </c>
      <c r="P234" s="39">
        <v>0.1</v>
      </c>
      <c r="Q234" s="39">
        <v>0.3</v>
      </c>
      <c r="S234" s="1">
        <v>1</v>
      </c>
      <c r="V234" s="15" t="s">
        <v>27</v>
      </c>
      <c r="W234" s="15" t="s">
        <v>541</v>
      </c>
    </row>
    <row r="235" spans="1:23" x14ac:dyDescent="0.2">
      <c r="A235" s="1">
        <v>1</v>
      </c>
      <c r="B235" s="1" t="s">
        <v>552</v>
      </c>
      <c r="C235" s="1">
        <v>1</v>
      </c>
      <c r="D235" s="1" t="s">
        <v>675</v>
      </c>
      <c r="E235" s="4">
        <v>45426</v>
      </c>
      <c r="F235" s="23" t="s">
        <v>671</v>
      </c>
      <c r="G235" s="6">
        <f t="shared" si="20"/>
        <v>0.24738425925925928</v>
      </c>
      <c r="H235" s="3">
        <v>0.22115740740740741</v>
      </c>
      <c r="I235" s="1" t="s">
        <v>27</v>
      </c>
      <c r="J235" s="1" t="s">
        <v>27</v>
      </c>
      <c r="K235" s="6">
        <v>2.6226851851851852E-2</v>
      </c>
      <c r="L235" s="1">
        <v>2</v>
      </c>
      <c r="M235" s="1" t="s">
        <v>13</v>
      </c>
      <c r="N235" s="5" t="s">
        <v>527</v>
      </c>
      <c r="O235" s="1" t="s">
        <v>13</v>
      </c>
      <c r="P235" s="39">
        <v>0.1</v>
      </c>
      <c r="Q235" s="39">
        <v>0.1</v>
      </c>
      <c r="S235" s="1">
        <v>1</v>
      </c>
      <c r="U235" s="1" t="s">
        <v>676</v>
      </c>
      <c r="V235" s="15" t="s">
        <v>27</v>
      </c>
      <c r="W235" s="15" t="s">
        <v>541</v>
      </c>
    </row>
    <row r="236" spans="1:23" x14ac:dyDescent="0.2">
      <c r="A236" s="1">
        <v>1</v>
      </c>
      <c r="B236" s="1" t="s">
        <v>552</v>
      </c>
      <c r="C236" s="1">
        <v>2</v>
      </c>
      <c r="D236" s="1" t="s">
        <v>675</v>
      </c>
      <c r="E236" s="4">
        <v>45426</v>
      </c>
      <c r="F236" s="23" t="s">
        <v>671</v>
      </c>
      <c r="G236" s="6">
        <f t="shared" si="20"/>
        <v>0.250462962962963</v>
      </c>
      <c r="H236" s="3">
        <v>0.22115740740740741</v>
      </c>
      <c r="I236" s="3">
        <v>2.6226851851851852E-2</v>
      </c>
      <c r="J236" s="3">
        <f>I236+H236</f>
        <v>0.24738425925925928</v>
      </c>
      <c r="K236" s="6">
        <v>2.9305555555555557E-2</v>
      </c>
      <c r="L236" s="1">
        <v>2</v>
      </c>
      <c r="M236" s="1" t="s">
        <v>13</v>
      </c>
      <c r="N236" s="5" t="s">
        <v>527</v>
      </c>
      <c r="O236" s="1" t="s">
        <v>13</v>
      </c>
      <c r="P236" s="39">
        <v>0.1</v>
      </c>
      <c r="Q236" s="39">
        <v>0.1</v>
      </c>
      <c r="S236" s="1">
        <v>1</v>
      </c>
      <c r="V236" s="15" t="s">
        <v>27</v>
      </c>
      <c r="W236" s="15" t="s">
        <v>541</v>
      </c>
    </row>
    <row r="237" spans="1:23" x14ac:dyDescent="0.2">
      <c r="A237" s="1">
        <v>1</v>
      </c>
      <c r="B237" s="1" t="s">
        <v>551</v>
      </c>
      <c r="C237" s="1">
        <v>1</v>
      </c>
      <c r="D237" s="1" t="s">
        <v>675</v>
      </c>
      <c r="E237" s="4">
        <v>45426</v>
      </c>
      <c r="F237" s="23" t="s">
        <v>671</v>
      </c>
      <c r="G237" s="6">
        <f t="shared" si="20"/>
        <v>0.24432870370370371</v>
      </c>
      <c r="H237" s="3">
        <v>0.22115740740740741</v>
      </c>
      <c r="I237" s="1" t="s">
        <v>27</v>
      </c>
      <c r="J237" s="1" t="s">
        <v>27</v>
      </c>
      <c r="K237" s="3">
        <v>2.3171296296296297E-2</v>
      </c>
      <c r="L237" s="1">
        <v>2</v>
      </c>
      <c r="M237" s="1" t="s">
        <v>13</v>
      </c>
      <c r="N237" s="5" t="s">
        <v>527</v>
      </c>
      <c r="O237" s="1" t="s">
        <v>14</v>
      </c>
      <c r="P237" s="39">
        <v>0.1</v>
      </c>
      <c r="Q237" s="39">
        <v>0.1</v>
      </c>
      <c r="S237" s="1">
        <v>1</v>
      </c>
      <c r="U237" s="1" t="s">
        <v>499</v>
      </c>
      <c r="V237" s="15" t="s">
        <v>27</v>
      </c>
      <c r="W237" s="15" t="s">
        <v>541</v>
      </c>
    </row>
    <row r="238" spans="1:23" x14ac:dyDescent="0.2">
      <c r="A238" s="1">
        <v>1</v>
      </c>
      <c r="B238" s="1" t="s">
        <v>551</v>
      </c>
      <c r="C238" s="1">
        <v>2</v>
      </c>
      <c r="D238" s="1" t="s">
        <v>675</v>
      </c>
      <c r="E238" s="4">
        <v>45426</v>
      </c>
      <c r="F238" s="23" t="s">
        <v>671</v>
      </c>
      <c r="G238" s="6">
        <f t="shared" si="20"/>
        <v>0.24689814814814814</v>
      </c>
      <c r="H238" s="3">
        <v>0.22115740740740741</v>
      </c>
      <c r="I238" s="3">
        <v>2.4571759259259258E-2</v>
      </c>
      <c r="J238" s="3">
        <f>I238+H238</f>
        <v>0.24572916666666667</v>
      </c>
      <c r="K238" s="6">
        <v>2.5740740740740741E-2</v>
      </c>
      <c r="L238" s="1">
        <v>2</v>
      </c>
      <c r="M238" s="1" t="s">
        <v>14</v>
      </c>
      <c r="N238" s="5" t="s">
        <v>527</v>
      </c>
      <c r="O238" s="1" t="s">
        <v>14</v>
      </c>
      <c r="P238" s="39">
        <v>0.1</v>
      </c>
      <c r="Q238" s="39">
        <v>0.1</v>
      </c>
      <c r="S238" s="1">
        <v>1</v>
      </c>
      <c r="V238" s="15" t="s">
        <v>27</v>
      </c>
      <c r="W238" s="15" t="s">
        <v>541</v>
      </c>
    </row>
    <row r="239" spans="1:23" x14ac:dyDescent="0.2">
      <c r="A239" s="1">
        <v>1</v>
      </c>
      <c r="B239" s="1" t="s">
        <v>552</v>
      </c>
      <c r="C239" s="1">
        <v>1</v>
      </c>
      <c r="D239" s="1" t="s">
        <v>679</v>
      </c>
      <c r="E239" s="4">
        <v>45426</v>
      </c>
      <c r="F239" s="23" t="s">
        <v>671</v>
      </c>
      <c r="G239" s="6" t="s">
        <v>27</v>
      </c>
      <c r="H239" s="3">
        <v>0.76687499999999997</v>
      </c>
      <c r="I239" s="1" t="s">
        <v>27</v>
      </c>
      <c r="J239" s="1" t="s">
        <v>27</v>
      </c>
      <c r="K239" s="6" t="s">
        <v>27</v>
      </c>
      <c r="L239" s="1">
        <v>2</v>
      </c>
      <c r="M239" s="1" t="s">
        <v>13</v>
      </c>
      <c r="N239" s="5" t="s">
        <v>527</v>
      </c>
      <c r="O239" s="1" t="s">
        <v>13</v>
      </c>
      <c r="P239" s="39">
        <v>0.1</v>
      </c>
      <c r="Q239" s="39">
        <v>0.1</v>
      </c>
      <c r="S239" s="1" t="s">
        <v>27</v>
      </c>
      <c r="U239" s="1" t="s">
        <v>682</v>
      </c>
      <c r="V239" s="15" t="s">
        <v>27</v>
      </c>
      <c r="W239" s="15" t="s">
        <v>541</v>
      </c>
    </row>
    <row r="240" spans="1:23" x14ac:dyDescent="0.2">
      <c r="A240" s="1">
        <v>1</v>
      </c>
      <c r="B240" s="1" t="s">
        <v>551</v>
      </c>
      <c r="C240" s="1">
        <v>1</v>
      </c>
      <c r="D240" s="1" t="s">
        <v>679</v>
      </c>
      <c r="E240" s="4">
        <v>45426</v>
      </c>
      <c r="F240" s="23" t="s">
        <v>671</v>
      </c>
      <c r="G240" s="6" t="s">
        <v>27</v>
      </c>
      <c r="H240" s="3">
        <v>0.76687499999999997</v>
      </c>
      <c r="I240" s="3">
        <v>1.6435185185185185E-3</v>
      </c>
      <c r="J240" s="1" t="s">
        <v>27</v>
      </c>
      <c r="K240" s="6" t="s">
        <v>27</v>
      </c>
      <c r="L240" s="1">
        <v>2</v>
      </c>
      <c r="M240" s="1" t="s">
        <v>14</v>
      </c>
      <c r="N240" s="5" t="s">
        <v>527</v>
      </c>
      <c r="O240" s="1" t="s">
        <v>14</v>
      </c>
      <c r="P240" s="39">
        <v>0.1</v>
      </c>
      <c r="Q240" s="39">
        <v>0.1</v>
      </c>
      <c r="S240" s="1" t="s">
        <v>27</v>
      </c>
      <c r="U240" s="1" t="s">
        <v>680</v>
      </c>
      <c r="V240" s="15" t="s">
        <v>27</v>
      </c>
      <c r="W240" s="15" t="s">
        <v>541</v>
      </c>
    </row>
    <row r="241" spans="1:23" x14ac:dyDescent="0.2">
      <c r="A241" s="1">
        <v>1</v>
      </c>
      <c r="B241" s="1" t="s">
        <v>552</v>
      </c>
      <c r="C241" s="1">
        <v>1</v>
      </c>
      <c r="D241" s="1" t="s">
        <v>683</v>
      </c>
      <c r="E241" s="4">
        <v>45427</v>
      </c>
      <c r="F241" s="23" t="s">
        <v>671</v>
      </c>
      <c r="G241" s="6" t="s">
        <v>27</v>
      </c>
      <c r="H241" s="3">
        <v>0.21579861111111112</v>
      </c>
      <c r="I241" s="1" t="s">
        <v>27</v>
      </c>
      <c r="J241" s="1" t="s">
        <v>27</v>
      </c>
      <c r="K241" s="6" t="s">
        <v>27</v>
      </c>
      <c r="L241" s="1">
        <v>2</v>
      </c>
      <c r="M241" s="1" t="s">
        <v>13</v>
      </c>
      <c r="N241" s="5" t="s">
        <v>527</v>
      </c>
      <c r="O241" s="1" t="s">
        <v>14</v>
      </c>
      <c r="P241" s="39">
        <v>0.1</v>
      </c>
      <c r="Q241" s="39">
        <v>0.2</v>
      </c>
      <c r="S241" s="1" t="s">
        <v>27</v>
      </c>
      <c r="U241" s="1" t="s">
        <v>594</v>
      </c>
      <c r="V241" s="15" t="s">
        <v>27</v>
      </c>
      <c r="W241" s="15" t="s">
        <v>541</v>
      </c>
    </row>
    <row r="242" spans="1:23" x14ac:dyDescent="0.2">
      <c r="A242" s="1">
        <v>1</v>
      </c>
      <c r="B242" s="1" t="s">
        <v>551</v>
      </c>
      <c r="C242" s="1">
        <v>1</v>
      </c>
      <c r="D242" s="1" t="s">
        <v>683</v>
      </c>
      <c r="E242" s="4">
        <v>45427</v>
      </c>
      <c r="F242" s="23" t="s">
        <v>671</v>
      </c>
      <c r="G242" s="6">
        <f>K242+H242</f>
        <v>0.2421527777777778</v>
      </c>
      <c r="H242" s="3">
        <v>0.21579861111111112</v>
      </c>
      <c r="I242" s="3">
        <v>1.3541666666666667E-3</v>
      </c>
      <c r="J242" s="3">
        <f>I242+H242</f>
        <v>0.21715277777777778</v>
      </c>
      <c r="K242" s="6">
        <v>2.6354166666666668E-2</v>
      </c>
      <c r="L242" s="1">
        <v>2</v>
      </c>
      <c r="M242" s="1" t="s">
        <v>14</v>
      </c>
      <c r="N242" s="5" t="s">
        <v>527</v>
      </c>
      <c r="O242" s="1" t="s">
        <v>13</v>
      </c>
      <c r="P242" s="39">
        <v>0.1</v>
      </c>
      <c r="Q242" s="39">
        <v>0.2</v>
      </c>
      <c r="S242" s="1">
        <v>1</v>
      </c>
      <c r="V242" s="15" t="s">
        <v>27</v>
      </c>
      <c r="W242" s="15" t="s">
        <v>541</v>
      </c>
    </row>
    <row r="243" spans="1:23" x14ac:dyDescent="0.2">
      <c r="A243" s="1">
        <v>1</v>
      </c>
      <c r="B243" s="1" t="s">
        <v>551</v>
      </c>
      <c r="C243" s="1">
        <v>2</v>
      </c>
      <c r="D243" s="1" t="s">
        <v>683</v>
      </c>
      <c r="E243" s="4">
        <v>45427</v>
      </c>
      <c r="F243" s="23" t="s">
        <v>671</v>
      </c>
      <c r="G243" s="6">
        <f>K243+H243</f>
        <v>0.24755787037037039</v>
      </c>
      <c r="H243" s="3">
        <v>0.21579861111111112</v>
      </c>
      <c r="I243" s="3">
        <v>2.7824074074074074E-2</v>
      </c>
      <c r="J243" s="3">
        <f>I243+H243</f>
        <v>0.24362268518518521</v>
      </c>
      <c r="K243" s="6">
        <v>3.1759259259259258E-2</v>
      </c>
      <c r="L243" s="1">
        <v>2</v>
      </c>
      <c r="M243" s="1" t="s">
        <v>13</v>
      </c>
      <c r="N243" s="5" t="s">
        <v>527</v>
      </c>
      <c r="O243" s="1" t="s">
        <v>13</v>
      </c>
      <c r="P243" s="39">
        <v>0.2</v>
      </c>
      <c r="Q243" s="39">
        <v>0.2</v>
      </c>
      <c r="S243" s="1">
        <v>1</v>
      </c>
      <c r="V243" s="15" t="s">
        <v>27</v>
      </c>
      <c r="W243" s="15" t="s">
        <v>541</v>
      </c>
    </row>
    <row r="244" spans="1:23" x14ac:dyDescent="0.2">
      <c r="A244" s="1">
        <v>1</v>
      </c>
      <c r="B244" s="1" t="s">
        <v>551</v>
      </c>
      <c r="C244" s="1">
        <v>1</v>
      </c>
      <c r="D244" s="1" t="s">
        <v>695</v>
      </c>
      <c r="E244" s="4">
        <v>45427</v>
      </c>
      <c r="F244" s="31" t="s">
        <v>669</v>
      </c>
      <c r="G244" s="6">
        <f>K244+H244</f>
        <v>0.7894444444444445</v>
      </c>
      <c r="H244" s="3">
        <v>0.7572916666666667</v>
      </c>
      <c r="I244" s="3">
        <v>2.1631944444444443E-2</v>
      </c>
      <c r="J244" s="3">
        <f>I244+H244</f>
        <v>0.77892361111111119</v>
      </c>
      <c r="K244" s="6">
        <v>3.215277777777778E-2</v>
      </c>
      <c r="L244" s="1">
        <v>2</v>
      </c>
      <c r="M244" s="1" t="s">
        <v>13</v>
      </c>
      <c r="N244" s="5" t="s">
        <v>527</v>
      </c>
      <c r="O244" s="1" t="s">
        <v>14</v>
      </c>
      <c r="P244" s="39">
        <v>0.1</v>
      </c>
      <c r="Q244" s="39">
        <v>0.1</v>
      </c>
      <c r="S244" s="1">
        <v>0</v>
      </c>
      <c r="U244" s="1" t="s">
        <v>699</v>
      </c>
      <c r="V244" s="15" t="s">
        <v>27</v>
      </c>
      <c r="W244" s="15" t="s">
        <v>541</v>
      </c>
    </row>
    <row r="245" spans="1:23" x14ac:dyDescent="0.2">
      <c r="A245" s="1">
        <v>1</v>
      </c>
      <c r="B245" s="1" t="s">
        <v>551</v>
      </c>
      <c r="C245" s="1">
        <v>2</v>
      </c>
      <c r="D245" s="1" t="s">
        <v>695</v>
      </c>
      <c r="E245" s="4">
        <v>45427</v>
      </c>
      <c r="F245" s="31" t="s">
        <v>669</v>
      </c>
      <c r="G245" s="6" t="s">
        <v>27</v>
      </c>
      <c r="H245" s="3">
        <v>0.7572916666666667</v>
      </c>
      <c r="I245" s="3">
        <v>2.3009259259259261E-2</v>
      </c>
      <c r="J245" s="3">
        <f>I245+H245</f>
        <v>0.78030092592592593</v>
      </c>
      <c r="K245" s="6" t="s">
        <v>27</v>
      </c>
      <c r="L245" s="1">
        <v>2</v>
      </c>
      <c r="M245" s="1" t="s">
        <v>13</v>
      </c>
      <c r="N245" s="5" t="s">
        <v>527</v>
      </c>
      <c r="O245" s="1" t="s">
        <v>14</v>
      </c>
      <c r="P245" s="39">
        <v>0.1</v>
      </c>
      <c r="Q245" s="39">
        <v>0.1</v>
      </c>
      <c r="S245" s="1" t="s">
        <v>27</v>
      </c>
      <c r="V245" s="15" t="s">
        <v>27</v>
      </c>
      <c r="W245" s="15" t="s">
        <v>541</v>
      </c>
    </row>
    <row r="246" spans="1:23" x14ac:dyDescent="0.2">
      <c r="A246" s="15">
        <v>1</v>
      </c>
      <c r="B246" s="15" t="s">
        <v>551</v>
      </c>
      <c r="C246" s="15">
        <v>1</v>
      </c>
      <c r="D246" s="1" t="s">
        <v>697</v>
      </c>
      <c r="E246" s="4">
        <v>45428</v>
      </c>
      <c r="F246" s="31" t="s">
        <v>669</v>
      </c>
      <c r="G246" s="6">
        <f t="shared" ref="G246:G297" si="22">K246+H246</f>
        <v>0.23916666666666664</v>
      </c>
      <c r="H246" s="3">
        <v>0.2207986111111111</v>
      </c>
      <c r="I246" s="1" t="s">
        <v>27</v>
      </c>
      <c r="J246" s="1" t="s">
        <v>27</v>
      </c>
      <c r="K246" s="6">
        <v>1.8368055555555554E-2</v>
      </c>
      <c r="L246" s="1">
        <v>2</v>
      </c>
      <c r="M246" s="1" t="s">
        <v>14</v>
      </c>
      <c r="N246" s="1">
        <v>2</v>
      </c>
      <c r="O246" s="1" t="s">
        <v>14</v>
      </c>
      <c r="P246" s="39">
        <v>0.1</v>
      </c>
      <c r="Q246" s="39">
        <v>0.2</v>
      </c>
      <c r="S246" s="1">
        <v>0</v>
      </c>
      <c r="V246" s="15" t="s">
        <v>27</v>
      </c>
      <c r="W246" s="15" t="s">
        <v>541</v>
      </c>
    </row>
    <row r="247" spans="1:23" x14ac:dyDescent="0.2">
      <c r="A247" s="15">
        <v>1</v>
      </c>
      <c r="B247" s="15" t="s">
        <v>551</v>
      </c>
      <c r="C247" s="15">
        <v>2</v>
      </c>
      <c r="D247" s="1" t="s">
        <v>697</v>
      </c>
      <c r="E247" s="4">
        <v>45428</v>
      </c>
      <c r="F247" s="31" t="s">
        <v>669</v>
      </c>
      <c r="G247" s="6">
        <f t="shared" si="22"/>
        <v>0.23951388888888889</v>
      </c>
      <c r="H247" s="3">
        <v>0.2207986111111111</v>
      </c>
      <c r="I247" s="1" t="s">
        <v>27</v>
      </c>
      <c r="J247" s="1" t="s">
        <v>27</v>
      </c>
      <c r="K247" s="6">
        <v>1.8715277777777779E-2</v>
      </c>
      <c r="L247" s="1">
        <v>2</v>
      </c>
      <c r="M247" s="1" t="s">
        <v>14</v>
      </c>
      <c r="N247" s="1">
        <v>2</v>
      </c>
      <c r="O247" s="1" t="s">
        <v>14</v>
      </c>
      <c r="P247" s="39">
        <v>0.1</v>
      </c>
      <c r="Q247" s="39">
        <v>0.2</v>
      </c>
      <c r="S247" s="1">
        <v>1</v>
      </c>
      <c r="V247" s="15" t="s">
        <v>27</v>
      </c>
      <c r="W247" s="15" t="s">
        <v>541</v>
      </c>
    </row>
    <row r="248" spans="1:23" x14ac:dyDescent="0.2">
      <c r="A248" s="15">
        <v>1</v>
      </c>
      <c r="B248" s="15" t="s">
        <v>551</v>
      </c>
      <c r="C248" s="1">
        <v>3</v>
      </c>
      <c r="D248" s="1" t="s">
        <v>697</v>
      </c>
      <c r="E248" s="4">
        <v>45428</v>
      </c>
      <c r="F248" s="31" t="s">
        <v>669</v>
      </c>
      <c r="G248" s="6">
        <f t="shared" si="22"/>
        <v>0.26446759259259256</v>
      </c>
      <c r="H248" s="3">
        <v>0.2207986111111111</v>
      </c>
      <c r="I248" s="3">
        <v>1.863425925925926E-2</v>
      </c>
      <c r="J248" s="3">
        <f>I248+H248</f>
        <v>0.23943287037037037</v>
      </c>
      <c r="K248" s="6">
        <v>4.3668981481481482E-2</v>
      </c>
      <c r="L248" s="1">
        <v>2</v>
      </c>
      <c r="M248" s="1" t="s">
        <v>14</v>
      </c>
      <c r="N248" s="5" t="s">
        <v>527</v>
      </c>
      <c r="O248" s="1" t="s">
        <v>14</v>
      </c>
      <c r="P248" s="39">
        <v>0.2</v>
      </c>
      <c r="Q248" s="39">
        <v>0.1</v>
      </c>
      <c r="S248" s="1">
        <v>0</v>
      </c>
      <c r="U248" s="1" t="s">
        <v>698</v>
      </c>
      <c r="V248" s="15" t="s">
        <v>27</v>
      </c>
      <c r="W248" s="15" t="s">
        <v>541</v>
      </c>
    </row>
    <row r="249" spans="1:23" x14ac:dyDescent="0.2">
      <c r="A249" s="15">
        <v>1</v>
      </c>
      <c r="B249" s="15" t="s">
        <v>551</v>
      </c>
      <c r="C249" s="15">
        <v>1</v>
      </c>
      <c r="D249" s="1" t="s">
        <v>706</v>
      </c>
      <c r="E249" s="4">
        <v>45428</v>
      </c>
      <c r="F249" s="31" t="s">
        <v>669</v>
      </c>
      <c r="G249" s="6">
        <f t="shared" si="22"/>
        <v>0.78464120370370372</v>
      </c>
      <c r="H249" s="3">
        <v>0.75575231481481486</v>
      </c>
      <c r="I249" s="3">
        <v>1.9178240740740742E-2</v>
      </c>
      <c r="J249" s="3">
        <f>I249+H249</f>
        <v>0.77493055555555557</v>
      </c>
      <c r="K249" s="6">
        <v>2.8888888888888888E-2</v>
      </c>
      <c r="L249" s="1">
        <v>2</v>
      </c>
      <c r="M249" s="1" t="s">
        <v>14</v>
      </c>
      <c r="N249" s="5" t="s">
        <v>527</v>
      </c>
      <c r="O249" s="1" t="s">
        <v>13</v>
      </c>
      <c r="P249" s="39">
        <v>0.1</v>
      </c>
      <c r="Q249" s="39">
        <v>0.1</v>
      </c>
      <c r="S249" s="1">
        <v>1</v>
      </c>
      <c r="V249" s="15" t="s">
        <v>27</v>
      </c>
      <c r="W249" s="15" t="s">
        <v>541</v>
      </c>
    </row>
    <row r="250" spans="1:23" x14ac:dyDescent="0.2">
      <c r="A250" s="15">
        <v>1</v>
      </c>
      <c r="B250" s="15" t="s">
        <v>551</v>
      </c>
      <c r="C250" s="1">
        <v>2</v>
      </c>
      <c r="D250" s="1" t="s">
        <v>706</v>
      </c>
      <c r="E250" s="4">
        <v>45428</v>
      </c>
      <c r="F250" s="31" t="s">
        <v>669</v>
      </c>
      <c r="G250" s="6">
        <f t="shared" si="22"/>
        <v>0.78565972222222225</v>
      </c>
      <c r="H250" s="3">
        <v>0.75575231481481486</v>
      </c>
      <c r="I250" s="3">
        <v>2.267361111111111E-2</v>
      </c>
      <c r="J250" s="3">
        <f>I250+H250</f>
        <v>0.77842592592592597</v>
      </c>
      <c r="K250" s="6">
        <v>2.9907407407407407E-2</v>
      </c>
      <c r="L250" s="1">
        <v>2</v>
      </c>
      <c r="M250" s="1" t="s">
        <v>14</v>
      </c>
      <c r="N250" s="5" t="s">
        <v>527</v>
      </c>
      <c r="O250" s="1" t="s">
        <v>13</v>
      </c>
      <c r="P250" s="39">
        <v>0.1</v>
      </c>
      <c r="Q250" s="39">
        <v>0.1</v>
      </c>
      <c r="S250" s="1">
        <v>0</v>
      </c>
      <c r="T250" s="2" t="s">
        <v>696</v>
      </c>
      <c r="U250" s="1" t="s">
        <v>707</v>
      </c>
      <c r="V250" s="15" t="s">
        <v>27</v>
      </c>
      <c r="W250" s="15" t="s">
        <v>541</v>
      </c>
    </row>
    <row r="251" spans="1:23" x14ac:dyDescent="0.2">
      <c r="A251" s="15">
        <v>1</v>
      </c>
      <c r="B251" s="15" t="s">
        <v>551</v>
      </c>
      <c r="C251" s="15">
        <v>1</v>
      </c>
      <c r="D251" s="1" t="s">
        <v>708</v>
      </c>
      <c r="E251" s="4">
        <v>45429</v>
      </c>
      <c r="F251" s="31" t="s">
        <v>669</v>
      </c>
      <c r="G251" s="6">
        <f t="shared" si="22"/>
        <v>0.24296296296296296</v>
      </c>
      <c r="H251" s="3">
        <v>0.21868055555555554</v>
      </c>
      <c r="I251" s="1" t="s">
        <v>27</v>
      </c>
      <c r="J251" s="1" t="s">
        <v>27</v>
      </c>
      <c r="K251" s="6">
        <v>2.4282407407407409E-2</v>
      </c>
      <c r="L251" s="1">
        <v>2</v>
      </c>
      <c r="M251" s="1" t="s">
        <v>13</v>
      </c>
      <c r="N251" s="5" t="s">
        <v>527</v>
      </c>
      <c r="O251" s="1" t="s">
        <v>13</v>
      </c>
      <c r="P251" s="39">
        <v>0.1</v>
      </c>
      <c r="Q251" s="39">
        <v>0.2</v>
      </c>
      <c r="S251" s="1">
        <v>1</v>
      </c>
      <c r="V251" s="15" t="s">
        <v>27</v>
      </c>
      <c r="W251" s="15" t="s">
        <v>541</v>
      </c>
    </row>
    <row r="252" spans="1:23" x14ac:dyDescent="0.2">
      <c r="A252" s="15">
        <v>1</v>
      </c>
      <c r="B252" s="15" t="s">
        <v>551</v>
      </c>
      <c r="C252" s="1">
        <v>2</v>
      </c>
      <c r="D252" s="1" t="s">
        <v>708</v>
      </c>
      <c r="E252" s="4">
        <v>45429</v>
      </c>
      <c r="F252" s="31" t="s">
        <v>669</v>
      </c>
      <c r="G252" s="6">
        <f t="shared" si="22"/>
        <v>0.24686342592592592</v>
      </c>
      <c r="H252" s="3">
        <v>0.21868055555555554</v>
      </c>
      <c r="I252" s="3">
        <v>1.0925925925925926E-2</v>
      </c>
      <c r="J252" s="3">
        <f>I252+H252</f>
        <v>0.22960648148148147</v>
      </c>
      <c r="K252" s="6">
        <v>2.8182870370370372E-2</v>
      </c>
      <c r="L252" s="1">
        <v>2</v>
      </c>
      <c r="M252" s="1" t="s">
        <v>13</v>
      </c>
      <c r="N252" s="5" t="s">
        <v>527</v>
      </c>
      <c r="O252" s="1" t="s">
        <v>13</v>
      </c>
      <c r="P252" s="39">
        <v>0.1</v>
      </c>
      <c r="Q252" s="39">
        <v>0.2</v>
      </c>
      <c r="S252" s="1">
        <v>1</v>
      </c>
      <c r="U252" s="1" t="s">
        <v>709</v>
      </c>
      <c r="V252" s="15" t="s">
        <v>27</v>
      </c>
      <c r="W252" s="15" t="s">
        <v>541</v>
      </c>
    </row>
    <row r="253" spans="1:23" x14ac:dyDescent="0.2">
      <c r="A253" s="15">
        <v>1</v>
      </c>
      <c r="B253" s="15" t="s">
        <v>551</v>
      </c>
      <c r="C253" s="15">
        <v>1</v>
      </c>
      <c r="D253" s="1" t="s">
        <v>712</v>
      </c>
      <c r="E253" s="4">
        <v>45429</v>
      </c>
      <c r="F253" s="31" t="s">
        <v>669</v>
      </c>
      <c r="G253" s="6">
        <f t="shared" si="22"/>
        <v>0.77601851851851855</v>
      </c>
      <c r="H253" s="3">
        <v>0.760625</v>
      </c>
      <c r="I253" s="3">
        <v>1.2800925925925926E-2</v>
      </c>
      <c r="J253" s="3">
        <f>I253+H253</f>
        <v>0.77342592592592596</v>
      </c>
      <c r="K253" s="6">
        <v>1.5393518518518518E-2</v>
      </c>
      <c r="L253" s="1">
        <v>2</v>
      </c>
      <c r="M253" s="1" t="s">
        <v>13</v>
      </c>
      <c r="N253" s="5" t="s">
        <v>527</v>
      </c>
      <c r="O253" s="1" t="s">
        <v>13</v>
      </c>
      <c r="P253" s="39">
        <v>0.2</v>
      </c>
      <c r="Q253" s="39">
        <v>0.2</v>
      </c>
      <c r="S253" s="1">
        <v>1</v>
      </c>
      <c r="V253" s="15" t="s">
        <v>27</v>
      </c>
      <c r="W253" s="15" t="s">
        <v>541</v>
      </c>
    </row>
    <row r="254" spans="1:23" x14ac:dyDescent="0.2">
      <c r="A254" s="15">
        <v>1</v>
      </c>
      <c r="B254" s="15" t="s">
        <v>551</v>
      </c>
      <c r="C254" s="15">
        <v>1</v>
      </c>
      <c r="D254" s="1" t="s">
        <v>716</v>
      </c>
      <c r="E254" s="4">
        <v>45430</v>
      </c>
      <c r="F254" s="31" t="s">
        <v>669</v>
      </c>
      <c r="G254" s="6">
        <f t="shared" si="22"/>
        <v>0.22422453703703704</v>
      </c>
      <c r="H254" s="3">
        <v>0.22162037037037038</v>
      </c>
      <c r="K254" s="6">
        <v>2.6041666666666665E-3</v>
      </c>
      <c r="L254" s="1">
        <v>2</v>
      </c>
      <c r="M254" s="1" t="s">
        <v>14</v>
      </c>
      <c r="N254" s="5" t="s">
        <v>527</v>
      </c>
      <c r="O254" s="1" t="s">
        <v>14</v>
      </c>
      <c r="P254" s="39">
        <v>0.1</v>
      </c>
      <c r="Q254" s="39">
        <v>0.1</v>
      </c>
      <c r="S254" s="1">
        <v>0</v>
      </c>
      <c r="T254" s="2">
        <v>1</v>
      </c>
      <c r="U254" s="1" t="s">
        <v>714</v>
      </c>
      <c r="V254" s="15" t="s">
        <v>27</v>
      </c>
      <c r="W254" s="15" t="s">
        <v>541</v>
      </c>
    </row>
    <row r="255" spans="1:23" x14ac:dyDescent="0.2">
      <c r="A255" s="15">
        <v>1</v>
      </c>
      <c r="B255" s="15" t="s">
        <v>551</v>
      </c>
      <c r="C255" s="1">
        <v>2</v>
      </c>
      <c r="D255" s="1" t="s">
        <v>716</v>
      </c>
      <c r="E255" s="4">
        <v>45430</v>
      </c>
      <c r="F255" s="31" t="s">
        <v>669</v>
      </c>
      <c r="G255" s="6">
        <f t="shared" si="22"/>
        <v>0.23569444444444446</v>
      </c>
      <c r="H255" s="3">
        <v>0.22162037037037038</v>
      </c>
      <c r="K255" s="6">
        <v>1.4074074074074074E-2</v>
      </c>
      <c r="L255" s="1">
        <v>2</v>
      </c>
      <c r="M255" s="1" t="s">
        <v>14</v>
      </c>
      <c r="N255" s="5" t="s">
        <v>527</v>
      </c>
      <c r="O255" s="1" t="s">
        <v>13</v>
      </c>
      <c r="P255" s="39">
        <v>0.1</v>
      </c>
      <c r="Q255" s="39">
        <v>0.2</v>
      </c>
      <c r="S255" s="1">
        <v>1</v>
      </c>
      <c r="V255" s="15" t="s">
        <v>27</v>
      </c>
      <c r="W255" s="15" t="s">
        <v>541</v>
      </c>
    </row>
    <row r="256" spans="1:23" x14ac:dyDescent="0.2">
      <c r="A256" s="15">
        <v>1</v>
      </c>
      <c r="B256" s="15" t="s">
        <v>551</v>
      </c>
      <c r="C256" s="1">
        <v>3</v>
      </c>
      <c r="D256" s="1" t="s">
        <v>716</v>
      </c>
      <c r="E256" s="4">
        <v>45430</v>
      </c>
      <c r="F256" s="31" t="s">
        <v>669</v>
      </c>
      <c r="G256" s="6">
        <f t="shared" si="22"/>
        <v>0.24337962962962964</v>
      </c>
      <c r="H256" s="3">
        <v>0.22162037037037038</v>
      </c>
      <c r="I256" s="3">
        <v>4.2824074074074075E-3</v>
      </c>
      <c r="J256" s="3">
        <f>I256+H256</f>
        <v>0.22590277777777779</v>
      </c>
      <c r="K256" s="6">
        <v>2.1759259259259259E-2</v>
      </c>
      <c r="L256" s="1">
        <v>2</v>
      </c>
      <c r="M256" s="1" t="s">
        <v>13</v>
      </c>
      <c r="N256" s="5" t="s">
        <v>527</v>
      </c>
      <c r="O256" s="1" t="s">
        <v>13</v>
      </c>
      <c r="P256" s="39">
        <v>0.2</v>
      </c>
      <c r="Q256" s="39">
        <v>0.2</v>
      </c>
      <c r="S256" s="1">
        <v>1</v>
      </c>
      <c r="V256" s="15" t="s">
        <v>27</v>
      </c>
      <c r="W256" s="15" t="s">
        <v>541</v>
      </c>
    </row>
    <row r="257" spans="1:23" x14ac:dyDescent="0.2">
      <c r="A257" s="15">
        <v>1</v>
      </c>
      <c r="B257" s="15" t="s">
        <v>551</v>
      </c>
      <c r="C257" s="1">
        <v>4</v>
      </c>
      <c r="D257" s="1" t="s">
        <v>716</v>
      </c>
      <c r="E257" s="4">
        <v>45430</v>
      </c>
      <c r="F257" s="31" t="s">
        <v>669</v>
      </c>
      <c r="G257" s="6">
        <f t="shared" si="22"/>
        <v>0.24533564814814815</v>
      </c>
      <c r="H257" s="3">
        <v>0.22162037037037038</v>
      </c>
      <c r="I257" s="3">
        <v>1.7314814814814814E-2</v>
      </c>
      <c r="J257" s="3">
        <f>I257+H257</f>
        <v>0.23893518518518519</v>
      </c>
      <c r="K257" s="6">
        <v>2.3715277777777776E-2</v>
      </c>
      <c r="L257" s="1">
        <v>2</v>
      </c>
      <c r="M257" s="1" t="s">
        <v>310</v>
      </c>
      <c r="N257" s="5" t="s">
        <v>527</v>
      </c>
      <c r="O257" s="1" t="s">
        <v>13</v>
      </c>
      <c r="P257" s="39">
        <v>0.2</v>
      </c>
      <c r="Q257" s="39">
        <v>0.2</v>
      </c>
      <c r="S257" s="1">
        <v>1</v>
      </c>
      <c r="V257" s="15" t="s">
        <v>27</v>
      </c>
      <c r="W257" s="15" t="s">
        <v>541</v>
      </c>
    </row>
    <row r="258" spans="1:23" x14ac:dyDescent="0.2">
      <c r="A258" s="15">
        <v>1</v>
      </c>
      <c r="B258" s="15" t="s">
        <v>551</v>
      </c>
      <c r="C258" s="1">
        <v>1</v>
      </c>
      <c r="D258" s="1" t="s">
        <v>718</v>
      </c>
      <c r="E258" s="4">
        <v>45436</v>
      </c>
      <c r="F258" s="31" t="s">
        <v>671</v>
      </c>
      <c r="G258" s="6">
        <f t="shared" si="22"/>
        <v>0.24412037037037038</v>
      </c>
      <c r="H258" s="3">
        <v>0.22707175925925926</v>
      </c>
      <c r="I258" s="1" t="s">
        <v>27</v>
      </c>
      <c r="J258" s="1" t="s">
        <v>27</v>
      </c>
      <c r="K258" s="6">
        <v>1.7048611111111112E-2</v>
      </c>
      <c r="L258" s="1">
        <v>2</v>
      </c>
      <c r="M258" s="1" t="s">
        <v>14</v>
      </c>
      <c r="N258" s="5" t="s">
        <v>527</v>
      </c>
      <c r="O258" s="1" t="s">
        <v>13</v>
      </c>
      <c r="P258" s="39">
        <v>0.1</v>
      </c>
      <c r="Q258" s="39">
        <v>0.2</v>
      </c>
      <c r="S258" s="1">
        <v>1</v>
      </c>
      <c r="V258" s="15" t="s">
        <v>27</v>
      </c>
      <c r="W258" s="15" t="s">
        <v>541</v>
      </c>
    </row>
    <row r="259" spans="1:23" x14ac:dyDescent="0.2">
      <c r="A259" s="15">
        <v>1</v>
      </c>
      <c r="B259" s="15" t="s">
        <v>551</v>
      </c>
      <c r="C259" s="1">
        <v>2</v>
      </c>
      <c r="D259" s="1" t="s">
        <v>718</v>
      </c>
      <c r="E259" s="4">
        <v>45436</v>
      </c>
      <c r="F259" s="31" t="s">
        <v>671</v>
      </c>
      <c r="G259" s="6">
        <f t="shared" si="22"/>
        <v>0.24869212962962964</v>
      </c>
      <c r="H259" s="3">
        <v>0.22707175925925926</v>
      </c>
      <c r="I259" s="1" t="s">
        <v>27</v>
      </c>
      <c r="J259" s="1" t="s">
        <v>27</v>
      </c>
      <c r="K259" s="6">
        <v>2.162037037037037E-2</v>
      </c>
      <c r="L259" s="1">
        <v>2</v>
      </c>
      <c r="M259" s="1" t="s">
        <v>14</v>
      </c>
      <c r="N259" s="5" t="s">
        <v>527</v>
      </c>
      <c r="O259" s="1" t="s">
        <v>13</v>
      </c>
      <c r="P259" s="39">
        <v>0.1</v>
      </c>
      <c r="Q259" s="39">
        <v>0.2</v>
      </c>
      <c r="S259" s="1">
        <v>1</v>
      </c>
      <c r="V259" s="15" t="s">
        <v>27</v>
      </c>
      <c r="W259" s="15" t="s">
        <v>541</v>
      </c>
    </row>
    <row r="260" spans="1:23" x14ac:dyDescent="0.2">
      <c r="A260" s="15">
        <v>1</v>
      </c>
      <c r="B260" s="15" t="s">
        <v>551</v>
      </c>
      <c r="C260" s="1">
        <v>1</v>
      </c>
      <c r="D260" s="1" t="s">
        <v>719</v>
      </c>
      <c r="E260" s="4">
        <v>45435</v>
      </c>
      <c r="F260" s="31" t="s">
        <v>671</v>
      </c>
      <c r="G260" s="6">
        <f t="shared" si="22"/>
        <v>0.24349537037037039</v>
      </c>
      <c r="H260" s="3">
        <v>0.21829861111111112</v>
      </c>
      <c r="K260" s="6">
        <v>2.5196759259259259E-2</v>
      </c>
      <c r="L260" s="1">
        <v>2</v>
      </c>
      <c r="M260" s="1" t="s">
        <v>14</v>
      </c>
      <c r="N260" s="5" t="s">
        <v>527</v>
      </c>
      <c r="O260" s="1" t="s">
        <v>14</v>
      </c>
      <c r="P260" s="39">
        <v>0.1</v>
      </c>
      <c r="Q260" s="39">
        <v>0.2</v>
      </c>
      <c r="S260" s="1" t="s">
        <v>27</v>
      </c>
      <c r="U260" s="1" t="s">
        <v>721</v>
      </c>
      <c r="V260" s="15" t="s">
        <v>27</v>
      </c>
      <c r="W260" s="15" t="s">
        <v>541</v>
      </c>
    </row>
    <row r="261" spans="1:23" x14ac:dyDescent="0.2">
      <c r="A261" s="15">
        <v>1</v>
      </c>
      <c r="B261" s="15" t="s">
        <v>551</v>
      </c>
      <c r="C261" s="1">
        <v>2</v>
      </c>
      <c r="D261" s="1" t="s">
        <v>719</v>
      </c>
      <c r="E261" s="4">
        <v>45435</v>
      </c>
      <c r="F261" s="31" t="s">
        <v>671</v>
      </c>
      <c r="G261" s="6">
        <f t="shared" si="22"/>
        <v>0.24608796296296298</v>
      </c>
      <c r="H261" s="3">
        <v>0.21829861111111112</v>
      </c>
      <c r="I261" s="3">
        <v>5.5555555555555558E-3</v>
      </c>
      <c r="J261" s="3">
        <f>I261+H261</f>
        <v>0.22385416666666669</v>
      </c>
      <c r="K261" s="6">
        <v>2.7789351851851853E-2</v>
      </c>
      <c r="L261" s="1">
        <v>2</v>
      </c>
      <c r="M261" s="1" t="s">
        <v>14</v>
      </c>
      <c r="N261" s="5" t="s">
        <v>527</v>
      </c>
      <c r="O261" s="1" t="s">
        <v>14</v>
      </c>
      <c r="P261" s="39">
        <v>0.1</v>
      </c>
      <c r="Q261" s="39">
        <v>0.2</v>
      </c>
      <c r="S261" s="1" t="s">
        <v>27</v>
      </c>
      <c r="U261" s="1" t="s">
        <v>722</v>
      </c>
      <c r="V261" s="15" t="s">
        <v>27</v>
      </c>
      <c r="W261" s="15" t="s">
        <v>541</v>
      </c>
    </row>
    <row r="262" spans="1:23" x14ac:dyDescent="0.2">
      <c r="A262" s="15">
        <v>1</v>
      </c>
      <c r="B262" s="15" t="s">
        <v>551</v>
      </c>
      <c r="C262" s="1">
        <v>1</v>
      </c>
      <c r="D262" s="1" t="s">
        <v>720</v>
      </c>
      <c r="E262" s="4">
        <v>45434</v>
      </c>
      <c r="F262" s="31" t="s">
        <v>671</v>
      </c>
      <c r="G262" s="6">
        <f t="shared" si="22"/>
        <v>0.79083333333333328</v>
      </c>
      <c r="H262" s="3">
        <v>0.76530092592592591</v>
      </c>
      <c r="I262" s="3">
        <v>1.7465277777777777E-2</v>
      </c>
      <c r="J262" s="3">
        <f>I262+H262</f>
        <v>0.78276620370370364</v>
      </c>
      <c r="K262" s="6">
        <v>2.5532407407407406E-2</v>
      </c>
      <c r="L262" s="1">
        <v>2</v>
      </c>
      <c r="M262" s="1" t="s">
        <v>13</v>
      </c>
      <c r="N262" s="5" t="s">
        <v>527</v>
      </c>
      <c r="O262" s="1" t="s">
        <v>14</v>
      </c>
      <c r="P262" s="39">
        <v>0.2</v>
      </c>
      <c r="Q262" s="39">
        <v>0.1</v>
      </c>
      <c r="S262" s="1">
        <v>1</v>
      </c>
      <c r="T262" s="2" t="s">
        <v>723</v>
      </c>
      <c r="V262" s="15" t="s">
        <v>27</v>
      </c>
      <c r="W262" s="15" t="s">
        <v>541</v>
      </c>
    </row>
    <row r="263" spans="1:23" x14ac:dyDescent="0.2">
      <c r="A263" s="15">
        <v>1</v>
      </c>
      <c r="B263" s="15" t="s">
        <v>551</v>
      </c>
      <c r="C263" s="1">
        <v>1</v>
      </c>
      <c r="D263" s="1" t="s">
        <v>656</v>
      </c>
      <c r="E263" s="4">
        <v>45434</v>
      </c>
      <c r="F263" s="31" t="s">
        <v>671</v>
      </c>
      <c r="G263" s="6">
        <f t="shared" si="22"/>
        <v>0.24187500000000001</v>
      </c>
      <c r="H263" s="3">
        <v>0.21939814814814815</v>
      </c>
      <c r="K263" s="6">
        <v>2.2476851851851852E-2</v>
      </c>
      <c r="L263" s="1">
        <v>2</v>
      </c>
      <c r="M263" s="1" t="s">
        <v>14</v>
      </c>
      <c r="N263" s="5" t="s">
        <v>527</v>
      </c>
      <c r="O263" s="1" t="s">
        <v>13</v>
      </c>
      <c r="P263" s="39">
        <v>0.1</v>
      </c>
      <c r="Q263" s="39">
        <v>0.2</v>
      </c>
      <c r="S263" s="1">
        <v>1</v>
      </c>
      <c r="V263" s="15" t="s">
        <v>27</v>
      </c>
      <c r="W263" s="15" t="s">
        <v>541</v>
      </c>
    </row>
    <row r="264" spans="1:23" x14ac:dyDescent="0.2">
      <c r="A264" s="15">
        <v>1</v>
      </c>
      <c r="B264" s="15" t="s">
        <v>551</v>
      </c>
      <c r="C264" s="1">
        <v>2</v>
      </c>
      <c r="D264" s="1" t="s">
        <v>656</v>
      </c>
      <c r="E264" s="4">
        <v>45434</v>
      </c>
      <c r="F264" s="31" t="s">
        <v>671</v>
      </c>
      <c r="G264" s="6">
        <f t="shared" si="22"/>
        <v>0.24656249999999999</v>
      </c>
      <c r="H264" s="3">
        <v>0.21939814814814815</v>
      </c>
      <c r="I264" s="3">
        <v>6.3541666666666668E-3</v>
      </c>
      <c r="J264" s="3">
        <f>I264+H264</f>
        <v>0.22575231481481481</v>
      </c>
      <c r="K264" s="6">
        <v>2.7164351851851853E-2</v>
      </c>
      <c r="L264" s="1">
        <v>2</v>
      </c>
      <c r="M264" s="1" t="s">
        <v>14</v>
      </c>
      <c r="N264" s="5" t="s">
        <v>527</v>
      </c>
      <c r="O264" s="1" t="s">
        <v>13</v>
      </c>
      <c r="P264" s="39">
        <v>0.1</v>
      </c>
      <c r="Q264" s="39">
        <v>0.2</v>
      </c>
      <c r="S264" s="1">
        <v>0</v>
      </c>
      <c r="T264" s="2">
        <v>1</v>
      </c>
      <c r="V264" s="15" t="s">
        <v>27</v>
      </c>
      <c r="W264" s="15" t="s">
        <v>541</v>
      </c>
    </row>
    <row r="265" spans="1:23" x14ac:dyDescent="0.2">
      <c r="A265" s="15">
        <v>1</v>
      </c>
      <c r="B265" s="15" t="s">
        <v>551</v>
      </c>
      <c r="C265" s="1">
        <v>1</v>
      </c>
      <c r="D265" s="1" t="s">
        <v>724</v>
      </c>
      <c r="E265" s="4">
        <v>45433</v>
      </c>
      <c r="F265" s="31" t="s">
        <v>671</v>
      </c>
      <c r="G265" s="6">
        <f t="shared" si="22"/>
        <v>0.78964120370370372</v>
      </c>
      <c r="H265" s="3">
        <v>0.76383101851851853</v>
      </c>
      <c r="I265" s="3">
        <v>1.3287037037037036E-2</v>
      </c>
      <c r="J265" s="3">
        <f>I265+H265</f>
        <v>0.77711805555555558</v>
      </c>
      <c r="K265" s="6">
        <v>2.5810185185185186E-2</v>
      </c>
      <c r="L265" s="1">
        <v>2</v>
      </c>
      <c r="M265" s="1" t="s">
        <v>14</v>
      </c>
      <c r="N265" s="5" t="s">
        <v>527</v>
      </c>
      <c r="O265" s="1" t="s">
        <v>14</v>
      </c>
      <c r="P265" s="39">
        <v>0.1</v>
      </c>
      <c r="Q265" s="39">
        <v>0.1</v>
      </c>
      <c r="S265" s="1">
        <v>1</v>
      </c>
      <c r="V265" s="15" t="s">
        <v>27</v>
      </c>
      <c r="W265" s="15" t="s">
        <v>541</v>
      </c>
    </row>
    <row r="266" spans="1:23" x14ac:dyDescent="0.2">
      <c r="A266" s="15">
        <v>1</v>
      </c>
      <c r="B266" s="15" t="s">
        <v>551</v>
      </c>
      <c r="C266" s="1">
        <v>1</v>
      </c>
      <c r="D266" s="1" t="s">
        <v>244</v>
      </c>
      <c r="E266" s="4">
        <v>45433</v>
      </c>
      <c r="F266" s="31" t="s">
        <v>671</v>
      </c>
      <c r="G266" s="6">
        <f t="shared" si="22"/>
        <v>0.24197916666666666</v>
      </c>
      <c r="H266" s="3">
        <v>0.21417824074074074</v>
      </c>
      <c r="I266" s="3">
        <v>5.8564814814814816E-3</v>
      </c>
      <c r="J266" s="3">
        <f>I266+H266</f>
        <v>0.22003472222222223</v>
      </c>
      <c r="K266" s="6">
        <v>2.7800925925925927E-2</v>
      </c>
      <c r="L266" s="1">
        <v>3</v>
      </c>
      <c r="M266" s="1" t="s">
        <v>14</v>
      </c>
      <c r="N266" s="5" t="s">
        <v>527</v>
      </c>
      <c r="O266" s="1" t="s">
        <v>14</v>
      </c>
      <c r="P266" s="39">
        <v>0.1</v>
      </c>
      <c r="Q266" s="39">
        <v>0.2</v>
      </c>
      <c r="S266" s="1">
        <v>0</v>
      </c>
      <c r="T266" s="2">
        <v>1</v>
      </c>
      <c r="V266" s="15" t="s">
        <v>27</v>
      </c>
      <c r="W266" s="15" t="s">
        <v>541</v>
      </c>
    </row>
    <row r="267" spans="1:23" x14ac:dyDescent="0.2">
      <c r="A267" s="15">
        <v>1</v>
      </c>
      <c r="B267" s="15" t="s">
        <v>551</v>
      </c>
      <c r="C267" s="1">
        <v>2</v>
      </c>
      <c r="D267" s="1" t="s">
        <v>244</v>
      </c>
      <c r="E267" s="4">
        <v>45433</v>
      </c>
      <c r="F267" s="31" t="s">
        <v>671</v>
      </c>
      <c r="G267" s="6">
        <f t="shared" si="22"/>
        <v>0.24895833333333334</v>
      </c>
      <c r="H267" s="3">
        <v>0.21417824074074074</v>
      </c>
      <c r="I267" s="3">
        <v>9.9074074074074082E-3</v>
      </c>
      <c r="J267" s="3">
        <f>I267+H267</f>
        <v>0.22408564814814816</v>
      </c>
      <c r="K267" s="6">
        <v>3.4780092592592592E-2</v>
      </c>
      <c r="L267" s="1">
        <v>3</v>
      </c>
      <c r="M267" s="1" t="s">
        <v>14</v>
      </c>
      <c r="N267" s="5" t="s">
        <v>527</v>
      </c>
      <c r="O267" s="1" t="s">
        <v>14</v>
      </c>
      <c r="P267" s="39">
        <v>0.1</v>
      </c>
      <c r="Q267" s="39">
        <v>0.2</v>
      </c>
      <c r="S267" s="1">
        <v>0</v>
      </c>
      <c r="V267" s="15" t="s">
        <v>27</v>
      </c>
      <c r="W267" s="15" t="s">
        <v>541</v>
      </c>
    </row>
    <row r="268" spans="1:23" x14ac:dyDescent="0.2">
      <c r="A268" s="15">
        <v>1</v>
      </c>
      <c r="B268" s="15" t="s">
        <v>551</v>
      </c>
      <c r="C268" s="1">
        <v>1</v>
      </c>
      <c r="D268" s="1" t="s">
        <v>242</v>
      </c>
      <c r="E268" s="4">
        <v>45432</v>
      </c>
      <c r="F268" s="31" t="s">
        <v>669</v>
      </c>
      <c r="G268" s="6">
        <f t="shared" si="22"/>
        <v>0.24289351851851851</v>
      </c>
      <c r="H268" s="3">
        <v>0.22100694444444444</v>
      </c>
      <c r="K268" s="6">
        <v>2.1886574074074076E-2</v>
      </c>
      <c r="L268" s="1">
        <v>2</v>
      </c>
      <c r="M268" s="1" t="s">
        <v>14</v>
      </c>
      <c r="N268" s="5" t="s">
        <v>527</v>
      </c>
      <c r="O268" s="1" t="s">
        <v>14</v>
      </c>
      <c r="P268" s="39">
        <v>0.2</v>
      </c>
      <c r="Q268" s="39">
        <v>0.2</v>
      </c>
      <c r="S268" s="1">
        <v>0</v>
      </c>
      <c r="T268" s="2" t="s">
        <v>725</v>
      </c>
      <c r="U268" s="1" t="s">
        <v>748</v>
      </c>
      <c r="V268" s="15" t="s">
        <v>27</v>
      </c>
      <c r="W268" s="15" t="s">
        <v>541</v>
      </c>
    </row>
    <row r="269" spans="1:23" x14ac:dyDescent="0.2">
      <c r="A269" s="15">
        <v>1</v>
      </c>
      <c r="B269" s="15" t="s">
        <v>551</v>
      </c>
      <c r="C269" s="1">
        <v>2</v>
      </c>
      <c r="D269" s="1" t="s">
        <v>242</v>
      </c>
      <c r="E269" s="4">
        <v>45432</v>
      </c>
      <c r="F269" s="31" t="s">
        <v>669</v>
      </c>
      <c r="G269" s="6">
        <f t="shared" si="22"/>
        <v>0.24484953703703702</v>
      </c>
      <c r="H269" s="3">
        <v>0.22100694444444444</v>
      </c>
      <c r="I269" s="3">
        <v>1.3078703703703703E-3</v>
      </c>
      <c r="J269" s="3">
        <f>I269+H269</f>
        <v>0.2223148148148148</v>
      </c>
      <c r="K269" s="6">
        <v>2.3842592592592592E-2</v>
      </c>
      <c r="L269" s="1">
        <v>2</v>
      </c>
      <c r="M269" s="1" t="s">
        <v>14</v>
      </c>
      <c r="N269" s="5" t="s">
        <v>527</v>
      </c>
      <c r="O269" s="1" t="s">
        <v>14</v>
      </c>
      <c r="P269" s="39">
        <v>0.2</v>
      </c>
      <c r="Q269" s="39">
        <v>0.2</v>
      </c>
      <c r="S269" s="1">
        <v>0</v>
      </c>
      <c r="U269" s="2" t="s">
        <v>726</v>
      </c>
      <c r="V269" s="15" t="s">
        <v>27</v>
      </c>
      <c r="W269" s="15" t="s">
        <v>541</v>
      </c>
    </row>
    <row r="270" spans="1:23" x14ac:dyDescent="0.2">
      <c r="A270" s="15">
        <v>1</v>
      </c>
      <c r="B270" s="15" t="s">
        <v>551</v>
      </c>
      <c r="C270" s="1">
        <v>1</v>
      </c>
      <c r="D270" s="1" t="s">
        <v>727</v>
      </c>
      <c r="E270" s="4">
        <v>45431</v>
      </c>
      <c r="F270" s="31" t="s">
        <v>669</v>
      </c>
      <c r="G270" s="6">
        <f t="shared" si="22"/>
        <v>0.24283564814814815</v>
      </c>
      <c r="H270" s="3">
        <v>0.22034722222222222</v>
      </c>
      <c r="J270" s="3"/>
      <c r="K270" s="6">
        <v>2.2488425925925926E-2</v>
      </c>
      <c r="L270" s="1">
        <v>2</v>
      </c>
      <c r="M270" s="1" t="s">
        <v>14</v>
      </c>
      <c r="N270" s="5" t="s">
        <v>527</v>
      </c>
      <c r="O270" s="1" t="s">
        <v>14</v>
      </c>
      <c r="P270" s="39">
        <v>0.2</v>
      </c>
      <c r="Q270" s="39">
        <v>0.2</v>
      </c>
      <c r="S270" s="1">
        <v>0</v>
      </c>
      <c r="U270" s="2" t="s">
        <v>726</v>
      </c>
      <c r="V270" s="15" t="s">
        <v>27</v>
      </c>
      <c r="W270" s="15" t="s">
        <v>541</v>
      </c>
    </row>
    <row r="271" spans="1:23" x14ac:dyDescent="0.2">
      <c r="A271" s="15">
        <v>1</v>
      </c>
      <c r="B271" s="15" t="s">
        <v>551</v>
      </c>
      <c r="C271" s="1">
        <v>2</v>
      </c>
      <c r="D271" s="1" t="s">
        <v>727</v>
      </c>
      <c r="E271" s="4">
        <v>45431</v>
      </c>
      <c r="F271" s="31" t="s">
        <v>669</v>
      </c>
      <c r="G271" s="6">
        <f t="shared" si="22"/>
        <v>0.26648148148148149</v>
      </c>
      <c r="H271" s="3">
        <v>0.22034722222222222</v>
      </c>
      <c r="I271" s="3">
        <v>1.40625E-2</v>
      </c>
      <c r="K271" s="6">
        <v>4.6134259259259257E-2</v>
      </c>
      <c r="L271" s="1">
        <v>2</v>
      </c>
      <c r="M271" s="1" t="s">
        <v>14</v>
      </c>
      <c r="N271" s="5" t="s">
        <v>527</v>
      </c>
      <c r="O271" s="1" t="s">
        <v>14</v>
      </c>
      <c r="P271" s="39">
        <v>0.2</v>
      </c>
      <c r="Q271" s="39">
        <v>0.2</v>
      </c>
      <c r="S271" s="1">
        <v>0</v>
      </c>
      <c r="U271" s="2" t="s">
        <v>728</v>
      </c>
      <c r="V271" s="15" t="s">
        <v>27</v>
      </c>
      <c r="W271" s="15" t="s">
        <v>541</v>
      </c>
    </row>
    <row r="272" spans="1:23" x14ac:dyDescent="0.2">
      <c r="A272" s="15">
        <v>1</v>
      </c>
      <c r="B272" s="15" t="s">
        <v>551</v>
      </c>
      <c r="C272" s="1">
        <v>1</v>
      </c>
      <c r="D272" s="1" t="s">
        <v>756</v>
      </c>
      <c r="E272" s="4">
        <v>45430</v>
      </c>
      <c r="F272" s="4" t="s">
        <v>27</v>
      </c>
      <c r="G272" s="6" t="s">
        <v>27</v>
      </c>
      <c r="H272" s="1" t="s">
        <v>27</v>
      </c>
      <c r="I272" s="1" t="s">
        <v>27</v>
      </c>
      <c r="J272" s="1" t="s">
        <v>27</v>
      </c>
      <c r="K272" s="1" t="s">
        <v>27</v>
      </c>
      <c r="L272" s="1">
        <v>2</v>
      </c>
      <c r="M272" s="1" t="s">
        <v>13</v>
      </c>
      <c r="N272" s="5" t="s">
        <v>527</v>
      </c>
      <c r="O272" s="1" t="s">
        <v>14</v>
      </c>
      <c r="P272" s="39">
        <v>0.2</v>
      </c>
      <c r="Q272" s="39">
        <v>0.1</v>
      </c>
      <c r="S272" s="1" t="s">
        <v>27</v>
      </c>
      <c r="U272" s="2" t="s">
        <v>570</v>
      </c>
      <c r="V272" s="15" t="s">
        <v>27</v>
      </c>
      <c r="W272" s="15" t="s">
        <v>541</v>
      </c>
    </row>
    <row r="273" spans="1:23" x14ac:dyDescent="0.2">
      <c r="A273" s="15">
        <v>1</v>
      </c>
      <c r="B273" s="15" t="s">
        <v>551</v>
      </c>
      <c r="C273" s="1">
        <v>1</v>
      </c>
      <c r="D273" s="1" t="s">
        <v>741</v>
      </c>
      <c r="E273" s="4">
        <v>45437</v>
      </c>
      <c r="F273" s="4" t="s">
        <v>671</v>
      </c>
      <c r="G273" s="6">
        <f t="shared" si="22"/>
        <v>0.78964120370370372</v>
      </c>
      <c r="H273" s="3">
        <v>0.75130787037037039</v>
      </c>
      <c r="I273" s="1" t="s">
        <v>27</v>
      </c>
      <c r="J273" s="1" t="s">
        <v>27</v>
      </c>
      <c r="K273" s="6">
        <v>3.833333333333333E-2</v>
      </c>
      <c r="L273" s="1">
        <v>2</v>
      </c>
      <c r="M273" s="1" t="s">
        <v>13</v>
      </c>
      <c r="N273" s="5" t="s">
        <v>527</v>
      </c>
      <c r="O273" s="1" t="s">
        <v>13</v>
      </c>
      <c r="P273" s="39">
        <v>0.2</v>
      </c>
      <c r="Q273" s="39">
        <v>0.2</v>
      </c>
      <c r="S273" s="1">
        <v>0</v>
      </c>
      <c r="T273" s="2" t="s">
        <v>742</v>
      </c>
      <c r="V273" s="15" t="s">
        <v>27</v>
      </c>
      <c r="W273" s="15" t="s">
        <v>541</v>
      </c>
    </row>
    <row r="274" spans="1:23" x14ac:dyDescent="0.2">
      <c r="A274" s="15">
        <v>1</v>
      </c>
      <c r="B274" s="15" t="s">
        <v>551</v>
      </c>
      <c r="C274" s="1">
        <v>1</v>
      </c>
      <c r="D274" s="1" t="s">
        <v>678</v>
      </c>
      <c r="E274" s="4">
        <v>45438</v>
      </c>
      <c r="F274" s="4" t="s">
        <v>671</v>
      </c>
      <c r="G274" s="6">
        <f t="shared" si="22"/>
        <v>0.2408912037037037</v>
      </c>
      <c r="H274" s="3">
        <v>0.22206018518518519</v>
      </c>
      <c r="I274" s="1" t="s">
        <v>27</v>
      </c>
      <c r="J274" s="1" t="s">
        <v>27</v>
      </c>
      <c r="K274" s="6">
        <v>1.8831018518518518E-2</v>
      </c>
      <c r="L274" s="1">
        <v>2</v>
      </c>
      <c r="M274" s="1" t="s">
        <v>13</v>
      </c>
      <c r="N274" s="5" t="s">
        <v>527</v>
      </c>
      <c r="O274" s="1" t="s">
        <v>14</v>
      </c>
      <c r="P274" s="39">
        <v>0.2</v>
      </c>
      <c r="Q274" s="39">
        <v>0.2</v>
      </c>
      <c r="S274" s="1">
        <v>0</v>
      </c>
      <c r="T274" s="2">
        <v>1</v>
      </c>
      <c r="V274" s="15" t="s">
        <v>27</v>
      </c>
      <c r="W274" s="15" t="s">
        <v>541</v>
      </c>
    </row>
    <row r="275" spans="1:23" x14ac:dyDescent="0.2">
      <c r="A275" s="15">
        <v>1</v>
      </c>
      <c r="B275" s="15" t="s">
        <v>551</v>
      </c>
      <c r="C275" s="1">
        <v>2</v>
      </c>
      <c r="D275" s="1" t="s">
        <v>678</v>
      </c>
      <c r="E275" s="4">
        <v>45438</v>
      </c>
      <c r="F275" s="4" t="s">
        <v>671</v>
      </c>
      <c r="G275" s="6">
        <f t="shared" si="22"/>
        <v>0.24142361111111113</v>
      </c>
      <c r="H275" s="3">
        <v>0.22206018518518519</v>
      </c>
      <c r="I275" s="1" t="s">
        <v>27</v>
      </c>
      <c r="J275" s="1" t="s">
        <v>27</v>
      </c>
      <c r="K275" s="6">
        <v>1.9363425925925926E-2</v>
      </c>
      <c r="L275" s="1">
        <v>2</v>
      </c>
      <c r="M275" s="1" t="s">
        <v>13</v>
      </c>
      <c r="N275" s="5" t="s">
        <v>527</v>
      </c>
      <c r="O275" s="1" t="s">
        <v>14</v>
      </c>
      <c r="P275" s="39">
        <v>0.2</v>
      </c>
      <c r="Q275" s="39">
        <v>0.2</v>
      </c>
      <c r="S275" s="1">
        <v>0</v>
      </c>
      <c r="T275" s="2">
        <v>1</v>
      </c>
      <c r="V275" s="15" t="s">
        <v>27</v>
      </c>
      <c r="W275" s="15" t="s">
        <v>541</v>
      </c>
    </row>
    <row r="276" spans="1:23" x14ac:dyDescent="0.2">
      <c r="A276" s="15">
        <v>1</v>
      </c>
      <c r="B276" s="15" t="s">
        <v>551</v>
      </c>
      <c r="C276" s="1" t="s">
        <v>27</v>
      </c>
      <c r="D276" s="1" t="s">
        <v>749</v>
      </c>
      <c r="E276" s="4">
        <v>45438</v>
      </c>
      <c r="F276" s="4" t="s">
        <v>671</v>
      </c>
      <c r="G276" s="6" t="s">
        <v>27</v>
      </c>
      <c r="H276" s="3">
        <v>0.75784722222222223</v>
      </c>
      <c r="I276" s="1" t="s">
        <v>27</v>
      </c>
      <c r="J276" s="1" t="s">
        <v>27</v>
      </c>
      <c r="K276" s="6" t="s">
        <v>27</v>
      </c>
      <c r="L276" s="1">
        <v>2</v>
      </c>
      <c r="N276" s="5" t="s">
        <v>527</v>
      </c>
      <c r="P276" s="39">
        <v>0.1</v>
      </c>
      <c r="Q276" s="39">
        <v>0.1</v>
      </c>
      <c r="S276" s="1" t="s">
        <v>27</v>
      </c>
      <c r="U276" s="1" t="s">
        <v>66</v>
      </c>
    </row>
    <row r="277" spans="1:23" x14ac:dyDescent="0.2">
      <c r="A277" s="15">
        <v>1</v>
      </c>
      <c r="B277" s="15" t="s">
        <v>551</v>
      </c>
      <c r="C277" s="1">
        <v>1</v>
      </c>
      <c r="D277" s="1" t="s">
        <v>750</v>
      </c>
      <c r="E277" s="4">
        <v>45439</v>
      </c>
      <c r="F277" s="4" t="s">
        <v>671</v>
      </c>
      <c r="G277" s="6">
        <f t="shared" si="22"/>
        <v>0.23730324074074075</v>
      </c>
      <c r="H277" s="3">
        <v>0.21502314814814816</v>
      </c>
      <c r="I277" s="1" t="s">
        <v>27</v>
      </c>
      <c r="J277" s="1" t="s">
        <v>27</v>
      </c>
      <c r="K277" s="6">
        <v>2.2280092592592591E-2</v>
      </c>
      <c r="L277" s="1">
        <v>2</v>
      </c>
      <c r="M277" s="1" t="s">
        <v>13</v>
      </c>
      <c r="N277" s="5" t="s">
        <v>527</v>
      </c>
      <c r="O277" s="1" t="s">
        <v>13</v>
      </c>
      <c r="P277" s="39">
        <v>0.2</v>
      </c>
      <c r="Q277" s="39">
        <v>0.2</v>
      </c>
      <c r="S277" s="1">
        <v>1</v>
      </c>
    </row>
    <row r="278" spans="1:23" x14ac:dyDescent="0.2">
      <c r="A278" s="15">
        <v>1</v>
      </c>
      <c r="B278" s="15" t="s">
        <v>551</v>
      </c>
      <c r="C278" s="1">
        <v>2</v>
      </c>
      <c r="D278" s="1" t="s">
        <v>750</v>
      </c>
      <c r="E278" s="4">
        <v>45439</v>
      </c>
      <c r="F278" s="4" t="s">
        <v>671</v>
      </c>
      <c r="G278" s="6">
        <f t="shared" si="22"/>
        <v>0.23995370370370372</v>
      </c>
      <c r="H278" s="3">
        <v>0.21502314814814816</v>
      </c>
      <c r="I278" s="1" t="s">
        <v>27</v>
      </c>
      <c r="J278" s="1" t="s">
        <v>27</v>
      </c>
      <c r="K278" s="6">
        <v>2.4930555555555556E-2</v>
      </c>
      <c r="L278" s="1">
        <v>2</v>
      </c>
      <c r="M278" s="1" t="s">
        <v>13</v>
      </c>
      <c r="N278" s="5" t="s">
        <v>527</v>
      </c>
      <c r="O278" s="1" t="s">
        <v>13</v>
      </c>
      <c r="P278" s="39">
        <v>0.2</v>
      </c>
      <c r="Q278" s="39">
        <v>0.2</v>
      </c>
      <c r="S278" s="1">
        <v>1</v>
      </c>
    </row>
    <row r="279" spans="1:23" x14ac:dyDescent="0.2">
      <c r="A279" s="15">
        <v>1</v>
      </c>
      <c r="B279" s="15" t="s">
        <v>551</v>
      </c>
      <c r="C279" s="1">
        <v>1</v>
      </c>
      <c r="D279" s="1" t="s">
        <v>751</v>
      </c>
      <c r="E279" s="4">
        <v>45443</v>
      </c>
      <c r="F279" s="4" t="s">
        <v>671</v>
      </c>
      <c r="G279" s="6">
        <f t="shared" si="22"/>
        <v>0.79515046296296299</v>
      </c>
      <c r="H279" s="3">
        <v>0.7628935185185185</v>
      </c>
      <c r="I279" s="3">
        <v>1.8738425925925926E-2</v>
      </c>
      <c r="J279" s="3">
        <f>I279+H279</f>
        <v>0.78163194444444439</v>
      </c>
      <c r="K279" s="6">
        <v>3.2256944444444442E-2</v>
      </c>
      <c r="L279" s="1">
        <v>2</v>
      </c>
      <c r="M279" s="1" t="s">
        <v>13</v>
      </c>
      <c r="N279" s="5" t="s">
        <v>527</v>
      </c>
      <c r="O279" s="1" t="s">
        <v>14</v>
      </c>
      <c r="P279" s="39">
        <v>0.1</v>
      </c>
      <c r="Q279" s="39">
        <v>0.15</v>
      </c>
      <c r="S279" s="1">
        <v>0</v>
      </c>
    </row>
    <row r="280" spans="1:23" x14ac:dyDescent="0.2">
      <c r="A280" s="15">
        <v>1</v>
      </c>
      <c r="B280" s="15" t="s">
        <v>551</v>
      </c>
      <c r="C280" s="1">
        <v>1</v>
      </c>
      <c r="D280" s="1" t="s">
        <v>757</v>
      </c>
      <c r="E280" s="4">
        <v>45447</v>
      </c>
      <c r="F280" s="4" t="s">
        <v>671</v>
      </c>
      <c r="G280" s="6">
        <f t="shared" si="22"/>
        <v>0.23099537037037038</v>
      </c>
      <c r="H280" s="3">
        <v>0.21865740740740741</v>
      </c>
      <c r="I280" s="1" t="s">
        <v>27</v>
      </c>
      <c r="K280" s="6">
        <v>1.2337962962962964E-2</v>
      </c>
      <c r="L280" s="1">
        <v>2</v>
      </c>
      <c r="M280" s="1" t="s">
        <v>14</v>
      </c>
      <c r="N280" s="5" t="s">
        <v>527</v>
      </c>
      <c r="O280" s="1" t="s">
        <v>13</v>
      </c>
      <c r="P280" s="39">
        <v>0.15</v>
      </c>
      <c r="Q280" s="39">
        <v>0.15</v>
      </c>
      <c r="S280" s="1">
        <v>1</v>
      </c>
    </row>
    <row r="281" spans="1:23" x14ac:dyDescent="0.2">
      <c r="A281" s="15">
        <v>1</v>
      </c>
      <c r="B281" s="15" t="s">
        <v>551</v>
      </c>
      <c r="C281" s="1">
        <v>2</v>
      </c>
      <c r="D281" s="1" t="s">
        <v>757</v>
      </c>
      <c r="E281" s="4">
        <v>45447</v>
      </c>
      <c r="F281" s="4" t="s">
        <v>671</v>
      </c>
      <c r="G281" s="6">
        <f t="shared" si="22"/>
        <v>0.24619212962962964</v>
      </c>
      <c r="H281" s="3">
        <v>0.21865740740740741</v>
      </c>
      <c r="I281" s="3">
        <v>1.3032407407407407E-2</v>
      </c>
      <c r="J281" s="3">
        <f>I281+H281</f>
        <v>0.23168981481481482</v>
      </c>
      <c r="K281" s="6">
        <v>2.7534722222222221E-2</v>
      </c>
      <c r="L281" s="1">
        <v>2</v>
      </c>
      <c r="M281" s="1" t="s">
        <v>13</v>
      </c>
      <c r="N281" s="5" t="s">
        <v>527</v>
      </c>
      <c r="O281" s="1" t="s">
        <v>13</v>
      </c>
      <c r="P281" s="39">
        <v>0.15</v>
      </c>
      <c r="Q281" s="39">
        <v>0.15</v>
      </c>
      <c r="S281" s="1">
        <v>1</v>
      </c>
    </row>
    <row r="282" spans="1:23" x14ac:dyDescent="0.2">
      <c r="A282" s="15">
        <v>1</v>
      </c>
      <c r="B282" s="15" t="s">
        <v>551</v>
      </c>
      <c r="C282" s="1">
        <v>1</v>
      </c>
      <c r="D282" s="1" t="s">
        <v>758</v>
      </c>
      <c r="E282" s="4">
        <v>45446</v>
      </c>
      <c r="F282" s="4" t="s">
        <v>671</v>
      </c>
      <c r="G282" s="6">
        <f t="shared" si="22"/>
        <v>0.79351851851851851</v>
      </c>
      <c r="H282" s="3">
        <v>0.76937500000000003</v>
      </c>
      <c r="I282" s="3">
        <v>5.6712962962962967E-3</v>
      </c>
      <c r="J282" s="3">
        <f>I282+H282</f>
        <v>0.77504629629629629</v>
      </c>
      <c r="K282" s="6">
        <v>2.4143518518518519E-2</v>
      </c>
      <c r="L282" s="1">
        <v>2</v>
      </c>
      <c r="M282" s="1" t="s">
        <v>14</v>
      </c>
      <c r="N282" s="5" t="s">
        <v>527</v>
      </c>
      <c r="O282" s="1" t="s">
        <v>14</v>
      </c>
      <c r="P282" s="39">
        <v>0.15</v>
      </c>
      <c r="Q282" s="39">
        <v>0.15</v>
      </c>
      <c r="S282" s="1">
        <v>0</v>
      </c>
    </row>
    <row r="283" spans="1:23" x14ac:dyDescent="0.2">
      <c r="A283" s="15">
        <v>1</v>
      </c>
      <c r="B283" s="15" t="s">
        <v>551</v>
      </c>
      <c r="C283" s="1">
        <v>1</v>
      </c>
      <c r="D283" s="1" t="s">
        <v>752</v>
      </c>
      <c r="E283" s="4">
        <v>45446</v>
      </c>
      <c r="F283" s="4" t="s">
        <v>671</v>
      </c>
      <c r="G283" s="6">
        <f t="shared" si="22"/>
        <v>0.23542824074074073</v>
      </c>
      <c r="H283" s="3">
        <v>0.21857638888888889</v>
      </c>
      <c r="K283" s="6">
        <v>1.6851851851851851E-2</v>
      </c>
      <c r="L283" s="1">
        <v>2</v>
      </c>
      <c r="M283" s="1" t="s">
        <v>13</v>
      </c>
      <c r="N283" s="5" t="s">
        <v>527</v>
      </c>
      <c r="O283" s="1" t="s">
        <v>14</v>
      </c>
      <c r="P283" s="39">
        <v>0.15</v>
      </c>
      <c r="Q283" s="39">
        <v>0.15</v>
      </c>
      <c r="S283" s="1">
        <v>0</v>
      </c>
    </row>
    <row r="284" spans="1:23" x14ac:dyDescent="0.2">
      <c r="A284" s="15">
        <v>1</v>
      </c>
      <c r="B284" s="15" t="s">
        <v>551</v>
      </c>
      <c r="C284" s="1">
        <v>2</v>
      </c>
      <c r="D284" s="1" t="s">
        <v>752</v>
      </c>
      <c r="E284" s="4">
        <v>45446</v>
      </c>
      <c r="F284" s="4" t="s">
        <v>671</v>
      </c>
      <c r="G284" s="6">
        <f t="shared" si="22"/>
        <v>0.24730324074074073</v>
      </c>
      <c r="H284" s="3">
        <v>0.21857638888888889</v>
      </c>
      <c r="K284" s="6">
        <v>2.8726851851851851E-2</v>
      </c>
      <c r="L284" s="1">
        <v>2</v>
      </c>
      <c r="M284" s="1" t="s">
        <v>13</v>
      </c>
      <c r="N284" s="5" t="s">
        <v>527</v>
      </c>
      <c r="O284" s="1" t="s">
        <v>14</v>
      </c>
      <c r="P284" s="39">
        <v>0.15</v>
      </c>
      <c r="Q284" s="39">
        <v>0.15</v>
      </c>
      <c r="S284" s="1">
        <v>0</v>
      </c>
    </row>
    <row r="285" spans="1:23" x14ac:dyDescent="0.2">
      <c r="A285" s="15">
        <v>1</v>
      </c>
      <c r="B285" s="15" t="s">
        <v>551</v>
      </c>
      <c r="C285" s="1">
        <v>1</v>
      </c>
      <c r="D285" s="1" t="s">
        <v>753</v>
      </c>
      <c r="E285" s="4">
        <v>45445</v>
      </c>
      <c r="F285" s="4" t="s">
        <v>671</v>
      </c>
      <c r="G285" s="6">
        <f t="shared" si="22"/>
        <v>0.78672453703703704</v>
      </c>
      <c r="H285" s="3">
        <v>0.76591435185185186</v>
      </c>
      <c r="I285" s="3">
        <v>7.2106481481481483E-3</v>
      </c>
      <c r="J285" s="3">
        <f>I285+H285</f>
        <v>0.77312500000000006</v>
      </c>
      <c r="K285" s="6">
        <v>2.0810185185185185E-2</v>
      </c>
      <c r="L285" s="1">
        <v>2</v>
      </c>
      <c r="M285" s="1" t="s">
        <v>13</v>
      </c>
      <c r="N285" s="5" t="s">
        <v>527</v>
      </c>
      <c r="O285" s="1" t="s">
        <v>13</v>
      </c>
      <c r="P285" s="39">
        <v>0.15</v>
      </c>
      <c r="Q285" s="39">
        <v>0.15</v>
      </c>
      <c r="S285" s="1">
        <v>1</v>
      </c>
    </row>
    <row r="286" spans="1:23" x14ac:dyDescent="0.2">
      <c r="A286" s="15">
        <v>1</v>
      </c>
      <c r="B286" s="15" t="s">
        <v>551</v>
      </c>
      <c r="C286" s="1">
        <v>2</v>
      </c>
      <c r="D286" s="1" t="s">
        <v>753</v>
      </c>
      <c r="E286" s="4">
        <v>45445</v>
      </c>
      <c r="F286" s="4" t="s">
        <v>671</v>
      </c>
      <c r="G286" s="6">
        <f t="shared" si="22"/>
        <v>0.79743055555555553</v>
      </c>
      <c r="H286" s="3">
        <v>0.76591435185185186</v>
      </c>
      <c r="I286" s="3">
        <v>1.7766203703703704E-2</v>
      </c>
      <c r="J286" s="3">
        <f>I286+H286</f>
        <v>0.7836805555555556</v>
      </c>
      <c r="K286" s="6">
        <v>3.1516203703703706E-2</v>
      </c>
      <c r="L286" s="1">
        <v>2</v>
      </c>
      <c r="M286" s="1" t="s">
        <v>13</v>
      </c>
      <c r="N286" s="5" t="s">
        <v>527</v>
      </c>
      <c r="O286" s="1" t="s">
        <v>13</v>
      </c>
      <c r="P286" s="39">
        <v>0.15</v>
      </c>
      <c r="Q286" s="39">
        <v>0.15</v>
      </c>
      <c r="S286" s="1">
        <v>1</v>
      </c>
    </row>
    <row r="287" spans="1:23" x14ac:dyDescent="0.2">
      <c r="A287" s="15">
        <v>1</v>
      </c>
      <c r="B287" s="15" t="s">
        <v>551</v>
      </c>
      <c r="C287" s="1">
        <v>1</v>
      </c>
      <c r="D287" s="1" t="s">
        <v>754</v>
      </c>
      <c r="E287" s="4">
        <v>45445</v>
      </c>
      <c r="F287" s="4" t="s">
        <v>671</v>
      </c>
      <c r="G287" s="6">
        <f t="shared" si="22"/>
        <v>0.23479166666666668</v>
      </c>
      <c r="H287" s="3">
        <v>0.22961805555555556</v>
      </c>
      <c r="K287" s="6">
        <v>5.1736111111111115E-3</v>
      </c>
      <c r="L287" s="1">
        <v>2</v>
      </c>
      <c r="M287" s="1" t="s">
        <v>14</v>
      </c>
      <c r="N287" s="5" t="s">
        <v>527</v>
      </c>
      <c r="O287" s="1" t="s">
        <v>13</v>
      </c>
      <c r="P287" s="39">
        <v>0.15</v>
      </c>
      <c r="Q287" s="39">
        <v>0.15</v>
      </c>
      <c r="S287" s="1">
        <v>1</v>
      </c>
    </row>
    <row r="288" spans="1:23" x14ac:dyDescent="0.2">
      <c r="A288" s="15">
        <v>1</v>
      </c>
      <c r="B288" s="15" t="s">
        <v>551</v>
      </c>
      <c r="C288" s="1">
        <v>2</v>
      </c>
      <c r="D288" s="1" t="s">
        <v>754</v>
      </c>
      <c r="E288" s="4">
        <v>45445</v>
      </c>
      <c r="F288" s="4" t="s">
        <v>671</v>
      </c>
      <c r="G288" s="6">
        <f t="shared" si="22"/>
        <v>0.24001157407407409</v>
      </c>
      <c r="H288" s="3">
        <v>0.22961805555555556</v>
      </c>
      <c r="I288" s="3">
        <v>5.8449074074074072E-3</v>
      </c>
      <c r="J288" s="3">
        <f>I288+H288</f>
        <v>0.23546296296296296</v>
      </c>
      <c r="K288" s="6">
        <v>1.0393518518518519E-2</v>
      </c>
      <c r="L288" s="1">
        <v>2</v>
      </c>
      <c r="M288" s="1" t="s">
        <v>13</v>
      </c>
      <c r="N288" s="5" t="s">
        <v>527</v>
      </c>
      <c r="O288" s="1" t="s">
        <v>13</v>
      </c>
      <c r="P288" s="39">
        <v>0.15</v>
      </c>
      <c r="Q288" s="39">
        <v>0.15</v>
      </c>
      <c r="S288" s="1">
        <v>1</v>
      </c>
    </row>
    <row r="289" spans="1:21" x14ac:dyDescent="0.2">
      <c r="A289" s="15">
        <v>1</v>
      </c>
      <c r="B289" s="15" t="s">
        <v>551</v>
      </c>
      <c r="C289" s="1">
        <v>3</v>
      </c>
      <c r="D289" s="1" t="s">
        <v>754</v>
      </c>
      <c r="E289" s="4">
        <v>45445</v>
      </c>
      <c r="F289" s="4" t="s">
        <v>671</v>
      </c>
      <c r="G289" s="6">
        <f t="shared" si="22"/>
        <v>0.24662037037037038</v>
      </c>
      <c r="H289" s="3">
        <v>0.22961805555555556</v>
      </c>
      <c r="I289" s="3">
        <v>1.1145833333333334E-2</v>
      </c>
      <c r="J289" s="3">
        <f>I289+H289</f>
        <v>0.24076388888888889</v>
      </c>
      <c r="K289" s="6">
        <v>1.7002314814814814E-2</v>
      </c>
      <c r="L289" s="1">
        <v>2</v>
      </c>
      <c r="M289" s="1" t="s">
        <v>13</v>
      </c>
      <c r="N289" s="5" t="s">
        <v>527</v>
      </c>
      <c r="O289" s="1" t="s">
        <v>13</v>
      </c>
      <c r="P289" s="39">
        <v>0.15</v>
      </c>
      <c r="Q289" s="39">
        <v>0.15</v>
      </c>
      <c r="S289" s="1">
        <v>1</v>
      </c>
    </row>
    <row r="290" spans="1:21" x14ac:dyDescent="0.2">
      <c r="A290" s="15">
        <v>1</v>
      </c>
      <c r="B290" s="15" t="s">
        <v>551</v>
      </c>
      <c r="C290" s="1">
        <v>1</v>
      </c>
      <c r="D290" s="4" t="s">
        <v>755</v>
      </c>
      <c r="E290" s="4">
        <v>45444</v>
      </c>
      <c r="F290" s="4" t="s">
        <v>671</v>
      </c>
      <c r="G290" s="6">
        <f t="shared" si="22"/>
        <v>0.22990740740740739</v>
      </c>
      <c r="H290" s="6">
        <v>0.22277777777777777</v>
      </c>
      <c r="K290" s="6">
        <v>7.1296296296296299E-3</v>
      </c>
      <c r="L290" s="1">
        <v>2</v>
      </c>
      <c r="M290" s="1" t="s">
        <v>14</v>
      </c>
      <c r="N290" s="5" t="s">
        <v>527</v>
      </c>
      <c r="O290" s="1" t="s">
        <v>14</v>
      </c>
      <c r="P290" s="39">
        <v>0.15</v>
      </c>
      <c r="Q290" s="39">
        <v>0.15</v>
      </c>
      <c r="S290" s="1">
        <v>0</v>
      </c>
    </row>
    <row r="291" spans="1:21" x14ac:dyDescent="0.2">
      <c r="A291" s="15">
        <v>1</v>
      </c>
      <c r="B291" s="15" t="s">
        <v>551</v>
      </c>
      <c r="C291" s="1">
        <v>2</v>
      </c>
      <c r="D291" s="4" t="s">
        <v>755</v>
      </c>
      <c r="E291" s="4">
        <v>45444</v>
      </c>
      <c r="F291" s="4" t="s">
        <v>671</v>
      </c>
      <c r="G291" s="6">
        <f t="shared" si="22"/>
        <v>0.2381597222222222</v>
      </c>
      <c r="H291" s="6">
        <v>0.22277777777777777</v>
      </c>
      <c r="I291" s="3">
        <v>8.067129629629629E-3</v>
      </c>
      <c r="J291" s="3">
        <f>I291+H291</f>
        <v>0.2308449074074074</v>
      </c>
      <c r="K291" s="6">
        <v>1.5381944444444445E-2</v>
      </c>
      <c r="L291" s="1">
        <v>2</v>
      </c>
      <c r="M291" s="1" t="s">
        <v>14</v>
      </c>
      <c r="N291" s="5" t="s">
        <v>527</v>
      </c>
      <c r="O291" s="1" t="s">
        <v>14</v>
      </c>
      <c r="P291" s="39">
        <v>0.15</v>
      </c>
      <c r="Q291" s="39">
        <v>0.15</v>
      </c>
      <c r="S291" s="1">
        <v>0</v>
      </c>
    </row>
    <row r="292" spans="1:21" x14ac:dyDescent="0.2">
      <c r="A292" s="15">
        <v>1</v>
      </c>
      <c r="B292" s="15" t="s">
        <v>551</v>
      </c>
      <c r="C292" s="1">
        <v>1</v>
      </c>
      <c r="D292" s="1" t="s">
        <v>759</v>
      </c>
      <c r="E292" s="4">
        <v>45448</v>
      </c>
      <c r="F292" s="4" t="s">
        <v>671</v>
      </c>
      <c r="G292" s="6">
        <f t="shared" si="22"/>
        <v>0.23193287037037039</v>
      </c>
      <c r="H292" s="6">
        <v>0.21761574074074075</v>
      </c>
      <c r="K292" s="6">
        <v>1.4317129629629629E-2</v>
      </c>
      <c r="L292" s="1">
        <v>2</v>
      </c>
      <c r="M292" s="1" t="s">
        <v>13</v>
      </c>
      <c r="N292" s="5" t="s">
        <v>527</v>
      </c>
      <c r="O292" s="1" t="s">
        <v>14</v>
      </c>
      <c r="P292" s="39">
        <v>0.15</v>
      </c>
      <c r="Q292" s="39">
        <v>0.15</v>
      </c>
      <c r="S292" s="1">
        <v>0</v>
      </c>
    </row>
    <row r="293" spans="1:21" x14ac:dyDescent="0.2">
      <c r="A293" s="15">
        <v>1</v>
      </c>
      <c r="B293" s="15" t="s">
        <v>551</v>
      </c>
      <c r="C293" s="1">
        <v>2</v>
      </c>
      <c r="D293" s="1" t="s">
        <v>759</v>
      </c>
      <c r="E293" s="4">
        <v>45448</v>
      </c>
      <c r="F293" s="4" t="s">
        <v>671</v>
      </c>
      <c r="G293" s="6">
        <f t="shared" si="22"/>
        <v>0.25498842592592591</v>
      </c>
      <c r="H293" s="6">
        <v>0.21761574074074075</v>
      </c>
      <c r="I293" s="3">
        <v>1.5219907407407408E-2</v>
      </c>
      <c r="J293" s="3">
        <f>I293+H293</f>
        <v>0.23283564814814817</v>
      </c>
      <c r="K293" s="6">
        <v>3.7372685185185182E-2</v>
      </c>
      <c r="L293" s="1">
        <v>2</v>
      </c>
      <c r="M293" s="1" t="s">
        <v>14</v>
      </c>
      <c r="N293" s="5" t="s">
        <v>527</v>
      </c>
      <c r="O293" s="1" t="s">
        <v>14</v>
      </c>
      <c r="P293" s="39">
        <v>0.15</v>
      </c>
      <c r="Q293" s="39">
        <v>0.15</v>
      </c>
      <c r="S293" s="1">
        <v>0</v>
      </c>
    </row>
    <row r="294" spans="1:21" x14ac:dyDescent="0.2">
      <c r="A294" s="15">
        <v>1</v>
      </c>
      <c r="B294" s="15" t="s">
        <v>551</v>
      </c>
      <c r="C294" s="1">
        <v>1</v>
      </c>
      <c r="D294" s="1" t="s">
        <v>760</v>
      </c>
      <c r="E294" s="4">
        <v>45449</v>
      </c>
      <c r="F294" s="4" t="s">
        <v>671</v>
      </c>
      <c r="G294" s="6">
        <f t="shared" si="22"/>
        <v>0.22938657407407409</v>
      </c>
      <c r="H294" s="3">
        <v>0.22115740740740741</v>
      </c>
      <c r="K294" s="6">
        <v>8.2291666666666659E-3</v>
      </c>
      <c r="L294" s="1">
        <v>2</v>
      </c>
      <c r="M294" s="1" t="s">
        <v>14</v>
      </c>
      <c r="N294" s="5" t="s">
        <v>527</v>
      </c>
      <c r="O294" s="1" t="s">
        <v>14</v>
      </c>
      <c r="P294" s="39">
        <v>0.15</v>
      </c>
      <c r="Q294" s="39">
        <v>0.15</v>
      </c>
      <c r="S294" s="1">
        <v>0</v>
      </c>
    </row>
    <row r="295" spans="1:21" x14ac:dyDescent="0.2">
      <c r="A295" s="15">
        <v>1</v>
      </c>
      <c r="B295" s="15" t="s">
        <v>551</v>
      </c>
      <c r="C295" s="1">
        <v>2</v>
      </c>
      <c r="D295" s="1" t="s">
        <v>760</v>
      </c>
      <c r="E295" s="4">
        <v>45449</v>
      </c>
      <c r="F295" s="4" t="s">
        <v>671</v>
      </c>
      <c r="G295" s="6">
        <f t="shared" si="22"/>
        <v>0.24318287037037037</v>
      </c>
      <c r="H295" s="3">
        <v>0.22115740740740741</v>
      </c>
      <c r="K295" s="6">
        <v>2.2025462962962962E-2</v>
      </c>
      <c r="L295" s="1">
        <v>2</v>
      </c>
      <c r="M295" s="1" t="s">
        <v>14</v>
      </c>
      <c r="N295" s="5" t="s">
        <v>527</v>
      </c>
      <c r="O295" s="1" t="s">
        <v>14</v>
      </c>
      <c r="P295" s="39">
        <v>0.15</v>
      </c>
      <c r="Q295" s="39">
        <v>0.15</v>
      </c>
      <c r="S295" s="1">
        <v>0</v>
      </c>
    </row>
    <row r="296" spans="1:21" x14ac:dyDescent="0.2">
      <c r="A296" s="15">
        <v>1</v>
      </c>
      <c r="B296" s="15" t="s">
        <v>551</v>
      </c>
      <c r="C296" s="1">
        <v>3</v>
      </c>
      <c r="D296" s="1" t="s">
        <v>760</v>
      </c>
      <c r="E296" s="4">
        <v>45449</v>
      </c>
      <c r="F296" s="4" t="s">
        <v>671</v>
      </c>
      <c r="G296" s="6">
        <f t="shared" si="22"/>
        <v>0.24925925925925926</v>
      </c>
      <c r="H296" s="3">
        <v>0.22115740740740741</v>
      </c>
      <c r="I296" s="3">
        <v>2.2881944444444444E-2</v>
      </c>
      <c r="J296" s="3">
        <f>I296+H296</f>
        <v>0.24403935185185185</v>
      </c>
      <c r="K296" s="6">
        <v>2.8101851851851854E-2</v>
      </c>
      <c r="L296" s="1">
        <v>2</v>
      </c>
      <c r="M296" s="1" t="s">
        <v>14</v>
      </c>
      <c r="N296" s="5" t="s">
        <v>527</v>
      </c>
      <c r="O296" s="1" t="s">
        <v>14</v>
      </c>
      <c r="P296" s="39">
        <v>0.15</v>
      </c>
      <c r="Q296" s="39">
        <v>0.15</v>
      </c>
      <c r="S296" s="1">
        <v>0</v>
      </c>
    </row>
    <row r="297" spans="1:21" x14ac:dyDescent="0.2">
      <c r="A297" s="15">
        <v>1</v>
      </c>
      <c r="B297" s="15" t="s">
        <v>551</v>
      </c>
      <c r="C297" s="1">
        <v>4</v>
      </c>
      <c r="D297" s="1" t="s">
        <v>760</v>
      </c>
      <c r="E297" s="4">
        <v>45449</v>
      </c>
      <c r="F297" s="4" t="s">
        <v>671</v>
      </c>
      <c r="G297" s="6">
        <f t="shared" si="22"/>
        <v>0.2553125</v>
      </c>
      <c r="H297" s="3">
        <v>0.22115740740740741</v>
      </c>
      <c r="I297" s="3">
        <v>2.8993055555555557E-2</v>
      </c>
      <c r="J297" s="3">
        <f>I297+H297</f>
        <v>0.25015046296296295</v>
      </c>
      <c r="K297" s="6">
        <v>3.4155092592592591E-2</v>
      </c>
      <c r="L297" s="1">
        <v>2</v>
      </c>
      <c r="M297" s="1" t="s">
        <v>14</v>
      </c>
      <c r="N297" s="5" t="s">
        <v>527</v>
      </c>
      <c r="O297" s="1" t="s">
        <v>14</v>
      </c>
      <c r="P297" s="39">
        <v>0.15</v>
      </c>
      <c r="Q297" s="39">
        <v>0.15</v>
      </c>
      <c r="S297" s="1">
        <v>1</v>
      </c>
    </row>
    <row r="298" spans="1:21" x14ac:dyDescent="0.2">
      <c r="A298" s="15">
        <v>1</v>
      </c>
      <c r="B298" s="15" t="s">
        <v>551</v>
      </c>
      <c r="C298" s="1">
        <v>1</v>
      </c>
      <c r="D298" s="1" t="s">
        <v>761</v>
      </c>
      <c r="E298" s="4">
        <v>45448</v>
      </c>
      <c r="F298" s="4" t="s">
        <v>671</v>
      </c>
      <c r="G298" s="6" t="s">
        <v>27</v>
      </c>
      <c r="H298" s="3">
        <v>0.76388888888888884</v>
      </c>
      <c r="I298" s="3">
        <v>0.22115740740740741</v>
      </c>
      <c r="J298" s="3"/>
      <c r="K298" s="6" t="s">
        <v>27</v>
      </c>
      <c r="L298" s="1">
        <v>2</v>
      </c>
      <c r="M298" s="1" t="s">
        <v>14</v>
      </c>
      <c r="N298" s="5" t="s">
        <v>527</v>
      </c>
      <c r="O298" s="1" t="s">
        <v>14</v>
      </c>
      <c r="P298" s="39">
        <v>0.15</v>
      </c>
      <c r="Q298" s="39">
        <v>0.15</v>
      </c>
      <c r="S298" s="1" t="s">
        <v>27</v>
      </c>
      <c r="U298" s="1" t="s">
        <v>762</v>
      </c>
    </row>
    <row r="299" spans="1:21" x14ac:dyDescent="0.2">
      <c r="A299" s="15">
        <v>1</v>
      </c>
      <c r="B299" s="15" t="s">
        <v>551</v>
      </c>
      <c r="C299" s="1">
        <v>2</v>
      </c>
      <c r="D299" s="1" t="s">
        <v>761</v>
      </c>
      <c r="E299" s="4">
        <v>45448</v>
      </c>
      <c r="F299" s="4" t="s">
        <v>671</v>
      </c>
      <c r="G299" s="6" t="s">
        <v>27</v>
      </c>
      <c r="H299" s="3">
        <v>0.76388888888888884</v>
      </c>
      <c r="I299" s="3">
        <v>1.8784722222222223E-2</v>
      </c>
      <c r="J299" s="3">
        <f>I299+H299</f>
        <v>0.78267361111111111</v>
      </c>
      <c r="K299" s="6" t="s">
        <v>27</v>
      </c>
      <c r="L299" s="1">
        <v>2</v>
      </c>
      <c r="M299" s="1" t="s">
        <v>14</v>
      </c>
      <c r="N299" s="5" t="s">
        <v>527</v>
      </c>
      <c r="O299" s="1" t="s">
        <v>14</v>
      </c>
      <c r="P299" s="39">
        <v>0.15</v>
      </c>
      <c r="Q299" s="39">
        <v>0.15</v>
      </c>
      <c r="S299" s="1" t="s">
        <v>27</v>
      </c>
    </row>
    <row r="300" spans="1:21" x14ac:dyDescent="0.2">
      <c r="A300" s="15">
        <v>1</v>
      </c>
      <c r="B300" s="15" t="s">
        <v>551</v>
      </c>
      <c r="C300" s="1">
        <v>1</v>
      </c>
      <c r="D300" s="1" t="s">
        <v>763</v>
      </c>
      <c r="E300" s="4">
        <v>45450</v>
      </c>
      <c r="F300" s="4" t="s">
        <v>671</v>
      </c>
      <c r="G300" s="6">
        <f t="shared" ref="G300:G337" si="23">K300+H300</f>
        <v>0.23401620370370371</v>
      </c>
      <c r="H300" s="3">
        <v>0.22133101851851852</v>
      </c>
      <c r="K300" s="6">
        <v>1.2685185185185185E-2</v>
      </c>
      <c r="L300" s="1">
        <v>2</v>
      </c>
      <c r="M300" s="1" t="s">
        <v>13</v>
      </c>
      <c r="N300" s="5" t="s">
        <v>527</v>
      </c>
      <c r="O300" s="1" t="s">
        <v>13</v>
      </c>
      <c r="P300" s="39">
        <v>0.15</v>
      </c>
      <c r="Q300" s="39">
        <v>0.15</v>
      </c>
      <c r="S300" s="1">
        <v>1</v>
      </c>
      <c r="T300" s="2" t="s">
        <v>696</v>
      </c>
    </row>
    <row r="301" spans="1:21" x14ac:dyDescent="0.2">
      <c r="A301" s="15">
        <v>1</v>
      </c>
      <c r="B301" s="15" t="s">
        <v>551</v>
      </c>
      <c r="C301" s="1">
        <v>2</v>
      </c>
      <c r="D301" s="1" t="s">
        <v>763</v>
      </c>
      <c r="E301" s="4">
        <v>45450</v>
      </c>
      <c r="F301" s="4" t="s">
        <v>671</v>
      </c>
      <c r="G301" s="6">
        <f t="shared" si="23"/>
        <v>0.25451388888888887</v>
      </c>
      <c r="H301" s="3">
        <v>0.22133101851851852</v>
      </c>
      <c r="I301" s="3">
        <v>1.324074074074074E-2</v>
      </c>
      <c r="J301" s="3">
        <f>I301+H301</f>
        <v>0.23457175925925927</v>
      </c>
      <c r="K301" s="6">
        <v>3.318287037037037E-2</v>
      </c>
      <c r="L301" s="1">
        <v>2</v>
      </c>
      <c r="M301" s="1" t="s">
        <v>13</v>
      </c>
      <c r="N301" s="5" t="s">
        <v>527</v>
      </c>
      <c r="O301" s="1" t="s">
        <v>13</v>
      </c>
      <c r="P301" s="39">
        <v>0.15</v>
      </c>
      <c r="Q301" s="39">
        <v>0.15</v>
      </c>
      <c r="S301" s="1">
        <v>1</v>
      </c>
    </row>
    <row r="302" spans="1:21" x14ac:dyDescent="0.2">
      <c r="A302" s="15">
        <v>1</v>
      </c>
      <c r="B302" s="15" t="s">
        <v>551</v>
      </c>
      <c r="C302" s="1">
        <v>1</v>
      </c>
      <c r="D302" s="1" t="s">
        <v>764</v>
      </c>
      <c r="E302" s="4">
        <v>45449</v>
      </c>
      <c r="F302" s="4" t="s">
        <v>671</v>
      </c>
      <c r="G302" s="6">
        <f t="shared" si="23"/>
        <v>0.78518518518518521</v>
      </c>
      <c r="H302" s="3">
        <v>0.76666666666666672</v>
      </c>
      <c r="I302" s="6">
        <v>1.2094907407407407E-2</v>
      </c>
      <c r="J302" s="3">
        <f>I302+H302</f>
        <v>0.77876157407407409</v>
      </c>
      <c r="K302" s="6">
        <v>1.8518518518518517E-2</v>
      </c>
      <c r="L302" s="1">
        <v>2</v>
      </c>
      <c r="M302" s="1" t="s">
        <v>14</v>
      </c>
      <c r="N302" s="5" t="s">
        <v>527</v>
      </c>
      <c r="O302" s="1" t="s">
        <v>13</v>
      </c>
      <c r="P302" s="39">
        <v>0.15</v>
      </c>
      <c r="Q302" s="39">
        <v>0.15</v>
      </c>
      <c r="S302" s="1">
        <v>1</v>
      </c>
    </row>
    <row r="303" spans="1:21" x14ac:dyDescent="0.2">
      <c r="A303" s="15">
        <v>1</v>
      </c>
      <c r="B303" s="15" t="s">
        <v>551</v>
      </c>
      <c r="C303" s="1">
        <v>2</v>
      </c>
      <c r="D303" s="1" t="s">
        <v>764</v>
      </c>
      <c r="E303" s="4">
        <v>45449</v>
      </c>
      <c r="F303" s="4" t="s">
        <v>671</v>
      </c>
      <c r="G303" s="6">
        <f t="shared" si="23"/>
        <v>0.79519675925925926</v>
      </c>
      <c r="H303" s="3">
        <v>0.76666666666666672</v>
      </c>
      <c r="I303" s="3">
        <v>1.695601851851852E-2</v>
      </c>
      <c r="J303" s="3">
        <f>I303+H303</f>
        <v>0.78362268518518519</v>
      </c>
      <c r="K303" s="6">
        <v>2.8530092592592593E-2</v>
      </c>
      <c r="L303" s="1">
        <v>2</v>
      </c>
      <c r="M303" s="1" t="s">
        <v>14</v>
      </c>
      <c r="N303" s="5" t="s">
        <v>527</v>
      </c>
      <c r="O303" s="1" t="s">
        <v>13</v>
      </c>
      <c r="P303" s="39">
        <v>0.15</v>
      </c>
      <c r="Q303" s="39">
        <v>0.15</v>
      </c>
      <c r="S303" s="1">
        <v>1</v>
      </c>
      <c r="T303" s="2" t="s">
        <v>765</v>
      </c>
    </row>
    <row r="304" spans="1:21" x14ac:dyDescent="0.2">
      <c r="A304" s="15">
        <v>1</v>
      </c>
      <c r="B304" s="15" t="s">
        <v>551</v>
      </c>
      <c r="C304" s="1">
        <v>1</v>
      </c>
      <c r="D304" s="1" t="s">
        <v>766</v>
      </c>
      <c r="E304" s="4">
        <v>45450</v>
      </c>
      <c r="F304" s="4" t="s">
        <v>671</v>
      </c>
      <c r="G304" s="6">
        <f t="shared" si="23"/>
        <v>0.79762731481481486</v>
      </c>
      <c r="H304" s="3">
        <v>0.76535879629629633</v>
      </c>
      <c r="I304" s="3">
        <v>6.3541666666666668E-3</v>
      </c>
      <c r="J304" s="3">
        <f>I304+H304</f>
        <v>0.77171296296296299</v>
      </c>
      <c r="K304" s="6">
        <v>3.2268518518518516E-2</v>
      </c>
      <c r="L304" s="1">
        <v>2</v>
      </c>
      <c r="M304" s="1" t="s">
        <v>13</v>
      </c>
      <c r="N304" s="5" t="s">
        <v>527</v>
      </c>
      <c r="O304" s="1" t="s">
        <v>14</v>
      </c>
      <c r="P304" s="39">
        <v>0.15</v>
      </c>
      <c r="Q304" s="39">
        <v>0.15</v>
      </c>
      <c r="S304" s="1">
        <v>0</v>
      </c>
    </row>
    <row r="305" spans="1:21" x14ac:dyDescent="0.2">
      <c r="A305" s="15">
        <v>1</v>
      </c>
      <c r="B305" s="15" t="s">
        <v>551</v>
      </c>
      <c r="C305" s="1">
        <v>1</v>
      </c>
      <c r="D305" s="1" t="s">
        <v>767</v>
      </c>
      <c r="E305" s="4">
        <v>45451</v>
      </c>
      <c r="F305" s="4" t="s">
        <v>671</v>
      </c>
      <c r="G305" s="6">
        <f t="shared" si="23"/>
        <v>0.229375</v>
      </c>
      <c r="H305" s="3">
        <v>0.21758101851851852</v>
      </c>
      <c r="I305" s="1" t="s">
        <v>27</v>
      </c>
      <c r="J305" s="1" t="s">
        <v>27</v>
      </c>
      <c r="K305" s="6">
        <v>1.1793981481481482E-2</v>
      </c>
      <c r="L305" s="1">
        <v>2</v>
      </c>
      <c r="M305" s="1" t="s">
        <v>14</v>
      </c>
      <c r="N305" s="5" t="s">
        <v>527</v>
      </c>
      <c r="O305" s="1" t="s">
        <v>14</v>
      </c>
      <c r="P305" s="39">
        <v>0.15</v>
      </c>
      <c r="Q305" s="39">
        <v>0.15</v>
      </c>
      <c r="S305" s="1">
        <v>0</v>
      </c>
      <c r="T305" s="2" t="s">
        <v>768</v>
      </c>
    </row>
    <row r="306" spans="1:21" x14ac:dyDescent="0.2">
      <c r="A306" s="15">
        <v>1</v>
      </c>
      <c r="B306" s="15" t="s">
        <v>551</v>
      </c>
      <c r="C306" s="1">
        <v>2</v>
      </c>
      <c r="D306" s="1" t="s">
        <v>767</v>
      </c>
      <c r="E306" s="4">
        <v>45451</v>
      </c>
      <c r="F306" s="4" t="s">
        <v>671</v>
      </c>
      <c r="G306" s="6">
        <f t="shared" si="23"/>
        <v>0.24319444444444444</v>
      </c>
      <c r="H306" s="3">
        <v>0.21758101851851852</v>
      </c>
      <c r="I306" s="3">
        <v>1.2407407407407407E-2</v>
      </c>
      <c r="J306" s="3">
        <f>I306+H306</f>
        <v>0.22998842592592592</v>
      </c>
      <c r="K306" s="6">
        <v>2.5613425925925925E-2</v>
      </c>
      <c r="L306" s="1">
        <v>2</v>
      </c>
      <c r="M306" s="1" t="s">
        <v>14</v>
      </c>
      <c r="N306" s="5" t="s">
        <v>527</v>
      </c>
      <c r="O306" s="1" t="s">
        <v>14</v>
      </c>
      <c r="P306" s="39">
        <v>0.15</v>
      </c>
      <c r="Q306" s="39">
        <v>0.15</v>
      </c>
      <c r="S306" s="1">
        <v>0</v>
      </c>
    </row>
    <row r="307" spans="1:21" x14ac:dyDescent="0.2">
      <c r="A307" s="15">
        <v>1</v>
      </c>
      <c r="B307" s="15" t="s">
        <v>551</v>
      </c>
      <c r="C307" s="1">
        <v>3</v>
      </c>
      <c r="D307" s="1" t="s">
        <v>767</v>
      </c>
      <c r="E307" s="4">
        <v>45451</v>
      </c>
      <c r="F307" s="4" t="s">
        <v>671</v>
      </c>
      <c r="G307" s="6">
        <f t="shared" si="23"/>
        <v>0.25528935185185186</v>
      </c>
      <c r="H307" s="3">
        <v>0.21758101851851852</v>
      </c>
      <c r="I307" s="3">
        <v>2.6180555555555554E-2</v>
      </c>
      <c r="J307" s="3">
        <f>I307+H307</f>
        <v>0.24376157407407406</v>
      </c>
      <c r="K307" s="6">
        <v>3.7708333333333337E-2</v>
      </c>
      <c r="L307" s="1">
        <v>2</v>
      </c>
      <c r="M307" s="1" t="s">
        <v>14</v>
      </c>
      <c r="N307" s="5" t="s">
        <v>527</v>
      </c>
      <c r="O307" s="1" t="s">
        <v>14</v>
      </c>
      <c r="P307" s="39">
        <v>0.15</v>
      </c>
      <c r="Q307" s="39">
        <v>0.15</v>
      </c>
      <c r="S307" s="1">
        <v>1</v>
      </c>
    </row>
    <row r="308" spans="1:21" x14ac:dyDescent="0.2">
      <c r="A308" s="15">
        <v>1</v>
      </c>
      <c r="B308" s="15" t="s">
        <v>551</v>
      </c>
      <c r="C308" s="1">
        <v>1</v>
      </c>
      <c r="D308" s="1" t="s">
        <v>769</v>
      </c>
      <c r="E308" s="4">
        <v>45451</v>
      </c>
      <c r="F308" s="4" t="s">
        <v>671</v>
      </c>
      <c r="G308" s="6">
        <f t="shared" si="23"/>
        <v>0.79278935185185184</v>
      </c>
      <c r="H308" s="3">
        <v>0.77290509259259255</v>
      </c>
      <c r="I308" s="3">
        <v>3.9120370370370368E-3</v>
      </c>
      <c r="J308" s="3">
        <f>I308+H308</f>
        <v>0.77681712962962957</v>
      </c>
      <c r="K308" s="6">
        <v>1.9884259259259258E-2</v>
      </c>
      <c r="L308" s="1">
        <v>2</v>
      </c>
      <c r="M308" s="1" t="s">
        <v>14</v>
      </c>
      <c r="N308" s="5" t="s">
        <v>527</v>
      </c>
      <c r="O308" s="1" t="s">
        <v>14</v>
      </c>
      <c r="P308" s="39">
        <v>0.15</v>
      </c>
      <c r="Q308" s="39">
        <v>0.05</v>
      </c>
      <c r="S308" s="1">
        <v>1</v>
      </c>
    </row>
    <row r="309" spans="1:21" x14ac:dyDescent="0.2">
      <c r="A309" s="15">
        <v>1</v>
      </c>
      <c r="B309" s="15" t="s">
        <v>551</v>
      </c>
      <c r="C309" s="1">
        <v>1</v>
      </c>
      <c r="D309" s="1" t="s">
        <v>771</v>
      </c>
      <c r="E309" s="4">
        <v>45452</v>
      </c>
      <c r="F309" s="4" t="s">
        <v>671</v>
      </c>
      <c r="G309" s="6">
        <f t="shared" si="23"/>
        <v>0.22699074074074074</v>
      </c>
      <c r="H309" s="3">
        <v>0.21604166666666666</v>
      </c>
      <c r="K309" s="6">
        <v>1.0949074074074075E-2</v>
      </c>
      <c r="L309" s="1">
        <v>2</v>
      </c>
      <c r="M309" s="1" t="s">
        <v>14</v>
      </c>
      <c r="N309" s="5" t="s">
        <v>527</v>
      </c>
      <c r="O309" s="1" t="s">
        <v>14</v>
      </c>
      <c r="P309" s="39">
        <v>0.05</v>
      </c>
      <c r="Q309" s="39">
        <v>0.05</v>
      </c>
      <c r="S309" s="1">
        <v>1</v>
      </c>
      <c r="U309" s="1" t="s">
        <v>770</v>
      </c>
    </row>
    <row r="310" spans="1:21" x14ac:dyDescent="0.2">
      <c r="A310" s="15">
        <v>1</v>
      </c>
      <c r="B310" s="15" t="s">
        <v>551</v>
      </c>
      <c r="C310" s="1">
        <v>2</v>
      </c>
      <c r="D310" s="1" t="s">
        <v>771</v>
      </c>
      <c r="E310" s="4">
        <v>45452</v>
      </c>
      <c r="F310" s="4" t="s">
        <v>671</v>
      </c>
      <c r="G310" s="6">
        <f t="shared" si="23"/>
        <v>0.25600694444444444</v>
      </c>
      <c r="H310" s="3">
        <v>0.21604166666666666</v>
      </c>
      <c r="I310" s="3">
        <v>1.1550925925925926E-2</v>
      </c>
      <c r="J310" s="3">
        <f>I310+H310</f>
        <v>0.2275925925925926</v>
      </c>
      <c r="K310" s="6">
        <v>3.996527777777778E-2</v>
      </c>
      <c r="L310" s="1">
        <v>2</v>
      </c>
      <c r="M310" s="1" t="s">
        <v>14</v>
      </c>
      <c r="N310" s="5" t="s">
        <v>527</v>
      </c>
      <c r="O310" s="1" t="s">
        <v>13</v>
      </c>
      <c r="P310" s="39">
        <v>0.05</v>
      </c>
      <c r="Q310" s="39">
        <v>0.05</v>
      </c>
      <c r="S310" s="1">
        <v>1</v>
      </c>
    </row>
    <row r="311" spans="1:21" x14ac:dyDescent="0.2">
      <c r="A311" s="15">
        <v>1</v>
      </c>
      <c r="B311" s="15" t="s">
        <v>551</v>
      </c>
      <c r="C311" s="1">
        <v>1</v>
      </c>
      <c r="D311" s="1" t="s">
        <v>772</v>
      </c>
      <c r="E311" s="4">
        <v>45454</v>
      </c>
      <c r="F311" s="4" t="s">
        <v>671</v>
      </c>
      <c r="G311" s="6">
        <f t="shared" si="23"/>
        <v>0.79517361111111118</v>
      </c>
      <c r="H311" s="3">
        <v>0.77659722222222227</v>
      </c>
      <c r="K311" s="6">
        <v>1.8576388888888889E-2</v>
      </c>
      <c r="L311" s="1">
        <v>2</v>
      </c>
      <c r="M311" s="1" t="s">
        <v>14</v>
      </c>
      <c r="N311" s="5" t="s">
        <v>527</v>
      </c>
      <c r="O311" s="1" t="s">
        <v>13</v>
      </c>
      <c r="P311" s="39">
        <v>0.05</v>
      </c>
      <c r="Q311" s="39">
        <v>0.05</v>
      </c>
      <c r="S311" s="1">
        <v>1</v>
      </c>
    </row>
    <row r="312" spans="1:21" x14ac:dyDescent="0.2">
      <c r="A312" s="15">
        <v>1</v>
      </c>
      <c r="B312" s="15" t="s">
        <v>551</v>
      </c>
      <c r="C312" s="1">
        <v>1</v>
      </c>
      <c r="D312" s="1" t="s">
        <v>773</v>
      </c>
      <c r="E312" s="4">
        <v>45453</v>
      </c>
      <c r="F312" s="4" t="s">
        <v>671</v>
      </c>
      <c r="G312" s="6">
        <f t="shared" si="23"/>
        <v>0.77613425925925927</v>
      </c>
      <c r="H312" s="3">
        <v>0.77437500000000004</v>
      </c>
      <c r="K312" s="6">
        <v>1.7592592592592592E-3</v>
      </c>
      <c r="L312" s="1">
        <v>2</v>
      </c>
      <c r="M312" s="1" t="s">
        <v>14</v>
      </c>
      <c r="N312" s="5" t="s">
        <v>527</v>
      </c>
      <c r="O312" s="1" t="s">
        <v>14</v>
      </c>
      <c r="P312" s="39">
        <v>0.05</v>
      </c>
      <c r="Q312" s="39">
        <v>0.05</v>
      </c>
      <c r="S312" s="1">
        <v>1</v>
      </c>
    </row>
    <row r="313" spans="1:21" x14ac:dyDescent="0.2">
      <c r="A313" s="15">
        <v>1</v>
      </c>
      <c r="B313" s="15" t="s">
        <v>551</v>
      </c>
      <c r="C313" s="1">
        <v>1</v>
      </c>
      <c r="D313" s="1" t="s">
        <v>774</v>
      </c>
      <c r="E313" s="4">
        <v>45455</v>
      </c>
      <c r="F313" s="4" t="s">
        <v>671</v>
      </c>
      <c r="G313" s="6">
        <f t="shared" si="23"/>
        <v>0.22692129629629629</v>
      </c>
      <c r="H313" s="3">
        <v>0.22078703703703703</v>
      </c>
      <c r="K313" s="6">
        <v>6.1342592592592594E-3</v>
      </c>
      <c r="L313" s="1">
        <v>2</v>
      </c>
      <c r="M313" s="1" t="s">
        <v>13</v>
      </c>
      <c r="N313" s="5" t="s">
        <v>527</v>
      </c>
      <c r="O313" s="1" t="s">
        <v>14</v>
      </c>
      <c r="P313" s="39">
        <v>0.05</v>
      </c>
      <c r="Q313" s="39">
        <v>0.05</v>
      </c>
      <c r="S313" s="1">
        <v>1</v>
      </c>
    </row>
    <row r="314" spans="1:21" x14ac:dyDescent="0.2">
      <c r="A314" s="15">
        <v>1</v>
      </c>
      <c r="B314" s="15" t="s">
        <v>551</v>
      </c>
      <c r="C314" s="1">
        <v>2</v>
      </c>
      <c r="D314" s="1" t="s">
        <v>774</v>
      </c>
      <c r="E314" s="4">
        <v>45455</v>
      </c>
      <c r="F314" s="4" t="s">
        <v>671</v>
      </c>
      <c r="G314" s="6">
        <f t="shared" si="23"/>
        <v>0.24199074074074073</v>
      </c>
      <c r="H314" s="3">
        <v>0.22078703703703703</v>
      </c>
      <c r="I314" s="3">
        <v>7.3148148148148148E-3</v>
      </c>
      <c r="J314" s="3">
        <f>I314+H314</f>
        <v>0.22810185185185183</v>
      </c>
      <c r="K314" s="6">
        <v>2.1203703703703704E-2</v>
      </c>
      <c r="L314" s="1">
        <v>2</v>
      </c>
      <c r="M314" s="1" t="s">
        <v>14</v>
      </c>
      <c r="N314" s="5" t="s">
        <v>527</v>
      </c>
      <c r="O314" s="1" t="s">
        <v>14</v>
      </c>
      <c r="P314" s="39">
        <v>0.05</v>
      </c>
      <c r="Q314" s="39">
        <v>0.05</v>
      </c>
      <c r="S314" s="1">
        <v>1</v>
      </c>
    </row>
    <row r="315" spans="1:21" x14ac:dyDescent="0.2">
      <c r="A315" s="15">
        <v>1</v>
      </c>
      <c r="B315" s="15" t="s">
        <v>551</v>
      </c>
      <c r="C315" s="1">
        <v>1</v>
      </c>
      <c r="D315" s="1" t="s">
        <v>775</v>
      </c>
      <c r="E315" s="4">
        <v>45455</v>
      </c>
      <c r="F315" s="4" t="s">
        <v>671</v>
      </c>
      <c r="G315" s="6">
        <f t="shared" si="23"/>
        <v>0.79962962962962958</v>
      </c>
      <c r="H315" s="3">
        <v>0.78144675925925922</v>
      </c>
      <c r="K315" s="6">
        <v>1.818287037037037E-2</v>
      </c>
      <c r="L315" s="1">
        <v>2</v>
      </c>
      <c r="M315" s="1" t="s">
        <v>14</v>
      </c>
      <c r="N315" s="5" t="s">
        <v>527</v>
      </c>
      <c r="O315" s="1" t="s">
        <v>13</v>
      </c>
      <c r="P315" s="39">
        <v>0.05</v>
      </c>
      <c r="Q315" s="39">
        <v>0.05</v>
      </c>
      <c r="S315" s="1">
        <v>0</v>
      </c>
    </row>
    <row r="316" spans="1:21" x14ac:dyDescent="0.2">
      <c r="A316" s="15">
        <v>1</v>
      </c>
      <c r="B316" s="15" t="s">
        <v>551</v>
      </c>
      <c r="C316" s="1">
        <v>1</v>
      </c>
      <c r="D316" s="1" t="s">
        <v>776</v>
      </c>
      <c r="E316" s="4">
        <v>45456</v>
      </c>
      <c r="F316" s="4" t="s">
        <v>671</v>
      </c>
      <c r="G316" s="6">
        <f t="shared" si="23"/>
        <v>0.23859953703703704</v>
      </c>
      <c r="H316" s="3">
        <v>0.2215625</v>
      </c>
      <c r="K316" s="6">
        <v>1.7037037037037038E-2</v>
      </c>
      <c r="L316" s="1">
        <v>2</v>
      </c>
      <c r="M316" s="1" t="s">
        <v>13</v>
      </c>
      <c r="N316" s="5" t="s">
        <v>527</v>
      </c>
      <c r="O316" s="1" t="s">
        <v>13</v>
      </c>
      <c r="P316" s="39">
        <v>0.05</v>
      </c>
      <c r="Q316" s="39">
        <v>0.05</v>
      </c>
      <c r="S316" s="1">
        <v>1</v>
      </c>
    </row>
    <row r="317" spans="1:21" x14ac:dyDescent="0.2">
      <c r="A317" s="15">
        <v>1</v>
      </c>
      <c r="B317" s="15" t="s">
        <v>551</v>
      </c>
      <c r="C317" s="1">
        <v>2</v>
      </c>
      <c r="D317" s="1" t="s">
        <v>776</v>
      </c>
      <c r="E317" s="4">
        <v>45456</v>
      </c>
      <c r="F317" s="4" t="s">
        <v>671</v>
      </c>
      <c r="G317" s="6">
        <f t="shared" si="23"/>
        <v>0.24581018518518519</v>
      </c>
      <c r="H317" s="3">
        <v>0.2215625</v>
      </c>
      <c r="I317" s="3">
        <v>1.6168981481481482E-2</v>
      </c>
      <c r="J317" s="3">
        <f>I317+H317</f>
        <v>0.23773148148148149</v>
      </c>
      <c r="K317" s="6">
        <v>2.4247685185185185E-2</v>
      </c>
      <c r="L317" s="1">
        <v>2</v>
      </c>
      <c r="M317" s="1" t="s">
        <v>13</v>
      </c>
      <c r="N317" s="5" t="s">
        <v>527</v>
      </c>
      <c r="O317" s="1" t="s">
        <v>13</v>
      </c>
      <c r="P317" s="39">
        <v>0.05</v>
      </c>
      <c r="Q317" s="39">
        <v>0.05</v>
      </c>
      <c r="S317" s="1">
        <v>1</v>
      </c>
    </row>
    <row r="318" spans="1:21" x14ac:dyDescent="0.2">
      <c r="A318" s="15">
        <v>1</v>
      </c>
      <c r="B318" s="15" t="s">
        <v>551</v>
      </c>
      <c r="C318" s="1">
        <v>3</v>
      </c>
      <c r="D318" s="1" t="s">
        <v>776</v>
      </c>
      <c r="E318" s="4">
        <v>45456</v>
      </c>
      <c r="F318" s="4" t="s">
        <v>671</v>
      </c>
      <c r="G318" s="6">
        <f t="shared" si="23"/>
        <v>0.25364583333333335</v>
      </c>
      <c r="H318" s="3">
        <v>0.2215625</v>
      </c>
      <c r="I318" s="3">
        <v>1.8344907407407407E-2</v>
      </c>
      <c r="J318" s="3">
        <f>I318+H318</f>
        <v>0.2399074074074074</v>
      </c>
      <c r="K318" s="6">
        <v>3.2083333333333332E-2</v>
      </c>
      <c r="L318" s="1">
        <v>2</v>
      </c>
      <c r="M318" s="1" t="s">
        <v>13</v>
      </c>
      <c r="N318" s="5" t="s">
        <v>527</v>
      </c>
      <c r="O318" s="1" t="s">
        <v>13</v>
      </c>
      <c r="P318" s="39">
        <v>0.05</v>
      </c>
      <c r="Q318" s="39">
        <v>0.05</v>
      </c>
      <c r="S318" s="1">
        <v>1</v>
      </c>
    </row>
    <row r="319" spans="1:21" x14ac:dyDescent="0.2">
      <c r="A319" s="15">
        <v>1</v>
      </c>
      <c r="B319" s="15" t="s">
        <v>551</v>
      </c>
      <c r="C319" s="1">
        <v>1</v>
      </c>
      <c r="D319" s="1" t="s">
        <v>777</v>
      </c>
      <c r="E319" s="4">
        <v>45456</v>
      </c>
      <c r="F319" s="4" t="s">
        <v>671</v>
      </c>
      <c r="G319" s="6">
        <f t="shared" si="23"/>
        <v>0.77089120370370379</v>
      </c>
      <c r="H319" s="3">
        <v>0.77068287037037042</v>
      </c>
      <c r="K319" s="6">
        <v>2.0833333333333335E-4</v>
      </c>
      <c r="L319" s="1">
        <v>2</v>
      </c>
      <c r="M319" s="1" t="s">
        <v>13</v>
      </c>
      <c r="N319" s="5" t="s">
        <v>527</v>
      </c>
      <c r="O319" s="1" t="s">
        <v>13</v>
      </c>
      <c r="P319" s="39">
        <v>0.05</v>
      </c>
      <c r="Q319" s="39">
        <v>0.05</v>
      </c>
      <c r="S319" s="1">
        <v>1</v>
      </c>
    </row>
    <row r="320" spans="1:21" x14ac:dyDescent="0.2">
      <c r="A320" s="15">
        <v>1</v>
      </c>
      <c r="B320" s="15" t="s">
        <v>551</v>
      </c>
      <c r="C320" s="1">
        <v>2</v>
      </c>
      <c r="D320" s="1" t="s">
        <v>777</v>
      </c>
      <c r="E320" s="4">
        <v>45456</v>
      </c>
      <c r="F320" s="4" t="s">
        <v>671</v>
      </c>
      <c r="G320" s="6">
        <f t="shared" si="23"/>
        <v>0.78609953703703705</v>
      </c>
      <c r="H320" s="3">
        <v>0.77068287037037042</v>
      </c>
      <c r="I320" s="3">
        <v>8.2175925925925927E-4</v>
      </c>
      <c r="J320" s="3">
        <f>I320+H320</f>
        <v>0.77150462962962973</v>
      </c>
      <c r="K320" s="6">
        <v>1.5416666666666667E-2</v>
      </c>
      <c r="L320" s="1">
        <v>2</v>
      </c>
      <c r="M320" s="1" t="s">
        <v>13</v>
      </c>
      <c r="N320" s="5" t="s">
        <v>527</v>
      </c>
      <c r="O320" s="1" t="s">
        <v>14</v>
      </c>
      <c r="P320" s="39">
        <v>0.05</v>
      </c>
      <c r="Q320" s="39">
        <v>0.05</v>
      </c>
      <c r="S320" s="1">
        <v>1</v>
      </c>
    </row>
    <row r="321" spans="1:21" x14ac:dyDescent="0.2">
      <c r="A321" s="15">
        <v>1</v>
      </c>
      <c r="B321" s="15" t="s">
        <v>551</v>
      </c>
      <c r="C321" s="1">
        <v>3</v>
      </c>
      <c r="D321" s="1" t="s">
        <v>777</v>
      </c>
      <c r="E321" s="4">
        <v>45456</v>
      </c>
      <c r="F321" s="4" t="s">
        <v>671</v>
      </c>
      <c r="G321" s="6">
        <f t="shared" si="23"/>
        <v>0.79278935185185195</v>
      </c>
      <c r="H321" s="3">
        <v>0.77068287037037042</v>
      </c>
      <c r="I321" s="3">
        <v>1.6226851851851853E-2</v>
      </c>
      <c r="J321" s="3">
        <f>I321+H321</f>
        <v>0.78690972222222233</v>
      </c>
      <c r="K321" s="6">
        <v>2.210648148148148E-2</v>
      </c>
      <c r="L321" s="1">
        <v>2</v>
      </c>
      <c r="M321" s="1" t="s">
        <v>14</v>
      </c>
      <c r="N321" s="5" t="s">
        <v>527</v>
      </c>
      <c r="O321" s="1" t="s">
        <v>14</v>
      </c>
      <c r="P321" s="39">
        <v>0.05</v>
      </c>
      <c r="Q321" s="39">
        <v>0.05</v>
      </c>
      <c r="S321" s="1">
        <v>1</v>
      </c>
    </row>
    <row r="322" spans="1:21" x14ac:dyDescent="0.2">
      <c r="A322" s="15">
        <v>1</v>
      </c>
      <c r="B322" s="15" t="s">
        <v>551</v>
      </c>
      <c r="C322" s="1">
        <v>1</v>
      </c>
      <c r="D322" s="1" t="s">
        <v>778</v>
      </c>
      <c r="E322" s="4">
        <v>45457</v>
      </c>
      <c r="F322" s="4" t="s">
        <v>671</v>
      </c>
      <c r="G322" s="6">
        <f t="shared" si="23"/>
        <v>0.23956018518518518</v>
      </c>
      <c r="H322" s="3">
        <v>0.21947916666666667</v>
      </c>
      <c r="K322" s="6">
        <v>2.0081018518518519E-2</v>
      </c>
      <c r="L322" s="1">
        <v>2</v>
      </c>
      <c r="M322" s="1" t="s">
        <v>14</v>
      </c>
      <c r="N322" s="5" t="s">
        <v>527</v>
      </c>
      <c r="O322" s="1" t="s">
        <v>14</v>
      </c>
      <c r="P322" s="39">
        <v>0.05</v>
      </c>
      <c r="Q322" s="39">
        <v>0.05</v>
      </c>
      <c r="S322" s="1">
        <v>1</v>
      </c>
    </row>
    <row r="323" spans="1:21" x14ac:dyDescent="0.2">
      <c r="A323" s="15">
        <v>1</v>
      </c>
      <c r="B323" s="15" t="s">
        <v>551</v>
      </c>
      <c r="C323" s="1">
        <v>2</v>
      </c>
      <c r="D323" s="1" t="s">
        <v>778</v>
      </c>
      <c r="E323" s="4">
        <v>45457</v>
      </c>
      <c r="F323" s="4" t="s">
        <v>671</v>
      </c>
      <c r="G323" s="6">
        <f t="shared" si="23"/>
        <v>0.25372685185185184</v>
      </c>
      <c r="H323" s="3">
        <v>0.21947916666666667</v>
      </c>
      <c r="I323" s="3">
        <v>2.1585648148148149E-2</v>
      </c>
      <c r="J323" s="3">
        <f>I323+H323</f>
        <v>0.24106481481481482</v>
      </c>
      <c r="K323" s="3">
        <v>3.4247685185185187E-2</v>
      </c>
      <c r="L323" s="1">
        <v>2</v>
      </c>
      <c r="M323" s="1" t="s">
        <v>14</v>
      </c>
      <c r="N323" s="5" t="s">
        <v>527</v>
      </c>
      <c r="O323" s="1" t="s">
        <v>14</v>
      </c>
      <c r="P323" s="39">
        <v>0.05</v>
      </c>
      <c r="Q323" s="39">
        <v>0.05</v>
      </c>
      <c r="S323" s="1">
        <v>1</v>
      </c>
    </row>
    <row r="324" spans="1:21" x14ac:dyDescent="0.2">
      <c r="A324" s="15">
        <v>1</v>
      </c>
      <c r="B324" s="15" t="s">
        <v>551</v>
      </c>
      <c r="C324" s="1">
        <v>1</v>
      </c>
      <c r="D324" s="1" t="s">
        <v>749</v>
      </c>
      <c r="E324" s="4">
        <v>45457</v>
      </c>
      <c r="F324" s="4" t="s">
        <v>671</v>
      </c>
      <c r="G324" s="6">
        <f t="shared" si="23"/>
        <v>0.79148148148148156</v>
      </c>
      <c r="H324" s="6">
        <v>0.76663194444444449</v>
      </c>
      <c r="K324" s="6">
        <v>2.4849537037037038E-2</v>
      </c>
      <c r="L324" s="1">
        <v>2</v>
      </c>
      <c r="M324" s="1" t="s">
        <v>14</v>
      </c>
      <c r="N324" s="5" t="s">
        <v>527</v>
      </c>
      <c r="O324" s="1" t="s">
        <v>13</v>
      </c>
      <c r="P324" s="39">
        <v>0.05</v>
      </c>
      <c r="Q324" s="39">
        <v>0.05</v>
      </c>
      <c r="S324" s="1">
        <v>0</v>
      </c>
    </row>
    <row r="325" spans="1:21" x14ac:dyDescent="0.2">
      <c r="A325" s="15">
        <v>1</v>
      </c>
      <c r="B325" s="15" t="s">
        <v>551</v>
      </c>
      <c r="C325" s="1">
        <v>1</v>
      </c>
      <c r="D325" t="s">
        <v>750</v>
      </c>
      <c r="S325" s="1" t="s">
        <v>27</v>
      </c>
      <c r="U325" s="1" t="s">
        <v>176</v>
      </c>
    </row>
    <row r="326" spans="1:21" x14ac:dyDescent="0.2">
      <c r="A326" s="15">
        <v>1</v>
      </c>
      <c r="B326" s="15" t="s">
        <v>551</v>
      </c>
      <c r="C326" s="1">
        <v>1</v>
      </c>
      <c r="D326" s="1" t="s">
        <v>779</v>
      </c>
      <c r="E326" s="4">
        <v>45459</v>
      </c>
      <c r="F326" s="4" t="s">
        <v>671</v>
      </c>
      <c r="G326" s="6">
        <f t="shared" si="23"/>
        <v>0.79706018518518518</v>
      </c>
      <c r="H326" s="3">
        <v>0.76379629629629631</v>
      </c>
      <c r="I326" s="3">
        <v>1.2592592592592593E-2</v>
      </c>
      <c r="J326" s="3">
        <f>I326+H326</f>
        <v>0.77638888888888891</v>
      </c>
      <c r="K326" s="6">
        <v>3.3263888888888891E-2</v>
      </c>
      <c r="L326" s="1">
        <v>2</v>
      </c>
      <c r="M326" s="1" t="s">
        <v>14</v>
      </c>
      <c r="N326" s="5" t="s">
        <v>527</v>
      </c>
      <c r="O326" s="1" t="s">
        <v>13</v>
      </c>
      <c r="P326" s="39">
        <v>0.05</v>
      </c>
      <c r="Q326" s="39">
        <v>0.05</v>
      </c>
      <c r="S326" s="1">
        <v>1</v>
      </c>
    </row>
    <row r="327" spans="1:21" x14ac:dyDescent="0.2">
      <c r="K327" s="6">
        <v>4.8379629629629632E-3</v>
      </c>
      <c r="L327" s="1">
        <v>2</v>
      </c>
      <c r="M327" s="1" t="s">
        <v>14</v>
      </c>
      <c r="N327" s="5" t="s">
        <v>527</v>
      </c>
      <c r="O327" s="1" t="s">
        <v>14</v>
      </c>
      <c r="P327" s="39">
        <v>0.05</v>
      </c>
      <c r="Q327" s="39">
        <v>0.05</v>
      </c>
      <c r="S327" s="1">
        <v>1</v>
      </c>
    </row>
    <row r="328" spans="1:21" x14ac:dyDescent="0.2">
      <c r="A328" s="15">
        <v>1</v>
      </c>
      <c r="B328" s="15" t="s">
        <v>551</v>
      </c>
      <c r="C328" s="1">
        <v>1</v>
      </c>
      <c r="D328" s="1" t="s">
        <v>781</v>
      </c>
      <c r="E328" s="4">
        <v>45464</v>
      </c>
      <c r="G328" s="6">
        <f t="shared" si="23"/>
        <v>0.78896990740740747</v>
      </c>
      <c r="H328" s="3">
        <v>0.76375000000000004</v>
      </c>
      <c r="I328" s="3">
        <v>1.4965277777777777E-2</v>
      </c>
      <c r="J328" s="3">
        <f>I328+H328</f>
        <v>0.77871527777777783</v>
      </c>
      <c r="K328" s="6">
        <v>2.5219907407407406E-2</v>
      </c>
      <c r="L328" s="1">
        <v>2</v>
      </c>
      <c r="M328" s="1" t="s">
        <v>13</v>
      </c>
      <c r="N328" s="5" t="s">
        <v>527</v>
      </c>
      <c r="O328" s="1" t="s">
        <v>14</v>
      </c>
      <c r="P328" s="39">
        <v>0.05</v>
      </c>
      <c r="Q328" s="39">
        <v>0.05</v>
      </c>
      <c r="S328" s="1">
        <v>1</v>
      </c>
    </row>
    <row r="329" spans="1:21" x14ac:dyDescent="0.2">
      <c r="A329" s="15">
        <v>1</v>
      </c>
      <c r="B329" s="15" t="s">
        <v>551</v>
      </c>
      <c r="C329" s="1">
        <v>1</v>
      </c>
      <c r="D329" s="1" t="s">
        <v>782</v>
      </c>
      <c r="E329" s="4">
        <v>45465</v>
      </c>
      <c r="G329" s="6">
        <f t="shared" si="23"/>
        <v>0.2260763888888889</v>
      </c>
      <c r="H329" s="6">
        <v>0.21886574074074075</v>
      </c>
      <c r="K329" s="6">
        <v>7.2106481481481483E-3</v>
      </c>
      <c r="L329" s="1">
        <v>2</v>
      </c>
      <c r="M329" s="1" t="s">
        <v>14</v>
      </c>
      <c r="N329" s="5" t="s">
        <v>527</v>
      </c>
      <c r="O329" s="1" t="s">
        <v>13</v>
      </c>
      <c r="P329" s="39">
        <v>0.05</v>
      </c>
      <c r="Q329" s="39">
        <v>0.05</v>
      </c>
      <c r="S329" s="1">
        <v>1</v>
      </c>
    </row>
    <row r="330" spans="1:21" x14ac:dyDescent="0.2">
      <c r="A330" s="15">
        <v>1</v>
      </c>
      <c r="B330" s="15" t="s">
        <v>551</v>
      </c>
      <c r="C330" s="1">
        <v>2</v>
      </c>
      <c r="D330" s="1" t="s">
        <v>782</v>
      </c>
      <c r="E330" s="4">
        <v>45465</v>
      </c>
      <c r="G330" s="6">
        <f t="shared" si="23"/>
        <v>0.2353587962962963</v>
      </c>
      <c r="H330" s="6">
        <v>0.21886574074074075</v>
      </c>
      <c r="I330" s="3">
        <v>9.0046296296296298E-3</v>
      </c>
      <c r="J330" s="3">
        <f>I330+H330</f>
        <v>0.22787037037037039</v>
      </c>
      <c r="K330" s="6">
        <v>1.6493055555555556E-2</v>
      </c>
      <c r="L330" s="1">
        <v>2</v>
      </c>
      <c r="M330" s="1" t="s">
        <v>13</v>
      </c>
      <c r="N330" s="5" t="s">
        <v>226</v>
      </c>
      <c r="O330" s="1" t="s">
        <v>13</v>
      </c>
      <c r="P330" s="39">
        <v>0.05</v>
      </c>
      <c r="Q330" s="39">
        <v>0.05</v>
      </c>
      <c r="S330" s="1">
        <v>0</v>
      </c>
    </row>
    <row r="331" spans="1:21" x14ac:dyDescent="0.2">
      <c r="A331" s="15">
        <v>1</v>
      </c>
      <c r="B331" s="15" t="s">
        <v>551</v>
      </c>
      <c r="C331" s="1">
        <v>3</v>
      </c>
      <c r="D331" s="1" t="s">
        <v>782</v>
      </c>
      <c r="E331" s="4">
        <v>45465</v>
      </c>
      <c r="G331" s="6">
        <f t="shared" si="23"/>
        <v>0.24954861111111112</v>
      </c>
      <c r="H331" s="6">
        <v>0.21886574074074075</v>
      </c>
      <c r="I331" s="3">
        <v>1.892361111111111E-2</v>
      </c>
      <c r="J331" s="3">
        <f>I331+H331</f>
        <v>0.23778935185185185</v>
      </c>
      <c r="K331" s="6">
        <v>3.0682870370370371E-2</v>
      </c>
      <c r="L331" s="1">
        <v>2</v>
      </c>
      <c r="M331" s="1" t="s">
        <v>13</v>
      </c>
      <c r="N331" s="5" t="s">
        <v>226</v>
      </c>
      <c r="O331" s="1" t="s">
        <v>13</v>
      </c>
      <c r="P331" s="39">
        <v>0.05</v>
      </c>
      <c r="Q331" s="39">
        <v>0.05</v>
      </c>
      <c r="S331" s="1">
        <v>1</v>
      </c>
    </row>
    <row r="332" spans="1:21" x14ac:dyDescent="0.2">
      <c r="A332" s="15">
        <v>1</v>
      </c>
      <c r="B332" s="15" t="s">
        <v>551</v>
      </c>
      <c r="C332" s="1">
        <v>1</v>
      </c>
      <c r="D332" s="1" t="s">
        <v>783</v>
      </c>
      <c r="E332" s="4">
        <v>45466</v>
      </c>
      <c r="G332" s="6">
        <f t="shared" si="23"/>
        <v>0.79353009259259255</v>
      </c>
      <c r="H332" s="3">
        <v>0.77468749999999997</v>
      </c>
      <c r="I332" s="3">
        <v>1.2997685185185185E-2</v>
      </c>
      <c r="J332" s="3">
        <f>I332+H332</f>
        <v>0.78768518518518515</v>
      </c>
      <c r="K332" s="6">
        <v>1.8842592592592591E-2</v>
      </c>
      <c r="L332" s="1">
        <v>3</v>
      </c>
      <c r="M332" s="1" t="s">
        <v>13</v>
      </c>
      <c r="N332" s="5" t="s">
        <v>527</v>
      </c>
      <c r="O332" s="1" t="s">
        <v>13</v>
      </c>
      <c r="P332" s="39">
        <v>0.05</v>
      </c>
      <c r="Q332" s="39">
        <v>0.05</v>
      </c>
      <c r="S332" s="1">
        <v>1</v>
      </c>
    </row>
    <row r="333" spans="1:21" x14ac:dyDescent="0.2">
      <c r="A333" s="15">
        <v>1</v>
      </c>
      <c r="B333" s="15" t="s">
        <v>551</v>
      </c>
      <c r="C333" s="1">
        <v>1</v>
      </c>
      <c r="D333" s="1" t="s">
        <v>784</v>
      </c>
      <c r="E333" s="4">
        <v>45467</v>
      </c>
      <c r="G333" s="6">
        <f t="shared" si="23"/>
        <v>0.79091435185185188</v>
      </c>
      <c r="H333" s="3">
        <v>0.78693287037037041</v>
      </c>
      <c r="K333" s="6">
        <v>3.9814814814814817E-3</v>
      </c>
      <c r="L333" s="1">
        <v>2</v>
      </c>
      <c r="M333" s="1" t="s">
        <v>13</v>
      </c>
      <c r="N333" s="5" t="s">
        <v>527</v>
      </c>
      <c r="O333" s="1" t="s">
        <v>14</v>
      </c>
      <c r="P333" s="39">
        <v>0.05</v>
      </c>
      <c r="Q333" s="39">
        <v>0.05</v>
      </c>
      <c r="S333" s="1">
        <v>0</v>
      </c>
    </row>
    <row r="334" spans="1:21" x14ac:dyDescent="0.2">
      <c r="A334" s="15">
        <v>1</v>
      </c>
      <c r="B334" s="15" t="s">
        <v>551</v>
      </c>
      <c r="C334" s="1">
        <v>1</v>
      </c>
      <c r="D334" s="1" t="s">
        <v>785</v>
      </c>
      <c r="E334" s="4">
        <v>45468</v>
      </c>
      <c r="G334" s="6">
        <f t="shared" si="23"/>
        <v>0.79616898148148141</v>
      </c>
      <c r="H334" s="3">
        <v>0.77680555555555553</v>
      </c>
      <c r="I334" s="3">
        <v>3.2986111111111111E-3</v>
      </c>
      <c r="J334" s="3">
        <f>I334+H334</f>
        <v>0.7801041666666666</v>
      </c>
      <c r="K334" s="6">
        <v>1.9363425925925926E-2</v>
      </c>
      <c r="L334" s="1">
        <v>2</v>
      </c>
      <c r="M334" s="1" t="s">
        <v>14</v>
      </c>
      <c r="N334" s="5" t="s">
        <v>527</v>
      </c>
      <c r="O334" s="1" t="s">
        <v>13</v>
      </c>
      <c r="P334" s="39">
        <v>0.05</v>
      </c>
      <c r="Q334" s="39">
        <v>0.05</v>
      </c>
      <c r="S334" s="1">
        <v>1</v>
      </c>
    </row>
    <row r="335" spans="1:21" x14ac:dyDescent="0.2">
      <c r="A335" s="15">
        <v>1</v>
      </c>
      <c r="B335" s="15" t="s">
        <v>551</v>
      </c>
      <c r="C335" s="1">
        <v>1</v>
      </c>
      <c r="D335" s="1" t="s">
        <v>786</v>
      </c>
      <c r="E335" s="4">
        <v>45469</v>
      </c>
      <c r="G335" s="6">
        <f t="shared" si="23"/>
        <v>0.79226851851851854</v>
      </c>
      <c r="H335" s="6">
        <v>0.77680555555555553</v>
      </c>
      <c r="I335" s="3">
        <v>1.7824074074074075E-3</v>
      </c>
      <c r="J335" s="3">
        <f>I335+H335</f>
        <v>0.77858796296296295</v>
      </c>
      <c r="K335" s="6">
        <v>1.5462962962962963E-2</v>
      </c>
      <c r="L335" s="1">
        <v>2</v>
      </c>
      <c r="M335" s="1" t="s">
        <v>13</v>
      </c>
      <c r="N335" s="5" t="s">
        <v>527</v>
      </c>
      <c r="O335" s="1" t="s">
        <v>13</v>
      </c>
      <c r="P335" s="39">
        <v>0.05</v>
      </c>
      <c r="Q335" s="39">
        <v>0.05</v>
      </c>
      <c r="S335" s="1">
        <v>1</v>
      </c>
    </row>
    <row r="336" spans="1:21" x14ac:dyDescent="0.2">
      <c r="A336" s="15">
        <v>1</v>
      </c>
      <c r="B336" s="15" t="s">
        <v>551</v>
      </c>
      <c r="C336" s="1">
        <v>1</v>
      </c>
      <c r="D336" s="1" t="s">
        <v>787</v>
      </c>
      <c r="E336" s="4">
        <v>45470</v>
      </c>
      <c r="G336" s="6">
        <f t="shared" si="23"/>
        <v>0.79344907407407417</v>
      </c>
      <c r="H336" s="6">
        <v>0.77612268518518523</v>
      </c>
      <c r="I336" s="3">
        <v>4.5370370370370373E-3</v>
      </c>
      <c r="J336" s="3">
        <f>I336+H336</f>
        <v>0.78065972222222224</v>
      </c>
      <c r="K336" s="6">
        <v>1.7326388888888888E-2</v>
      </c>
      <c r="L336" s="1">
        <v>2</v>
      </c>
      <c r="M336" s="1" t="s">
        <v>13</v>
      </c>
      <c r="N336" s="5" t="s">
        <v>527</v>
      </c>
      <c r="O336" s="1" t="s">
        <v>14</v>
      </c>
      <c r="P336" s="39">
        <v>0.05</v>
      </c>
      <c r="Q336" s="39">
        <v>0.05</v>
      </c>
      <c r="S336" s="1">
        <v>0</v>
      </c>
    </row>
    <row r="337" spans="1:21" x14ac:dyDescent="0.2">
      <c r="A337" s="15">
        <v>1</v>
      </c>
      <c r="B337" s="15" t="s">
        <v>551</v>
      </c>
      <c r="C337" s="1">
        <v>1</v>
      </c>
      <c r="D337" s="1" t="s">
        <v>788</v>
      </c>
      <c r="E337" s="4">
        <v>45471</v>
      </c>
      <c r="G337" s="6">
        <f t="shared" si="23"/>
        <v>0.79782407407407407</v>
      </c>
      <c r="H337" s="3">
        <v>0.77994212962962961</v>
      </c>
      <c r="I337" s="3">
        <v>7.951388888888888E-3</v>
      </c>
      <c r="J337" s="3">
        <f>I337+H337</f>
        <v>0.78789351851851852</v>
      </c>
      <c r="K337" s="6">
        <v>1.7881944444444443E-2</v>
      </c>
      <c r="L337" s="1">
        <v>2</v>
      </c>
      <c r="M337" s="1" t="s">
        <v>14</v>
      </c>
      <c r="N337" s="5" t="s">
        <v>527</v>
      </c>
      <c r="O337" s="1" t="s">
        <v>13</v>
      </c>
      <c r="P337" s="39">
        <v>0.05</v>
      </c>
      <c r="Q337" s="39">
        <v>0.05</v>
      </c>
      <c r="S337" s="1">
        <v>1</v>
      </c>
    </row>
    <row r="338" spans="1:21" x14ac:dyDescent="0.2">
      <c r="A338" s="15">
        <v>1</v>
      </c>
      <c r="B338" s="15" t="s">
        <v>551</v>
      </c>
      <c r="C338" s="1">
        <v>1</v>
      </c>
      <c r="D338" s="1" t="s">
        <v>789</v>
      </c>
      <c r="E338" s="4">
        <v>45472</v>
      </c>
      <c r="H338" s="3">
        <v>0.77797453703703701</v>
      </c>
      <c r="S338" s="1" t="s">
        <v>27</v>
      </c>
      <c r="U338" s="1" t="s">
        <v>790</v>
      </c>
    </row>
  </sheetData>
  <sortState xmlns:xlrd2="http://schemas.microsoft.com/office/spreadsheetml/2017/richdata2" ref="A2:U194">
    <sortCondition ref="E2:E194"/>
  </sortState>
  <customSheetViews>
    <customSheetView guid="{8A75D892-44B4-104C-BB94-8EB0D0E43396}" scale="90">
      <pane ySplit="1" topLeftCell="A2" activePane="bottomLeft" state="frozen"/>
      <selection pane="bottomLeft" activeCell="T122" sqref="A1:XFD1048576"/>
      <pageMargins left="0.7" right="0.7" top="0.75" bottom="0.75" header="0.3" footer="0.3"/>
      <pageSetup paperSize="9" orientation="portrait" horizontalDpi="0" verticalDpi="0"/>
    </customSheetView>
  </customSheetViews>
  <phoneticPr fontId="1" type="noConversion"/>
  <pageMargins left="0.7" right="0.7" top="0.75" bottom="0.75" header="0.3" footer="0.3"/>
  <pageSetup paperSize="9"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091686-6B41-B647-8CCF-2A83B77E3CD9}">
  <dimension ref="A1:Y263"/>
  <sheetViews>
    <sheetView zoomScale="90" zoomScaleNormal="90" workbookViewId="0">
      <pane ySplit="1" topLeftCell="A74" activePane="bottomLeft" state="frozen"/>
      <selection pane="bottomLeft" activeCell="D102" sqref="D102"/>
    </sheetView>
  </sheetViews>
  <sheetFormatPr baseColWidth="10" defaultRowHeight="16" x14ac:dyDescent="0.2"/>
  <cols>
    <col min="1" max="1" width="8.83203125" style="1" customWidth="1"/>
    <col min="2" max="2" width="8.1640625" style="1" customWidth="1"/>
    <col min="3" max="3" width="10.33203125" style="1" customWidth="1"/>
    <col min="4" max="5" width="12.83203125" style="1" customWidth="1"/>
    <col min="6" max="6" width="12.83203125" style="4" customWidth="1"/>
    <col min="7" max="8" width="13.6640625" style="1" customWidth="1"/>
    <col min="9" max="9" width="13.1640625" style="1" customWidth="1"/>
    <col min="10" max="10" width="13.6640625" style="1" customWidth="1"/>
    <col min="11" max="11" width="12.5" style="1" customWidth="1"/>
    <col min="12" max="12" width="14.33203125" style="1" customWidth="1"/>
    <col min="13" max="13" width="13.6640625" style="1" customWidth="1"/>
    <col min="14" max="14" width="12.83203125" style="1" customWidth="1"/>
    <col min="15" max="16" width="13.6640625" style="1" customWidth="1"/>
    <col min="17" max="17" width="10.83203125" style="1"/>
    <col min="18" max="18" width="11.33203125" style="1" customWidth="1"/>
    <col min="19" max="19" width="15" style="1" customWidth="1"/>
    <col min="20" max="20" width="16.5" style="1" customWidth="1"/>
    <col min="21" max="21" width="30.33203125" style="1" customWidth="1"/>
    <col min="22" max="25" width="14.1640625" style="2" customWidth="1"/>
    <col min="26" max="16384" width="10.83203125" style="1"/>
  </cols>
  <sheetData>
    <row r="1" spans="1:25" x14ac:dyDescent="0.2">
      <c r="A1" s="1" t="s">
        <v>0</v>
      </c>
      <c r="B1" s="1" t="s">
        <v>1</v>
      </c>
      <c r="C1" s="1" t="s">
        <v>16</v>
      </c>
      <c r="D1" s="1" t="s">
        <v>2</v>
      </c>
      <c r="E1" s="1" t="s">
        <v>668</v>
      </c>
      <c r="F1" s="4" t="s">
        <v>37</v>
      </c>
      <c r="G1" s="1" t="s">
        <v>7</v>
      </c>
      <c r="H1" s="1" t="s">
        <v>10</v>
      </c>
      <c r="I1" s="1" t="s">
        <v>8</v>
      </c>
      <c r="J1" s="1" t="s">
        <v>6</v>
      </c>
      <c r="K1" s="1" t="s">
        <v>9</v>
      </c>
      <c r="L1" s="1" t="s">
        <v>3</v>
      </c>
      <c r="M1" s="1" t="s">
        <v>11</v>
      </c>
      <c r="N1" s="1" t="s">
        <v>4</v>
      </c>
      <c r="O1" s="1" t="s">
        <v>12</v>
      </c>
      <c r="P1" s="1" t="s">
        <v>792</v>
      </c>
      <c r="Q1" s="1" t="s">
        <v>209</v>
      </c>
      <c r="R1" s="1" t="s">
        <v>74</v>
      </c>
      <c r="S1" s="1" t="s">
        <v>339</v>
      </c>
      <c r="T1" s="1" t="s">
        <v>687</v>
      </c>
      <c r="U1" s="1" t="s">
        <v>21</v>
      </c>
      <c r="V1" s="2" t="s">
        <v>5</v>
      </c>
      <c r="W1" s="2" t="s">
        <v>419</v>
      </c>
      <c r="X1" s="2" t="s">
        <v>377</v>
      </c>
      <c r="Y1" s="2" t="s">
        <v>445</v>
      </c>
    </row>
    <row r="2" spans="1:25" x14ac:dyDescent="0.2">
      <c r="A2" s="1">
        <v>2</v>
      </c>
      <c r="B2" s="1">
        <v>2.1</v>
      </c>
      <c r="C2" s="1" t="s">
        <v>27</v>
      </c>
      <c r="D2" s="1" t="s">
        <v>27</v>
      </c>
      <c r="F2" s="4">
        <v>36526</v>
      </c>
      <c r="G2" s="1" t="s">
        <v>27</v>
      </c>
      <c r="H2" s="1" t="s">
        <v>27</v>
      </c>
      <c r="I2" s="1" t="s">
        <v>27</v>
      </c>
      <c r="J2" s="1" t="s">
        <v>27</v>
      </c>
      <c r="K2" s="1" t="s">
        <v>27</v>
      </c>
      <c r="L2" s="1" t="s">
        <v>27</v>
      </c>
      <c r="M2" s="1" t="s">
        <v>27</v>
      </c>
      <c r="N2" s="1" t="s">
        <v>27</v>
      </c>
      <c r="O2" s="1" t="s">
        <v>27</v>
      </c>
      <c r="S2" s="1" t="s">
        <v>27</v>
      </c>
      <c r="U2" s="1" t="s">
        <v>28</v>
      </c>
      <c r="V2" s="1" t="s">
        <v>27</v>
      </c>
      <c r="W2" s="1"/>
      <c r="X2" s="1"/>
      <c r="Y2" s="1"/>
    </row>
    <row r="3" spans="1:25" x14ac:dyDescent="0.2">
      <c r="A3" s="7">
        <v>2</v>
      </c>
      <c r="B3" s="7">
        <v>2.6</v>
      </c>
      <c r="C3" s="7" t="s">
        <v>27</v>
      </c>
      <c r="D3" s="7" t="s">
        <v>27</v>
      </c>
      <c r="E3" s="7"/>
      <c r="F3" s="9">
        <v>44995</v>
      </c>
      <c r="G3" s="8" t="s">
        <v>27</v>
      </c>
      <c r="H3" s="8" t="s">
        <v>27</v>
      </c>
      <c r="I3" s="8" t="s">
        <v>27</v>
      </c>
      <c r="J3" s="8" t="s">
        <v>27</v>
      </c>
      <c r="K3" s="8" t="s">
        <v>27</v>
      </c>
      <c r="L3" s="7"/>
      <c r="M3" s="7"/>
      <c r="N3" s="7"/>
      <c r="O3" s="7"/>
      <c r="P3" s="7"/>
      <c r="Q3" s="7"/>
      <c r="R3" s="7"/>
      <c r="S3" s="7" t="s">
        <v>27</v>
      </c>
      <c r="T3" s="7"/>
      <c r="U3" s="7" t="s">
        <v>140</v>
      </c>
      <c r="V3" s="13" t="s">
        <v>27</v>
      </c>
      <c r="W3" s="13"/>
      <c r="X3" s="13"/>
      <c r="Y3" s="13"/>
    </row>
    <row r="4" spans="1:25" x14ac:dyDescent="0.2">
      <c r="A4" s="1">
        <v>2</v>
      </c>
      <c r="B4" s="1">
        <v>2.1</v>
      </c>
      <c r="C4" s="1" t="s">
        <v>27</v>
      </c>
      <c r="D4" s="1" t="s">
        <v>20</v>
      </c>
      <c r="F4" s="4">
        <v>45343</v>
      </c>
      <c r="G4" s="1" t="s">
        <v>27</v>
      </c>
      <c r="H4" s="1" t="s">
        <v>27</v>
      </c>
      <c r="I4" s="1" t="s">
        <v>27</v>
      </c>
      <c r="J4" s="1" t="s">
        <v>27</v>
      </c>
      <c r="K4" s="1" t="s">
        <v>27</v>
      </c>
      <c r="L4" s="1" t="s">
        <v>27</v>
      </c>
      <c r="M4" s="1" t="s">
        <v>27</v>
      </c>
      <c r="N4" s="1" t="s">
        <v>27</v>
      </c>
      <c r="O4" s="1" t="s">
        <v>27</v>
      </c>
      <c r="Q4" s="1">
        <v>0.1</v>
      </c>
      <c r="S4" s="1" t="s">
        <v>27</v>
      </c>
      <c r="U4" s="1" t="s">
        <v>22</v>
      </c>
      <c r="V4" s="1" t="s">
        <v>27</v>
      </c>
      <c r="W4" s="1"/>
      <c r="X4" s="1"/>
      <c r="Y4" s="1"/>
    </row>
    <row r="5" spans="1:25" x14ac:dyDescent="0.2">
      <c r="A5" s="1">
        <v>2</v>
      </c>
      <c r="B5" s="1">
        <v>2.1</v>
      </c>
      <c r="C5" s="1">
        <v>1</v>
      </c>
      <c r="D5" s="1" t="s">
        <v>17</v>
      </c>
      <c r="F5" s="4">
        <v>45344</v>
      </c>
      <c r="G5" s="3">
        <f t="shared" ref="G5:G11" si="0">H5 + K5</f>
        <v>0.79226851851851854</v>
      </c>
      <c r="H5" s="3">
        <v>0.75143518518518515</v>
      </c>
      <c r="I5" s="3">
        <v>2.0254629629629629E-2</v>
      </c>
      <c r="J5" s="3">
        <f t="shared" ref="J5:J16" si="1">$H5 + $I5</f>
        <v>0.7716898148148148</v>
      </c>
      <c r="K5" s="3">
        <v>4.0833333333333333E-2</v>
      </c>
      <c r="L5" s="1">
        <v>1</v>
      </c>
      <c r="M5" s="1" t="s">
        <v>14</v>
      </c>
      <c r="N5" s="1">
        <v>1</v>
      </c>
      <c r="O5" s="1" t="s">
        <v>13</v>
      </c>
      <c r="Q5" s="1">
        <v>0.1</v>
      </c>
      <c r="S5" s="1">
        <v>1</v>
      </c>
    </row>
    <row r="6" spans="1:25" x14ac:dyDescent="0.2">
      <c r="A6" s="1">
        <v>2</v>
      </c>
      <c r="B6" s="1">
        <v>2.1</v>
      </c>
      <c r="C6" s="1">
        <v>1</v>
      </c>
      <c r="D6" s="1" t="s">
        <v>18</v>
      </c>
      <c r="F6" s="4">
        <v>45344</v>
      </c>
      <c r="G6" s="3">
        <f t="shared" si="0"/>
        <v>0.26064814814814813</v>
      </c>
      <c r="H6" s="3">
        <v>0.22613425925925926</v>
      </c>
      <c r="I6" s="3">
        <v>1.9988425925925927E-2</v>
      </c>
      <c r="J6" s="3">
        <f t="shared" si="1"/>
        <v>0.24612268518518518</v>
      </c>
      <c r="K6" s="3">
        <v>3.4513888888888893E-2</v>
      </c>
      <c r="L6" s="1">
        <v>1</v>
      </c>
      <c r="M6" s="1" t="s">
        <v>14</v>
      </c>
      <c r="N6" s="1">
        <v>1</v>
      </c>
      <c r="O6" s="1" t="s">
        <v>14</v>
      </c>
      <c r="Q6" s="1">
        <v>0.1</v>
      </c>
      <c r="S6" s="1">
        <v>1</v>
      </c>
    </row>
    <row r="7" spans="1:25" x14ac:dyDescent="0.2">
      <c r="A7" s="1">
        <v>2</v>
      </c>
      <c r="B7" s="1">
        <v>2.1</v>
      </c>
      <c r="C7" s="1">
        <v>2</v>
      </c>
      <c r="D7" s="1" t="s">
        <v>18</v>
      </c>
      <c r="F7" s="4">
        <v>45344</v>
      </c>
      <c r="G7" s="3">
        <f t="shared" si="0"/>
        <v>0.26922453703703703</v>
      </c>
      <c r="H7" s="3">
        <v>0.22613425925925926</v>
      </c>
      <c r="I7" s="3">
        <v>3.0150462962962962E-2</v>
      </c>
      <c r="J7" s="3">
        <f t="shared" si="1"/>
        <v>0.25628472222222221</v>
      </c>
      <c r="K7" s="3">
        <v>4.3090277777777776E-2</v>
      </c>
      <c r="L7" s="1">
        <v>1</v>
      </c>
      <c r="M7" s="1" t="s">
        <v>14</v>
      </c>
      <c r="N7" s="1">
        <v>1</v>
      </c>
      <c r="O7" s="1" t="s">
        <v>14</v>
      </c>
      <c r="Q7" s="1">
        <v>0.1</v>
      </c>
      <c r="S7" s="1">
        <v>0</v>
      </c>
    </row>
    <row r="8" spans="1:25" x14ac:dyDescent="0.2">
      <c r="A8" s="1">
        <v>2</v>
      </c>
      <c r="B8" s="1">
        <v>2.1</v>
      </c>
      <c r="C8" s="1">
        <v>3</v>
      </c>
      <c r="D8" s="1" t="s">
        <v>18</v>
      </c>
      <c r="F8" s="4">
        <v>45344</v>
      </c>
      <c r="G8" s="3">
        <f t="shared" si="0"/>
        <v>0.27217592592592593</v>
      </c>
      <c r="H8" s="3">
        <v>0.22613425925925926</v>
      </c>
      <c r="I8" s="3">
        <v>3.6689814814814821E-2</v>
      </c>
      <c r="J8" s="3">
        <f t="shared" si="1"/>
        <v>0.2628240740740741</v>
      </c>
      <c r="K8" s="3">
        <v>4.6041666666666668E-2</v>
      </c>
      <c r="L8" s="1">
        <v>1</v>
      </c>
      <c r="M8" s="1" t="s">
        <v>14</v>
      </c>
      <c r="N8" s="1">
        <v>1</v>
      </c>
      <c r="O8" s="1" t="s">
        <v>14</v>
      </c>
      <c r="Q8" s="1">
        <v>0.1</v>
      </c>
      <c r="S8" s="1">
        <v>1</v>
      </c>
    </row>
    <row r="9" spans="1:25" x14ac:dyDescent="0.2">
      <c r="A9" s="1">
        <v>2</v>
      </c>
      <c r="B9" s="1">
        <v>2.2000000000000002</v>
      </c>
      <c r="C9" s="1">
        <v>1</v>
      </c>
      <c r="D9" s="1" t="s">
        <v>50</v>
      </c>
      <c r="F9" s="4">
        <v>45345</v>
      </c>
      <c r="G9" s="3">
        <f t="shared" si="0"/>
        <v>0.78445601851851843</v>
      </c>
      <c r="H9" s="3">
        <v>0.75307870370370367</v>
      </c>
      <c r="I9" s="3">
        <v>2.6331018518518517E-2</v>
      </c>
      <c r="J9" s="3">
        <f t="shared" si="1"/>
        <v>0.77940972222222216</v>
      </c>
      <c r="K9" s="3">
        <v>3.1377314814814809E-2</v>
      </c>
      <c r="L9" s="1">
        <v>1</v>
      </c>
      <c r="M9" s="1" t="s">
        <v>13</v>
      </c>
      <c r="N9" s="1">
        <v>1</v>
      </c>
      <c r="O9" s="1" t="s">
        <v>13</v>
      </c>
      <c r="Q9" s="1">
        <v>0.1</v>
      </c>
      <c r="S9" s="1">
        <v>1</v>
      </c>
    </row>
    <row r="10" spans="1:25" x14ac:dyDescent="0.2">
      <c r="A10" s="1">
        <v>2</v>
      </c>
      <c r="B10" s="1">
        <v>2.2000000000000002</v>
      </c>
      <c r="C10" s="1">
        <v>1</v>
      </c>
      <c r="D10" s="1" t="s">
        <v>15</v>
      </c>
      <c r="F10" s="4">
        <v>45345</v>
      </c>
      <c r="G10" s="3">
        <f t="shared" si="0"/>
        <v>0.25920138888888888</v>
      </c>
      <c r="H10" s="3">
        <v>0.22300925925925927</v>
      </c>
      <c r="I10" s="3">
        <v>2.165509259259259E-2</v>
      </c>
      <c r="J10" s="3">
        <f t="shared" si="1"/>
        <v>0.24466435185185187</v>
      </c>
      <c r="K10" s="3">
        <v>3.619212962962963E-2</v>
      </c>
      <c r="L10" s="1">
        <v>1</v>
      </c>
      <c r="M10" s="1" t="s">
        <v>14</v>
      </c>
      <c r="N10" s="1">
        <v>2</v>
      </c>
      <c r="O10" s="1" t="s">
        <v>13</v>
      </c>
      <c r="Q10" s="1">
        <v>0.1</v>
      </c>
      <c r="S10" s="1">
        <v>1</v>
      </c>
    </row>
    <row r="11" spans="1:25" x14ac:dyDescent="0.2">
      <c r="A11" s="1">
        <v>2</v>
      </c>
      <c r="B11" s="1">
        <v>2.2000000000000002</v>
      </c>
      <c r="C11" s="1">
        <v>2</v>
      </c>
      <c r="D11" s="1" t="s">
        <v>15</v>
      </c>
      <c r="F11" s="4">
        <v>45345</v>
      </c>
      <c r="G11" s="3">
        <f t="shared" si="0"/>
        <v>0.26920138888888889</v>
      </c>
      <c r="H11" s="3">
        <v>0.22300925925925927</v>
      </c>
      <c r="I11" s="3">
        <v>2.7037037037037037E-2</v>
      </c>
      <c r="J11" s="3">
        <f t="shared" si="1"/>
        <v>0.25004629629629632</v>
      </c>
      <c r="K11" s="3">
        <v>4.6192129629629632E-2</v>
      </c>
      <c r="L11" s="1">
        <v>1</v>
      </c>
      <c r="M11" s="1" t="s">
        <v>14</v>
      </c>
      <c r="N11" s="1">
        <v>2</v>
      </c>
      <c r="O11" s="1" t="s">
        <v>13</v>
      </c>
      <c r="Q11" s="1">
        <v>0.1</v>
      </c>
      <c r="S11" s="1">
        <v>1</v>
      </c>
    </row>
    <row r="12" spans="1:25" x14ac:dyDescent="0.2">
      <c r="A12" s="1">
        <v>2</v>
      </c>
      <c r="B12" s="1">
        <v>2.2000000000000002</v>
      </c>
      <c r="C12" s="1">
        <v>3</v>
      </c>
      <c r="D12" s="1" t="s">
        <v>15</v>
      </c>
      <c r="F12" s="4">
        <v>45345</v>
      </c>
      <c r="G12" s="3" t="s">
        <v>27</v>
      </c>
      <c r="H12" s="3">
        <v>0.22300925925925927</v>
      </c>
      <c r="I12" s="3">
        <v>3.7627314814814815E-2</v>
      </c>
      <c r="J12" s="3">
        <f t="shared" si="1"/>
        <v>0.26063657407407409</v>
      </c>
      <c r="K12" s="3" t="s">
        <v>27</v>
      </c>
      <c r="L12" s="1">
        <v>2</v>
      </c>
      <c r="M12" s="1" t="s">
        <v>13</v>
      </c>
      <c r="N12" s="1" t="s">
        <v>27</v>
      </c>
      <c r="O12" s="1" t="s">
        <v>27</v>
      </c>
      <c r="Q12" s="1">
        <v>0.1</v>
      </c>
      <c r="S12" s="1" t="s">
        <v>27</v>
      </c>
      <c r="U12" s="1" t="s">
        <v>59</v>
      </c>
      <c r="V12" s="2" t="s">
        <v>27</v>
      </c>
    </row>
    <row r="13" spans="1:25" x14ac:dyDescent="0.2">
      <c r="A13" s="7">
        <v>2</v>
      </c>
      <c r="B13" s="7">
        <v>2.1</v>
      </c>
      <c r="C13" s="7">
        <v>1</v>
      </c>
      <c r="D13" s="7" t="s">
        <v>15</v>
      </c>
      <c r="E13" s="7"/>
      <c r="F13" s="9">
        <v>45345</v>
      </c>
      <c r="G13" s="8">
        <f>H13 + K13</f>
        <v>0.25920138888888888</v>
      </c>
      <c r="H13" s="8">
        <v>0.22300925925925927</v>
      </c>
      <c r="I13" s="8">
        <v>2.1736111111111112E-2</v>
      </c>
      <c r="J13" s="8">
        <f t="shared" si="1"/>
        <v>0.24474537037037039</v>
      </c>
      <c r="K13" s="8">
        <v>3.619212962962963E-2</v>
      </c>
      <c r="L13" s="7">
        <v>1</v>
      </c>
      <c r="M13" s="7" t="s">
        <v>13</v>
      </c>
      <c r="N13" s="7">
        <v>2</v>
      </c>
      <c r="O13" s="7" t="s">
        <v>14</v>
      </c>
      <c r="P13" s="7"/>
      <c r="Q13" s="7">
        <v>0.1</v>
      </c>
      <c r="R13" s="7"/>
      <c r="S13" s="7">
        <v>1</v>
      </c>
      <c r="T13" s="7"/>
      <c r="U13" s="7"/>
      <c r="V13" s="13"/>
      <c r="W13" s="13"/>
      <c r="X13" s="13"/>
      <c r="Y13" s="13"/>
    </row>
    <row r="14" spans="1:25" x14ac:dyDescent="0.2">
      <c r="A14" s="7">
        <v>2</v>
      </c>
      <c r="B14" s="7">
        <v>2.1</v>
      </c>
      <c r="C14" s="7">
        <v>2</v>
      </c>
      <c r="D14" s="7" t="s">
        <v>15</v>
      </c>
      <c r="E14" s="7"/>
      <c r="F14" s="9">
        <v>45345</v>
      </c>
      <c r="G14" s="8">
        <f>H14 + K14</f>
        <v>0.26922453703703703</v>
      </c>
      <c r="H14" s="8">
        <v>0.22300925925925927</v>
      </c>
      <c r="I14" s="8">
        <v>3.7627314814814815E-2</v>
      </c>
      <c r="J14" s="8">
        <f t="shared" si="1"/>
        <v>0.26063657407407409</v>
      </c>
      <c r="K14" s="8">
        <v>4.6215277777777779E-2</v>
      </c>
      <c r="L14" s="7">
        <v>2</v>
      </c>
      <c r="M14" s="7" t="s">
        <v>14</v>
      </c>
      <c r="N14" s="7">
        <v>2</v>
      </c>
      <c r="O14" s="7" t="s">
        <v>14</v>
      </c>
      <c r="P14" s="7"/>
      <c r="Q14" s="7">
        <v>0.1</v>
      </c>
      <c r="R14" s="7"/>
      <c r="S14" s="7">
        <v>1</v>
      </c>
      <c r="T14" s="7"/>
      <c r="U14" s="7"/>
      <c r="V14" s="13"/>
      <c r="W14" s="13"/>
      <c r="X14" s="13"/>
      <c r="Y14" s="13"/>
    </row>
    <row r="15" spans="1:25" x14ac:dyDescent="0.2">
      <c r="A15" s="1">
        <v>2</v>
      </c>
      <c r="B15" s="1">
        <v>2.1</v>
      </c>
      <c r="C15" s="1">
        <v>1</v>
      </c>
      <c r="D15" s="1" t="s">
        <v>54</v>
      </c>
      <c r="F15" s="4">
        <v>45346</v>
      </c>
      <c r="G15" s="3">
        <f>H15 + K15</f>
        <v>0.78956018518518523</v>
      </c>
      <c r="H15" s="3">
        <v>0.75605324074074076</v>
      </c>
      <c r="I15" s="3">
        <v>2.7627314814814813E-2</v>
      </c>
      <c r="J15" s="3">
        <f t="shared" si="1"/>
        <v>0.7836805555555556</v>
      </c>
      <c r="K15" s="3">
        <v>3.3506944444444443E-2</v>
      </c>
      <c r="L15" s="1">
        <v>1</v>
      </c>
      <c r="M15" s="1" t="s">
        <v>14</v>
      </c>
      <c r="N15" s="1">
        <v>3</v>
      </c>
      <c r="O15" s="1" t="s">
        <v>13</v>
      </c>
      <c r="Q15" s="1">
        <v>0.1</v>
      </c>
      <c r="S15" s="1">
        <v>0</v>
      </c>
      <c r="U15" s="1" t="s">
        <v>30</v>
      </c>
    </row>
    <row r="16" spans="1:25" x14ac:dyDescent="0.2">
      <c r="A16" s="1">
        <v>2</v>
      </c>
      <c r="B16" s="1">
        <v>2.1</v>
      </c>
      <c r="C16" s="1">
        <v>2</v>
      </c>
      <c r="D16" s="1" t="s">
        <v>54</v>
      </c>
      <c r="F16" s="4">
        <v>45346</v>
      </c>
      <c r="G16" s="3">
        <f>H16 + K16</f>
        <v>0.78997685185185185</v>
      </c>
      <c r="H16" s="3">
        <v>0.75605324074074076</v>
      </c>
      <c r="I16" s="3">
        <v>2.7928240740740743E-2</v>
      </c>
      <c r="J16" s="3">
        <f t="shared" si="1"/>
        <v>0.7839814814814815</v>
      </c>
      <c r="K16" s="3">
        <v>3.3923611111111113E-2</v>
      </c>
      <c r="L16" s="1">
        <v>1</v>
      </c>
      <c r="M16" s="1" t="s">
        <v>14</v>
      </c>
      <c r="N16" s="1">
        <v>3</v>
      </c>
      <c r="O16" s="1" t="s">
        <v>13</v>
      </c>
      <c r="Q16" s="1">
        <v>0.1</v>
      </c>
      <c r="S16" s="1">
        <v>0</v>
      </c>
    </row>
    <row r="17" spans="1:25" x14ac:dyDescent="0.2">
      <c r="A17" s="1">
        <v>2</v>
      </c>
      <c r="B17" s="1">
        <v>2.1</v>
      </c>
      <c r="C17" s="1" t="s">
        <v>27</v>
      </c>
      <c r="D17" s="1" t="s">
        <v>27</v>
      </c>
      <c r="F17" s="4">
        <v>45346</v>
      </c>
      <c r="G17" s="1" t="s">
        <v>27</v>
      </c>
      <c r="H17" s="1" t="s">
        <v>27</v>
      </c>
      <c r="I17" s="1" t="s">
        <v>27</v>
      </c>
      <c r="J17" s="1" t="s">
        <v>27</v>
      </c>
      <c r="K17" s="1" t="s">
        <v>27</v>
      </c>
      <c r="L17" s="1" t="s">
        <v>27</v>
      </c>
      <c r="M17" s="1" t="s">
        <v>27</v>
      </c>
      <c r="N17" s="1" t="s">
        <v>27</v>
      </c>
      <c r="O17" s="1" t="s">
        <v>27</v>
      </c>
      <c r="S17" s="1" t="s">
        <v>27</v>
      </c>
      <c r="U17" s="1" t="s">
        <v>29</v>
      </c>
      <c r="V17" s="1" t="s">
        <v>27</v>
      </c>
      <c r="W17" s="1"/>
      <c r="X17" s="1"/>
      <c r="Y17" s="1"/>
    </row>
    <row r="18" spans="1:25" x14ac:dyDescent="0.2">
      <c r="A18" s="1">
        <v>2</v>
      </c>
      <c r="B18" s="1">
        <v>2.1</v>
      </c>
      <c r="C18" s="1">
        <v>1</v>
      </c>
      <c r="D18" s="1" t="s">
        <v>38</v>
      </c>
      <c r="F18" s="4">
        <v>45347</v>
      </c>
      <c r="G18" s="3">
        <f>H18 + K18</f>
        <v>0.78881944444444441</v>
      </c>
      <c r="H18" s="3">
        <v>0.75701388888888888</v>
      </c>
      <c r="I18" s="3">
        <v>2.2858796296296294E-2</v>
      </c>
      <c r="J18" s="3">
        <f>$H18 + $I18</f>
        <v>0.77987268518518515</v>
      </c>
      <c r="K18" s="3">
        <v>3.1805555555555552E-2</v>
      </c>
      <c r="L18" s="1">
        <v>1</v>
      </c>
      <c r="M18" s="1" t="s">
        <v>13</v>
      </c>
      <c r="N18" s="1">
        <v>2</v>
      </c>
      <c r="O18" s="1" t="s">
        <v>14</v>
      </c>
      <c r="Q18" s="1">
        <v>0.1</v>
      </c>
      <c r="S18" s="1">
        <v>0</v>
      </c>
      <c r="U18" s="1" t="s">
        <v>35</v>
      </c>
    </row>
    <row r="19" spans="1:25" x14ac:dyDescent="0.2">
      <c r="A19" s="1">
        <v>2</v>
      </c>
      <c r="B19" s="1">
        <v>2.1</v>
      </c>
      <c r="C19" s="1" t="s">
        <v>27</v>
      </c>
      <c r="D19" s="1" t="s">
        <v>27</v>
      </c>
      <c r="F19" s="4">
        <v>45347</v>
      </c>
      <c r="G19" s="1" t="s">
        <v>27</v>
      </c>
      <c r="H19" s="1" t="s">
        <v>27</v>
      </c>
      <c r="I19" s="1" t="s">
        <v>27</v>
      </c>
      <c r="J19" s="1" t="s">
        <v>27</v>
      </c>
      <c r="K19" s="1" t="s">
        <v>27</v>
      </c>
      <c r="L19" s="1" t="s">
        <v>27</v>
      </c>
      <c r="M19" s="1" t="s">
        <v>27</v>
      </c>
      <c r="N19" s="1" t="s">
        <v>27</v>
      </c>
      <c r="O19" s="1" t="s">
        <v>27</v>
      </c>
      <c r="Q19" s="1">
        <v>0.1</v>
      </c>
      <c r="S19" s="1" t="s">
        <v>27</v>
      </c>
      <c r="U19" s="1" t="s">
        <v>220</v>
      </c>
      <c r="V19" s="1" t="s">
        <v>27</v>
      </c>
      <c r="W19" s="1"/>
      <c r="X19" s="1"/>
      <c r="Y19" s="1"/>
    </row>
    <row r="20" spans="1:25" x14ac:dyDescent="0.2">
      <c r="A20" s="1">
        <v>2</v>
      </c>
      <c r="B20" s="1">
        <v>2.1</v>
      </c>
      <c r="C20" s="1">
        <v>1</v>
      </c>
      <c r="D20" s="1" t="s">
        <v>55</v>
      </c>
      <c r="F20" s="4">
        <v>45348</v>
      </c>
      <c r="G20" s="3">
        <f>H20 + K20</f>
        <v>0.25278935185185186</v>
      </c>
      <c r="H20" s="3">
        <v>0.22899305555555557</v>
      </c>
      <c r="I20" s="1" t="s">
        <v>27</v>
      </c>
      <c r="J20" s="1" t="s">
        <v>27</v>
      </c>
      <c r="K20" s="3">
        <v>2.3796296296296298E-2</v>
      </c>
      <c r="L20" s="1">
        <v>1</v>
      </c>
      <c r="M20" s="1" t="s">
        <v>14</v>
      </c>
      <c r="N20" s="1">
        <v>3</v>
      </c>
      <c r="O20" s="1" t="s">
        <v>13</v>
      </c>
      <c r="Q20" s="1">
        <v>0.1</v>
      </c>
      <c r="S20" s="1">
        <v>1</v>
      </c>
      <c r="U20" s="1" t="s">
        <v>34</v>
      </c>
    </row>
    <row r="21" spans="1:25" x14ac:dyDescent="0.2">
      <c r="A21" s="1">
        <v>2</v>
      </c>
      <c r="B21" s="1">
        <v>2.1</v>
      </c>
      <c r="C21" s="1">
        <v>2</v>
      </c>
      <c r="D21" s="1" t="s">
        <v>55</v>
      </c>
      <c r="F21" s="4">
        <v>45348</v>
      </c>
      <c r="G21" s="3">
        <f>H21 + K21</f>
        <v>0.26979166666666671</v>
      </c>
      <c r="H21" s="3">
        <v>0.22899305555555557</v>
      </c>
      <c r="I21" s="3">
        <v>3.050925925925926E-2</v>
      </c>
      <c r="J21" s="3">
        <f t="shared" ref="J21:J27" si="2">$H21 + $I21</f>
        <v>0.25950231481481484</v>
      </c>
      <c r="K21" s="3">
        <v>4.0798611111111112E-2</v>
      </c>
      <c r="L21" s="1">
        <v>3</v>
      </c>
      <c r="M21" s="1" t="s">
        <v>13</v>
      </c>
      <c r="N21" s="1">
        <v>3</v>
      </c>
      <c r="O21" s="1" t="s">
        <v>13</v>
      </c>
      <c r="Q21" s="1">
        <v>0.1</v>
      </c>
      <c r="S21" s="1">
        <v>0</v>
      </c>
      <c r="U21" s="1" t="s">
        <v>36</v>
      </c>
    </row>
    <row r="22" spans="1:25" x14ac:dyDescent="0.2">
      <c r="A22" s="1">
        <v>2</v>
      </c>
      <c r="B22" s="1">
        <v>2.1</v>
      </c>
      <c r="C22" s="1">
        <v>3</v>
      </c>
      <c r="D22" s="1" t="s">
        <v>55</v>
      </c>
      <c r="F22" s="4">
        <v>45348</v>
      </c>
      <c r="G22" s="3"/>
      <c r="H22" s="3">
        <v>0.22899305555555557</v>
      </c>
      <c r="I22" s="3">
        <v>4.3101851851851856E-2</v>
      </c>
      <c r="J22" s="3">
        <f t="shared" si="2"/>
        <v>0.27209490740740744</v>
      </c>
      <c r="L22" s="1">
        <v>3</v>
      </c>
      <c r="M22" s="1" t="s">
        <v>13</v>
      </c>
      <c r="N22" s="1">
        <v>3</v>
      </c>
      <c r="O22" s="1" t="s">
        <v>13</v>
      </c>
      <c r="Q22" s="1">
        <v>0.1</v>
      </c>
      <c r="S22" s="1">
        <v>0</v>
      </c>
      <c r="U22" s="1" t="s">
        <v>35</v>
      </c>
    </row>
    <row r="23" spans="1:25" x14ac:dyDescent="0.2">
      <c r="A23" s="1">
        <v>2</v>
      </c>
      <c r="B23" s="1">
        <v>2.2000000000000002</v>
      </c>
      <c r="C23" s="1">
        <v>1</v>
      </c>
      <c r="D23" s="1" t="s">
        <v>56</v>
      </c>
      <c r="F23" s="4">
        <v>45348</v>
      </c>
      <c r="G23" s="3">
        <f>H23 + K23</f>
        <v>0.7869560185185186</v>
      </c>
      <c r="H23" s="3">
        <v>0.75724537037037043</v>
      </c>
      <c r="I23" s="3">
        <v>1.9652777777777779E-2</v>
      </c>
      <c r="J23" s="3">
        <f t="shared" si="2"/>
        <v>0.77689814814814817</v>
      </c>
      <c r="K23" s="3">
        <v>2.9710648148148149E-2</v>
      </c>
      <c r="L23" s="1">
        <v>1</v>
      </c>
      <c r="M23" s="1" t="s">
        <v>13</v>
      </c>
      <c r="N23" s="1">
        <v>1</v>
      </c>
      <c r="O23" s="1" t="s">
        <v>14</v>
      </c>
      <c r="Q23" s="1">
        <v>0.1</v>
      </c>
      <c r="S23" s="1">
        <v>1</v>
      </c>
    </row>
    <row r="24" spans="1:25" x14ac:dyDescent="0.2">
      <c r="A24" s="1">
        <v>2</v>
      </c>
      <c r="B24" s="1">
        <v>2.2999999999999998</v>
      </c>
      <c r="C24" s="1">
        <v>1</v>
      </c>
      <c r="D24" s="1" t="s">
        <v>31</v>
      </c>
      <c r="F24" s="4">
        <v>45349</v>
      </c>
      <c r="G24" s="3">
        <f>H24 + K24</f>
        <v>0.78376157407407399</v>
      </c>
      <c r="H24" s="3">
        <v>0.7584143518518518</v>
      </c>
      <c r="I24" s="3">
        <v>2.3530092592592592E-2</v>
      </c>
      <c r="J24" s="3">
        <f t="shared" si="2"/>
        <v>0.78194444444444444</v>
      </c>
      <c r="K24" s="3">
        <v>2.5347222222222219E-2</v>
      </c>
      <c r="L24" s="1">
        <v>1</v>
      </c>
      <c r="M24" s="1" t="s">
        <v>14</v>
      </c>
      <c r="N24" s="1">
        <v>1</v>
      </c>
      <c r="O24" s="1" t="s">
        <v>14</v>
      </c>
      <c r="Q24" s="1">
        <v>0.1</v>
      </c>
      <c r="S24" s="1">
        <v>1</v>
      </c>
      <c r="U24" s="1" t="s">
        <v>57</v>
      </c>
    </row>
    <row r="25" spans="1:25" x14ac:dyDescent="0.2">
      <c r="A25" s="1">
        <v>2</v>
      </c>
      <c r="B25" s="1">
        <v>2.2000000000000002</v>
      </c>
      <c r="C25" s="1">
        <v>1</v>
      </c>
      <c r="D25" s="1" t="s">
        <v>58</v>
      </c>
      <c r="F25" s="4">
        <v>45349</v>
      </c>
      <c r="G25" s="3">
        <f>H25 + K25</f>
        <v>0.2646412037037037</v>
      </c>
      <c r="H25" s="3">
        <v>0.22273148148148147</v>
      </c>
      <c r="I25" s="3">
        <v>2.4398148148148145E-2</v>
      </c>
      <c r="J25" s="3">
        <f t="shared" si="2"/>
        <v>0.24712962962962962</v>
      </c>
      <c r="K25" s="3">
        <v>4.1909722222222223E-2</v>
      </c>
      <c r="L25" s="1">
        <v>1</v>
      </c>
      <c r="M25" s="1" t="s">
        <v>14</v>
      </c>
      <c r="N25" s="1">
        <v>2</v>
      </c>
      <c r="O25" s="1" t="s">
        <v>13</v>
      </c>
      <c r="Q25" s="1">
        <v>0.1</v>
      </c>
      <c r="S25" s="1">
        <v>1</v>
      </c>
    </row>
    <row r="26" spans="1:25" x14ac:dyDescent="0.2">
      <c r="A26" s="1">
        <v>2</v>
      </c>
      <c r="B26" s="1">
        <v>2.2000000000000002</v>
      </c>
      <c r="C26" s="1">
        <v>2</v>
      </c>
      <c r="D26" s="1" t="s">
        <v>58</v>
      </c>
      <c r="F26" s="4">
        <v>45349</v>
      </c>
      <c r="G26" s="3">
        <f>H26 + K26</f>
        <v>0.26913194444444444</v>
      </c>
      <c r="H26" s="3">
        <v>0.22273148148148147</v>
      </c>
      <c r="I26" s="3">
        <v>3.7268518518518513E-2</v>
      </c>
      <c r="J26" s="3">
        <f t="shared" si="2"/>
        <v>0.26</v>
      </c>
      <c r="K26" s="3">
        <v>4.6400462962962963E-2</v>
      </c>
      <c r="L26" s="1">
        <v>2</v>
      </c>
      <c r="M26" s="1" t="s">
        <v>13</v>
      </c>
      <c r="N26" s="1">
        <v>2</v>
      </c>
      <c r="O26" s="1" t="s">
        <v>14</v>
      </c>
      <c r="Q26" s="1">
        <v>0.1</v>
      </c>
      <c r="S26" s="1">
        <v>0</v>
      </c>
    </row>
    <row r="27" spans="1:25" x14ac:dyDescent="0.2">
      <c r="A27" s="1">
        <v>2</v>
      </c>
      <c r="B27" s="1">
        <v>2.2999999999999998</v>
      </c>
      <c r="C27" s="1">
        <v>1</v>
      </c>
      <c r="D27" s="1" t="s">
        <v>43</v>
      </c>
      <c r="F27" s="4">
        <v>45350</v>
      </c>
      <c r="G27" s="3">
        <f>H27 + K27</f>
        <v>0.25624999999999998</v>
      </c>
      <c r="H27" s="3">
        <v>0.23520833333333332</v>
      </c>
      <c r="I27" s="3">
        <v>1.3611111111111114E-2</v>
      </c>
      <c r="J27" s="3">
        <f t="shared" si="2"/>
        <v>0.24881944444444443</v>
      </c>
      <c r="K27" s="3">
        <v>2.1041666666666667E-2</v>
      </c>
      <c r="L27" s="1">
        <v>1</v>
      </c>
      <c r="M27" s="1" t="s">
        <v>14</v>
      </c>
      <c r="N27" s="1">
        <v>1</v>
      </c>
      <c r="O27" s="1" t="s">
        <v>14</v>
      </c>
      <c r="Q27" s="1">
        <v>0.1</v>
      </c>
      <c r="S27" s="1" t="s">
        <v>44</v>
      </c>
      <c r="U27" s="1" t="s">
        <v>45</v>
      </c>
    </row>
    <row r="28" spans="1:25" x14ac:dyDescent="0.2">
      <c r="A28" s="1">
        <v>2</v>
      </c>
      <c r="B28" s="1">
        <v>2.2999999999999998</v>
      </c>
      <c r="C28" s="1" t="s">
        <v>27</v>
      </c>
      <c r="D28" s="1" t="s">
        <v>39</v>
      </c>
      <c r="F28" s="4">
        <v>45350</v>
      </c>
      <c r="G28" s="1" t="s">
        <v>27</v>
      </c>
      <c r="H28" s="3">
        <v>0.76768518518518514</v>
      </c>
      <c r="I28" s="1" t="s">
        <v>27</v>
      </c>
      <c r="J28" s="1" t="s">
        <v>27</v>
      </c>
      <c r="K28" s="1" t="s">
        <v>27</v>
      </c>
      <c r="L28" s="1" t="s">
        <v>27</v>
      </c>
      <c r="M28" s="1" t="s">
        <v>27</v>
      </c>
      <c r="N28" s="1" t="s">
        <v>27</v>
      </c>
      <c r="O28" s="1" t="s">
        <v>27</v>
      </c>
      <c r="Q28" s="1">
        <v>0.1</v>
      </c>
      <c r="S28" s="1" t="s">
        <v>27</v>
      </c>
      <c r="U28" s="1" t="s">
        <v>66</v>
      </c>
      <c r="V28" s="1" t="s">
        <v>27</v>
      </c>
      <c r="W28" s="1"/>
      <c r="X28" s="1"/>
      <c r="Y28" s="1"/>
    </row>
    <row r="29" spans="1:25" x14ac:dyDescent="0.2">
      <c r="A29" s="1">
        <v>2</v>
      </c>
      <c r="B29" s="1">
        <v>2.4</v>
      </c>
      <c r="C29" s="1" t="s">
        <v>27</v>
      </c>
      <c r="D29" s="1" t="s">
        <v>27</v>
      </c>
      <c r="F29" s="4">
        <v>45351</v>
      </c>
      <c r="G29" s="1" t="s">
        <v>27</v>
      </c>
      <c r="H29" s="1" t="s">
        <v>27</v>
      </c>
      <c r="I29" s="1" t="s">
        <v>219</v>
      </c>
      <c r="J29" s="1" t="s">
        <v>27</v>
      </c>
      <c r="K29" s="1" t="s">
        <v>27</v>
      </c>
      <c r="L29" s="1" t="s">
        <v>27</v>
      </c>
      <c r="M29" s="1" t="s">
        <v>27</v>
      </c>
      <c r="N29" s="1" t="s">
        <v>27</v>
      </c>
      <c r="O29" s="1" t="s">
        <v>27</v>
      </c>
      <c r="Q29" s="1">
        <v>0.1</v>
      </c>
      <c r="S29" s="1" t="s">
        <v>27</v>
      </c>
      <c r="U29" s="1" t="s">
        <v>218</v>
      </c>
      <c r="V29" s="1" t="s">
        <v>27</v>
      </c>
      <c r="W29" s="1"/>
      <c r="X29" s="1"/>
      <c r="Y29" s="1"/>
    </row>
    <row r="30" spans="1:25" x14ac:dyDescent="0.2">
      <c r="A30" s="1">
        <v>2</v>
      </c>
      <c r="B30" s="1">
        <v>2.5</v>
      </c>
      <c r="C30" s="1">
        <v>1</v>
      </c>
      <c r="D30" s="1" t="s">
        <v>52</v>
      </c>
      <c r="F30" s="4">
        <v>45351</v>
      </c>
      <c r="G30" s="1" t="s">
        <v>27</v>
      </c>
      <c r="H30" s="3">
        <v>0.75197916666666664</v>
      </c>
      <c r="I30" s="3">
        <v>9.8263888888888897E-3</v>
      </c>
      <c r="J30" s="3">
        <f>$H30 + $I30</f>
        <v>0.76180555555555551</v>
      </c>
      <c r="K30" s="1" t="s">
        <v>27</v>
      </c>
      <c r="L30" s="1">
        <v>1</v>
      </c>
      <c r="M30" s="1" t="s">
        <v>61</v>
      </c>
      <c r="N30" s="1">
        <v>1</v>
      </c>
      <c r="O30" s="1" t="s">
        <v>61</v>
      </c>
      <c r="Q30" s="1">
        <v>0.1</v>
      </c>
      <c r="S30" s="1" t="s">
        <v>27</v>
      </c>
      <c r="U30" s="1" t="s">
        <v>68</v>
      </c>
      <c r="V30" s="2" t="s">
        <v>27</v>
      </c>
    </row>
    <row r="31" spans="1:25" x14ac:dyDescent="0.2">
      <c r="A31" s="1">
        <v>2</v>
      </c>
      <c r="B31" s="1">
        <v>2.6</v>
      </c>
      <c r="C31" s="1">
        <v>1</v>
      </c>
      <c r="D31" s="1" t="s">
        <v>67</v>
      </c>
      <c r="F31" s="4">
        <v>45352</v>
      </c>
      <c r="G31" s="1" t="s">
        <v>27</v>
      </c>
      <c r="H31" s="3">
        <v>3.3032407407407406E-2</v>
      </c>
      <c r="I31" s="3">
        <v>3.7627314814814815E-2</v>
      </c>
      <c r="J31" s="1" t="s">
        <v>27</v>
      </c>
      <c r="K31" s="1" t="s">
        <v>27</v>
      </c>
      <c r="L31" s="1">
        <v>1</v>
      </c>
      <c r="M31" s="1" t="s">
        <v>61</v>
      </c>
      <c r="N31" s="1">
        <v>1</v>
      </c>
      <c r="O31" s="1" t="s">
        <v>61</v>
      </c>
      <c r="Q31" s="1">
        <v>0.1</v>
      </c>
      <c r="S31" s="1" t="s">
        <v>27</v>
      </c>
      <c r="U31" s="1" t="s">
        <v>69</v>
      </c>
      <c r="V31" s="2" t="s">
        <v>27</v>
      </c>
    </row>
    <row r="32" spans="1:25" x14ac:dyDescent="0.2">
      <c r="A32" s="1">
        <v>2</v>
      </c>
      <c r="B32" s="1">
        <v>2.6</v>
      </c>
      <c r="C32" s="1">
        <v>1</v>
      </c>
      <c r="D32" s="1" t="s">
        <v>46</v>
      </c>
      <c r="F32" s="4">
        <v>45352</v>
      </c>
      <c r="G32" s="3">
        <f>H32 + K32</f>
        <v>0.78471064814814817</v>
      </c>
      <c r="H32" s="3">
        <v>0.74805555555555558</v>
      </c>
      <c r="I32" s="3">
        <v>2.6944444444444441E-2</v>
      </c>
      <c r="J32" s="3">
        <f>$H32 + $I32</f>
        <v>0.77500000000000002</v>
      </c>
      <c r="K32" s="3">
        <v>3.6655092592592593E-2</v>
      </c>
      <c r="L32" s="1">
        <v>1</v>
      </c>
      <c r="M32" s="1" t="s">
        <v>13</v>
      </c>
      <c r="N32" s="1">
        <v>1</v>
      </c>
      <c r="O32" s="1" t="s">
        <v>13</v>
      </c>
      <c r="Q32" s="1">
        <v>0.1</v>
      </c>
      <c r="R32" s="1">
        <v>0.1</v>
      </c>
      <c r="S32" s="1">
        <v>1</v>
      </c>
      <c r="U32" s="1" t="s">
        <v>75</v>
      </c>
      <c r="V32" s="1">
        <v>1.7569999999999999E-2</v>
      </c>
      <c r="W32" s="1"/>
      <c r="X32" s="1"/>
      <c r="Y32" s="1"/>
    </row>
    <row r="33" spans="1:25" x14ac:dyDescent="0.2">
      <c r="A33" s="1">
        <v>2</v>
      </c>
      <c r="B33" s="1">
        <v>2.6</v>
      </c>
      <c r="C33" s="1" t="s">
        <v>27</v>
      </c>
      <c r="D33" s="1" t="s">
        <v>27</v>
      </c>
      <c r="F33" s="4">
        <v>45352</v>
      </c>
      <c r="G33" s="3" t="s">
        <v>27</v>
      </c>
      <c r="H33" s="3" t="s">
        <v>27</v>
      </c>
      <c r="I33" s="3" t="s">
        <v>27</v>
      </c>
      <c r="J33" s="3" t="s">
        <v>27</v>
      </c>
      <c r="K33" s="3" t="s">
        <v>27</v>
      </c>
      <c r="L33" s="1" t="s">
        <v>27</v>
      </c>
      <c r="M33" s="1" t="s">
        <v>27</v>
      </c>
      <c r="N33" s="1" t="s">
        <v>27</v>
      </c>
      <c r="O33" s="1" t="s">
        <v>27</v>
      </c>
      <c r="Q33" s="1" t="s">
        <v>27</v>
      </c>
      <c r="R33" s="1" t="s">
        <v>27</v>
      </c>
      <c r="S33" s="1" t="s">
        <v>27</v>
      </c>
      <c r="U33" s="1" t="s">
        <v>373</v>
      </c>
      <c r="V33" s="1" t="s">
        <v>27</v>
      </c>
      <c r="W33" s="1"/>
      <c r="X33" s="1"/>
      <c r="Y33" s="1"/>
    </row>
    <row r="34" spans="1:25" x14ac:dyDescent="0.2">
      <c r="A34" s="1">
        <v>2</v>
      </c>
      <c r="B34" s="1">
        <v>2.6</v>
      </c>
      <c r="C34" s="1">
        <v>1</v>
      </c>
      <c r="D34" s="1" t="s">
        <v>112</v>
      </c>
      <c r="F34" s="4">
        <v>45353</v>
      </c>
      <c r="G34" s="1" t="s">
        <v>27</v>
      </c>
      <c r="H34" s="3">
        <v>0.22057870370370369</v>
      </c>
      <c r="I34" s="3">
        <v>3.425925925925926E-2</v>
      </c>
      <c r="J34" s="3">
        <f>$H34 + $I34</f>
        <v>0.25483796296296296</v>
      </c>
      <c r="K34" s="1" t="s">
        <v>27</v>
      </c>
      <c r="L34" s="1">
        <v>1</v>
      </c>
      <c r="M34" s="1" t="s">
        <v>14</v>
      </c>
      <c r="N34" s="1">
        <v>1</v>
      </c>
      <c r="O34" s="1" t="s">
        <v>14</v>
      </c>
      <c r="Q34" s="1">
        <v>0.1</v>
      </c>
      <c r="R34" s="1">
        <v>0.1</v>
      </c>
      <c r="S34" s="1" t="s">
        <v>27</v>
      </c>
      <c r="U34" s="1" t="s">
        <v>79</v>
      </c>
      <c r="V34" s="2" t="s">
        <v>27</v>
      </c>
    </row>
    <row r="35" spans="1:25" x14ac:dyDescent="0.2">
      <c r="A35" s="1">
        <v>2</v>
      </c>
      <c r="B35" s="1">
        <v>2.6</v>
      </c>
      <c r="C35" s="1">
        <v>1</v>
      </c>
      <c r="D35" s="1" t="s">
        <v>62</v>
      </c>
      <c r="F35" s="4">
        <v>45353</v>
      </c>
      <c r="G35" s="1" t="s">
        <v>27</v>
      </c>
      <c r="H35" s="3">
        <v>0.74873842592592599</v>
      </c>
      <c r="I35" s="3">
        <v>2.630787037037037E-2</v>
      </c>
      <c r="J35" s="3">
        <f>$H35 + $I35</f>
        <v>0.7750462962962964</v>
      </c>
      <c r="K35" s="1" t="s">
        <v>27</v>
      </c>
      <c r="L35" s="1">
        <v>3</v>
      </c>
      <c r="M35" s="1" t="s">
        <v>13</v>
      </c>
      <c r="N35" s="1" t="s">
        <v>27</v>
      </c>
      <c r="O35" s="1" t="s">
        <v>27</v>
      </c>
      <c r="Q35" s="1">
        <v>0.1</v>
      </c>
      <c r="R35" s="1" t="s">
        <v>27</v>
      </c>
      <c r="S35" s="1" t="s">
        <v>27</v>
      </c>
      <c r="U35" s="1" t="s">
        <v>368</v>
      </c>
      <c r="V35" s="2" t="s">
        <v>27</v>
      </c>
    </row>
    <row r="36" spans="1:25" x14ac:dyDescent="0.2">
      <c r="A36" s="1">
        <v>2</v>
      </c>
      <c r="B36" s="1">
        <v>2.6</v>
      </c>
      <c r="C36" s="1">
        <v>1</v>
      </c>
      <c r="D36" s="1" t="s">
        <v>64</v>
      </c>
      <c r="F36" s="4">
        <v>45354</v>
      </c>
      <c r="G36" s="1" t="s">
        <v>27</v>
      </c>
      <c r="H36" s="3">
        <v>0.22113425925925925</v>
      </c>
      <c r="I36" s="3">
        <v>3.0856481481481481E-2</v>
      </c>
      <c r="J36" s="3">
        <f>$H36 + $I36</f>
        <v>0.25199074074074074</v>
      </c>
      <c r="K36" s="1" t="s">
        <v>27</v>
      </c>
      <c r="L36" s="1">
        <v>3</v>
      </c>
      <c r="M36" s="1" t="s">
        <v>13</v>
      </c>
      <c r="N36" s="1" t="s">
        <v>27</v>
      </c>
      <c r="O36" s="1" t="s">
        <v>27</v>
      </c>
      <c r="Q36" s="1">
        <v>0.1</v>
      </c>
      <c r="R36" s="1" t="s">
        <v>27</v>
      </c>
      <c r="S36" s="1" t="s">
        <v>85</v>
      </c>
      <c r="U36" s="1" t="s">
        <v>84</v>
      </c>
      <c r="V36" s="2" t="s">
        <v>27</v>
      </c>
    </row>
    <row r="37" spans="1:25" x14ac:dyDescent="0.2">
      <c r="A37" s="1">
        <v>2</v>
      </c>
      <c r="B37" s="1">
        <v>2.6</v>
      </c>
      <c r="C37" s="1">
        <v>1</v>
      </c>
      <c r="D37" s="1" t="s">
        <v>27</v>
      </c>
      <c r="F37" s="4">
        <v>45354</v>
      </c>
      <c r="G37" s="1" t="s">
        <v>27</v>
      </c>
      <c r="H37" s="3">
        <v>0.75247685185185187</v>
      </c>
      <c r="I37" s="1" t="s">
        <v>27</v>
      </c>
      <c r="J37" s="1" t="s">
        <v>27</v>
      </c>
      <c r="K37" s="1" t="s">
        <v>27</v>
      </c>
      <c r="L37" s="1" t="s">
        <v>27</v>
      </c>
      <c r="M37" s="1" t="s">
        <v>27</v>
      </c>
      <c r="N37" s="1" t="s">
        <v>27</v>
      </c>
      <c r="O37" s="1" t="s">
        <v>27</v>
      </c>
      <c r="Q37" s="1" t="s">
        <v>27</v>
      </c>
      <c r="R37" s="1" t="s">
        <v>27</v>
      </c>
      <c r="S37" s="1" t="s">
        <v>27</v>
      </c>
      <c r="U37" s="1" t="s">
        <v>277</v>
      </c>
      <c r="V37" s="1" t="s">
        <v>27</v>
      </c>
      <c r="W37" s="1"/>
      <c r="X37" s="1"/>
      <c r="Y37" s="1"/>
    </row>
    <row r="38" spans="1:25" x14ac:dyDescent="0.2">
      <c r="A38" s="1">
        <v>2</v>
      </c>
      <c r="B38" s="1">
        <v>2.6</v>
      </c>
      <c r="C38" s="1">
        <v>1</v>
      </c>
      <c r="D38" s="1" t="s">
        <v>78</v>
      </c>
      <c r="F38" s="4">
        <v>45355</v>
      </c>
      <c r="G38" s="3">
        <f>H38 + K38</f>
        <v>0.2673726851851852</v>
      </c>
      <c r="H38" s="3">
        <v>0.22809027777777779</v>
      </c>
      <c r="I38" s="3">
        <v>2.7418981481481485E-2</v>
      </c>
      <c r="J38" s="3">
        <f>$H38 + $I38</f>
        <v>0.25550925925925927</v>
      </c>
      <c r="K38" s="3">
        <v>3.9282407407407412E-2</v>
      </c>
      <c r="L38" s="1">
        <v>1</v>
      </c>
      <c r="M38" s="1" t="s">
        <v>61</v>
      </c>
      <c r="N38" s="1">
        <v>1</v>
      </c>
      <c r="O38" s="1" t="s">
        <v>61</v>
      </c>
      <c r="Q38" s="1">
        <v>0.1</v>
      </c>
      <c r="R38" s="1">
        <v>0.1</v>
      </c>
      <c r="S38" s="1">
        <v>1</v>
      </c>
      <c r="U38" s="1" t="s">
        <v>66</v>
      </c>
      <c r="V38" s="1">
        <v>0.54100000000000004</v>
      </c>
      <c r="W38" s="1"/>
      <c r="X38" s="1"/>
      <c r="Y38" s="1"/>
    </row>
    <row r="39" spans="1:25" x14ac:dyDescent="0.2">
      <c r="A39" s="1">
        <v>2</v>
      </c>
      <c r="B39" s="1">
        <v>2.6</v>
      </c>
      <c r="C39" s="1">
        <v>1</v>
      </c>
      <c r="D39" s="1" t="s">
        <v>83</v>
      </c>
      <c r="F39" s="4">
        <v>45355</v>
      </c>
      <c r="G39" s="3">
        <f>H39 + K39</f>
        <v>0.78221064814814811</v>
      </c>
      <c r="H39" s="3">
        <v>0.74259259259259258</v>
      </c>
      <c r="I39" s="3">
        <v>3.5173611111111107E-2</v>
      </c>
      <c r="J39" s="3">
        <f>$H39 + $I39</f>
        <v>0.77776620370370364</v>
      </c>
      <c r="K39" s="3">
        <v>3.9618055555555552E-2</v>
      </c>
      <c r="L39" s="1">
        <v>1</v>
      </c>
      <c r="M39" s="1" t="s">
        <v>13</v>
      </c>
      <c r="N39" s="1">
        <v>1</v>
      </c>
      <c r="O39" s="1" t="s">
        <v>13</v>
      </c>
      <c r="Q39" s="1">
        <v>0.1</v>
      </c>
      <c r="R39" s="1">
        <v>0.1</v>
      </c>
      <c r="S39" s="1">
        <v>1</v>
      </c>
      <c r="U39" s="1" t="s">
        <v>96</v>
      </c>
      <c r="V39" s="1">
        <v>5.7799999999999997E-2</v>
      </c>
      <c r="W39" s="1"/>
      <c r="X39" s="1"/>
      <c r="Y39" s="1"/>
    </row>
    <row r="40" spans="1:25" x14ac:dyDescent="0.2">
      <c r="A40" s="1">
        <v>2</v>
      </c>
      <c r="B40" s="1">
        <v>2.6</v>
      </c>
      <c r="C40" s="1">
        <v>1</v>
      </c>
      <c r="D40" s="1" t="s">
        <v>94</v>
      </c>
      <c r="F40" s="4">
        <v>45356</v>
      </c>
      <c r="G40" s="3">
        <f>H40 + K40</f>
        <v>0.27211805555555557</v>
      </c>
      <c r="H40" s="3">
        <v>0.22714120370370372</v>
      </c>
      <c r="I40" s="3">
        <v>2.5289351851851851E-2</v>
      </c>
      <c r="J40" s="3">
        <f>$H40 + $I40</f>
        <v>0.25243055555555555</v>
      </c>
      <c r="K40" s="3">
        <v>4.4976851851851851E-2</v>
      </c>
      <c r="L40" s="1">
        <v>3</v>
      </c>
      <c r="M40" s="1" t="s">
        <v>13</v>
      </c>
      <c r="N40" s="1">
        <v>3</v>
      </c>
      <c r="O40" s="1" t="s">
        <v>13</v>
      </c>
      <c r="Q40" s="1">
        <v>0.1</v>
      </c>
      <c r="R40" s="1">
        <v>0.1</v>
      </c>
      <c r="S40" s="1">
        <v>1</v>
      </c>
      <c r="U40" s="1" t="s">
        <v>95</v>
      </c>
      <c r="V40" s="1">
        <v>1.9450000000000001</v>
      </c>
      <c r="W40" s="1"/>
      <c r="X40" s="1"/>
      <c r="Y40" s="1"/>
    </row>
    <row r="41" spans="1:25" x14ac:dyDescent="0.2">
      <c r="A41" s="1">
        <v>2</v>
      </c>
      <c r="B41" s="1">
        <v>2.6</v>
      </c>
      <c r="C41" s="1">
        <v>1</v>
      </c>
      <c r="D41" s="1" t="s">
        <v>110</v>
      </c>
      <c r="F41" s="4">
        <v>45356</v>
      </c>
      <c r="G41" s="3">
        <f>H41 + K41</f>
        <v>0.77976851851851858</v>
      </c>
      <c r="H41" s="3">
        <v>0.75730324074074085</v>
      </c>
      <c r="I41" s="3">
        <v>1.5636574074074074E-2</v>
      </c>
      <c r="J41" s="3">
        <f>I41+H41</f>
        <v>0.77293981481481489</v>
      </c>
      <c r="K41" s="3">
        <v>2.2465277777777778E-2</v>
      </c>
      <c r="L41" s="1">
        <v>3</v>
      </c>
      <c r="M41" s="1" t="s">
        <v>14</v>
      </c>
      <c r="N41" s="1">
        <v>3</v>
      </c>
      <c r="O41" s="1" t="s">
        <v>14</v>
      </c>
      <c r="Q41" s="1">
        <v>0.1</v>
      </c>
      <c r="R41" s="1">
        <v>0.1</v>
      </c>
      <c r="S41" s="1">
        <v>0</v>
      </c>
      <c r="V41" s="1">
        <v>0.15620000000000001</v>
      </c>
      <c r="W41" s="1"/>
      <c r="X41" s="1"/>
      <c r="Y41" s="1"/>
    </row>
    <row r="42" spans="1:25" x14ac:dyDescent="0.2">
      <c r="A42" s="1">
        <v>2</v>
      </c>
      <c r="B42" s="1">
        <v>2.6</v>
      </c>
      <c r="C42" s="1">
        <v>1</v>
      </c>
      <c r="D42" s="1" t="s">
        <v>105</v>
      </c>
      <c r="F42" s="4">
        <v>45357</v>
      </c>
      <c r="G42" s="3">
        <f>H42 + K42</f>
        <v>0.26189814814814816</v>
      </c>
      <c r="H42" s="3">
        <v>0.22960648148148147</v>
      </c>
      <c r="I42" s="3">
        <v>2.5740740740740745E-2</v>
      </c>
      <c r="J42" s="3">
        <f>I42+H42</f>
        <v>0.25534722222222223</v>
      </c>
      <c r="K42" s="3">
        <v>3.229166666666667E-2</v>
      </c>
      <c r="L42" s="1">
        <v>3</v>
      </c>
      <c r="M42" s="1" t="s">
        <v>14</v>
      </c>
      <c r="N42" s="1">
        <v>3</v>
      </c>
      <c r="O42" s="1" t="s">
        <v>13</v>
      </c>
      <c r="Q42" s="1">
        <v>0.1</v>
      </c>
      <c r="R42" s="1">
        <v>0.1</v>
      </c>
      <c r="S42" s="1">
        <v>1</v>
      </c>
      <c r="V42" s="1">
        <v>0.14530000000000001</v>
      </c>
      <c r="W42" s="1"/>
      <c r="X42" s="1"/>
      <c r="Y42" s="1"/>
    </row>
    <row r="43" spans="1:25" x14ac:dyDescent="0.2">
      <c r="A43" s="1">
        <v>2</v>
      </c>
      <c r="B43" s="1">
        <v>2.6</v>
      </c>
      <c r="C43" s="1" t="s">
        <v>27</v>
      </c>
      <c r="D43" s="1" t="s">
        <v>117</v>
      </c>
      <c r="F43" s="4">
        <v>45357</v>
      </c>
      <c r="G43" s="1" t="s">
        <v>27</v>
      </c>
      <c r="H43" s="3">
        <v>0.74971064814814825</v>
      </c>
      <c r="I43" s="1" t="s">
        <v>27</v>
      </c>
      <c r="J43" s="1" t="s">
        <v>27</v>
      </c>
      <c r="K43" s="1" t="s">
        <v>27</v>
      </c>
      <c r="L43" s="1">
        <v>3</v>
      </c>
      <c r="M43" s="1" t="s">
        <v>13</v>
      </c>
      <c r="N43" s="1" t="s">
        <v>27</v>
      </c>
      <c r="O43" s="1" t="s">
        <v>27</v>
      </c>
      <c r="Q43" s="1">
        <v>0.1</v>
      </c>
      <c r="R43" s="1" t="s">
        <v>27</v>
      </c>
      <c r="S43" s="1" t="s">
        <v>27</v>
      </c>
      <c r="U43" s="1" t="s">
        <v>118</v>
      </c>
      <c r="V43" s="1" t="s">
        <v>27</v>
      </c>
      <c r="W43" s="1"/>
      <c r="X43" s="1"/>
      <c r="Y43" s="1"/>
    </row>
    <row r="44" spans="1:25" x14ac:dyDescent="0.2">
      <c r="A44" s="1">
        <v>2</v>
      </c>
      <c r="B44" s="1">
        <v>2.6</v>
      </c>
      <c r="C44" s="1">
        <v>1</v>
      </c>
      <c r="D44" s="1" t="s">
        <v>90</v>
      </c>
      <c r="F44" s="4">
        <v>45358</v>
      </c>
      <c r="G44" s="3">
        <f>H44 + K44</f>
        <v>0.26952546296296298</v>
      </c>
      <c r="H44" s="3">
        <v>0.21829861111111112</v>
      </c>
      <c r="I44" s="3">
        <v>4.2939814814814813E-2</v>
      </c>
      <c r="J44" s="3">
        <f>I44+H44</f>
        <v>0.26123842592592594</v>
      </c>
      <c r="K44" s="3">
        <v>5.122685185185185E-2</v>
      </c>
      <c r="L44" s="1">
        <v>3</v>
      </c>
      <c r="M44" s="1" t="s">
        <v>13</v>
      </c>
      <c r="N44" s="1">
        <v>3</v>
      </c>
      <c r="O44" s="1" t="s">
        <v>14</v>
      </c>
      <c r="Q44" s="1">
        <v>0.1</v>
      </c>
      <c r="R44" s="1">
        <v>0.05</v>
      </c>
      <c r="S44" s="1">
        <v>0</v>
      </c>
      <c r="V44" s="1">
        <v>1.389</v>
      </c>
      <c r="W44" s="1"/>
      <c r="X44" s="1"/>
      <c r="Y44" s="1"/>
    </row>
    <row r="45" spans="1:25" x14ac:dyDescent="0.2">
      <c r="A45" s="1">
        <v>2</v>
      </c>
      <c r="B45" s="1">
        <v>2.6</v>
      </c>
      <c r="C45" s="1">
        <v>1</v>
      </c>
      <c r="D45" s="1" t="s">
        <v>101</v>
      </c>
      <c r="F45" s="4">
        <v>45358</v>
      </c>
      <c r="G45" s="3">
        <f>H45 + K45</f>
        <v>0.78515046296296309</v>
      </c>
      <c r="H45" s="3">
        <v>0.75358796296296304</v>
      </c>
      <c r="I45" s="3">
        <v>2.4756944444444443E-2</v>
      </c>
      <c r="J45" s="3">
        <f>I45+H45</f>
        <v>0.77834490740740747</v>
      </c>
      <c r="K45" s="3">
        <v>3.15625E-2</v>
      </c>
      <c r="L45" s="1">
        <v>3</v>
      </c>
      <c r="M45" s="1" t="s">
        <v>14</v>
      </c>
      <c r="N45" s="1">
        <v>3</v>
      </c>
      <c r="O45" s="1" t="s">
        <v>13</v>
      </c>
      <c r="Q45" s="1">
        <v>0.1</v>
      </c>
      <c r="R45" s="1">
        <v>0.1</v>
      </c>
      <c r="S45" s="1">
        <v>1</v>
      </c>
      <c r="V45" s="1">
        <v>1.7930000000000001E-2</v>
      </c>
      <c r="W45" s="1"/>
      <c r="X45" s="1"/>
      <c r="Y45" s="1"/>
    </row>
    <row r="46" spans="1:25" x14ac:dyDescent="0.2">
      <c r="A46" s="1">
        <v>2</v>
      </c>
      <c r="B46" s="1">
        <v>2.6</v>
      </c>
      <c r="C46" s="1">
        <v>1</v>
      </c>
      <c r="D46" s="1" t="s">
        <v>104</v>
      </c>
      <c r="F46" s="4">
        <v>45359</v>
      </c>
      <c r="G46" s="3">
        <f>H46 + K46</f>
        <v>0.27240740740740743</v>
      </c>
      <c r="H46" s="3">
        <v>0.22769675925925925</v>
      </c>
      <c r="I46" s="3">
        <v>3.4699074074074077E-2</v>
      </c>
      <c r="J46" s="3">
        <f>I46+H46</f>
        <v>0.26239583333333333</v>
      </c>
      <c r="K46" s="3">
        <v>4.4710648148148152E-2</v>
      </c>
      <c r="L46" s="1">
        <v>3</v>
      </c>
      <c r="M46" s="1" t="s">
        <v>13</v>
      </c>
      <c r="N46" s="1">
        <v>3</v>
      </c>
      <c r="O46" s="1" t="s">
        <v>14</v>
      </c>
      <c r="Q46" s="1">
        <v>0.1</v>
      </c>
      <c r="R46" s="1">
        <v>0.15</v>
      </c>
      <c r="S46" s="1">
        <v>0</v>
      </c>
      <c r="V46" s="1">
        <v>2.5299999999999998</v>
      </c>
      <c r="W46" s="1"/>
      <c r="X46" s="1"/>
      <c r="Y46" s="1"/>
    </row>
    <row r="47" spans="1:25" x14ac:dyDescent="0.2">
      <c r="A47" s="1">
        <v>2</v>
      </c>
      <c r="B47" s="1">
        <v>2.6</v>
      </c>
      <c r="C47" s="1">
        <v>1</v>
      </c>
      <c r="D47" s="1" t="s">
        <v>115</v>
      </c>
      <c r="F47" s="4">
        <v>45359</v>
      </c>
      <c r="G47" s="3">
        <f>H47 + K47</f>
        <v>0.78239583333333329</v>
      </c>
      <c r="H47" s="3">
        <v>0.75249999999999995</v>
      </c>
      <c r="I47" s="3">
        <v>1.5358796296296296E-2</v>
      </c>
      <c r="J47" s="3">
        <f>I47+H47</f>
        <v>0.76785879629629628</v>
      </c>
      <c r="K47" s="3">
        <v>2.989583333333333E-2</v>
      </c>
      <c r="L47" s="1">
        <v>3</v>
      </c>
      <c r="M47" s="1" t="s">
        <v>14</v>
      </c>
      <c r="N47" s="1">
        <v>3</v>
      </c>
      <c r="O47" s="1" t="s">
        <v>13</v>
      </c>
      <c r="Q47" s="1">
        <v>0.1</v>
      </c>
      <c r="R47" s="1">
        <v>0.1</v>
      </c>
      <c r="S47" s="1">
        <v>0</v>
      </c>
      <c r="U47" s="1" t="s">
        <v>135</v>
      </c>
      <c r="V47" s="1">
        <v>4.7600000000000003E-2</v>
      </c>
      <c r="W47" s="1"/>
      <c r="X47" s="1"/>
      <c r="Y47" s="1"/>
    </row>
    <row r="48" spans="1:25" x14ac:dyDescent="0.2">
      <c r="A48" s="1">
        <v>2</v>
      </c>
      <c r="B48" s="1">
        <v>2.6</v>
      </c>
      <c r="C48" s="1" t="s">
        <v>27</v>
      </c>
      <c r="D48" s="1" t="s">
        <v>27</v>
      </c>
      <c r="F48" s="4">
        <v>45360</v>
      </c>
      <c r="G48" s="3" t="s">
        <v>27</v>
      </c>
      <c r="H48" s="3" t="s">
        <v>27</v>
      </c>
      <c r="I48" s="3" t="s">
        <v>27</v>
      </c>
      <c r="J48" s="3" t="s">
        <v>27</v>
      </c>
      <c r="K48" s="3" t="s">
        <v>27</v>
      </c>
      <c r="L48" s="1">
        <v>3</v>
      </c>
      <c r="M48" s="1" t="s">
        <v>13</v>
      </c>
      <c r="N48" s="1">
        <v>3</v>
      </c>
      <c r="O48" s="1" t="s">
        <v>13</v>
      </c>
      <c r="Q48" s="1">
        <v>0.1</v>
      </c>
      <c r="R48" s="1">
        <v>0.1</v>
      </c>
      <c r="S48" s="1" t="s">
        <v>27</v>
      </c>
      <c r="U48" s="1" t="s">
        <v>140</v>
      </c>
      <c r="V48" s="2" t="s">
        <v>27</v>
      </c>
    </row>
    <row r="49" spans="1:25" x14ac:dyDescent="0.2">
      <c r="A49" s="1">
        <v>2</v>
      </c>
      <c r="B49" s="1">
        <v>2.6</v>
      </c>
      <c r="C49" s="1">
        <v>1</v>
      </c>
      <c r="D49" s="1" t="s">
        <v>133</v>
      </c>
      <c r="F49" s="4">
        <v>45362</v>
      </c>
      <c r="G49" s="3">
        <f t="shared" ref="G49:G62" si="3">H49 + K49</f>
        <v>0.77763888888888888</v>
      </c>
      <c r="H49" s="3">
        <v>0.74478009259259259</v>
      </c>
      <c r="I49" s="3">
        <v>2.75E-2</v>
      </c>
      <c r="J49" s="3">
        <f t="shared" ref="J49:J59" si="4">I49+H49</f>
        <v>0.77228009259259256</v>
      </c>
      <c r="K49" s="3">
        <v>3.2858796296296296E-2</v>
      </c>
      <c r="L49" s="1">
        <v>3</v>
      </c>
      <c r="M49" s="1" t="s">
        <v>14</v>
      </c>
      <c r="N49" s="1">
        <v>3</v>
      </c>
      <c r="O49" s="1" t="s">
        <v>13</v>
      </c>
      <c r="Q49" s="1">
        <v>0.1</v>
      </c>
      <c r="R49" s="1">
        <v>0.15</v>
      </c>
      <c r="S49" s="1">
        <v>0</v>
      </c>
      <c r="U49" s="1" t="s">
        <v>134</v>
      </c>
      <c r="V49" s="1">
        <v>0.1764</v>
      </c>
      <c r="W49" s="1"/>
      <c r="X49" s="1"/>
      <c r="Y49" s="1"/>
    </row>
    <row r="50" spans="1:25" x14ac:dyDescent="0.2">
      <c r="A50" s="1">
        <v>2</v>
      </c>
      <c r="B50" s="1">
        <v>2.6</v>
      </c>
      <c r="C50" s="1">
        <v>1</v>
      </c>
      <c r="D50" s="1" t="s">
        <v>114</v>
      </c>
      <c r="F50" s="4">
        <v>45362</v>
      </c>
      <c r="G50" s="3">
        <f t="shared" si="3"/>
        <v>0.27355324074074072</v>
      </c>
      <c r="H50" s="3">
        <v>0.23127314814814814</v>
      </c>
      <c r="I50" s="3">
        <v>2.9965277777777775E-2</v>
      </c>
      <c r="J50" s="3">
        <f t="shared" si="4"/>
        <v>0.26123842592592594</v>
      </c>
      <c r="K50" s="3">
        <v>4.2280092592592591E-2</v>
      </c>
      <c r="L50" s="1">
        <v>3</v>
      </c>
      <c r="M50" s="1" t="s">
        <v>14</v>
      </c>
      <c r="N50" s="1">
        <v>3</v>
      </c>
      <c r="O50" s="1" t="s">
        <v>13</v>
      </c>
      <c r="Q50" s="1">
        <v>0.1</v>
      </c>
      <c r="R50" s="1">
        <v>0.05</v>
      </c>
      <c r="S50" s="1">
        <v>0</v>
      </c>
      <c r="U50" s="1" t="s">
        <v>143</v>
      </c>
      <c r="V50" s="1">
        <v>1.2969999999999999</v>
      </c>
      <c r="W50" s="1"/>
      <c r="X50" s="1"/>
      <c r="Y50" s="1"/>
    </row>
    <row r="51" spans="1:25" x14ac:dyDescent="0.2">
      <c r="A51" s="1">
        <v>2</v>
      </c>
      <c r="B51" s="1">
        <v>2.6</v>
      </c>
      <c r="C51" s="1">
        <v>1</v>
      </c>
      <c r="D51" s="1" t="s">
        <v>122</v>
      </c>
      <c r="F51" s="4">
        <v>45363</v>
      </c>
      <c r="G51" s="3">
        <f t="shared" si="3"/>
        <v>0.77273148148148152</v>
      </c>
      <c r="H51" s="3">
        <v>0.7653240740740741</v>
      </c>
      <c r="I51" s="3">
        <v>2.3032407407407407E-3</v>
      </c>
      <c r="J51" s="3">
        <f t="shared" si="4"/>
        <v>0.76762731481481483</v>
      </c>
      <c r="K51" s="3">
        <v>7.4074074074074068E-3</v>
      </c>
      <c r="L51" s="1">
        <v>3</v>
      </c>
      <c r="M51" s="1" t="s">
        <v>14</v>
      </c>
      <c r="N51" s="1">
        <v>3</v>
      </c>
      <c r="O51" s="1" t="s">
        <v>13</v>
      </c>
      <c r="Q51" s="1">
        <v>0.1</v>
      </c>
      <c r="R51" s="1">
        <v>0.05</v>
      </c>
      <c r="S51" s="1">
        <v>0</v>
      </c>
      <c r="V51" s="1">
        <v>0.13969999999999999</v>
      </c>
      <c r="W51" s="1"/>
      <c r="X51" s="1"/>
      <c r="Y51" s="1"/>
    </row>
    <row r="52" spans="1:25" x14ac:dyDescent="0.2">
      <c r="A52" s="1">
        <v>2</v>
      </c>
      <c r="B52" s="1">
        <v>2.6</v>
      </c>
      <c r="C52" s="1">
        <v>1</v>
      </c>
      <c r="D52" s="1" t="s">
        <v>132</v>
      </c>
      <c r="F52" s="4">
        <v>45363</v>
      </c>
      <c r="G52" s="3">
        <f t="shared" si="3"/>
        <v>0.26667824074074076</v>
      </c>
      <c r="H52" s="3">
        <v>0.23542824074074073</v>
      </c>
      <c r="I52" s="3">
        <v>2.3402777777777783E-2</v>
      </c>
      <c r="J52" s="3">
        <f t="shared" si="4"/>
        <v>0.25883101851851853</v>
      </c>
      <c r="K52" s="3">
        <v>3.125E-2</v>
      </c>
      <c r="L52" s="1">
        <v>3</v>
      </c>
      <c r="M52" s="1" t="s">
        <v>13</v>
      </c>
      <c r="N52" s="1">
        <v>3</v>
      </c>
      <c r="O52" s="1" t="s">
        <v>14</v>
      </c>
      <c r="Q52" s="1">
        <v>0.1</v>
      </c>
      <c r="R52" s="1">
        <v>0.15</v>
      </c>
      <c r="S52" s="1">
        <v>1</v>
      </c>
      <c r="V52" s="1">
        <v>0.64600000000000002</v>
      </c>
      <c r="W52" s="1"/>
      <c r="X52" s="1"/>
      <c r="Y52" s="1"/>
    </row>
    <row r="53" spans="1:25" x14ac:dyDescent="0.2">
      <c r="A53" s="1">
        <v>2</v>
      </c>
      <c r="B53" s="1">
        <v>2.6</v>
      </c>
      <c r="C53" s="1">
        <v>1</v>
      </c>
      <c r="D53" s="1" t="s">
        <v>146</v>
      </c>
      <c r="F53" s="4">
        <v>45364</v>
      </c>
      <c r="G53" s="3">
        <f t="shared" si="3"/>
        <v>0.77724537037037034</v>
      </c>
      <c r="H53" s="3">
        <v>0.74844907407407402</v>
      </c>
      <c r="I53" s="3">
        <v>1.7395833333333336E-2</v>
      </c>
      <c r="J53" s="3">
        <f t="shared" si="4"/>
        <v>0.7658449074074074</v>
      </c>
      <c r="K53" s="3">
        <v>2.8796296296296296E-2</v>
      </c>
      <c r="L53" s="1">
        <v>3</v>
      </c>
      <c r="M53" s="1" t="s">
        <v>14</v>
      </c>
      <c r="N53" s="1">
        <v>3</v>
      </c>
      <c r="O53" s="1" t="s">
        <v>13</v>
      </c>
      <c r="Q53" s="1">
        <v>0.05</v>
      </c>
      <c r="R53" s="1">
        <v>0.05</v>
      </c>
      <c r="S53" s="1">
        <v>0</v>
      </c>
      <c r="V53" s="1">
        <v>0.878</v>
      </c>
      <c r="W53" s="1"/>
      <c r="X53" s="1"/>
      <c r="Y53" s="1"/>
    </row>
    <row r="54" spans="1:25" x14ac:dyDescent="0.2">
      <c r="A54" s="1">
        <v>2</v>
      </c>
      <c r="B54" s="1">
        <v>2.6</v>
      </c>
      <c r="C54" s="1">
        <v>1</v>
      </c>
      <c r="D54" s="1" t="s">
        <v>423</v>
      </c>
      <c r="F54" s="4">
        <v>45364</v>
      </c>
      <c r="G54" s="3">
        <f t="shared" si="3"/>
        <v>0.26287037037037037</v>
      </c>
      <c r="H54" s="3">
        <v>0.230625</v>
      </c>
      <c r="I54" s="3">
        <v>2.2407407407407407E-2</v>
      </c>
      <c r="J54" s="3">
        <f t="shared" si="4"/>
        <v>0.2530324074074074</v>
      </c>
      <c r="K54" s="3">
        <v>3.2245370370370369E-2</v>
      </c>
      <c r="L54" s="1">
        <v>3</v>
      </c>
      <c r="M54" s="1" t="s">
        <v>13</v>
      </c>
      <c r="N54" s="1">
        <v>3</v>
      </c>
      <c r="O54" s="1" t="s">
        <v>14</v>
      </c>
      <c r="Q54" s="1">
        <v>0.05</v>
      </c>
      <c r="R54" s="1">
        <v>0.05</v>
      </c>
      <c r="S54" s="1">
        <v>1</v>
      </c>
      <c r="V54" s="1">
        <v>0.25600000000000001</v>
      </c>
      <c r="W54" s="1"/>
      <c r="X54" s="1"/>
      <c r="Y54" s="1"/>
    </row>
    <row r="55" spans="1:25" x14ac:dyDescent="0.2">
      <c r="A55" s="1">
        <v>2</v>
      </c>
      <c r="B55" s="1">
        <v>2.6</v>
      </c>
      <c r="C55" s="1">
        <v>1</v>
      </c>
      <c r="D55" s="1" t="s">
        <v>144</v>
      </c>
      <c r="F55" s="4">
        <v>45365</v>
      </c>
      <c r="G55" s="3">
        <f t="shared" si="3"/>
        <v>0.78295138888888882</v>
      </c>
      <c r="H55" s="3">
        <v>0.75175925925925924</v>
      </c>
      <c r="I55" s="3">
        <v>1.6608796296296299E-2</v>
      </c>
      <c r="J55" s="3">
        <f t="shared" si="4"/>
        <v>0.76836805555555554</v>
      </c>
      <c r="K55" s="3">
        <v>3.1192129629629629E-2</v>
      </c>
      <c r="L55" s="1">
        <v>3</v>
      </c>
      <c r="M55" s="1" t="s">
        <v>14</v>
      </c>
      <c r="N55" s="1">
        <v>3</v>
      </c>
      <c r="O55" s="1" t="s">
        <v>13</v>
      </c>
      <c r="Q55" s="1">
        <v>0.05</v>
      </c>
      <c r="R55" s="1">
        <v>0.05</v>
      </c>
      <c r="S55" s="1">
        <v>1</v>
      </c>
      <c r="U55" s="1" t="s">
        <v>424</v>
      </c>
      <c r="V55" s="1">
        <v>1.8599999999999998E-2</v>
      </c>
      <c r="W55" s="1"/>
      <c r="X55" s="1"/>
      <c r="Y55" s="1"/>
    </row>
    <row r="56" spans="1:25" x14ac:dyDescent="0.2">
      <c r="A56" s="1">
        <v>2</v>
      </c>
      <c r="B56" s="1">
        <v>2.6</v>
      </c>
      <c r="C56" s="1">
        <v>1</v>
      </c>
      <c r="D56" s="1" t="s">
        <v>139</v>
      </c>
      <c r="F56" s="4">
        <v>45365</v>
      </c>
      <c r="G56" s="3">
        <f t="shared" si="3"/>
        <v>0.26702546296296298</v>
      </c>
      <c r="H56" s="3">
        <v>0.2262962962962963</v>
      </c>
      <c r="I56" s="3">
        <v>3.1932870370370368E-2</v>
      </c>
      <c r="J56" s="3">
        <f t="shared" si="4"/>
        <v>0.25822916666666668</v>
      </c>
      <c r="K56" s="3">
        <v>4.0729166666666664E-2</v>
      </c>
      <c r="L56" s="1">
        <v>3</v>
      </c>
      <c r="M56" s="1" t="s">
        <v>13</v>
      </c>
      <c r="N56" s="1">
        <v>3</v>
      </c>
      <c r="O56" s="1" t="s">
        <v>14</v>
      </c>
      <c r="Q56" s="1">
        <v>0.05</v>
      </c>
      <c r="R56" s="1">
        <v>0.05</v>
      </c>
      <c r="S56" s="1">
        <v>0</v>
      </c>
      <c r="U56" s="1" t="s">
        <v>145</v>
      </c>
      <c r="V56" s="1">
        <v>1.6419999999999999</v>
      </c>
      <c r="W56" s="1"/>
      <c r="X56" s="1"/>
      <c r="Y56" s="1"/>
    </row>
    <row r="57" spans="1:25" x14ac:dyDescent="0.2">
      <c r="A57" s="1">
        <v>2</v>
      </c>
      <c r="B57" s="1">
        <v>2.6</v>
      </c>
      <c r="C57" s="1">
        <v>1</v>
      </c>
      <c r="D57" s="1" t="s">
        <v>138</v>
      </c>
      <c r="F57" s="4">
        <v>45366</v>
      </c>
      <c r="G57" s="3">
        <f t="shared" si="3"/>
        <v>0.26596064814814813</v>
      </c>
      <c r="H57" s="3">
        <v>0.22715277777777779</v>
      </c>
      <c r="I57" s="3">
        <v>2.6944444444444444E-2</v>
      </c>
      <c r="J57" s="3">
        <f t="shared" si="4"/>
        <v>0.25409722222222225</v>
      </c>
      <c r="K57" s="3">
        <v>3.8807870370370368E-2</v>
      </c>
      <c r="L57" s="1">
        <v>3</v>
      </c>
      <c r="M57" s="1" t="s">
        <v>13</v>
      </c>
      <c r="N57" s="1">
        <v>3</v>
      </c>
      <c r="O57" s="1" t="s">
        <v>14</v>
      </c>
      <c r="Q57" s="1">
        <v>0.05</v>
      </c>
      <c r="R57" s="1">
        <v>0.05</v>
      </c>
      <c r="S57" s="1">
        <v>1</v>
      </c>
      <c r="V57" s="1">
        <v>0.74199999999999999</v>
      </c>
      <c r="W57" s="1"/>
      <c r="X57" s="1"/>
      <c r="Y57" s="1"/>
    </row>
    <row r="58" spans="1:25" x14ac:dyDescent="0.2">
      <c r="A58" s="1">
        <v>2</v>
      </c>
      <c r="B58" s="1">
        <v>2.6</v>
      </c>
      <c r="C58" s="1">
        <v>1</v>
      </c>
      <c r="D58" s="1" t="s">
        <v>136</v>
      </c>
      <c r="F58" s="4">
        <v>45366</v>
      </c>
      <c r="G58" s="3">
        <f t="shared" si="3"/>
        <v>0.78123842592592596</v>
      </c>
      <c r="H58" s="3">
        <v>0.75766203703703705</v>
      </c>
      <c r="I58" s="3">
        <v>9.7569444444444448E-3</v>
      </c>
      <c r="J58" s="3">
        <f t="shared" si="4"/>
        <v>0.76741898148148147</v>
      </c>
      <c r="K58" s="3">
        <v>2.357638888888889E-2</v>
      </c>
      <c r="L58" s="1">
        <v>3</v>
      </c>
      <c r="M58" s="1" t="s">
        <v>14</v>
      </c>
      <c r="N58" s="1">
        <v>3</v>
      </c>
      <c r="O58" s="1" t="s">
        <v>13</v>
      </c>
      <c r="Q58" s="1">
        <v>0.05</v>
      </c>
      <c r="R58" s="1">
        <v>0.05</v>
      </c>
      <c r="S58" s="1">
        <v>0</v>
      </c>
      <c r="U58" s="1" t="s">
        <v>157</v>
      </c>
      <c r="V58" s="1">
        <v>3.56E-2</v>
      </c>
      <c r="W58" s="1"/>
      <c r="X58" s="1"/>
      <c r="Y58" s="1"/>
    </row>
    <row r="59" spans="1:25" s="7" customFormat="1" x14ac:dyDescent="0.2">
      <c r="A59" s="1">
        <v>2</v>
      </c>
      <c r="B59" s="1">
        <v>2.6</v>
      </c>
      <c r="C59" s="1">
        <v>1</v>
      </c>
      <c r="D59" s="1" t="s">
        <v>154</v>
      </c>
      <c r="E59" s="1"/>
      <c r="F59" s="4">
        <v>45367</v>
      </c>
      <c r="G59" s="3">
        <f t="shared" si="3"/>
        <v>0.26401620370370371</v>
      </c>
      <c r="H59" s="3">
        <v>0.24603009259259259</v>
      </c>
      <c r="I59" s="3">
        <v>5.6134259259259262E-3</v>
      </c>
      <c r="J59" s="3">
        <f t="shared" si="4"/>
        <v>0.25164351851851852</v>
      </c>
      <c r="K59" s="3">
        <v>1.7986111111111112E-2</v>
      </c>
      <c r="L59" s="1">
        <v>3</v>
      </c>
      <c r="M59" s="1" t="s">
        <v>13</v>
      </c>
      <c r="N59" s="1">
        <v>3</v>
      </c>
      <c r="O59" s="1" t="s">
        <v>14</v>
      </c>
      <c r="P59" s="1"/>
      <c r="Q59" s="1">
        <v>0.05</v>
      </c>
      <c r="R59" s="1">
        <v>0.05</v>
      </c>
      <c r="S59" s="1">
        <v>1</v>
      </c>
      <c r="T59" s="1"/>
      <c r="U59" s="1"/>
      <c r="V59" s="1">
        <v>0.54100000000000004</v>
      </c>
      <c r="W59" s="1"/>
      <c r="X59" s="1"/>
      <c r="Y59" s="1"/>
    </row>
    <row r="60" spans="1:25" x14ac:dyDescent="0.2">
      <c r="A60" s="1">
        <v>2</v>
      </c>
      <c r="B60" s="1">
        <v>2.6</v>
      </c>
      <c r="C60" s="1">
        <v>1</v>
      </c>
      <c r="D60" s="1" t="s">
        <v>151</v>
      </c>
      <c r="F60" s="4">
        <v>45367</v>
      </c>
      <c r="G60" s="3">
        <f t="shared" si="3"/>
        <v>0.78548611111111111</v>
      </c>
      <c r="H60" s="3">
        <v>0.75153935185185183</v>
      </c>
      <c r="I60" s="1" t="s">
        <v>27</v>
      </c>
      <c r="J60" s="1" t="s">
        <v>27</v>
      </c>
      <c r="K60" s="3">
        <v>3.394675925925926E-2</v>
      </c>
      <c r="L60" s="1">
        <v>3</v>
      </c>
      <c r="M60" s="1" t="s">
        <v>14</v>
      </c>
      <c r="N60" s="1">
        <v>3</v>
      </c>
      <c r="O60" s="1" t="s">
        <v>13</v>
      </c>
      <c r="Q60" s="1">
        <v>0.05</v>
      </c>
      <c r="R60" s="1">
        <v>0.05</v>
      </c>
      <c r="S60" s="1">
        <v>0</v>
      </c>
      <c r="U60" s="1" t="s">
        <v>649</v>
      </c>
      <c r="V60" s="1">
        <v>7.1599999999999997E-3</v>
      </c>
      <c r="W60" s="1"/>
      <c r="X60" s="1"/>
      <c r="Y60" s="1"/>
    </row>
    <row r="61" spans="1:25" x14ac:dyDescent="0.2">
      <c r="A61" s="1">
        <v>2</v>
      </c>
      <c r="B61" s="1">
        <v>2.6</v>
      </c>
      <c r="C61" s="1">
        <v>1</v>
      </c>
      <c r="D61" s="1" t="s">
        <v>149</v>
      </c>
      <c r="F61" s="4">
        <v>45368</v>
      </c>
      <c r="G61" s="3">
        <f t="shared" si="3"/>
        <v>0.2610763888888889</v>
      </c>
      <c r="H61" s="3">
        <v>0.23355324074074074</v>
      </c>
      <c r="I61" s="3">
        <v>1.7083333333333332E-2</v>
      </c>
      <c r="J61" s="3">
        <f>I61+H61</f>
        <v>0.25063657407407408</v>
      </c>
      <c r="K61" s="3">
        <v>2.7523148148148147E-2</v>
      </c>
      <c r="L61" s="1">
        <v>3</v>
      </c>
      <c r="M61" s="1" t="s">
        <v>13</v>
      </c>
      <c r="N61" s="1">
        <v>2</v>
      </c>
      <c r="O61" s="1" t="s">
        <v>14</v>
      </c>
      <c r="Q61" s="1">
        <v>0.05</v>
      </c>
      <c r="R61" s="1">
        <v>0.15</v>
      </c>
      <c r="S61" s="1">
        <v>1</v>
      </c>
      <c r="V61" s="1">
        <v>0.373</v>
      </c>
      <c r="W61" s="1"/>
      <c r="X61" s="1"/>
      <c r="Y61" s="1"/>
    </row>
    <row r="62" spans="1:25" ht="19" customHeight="1" x14ac:dyDescent="0.2">
      <c r="A62" s="1">
        <v>2</v>
      </c>
      <c r="B62" s="1">
        <v>2.6</v>
      </c>
      <c r="C62" s="1">
        <v>2</v>
      </c>
      <c r="D62" s="1" t="s">
        <v>149</v>
      </c>
      <c r="F62" s="4">
        <v>45368</v>
      </c>
      <c r="G62" s="3">
        <f t="shared" si="3"/>
        <v>0.26609953703703704</v>
      </c>
      <c r="H62" s="3">
        <v>0.23355324074074074</v>
      </c>
      <c r="I62" s="3">
        <v>2.8483796296296295E-2</v>
      </c>
      <c r="J62" s="3">
        <f>I62+H62</f>
        <v>0.26203703703703701</v>
      </c>
      <c r="K62" s="3">
        <v>3.2546296296296295E-2</v>
      </c>
      <c r="L62" s="1">
        <v>2</v>
      </c>
      <c r="M62" s="1" t="s">
        <v>14</v>
      </c>
      <c r="N62" s="1">
        <v>2</v>
      </c>
      <c r="O62" s="1" t="s">
        <v>14</v>
      </c>
      <c r="Q62" s="1">
        <v>0.15</v>
      </c>
      <c r="R62" s="1">
        <v>0.15</v>
      </c>
      <c r="S62" s="1">
        <v>1</v>
      </c>
      <c r="U62" s="1" t="s">
        <v>199</v>
      </c>
      <c r="V62" s="1">
        <v>1.1180000000000001</v>
      </c>
      <c r="W62" s="1"/>
      <c r="X62" s="1"/>
      <c r="Y62" s="1"/>
    </row>
    <row r="63" spans="1:25" s="7" customFormat="1" x14ac:dyDescent="0.2">
      <c r="A63" s="1">
        <v>2</v>
      </c>
      <c r="B63" s="1">
        <v>2.6</v>
      </c>
      <c r="C63" s="1">
        <v>1</v>
      </c>
      <c r="D63" s="1" t="s">
        <v>155</v>
      </c>
      <c r="E63" s="1"/>
      <c r="F63" s="4">
        <v>45368</v>
      </c>
      <c r="G63" s="3">
        <v>0.77284722222222224</v>
      </c>
      <c r="H63" s="1" t="s">
        <v>27</v>
      </c>
      <c r="I63" s="3">
        <v>2.060185185185185E-2</v>
      </c>
      <c r="J63" s="1" t="s">
        <v>27</v>
      </c>
      <c r="K63" s="3">
        <v>2.5810185185185186E-2</v>
      </c>
      <c r="L63" s="1">
        <v>3</v>
      </c>
      <c r="M63" s="1" t="s">
        <v>14</v>
      </c>
      <c r="N63" s="1">
        <v>3</v>
      </c>
      <c r="O63" s="1" t="s">
        <v>14</v>
      </c>
      <c r="P63" s="1"/>
      <c r="Q63" s="1">
        <v>0.05</v>
      </c>
      <c r="R63" s="1">
        <v>0.05</v>
      </c>
      <c r="S63" s="1">
        <v>1</v>
      </c>
      <c r="T63" s="1"/>
      <c r="U63" s="1" t="s">
        <v>221</v>
      </c>
      <c r="V63" s="1">
        <v>0.57099999999999995</v>
      </c>
      <c r="W63" s="1"/>
      <c r="X63" s="1"/>
      <c r="Y63" s="1"/>
    </row>
    <row r="64" spans="1:25" s="7" customFormat="1" x14ac:dyDescent="0.2">
      <c r="A64" s="1">
        <v>2</v>
      </c>
      <c r="B64" s="1">
        <v>2.6</v>
      </c>
      <c r="C64" s="1">
        <v>2</v>
      </c>
      <c r="D64" s="1" t="s">
        <v>155</v>
      </c>
      <c r="E64" s="1"/>
      <c r="F64" s="4">
        <v>45368</v>
      </c>
      <c r="G64" s="3">
        <v>0.78359953703703711</v>
      </c>
      <c r="H64" s="1" t="s">
        <v>27</v>
      </c>
      <c r="I64" s="1" t="s">
        <v>27</v>
      </c>
      <c r="J64" s="1" t="s">
        <v>27</v>
      </c>
      <c r="K64" s="3">
        <v>3.6539351851851851E-2</v>
      </c>
      <c r="L64" s="1" t="s">
        <v>27</v>
      </c>
      <c r="M64" s="1" t="s">
        <v>27</v>
      </c>
      <c r="N64" s="1">
        <v>2</v>
      </c>
      <c r="O64" s="1" t="s">
        <v>13</v>
      </c>
      <c r="P64" s="1"/>
      <c r="Q64" s="1" t="s">
        <v>27</v>
      </c>
      <c r="R64" s="1">
        <v>0.15</v>
      </c>
      <c r="S64" s="1">
        <v>0</v>
      </c>
      <c r="T64" s="1"/>
      <c r="U64" s="1" t="s">
        <v>222</v>
      </c>
      <c r="V64" s="1">
        <v>1.208E-2</v>
      </c>
      <c r="W64" s="1"/>
      <c r="X64" s="1"/>
      <c r="Y64" s="1"/>
    </row>
    <row r="65" spans="1:25" x14ac:dyDescent="0.2">
      <c r="A65" s="1">
        <v>2</v>
      </c>
      <c r="B65" s="1">
        <v>2.6</v>
      </c>
      <c r="C65" s="1" t="s">
        <v>27</v>
      </c>
      <c r="D65" s="1" t="s">
        <v>175</v>
      </c>
      <c r="F65" s="4">
        <v>45369</v>
      </c>
      <c r="G65" s="1" t="s">
        <v>27</v>
      </c>
      <c r="H65" s="3">
        <v>0.7603240740740741</v>
      </c>
      <c r="I65" s="1" t="s">
        <v>27</v>
      </c>
      <c r="J65" s="1" t="s">
        <v>27</v>
      </c>
      <c r="K65" s="1" t="s">
        <v>27</v>
      </c>
      <c r="L65" s="1">
        <v>3</v>
      </c>
      <c r="M65" s="1" t="s">
        <v>13</v>
      </c>
      <c r="N65" s="1">
        <v>3</v>
      </c>
      <c r="O65" s="1" t="s">
        <v>13</v>
      </c>
      <c r="Q65" s="1">
        <v>0.05</v>
      </c>
      <c r="R65" s="1">
        <v>0.05</v>
      </c>
      <c r="S65" s="1" t="s">
        <v>27</v>
      </c>
      <c r="U65" s="1" t="s">
        <v>350</v>
      </c>
      <c r="V65" s="2" t="s">
        <v>27</v>
      </c>
    </row>
    <row r="66" spans="1:25" x14ac:dyDescent="0.2">
      <c r="A66" s="1">
        <v>2</v>
      </c>
      <c r="B66" s="1">
        <v>2.6</v>
      </c>
      <c r="C66" s="1">
        <v>1</v>
      </c>
      <c r="D66" s="1" t="s">
        <v>160</v>
      </c>
      <c r="F66" s="4">
        <v>45369</v>
      </c>
      <c r="G66" s="3">
        <f>H66 + K66</f>
        <v>0.25927083333333334</v>
      </c>
      <c r="H66" s="3">
        <v>0.23113425925925926</v>
      </c>
      <c r="I66" s="3">
        <v>5.7754629629629631E-3</v>
      </c>
      <c r="J66" s="3">
        <f>I66+H66</f>
        <v>0.23690972222222223</v>
      </c>
      <c r="K66" s="3">
        <v>2.8136574074074074E-2</v>
      </c>
      <c r="L66" s="1">
        <v>3</v>
      </c>
      <c r="M66" s="1" t="s">
        <v>13</v>
      </c>
      <c r="N66" s="1">
        <v>3</v>
      </c>
      <c r="O66" s="1" t="s">
        <v>14</v>
      </c>
      <c r="Q66" s="1">
        <v>0.05</v>
      </c>
      <c r="R66" s="1">
        <v>0.05</v>
      </c>
      <c r="S66" s="1">
        <v>1</v>
      </c>
      <c r="U66" s="1" t="s">
        <v>177</v>
      </c>
      <c r="V66" s="1">
        <v>8.8200000000000001E-2</v>
      </c>
      <c r="W66" s="1"/>
      <c r="X66" s="1"/>
      <c r="Y66" s="1"/>
    </row>
    <row r="67" spans="1:25" x14ac:dyDescent="0.2">
      <c r="A67" s="1">
        <v>2</v>
      </c>
      <c r="B67" s="1">
        <v>2.6</v>
      </c>
      <c r="C67" s="1">
        <v>1</v>
      </c>
      <c r="D67" s="1" t="s">
        <v>165</v>
      </c>
      <c r="F67" s="4">
        <v>45370</v>
      </c>
      <c r="G67" s="3">
        <f>H67 + K67</f>
        <v>0.2697222222222222</v>
      </c>
      <c r="H67" s="3">
        <v>0.22368055555555555</v>
      </c>
      <c r="I67" s="3">
        <v>2.8761574074074075E-2</v>
      </c>
      <c r="J67" s="3">
        <f>I67+H67</f>
        <v>0.25244212962962964</v>
      </c>
      <c r="K67" s="3">
        <v>4.6041666666666668E-2</v>
      </c>
      <c r="L67" s="1">
        <v>3</v>
      </c>
      <c r="M67" s="1" t="s">
        <v>13</v>
      </c>
      <c r="N67" s="1">
        <v>3</v>
      </c>
      <c r="O67" s="1" t="s">
        <v>14</v>
      </c>
      <c r="Q67" s="1">
        <v>0.05</v>
      </c>
      <c r="R67" s="1">
        <v>0.1</v>
      </c>
      <c r="S67" s="1">
        <v>1</v>
      </c>
      <c r="U67" s="1" t="s">
        <v>174</v>
      </c>
      <c r="V67" s="1">
        <v>1.069</v>
      </c>
      <c r="W67" s="1"/>
      <c r="X67" s="1"/>
      <c r="Y67" s="1"/>
    </row>
    <row r="68" spans="1:25" x14ac:dyDescent="0.2">
      <c r="A68" s="1">
        <v>2</v>
      </c>
      <c r="B68" s="1">
        <v>2.6</v>
      </c>
      <c r="C68" s="1">
        <v>1</v>
      </c>
      <c r="D68" s="1" t="s">
        <v>171</v>
      </c>
      <c r="F68" s="4">
        <v>45370</v>
      </c>
      <c r="G68" s="3">
        <f>H68 + K68</f>
        <v>0.77118055555555554</v>
      </c>
      <c r="H68" s="3">
        <v>0.76021990740740741</v>
      </c>
      <c r="I68" s="1" t="s">
        <v>27</v>
      </c>
      <c r="J68" s="1" t="s">
        <v>27</v>
      </c>
      <c r="K68" s="3">
        <v>1.0960648148148148E-2</v>
      </c>
      <c r="L68" s="1">
        <v>3</v>
      </c>
      <c r="M68" s="1" t="s">
        <v>14</v>
      </c>
      <c r="N68" s="1">
        <v>3</v>
      </c>
      <c r="O68" s="1" t="s">
        <v>13</v>
      </c>
      <c r="Q68" s="1">
        <v>0.05</v>
      </c>
      <c r="R68" s="1">
        <v>0.1</v>
      </c>
      <c r="S68" s="1">
        <v>0</v>
      </c>
      <c r="U68" s="1" t="s">
        <v>172</v>
      </c>
      <c r="V68" s="1">
        <v>0.67900000000000005</v>
      </c>
      <c r="W68" s="1"/>
      <c r="X68" s="1"/>
      <c r="Y68" s="1"/>
    </row>
    <row r="69" spans="1:25" x14ac:dyDescent="0.2">
      <c r="A69" s="1">
        <v>2</v>
      </c>
      <c r="B69" s="1">
        <v>2.6</v>
      </c>
      <c r="C69" s="1">
        <v>2</v>
      </c>
      <c r="D69" s="1" t="s">
        <v>171</v>
      </c>
      <c r="F69" s="4">
        <v>45370</v>
      </c>
      <c r="G69" s="3">
        <f>H68 + K69</f>
        <v>0.78053240740740737</v>
      </c>
      <c r="H69" s="3">
        <v>0.76021990740740741</v>
      </c>
      <c r="I69" s="3">
        <v>1.3645833333333333E-2</v>
      </c>
      <c r="J69" s="3">
        <f>$H69 + $I69</f>
        <v>0.77386574074074077</v>
      </c>
      <c r="K69" s="3">
        <v>2.0312500000000001E-2</v>
      </c>
      <c r="L69" s="1">
        <v>3</v>
      </c>
      <c r="M69" s="1" t="s">
        <v>13</v>
      </c>
      <c r="N69" s="1">
        <v>3</v>
      </c>
      <c r="O69" s="1" t="s">
        <v>13</v>
      </c>
      <c r="Q69" s="1">
        <v>0.1</v>
      </c>
      <c r="R69" s="1">
        <v>0.1</v>
      </c>
      <c r="S69" s="1">
        <v>0</v>
      </c>
      <c r="U69" s="1" t="s">
        <v>196</v>
      </c>
      <c r="V69" s="1">
        <v>4.8500000000000001E-2</v>
      </c>
      <c r="W69" s="1"/>
      <c r="X69" s="1"/>
      <c r="Y69" s="1"/>
    </row>
    <row r="70" spans="1:25" x14ac:dyDescent="0.2">
      <c r="A70" s="1">
        <v>2</v>
      </c>
      <c r="B70" s="1">
        <v>2.6</v>
      </c>
      <c r="C70" s="1" t="s">
        <v>27</v>
      </c>
      <c r="D70" s="1" t="s">
        <v>27</v>
      </c>
      <c r="F70" s="4">
        <v>45371</v>
      </c>
      <c r="G70" s="1" t="s">
        <v>27</v>
      </c>
      <c r="H70" s="1" t="s">
        <v>27</v>
      </c>
      <c r="I70" s="1" t="s">
        <v>27</v>
      </c>
      <c r="J70" s="1" t="s">
        <v>27</v>
      </c>
      <c r="K70" s="1" t="s">
        <v>27</v>
      </c>
      <c r="L70" s="1">
        <v>3</v>
      </c>
      <c r="M70" s="1" t="s">
        <v>13</v>
      </c>
      <c r="N70" s="1">
        <v>3</v>
      </c>
      <c r="O70" s="1" t="s">
        <v>13</v>
      </c>
      <c r="S70" s="1" t="s">
        <v>27</v>
      </c>
      <c r="U70" s="1" t="s">
        <v>204</v>
      </c>
      <c r="V70" s="1" t="s">
        <v>27</v>
      </c>
      <c r="W70" s="1"/>
      <c r="X70" s="1"/>
      <c r="Y70" s="1"/>
    </row>
    <row r="71" spans="1:25" x14ac:dyDescent="0.2">
      <c r="A71" s="1">
        <v>2</v>
      </c>
      <c r="B71" s="1">
        <v>2.6</v>
      </c>
      <c r="C71" s="1" t="s">
        <v>27</v>
      </c>
      <c r="D71" s="1" t="s">
        <v>27</v>
      </c>
      <c r="F71" s="4">
        <v>45371</v>
      </c>
      <c r="G71" s="1" t="s">
        <v>27</v>
      </c>
      <c r="H71" s="1" t="s">
        <v>27</v>
      </c>
      <c r="I71" s="1" t="s">
        <v>27</v>
      </c>
      <c r="J71" s="1" t="s">
        <v>27</v>
      </c>
      <c r="K71" s="1" t="s">
        <v>27</v>
      </c>
      <c r="L71" s="1">
        <v>3</v>
      </c>
      <c r="M71" s="1" t="s">
        <v>13</v>
      </c>
      <c r="N71" s="1">
        <v>3</v>
      </c>
      <c r="O71" s="1" t="s">
        <v>13</v>
      </c>
      <c r="S71" s="1" t="s">
        <v>27</v>
      </c>
      <c r="U71" s="1" t="s">
        <v>207</v>
      </c>
      <c r="V71" s="1" t="s">
        <v>27</v>
      </c>
      <c r="W71" s="1"/>
      <c r="X71" s="1"/>
      <c r="Y71" s="1"/>
    </row>
    <row r="72" spans="1:25" x14ac:dyDescent="0.2">
      <c r="A72" s="1">
        <v>2</v>
      </c>
      <c r="B72" s="1">
        <v>2.1</v>
      </c>
      <c r="C72" s="1">
        <v>1</v>
      </c>
      <c r="D72" s="1" t="s">
        <v>170</v>
      </c>
      <c r="F72" s="4">
        <v>45372</v>
      </c>
      <c r="G72" s="3">
        <f>H72 + K72</f>
        <v>0.27496527777777779</v>
      </c>
      <c r="H72" s="3">
        <v>0.22876157407407408</v>
      </c>
      <c r="I72" s="1" t="s">
        <v>27</v>
      </c>
      <c r="J72" s="1" t="s">
        <v>27</v>
      </c>
      <c r="K72" s="3">
        <v>4.6203703703703705E-2</v>
      </c>
      <c r="L72" s="1">
        <v>3</v>
      </c>
      <c r="M72" s="1" t="s">
        <v>13</v>
      </c>
      <c r="N72" s="1">
        <v>3</v>
      </c>
      <c r="O72" s="1" t="s">
        <v>14</v>
      </c>
      <c r="Q72" s="1">
        <v>0.05</v>
      </c>
      <c r="R72" s="1">
        <v>0.15</v>
      </c>
      <c r="S72" s="1">
        <v>1</v>
      </c>
      <c r="U72" s="1" t="s">
        <v>257</v>
      </c>
      <c r="V72" s="1">
        <v>6.28</v>
      </c>
      <c r="W72" s="1"/>
      <c r="X72" s="1"/>
      <c r="Y72" s="1"/>
    </row>
    <row r="73" spans="1:25" x14ac:dyDescent="0.2">
      <c r="A73" s="1">
        <v>2</v>
      </c>
      <c r="B73" s="1">
        <v>2.1</v>
      </c>
      <c r="C73" s="1">
        <v>1</v>
      </c>
      <c r="D73" s="1" t="s">
        <v>168</v>
      </c>
      <c r="F73" s="4">
        <v>45372</v>
      </c>
      <c r="G73" s="3">
        <f>H73 + K73</f>
        <v>0.77909722222222222</v>
      </c>
      <c r="H73" s="3">
        <v>0.76504629629629628</v>
      </c>
      <c r="I73" s="3">
        <v>3.4837962962962965E-3</v>
      </c>
      <c r="J73" s="3">
        <f>$H73 + $I73</f>
        <v>0.76853009259259253</v>
      </c>
      <c r="K73" s="3">
        <v>1.4050925925925927E-2</v>
      </c>
      <c r="L73" s="1">
        <v>3</v>
      </c>
      <c r="M73" s="1" t="s">
        <v>13</v>
      </c>
      <c r="N73" s="1">
        <v>3</v>
      </c>
      <c r="O73" s="1" t="s">
        <v>14</v>
      </c>
      <c r="Q73" s="1">
        <v>0.05</v>
      </c>
      <c r="R73" s="1">
        <v>0.05</v>
      </c>
      <c r="S73" s="1">
        <v>1</v>
      </c>
      <c r="U73" s="1" t="s">
        <v>376</v>
      </c>
      <c r="V73" s="2" t="s">
        <v>27</v>
      </c>
      <c r="W73" s="2" t="s">
        <v>385</v>
      </c>
      <c r="X73" s="1">
        <v>7.9299999999999995E-2</v>
      </c>
      <c r="Y73" s="1" t="s">
        <v>460</v>
      </c>
    </row>
    <row r="74" spans="1:25" x14ac:dyDescent="0.2">
      <c r="A74" s="1">
        <v>2</v>
      </c>
      <c r="B74" s="1">
        <v>2.1</v>
      </c>
      <c r="C74" s="1">
        <v>1</v>
      </c>
      <c r="D74" s="1" t="s">
        <v>166</v>
      </c>
      <c r="F74" s="4">
        <v>45373</v>
      </c>
      <c r="G74" s="3">
        <f>H74 + K74</f>
        <v>0.26319444444444445</v>
      </c>
      <c r="H74" s="3">
        <v>0.22357638888888889</v>
      </c>
      <c r="I74" s="3">
        <v>2.9131944444444443E-2</v>
      </c>
      <c r="J74" s="3">
        <f>$H74 + $I74</f>
        <v>0.25270833333333331</v>
      </c>
      <c r="K74" s="3">
        <v>3.9618055555555552E-2</v>
      </c>
      <c r="L74" s="1">
        <v>3</v>
      </c>
      <c r="M74" s="1" t="s">
        <v>14</v>
      </c>
      <c r="N74" s="1">
        <v>3</v>
      </c>
      <c r="O74" s="1" t="s">
        <v>13</v>
      </c>
      <c r="Q74" s="1">
        <v>0.05</v>
      </c>
      <c r="R74" s="1">
        <v>0.1</v>
      </c>
      <c r="S74" s="1">
        <v>0</v>
      </c>
      <c r="U74" s="1" t="s">
        <v>258</v>
      </c>
      <c r="V74" s="1">
        <v>1.0109999999999999</v>
      </c>
    </row>
    <row r="75" spans="1:25" x14ac:dyDescent="0.2">
      <c r="A75" s="1">
        <v>2</v>
      </c>
      <c r="B75" s="1">
        <v>2.1</v>
      </c>
      <c r="C75" s="1">
        <v>1</v>
      </c>
      <c r="D75" s="1" t="s">
        <v>197</v>
      </c>
      <c r="F75" s="4">
        <v>45373</v>
      </c>
      <c r="G75" s="3">
        <f>H75 + K75</f>
        <v>0.77481481481481485</v>
      </c>
      <c r="H75" s="3">
        <v>0.75550925925925927</v>
      </c>
      <c r="I75" s="3">
        <v>1.4583333333333334E-2</v>
      </c>
      <c r="J75" s="3">
        <f>$H75 + $I75</f>
        <v>0.77009259259259255</v>
      </c>
      <c r="K75" s="3">
        <v>1.9305555555555555E-2</v>
      </c>
      <c r="L75" s="1">
        <v>3</v>
      </c>
      <c r="M75" s="1" t="s">
        <v>13</v>
      </c>
      <c r="N75" s="1">
        <v>3</v>
      </c>
      <c r="O75" s="1" t="s">
        <v>14</v>
      </c>
      <c r="Q75" s="1">
        <v>0.05</v>
      </c>
      <c r="R75" s="1">
        <v>0.1</v>
      </c>
      <c r="S75" s="1">
        <v>0</v>
      </c>
      <c r="U75" s="1" t="s">
        <v>259</v>
      </c>
      <c r="V75" s="1">
        <v>0.39</v>
      </c>
    </row>
    <row r="76" spans="1:25" x14ac:dyDescent="0.2">
      <c r="A76" s="1">
        <v>2</v>
      </c>
      <c r="B76" s="1">
        <v>2.1</v>
      </c>
      <c r="C76" s="1">
        <v>1</v>
      </c>
      <c r="D76" s="1" t="s">
        <v>260</v>
      </c>
      <c r="F76" s="4">
        <v>45374</v>
      </c>
      <c r="G76" s="3">
        <f>H76 + K76</f>
        <v>0.2701041666666667</v>
      </c>
      <c r="H76" s="3">
        <v>0.24437500000000001</v>
      </c>
      <c r="I76" s="3">
        <v>3.1018518518518517E-3</v>
      </c>
      <c r="J76" s="3">
        <f>$H76 + $I76</f>
        <v>0.24747685185185186</v>
      </c>
      <c r="K76" s="3">
        <v>2.5729166666666668E-2</v>
      </c>
      <c r="L76" s="1">
        <v>3</v>
      </c>
      <c r="M76" s="1" t="s">
        <v>14</v>
      </c>
      <c r="N76" s="1">
        <v>3</v>
      </c>
      <c r="O76" s="1" t="s">
        <v>13</v>
      </c>
      <c r="Q76" s="1">
        <v>0.05</v>
      </c>
      <c r="R76" s="1">
        <v>0.15</v>
      </c>
      <c r="S76" s="1">
        <v>1</v>
      </c>
      <c r="V76" s="1">
        <v>2.67</v>
      </c>
    </row>
    <row r="77" spans="1:25" s="7" customFormat="1" x14ac:dyDescent="0.2">
      <c r="A77" s="1">
        <v>2</v>
      </c>
      <c r="B77" s="1">
        <v>2.1</v>
      </c>
      <c r="C77" s="1">
        <v>1</v>
      </c>
      <c r="D77" s="1" t="s">
        <v>224</v>
      </c>
      <c r="E77" s="1"/>
      <c r="F77" s="4">
        <v>45374</v>
      </c>
      <c r="G77" s="1" t="s">
        <v>27</v>
      </c>
      <c r="H77" s="3">
        <v>0.76011574074074073</v>
      </c>
      <c r="I77" s="1" t="s">
        <v>27</v>
      </c>
      <c r="J77" s="1" t="s">
        <v>27</v>
      </c>
      <c r="K77" s="1" t="s">
        <v>27</v>
      </c>
      <c r="L77" s="1">
        <v>3</v>
      </c>
      <c r="M77" s="1" t="s">
        <v>13</v>
      </c>
      <c r="N77" s="1">
        <v>3</v>
      </c>
      <c r="O77" s="1" t="s">
        <v>13</v>
      </c>
      <c r="P77" s="1"/>
      <c r="Q77" s="1">
        <v>0.05</v>
      </c>
      <c r="R77" s="1">
        <v>0.05</v>
      </c>
      <c r="S77" s="1" t="s">
        <v>27</v>
      </c>
      <c r="T77" s="1"/>
      <c r="U77" s="1" t="s">
        <v>66</v>
      </c>
      <c r="V77" s="2" t="s">
        <v>27</v>
      </c>
      <c r="W77" s="2"/>
      <c r="X77" s="2"/>
      <c r="Y77" s="2"/>
    </row>
    <row r="78" spans="1:25" s="7" customFormat="1" x14ac:dyDescent="0.2">
      <c r="A78" s="1">
        <v>2</v>
      </c>
      <c r="B78" s="1" t="s">
        <v>558</v>
      </c>
      <c r="C78" s="1">
        <v>1</v>
      </c>
      <c r="D78" s="1" t="s">
        <v>242</v>
      </c>
      <c r="E78" s="1"/>
      <c r="F78" s="4">
        <v>45375</v>
      </c>
      <c r="G78" s="3">
        <f>H78+K78</f>
        <v>0.25738425925925923</v>
      </c>
      <c r="H78" s="3">
        <v>0.23726851851851852</v>
      </c>
      <c r="I78" s="3">
        <v>7.3842592592592597E-3</v>
      </c>
      <c r="J78" s="3">
        <f t="shared" ref="J78:J83" si="5">$H78 + $I78</f>
        <v>0.24465277777777777</v>
      </c>
      <c r="K78" s="3">
        <v>2.011574074074074E-2</v>
      </c>
      <c r="L78" s="1">
        <v>3</v>
      </c>
      <c r="M78" s="1" t="s">
        <v>13</v>
      </c>
      <c r="N78" s="1">
        <v>3</v>
      </c>
      <c r="O78" s="1" t="s">
        <v>14</v>
      </c>
      <c r="P78" s="1"/>
      <c r="Q78" s="1">
        <v>0.05</v>
      </c>
      <c r="R78" s="1">
        <v>0.05</v>
      </c>
      <c r="S78" s="1">
        <v>0</v>
      </c>
      <c r="T78" s="1"/>
      <c r="U78" s="1" t="s">
        <v>243</v>
      </c>
      <c r="V78" s="7">
        <v>0.1409</v>
      </c>
      <c r="W78" s="2"/>
      <c r="X78" s="2"/>
      <c r="Y78" s="2"/>
    </row>
    <row r="79" spans="1:25" s="7" customFormat="1" x14ac:dyDescent="0.2">
      <c r="A79" s="1">
        <v>2</v>
      </c>
      <c r="B79" s="1" t="s">
        <v>558</v>
      </c>
      <c r="C79" s="1">
        <v>2</v>
      </c>
      <c r="D79" s="1" t="s">
        <v>242</v>
      </c>
      <c r="E79" s="1"/>
      <c r="F79" s="4">
        <v>45375</v>
      </c>
      <c r="G79" s="3">
        <f>H79+K79</f>
        <v>0.26746527777777779</v>
      </c>
      <c r="H79" s="3">
        <v>0.23726851851851852</v>
      </c>
      <c r="I79" s="3">
        <v>2.1782407407407407E-2</v>
      </c>
      <c r="J79" s="3">
        <f t="shared" si="5"/>
        <v>0.25905092592592593</v>
      </c>
      <c r="K79" s="3">
        <v>3.019675925925926E-2</v>
      </c>
      <c r="L79" s="1">
        <v>3</v>
      </c>
      <c r="M79" s="1" t="s">
        <v>14</v>
      </c>
      <c r="N79" s="1">
        <v>3</v>
      </c>
      <c r="O79" s="1" t="s">
        <v>14</v>
      </c>
      <c r="P79" s="1"/>
      <c r="Q79" s="1">
        <v>0.05</v>
      </c>
      <c r="R79" s="1">
        <v>0.05</v>
      </c>
      <c r="S79" s="1">
        <v>0</v>
      </c>
      <c r="T79" s="1"/>
      <c r="U79" s="1"/>
      <c r="V79" s="7">
        <v>0.23799999999999999</v>
      </c>
      <c r="W79" s="2"/>
      <c r="X79" s="2"/>
      <c r="Y79" s="2"/>
    </row>
    <row r="80" spans="1:25" x14ac:dyDescent="0.2">
      <c r="A80" s="1">
        <v>2</v>
      </c>
      <c r="B80" s="1" t="s">
        <v>558</v>
      </c>
      <c r="C80" s="1">
        <v>1</v>
      </c>
      <c r="D80" s="1" t="s">
        <v>244</v>
      </c>
      <c r="F80" s="4">
        <v>45375</v>
      </c>
      <c r="G80" s="3">
        <f>H80+K80</f>
        <v>0.77380787037037035</v>
      </c>
      <c r="H80" s="3">
        <v>0.74799768518518517</v>
      </c>
      <c r="I80" s="3">
        <v>1.6006944444444445E-2</v>
      </c>
      <c r="J80" s="3">
        <f t="shared" si="5"/>
        <v>0.76400462962962956</v>
      </c>
      <c r="K80" s="3">
        <v>2.5810185185185186E-2</v>
      </c>
      <c r="L80" s="1">
        <v>3</v>
      </c>
      <c r="M80" s="1" t="s">
        <v>14</v>
      </c>
      <c r="N80" s="1">
        <v>3</v>
      </c>
      <c r="O80" s="1" t="s">
        <v>13</v>
      </c>
      <c r="Q80" s="1">
        <v>0.05</v>
      </c>
      <c r="R80" s="1">
        <v>0.1</v>
      </c>
      <c r="S80" s="1">
        <v>1</v>
      </c>
      <c r="U80" s="1" t="s">
        <v>245</v>
      </c>
      <c r="V80" s="1">
        <v>0.52900000000000003</v>
      </c>
    </row>
    <row r="81" spans="1:25" x14ac:dyDescent="0.2">
      <c r="A81" s="1">
        <v>2</v>
      </c>
      <c r="B81" s="1" t="s">
        <v>558</v>
      </c>
      <c r="C81" s="1">
        <v>1</v>
      </c>
      <c r="D81" s="1" t="s">
        <v>228</v>
      </c>
      <c r="F81" s="4">
        <v>45376</v>
      </c>
      <c r="G81" s="3" t="s">
        <v>27</v>
      </c>
      <c r="H81" s="3">
        <v>0.23921296296296296</v>
      </c>
      <c r="I81" s="3">
        <v>1.4606481481481481E-2</v>
      </c>
      <c r="J81" s="3">
        <f t="shared" si="5"/>
        <v>0.25381944444444443</v>
      </c>
      <c r="K81" s="3" t="s">
        <v>27</v>
      </c>
      <c r="L81" s="1">
        <v>3</v>
      </c>
      <c r="M81" s="1" t="s">
        <v>13</v>
      </c>
      <c r="N81" s="1">
        <v>3</v>
      </c>
      <c r="O81" s="1" t="s">
        <v>13</v>
      </c>
      <c r="Q81" s="1">
        <v>0.05</v>
      </c>
      <c r="R81" s="1">
        <v>0.05</v>
      </c>
      <c r="S81" s="1" t="s">
        <v>27</v>
      </c>
      <c r="U81" s="1" t="s">
        <v>246</v>
      </c>
      <c r="V81" s="2" t="s">
        <v>27</v>
      </c>
    </row>
    <row r="82" spans="1:25" x14ac:dyDescent="0.2">
      <c r="A82" s="1">
        <v>2</v>
      </c>
      <c r="B82" s="1" t="s">
        <v>558</v>
      </c>
      <c r="C82" s="1">
        <v>1</v>
      </c>
      <c r="D82" s="1" t="s">
        <v>269</v>
      </c>
      <c r="F82" s="4">
        <v>45376</v>
      </c>
      <c r="G82" s="3">
        <f>H82+K82</f>
        <v>0.77660879629629631</v>
      </c>
      <c r="H82" s="3">
        <v>0.75146990740740738</v>
      </c>
      <c r="I82" s="3">
        <v>1.982638888888889E-2</v>
      </c>
      <c r="J82" s="3">
        <f t="shared" si="5"/>
        <v>0.77129629629629626</v>
      </c>
      <c r="K82" s="3">
        <v>2.5138888888888888E-2</v>
      </c>
      <c r="L82" s="1">
        <v>3</v>
      </c>
      <c r="M82" s="1" t="s">
        <v>13</v>
      </c>
      <c r="N82" s="1">
        <v>3</v>
      </c>
      <c r="O82" s="1" t="s">
        <v>14</v>
      </c>
      <c r="Q82" s="1">
        <v>0.05</v>
      </c>
      <c r="R82" s="1">
        <v>0.15</v>
      </c>
      <c r="S82" s="1">
        <v>0</v>
      </c>
      <c r="U82" s="1" t="s">
        <v>252</v>
      </c>
      <c r="V82" s="1">
        <v>0.28000000000000003</v>
      </c>
    </row>
    <row r="83" spans="1:25" x14ac:dyDescent="0.2">
      <c r="A83" s="1">
        <v>2</v>
      </c>
      <c r="B83" s="1" t="s">
        <v>558</v>
      </c>
      <c r="C83" s="1">
        <v>1</v>
      </c>
      <c r="D83" s="1" t="s">
        <v>231</v>
      </c>
      <c r="F83" s="4">
        <v>45377</v>
      </c>
      <c r="G83" s="3">
        <f>H83+K83</f>
        <v>0.25671296296296298</v>
      </c>
      <c r="H83" s="3">
        <v>0.24347222222222223</v>
      </c>
      <c r="I83" s="3">
        <v>5.0578703703703706E-3</v>
      </c>
      <c r="J83" s="3">
        <f t="shared" si="5"/>
        <v>0.24853009259259259</v>
      </c>
      <c r="K83" s="3">
        <v>1.324074074074074E-2</v>
      </c>
      <c r="L83" s="1">
        <v>3</v>
      </c>
      <c r="M83" s="1" t="s">
        <v>14</v>
      </c>
      <c r="N83" s="1">
        <v>3</v>
      </c>
      <c r="O83" s="1" t="s">
        <v>13</v>
      </c>
      <c r="Q83" s="1">
        <v>0.05</v>
      </c>
      <c r="R83" s="1">
        <v>0.05</v>
      </c>
      <c r="S83" s="1">
        <v>0</v>
      </c>
      <c r="V83" s="7">
        <v>0.20200000000000001</v>
      </c>
    </row>
    <row r="84" spans="1:25" x14ac:dyDescent="0.2">
      <c r="A84" s="1">
        <v>2</v>
      </c>
      <c r="B84" s="1" t="s">
        <v>558</v>
      </c>
      <c r="C84" s="1" t="s">
        <v>27</v>
      </c>
      <c r="D84" s="1" t="s">
        <v>27</v>
      </c>
      <c r="F84" s="4">
        <v>45377</v>
      </c>
      <c r="G84" s="6" t="s">
        <v>27</v>
      </c>
      <c r="H84" s="1" t="s">
        <v>27</v>
      </c>
      <c r="I84" s="1" t="s">
        <v>27</v>
      </c>
      <c r="J84" s="1" t="s">
        <v>27</v>
      </c>
      <c r="K84" s="6" t="s">
        <v>27</v>
      </c>
      <c r="L84" s="1">
        <v>3</v>
      </c>
      <c r="M84" s="1" t="s">
        <v>13</v>
      </c>
      <c r="N84" s="5" t="s">
        <v>226</v>
      </c>
      <c r="O84" s="1" t="s">
        <v>13</v>
      </c>
      <c r="Q84" s="1">
        <v>0.05</v>
      </c>
      <c r="R84" s="1">
        <v>0.05</v>
      </c>
      <c r="S84" s="1" t="s">
        <v>27</v>
      </c>
      <c r="U84" s="1" t="s">
        <v>250</v>
      </c>
      <c r="V84" s="1" t="s">
        <v>27</v>
      </c>
      <c r="W84" s="1"/>
      <c r="X84" s="1"/>
      <c r="Y84" s="1"/>
    </row>
    <row r="85" spans="1:25" x14ac:dyDescent="0.2">
      <c r="A85" s="1">
        <v>2</v>
      </c>
      <c r="B85" s="1" t="s">
        <v>558</v>
      </c>
      <c r="C85" s="1">
        <v>1</v>
      </c>
      <c r="D85" s="1" t="s">
        <v>234</v>
      </c>
      <c r="F85" s="4">
        <v>45378</v>
      </c>
      <c r="G85" s="3">
        <f>H85+K85</f>
        <v>0.26596064814814813</v>
      </c>
      <c r="H85" s="3">
        <v>0.23434027777777777</v>
      </c>
      <c r="I85" s="3">
        <v>1.894675925925926E-2</v>
      </c>
      <c r="J85" s="3">
        <f>$H85 + $I85</f>
        <v>0.25328703703703703</v>
      </c>
      <c r="K85" s="3">
        <v>3.1620370370370368E-2</v>
      </c>
      <c r="L85" s="1">
        <v>3</v>
      </c>
      <c r="M85" s="1" t="s">
        <v>13</v>
      </c>
      <c r="N85" s="1">
        <v>3</v>
      </c>
      <c r="O85" s="1" t="s">
        <v>14</v>
      </c>
      <c r="Q85" s="1">
        <v>0.05</v>
      </c>
      <c r="R85" s="1">
        <v>0.1</v>
      </c>
      <c r="S85" s="1">
        <v>0</v>
      </c>
      <c r="U85" s="1" t="s">
        <v>247</v>
      </c>
      <c r="V85" s="7">
        <v>2.2799999999999998</v>
      </c>
      <c r="W85" s="7" t="s">
        <v>379</v>
      </c>
    </row>
    <row r="86" spans="1:25" x14ac:dyDescent="0.2">
      <c r="A86" s="1">
        <v>2</v>
      </c>
      <c r="B86" s="1" t="s">
        <v>558</v>
      </c>
      <c r="C86" s="1" t="s">
        <v>27</v>
      </c>
      <c r="D86" s="1" t="s">
        <v>237</v>
      </c>
      <c r="F86" s="4">
        <v>45378</v>
      </c>
      <c r="G86" s="1" t="s">
        <v>27</v>
      </c>
      <c r="H86" s="3">
        <v>0.75026620370370367</v>
      </c>
      <c r="I86" s="1" t="s">
        <v>27</v>
      </c>
      <c r="J86" s="1" t="s">
        <v>27</v>
      </c>
      <c r="K86" s="1" t="s">
        <v>27</v>
      </c>
      <c r="L86" s="1">
        <v>3</v>
      </c>
      <c r="M86" s="1" t="s">
        <v>14</v>
      </c>
      <c r="N86" s="1">
        <v>3</v>
      </c>
      <c r="O86" s="1" t="s">
        <v>14</v>
      </c>
      <c r="Q86" s="15">
        <v>0.05</v>
      </c>
      <c r="R86" s="15">
        <v>0.05</v>
      </c>
      <c r="S86" s="1" t="s">
        <v>27</v>
      </c>
      <c r="U86" s="1" t="s">
        <v>66</v>
      </c>
      <c r="V86" s="2" t="s">
        <v>27</v>
      </c>
    </row>
    <row r="87" spans="1:25" x14ac:dyDescent="0.2">
      <c r="A87" s="1">
        <v>2</v>
      </c>
      <c r="B87" s="1" t="s">
        <v>558</v>
      </c>
      <c r="C87" s="1">
        <v>1</v>
      </c>
      <c r="D87" s="1" t="s">
        <v>248</v>
      </c>
      <c r="F87" s="4">
        <v>45379</v>
      </c>
      <c r="G87" s="3">
        <f>H87 + K87</f>
        <v>0.26277777777777778</v>
      </c>
      <c r="H87" s="3">
        <v>0.23554398148148148</v>
      </c>
      <c r="I87" s="3">
        <v>1.4687499999999999E-2</v>
      </c>
      <c r="J87" s="3">
        <f>$H87 + $I87</f>
        <v>0.2502314814814815</v>
      </c>
      <c r="K87" s="3">
        <v>2.7233796296296298E-2</v>
      </c>
      <c r="L87" s="1">
        <v>3</v>
      </c>
      <c r="M87" s="1" t="s">
        <v>14</v>
      </c>
      <c r="N87" s="1">
        <v>3</v>
      </c>
      <c r="O87" s="1" t="s">
        <v>13</v>
      </c>
      <c r="Q87" s="1">
        <v>0.05</v>
      </c>
      <c r="R87" s="1">
        <v>0.15</v>
      </c>
      <c r="S87" s="1">
        <v>0</v>
      </c>
      <c r="U87" s="1" t="s">
        <v>380</v>
      </c>
      <c r="V87" s="7">
        <v>1.2869999999999999</v>
      </c>
      <c r="W87" s="1" t="s">
        <v>440</v>
      </c>
    </row>
    <row r="88" spans="1:25" x14ac:dyDescent="0.2">
      <c r="A88" s="1">
        <v>2</v>
      </c>
      <c r="B88" s="1" t="s">
        <v>558</v>
      </c>
      <c r="C88" s="1">
        <v>1</v>
      </c>
      <c r="D88" s="1" t="s">
        <v>249</v>
      </c>
      <c r="F88" s="4">
        <v>45379</v>
      </c>
      <c r="G88" s="1" t="s">
        <v>27</v>
      </c>
      <c r="H88" s="3">
        <v>0.75245370370370368</v>
      </c>
      <c r="I88" s="1" t="s">
        <v>27</v>
      </c>
      <c r="J88" s="1" t="s">
        <v>27</v>
      </c>
      <c r="K88" s="1" t="s">
        <v>27</v>
      </c>
      <c r="L88" s="1">
        <v>3</v>
      </c>
      <c r="M88" s="1" t="s">
        <v>13</v>
      </c>
      <c r="N88" s="1">
        <v>3</v>
      </c>
      <c r="O88" s="1" t="s">
        <v>13</v>
      </c>
      <c r="Q88" s="1">
        <v>0.05</v>
      </c>
      <c r="R88" s="1">
        <v>0.05</v>
      </c>
      <c r="S88" s="1" t="s">
        <v>27</v>
      </c>
      <c r="U88" s="1" t="s">
        <v>66</v>
      </c>
      <c r="V88" s="2" t="s">
        <v>27</v>
      </c>
    </row>
    <row r="89" spans="1:25" x14ac:dyDescent="0.2">
      <c r="A89" s="1">
        <v>2</v>
      </c>
      <c r="B89" s="1" t="s">
        <v>558</v>
      </c>
      <c r="C89" s="1">
        <v>1</v>
      </c>
      <c r="D89" s="1" t="s">
        <v>251</v>
      </c>
      <c r="F89" s="4">
        <v>45380</v>
      </c>
      <c r="G89" s="3">
        <f>H89 + K89</f>
        <v>0.26237268518518519</v>
      </c>
      <c r="H89" s="3">
        <v>0.23149305555555555</v>
      </c>
      <c r="I89" s="3">
        <v>2.0196759259259258E-2</v>
      </c>
      <c r="J89" s="3">
        <f>$H89 + $I89</f>
        <v>0.25168981481481478</v>
      </c>
      <c r="K89" s="3">
        <v>3.0879629629629628E-2</v>
      </c>
      <c r="L89" s="1">
        <v>3</v>
      </c>
      <c r="M89" s="1" t="s">
        <v>13</v>
      </c>
      <c r="N89" s="1">
        <v>3</v>
      </c>
      <c r="O89" s="1" t="s">
        <v>14</v>
      </c>
      <c r="Q89" s="1">
        <v>0.05</v>
      </c>
      <c r="R89" s="1">
        <v>0.05</v>
      </c>
      <c r="S89" s="1">
        <v>1</v>
      </c>
      <c r="U89" s="1" t="s">
        <v>314</v>
      </c>
      <c r="V89" s="7">
        <v>0.83099999999999996</v>
      </c>
      <c r="W89" s="1" t="s">
        <v>381</v>
      </c>
    </row>
    <row r="90" spans="1:25" x14ac:dyDescent="0.2">
      <c r="A90" s="1">
        <v>2</v>
      </c>
      <c r="B90" s="1" t="s">
        <v>558</v>
      </c>
      <c r="C90" s="1" t="s">
        <v>27</v>
      </c>
      <c r="D90" s="1" t="s">
        <v>253</v>
      </c>
      <c r="F90" s="4">
        <v>45380</v>
      </c>
      <c r="G90" s="1" t="s">
        <v>27</v>
      </c>
      <c r="H90" s="3">
        <v>0.75767361111111109</v>
      </c>
      <c r="I90" s="1" t="s">
        <v>27</v>
      </c>
      <c r="J90" s="1" t="s">
        <v>27</v>
      </c>
      <c r="K90" s="1" t="s">
        <v>27</v>
      </c>
      <c r="L90" s="1">
        <v>3</v>
      </c>
      <c r="M90" s="1" t="s">
        <v>14</v>
      </c>
      <c r="N90" s="1">
        <v>3</v>
      </c>
      <c r="O90" s="1" t="s">
        <v>14</v>
      </c>
      <c r="Q90" s="1">
        <v>0.05</v>
      </c>
      <c r="R90" s="1">
        <v>0.05</v>
      </c>
      <c r="S90" s="1" t="s">
        <v>27</v>
      </c>
      <c r="U90" s="1" t="s">
        <v>66</v>
      </c>
      <c r="V90" s="2" t="s">
        <v>27</v>
      </c>
    </row>
    <row r="91" spans="1:25" x14ac:dyDescent="0.2">
      <c r="A91" s="1">
        <v>2</v>
      </c>
      <c r="B91" s="1" t="s">
        <v>558</v>
      </c>
      <c r="C91" s="1">
        <v>1</v>
      </c>
      <c r="D91" s="1" t="s">
        <v>256</v>
      </c>
      <c r="F91" s="4">
        <v>45381</v>
      </c>
      <c r="G91" s="1" t="s">
        <v>27</v>
      </c>
      <c r="H91" s="3">
        <v>0.75543981481481481</v>
      </c>
      <c r="I91" s="3">
        <v>1.2407407407407407E-2</v>
      </c>
      <c r="J91" s="3">
        <f>$H91 + $I91</f>
        <v>0.76784722222222224</v>
      </c>
      <c r="K91" s="1" t="s">
        <v>27</v>
      </c>
      <c r="L91" s="1">
        <v>3</v>
      </c>
      <c r="M91" s="1" t="s">
        <v>13</v>
      </c>
      <c r="N91" s="1">
        <v>3</v>
      </c>
      <c r="O91" s="1" t="s">
        <v>13</v>
      </c>
      <c r="Q91" s="1">
        <v>0.05</v>
      </c>
      <c r="R91" s="1">
        <v>0.05</v>
      </c>
      <c r="S91" s="1" t="s">
        <v>27</v>
      </c>
      <c r="U91" s="1" t="s">
        <v>315</v>
      </c>
      <c r="V91" s="2" t="s">
        <v>27</v>
      </c>
    </row>
    <row r="92" spans="1:25" x14ac:dyDescent="0.2">
      <c r="A92" s="1">
        <v>2</v>
      </c>
      <c r="B92" s="1" t="s">
        <v>558</v>
      </c>
      <c r="C92" s="1">
        <v>1</v>
      </c>
      <c r="D92" s="1" t="s">
        <v>316</v>
      </c>
      <c r="F92" s="4">
        <v>45381</v>
      </c>
      <c r="G92" s="3">
        <f>H92 + K92</f>
        <v>0.26086805555555553</v>
      </c>
      <c r="H92" s="3">
        <v>0.23541666666666666</v>
      </c>
      <c r="I92" s="3">
        <v>1.5752314814814816E-2</v>
      </c>
      <c r="J92" s="3">
        <f>$H92 + $I92</f>
        <v>0.25116898148148148</v>
      </c>
      <c r="K92" s="3">
        <v>2.5451388888888888E-2</v>
      </c>
      <c r="L92" s="1">
        <v>3</v>
      </c>
      <c r="M92" s="1" t="s">
        <v>14</v>
      </c>
      <c r="N92" s="1">
        <v>3</v>
      </c>
      <c r="O92" s="1" t="s">
        <v>13</v>
      </c>
      <c r="Q92" s="1">
        <v>0.05</v>
      </c>
      <c r="R92" s="1">
        <v>0.1</v>
      </c>
      <c r="S92" s="1">
        <v>0</v>
      </c>
      <c r="V92" s="7">
        <v>3.05</v>
      </c>
      <c r="W92" s="1" t="s">
        <v>441</v>
      </c>
      <c r="X92" s="7">
        <f xml:space="preserve"> (V92 *(1.004*10^-6)) / (1.081*10^-5)</f>
        <v>0.28327474560592047</v>
      </c>
    </row>
    <row r="93" spans="1:25" x14ac:dyDescent="0.2">
      <c r="A93" s="1">
        <v>2</v>
      </c>
      <c r="B93" s="1" t="s">
        <v>558</v>
      </c>
      <c r="C93" s="1" t="s">
        <v>27</v>
      </c>
      <c r="D93" s="1" t="s">
        <v>27</v>
      </c>
      <c r="F93" s="4">
        <v>45382</v>
      </c>
      <c r="G93" s="6" t="s">
        <v>27</v>
      </c>
      <c r="H93" s="1" t="s">
        <v>27</v>
      </c>
      <c r="I93" s="1" t="s">
        <v>27</v>
      </c>
      <c r="J93" s="1" t="s">
        <v>27</v>
      </c>
      <c r="K93" s="6" t="s">
        <v>27</v>
      </c>
      <c r="L93" s="1">
        <v>3</v>
      </c>
      <c r="M93" s="1" t="s">
        <v>14</v>
      </c>
      <c r="N93" s="1">
        <v>3</v>
      </c>
      <c r="O93" s="1" t="s">
        <v>14</v>
      </c>
      <c r="Q93" s="1">
        <v>0.05</v>
      </c>
      <c r="R93" s="1">
        <v>0.05</v>
      </c>
      <c r="S93" s="1" t="s">
        <v>27</v>
      </c>
      <c r="U93" s="1" t="s">
        <v>304</v>
      </c>
      <c r="V93" s="1" t="s">
        <v>27</v>
      </c>
      <c r="W93" s="1"/>
      <c r="X93" s="1"/>
      <c r="Y93" s="1"/>
    </row>
    <row r="94" spans="1:25" x14ac:dyDescent="0.2">
      <c r="A94" s="1">
        <v>2</v>
      </c>
      <c r="B94" s="1" t="s">
        <v>558</v>
      </c>
      <c r="C94" s="1">
        <v>1</v>
      </c>
      <c r="D94" s="1" t="s">
        <v>298</v>
      </c>
      <c r="F94" s="4">
        <v>45382</v>
      </c>
      <c r="G94" s="3">
        <f>H94 + K94</f>
        <v>0.77803240740740742</v>
      </c>
      <c r="H94" s="3">
        <v>0.75112268518518521</v>
      </c>
      <c r="I94" s="3">
        <v>2.2812499999999999E-2</v>
      </c>
      <c r="J94" s="3">
        <f>$H94 + $I94</f>
        <v>0.77393518518518523</v>
      </c>
      <c r="K94" s="3">
        <v>2.6909722222222224E-2</v>
      </c>
      <c r="L94" s="1">
        <v>3</v>
      </c>
      <c r="M94" s="1" t="s">
        <v>13</v>
      </c>
      <c r="N94" s="1">
        <v>3</v>
      </c>
      <c r="O94" s="1" t="s">
        <v>14</v>
      </c>
      <c r="Q94" s="1">
        <v>0.05</v>
      </c>
      <c r="R94" s="1">
        <v>0.15</v>
      </c>
      <c r="S94" s="1">
        <v>0</v>
      </c>
      <c r="U94" s="1" t="s">
        <v>318</v>
      </c>
      <c r="V94" s="7">
        <v>0.71299999999999997</v>
      </c>
      <c r="W94" s="1" t="s">
        <v>459</v>
      </c>
      <c r="X94" s="7">
        <f xml:space="preserve"> (V94 *(1.004*10^-6)) / (1.081*10^-5)</f>
        <v>6.6221276595744685E-2</v>
      </c>
    </row>
    <row r="95" spans="1:25" x14ac:dyDescent="0.2">
      <c r="A95" s="1">
        <v>2</v>
      </c>
      <c r="B95" s="1" t="s">
        <v>558</v>
      </c>
      <c r="C95" s="1">
        <v>1</v>
      </c>
      <c r="D95" s="1" t="s">
        <v>282</v>
      </c>
      <c r="F95" s="4">
        <v>45383</v>
      </c>
      <c r="G95" s="3">
        <f>H95 + K95</f>
        <v>0.27090277777777777</v>
      </c>
      <c r="H95" s="3">
        <v>0.23082175925925927</v>
      </c>
      <c r="I95" s="3">
        <v>1.5821759259259258E-2</v>
      </c>
      <c r="J95" s="3">
        <f>$H95 + $I95</f>
        <v>0.24664351851851851</v>
      </c>
      <c r="K95" s="3">
        <v>4.0081018518518516E-2</v>
      </c>
      <c r="L95" s="1">
        <v>3</v>
      </c>
      <c r="M95" s="1" t="s">
        <v>14</v>
      </c>
      <c r="N95" s="1">
        <v>3</v>
      </c>
      <c r="O95" s="1" t="s">
        <v>13</v>
      </c>
      <c r="Q95" s="1">
        <v>0.05</v>
      </c>
      <c r="R95" s="1">
        <v>0.05</v>
      </c>
      <c r="S95" s="1">
        <v>1</v>
      </c>
      <c r="V95" s="7">
        <v>22.2</v>
      </c>
      <c r="W95" s="1" t="s">
        <v>386</v>
      </c>
      <c r="X95" s="7">
        <f xml:space="preserve"> (V95 *(1.004*10^-6)) / (1.081*10^-5)</f>
        <v>2.0618686401480111</v>
      </c>
    </row>
    <row r="96" spans="1:25" x14ac:dyDescent="0.2">
      <c r="A96" s="1">
        <v>2</v>
      </c>
      <c r="B96" s="1" t="s">
        <v>558</v>
      </c>
      <c r="C96" s="1" t="s">
        <v>27</v>
      </c>
      <c r="D96" s="1" t="s">
        <v>27</v>
      </c>
      <c r="F96" s="4">
        <v>45383</v>
      </c>
      <c r="G96" s="1" t="s">
        <v>27</v>
      </c>
      <c r="H96" s="1" t="s">
        <v>27</v>
      </c>
      <c r="I96" s="1" t="s">
        <v>27</v>
      </c>
      <c r="J96" s="1" t="s">
        <v>27</v>
      </c>
      <c r="K96" s="1" t="s">
        <v>27</v>
      </c>
      <c r="L96" s="1">
        <v>3</v>
      </c>
      <c r="N96" s="1">
        <v>3</v>
      </c>
      <c r="S96" s="1" t="s">
        <v>27</v>
      </c>
      <c r="U96" s="1" t="s">
        <v>341</v>
      </c>
      <c r="V96" s="2" t="s">
        <v>27</v>
      </c>
    </row>
    <row r="97" spans="1:25" x14ac:dyDescent="0.2">
      <c r="A97" s="1">
        <v>2</v>
      </c>
      <c r="B97" s="1" t="s">
        <v>558</v>
      </c>
      <c r="C97" s="1" t="s">
        <v>27</v>
      </c>
      <c r="D97" s="1" t="s">
        <v>27</v>
      </c>
      <c r="F97" s="4">
        <v>45384</v>
      </c>
      <c r="G97" s="1" t="s">
        <v>27</v>
      </c>
      <c r="H97" s="1" t="s">
        <v>27</v>
      </c>
      <c r="I97" s="1" t="s">
        <v>27</v>
      </c>
      <c r="J97" s="1" t="s">
        <v>27</v>
      </c>
      <c r="K97" s="1" t="s">
        <v>27</v>
      </c>
      <c r="L97" s="1">
        <v>3</v>
      </c>
      <c r="N97" s="1">
        <v>3</v>
      </c>
      <c r="S97" s="1" t="s">
        <v>27</v>
      </c>
      <c r="U97" s="1" t="s">
        <v>340</v>
      </c>
      <c r="V97" s="2" t="s">
        <v>27</v>
      </c>
    </row>
    <row r="98" spans="1:25" x14ac:dyDescent="0.2">
      <c r="A98" s="1">
        <v>2</v>
      </c>
      <c r="B98" s="1" t="s">
        <v>558</v>
      </c>
      <c r="C98" s="1" t="s">
        <v>27</v>
      </c>
      <c r="D98" s="1" t="s">
        <v>27</v>
      </c>
      <c r="F98" s="4">
        <v>45384</v>
      </c>
      <c r="G98" s="1" t="s">
        <v>27</v>
      </c>
      <c r="H98" s="1" t="s">
        <v>27</v>
      </c>
      <c r="I98" s="1" t="s">
        <v>27</v>
      </c>
      <c r="J98" s="1" t="s">
        <v>27</v>
      </c>
      <c r="K98" s="1" t="s">
        <v>27</v>
      </c>
      <c r="L98" s="1">
        <v>3</v>
      </c>
      <c r="N98" s="1">
        <v>3</v>
      </c>
      <c r="S98" s="1" t="s">
        <v>27</v>
      </c>
      <c r="U98" s="1" t="s">
        <v>390</v>
      </c>
      <c r="V98" s="2" t="s">
        <v>27</v>
      </c>
    </row>
    <row r="99" spans="1:25" x14ac:dyDescent="0.2">
      <c r="A99" s="1">
        <v>2</v>
      </c>
      <c r="B99" s="1" t="s">
        <v>558</v>
      </c>
      <c r="C99" s="1" t="s">
        <v>27</v>
      </c>
      <c r="D99" s="1" t="s">
        <v>27</v>
      </c>
      <c r="F99" s="4">
        <v>45385</v>
      </c>
      <c r="G99" s="1" t="s">
        <v>27</v>
      </c>
      <c r="H99" s="1" t="s">
        <v>27</v>
      </c>
      <c r="I99" s="1" t="s">
        <v>27</v>
      </c>
      <c r="J99" s="1" t="s">
        <v>27</v>
      </c>
      <c r="K99" s="1" t="s">
        <v>27</v>
      </c>
      <c r="L99" s="1">
        <v>3</v>
      </c>
      <c r="N99" s="1">
        <v>3</v>
      </c>
      <c r="S99" s="1" t="s">
        <v>27</v>
      </c>
      <c r="V99" s="2" t="s">
        <v>27</v>
      </c>
    </row>
    <row r="100" spans="1:25" x14ac:dyDescent="0.2">
      <c r="A100" s="1">
        <v>2</v>
      </c>
      <c r="B100" s="1" t="s">
        <v>558</v>
      </c>
      <c r="C100" s="1">
        <v>1</v>
      </c>
      <c r="D100" s="1" t="s">
        <v>293</v>
      </c>
      <c r="F100" s="4">
        <v>45385</v>
      </c>
      <c r="G100" s="3">
        <f>H100 + K100</f>
        <v>0.78233796296296299</v>
      </c>
      <c r="H100" s="3">
        <v>0.75766203703703705</v>
      </c>
      <c r="I100" s="3">
        <v>8.0439814814814818E-3</v>
      </c>
      <c r="J100" s="3">
        <f>$H100 + $I100</f>
        <v>0.76570601851851849</v>
      </c>
      <c r="K100" s="3">
        <v>2.4675925925925928E-2</v>
      </c>
      <c r="L100" s="1">
        <v>3</v>
      </c>
      <c r="M100" s="1" t="s">
        <v>13</v>
      </c>
      <c r="N100" s="1">
        <v>3</v>
      </c>
      <c r="O100" s="1" t="s">
        <v>14</v>
      </c>
      <c r="Q100" s="1">
        <v>0.05</v>
      </c>
      <c r="R100" s="1">
        <v>0.05</v>
      </c>
      <c r="S100" s="1">
        <v>0</v>
      </c>
      <c r="U100" s="1" t="s">
        <v>370</v>
      </c>
      <c r="V100" s="2" t="s">
        <v>27</v>
      </c>
      <c r="W100" s="1" t="s">
        <v>367</v>
      </c>
      <c r="X100" s="21">
        <f xml:space="preserve"> (0.1331*(1.004*10^-6)) / (1.081*10^-5)</f>
        <v>1.2361924144310825E-2</v>
      </c>
      <c r="Y100" s="1" t="s">
        <v>458</v>
      </c>
    </row>
    <row r="101" spans="1:25" x14ac:dyDescent="0.2">
      <c r="A101" s="1">
        <v>2</v>
      </c>
      <c r="B101" s="1" t="s">
        <v>558</v>
      </c>
      <c r="C101" s="1" t="s">
        <v>27</v>
      </c>
      <c r="D101" s="1" t="s">
        <v>27</v>
      </c>
      <c r="F101" s="4">
        <v>45386</v>
      </c>
      <c r="G101" s="3" t="s">
        <v>27</v>
      </c>
      <c r="H101" s="1" t="s">
        <v>27</v>
      </c>
      <c r="I101" s="1" t="s">
        <v>27</v>
      </c>
      <c r="J101" s="1" t="s">
        <v>27</v>
      </c>
      <c r="K101" s="3" t="s">
        <v>27</v>
      </c>
      <c r="L101" s="1">
        <v>3</v>
      </c>
      <c r="N101" s="1">
        <v>3</v>
      </c>
      <c r="S101" s="1" t="s">
        <v>27</v>
      </c>
      <c r="U101" s="1" t="s">
        <v>389</v>
      </c>
      <c r="V101" s="2" t="s">
        <v>27</v>
      </c>
    </row>
    <row r="102" spans="1:25" x14ac:dyDescent="0.2">
      <c r="A102" s="1">
        <v>2</v>
      </c>
      <c r="B102" s="1" t="s">
        <v>558</v>
      </c>
      <c r="C102" s="1">
        <v>1</v>
      </c>
      <c r="D102" s="1" t="s">
        <v>802</v>
      </c>
      <c r="F102" s="4">
        <v>45386</v>
      </c>
      <c r="G102" s="3">
        <f>H102 + K102</f>
        <v>0.78053240740740737</v>
      </c>
      <c r="H102" s="3">
        <v>0.75304398148148144</v>
      </c>
      <c r="I102" s="3">
        <v>1.7546296296296296E-2</v>
      </c>
      <c r="J102" s="3">
        <f>$H102 + $I102</f>
        <v>0.77059027777777778</v>
      </c>
      <c r="K102" s="3">
        <v>2.7488425925925927E-2</v>
      </c>
      <c r="L102" s="1">
        <v>3</v>
      </c>
      <c r="M102" s="1" t="s">
        <v>14</v>
      </c>
      <c r="N102" s="1">
        <v>3</v>
      </c>
      <c r="O102" s="1" t="s">
        <v>13</v>
      </c>
      <c r="Q102" s="1">
        <v>0.05</v>
      </c>
      <c r="R102" s="1">
        <v>0.1</v>
      </c>
      <c r="S102" s="1">
        <v>0</v>
      </c>
      <c r="U102" s="1" t="s">
        <v>310</v>
      </c>
      <c r="V102" s="7">
        <v>0.25800000000000001</v>
      </c>
      <c r="W102" s="7" t="s">
        <v>384</v>
      </c>
      <c r="X102" s="7">
        <f xml:space="preserve"> (V102 *(1.004*10^-6)) / (1.081*10^-5)</f>
        <v>2.3962257169287699E-2</v>
      </c>
    </row>
    <row r="103" spans="1:25" x14ac:dyDescent="0.2">
      <c r="A103" s="1">
        <v>2</v>
      </c>
      <c r="B103" s="1" t="s">
        <v>558</v>
      </c>
      <c r="C103" s="1" t="s">
        <v>27</v>
      </c>
      <c r="D103" s="1" t="s">
        <v>27</v>
      </c>
      <c r="F103" s="4">
        <v>45387</v>
      </c>
      <c r="G103" s="1" t="s">
        <v>27</v>
      </c>
      <c r="H103" s="1" t="s">
        <v>27</v>
      </c>
      <c r="I103" s="1" t="s">
        <v>27</v>
      </c>
      <c r="J103" s="1" t="s">
        <v>27</v>
      </c>
      <c r="K103" s="1" t="s">
        <v>27</v>
      </c>
      <c r="Q103" s="1">
        <v>0.1</v>
      </c>
      <c r="R103" s="1">
        <v>0.1</v>
      </c>
      <c r="S103" s="1" t="s">
        <v>27</v>
      </c>
      <c r="U103" s="1" t="s">
        <v>375</v>
      </c>
      <c r="V103" s="2" t="s">
        <v>27</v>
      </c>
      <c r="W103" s="2" t="s">
        <v>27</v>
      </c>
      <c r="X103" s="2" t="s">
        <v>27</v>
      </c>
      <c r="Y103" s="2" t="s">
        <v>27</v>
      </c>
    </row>
    <row r="104" spans="1:25" x14ac:dyDescent="0.2">
      <c r="A104" s="1">
        <v>2</v>
      </c>
      <c r="B104" s="1" t="s">
        <v>558</v>
      </c>
      <c r="C104" s="1">
        <v>1</v>
      </c>
      <c r="D104" s="1" t="s">
        <v>305</v>
      </c>
      <c r="F104" s="4">
        <v>45387</v>
      </c>
      <c r="G104" s="3">
        <f>H104 + K104</f>
        <v>0.7795023148148148</v>
      </c>
      <c r="H104" s="3">
        <v>0.75329861111111107</v>
      </c>
      <c r="I104" s="3">
        <v>1.7372685185185185E-2</v>
      </c>
      <c r="J104" s="3">
        <f>$H104 + $I104</f>
        <v>0.77067129629629627</v>
      </c>
      <c r="K104" s="3">
        <v>2.6203703703703705E-2</v>
      </c>
      <c r="L104" s="1">
        <v>3</v>
      </c>
      <c r="M104" s="1" t="s">
        <v>13</v>
      </c>
      <c r="N104" s="1">
        <v>3</v>
      </c>
      <c r="O104" s="1" t="s">
        <v>14</v>
      </c>
      <c r="Q104" s="1">
        <v>0.1</v>
      </c>
      <c r="R104" s="1">
        <v>0.15</v>
      </c>
      <c r="S104" s="1">
        <v>1</v>
      </c>
      <c r="V104" s="1">
        <v>0.307</v>
      </c>
      <c r="W104" s="7" t="s">
        <v>384</v>
      </c>
    </row>
    <row r="105" spans="1:25" x14ac:dyDescent="0.2">
      <c r="A105" s="1">
        <v>2</v>
      </c>
      <c r="B105" s="1" t="s">
        <v>558</v>
      </c>
      <c r="C105" s="1">
        <v>1</v>
      </c>
      <c r="D105" s="1" t="s">
        <v>307</v>
      </c>
      <c r="F105" s="4">
        <v>45388</v>
      </c>
      <c r="G105" s="1" t="s">
        <v>27</v>
      </c>
      <c r="H105" s="3">
        <v>0.75972222222222219</v>
      </c>
      <c r="I105" s="1" t="s">
        <v>27</v>
      </c>
      <c r="J105" s="1" t="s">
        <v>27</v>
      </c>
      <c r="K105" s="1" t="s">
        <v>27</v>
      </c>
      <c r="L105" s="1">
        <v>3</v>
      </c>
      <c r="M105" s="1" t="s">
        <v>14</v>
      </c>
      <c r="N105" s="1">
        <v>3</v>
      </c>
      <c r="O105" s="1" t="s">
        <v>14</v>
      </c>
      <c r="Q105" s="1">
        <v>0.05</v>
      </c>
      <c r="R105" s="1">
        <v>0.05</v>
      </c>
      <c r="S105" s="1" t="s">
        <v>27</v>
      </c>
      <c r="U105" s="1" t="s">
        <v>507</v>
      </c>
      <c r="V105" s="2" t="s">
        <v>27</v>
      </c>
      <c r="W105" s="2" t="s">
        <v>27</v>
      </c>
      <c r="X105" s="2" t="s">
        <v>27</v>
      </c>
      <c r="Y105" s="2" t="s">
        <v>27</v>
      </c>
    </row>
    <row r="106" spans="1:25" x14ac:dyDescent="0.2">
      <c r="A106" s="1">
        <v>2</v>
      </c>
      <c r="B106" s="1" t="s">
        <v>558</v>
      </c>
      <c r="C106" s="1" t="s">
        <v>27</v>
      </c>
      <c r="D106" s="1" t="s">
        <v>27</v>
      </c>
      <c r="F106" s="4">
        <v>45388</v>
      </c>
      <c r="G106" s="15" t="s">
        <v>27</v>
      </c>
      <c r="H106" s="15" t="s">
        <v>27</v>
      </c>
      <c r="I106" s="15" t="s">
        <v>27</v>
      </c>
      <c r="J106" s="15" t="s">
        <v>27</v>
      </c>
      <c r="K106" s="15" t="s">
        <v>27</v>
      </c>
      <c r="L106" s="1">
        <v>3</v>
      </c>
      <c r="N106" s="1">
        <v>3</v>
      </c>
      <c r="S106" s="1" t="s">
        <v>27</v>
      </c>
      <c r="U106" s="1" t="s">
        <v>515</v>
      </c>
      <c r="V106" s="15" t="s">
        <v>27</v>
      </c>
      <c r="W106" s="15" t="s">
        <v>27</v>
      </c>
      <c r="X106" s="15" t="s">
        <v>27</v>
      </c>
      <c r="Y106" s="15" t="s">
        <v>27</v>
      </c>
    </row>
    <row r="107" spans="1:25" x14ac:dyDescent="0.2">
      <c r="A107" s="1">
        <v>2</v>
      </c>
      <c r="B107" s="1" t="s">
        <v>558</v>
      </c>
      <c r="C107" s="1" t="s">
        <v>27</v>
      </c>
      <c r="D107" s="1" t="s">
        <v>308</v>
      </c>
      <c r="F107" s="4">
        <v>45389</v>
      </c>
      <c r="G107" s="1" t="s">
        <v>27</v>
      </c>
      <c r="H107" s="3">
        <v>0.75700231481481484</v>
      </c>
      <c r="I107" s="1" t="s">
        <v>27</v>
      </c>
      <c r="J107" s="1" t="s">
        <v>27</v>
      </c>
      <c r="K107" s="1" t="s">
        <v>27</v>
      </c>
      <c r="L107" s="1">
        <v>3</v>
      </c>
      <c r="M107" s="1" t="s">
        <v>14</v>
      </c>
      <c r="N107" s="1">
        <v>3</v>
      </c>
      <c r="O107" s="1" t="s">
        <v>14</v>
      </c>
      <c r="Q107" s="1">
        <v>0.05</v>
      </c>
      <c r="R107" s="1">
        <v>0.05</v>
      </c>
      <c r="S107" s="1" t="s">
        <v>27</v>
      </c>
      <c r="U107" s="1" t="s">
        <v>66</v>
      </c>
      <c r="V107" s="2" t="s">
        <v>27</v>
      </c>
      <c r="W107" s="1" t="s">
        <v>27</v>
      </c>
      <c r="X107" s="2" t="s">
        <v>27</v>
      </c>
      <c r="Y107" s="2" t="s">
        <v>27</v>
      </c>
    </row>
    <row r="108" spans="1:25" x14ac:dyDescent="0.2">
      <c r="A108" s="1">
        <v>2</v>
      </c>
      <c r="B108" s="1" t="s">
        <v>558</v>
      </c>
      <c r="C108" s="1" t="s">
        <v>27</v>
      </c>
      <c r="D108" s="1" t="s">
        <v>27</v>
      </c>
      <c r="F108" s="4">
        <v>45389</v>
      </c>
      <c r="G108" s="15" t="s">
        <v>27</v>
      </c>
      <c r="H108" s="15" t="s">
        <v>27</v>
      </c>
      <c r="I108" s="15" t="s">
        <v>27</v>
      </c>
      <c r="J108" s="15" t="s">
        <v>27</v>
      </c>
      <c r="K108" s="15" t="s">
        <v>27</v>
      </c>
      <c r="S108" s="1" t="s">
        <v>27</v>
      </c>
      <c r="U108" s="1" t="s">
        <v>516</v>
      </c>
      <c r="V108" s="15" t="s">
        <v>27</v>
      </c>
      <c r="W108" s="15" t="s">
        <v>27</v>
      </c>
      <c r="X108" s="15" t="s">
        <v>27</v>
      </c>
      <c r="Y108" s="15" t="s">
        <v>27</v>
      </c>
    </row>
    <row r="109" spans="1:25" x14ac:dyDescent="0.2">
      <c r="A109" s="1">
        <v>2</v>
      </c>
      <c r="B109" s="1" t="s">
        <v>558</v>
      </c>
      <c r="C109" s="1">
        <v>1</v>
      </c>
      <c r="D109" s="1" t="s">
        <v>327</v>
      </c>
      <c r="F109" s="4">
        <v>45390</v>
      </c>
      <c r="G109" s="3">
        <f>H109 + K109</f>
        <v>0.26424768518518515</v>
      </c>
      <c r="H109" s="3">
        <v>0.23758101851851851</v>
      </c>
      <c r="I109" s="3">
        <v>1.4421296296296297E-2</v>
      </c>
      <c r="J109" s="3">
        <f>$H109 + $I109</f>
        <v>0.25200231481481483</v>
      </c>
      <c r="K109" s="3">
        <v>2.6666666666666668E-2</v>
      </c>
      <c r="L109" s="1">
        <v>3</v>
      </c>
      <c r="M109" s="1" t="s">
        <v>14</v>
      </c>
      <c r="N109" s="1">
        <v>3</v>
      </c>
      <c r="O109" s="1" t="s">
        <v>13</v>
      </c>
      <c r="Q109" s="1">
        <v>0.05</v>
      </c>
      <c r="R109" s="1">
        <v>0.15</v>
      </c>
      <c r="S109" s="1">
        <v>0</v>
      </c>
      <c r="V109" s="1">
        <v>0.61099999999999999</v>
      </c>
      <c r="W109" s="7" t="s">
        <v>384</v>
      </c>
    </row>
    <row r="110" spans="1:25" x14ac:dyDescent="0.2">
      <c r="A110" s="1">
        <v>2</v>
      </c>
      <c r="B110" s="1" t="s">
        <v>558</v>
      </c>
      <c r="C110" s="1" t="s">
        <v>27</v>
      </c>
      <c r="D110" s="1" t="s">
        <v>326</v>
      </c>
      <c r="F110" s="4">
        <v>45390</v>
      </c>
      <c r="G110" s="1" t="s">
        <v>27</v>
      </c>
      <c r="H110" s="3">
        <v>0.75715277777777779</v>
      </c>
      <c r="I110" s="15" t="s">
        <v>27</v>
      </c>
      <c r="J110" s="22" t="s">
        <v>27</v>
      </c>
      <c r="K110" s="1" t="s">
        <v>27</v>
      </c>
      <c r="L110" s="1">
        <v>3</v>
      </c>
      <c r="M110" s="1" t="s">
        <v>13</v>
      </c>
      <c r="N110" s="1">
        <v>3</v>
      </c>
      <c r="O110" s="1" t="s">
        <v>13</v>
      </c>
      <c r="Q110" s="1">
        <v>0.05</v>
      </c>
      <c r="R110" s="1">
        <v>0.05</v>
      </c>
      <c r="S110" s="1" t="s">
        <v>27</v>
      </c>
      <c r="U110" s="1" t="s">
        <v>66</v>
      </c>
      <c r="V110" s="2" t="s">
        <v>27</v>
      </c>
      <c r="W110" s="1" t="s">
        <v>27</v>
      </c>
      <c r="X110" s="2" t="s">
        <v>27</v>
      </c>
      <c r="Y110" s="2" t="s">
        <v>27</v>
      </c>
    </row>
    <row r="111" spans="1:25" x14ac:dyDescent="0.2">
      <c r="A111" s="1">
        <v>2</v>
      </c>
      <c r="B111" s="1" t="s">
        <v>558</v>
      </c>
      <c r="C111" s="1">
        <v>1</v>
      </c>
      <c r="D111" s="1" t="s">
        <v>365</v>
      </c>
      <c r="F111" s="4">
        <v>45391</v>
      </c>
      <c r="G111" s="3">
        <f>H111 + K111</f>
        <v>0.2723726851851852</v>
      </c>
      <c r="H111" s="3">
        <v>0.23293981481481482</v>
      </c>
      <c r="I111" s="3">
        <v>1.8020833333333333E-2</v>
      </c>
      <c r="J111" s="3">
        <f>$H111 + $I111</f>
        <v>0.25096064814814817</v>
      </c>
      <c r="K111" s="6">
        <v>3.9432870370370368E-2</v>
      </c>
      <c r="L111" s="1">
        <v>3</v>
      </c>
      <c r="M111" s="1" t="s">
        <v>13</v>
      </c>
      <c r="N111" s="1">
        <v>3</v>
      </c>
      <c r="O111" s="1" t="s">
        <v>13</v>
      </c>
      <c r="Q111" s="1">
        <v>0.05</v>
      </c>
      <c r="R111" s="1">
        <v>0.05</v>
      </c>
      <c r="S111" s="1">
        <v>0</v>
      </c>
      <c r="V111" s="1">
        <v>31.1</v>
      </c>
      <c r="W111" s="7" t="s">
        <v>384</v>
      </c>
    </row>
    <row r="112" spans="1:25" x14ac:dyDescent="0.2">
      <c r="A112" s="1">
        <v>2</v>
      </c>
      <c r="B112" s="1" t="s">
        <v>558</v>
      </c>
      <c r="C112" s="1">
        <v>1</v>
      </c>
      <c r="D112" s="1" t="s">
        <v>506</v>
      </c>
      <c r="F112" s="4">
        <v>45391</v>
      </c>
      <c r="G112" s="3">
        <f>H112 + K112</f>
        <v>0.77521990740740732</v>
      </c>
      <c r="H112" s="3">
        <v>0.76151620370370365</v>
      </c>
      <c r="I112" s="3">
        <v>8.4953703703703701E-3</v>
      </c>
      <c r="J112" s="3">
        <f>$H112 + $I112</f>
        <v>0.77001157407407406</v>
      </c>
      <c r="K112" s="3">
        <v>1.3703703703703704E-2</v>
      </c>
      <c r="L112" s="1">
        <v>3</v>
      </c>
      <c r="M112" s="1" t="s">
        <v>13</v>
      </c>
      <c r="N112" s="1">
        <v>3</v>
      </c>
      <c r="O112" s="1" t="s">
        <v>14</v>
      </c>
      <c r="Q112" s="1">
        <v>0.05</v>
      </c>
      <c r="R112" s="1">
        <v>0.15</v>
      </c>
      <c r="S112" s="1">
        <v>1</v>
      </c>
      <c r="V112" s="1">
        <v>0.307</v>
      </c>
      <c r="W112" s="7" t="s">
        <v>384</v>
      </c>
    </row>
    <row r="113" spans="1:25" x14ac:dyDescent="0.2">
      <c r="A113" s="1">
        <v>2</v>
      </c>
      <c r="B113" s="1" t="s">
        <v>558</v>
      </c>
      <c r="C113" s="1">
        <v>1</v>
      </c>
      <c r="D113" s="1" t="s">
        <v>392</v>
      </c>
      <c r="F113" s="4">
        <v>45392</v>
      </c>
      <c r="G113" s="3">
        <f>H113 + K113</f>
        <v>0.25964120370370369</v>
      </c>
      <c r="H113" s="3">
        <v>0.24079861111111112</v>
      </c>
      <c r="I113" s="3">
        <v>1.2743055555555556E-2</v>
      </c>
      <c r="J113" s="3">
        <f>$H113 + $I113</f>
        <v>0.25354166666666667</v>
      </c>
      <c r="K113" s="3">
        <v>1.8842592592592591E-2</v>
      </c>
      <c r="L113" s="1">
        <v>3</v>
      </c>
      <c r="M113" s="1" t="s">
        <v>14</v>
      </c>
      <c r="N113" s="1">
        <v>3</v>
      </c>
      <c r="O113" s="1" t="s">
        <v>13</v>
      </c>
      <c r="Q113" s="1">
        <v>0.1</v>
      </c>
      <c r="R113" s="1">
        <v>0.3</v>
      </c>
      <c r="S113" s="1">
        <v>0</v>
      </c>
      <c r="V113" s="1">
        <v>5.79</v>
      </c>
      <c r="W113" s="7" t="s">
        <v>384</v>
      </c>
    </row>
    <row r="114" spans="1:25" x14ac:dyDescent="0.2">
      <c r="A114" s="1">
        <v>2</v>
      </c>
      <c r="B114" s="1" t="s">
        <v>558</v>
      </c>
      <c r="C114" s="1" t="s">
        <v>27</v>
      </c>
      <c r="D114" s="1" t="s">
        <v>27</v>
      </c>
      <c r="F114" s="4">
        <v>45392</v>
      </c>
      <c r="G114" s="1" t="s">
        <v>27</v>
      </c>
      <c r="H114" s="2" t="s">
        <v>27</v>
      </c>
      <c r="I114" s="2" t="s">
        <v>27</v>
      </c>
      <c r="J114" s="2" t="s">
        <v>27</v>
      </c>
      <c r="K114" s="1" t="s">
        <v>27</v>
      </c>
      <c r="S114" s="1" t="s">
        <v>27</v>
      </c>
      <c r="U114" s="1" t="s">
        <v>508</v>
      </c>
      <c r="V114" s="2" t="s">
        <v>27</v>
      </c>
      <c r="W114" s="2" t="s">
        <v>27</v>
      </c>
      <c r="X114" s="2" t="s">
        <v>27</v>
      </c>
      <c r="Y114" s="2" t="s">
        <v>27</v>
      </c>
    </row>
    <row r="115" spans="1:25" x14ac:dyDescent="0.2">
      <c r="A115" s="1">
        <v>2</v>
      </c>
      <c r="B115" s="1" t="s">
        <v>558</v>
      </c>
      <c r="C115" s="1">
        <v>1</v>
      </c>
      <c r="D115" s="1" t="s">
        <v>485</v>
      </c>
      <c r="F115" s="4">
        <v>45393</v>
      </c>
      <c r="G115" s="3">
        <f>H115 + K115</f>
        <v>0.25677083333333334</v>
      </c>
      <c r="H115" s="3">
        <v>0.22506944444444443</v>
      </c>
      <c r="I115" s="3">
        <v>2.1840277777777778E-2</v>
      </c>
      <c r="J115" s="3">
        <f>$H115 + $I115</f>
        <v>0.24690972222222221</v>
      </c>
      <c r="K115" s="3">
        <v>3.170138888888889E-2</v>
      </c>
      <c r="L115" s="1">
        <v>3</v>
      </c>
      <c r="M115" s="1" t="s">
        <v>13</v>
      </c>
      <c r="N115" s="1">
        <v>3</v>
      </c>
      <c r="O115" s="1" t="s">
        <v>13</v>
      </c>
      <c r="Q115" s="1">
        <v>0.1</v>
      </c>
      <c r="R115" s="1">
        <v>0.3</v>
      </c>
      <c r="S115" s="1">
        <v>0</v>
      </c>
      <c r="V115" s="1">
        <v>2.78</v>
      </c>
      <c r="W115" s="7" t="s">
        <v>384</v>
      </c>
    </row>
    <row r="116" spans="1:25" x14ac:dyDescent="0.2">
      <c r="A116" s="1">
        <v>2</v>
      </c>
      <c r="B116" s="1" t="s">
        <v>558</v>
      </c>
      <c r="C116" s="1">
        <v>1</v>
      </c>
      <c r="D116" s="1" t="s">
        <v>484</v>
      </c>
      <c r="F116" s="4">
        <v>45393</v>
      </c>
      <c r="G116" s="3">
        <f>H116 + K116</f>
        <v>0.76993055555555556</v>
      </c>
      <c r="H116" s="3">
        <v>0.75923611111111111</v>
      </c>
      <c r="I116" s="3">
        <v>5.9953703703703705E-3</v>
      </c>
      <c r="J116" s="3">
        <f>$H116 + $I116</f>
        <v>0.76523148148148146</v>
      </c>
      <c r="K116" s="3">
        <v>1.0694444444444444E-2</v>
      </c>
      <c r="L116" s="1">
        <v>3</v>
      </c>
      <c r="M116" s="1" t="s">
        <v>13</v>
      </c>
      <c r="N116" s="1">
        <v>3</v>
      </c>
      <c r="O116" s="1" t="s">
        <v>14</v>
      </c>
      <c r="Q116" s="1">
        <v>0.3</v>
      </c>
      <c r="R116" s="1">
        <v>0.3</v>
      </c>
      <c r="S116" s="1" t="s">
        <v>27</v>
      </c>
      <c r="U116" s="1" t="s">
        <v>512</v>
      </c>
      <c r="V116" s="1">
        <v>5.25</v>
      </c>
      <c r="W116" s="7" t="s">
        <v>384</v>
      </c>
    </row>
    <row r="117" spans="1:25" ht="18" customHeight="1" x14ac:dyDescent="0.2">
      <c r="A117" s="1">
        <v>2</v>
      </c>
      <c r="B117" s="1" t="s">
        <v>558</v>
      </c>
      <c r="C117" s="1">
        <v>1</v>
      </c>
      <c r="D117" s="1" t="s">
        <v>482</v>
      </c>
      <c r="F117" s="4">
        <v>45394</v>
      </c>
      <c r="G117" s="1" t="s">
        <v>27</v>
      </c>
      <c r="H117" s="3">
        <v>0.23190972222222223</v>
      </c>
      <c r="I117" s="3">
        <v>1.4594907407407407E-2</v>
      </c>
      <c r="J117" s="3">
        <f>$H117 + $I117</f>
        <v>0.24650462962962963</v>
      </c>
      <c r="K117" s="1" t="s">
        <v>27</v>
      </c>
      <c r="L117" s="1">
        <v>3</v>
      </c>
      <c r="M117" s="1" t="s">
        <v>14</v>
      </c>
      <c r="N117" s="1">
        <v>3</v>
      </c>
      <c r="O117" s="1" t="s">
        <v>14</v>
      </c>
      <c r="Q117" s="1">
        <v>0.3</v>
      </c>
      <c r="R117" s="1">
        <v>0.3</v>
      </c>
      <c r="S117" s="1" t="s">
        <v>27</v>
      </c>
      <c r="U117" s="1" t="s">
        <v>513</v>
      </c>
      <c r="V117" s="2" t="s">
        <v>27</v>
      </c>
      <c r="W117" s="2" t="s">
        <v>27</v>
      </c>
      <c r="X117" s="2" t="s">
        <v>27</v>
      </c>
      <c r="Y117" s="2" t="s">
        <v>27</v>
      </c>
    </row>
    <row r="118" spans="1:25" x14ac:dyDescent="0.2">
      <c r="A118" s="1">
        <v>2</v>
      </c>
      <c r="B118" s="1" t="s">
        <v>558</v>
      </c>
      <c r="C118" s="1">
        <v>1</v>
      </c>
      <c r="D118" s="1" t="s">
        <v>476</v>
      </c>
      <c r="F118" s="4">
        <v>45394</v>
      </c>
      <c r="G118" s="3">
        <f>H118 + K118</f>
        <v>0.76479166666666665</v>
      </c>
      <c r="H118" s="3">
        <v>0.75723379629629628</v>
      </c>
      <c r="I118" s="3">
        <v>3.6574074074074074E-3</v>
      </c>
      <c r="J118" s="3">
        <f>$H118 + $I118</f>
        <v>0.76089120370370367</v>
      </c>
      <c r="K118" s="3">
        <v>7.5578703703703702E-3</v>
      </c>
      <c r="L118" s="1">
        <v>3</v>
      </c>
      <c r="M118" s="1" t="s">
        <v>14</v>
      </c>
      <c r="N118" s="1">
        <v>2</v>
      </c>
      <c r="O118" s="1" t="s">
        <v>13</v>
      </c>
      <c r="Q118" s="1">
        <v>0.3</v>
      </c>
      <c r="R118" s="1">
        <v>0.15</v>
      </c>
      <c r="S118" s="1">
        <v>0</v>
      </c>
      <c r="V118" s="1">
        <v>7.26</v>
      </c>
      <c r="W118" s="7" t="s">
        <v>384</v>
      </c>
    </row>
    <row r="119" spans="1:25" x14ac:dyDescent="0.2">
      <c r="A119" s="1">
        <v>2</v>
      </c>
      <c r="B119" s="1" t="s">
        <v>558</v>
      </c>
      <c r="C119" s="1" t="s">
        <v>27</v>
      </c>
      <c r="D119" s="1" t="s">
        <v>27</v>
      </c>
      <c r="F119" s="4">
        <v>45395</v>
      </c>
      <c r="G119" s="1" t="s">
        <v>27</v>
      </c>
      <c r="H119" s="1" t="s">
        <v>27</v>
      </c>
      <c r="I119" s="1" t="s">
        <v>27</v>
      </c>
      <c r="J119" s="1" t="s">
        <v>27</v>
      </c>
      <c r="K119" s="1" t="s">
        <v>27</v>
      </c>
      <c r="L119" s="1">
        <v>3</v>
      </c>
      <c r="M119" s="1" t="s">
        <v>14</v>
      </c>
      <c r="N119" s="1">
        <v>3</v>
      </c>
      <c r="O119" s="1" t="s">
        <v>14</v>
      </c>
      <c r="Q119" s="1">
        <v>0.15</v>
      </c>
      <c r="R119" s="1">
        <v>0.15</v>
      </c>
      <c r="S119" s="1" t="s">
        <v>27</v>
      </c>
      <c r="U119" s="1" t="s">
        <v>510</v>
      </c>
      <c r="V119" s="1" t="s">
        <v>27</v>
      </c>
      <c r="W119" s="1" t="s">
        <v>27</v>
      </c>
      <c r="X119" s="1" t="s">
        <v>27</v>
      </c>
      <c r="Y119" s="1" t="s">
        <v>27</v>
      </c>
    </row>
    <row r="120" spans="1:25" x14ac:dyDescent="0.2">
      <c r="A120" s="1">
        <v>2</v>
      </c>
      <c r="B120" s="1" t="s">
        <v>558</v>
      </c>
      <c r="C120" s="1" t="s">
        <v>27</v>
      </c>
      <c r="D120" s="1" t="s">
        <v>27</v>
      </c>
      <c r="F120" s="4">
        <v>45396</v>
      </c>
      <c r="G120" s="1" t="s">
        <v>27</v>
      </c>
      <c r="H120" s="1" t="s">
        <v>27</v>
      </c>
      <c r="I120" s="1" t="s">
        <v>27</v>
      </c>
      <c r="J120" s="1" t="s">
        <v>27</v>
      </c>
      <c r="K120" s="1" t="s">
        <v>27</v>
      </c>
      <c r="L120" s="1">
        <v>3</v>
      </c>
      <c r="M120" s="1" t="s">
        <v>14</v>
      </c>
      <c r="N120" s="1">
        <v>3</v>
      </c>
      <c r="O120" s="1" t="s">
        <v>14</v>
      </c>
      <c r="Q120" s="1">
        <v>0.15</v>
      </c>
      <c r="R120" s="1">
        <v>0.15</v>
      </c>
      <c r="S120" s="1" t="s">
        <v>27</v>
      </c>
      <c r="U120" s="1" t="s">
        <v>511</v>
      </c>
      <c r="V120" s="1" t="s">
        <v>27</v>
      </c>
      <c r="W120" s="1" t="s">
        <v>27</v>
      </c>
      <c r="X120" s="1" t="s">
        <v>27</v>
      </c>
      <c r="Y120" s="1" t="s">
        <v>27</v>
      </c>
    </row>
    <row r="121" spans="1:25" x14ac:dyDescent="0.2">
      <c r="A121" s="1">
        <v>2</v>
      </c>
      <c r="B121" s="1" t="s">
        <v>558</v>
      </c>
      <c r="C121" s="1">
        <v>1</v>
      </c>
      <c r="D121" s="1" t="s">
        <v>473</v>
      </c>
      <c r="F121" s="4">
        <v>45396</v>
      </c>
      <c r="G121" s="1" t="s">
        <v>27</v>
      </c>
      <c r="H121" s="3">
        <v>0.76395833333333329</v>
      </c>
      <c r="I121" s="3">
        <v>1.2615740740740742E-2</v>
      </c>
      <c r="J121" s="3">
        <f>$H121 + $I121</f>
        <v>0.77657407407407408</v>
      </c>
      <c r="K121" s="1" t="s">
        <v>27</v>
      </c>
      <c r="L121" s="1">
        <v>3</v>
      </c>
      <c r="M121" s="1" t="s">
        <v>13</v>
      </c>
      <c r="N121" s="1">
        <v>3</v>
      </c>
      <c r="O121" s="1" t="s">
        <v>13</v>
      </c>
      <c r="Q121" s="1">
        <v>0.3</v>
      </c>
      <c r="R121" s="1">
        <v>0.3</v>
      </c>
      <c r="S121" s="1" t="s">
        <v>27</v>
      </c>
      <c r="U121" s="1" t="s">
        <v>514</v>
      </c>
      <c r="V121" s="2" t="s">
        <v>27</v>
      </c>
      <c r="W121" s="2" t="s">
        <v>27</v>
      </c>
      <c r="X121" s="2" t="s">
        <v>27</v>
      </c>
      <c r="Y121" s="2" t="s">
        <v>27</v>
      </c>
    </row>
    <row r="122" spans="1:25" x14ac:dyDescent="0.2">
      <c r="A122" s="1">
        <v>2</v>
      </c>
      <c r="B122" s="1" t="s">
        <v>558</v>
      </c>
      <c r="C122" s="1">
        <v>1</v>
      </c>
      <c r="D122" s="1" t="s">
        <v>497</v>
      </c>
      <c r="F122" s="4">
        <v>45397</v>
      </c>
      <c r="G122" s="3">
        <f>H122 + K122</f>
        <v>0.26587962962962963</v>
      </c>
      <c r="H122" s="3">
        <v>0.22761574074074073</v>
      </c>
      <c r="I122" s="3">
        <v>1.4016203703703704E-2</v>
      </c>
      <c r="J122" s="3">
        <f>$H122 + $I122</f>
        <v>0.24163194444444444</v>
      </c>
      <c r="K122" s="3">
        <v>3.8263888888888889E-2</v>
      </c>
      <c r="L122" s="1">
        <v>3</v>
      </c>
      <c r="M122" s="1" t="s">
        <v>13</v>
      </c>
      <c r="N122" s="1">
        <v>3</v>
      </c>
      <c r="O122" s="1" t="s">
        <v>13</v>
      </c>
      <c r="Q122" s="1">
        <v>0.3</v>
      </c>
      <c r="R122" s="1">
        <v>0.3</v>
      </c>
      <c r="S122" s="1">
        <v>0</v>
      </c>
      <c r="V122" s="1">
        <v>21.2</v>
      </c>
      <c r="W122" s="7" t="s">
        <v>384</v>
      </c>
    </row>
    <row r="123" spans="1:25" x14ac:dyDescent="0.2">
      <c r="A123" s="1">
        <v>2</v>
      </c>
      <c r="B123" s="1" t="s">
        <v>558</v>
      </c>
      <c r="C123" s="1" t="s">
        <v>27</v>
      </c>
      <c r="D123" s="4" t="s">
        <v>73</v>
      </c>
      <c r="E123" s="4"/>
      <c r="F123" s="27">
        <v>45397</v>
      </c>
      <c r="G123" s="1" t="s">
        <v>27</v>
      </c>
      <c r="H123" s="3">
        <v>0.76392361111111107</v>
      </c>
      <c r="I123" s="1" t="s">
        <v>27</v>
      </c>
      <c r="J123" s="1" t="s">
        <v>27</v>
      </c>
      <c r="K123" s="1" t="s">
        <v>27</v>
      </c>
      <c r="L123" s="1">
        <v>3</v>
      </c>
      <c r="M123" s="1" t="s">
        <v>13</v>
      </c>
      <c r="N123" s="1">
        <v>3</v>
      </c>
      <c r="O123" s="1" t="s">
        <v>13</v>
      </c>
      <c r="Q123" s="1">
        <v>0.3</v>
      </c>
      <c r="R123" s="1">
        <v>0.3</v>
      </c>
      <c r="U123" s="1" t="s">
        <v>543</v>
      </c>
      <c r="V123" s="1" t="s">
        <v>27</v>
      </c>
      <c r="W123" s="1" t="s">
        <v>27</v>
      </c>
      <c r="X123" s="1" t="s">
        <v>27</v>
      </c>
      <c r="Y123" s="1" t="s">
        <v>27</v>
      </c>
    </row>
    <row r="124" spans="1:25" x14ac:dyDescent="0.2">
      <c r="A124" s="1">
        <v>2</v>
      </c>
      <c r="B124" s="1" t="s">
        <v>558</v>
      </c>
      <c r="C124" s="1">
        <v>1</v>
      </c>
      <c r="D124" s="1" t="s">
        <v>72</v>
      </c>
      <c r="F124" s="4">
        <v>45398</v>
      </c>
      <c r="G124" s="3">
        <f>H124 + K124</f>
        <v>0.26069444444444445</v>
      </c>
      <c r="H124" s="3">
        <v>0.22892361111111112</v>
      </c>
      <c r="I124" s="3">
        <v>2.2499999999999999E-2</v>
      </c>
      <c r="J124" s="3">
        <f>$H124 + $I124</f>
        <v>0.25142361111111111</v>
      </c>
      <c r="K124" s="3">
        <v>3.1770833333333331E-2</v>
      </c>
      <c r="L124" s="1">
        <v>2</v>
      </c>
      <c r="M124" s="1" t="s">
        <v>13</v>
      </c>
      <c r="N124" s="1">
        <v>2</v>
      </c>
      <c r="O124" s="1" t="s">
        <v>14</v>
      </c>
      <c r="Q124" s="1">
        <v>0.3</v>
      </c>
      <c r="R124" s="1">
        <v>0.3</v>
      </c>
      <c r="S124" s="1">
        <v>1</v>
      </c>
      <c r="U124" s="1" t="s">
        <v>542</v>
      </c>
      <c r="V124" s="2" t="s">
        <v>27</v>
      </c>
      <c r="W124" s="2" t="s">
        <v>541</v>
      </c>
    </row>
    <row r="125" spans="1:25" x14ac:dyDescent="0.2">
      <c r="A125" s="1">
        <v>2</v>
      </c>
      <c r="B125" s="1" t="s">
        <v>558</v>
      </c>
      <c r="C125" s="1">
        <v>1</v>
      </c>
      <c r="D125" s="1" t="s">
        <v>81</v>
      </c>
      <c r="F125" s="4">
        <v>45398</v>
      </c>
      <c r="G125" s="3">
        <f>H125 + K125</f>
        <v>0.77694444444444444</v>
      </c>
      <c r="H125" s="3">
        <v>0.75937500000000002</v>
      </c>
      <c r="I125" s="3">
        <v>1.4108796296296296E-2</v>
      </c>
      <c r="J125" s="3">
        <f>$H125 + $I125</f>
        <v>0.77348379629629627</v>
      </c>
      <c r="K125" s="3">
        <v>1.7569444444444443E-2</v>
      </c>
      <c r="L125" s="1">
        <v>2</v>
      </c>
      <c r="M125" s="1" t="s">
        <v>14</v>
      </c>
      <c r="N125" s="1">
        <v>2</v>
      </c>
      <c r="O125" s="1" t="s">
        <v>13</v>
      </c>
      <c r="Q125" s="1">
        <v>0.05</v>
      </c>
      <c r="R125" s="1">
        <v>0.05</v>
      </c>
      <c r="S125" s="1">
        <v>1</v>
      </c>
      <c r="V125" s="2" t="s">
        <v>27</v>
      </c>
      <c r="W125" s="2" t="s">
        <v>541</v>
      </c>
    </row>
    <row r="126" spans="1:25" x14ac:dyDescent="0.2">
      <c r="A126" s="1">
        <v>2</v>
      </c>
      <c r="B126" s="1" t="s">
        <v>558</v>
      </c>
      <c r="C126" s="1">
        <v>1</v>
      </c>
      <c r="D126" s="1" t="s">
        <v>103</v>
      </c>
      <c r="F126" s="4">
        <v>45399</v>
      </c>
      <c r="G126" s="1" t="s">
        <v>27</v>
      </c>
      <c r="H126" s="3">
        <v>0.23208333333333334</v>
      </c>
      <c r="I126" s="3">
        <v>1.4768518518518519E-2</v>
      </c>
      <c r="J126" s="3">
        <f>$H126 + $I126</f>
        <v>0.24685185185185185</v>
      </c>
      <c r="K126" s="1" t="s">
        <v>27</v>
      </c>
      <c r="L126" s="1">
        <v>2</v>
      </c>
      <c r="M126" s="1" t="s">
        <v>13</v>
      </c>
      <c r="N126" s="1">
        <v>2</v>
      </c>
      <c r="O126" s="1" t="s">
        <v>14</v>
      </c>
      <c r="Q126" s="1">
        <v>0.05</v>
      </c>
      <c r="R126" s="1">
        <v>0.05</v>
      </c>
      <c r="S126" s="1" t="s">
        <v>27</v>
      </c>
      <c r="U126" s="1" t="s">
        <v>544</v>
      </c>
      <c r="V126" s="2" t="s">
        <v>27</v>
      </c>
      <c r="W126" s="2" t="s">
        <v>27</v>
      </c>
      <c r="X126" s="2" t="s">
        <v>27</v>
      </c>
      <c r="Y126" s="2" t="s">
        <v>27</v>
      </c>
    </row>
    <row r="127" spans="1:25" x14ac:dyDescent="0.2">
      <c r="A127" s="15">
        <v>2</v>
      </c>
      <c r="B127" s="1" t="s">
        <v>558</v>
      </c>
      <c r="C127" s="1" t="s">
        <v>27</v>
      </c>
      <c r="D127" s="1" t="s">
        <v>109</v>
      </c>
      <c r="F127" s="4">
        <v>45399</v>
      </c>
      <c r="G127" s="1" t="s">
        <v>27</v>
      </c>
      <c r="H127" s="3">
        <v>0.75664351851851852</v>
      </c>
      <c r="I127" s="1" t="s">
        <v>27</v>
      </c>
      <c r="J127" s="1" t="s">
        <v>27</v>
      </c>
      <c r="K127" s="1" t="s">
        <v>27</v>
      </c>
      <c r="L127" s="1">
        <v>2</v>
      </c>
      <c r="M127" s="1" t="s">
        <v>14</v>
      </c>
      <c r="N127" s="1">
        <v>2</v>
      </c>
      <c r="O127" s="1" t="s">
        <v>14</v>
      </c>
      <c r="Q127" s="1">
        <v>0.05</v>
      </c>
      <c r="R127" s="1">
        <v>0.05</v>
      </c>
      <c r="S127" s="1" t="s">
        <v>27</v>
      </c>
      <c r="U127" s="1" t="s">
        <v>555</v>
      </c>
      <c r="V127" s="1" t="s">
        <v>27</v>
      </c>
      <c r="W127" s="1" t="s">
        <v>27</v>
      </c>
      <c r="X127" s="1" t="s">
        <v>27</v>
      </c>
      <c r="Y127" s="1" t="s">
        <v>27</v>
      </c>
    </row>
    <row r="128" spans="1:25" x14ac:dyDescent="0.2">
      <c r="A128" s="1">
        <v>2</v>
      </c>
      <c r="B128" s="1" t="s">
        <v>558</v>
      </c>
      <c r="C128" s="1">
        <v>1</v>
      </c>
      <c r="D128" s="1" t="s">
        <v>164</v>
      </c>
      <c r="F128" s="4">
        <v>45400</v>
      </c>
      <c r="G128" s="3">
        <f>H128 + K128</f>
        <v>0.28089120370370368</v>
      </c>
      <c r="H128" s="3">
        <v>0.22613425925925926</v>
      </c>
      <c r="I128" s="3">
        <v>2.2361111111111109E-2</v>
      </c>
      <c r="J128" s="3">
        <f>$H128 + $I128</f>
        <v>0.24849537037037037</v>
      </c>
      <c r="K128" s="3">
        <v>5.4756944444444441E-2</v>
      </c>
      <c r="L128" s="1">
        <v>2</v>
      </c>
      <c r="M128" s="1" t="s">
        <v>14</v>
      </c>
      <c r="N128" s="1">
        <v>2</v>
      </c>
      <c r="O128" s="1" t="s">
        <v>14</v>
      </c>
      <c r="Q128" s="1">
        <v>0.05</v>
      </c>
      <c r="R128" s="1">
        <v>0.05</v>
      </c>
      <c r="S128" s="1">
        <v>1</v>
      </c>
      <c r="W128" s="2" t="s">
        <v>541</v>
      </c>
    </row>
    <row r="129" spans="1:25" x14ac:dyDescent="0.2">
      <c r="A129" s="1">
        <v>2</v>
      </c>
      <c r="B129" s="1" t="s">
        <v>558</v>
      </c>
      <c r="C129" s="1">
        <v>1</v>
      </c>
      <c r="D129" s="1" t="s">
        <v>88</v>
      </c>
      <c r="F129" s="4">
        <v>45400</v>
      </c>
      <c r="G129" s="3">
        <f>H129 + K129</f>
        <v>0.78256944444444443</v>
      </c>
      <c r="H129" s="3">
        <v>0.75631944444444443</v>
      </c>
      <c r="I129" s="3">
        <v>1.6435185185185185E-2</v>
      </c>
      <c r="J129" s="3">
        <f>$H129 + $I129</f>
        <v>0.7727546296296296</v>
      </c>
      <c r="K129" s="3">
        <v>2.6249999999999999E-2</v>
      </c>
      <c r="L129" s="1">
        <v>2</v>
      </c>
      <c r="M129" s="1" t="s">
        <v>13</v>
      </c>
      <c r="N129" s="1">
        <v>2</v>
      </c>
      <c r="O129" s="1" t="s">
        <v>13</v>
      </c>
      <c r="Q129" s="1">
        <v>0.05</v>
      </c>
      <c r="R129" s="1">
        <v>0.05</v>
      </c>
      <c r="S129" s="1">
        <v>1</v>
      </c>
      <c r="U129" s="1" t="s">
        <v>556</v>
      </c>
      <c r="V129" s="2" t="s">
        <v>27</v>
      </c>
      <c r="W129" s="2" t="s">
        <v>541</v>
      </c>
    </row>
    <row r="130" spans="1:25" x14ac:dyDescent="0.2">
      <c r="A130" s="1">
        <v>2</v>
      </c>
      <c r="B130" s="1" t="s">
        <v>558</v>
      </c>
      <c r="C130" s="1" t="s">
        <v>27</v>
      </c>
      <c r="D130" s="1" t="s">
        <v>292</v>
      </c>
      <c r="F130" s="4">
        <v>45401</v>
      </c>
      <c r="G130" s="1" t="s">
        <v>27</v>
      </c>
      <c r="H130" s="1" t="s">
        <v>27</v>
      </c>
      <c r="I130" s="1" t="s">
        <v>27</v>
      </c>
      <c r="J130" s="1" t="s">
        <v>27</v>
      </c>
      <c r="K130" s="1" t="s">
        <v>27</v>
      </c>
      <c r="L130" s="1">
        <v>2</v>
      </c>
      <c r="M130" s="1" t="s">
        <v>13</v>
      </c>
      <c r="N130" s="1">
        <v>2</v>
      </c>
      <c r="O130" s="1" t="s">
        <v>13</v>
      </c>
      <c r="Q130" s="1">
        <v>0.05</v>
      </c>
      <c r="R130" s="1">
        <v>0.05</v>
      </c>
      <c r="S130" s="1" t="s">
        <v>27</v>
      </c>
      <c r="U130" s="1" t="s">
        <v>555</v>
      </c>
      <c r="V130" s="2" t="s">
        <v>27</v>
      </c>
      <c r="W130" s="2" t="s">
        <v>541</v>
      </c>
      <c r="X130" s="2" t="s">
        <v>27</v>
      </c>
      <c r="Y130" s="2" t="s">
        <v>27</v>
      </c>
    </row>
    <row r="131" spans="1:25" x14ac:dyDescent="0.2">
      <c r="A131" s="1">
        <v>2</v>
      </c>
      <c r="B131" s="1" t="s">
        <v>558</v>
      </c>
      <c r="C131" s="1">
        <v>1</v>
      </c>
      <c r="D131" s="1" t="s">
        <v>92</v>
      </c>
      <c r="F131" s="4">
        <v>45401</v>
      </c>
      <c r="G131" s="3">
        <f>H131 + K131</f>
        <v>0.77663194444444439</v>
      </c>
      <c r="H131" s="3">
        <v>0.77177083333333329</v>
      </c>
      <c r="I131" s="1" t="s">
        <v>27</v>
      </c>
      <c r="J131" s="1" t="s">
        <v>27</v>
      </c>
      <c r="K131" s="3">
        <v>4.8611111111111112E-3</v>
      </c>
      <c r="L131" s="1">
        <v>1</v>
      </c>
      <c r="M131" s="1" t="s">
        <v>13</v>
      </c>
      <c r="N131" s="1">
        <v>1</v>
      </c>
      <c r="O131" s="1" t="s">
        <v>13</v>
      </c>
      <c r="Q131" s="1">
        <v>0.05</v>
      </c>
      <c r="R131" s="1">
        <v>0.05</v>
      </c>
      <c r="S131" s="1">
        <v>1</v>
      </c>
      <c r="U131" s="1" t="s">
        <v>499</v>
      </c>
      <c r="V131" s="2" t="s">
        <v>27</v>
      </c>
      <c r="W131" s="2" t="s">
        <v>541</v>
      </c>
    </row>
    <row r="132" spans="1:25" x14ac:dyDescent="0.2">
      <c r="A132" s="1">
        <v>2</v>
      </c>
      <c r="B132" s="1" t="s">
        <v>559</v>
      </c>
      <c r="C132" s="1" t="s">
        <v>27</v>
      </c>
      <c r="D132" s="1" t="s">
        <v>92</v>
      </c>
      <c r="F132" s="4">
        <v>45401</v>
      </c>
      <c r="G132" s="1" t="s">
        <v>27</v>
      </c>
      <c r="H132" s="1" t="s">
        <v>27</v>
      </c>
      <c r="I132" s="1" t="s">
        <v>27</v>
      </c>
      <c r="J132" s="1" t="s">
        <v>27</v>
      </c>
      <c r="K132" s="1" t="s">
        <v>27</v>
      </c>
      <c r="L132" s="1">
        <v>1</v>
      </c>
      <c r="M132" s="1" t="s">
        <v>14</v>
      </c>
      <c r="N132" s="1">
        <v>1</v>
      </c>
      <c r="O132" s="1" t="s">
        <v>14</v>
      </c>
      <c r="Q132" s="1">
        <v>0.05</v>
      </c>
      <c r="R132" s="1">
        <v>0.05</v>
      </c>
      <c r="S132" s="1" t="s">
        <v>27</v>
      </c>
      <c r="U132" s="1" t="s">
        <v>560</v>
      </c>
      <c r="V132" s="2" t="s">
        <v>27</v>
      </c>
      <c r="W132" s="2" t="s">
        <v>541</v>
      </c>
      <c r="X132" s="2" t="s">
        <v>27</v>
      </c>
      <c r="Y132" s="2" t="s">
        <v>27</v>
      </c>
    </row>
    <row r="133" spans="1:25" x14ac:dyDescent="0.2">
      <c r="A133" s="1">
        <v>2</v>
      </c>
      <c r="B133" s="1" t="s">
        <v>558</v>
      </c>
      <c r="C133" s="1" t="s">
        <v>27</v>
      </c>
      <c r="D133" s="1" t="s">
        <v>93</v>
      </c>
      <c r="F133" s="4">
        <v>45402</v>
      </c>
      <c r="G133" s="1" t="s">
        <v>27</v>
      </c>
      <c r="H133" s="3">
        <v>0.22399305555555554</v>
      </c>
      <c r="I133" s="22" t="s">
        <v>27</v>
      </c>
      <c r="J133" s="22" t="s">
        <v>27</v>
      </c>
      <c r="K133" s="1" t="s">
        <v>27</v>
      </c>
      <c r="L133" s="1">
        <v>1</v>
      </c>
      <c r="M133" s="1" t="s">
        <v>13</v>
      </c>
      <c r="N133" s="1">
        <v>1</v>
      </c>
      <c r="O133" s="1" t="s">
        <v>13</v>
      </c>
      <c r="Q133" s="1">
        <v>0.05</v>
      </c>
      <c r="R133" s="1">
        <v>0.05</v>
      </c>
      <c r="S133" s="1" t="s">
        <v>27</v>
      </c>
      <c r="V133" s="2" t="s">
        <v>27</v>
      </c>
      <c r="W133" s="2" t="s">
        <v>541</v>
      </c>
      <c r="Y133" s="2" t="s">
        <v>27</v>
      </c>
    </row>
    <row r="134" spans="1:25" x14ac:dyDescent="0.2">
      <c r="A134" s="1">
        <v>2</v>
      </c>
      <c r="B134" s="1" t="s">
        <v>559</v>
      </c>
      <c r="C134" s="1" t="s">
        <v>27</v>
      </c>
      <c r="D134" s="1" t="s">
        <v>93</v>
      </c>
      <c r="F134" s="4">
        <v>45402</v>
      </c>
      <c r="G134" s="1" t="s">
        <v>27</v>
      </c>
      <c r="H134" s="3">
        <v>0.22399305555555554</v>
      </c>
      <c r="I134" s="22" t="s">
        <v>27</v>
      </c>
      <c r="J134" s="22" t="s">
        <v>27</v>
      </c>
      <c r="K134" s="1" t="s">
        <v>27</v>
      </c>
      <c r="L134" s="1">
        <v>1</v>
      </c>
      <c r="M134" s="1" t="s">
        <v>14</v>
      </c>
      <c r="N134" s="1">
        <v>1</v>
      </c>
      <c r="O134" s="1" t="s">
        <v>14</v>
      </c>
      <c r="Q134" s="1">
        <v>0.05</v>
      </c>
      <c r="R134" s="1">
        <v>0.05</v>
      </c>
      <c r="S134" s="1" t="s">
        <v>27</v>
      </c>
      <c r="U134" s="1" t="s">
        <v>564</v>
      </c>
      <c r="V134" s="2" t="s">
        <v>27</v>
      </c>
      <c r="W134" s="2" t="s">
        <v>541</v>
      </c>
      <c r="Y134" s="2" t="s">
        <v>27</v>
      </c>
    </row>
    <row r="135" spans="1:25" x14ac:dyDescent="0.2">
      <c r="A135" s="1">
        <v>2</v>
      </c>
      <c r="B135" s="1" t="s">
        <v>558</v>
      </c>
      <c r="C135" s="1">
        <v>1</v>
      </c>
      <c r="D135" s="1" t="s">
        <v>97</v>
      </c>
      <c r="F135" s="4">
        <v>45402</v>
      </c>
      <c r="G135" s="3">
        <f>H135 + K135</f>
        <v>0.78553240740740737</v>
      </c>
      <c r="H135" s="3">
        <v>0.75383101851851853</v>
      </c>
      <c r="I135" s="3">
        <v>2.4479166666666666E-2</v>
      </c>
      <c r="J135" s="3">
        <f>$H135 + $I135</f>
        <v>0.77831018518518524</v>
      </c>
      <c r="K135" s="3">
        <v>3.170138888888889E-2</v>
      </c>
      <c r="L135" s="1">
        <v>1</v>
      </c>
      <c r="M135" s="1" t="s">
        <v>13</v>
      </c>
      <c r="N135" s="1">
        <v>1</v>
      </c>
      <c r="O135" s="1" t="s">
        <v>13</v>
      </c>
      <c r="Q135" s="1">
        <v>0.05</v>
      </c>
      <c r="R135" s="1">
        <v>0.05</v>
      </c>
      <c r="S135" s="1" t="s">
        <v>27</v>
      </c>
      <c r="U135" s="1" t="s">
        <v>572</v>
      </c>
      <c r="V135" s="2" t="s">
        <v>27</v>
      </c>
      <c r="W135" s="2" t="s">
        <v>541</v>
      </c>
    </row>
    <row r="136" spans="1:25" x14ac:dyDescent="0.2">
      <c r="A136" s="1">
        <v>2</v>
      </c>
      <c r="B136" s="1" t="s">
        <v>558</v>
      </c>
      <c r="C136" s="1" t="s">
        <v>27</v>
      </c>
      <c r="D136" s="1" t="s">
        <v>103</v>
      </c>
      <c r="F136" s="4">
        <v>45403</v>
      </c>
      <c r="G136" s="1" t="s">
        <v>27</v>
      </c>
      <c r="H136" s="3">
        <v>0.22620370370370371</v>
      </c>
      <c r="I136" s="22" t="s">
        <v>27</v>
      </c>
      <c r="J136" s="22" t="s">
        <v>27</v>
      </c>
      <c r="K136" s="1" t="s">
        <v>27</v>
      </c>
      <c r="L136" s="1">
        <v>1</v>
      </c>
      <c r="M136" s="1" t="s">
        <v>13</v>
      </c>
      <c r="N136" s="1">
        <v>1</v>
      </c>
      <c r="O136" s="1" t="s">
        <v>13</v>
      </c>
      <c r="Q136" s="1">
        <v>0.05</v>
      </c>
      <c r="R136" s="1">
        <v>0.05</v>
      </c>
      <c r="S136" s="1" t="s">
        <v>27</v>
      </c>
      <c r="U136" s="1" t="s">
        <v>555</v>
      </c>
      <c r="V136" s="2" t="s">
        <v>27</v>
      </c>
      <c r="W136" s="2" t="s">
        <v>541</v>
      </c>
      <c r="X136" s="2" t="s">
        <v>27</v>
      </c>
      <c r="Y136" s="2" t="s">
        <v>27</v>
      </c>
    </row>
    <row r="137" spans="1:25" x14ac:dyDescent="0.2">
      <c r="A137" s="1">
        <v>2</v>
      </c>
      <c r="B137" s="1" t="s">
        <v>558</v>
      </c>
      <c r="C137" s="1" t="s">
        <v>27</v>
      </c>
      <c r="D137" s="1" t="s">
        <v>191</v>
      </c>
      <c r="F137" s="4">
        <v>45403</v>
      </c>
      <c r="G137" s="1" t="s">
        <v>27</v>
      </c>
      <c r="H137" s="2" t="s">
        <v>27</v>
      </c>
      <c r="I137" s="2" t="s">
        <v>27</v>
      </c>
      <c r="J137" s="2" t="s">
        <v>27</v>
      </c>
      <c r="K137" s="1" t="s">
        <v>27</v>
      </c>
      <c r="L137" s="1">
        <v>1</v>
      </c>
      <c r="M137" s="1" t="s">
        <v>13</v>
      </c>
      <c r="N137" s="1">
        <v>1</v>
      </c>
      <c r="O137" s="1" t="s">
        <v>13</v>
      </c>
      <c r="Q137" s="1">
        <v>0.05</v>
      </c>
      <c r="R137" s="1">
        <v>0.05</v>
      </c>
      <c r="S137" s="1" t="s">
        <v>27</v>
      </c>
      <c r="U137" s="1" t="s">
        <v>555</v>
      </c>
      <c r="V137" s="2" t="s">
        <v>27</v>
      </c>
      <c r="W137" s="2" t="s">
        <v>541</v>
      </c>
      <c r="X137" s="2" t="s">
        <v>27</v>
      </c>
      <c r="Y137" s="2" t="s">
        <v>27</v>
      </c>
    </row>
    <row r="138" spans="1:25" x14ac:dyDescent="0.2">
      <c r="A138" s="1">
        <v>2</v>
      </c>
      <c r="B138" s="1" t="s">
        <v>559</v>
      </c>
      <c r="C138" s="1" t="s">
        <v>27</v>
      </c>
      <c r="D138" s="1" t="s">
        <v>191</v>
      </c>
      <c r="F138" s="4">
        <v>45403</v>
      </c>
      <c r="G138" s="1" t="s">
        <v>27</v>
      </c>
      <c r="H138" s="2" t="s">
        <v>27</v>
      </c>
      <c r="I138" s="2" t="s">
        <v>27</v>
      </c>
      <c r="J138" s="2" t="s">
        <v>27</v>
      </c>
      <c r="K138" s="1" t="s">
        <v>27</v>
      </c>
      <c r="L138" s="1">
        <v>1</v>
      </c>
      <c r="M138" s="1" t="s">
        <v>14</v>
      </c>
      <c r="N138" s="1">
        <v>1</v>
      </c>
      <c r="O138" s="1" t="s">
        <v>14</v>
      </c>
      <c r="Q138" s="1">
        <v>0.05</v>
      </c>
      <c r="R138" s="1">
        <v>0.05</v>
      </c>
      <c r="S138" s="1" t="s">
        <v>27</v>
      </c>
      <c r="V138" s="2" t="s">
        <v>27</v>
      </c>
      <c r="W138" s="2" t="s">
        <v>541</v>
      </c>
      <c r="X138" s="2" t="s">
        <v>27</v>
      </c>
      <c r="Y138" s="2" t="s">
        <v>27</v>
      </c>
    </row>
    <row r="139" spans="1:25" x14ac:dyDescent="0.2">
      <c r="A139" s="1">
        <v>2</v>
      </c>
      <c r="B139" s="1" t="s">
        <v>559</v>
      </c>
      <c r="C139" s="1">
        <v>1</v>
      </c>
      <c r="D139" s="1" t="s">
        <v>120</v>
      </c>
      <c r="F139" s="4">
        <v>45404</v>
      </c>
      <c r="G139" s="1" t="s">
        <v>27</v>
      </c>
      <c r="H139" s="3">
        <v>0.22125</v>
      </c>
      <c r="I139" s="3">
        <v>1.4548611111111111E-2</v>
      </c>
      <c r="J139" s="3">
        <f>$H139 + $I139</f>
        <v>0.23579861111111111</v>
      </c>
      <c r="K139" s="1" t="s">
        <v>27</v>
      </c>
      <c r="L139" s="1">
        <v>1</v>
      </c>
      <c r="M139" s="1" t="s">
        <v>14</v>
      </c>
      <c r="N139" s="1">
        <v>1</v>
      </c>
      <c r="O139" s="1" t="s">
        <v>14</v>
      </c>
      <c r="Q139" s="1">
        <v>0.05</v>
      </c>
      <c r="R139" s="1">
        <v>0.05</v>
      </c>
      <c r="S139" s="1" t="s">
        <v>27</v>
      </c>
      <c r="U139" s="1" t="s">
        <v>573</v>
      </c>
      <c r="V139" s="2" t="s">
        <v>27</v>
      </c>
      <c r="W139" s="2" t="s">
        <v>541</v>
      </c>
      <c r="X139" s="2" t="s">
        <v>27</v>
      </c>
      <c r="Y139" s="2" t="s">
        <v>27</v>
      </c>
    </row>
    <row r="140" spans="1:25" x14ac:dyDescent="0.2">
      <c r="A140" s="1">
        <v>2</v>
      </c>
      <c r="B140" s="1" t="s">
        <v>558</v>
      </c>
      <c r="C140" s="1" t="s">
        <v>27</v>
      </c>
      <c r="D140" s="1" t="s">
        <v>120</v>
      </c>
      <c r="F140" s="4">
        <v>45404</v>
      </c>
      <c r="G140" s="1" t="s">
        <v>27</v>
      </c>
      <c r="H140" s="3">
        <v>0.22125</v>
      </c>
      <c r="I140" s="1" t="s">
        <v>27</v>
      </c>
      <c r="J140" s="1" t="s">
        <v>27</v>
      </c>
      <c r="K140" s="1" t="s">
        <v>27</v>
      </c>
      <c r="L140" s="1">
        <v>1</v>
      </c>
      <c r="M140" s="1" t="s">
        <v>13</v>
      </c>
      <c r="N140" s="1">
        <v>1</v>
      </c>
      <c r="O140" s="1" t="s">
        <v>13</v>
      </c>
      <c r="Q140" s="1">
        <v>0.05</v>
      </c>
      <c r="R140" s="1">
        <v>0.05</v>
      </c>
      <c r="S140" s="1" t="s">
        <v>27</v>
      </c>
      <c r="V140" s="2" t="s">
        <v>27</v>
      </c>
      <c r="W140" s="2" t="s">
        <v>541</v>
      </c>
      <c r="X140" s="2" t="s">
        <v>27</v>
      </c>
      <c r="Y140" s="2" t="s">
        <v>27</v>
      </c>
    </row>
    <row r="141" spans="1:25" x14ac:dyDescent="0.2">
      <c r="A141" s="1">
        <v>2</v>
      </c>
      <c r="B141" s="1" t="s">
        <v>559</v>
      </c>
      <c r="C141" s="1" t="s">
        <v>27</v>
      </c>
      <c r="D141" s="1" t="s">
        <v>262</v>
      </c>
      <c r="F141" s="4">
        <v>45405</v>
      </c>
      <c r="G141" s="1" t="s">
        <v>27</v>
      </c>
      <c r="H141" s="3">
        <v>0.22743055555555555</v>
      </c>
      <c r="I141" s="1" t="s">
        <v>27</v>
      </c>
      <c r="J141" s="1" t="s">
        <v>27</v>
      </c>
      <c r="K141" s="1" t="s">
        <v>27</v>
      </c>
      <c r="L141" s="1">
        <v>1</v>
      </c>
      <c r="M141" s="1" t="s">
        <v>14</v>
      </c>
      <c r="N141" s="1">
        <v>1</v>
      </c>
      <c r="O141" s="1" t="s">
        <v>14</v>
      </c>
      <c r="Q141" s="1">
        <v>0.05</v>
      </c>
      <c r="R141" s="1">
        <v>0.05</v>
      </c>
      <c r="S141" s="1" t="s">
        <v>27</v>
      </c>
      <c r="V141" s="2" t="s">
        <v>27</v>
      </c>
      <c r="W141" s="2" t="s">
        <v>541</v>
      </c>
      <c r="X141" s="2" t="s">
        <v>27</v>
      </c>
      <c r="Y141" s="2" t="s">
        <v>27</v>
      </c>
    </row>
    <row r="142" spans="1:25" x14ac:dyDescent="0.2">
      <c r="A142" s="1">
        <v>2</v>
      </c>
      <c r="B142" s="1" t="s">
        <v>558</v>
      </c>
      <c r="C142" s="1" t="s">
        <v>27</v>
      </c>
      <c r="D142" s="1" t="s">
        <v>262</v>
      </c>
      <c r="F142" s="4">
        <v>45405</v>
      </c>
      <c r="G142" s="1" t="s">
        <v>27</v>
      </c>
      <c r="H142" s="3">
        <v>0.22743055555555555</v>
      </c>
      <c r="I142" s="1" t="s">
        <v>27</v>
      </c>
      <c r="J142" s="1" t="s">
        <v>27</v>
      </c>
      <c r="K142" s="1" t="s">
        <v>27</v>
      </c>
      <c r="L142" s="1">
        <v>1</v>
      </c>
      <c r="M142" s="1" t="s">
        <v>13</v>
      </c>
      <c r="N142" s="1">
        <v>1</v>
      </c>
      <c r="O142" s="1" t="s">
        <v>13</v>
      </c>
      <c r="Q142" s="1">
        <v>0.05</v>
      </c>
      <c r="R142" s="1">
        <v>0.05</v>
      </c>
      <c r="S142" s="1" t="s">
        <v>27</v>
      </c>
      <c r="V142" s="2" t="s">
        <v>27</v>
      </c>
      <c r="W142" s="2" t="s">
        <v>541</v>
      </c>
      <c r="X142" s="2" t="s">
        <v>27</v>
      </c>
      <c r="Y142" s="2" t="s">
        <v>27</v>
      </c>
    </row>
    <row r="143" spans="1:25" x14ac:dyDescent="0.2">
      <c r="A143" s="1">
        <v>2</v>
      </c>
      <c r="B143" s="1" t="s">
        <v>575</v>
      </c>
      <c r="C143" s="1">
        <v>1</v>
      </c>
      <c r="D143" s="1" t="s">
        <v>263</v>
      </c>
      <c r="F143" s="4">
        <v>45405</v>
      </c>
      <c r="G143" s="3">
        <f>H143 + K143</f>
        <v>0.7804861111111111</v>
      </c>
      <c r="H143" s="3">
        <v>0.76578703703703699</v>
      </c>
      <c r="I143" s="3">
        <v>3.1944444444444446E-3</v>
      </c>
      <c r="J143" s="3">
        <f>$H143 + $I143</f>
        <v>0.76898148148148149</v>
      </c>
      <c r="K143" s="3">
        <v>1.4699074074074074E-2</v>
      </c>
      <c r="L143" s="1">
        <v>1</v>
      </c>
      <c r="M143" s="1" t="s">
        <v>14</v>
      </c>
      <c r="N143" s="1">
        <v>1</v>
      </c>
      <c r="O143" s="1" t="s">
        <v>14</v>
      </c>
      <c r="Q143" s="1">
        <v>0.05</v>
      </c>
      <c r="R143" s="1">
        <v>0.05</v>
      </c>
      <c r="S143" s="1">
        <v>1</v>
      </c>
      <c r="U143" s="1" t="s">
        <v>574</v>
      </c>
      <c r="V143" s="2" t="s">
        <v>27</v>
      </c>
      <c r="W143" s="2" t="s">
        <v>541</v>
      </c>
    </row>
    <row r="144" spans="1:25" x14ac:dyDescent="0.2">
      <c r="A144" s="1">
        <v>2</v>
      </c>
      <c r="B144" s="1" t="s">
        <v>576</v>
      </c>
      <c r="C144" s="1">
        <v>1</v>
      </c>
      <c r="D144" s="1" t="s">
        <v>263</v>
      </c>
      <c r="F144" s="4">
        <v>45405</v>
      </c>
      <c r="G144" s="3">
        <f>H144 + K144</f>
        <v>0.7818518518518518</v>
      </c>
      <c r="H144" s="3">
        <v>0.76578703703703699</v>
      </c>
      <c r="I144" s="3">
        <v>1.2048611111111111E-2</v>
      </c>
      <c r="J144" s="3">
        <f>$H144 + $I144</f>
        <v>0.7778356481481481</v>
      </c>
      <c r="K144" s="3">
        <v>1.6064814814814816E-2</v>
      </c>
      <c r="L144" s="1">
        <v>1</v>
      </c>
      <c r="M144" s="1" t="s">
        <v>13</v>
      </c>
      <c r="N144" s="1">
        <v>1</v>
      </c>
      <c r="O144" s="1" t="s">
        <v>13</v>
      </c>
      <c r="Q144" s="1">
        <v>0.05</v>
      </c>
      <c r="R144" s="1">
        <v>0.05</v>
      </c>
      <c r="S144" s="1">
        <v>1</v>
      </c>
      <c r="U144" s="1" t="s">
        <v>577</v>
      </c>
      <c r="V144" s="2" t="s">
        <v>27</v>
      </c>
      <c r="W144" s="2" t="s">
        <v>541</v>
      </c>
    </row>
    <row r="145" spans="1:23" x14ac:dyDescent="0.2">
      <c r="A145" s="1">
        <v>2</v>
      </c>
      <c r="B145" s="1" t="s">
        <v>575</v>
      </c>
      <c r="C145" s="1" t="s">
        <v>27</v>
      </c>
      <c r="D145" s="1" t="s">
        <v>119</v>
      </c>
      <c r="F145" s="4">
        <v>45406</v>
      </c>
      <c r="G145" s="1" t="s">
        <v>27</v>
      </c>
      <c r="H145" s="3">
        <v>0.22142361111111111</v>
      </c>
      <c r="I145" s="1" t="s">
        <v>27</v>
      </c>
      <c r="J145" s="1" t="s">
        <v>27</v>
      </c>
      <c r="K145" s="1" t="s">
        <v>27</v>
      </c>
      <c r="L145" s="1">
        <v>1</v>
      </c>
      <c r="M145" s="1" t="s">
        <v>13</v>
      </c>
      <c r="N145" s="1">
        <v>1</v>
      </c>
      <c r="O145" s="1" t="s">
        <v>13</v>
      </c>
      <c r="Q145" s="1">
        <v>0.05</v>
      </c>
      <c r="R145" s="1">
        <v>0.05</v>
      </c>
      <c r="S145" s="1" t="s">
        <v>27</v>
      </c>
      <c r="U145" s="1" t="s">
        <v>578</v>
      </c>
      <c r="V145" s="1" t="s">
        <v>27</v>
      </c>
      <c r="W145" s="2" t="s">
        <v>541</v>
      </c>
    </row>
    <row r="146" spans="1:23" x14ac:dyDescent="0.2">
      <c r="A146" s="1">
        <v>2</v>
      </c>
      <c r="B146" s="1" t="s">
        <v>576</v>
      </c>
      <c r="C146" s="1" t="s">
        <v>27</v>
      </c>
      <c r="D146" s="1" t="s">
        <v>119</v>
      </c>
      <c r="F146" s="4">
        <v>45406</v>
      </c>
      <c r="G146" s="1" t="s">
        <v>27</v>
      </c>
      <c r="H146" s="3">
        <v>0.22142361111111111</v>
      </c>
      <c r="I146" s="1" t="s">
        <v>27</v>
      </c>
      <c r="J146" s="1" t="s">
        <v>27</v>
      </c>
      <c r="K146" s="1" t="s">
        <v>27</v>
      </c>
      <c r="L146" s="1">
        <v>1</v>
      </c>
      <c r="M146" s="1" t="s">
        <v>14</v>
      </c>
      <c r="N146" s="1">
        <v>1</v>
      </c>
      <c r="O146" s="1" t="s">
        <v>14</v>
      </c>
      <c r="Q146" s="1">
        <v>0.05</v>
      </c>
      <c r="R146" s="1">
        <v>0.05</v>
      </c>
      <c r="S146" s="1" t="s">
        <v>85</v>
      </c>
      <c r="V146" s="1" t="s">
        <v>27</v>
      </c>
      <c r="W146" s="2" t="s">
        <v>541</v>
      </c>
    </row>
    <row r="147" spans="1:23" x14ac:dyDescent="0.2">
      <c r="A147" s="1">
        <v>2</v>
      </c>
      <c r="B147" s="1" t="s">
        <v>558</v>
      </c>
      <c r="C147" s="1">
        <v>1</v>
      </c>
      <c r="D147" s="1" t="s">
        <v>582</v>
      </c>
      <c r="F147" s="4">
        <v>45411</v>
      </c>
      <c r="G147" s="3">
        <v>0.25972222222222224</v>
      </c>
      <c r="H147" s="1" t="s">
        <v>27</v>
      </c>
      <c r="I147" s="3">
        <v>1.8564814814814815E-2</v>
      </c>
      <c r="J147" s="3">
        <v>0.25243055555555555</v>
      </c>
      <c r="K147" s="3">
        <v>1.1689814814814816E-3</v>
      </c>
      <c r="L147" s="1">
        <v>1</v>
      </c>
      <c r="M147" s="1" t="s">
        <v>14</v>
      </c>
      <c r="N147" s="1">
        <v>2</v>
      </c>
      <c r="O147" s="1" t="s">
        <v>13</v>
      </c>
      <c r="Q147" s="1">
        <v>0.1</v>
      </c>
      <c r="R147" s="1">
        <v>0.1</v>
      </c>
      <c r="S147" s="1">
        <v>0</v>
      </c>
      <c r="U147" s="1" t="s">
        <v>584</v>
      </c>
      <c r="V147" s="1" t="s">
        <v>27</v>
      </c>
      <c r="W147" s="2" t="s">
        <v>541</v>
      </c>
    </row>
    <row r="148" spans="1:23" x14ac:dyDescent="0.2">
      <c r="A148" s="1">
        <v>2</v>
      </c>
      <c r="B148" s="1" t="s">
        <v>558</v>
      </c>
      <c r="C148" s="1">
        <v>1</v>
      </c>
      <c r="D148" s="1" t="s">
        <v>128</v>
      </c>
      <c r="F148" s="4">
        <v>45411</v>
      </c>
      <c r="G148" s="3">
        <f>H148 + K148</f>
        <v>0.77131944444444445</v>
      </c>
      <c r="H148" s="3">
        <v>0.76197916666666665</v>
      </c>
      <c r="I148" s="3">
        <v>4.7453703703703703E-3</v>
      </c>
      <c r="J148" s="3">
        <f>$H148 + $I148</f>
        <v>0.76672453703703702</v>
      </c>
      <c r="K148" s="3">
        <v>9.3402777777777772E-3</v>
      </c>
      <c r="L148" s="1">
        <v>2</v>
      </c>
      <c r="M148" s="1" t="s">
        <v>13</v>
      </c>
      <c r="N148" s="1">
        <v>2</v>
      </c>
      <c r="O148" s="1" t="s">
        <v>13</v>
      </c>
      <c r="Q148" s="1">
        <v>0.1</v>
      </c>
      <c r="R148" s="1">
        <v>0.1</v>
      </c>
      <c r="S148" s="1">
        <v>1</v>
      </c>
      <c r="U148" s="1" t="s">
        <v>593</v>
      </c>
      <c r="V148" s="1" t="s">
        <v>27</v>
      </c>
      <c r="W148" s="2" t="s">
        <v>541</v>
      </c>
    </row>
    <row r="149" spans="1:23" x14ac:dyDescent="0.2">
      <c r="A149" s="1">
        <v>2</v>
      </c>
      <c r="B149" s="1" t="s">
        <v>575</v>
      </c>
      <c r="C149" s="1" t="s">
        <v>27</v>
      </c>
      <c r="D149" s="1" t="s">
        <v>128</v>
      </c>
      <c r="F149" s="4">
        <v>45411</v>
      </c>
      <c r="G149" s="1" t="s">
        <v>27</v>
      </c>
      <c r="H149" s="3">
        <v>0.76197916666666665</v>
      </c>
      <c r="I149" s="1" t="s">
        <v>27</v>
      </c>
      <c r="J149" s="1" t="s">
        <v>27</v>
      </c>
      <c r="K149" s="1" t="s">
        <v>27</v>
      </c>
      <c r="L149" s="1">
        <v>2</v>
      </c>
      <c r="M149" s="1" t="s">
        <v>14</v>
      </c>
      <c r="N149" s="1">
        <v>2</v>
      </c>
      <c r="O149" s="1" t="s">
        <v>13</v>
      </c>
      <c r="Q149" s="1">
        <v>0.1</v>
      </c>
      <c r="R149" s="1">
        <v>0.1</v>
      </c>
      <c r="S149" s="1" t="s">
        <v>27</v>
      </c>
      <c r="V149" s="1" t="s">
        <v>27</v>
      </c>
      <c r="W149" s="2" t="s">
        <v>541</v>
      </c>
    </row>
    <row r="150" spans="1:23" x14ac:dyDescent="0.2">
      <c r="A150" s="1">
        <v>2</v>
      </c>
      <c r="B150" s="1" t="s">
        <v>575</v>
      </c>
      <c r="C150" s="1">
        <v>1</v>
      </c>
      <c r="D150" s="1" t="s">
        <v>582</v>
      </c>
      <c r="F150" s="4">
        <v>45411</v>
      </c>
      <c r="G150" s="3">
        <v>0.24861111111111112</v>
      </c>
      <c r="H150" s="1" t="s">
        <v>27</v>
      </c>
      <c r="I150" s="1" t="s">
        <v>27</v>
      </c>
      <c r="J150" s="1" t="s">
        <v>27</v>
      </c>
      <c r="K150" s="3">
        <v>1.4699074074074074E-2</v>
      </c>
      <c r="L150" s="1">
        <v>1</v>
      </c>
      <c r="M150" s="1" t="s">
        <v>14</v>
      </c>
      <c r="N150" s="1">
        <v>1</v>
      </c>
      <c r="O150" s="1" t="s">
        <v>13</v>
      </c>
      <c r="Q150" s="1">
        <v>0.1</v>
      </c>
      <c r="R150" s="1">
        <v>0.1</v>
      </c>
      <c r="S150" s="1" t="s">
        <v>27</v>
      </c>
      <c r="U150" s="1" t="s">
        <v>583</v>
      </c>
      <c r="V150" s="1" t="s">
        <v>27</v>
      </c>
      <c r="W150" s="2" t="s">
        <v>541</v>
      </c>
    </row>
    <row r="151" spans="1:23" x14ac:dyDescent="0.2">
      <c r="A151" s="1">
        <v>2</v>
      </c>
      <c r="B151" s="1" t="s">
        <v>575</v>
      </c>
      <c r="C151" s="1">
        <v>1</v>
      </c>
      <c r="D151" s="1" t="s">
        <v>178</v>
      </c>
      <c r="E151" s="1" t="s">
        <v>693</v>
      </c>
      <c r="F151" s="4">
        <v>45412</v>
      </c>
      <c r="G151" s="3">
        <f t="shared" ref="G151:G160" si="6">H151 + K151</f>
        <v>0.26519675925925923</v>
      </c>
      <c r="H151" s="3">
        <v>0.21716435185185184</v>
      </c>
      <c r="I151" s="1" t="s">
        <v>27</v>
      </c>
      <c r="J151" s="1" t="s">
        <v>27</v>
      </c>
      <c r="K151" s="3">
        <v>4.8032407407407406E-2</v>
      </c>
      <c r="L151" s="1">
        <v>2</v>
      </c>
      <c r="M151" s="1" t="s">
        <v>13</v>
      </c>
      <c r="N151" s="1">
        <v>2</v>
      </c>
      <c r="O151" s="1" t="s">
        <v>13</v>
      </c>
      <c r="Q151" s="1">
        <v>0.1</v>
      </c>
      <c r="R151" s="1">
        <v>0.1</v>
      </c>
      <c r="S151" s="1">
        <v>0</v>
      </c>
      <c r="U151" s="1" t="s">
        <v>692</v>
      </c>
      <c r="V151" s="1" t="s">
        <v>27</v>
      </c>
      <c r="W151" s="2" t="s">
        <v>541</v>
      </c>
    </row>
    <row r="152" spans="1:23" x14ac:dyDescent="0.2">
      <c r="A152" s="1">
        <v>2</v>
      </c>
      <c r="B152" s="1" t="s">
        <v>558</v>
      </c>
      <c r="C152" s="1">
        <v>1</v>
      </c>
      <c r="D152" s="1" t="s">
        <v>178</v>
      </c>
      <c r="E152" s="1" t="s">
        <v>671</v>
      </c>
      <c r="F152" s="4">
        <v>45412</v>
      </c>
      <c r="G152" s="3">
        <f t="shared" si="6"/>
        <v>0.28041666666666665</v>
      </c>
      <c r="H152" s="3">
        <v>0.21716435185185184</v>
      </c>
      <c r="I152" s="3">
        <v>2.7430555555555555E-2</v>
      </c>
      <c r="J152" s="3">
        <f>$H152 + $I152</f>
        <v>0.24459490740740741</v>
      </c>
      <c r="K152" s="3">
        <v>6.3252314814814817E-2</v>
      </c>
      <c r="L152" s="1">
        <v>2</v>
      </c>
      <c r="M152" s="1" t="s">
        <v>14</v>
      </c>
      <c r="N152" s="1">
        <v>2</v>
      </c>
      <c r="O152" s="1" t="s">
        <v>14</v>
      </c>
      <c r="Q152" s="1">
        <v>0.1</v>
      </c>
      <c r="R152" s="1">
        <v>0.1</v>
      </c>
      <c r="S152" s="1">
        <v>1</v>
      </c>
      <c r="V152" s="1" t="s">
        <v>27</v>
      </c>
      <c r="W152" s="2" t="s">
        <v>541</v>
      </c>
    </row>
    <row r="153" spans="1:23" x14ac:dyDescent="0.2">
      <c r="A153" s="1">
        <v>2</v>
      </c>
      <c r="B153" s="1" t="s">
        <v>575</v>
      </c>
      <c r="C153" s="1">
        <v>1</v>
      </c>
      <c r="D153" s="1" t="s">
        <v>800</v>
      </c>
      <c r="F153" s="4">
        <v>45412</v>
      </c>
      <c r="G153" s="3">
        <f t="shared" si="6"/>
        <v>0.7833796296296297</v>
      </c>
      <c r="H153" s="3">
        <v>0.76178240740740744</v>
      </c>
      <c r="I153" s="3">
        <v>1.8587962962962962E-2</v>
      </c>
      <c r="J153" s="3">
        <f>$H153 + $I153</f>
        <v>0.78037037037037038</v>
      </c>
      <c r="K153" s="3">
        <v>2.1597222222222223E-2</v>
      </c>
      <c r="L153" s="1">
        <v>2</v>
      </c>
      <c r="M153" s="1" t="s">
        <v>13</v>
      </c>
      <c r="N153" s="1">
        <v>2</v>
      </c>
      <c r="O153" s="1" t="s">
        <v>14</v>
      </c>
      <c r="Q153" s="1">
        <v>0.1</v>
      </c>
      <c r="R153" s="1">
        <v>0.1</v>
      </c>
      <c r="S153" s="1">
        <v>0</v>
      </c>
      <c r="U153" s="1" t="s">
        <v>604</v>
      </c>
      <c r="V153" s="1" t="s">
        <v>27</v>
      </c>
      <c r="W153" s="2" t="s">
        <v>541</v>
      </c>
    </row>
    <row r="154" spans="1:23" x14ac:dyDescent="0.2">
      <c r="A154" s="1">
        <v>2</v>
      </c>
      <c r="B154" s="1" t="s">
        <v>558</v>
      </c>
      <c r="C154" s="1">
        <v>1</v>
      </c>
      <c r="D154" s="1" t="s">
        <v>800</v>
      </c>
      <c r="F154" s="4">
        <v>45412</v>
      </c>
      <c r="G154" s="3">
        <f t="shared" si="6"/>
        <v>0.77048611111111109</v>
      </c>
      <c r="H154" s="3">
        <v>0.76178240740740744</v>
      </c>
      <c r="I154" s="1" t="s">
        <v>27</v>
      </c>
      <c r="J154" s="1" t="s">
        <v>27</v>
      </c>
      <c r="K154" s="3">
        <v>8.7037037037037031E-3</v>
      </c>
      <c r="L154" s="1">
        <v>2</v>
      </c>
      <c r="M154" s="1" t="s">
        <v>14</v>
      </c>
      <c r="N154" s="1">
        <v>2</v>
      </c>
      <c r="O154" s="1" t="s">
        <v>14</v>
      </c>
      <c r="Q154" s="1">
        <v>0.1</v>
      </c>
      <c r="R154" s="1">
        <v>0.1</v>
      </c>
      <c r="S154" s="1">
        <v>1</v>
      </c>
      <c r="U154" s="1" t="s">
        <v>499</v>
      </c>
      <c r="V154" s="1" t="s">
        <v>27</v>
      </c>
      <c r="W154" s="2" t="s">
        <v>541</v>
      </c>
    </row>
    <row r="155" spans="1:23" x14ac:dyDescent="0.2">
      <c r="A155" s="1">
        <v>2</v>
      </c>
      <c r="B155" s="1" t="s">
        <v>558</v>
      </c>
      <c r="C155" s="1">
        <v>1</v>
      </c>
      <c r="D155" s="1" t="s">
        <v>299</v>
      </c>
      <c r="F155" s="4">
        <v>45413</v>
      </c>
      <c r="G155" s="3">
        <f t="shared" si="6"/>
        <v>0.76872685185185186</v>
      </c>
      <c r="H155" s="3">
        <v>0.76399305555555552</v>
      </c>
      <c r="I155" s="1" t="s">
        <v>27</v>
      </c>
      <c r="J155" s="1" t="s">
        <v>27</v>
      </c>
      <c r="K155" s="3">
        <v>4.7337962962962967E-3</v>
      </c>
      <c r="L155" s="1">
        <v>2</v>
      </c>
      <c r="M155" s="1" t="s">
        <v>13</v>
      </c>
      <c r="N155" s="1">
        <v>2</v>
      </c>
      <c r="O155" s="1" t="s">
        <v>13</v>
      </c>
      <c r="Q155" s="1">
        <v>0.1</v>
      </c>
      <c r="R155" s="1">
        <v>0.1</v>
      </c>
      <c r="S155" s="1">
        <v>0</v>
      </c>
      <c r="U155" s="1" t="s">
        <v>499</v>
      </c>
      <c r="V155" s="1" t="s">
        <v>27</v>
      </c>
      <c r="W155" s="2" t="s">
        <v>541</v>
      </c>
    </row>
    <row r="156" spans="1:23" x14ac:dyDescent="0.2">
      <c r="A156" s="1">
        <v>2</v>
      </c>
      <c r="B156" s="1" t="s">
        <v>575</v>
      </c>
      <c r="C156" s="1">
        <v>1</v>
      </c>
      <c r="D156" s="1" t="s">
        <v>299</v>
      </c>
      <c r="F156" s="4">
        <v>45413</v>
      </c>
      <c r="G156" s="3">
        <f t="shared" si="6"/>
        <v>0.77984953703703697</v>
      </c>
      <c r="H156" s="3">
        <v>0.76399305555555552</v>
      </c>
      <c r="I156" s="3">
        <v>8.2870370370370372E-3</v>
      </c>
      <c r="J156" s="3">
        <f>$H156 + $I156</f>
        <v>0.77228009259259256</v>
      </c>
      <c r="K156" s="3">
        <v>1.5856481481481482E-2</v>
      </c>
      <c r="L156" s="1">
        <v>2</v>
      </c>
      <c r="M156" s="1" t="s">
        <v>14</v>
      </c>
      <c r="N156" s="1">
        <v>2</v>
      </c>
      <c r="O156" s="1" t="s">
        <v>14</v>
      </c>
      <c r="Q156" s="1">
        <v>0.1</v>
      </c>
      <c r="R156" s="1">
        <v>0.1</v>
      </c>
      <c r="S156" s="1">
        <v>0</v>
      </c>
      <c r="V156" s="1" t="s">
        <v>27</v>
      </c>
      <c r="W156" s="2" t="s">
        <v>541</v>
      </c>
    </row>
    <row r="157" spans="1:23" x14ac:dyDescent="0.2">
      <c r="A157" s="1">
        <v>2</v>
      </c>
      <c r="B157" s="1" t="s">
        <v>575</v>
      </c>
      <c r="C157" s="1">
        <v>2</v>
      </c>
      <c r="D157" s="1" t="s">
        <v>299</v>
      </c>
      <c r="F157" s="4">
        <v>45413</v>
      </c>
      <c r="G157" s="3">
        <f t="shared" si="6"/>
        <v>0.78475694444444444</v>
      </c>
      <c r="H157" s="3">
        <v>0.76399305555555552</v>
      </c>
      <c r="I157" s="3">
        <v>1.6724537037037038E-2</v>
      </c>
      <c r="J157" s="3">
        <f>$H157 + $I157</f>
        <v>0.78071759259259255</v>
      </c>
      <c r="K157" s="3">
        <v>2.0763888888888887E-2</v>
      </c>
      <c r="L157" s="1">
        <v>2</v>
      </c>
      <c r="M157" s="1" t="s">
        <v>14</v>
      </c>
      <c r="N157" s="1">
        <v>2</v>
      </c>
      <c r="O157" s="1" t="s">
        <v>14</v>
      </c>
      <c r="Q157" s="1">
        <v>0.1</v>
      </c>
      <c r="R157" s="1">
        <v>0.1</v>
      </c>
      <c r="S157" s="1">
        <v>0</v>
      </c>
      <c r="V157" s="1" t="s">
        <v>27</v>
      </c>
      <c r="W157" s="2" t="s">
        <v>541</v>
      </c>
    </row>
    <row r="158" spans="1:23" x14ac:dyDescent="0.2">
      <c r="A158" s="1">
        <v>2</v>
      </c>
      <c r="B158" s="1" t="s">
        <v>575</v>
      </c>
      <c r="C158" s="1">
        <v>1</v>
      </c>
      <c r="D158" s="1" t="s">
        <v>180</v>
      </c>
      <c r="F158" s="4">
        <v>45413</v>
      </c>
      <c r="G158" s="3">
        <f t="shared" si="6"/>
        <v>0.22903935185185184</v>
      </c>
      <c r="H158" s="3">
        <v>0.21650462962962963</v>
      </c>
      <c r="I158" s="1" t="s">
        <v>27</v>
      </c>
      <c r="J158" s="1" t="s">
        <v>27</v>
      </c>
      <c r="K158" s="3">
        <v>1.2534722222222221E-2</v>
      </c>
      <c r="L158" s="1">
        <v>2</v>
      </c>
      <c r="M158" s="1" t="s">
        <v>13</v>
      </c>
      <c r="N158" s="1">
        <v>2</v>
      </c>
      <c r="O158" s="1" t="s">
        <v>13</v>
      </c>
      <c r="Q158" s="1">
        <v>0.1</v>
      </c>
      <c r="R158" s="1">
        <v>0.1</v>
      </c>
      <c r="S158" s="1">
        <v>0</v>
      </c>
      <c r="U158" s="1" t="s">
        <v>600</v>
      </c>
      <c r="V158" s="1" t="s">
        <v>27</v>
      </c>
      <c r="W158" s="2" t="s">
        <v>541</v>
      </c>
    </row>
    <row r="159" spans="1:23" x14ac:dyDescent="0.2">
      <c r="A159" s="1">
        <v>2</v>
      </c>
      <c r="B159" s="1" t="s">
        <v>575</v>
      </c>
      <c r="C159" s="1">
        <v>2</v>
      </c>
      <c r="D159" s="1" t="s">
        <v>180</v>
      </c>
      <c r="F159" s="4">
        <v>45413</v>
      </c>
      <c r="G159" s="3">
        <f t="shared" si="6"/>
        <v>0.24969907407407407</v>
      </c>
      <c r="H159" s="3">
        <v>0.21650462962962963</v>
      </c>
      <c r="I159" s="3">
        <v>2.2037037037037036E-2</v>
      </c>
      <c r="J159" s="3">
        <f>$H159 + $I159</f>
        <v>0.23854166666666665</v>
      </c>
      <c r="K159" s="3">
        <v>3.3194444444444443E-2</v>
      </c>
      <c r="L159" s="1">
        <v>2</v>
      </c>
      <c r="M159" s="1" t="s">
        <v>13</v>
      </c>
      <c r="N159" s="1">
        <v>2</v>
      </c>
      <c r="O159" s="1" t="s">
        <v>14</v>
      </c>
      <c r="Q159" s="1">
        <v>0.1</v>
      </c>
      <c r="R159" s="1">
        <v>0.1</v>
      </c>
      <c r="S159" s="1">
        <v>0</v>
      </c>
      <c r="U159" s="1" t="s">
        <v>601</v>
      </c>
      <c r="V159" s="1" t="s">
        <v>27</v>
      </c>
      <c r="W159" s="2" t="s">
        <v>541</v>
      </c>
    </row>
    <row r="160" spans="1:23" x14ac:dyDescent="0.2">
      <c r="A160" s="1">
        <v>2</v>
      </c>
      <c r="B160" s="1" t="s">
        <v>575</v>
      </c>
      <c r="C160" s="1">
        <v>3</v>
      </c>
      <c r="D160" s="1" t="s">
        <v>180</v>
      </c>
      <c r="F160" s="4">
        <v>45413</v>
      </c>
      <c r="G160" s="3">
        <f t="shared" si="6"/>
        <v>0.26141203703703703</v>
      </c>
      <c r="H160" s="3">
        <v>0.21650462962962963</v>
      </c>
      <c r="I160" s="3">
        <v>3.5069444444444445E-2</v>
      </c>
      <c r="J160" s="3">
        <f>$H160 + $I160</f>
        <v>0.25157407407407406</v>
      </c>
      <c r="K160" s="3">
        <v>4.490740740740741E-2</v>
      </c>
      <c r="L160" s="1">
        <v>2</v>
      </c>
      <c r="M160" s="1" t="s">
        <v>14</v>
      </c>
      <c r="N160" s="1">
        <v>1</v>
      </c>
      <c r="O160" s="1" t="s">
        <v>14</v>
      </c>
      <c r="Q160" s="1">
        <v>0.1</v>
      </c>
      <c r="R160" s="1">
        <v>0.1</v>
      </c>
      <c r="S160" s="1">
        <v>0</v>
      </c>
      <c r="U160" s="1" t="s">
        <v>602</v>
      </c>
      <c r="V160" s="1" t="s">
        <v>27</v>
      </c>
      <c r="W160" s="2" t="s">
        <v>541</v>
      </c>
    </row>
    <row r="161" spans="1:23" x14ac:dyDescent="0.2">
      <c r="A161" s="1">
        <v>2</v>
      </c>
      <c r="B161" s="1" t="s">
        <v>558</v>
      </c>
      <c r="C161" s="1">
        <v>1</v>
      </c>
      <c r="D161" s="1" t="s">
        <v>180</v>
      </c>
      <c r="F161" s="4">
        <v>45413</v>
      </c>
      <c r="G161" s="1" t="s">
        <v>27</v>
      </c>
      <c r="H161" s="3">
        <v>0.21650462962962963</v>
      </c>
      <c r="I161" s="3">
        <v>3.3888888888888892E-2</v>
      </c>
      <c r="J161" s="3">
        <f>$H161 + $I161</f>
        <v>0.25039351851851854</v>
      </c>
      <c r="K161" s="1" t="s">
        <v>27</v>
      </c>
      <c r="L161" s="1">
        <v>2</v>
      </c>
      <c r="M161" s="1" t="s">
        <v>13</v>
      </c>
      <c r="N161" s="1">
        <v>2</v>
      </c>
      <c r="O161" s="1" t="s">
        <v>13</v>
      </c>
      <c r="Q161" s="1">
        <v>0.1</v>
      </c>
      <c r="R161" s="1">
        <v>0.1</v>
      </c>
      <c r="S161" s="1" t="s">
        <v>27</v>
      </c>
      <c r="U161" s="1" t="s">
        <v>603</v>
      </c>
      <c r="V161" s="1" t="s">
        <v>27</v>
      </c>
      <c r="W161" s="2" t="s">
        <v>541</v>
      </c>
    </row>
    <row r="162" spans="1:23" x14ac:dyDescent="0.2">
      <c r="A162" s="1">
        <v>2</v>
      </c>
      <c r="B162" s="1" t="s">
        <v>558</v>
      </c>
      <c r="C162" s="1">
        <v>1</v>
      </c>
      <c r="D162" s="1" t="s">
        <v>780</v>
      </c>
      <c r="F162" s="4">
        <v>45414</v>
      </c>
      <c r="G162" s="3">
        <f>H162 + K162</f>
        <v>0.3130324074074074</v>
      </c>
      <c r="H162" s="3">
        <v>0.21917824074074074</v>
      </c>
      <c r="I162" s="3">
        <v>2.0856481481481483E-2</v>
      </c>
      <c r="J162" s="3">
        <f>$H162 + $I162</f>
        <v>0.24003472222222222</v>
      </c>
      <c r="K162" s="3">
        <v>9.3854166666666669E-2</v>
      </c>
      <c r="L162" s="1">
        <v>2</v>
      </c>
      <c r="M162" s="1" t="s">
        <v>14</v>
      </c>
      <c r="N162" s="1">
        <v>2</v>
      </c>
      <c r="O162" s="1" t="s">
        <v>14</v>
      </c>
      <c r="Q162" s="1">
        <v>0.1</v>
      </c>
      <c r="R162" s="1">
        <v>0.1</v>
      </c>
      <c r="S162" s="1">
        <v>1</v>
      </c>
      <c r="U162" s="1" t="s">
        <v>598</v>
      </c>
      <c r="V162" s="1" t="s">
        <v>27</v>
      </c>
      <c r="W162" s="2" t="s">
        <v>541</v>
      </c>
    </row>
    <row r="163" spans="1:23" x14ac:dyDescent="0.2">
      <c r="A163" s="1">
        <v>2</v>
      </c>
      <c r="B163" s="1" t="s">
        <v>575</v>
      </c>
      <c r="C163" s="1">
        <v>1</v>
      </c>
      <c r="D163" s="1" t="s">
        <v>780</v>
      </c>
      <c r="F163" s="4">
        <v>45414</v>
      </c>
      <c r="G163" s="3">
        <f>H163 + K163</f>
        <v>0.24927083333333333</v>
      </c>
      <c r="H163" s="3">
        <v>0.21917824074074074</v>
      </c>
      <c r="I163" s="3">
        <v>9.7453703703703695E-3</v>
      </c>
      <c r="J163" s="3">
        <f>$H163 + $I163</f>
        <v>0.22892361111111112</v>
      </c>
      <c r="K163" s="3">
        <v>3.0092592592592591E-2</v>
      </c>
      <c r="L163" s="1">
        <v>2</v>
      </c>
      <c r="M163" s="1" t="s">
        <v>13</v>
      </c>
      <c r="N163" s="1">
        <v>2</v>
      </c>
      <c r="O163" s="1" t="s">
        <v>13</v>
      </c>
      <c r="Q163" s="1">
        <v>0.1</v>
      </c>
      <c r="R163" s="1">
        <v>0.1</v>
      </c>
      <c r="S163" s="1">
        <v>0</v>
      </c>
      <c r="U163" s="1" t="s">
        <v>599</v>
      </c>
      <c r="V163" s="1" t="s">
        <v>27</v>
      </c>
      <c r="W163" s="2" t="s">
        <v>541</v>
      </c>
    </row>
    <row r="164" spans="1:23" x14ac:dyDescent="0.2">
      <c r="A164" s="1">
        <v>2</v>
      </c>
      <c r="B164" s="1" t="s">
        <v>575</v>
      </c>
      <c r="C164" s="1">
        <v>1</v>
      </c>
      <c r="D164" s="1" t="s">
        <v>303</v>
      </c>
      <c r="F164" s="4">
        <v>45414</v>
      </c>
      <c r="G164" s="3">
        <f>H164 + K164</f>
        <v>0.76692129629629635</v>
      </c>
      <c r="H164" s="3">
        <v>0.75787037037037042</v>
      </c>
      <c r="I164" s="1" t="s">
        <v>27</v>
      </c>
      <c r="J164" s="1" t="s">
        <v>27</v>
      </c>
      <c r="K164" s="3">
        <v>9.0509259259259258E-3</v>
      </c>
      <c r="L164" s="1">
        <v>2</v>
      </c>
      <c r="M164" s="1" t="s">
        <v>13</v>
      </c>
      <c r="N164" s="1">
        <v>2</v>
      </c>
      <c r="O164" s="1" t="s">
        <v>14</v>
      </c>
      <c r="Q164" s="1">
        <v>0.1</v>
      </c>
      <c r="R164" s="1">
        <v>0.1</v>
      </c>
      <c r="S164" s="1">
        <v>0</v>
      </c>
      <c r="U164" s="1" t="s">
        <v>609</v>
      </c>
      <c r="V164" s="1" t="s">
        <v>27</v>
      </c>
      <c r="W164" s="2" t="s">
        <v>541</v>
      </c>
    </row>
    <row r="165" spans="1:23" x14ac:dyDescent="0.2">
      <c r="A165" s="1">
        <v>2</v>
      </c>
      <c r="B165" s="1" t="s">
        <v>558</v>
      </c>
      <c r="C165" s="1">
        <v>1</v>
      </c>
      <c r="D165" s="1" t="s">
        <v>303</v>
      </c>
      <c r="F165" s="4">
        <v>45414</v>
      </c>
      <c r="G165" s="3">
        <f>H165 + K165</f>
        <v>0.77929398148148155</v>
      </c>
      <c r="H165" s="3">
        <v>0.75787037037037042</v>
      </c>
      <c r="I165" s="1" t="s">
        <v>27</v>
      </c>
      <c r="J165" s="1" t="s">
        <v>27</v>
      </c>
      <c r="K165" s="3">
        <v>2.1423611111111112E-2</v>
      </c>
      <c r="L165" s="1">
        <v>2</v>
      </c>
      <c r="M165" s="1" t="s">
        <v>14</v>
      </c>
      <c r="N165" s="1">
        <v>2</v>
      </c>
      <c r="O165" s="1" t="s">
        <v>13</v>
      </c>
      <c r="Q165" s="1">
        <v>0.1</v>
      </c>
      <c r="R165" s="1">
        <v>0.1</v>
      </c>
      <c r="S165" s="1">
        <v>0</v>
      </c>
      <c r="U165" s="1" t="s">
        <v>608</v>
      </c>
      <c r="V165" s="1" t="s">
        <v>27</v>
      </c>
      <c r="W165" s="2" t="s">
        <v>541</v>
      </c>
    </row>
    <row r="166" spans="1:23" x14ac:dyDescent="0.2">
      <c r="A166" s="1">
        <v>2</v>
      </c>
      <c r="B166" s="1" t="s">
        <v>558</v>
      </c>
      <c r="C166" s="1">
        <v>1</v>
      </c>
      <c r="D166" s="1" t="s">
        <v>127</v>
      </c>
      <c r="F166" s="4">
        <v>45409</v>
      </c>
      <c r="G166" s="3">
        <v>0.77035879629629633</v>
      </c>
      <c r="H166" s="3">
        <v>0.77035879629629633</v>
      </c>
      <c r="I166" s="1" t="s">
        <v>27</v>
      </c>
      <c r="J166" s="1" t="s">
        <v>27</v>
      </c>
      <c r="K166" s="3">
        <v>8.5532407407407415E-3</v>
      </c>
      <c r="L166" s="1">
        <v>1</v>
      </c>
      <c r="M166" s="1" t="s">
        <v>14</v>
      </c>
      <c r="N166" s="1">
        <v>1</v>
      </c>
      <c r="O166" s="1" t="s">
        <v>14</v>
      </c>
      <c r="Q166" s="1">
        <v>0.05</v>
      </c>
      <c r="R166" s="1">
        <v>0.05</v>
      </c>
      <c r="S166" s="1">
        <v>1</v>
      </c>
      <c r="U166" s="1" t="s">
        <v>499</v>
      </c>
      <c r="V166" s="1" t="s">
        <v>27</v>
      </c>
      <c r="W166" s="2" t="s">
        <v>541</v>
      </c>
    </row>
    <row r="167" spans="1:23" x14ac:dyDescent="0.2">
      <c r="A167" s="1">
        <v>2</v>
      </c>
      <c r="B167" s="1" t="s">
        <v>575</v>
      </c>
      <c r="C167" s="1" t="s">
        <v>27</v>
      </c>
      <c r="D167" s="1" t="s">
        <v>127</v>
      </c>
      <c r="F167" s="4">
        <v>45409</v>
      </c>
      <c r="G167" s="1" t="s">
        <v>27</v>
      </c>
      <c r="H167" s="3">
        <v>0.77035879629629633</v>
      </c>
      <c r="I167" s="1" t="s">
        <v>27</v>
      </c>
      <c r="J167" s="1" t="s">
        <v>27</v>
      </c>
      <c r="K167" s="1" t="s">
        <v>27</v>
      </c>
      <c r="L167" s="1">
        <v>1</v>
      </c>
      <c r="M167" s="1" t="s">
        <v>13</v>
      </c>
      <c r="N167" s="1">
        <v>1</v>
      </c>
      <c r="O167" s="1" t="s">
        <v>13</v>
      </c>
      <c r="Q167" s="1">
        <v>0.05</v>
      </c>
      <c r="R167" s="1">
        <v>0.05</v>
      </c>
      <c r="S167" s="1" t="s">
        <v>27</v>
      </c>
      <c r="U167" s="1" t="s">
        <v>610</v>
      </c>
      <c r="V167" s="1" t="s">
        <v>27</v>
      </c>
      <c r="W167" s="2" t="s">
        <v>541</v>
      </c>
    </row>
    <row r="168" spans="1:23" x14ac:dyDescent="0.2">
      <c r="A168" s="1">
        <v>2</v>
      </c>
      <c r="B168" s="1" t="s">
        <v>558</v>
      </c>
      <c r="C168" s="1">
        <v>1</v>
      </c>
      <c r="D168" s="1" t="s">
        <v>264</v>
      </c>
      <c r="F168" s="4">
        <v>45406</v>
      </c>
      <c r="G168" s="1" t="s">
        <v>27</v>
      </c>
      <c r="H168" s="3">
        <v>0.76807870370370368</v>
      </c>
      <c r="I168" s="3">
        <v>4.6296296296296294E-5</v>
      </c>
      <c r="J168" s="3">
        <f>$H168 + $I168</f>
        <v>0.76812499999999995</v>
      </c>
      <c r="K168" s="1" t="s">
        <v>27</v>
      </c>
      <c r="L168" s="1">
        <v>1</v>
      </c>
      <c r="M168" s="1" t="s">
        <v>14</v>
      </c>
      <c r="Q168" s="1">
        <v>0.05</v>
      </c>
      <c r="R168" s="1">
        <v>0.05</v>
      </c>
      <c r="S168" s="1" t="s">
        <v>27</v>
      </c>
      <c r="U168" s="1" t="s">
        <v>612</v>
      </c>
      <c r="V168" s="1" t="s">
        <v>27</v>
      </c>
      <c r="W168" s="2" t="s">
        <v>541</v>
      </c>
    </row>
    <row r="169" spans="1:23" x14ac:dyDescent="0.2">
      <c r="A169" s="1">
        <v>2</v>
      </c>
      <c r="B169" s="1" t="s">
        <v>575</v>
      </c>
      <c r="C169" s="1">
        <v>1</v>
      </c>
      <c r="D169" s="1" t="s">
        <v>264</v>
      </c>
      <c r="F169" s="4">
        <v>45406</v>
      </c>
      <c r="G169" s="1" t="s">
        <v>27</v>
      </c>
      <c r="H169" s="3">
        <v>0.76807870370370368</v>
      </c>
      <c r="I169" s="3">
        <v>3.5879629629629629E-3</v>
      </c>
      <c r="J169" s="3">
        <f>$H169 + $I169</f>
        <v>0.77166666666666661</v>
      </c>
      <c r="K169" s="1" t="s">
        <v>27</v>
      </c>
      <c r="L169" s="1">
        <v>1</v>
      </c>
      <c r="M169" s="1" t="s">
        <v>13</v>
      </c>
      <c r="Q169" s="1">
        <v>0.05</v>
      </c>
      <c r="R169" s="1">
        <v>0.05</v>
      </c>
      <c r="S169" s="1" t="s">
        <v>27</v>
      </c>
      <c r="U169" s="1" t="s">
        <v>611</v>
      </c>
      <c r="V169" s="1" t="s">
        <v>27</v>
      </c>
      <c r="W169" s="2" t="s">
        <v>541</v>
      </c>
    </row>
    <row r="170" spans="1:23" x14ac:dyDescent="0.2">
      <c r="A170" s="1">
        <v>2</v>
      </c>
      <c r="B170" s="1" t="s">
        <v>558</v>
      </c>
      <c r="C170" s="1">
        <v>1</v>
      </c>
      <c r="D170" s="1" t="s">
        <v>265</v>
      </c>
      <c r="F170" s="4">
        <v>45410</v>
      </c>
      <c r="G170" s="3">
        <f>H170 + K170</f>
        <v>0.27209490740740744</v>
      </c>
      <c r="H170" s="3">
        <v>0.23586805555555557</v>
      </c>
      <c r="I170" s="3">
        <v>1.3726851851851851E-2</v>
      </c>
      <c r="J170" s="3">
        <f>$H170 + $I170</f>
        <v>0.24959490740740742</v>
      </c>
      <c r="K170" s="3">
        <v>3.622685185185185E-2</v>
      </c>
      <c r="L170" s="1">
        <v>1</v>
      </c>
      <c r="M170" s="1" t="s">
        <v>14</v>
      </c>
      <c r="N170" s="1">
        <v>1</v>
      </c>
      <c r="O170" s="1" t="s">
        <v>14</v>
      </c>
      <c r="Q170" s="1">
        <v>0.05</v>
      </c>
      <c r="R170" s="1">
        <v>0.05</v>
      </c>
      <c r="S170" s="1">
        <v>1</v>
      </c>
      <c r="U170" s="1" t="s">
        <v>615</v>
      </c>
      <c r="V170" s="1" t="s">
        <v>27</v>
      </c>
      <c r="W170" s="2" t="s">
        <v>541</v>
      </c>
    </row>
    <row r="171" spans="1:23" x14ac:dyDescent="0.2">
      <c r="A171" s="1">
        <v>2</v>
      </c>
      <c r="B171" s="1" t="s">
        <v>575</v>
      </c>
      <c r="C171" s="1">
        <v>1</v>
      </c>
      <c r="D171" s="1" t="s">
        <v>265</v>
      </c>
      <c r="F171" s="4">
        <v>45410</v>
      </c>
      <c r="G171" s="3">
        <f>H171 + K171</f>
        <v>0.26020833333333332</v>
      </c>
      <c r="H171" s="3">
        <v>0.23586805555555557</v>
      </c>
      <c r="I171" s="3" t="s">
        <v>27</v>
      </c>
      <c r="J171" s="1" t="s">
        <v>27</v>
      </c>
      <c r="K171" s="3">
        <v>2.4340277777777777E-2</v>
      </c>
      <c r="L171" s="1">
        <v>1</v>
      </c>
      <c r="M171" s="1" t="s">
        <v>13</v>
      </c>
      <c r="N171" s="1">
        <v>1</v>
      </c>
      <c r="O171" s="1" t="s">
        <v>13</v>
      </c>
      <c r="Q171" s="1">
        <v>0.05</v>
      </c>
      <c r="R171" s="1">
        <v>0.05</v>
      </c>
      <c r="S171" s="1" t="s">
        <v>27</v>
      </c>
      <c r="U171" s="1" t="s">
        <v>616</v>
      </c>
      <c r="V171" s="1" t="s">
        <v>27</v>
      </c>
      <c r="W171" s="2" t="s">
        <v>541</v>
      </c>
    </row>
    <row r="172" spans="1:23" x14ac:dyDescent="0.2">
      <c r="A172" s="1">
        <v>2</v>
      </c>
      <c r="B172" s="1" t="s">
        <v>558</v>
      </c>
      <c r="C172" s="1">
        <v>1</v>
      </c>
      <c r="D172" s="1" t="s">
        <v>266</v>
      </c>
      <c r="F172" s="4">
        <v>45410</v>
      </c>
      <c r="G172" s="3">
        <f>H172 + K172</f>
        <v>0.77182870370370371</v>
      </c>
      <c r="H172" s="3">
        <v>0.75760416666666663</v>
      </c>
      <c r="I172" s="3">
        <v>3.4837962962962965E-3</v>
      </c>
      <c r="J172" s="3">
        <f t="shared" ref="J172:J178" si="7">$H172 + $I172</f>
        <v>0.76108796296296288</v>
      </c>
      <c r="K172" s="3">
        <v>1.4224537037037037E-2</v>
      </c>
      <c r="L172" s="1">
        <v>1</v>
      </c>
      <c r="M172" s="1" t="s">
        <v>14</v>
      </c>
      <c r="N172" s="1">
        <v>1</v>
      </c>
      <c r="O172" s="1" t="s">
        <v>14</v>
      </c>
      <c r="Q172" s="1">
        <v>0.05</v>
      </c>
      <c r="R172" s="1">
        <v>0.05</v>
      </c>
      <c r="S172" s="1">
        <v>1</v>
      </c>
      <c r="V172" s="1" t="s">
        <v>27</v>
      </c>
      <c r="W172" s="2" t="s">
        <v>541</v>
      </c>
    </row>
    <row r="173" spans="1:23" x14ac:dyDescent="0.2">
      <c r="A173" s="1">
        <v>2</v>
      </c>
      <c r="B173" s="1" t="s">
        <v>575</v>
      </c>
      <c r="C173" s="1">
        <v>2</v>
      </c>
      <c r="D173" s="1" t="s">
        <v>266</v>
      </c>
      <c r="F173" s="4">
        <v>45410</v>
      </c>
      <c r="G173" s="1" t="s">
        <v>27</v>
      </c>
      <c r="H173" s="3">
        <v>0.75760416666666663</v>
      </c>
      <c r="I173" s="3">
        <v>2.3206018518518518E-2</v>
      </c>
      <c r="J173" s="3">
        <f t="shared" si="7"/>
        <v>0.78081018518518519</v>
      </c>
      <c r="K173" s="3" t="s">
        <v>27</v>
      </c>
      <c r="L173" s="1">
        <v>1</v>
      </c>
      <c r="M173" s="1" t="s">
        <v>13</v>
      </c>
      <c r="N173" s="1">
        <v>1</v>
      </c>
      <c r="O173" s="1" t="s">
        <v>13</v>
      </c>
      <c r="Q173" s="1">
        <v>0.05</v>
      </c>
      <c r="R173" s="1">
        <v>0.05</v>
      </c>
      <c r="S173" s="1" t="s">
        <v>27</v>
      </c>
      <c r="U173" s="1" t="s">
        <v>618</v>
      </c>
      <c r="V173" s="1" t="s">
        <v>27</v>
      </c>
      <c r="W173" s="2" t="s">
        <v>541</v>
      </c>
    </row>
    <row r="174" spans="1:23" x14ac:dyDescent="0.2">
      <c r="A174" s="1">
        <v>2</v>
      </c>
      <c r="B174" s="1" t="s">
        <v>575</v>
      </c>
      <c r="C174" s="1">
        <v>1</v>
      </c>
      <c r="D174" s="1" t="s">
        <v>266</v>
      </c>
      <c r="F174" s="4">
        <v>45410</v>
      </c>
      <c r="G174" s="1" t="s">
        <v>27</v>
      </c>
      <c r="H174" s="3">
        <v>0.75760416666666663</v>
      </c>
      <c r="I174" s="3">
        <v>1.8194444444444444E-2</v>
      </c>
      <c r="J174" s="3">
        <f t="shared" si="7"/>
        <v>0.77579861111111104</v>
      </c>
      <c r="K174" s="1" t="s">
        <v>27</v>
      </c>
      <c r="L174" s="1">
        <v>1</v>
      </c>
      <c r="M174" s="1" t="s">
        <v>13</v>
      </c>
      <c r="N174" s="1">
        <v>1</v>
      </c>
      <c r="O174" s="1" t="s">
        <v>13</v>
      </c>
      <c r="Q174" s="1">
        <v>0.05</v>
      </c>
      <c r="R174" s="1">
        <v>0.05</v>
      </c>
      <c r="S174" s="1" t="s">
        <v>27</v>
      </c>
      <c r="U174" s="1" t="s">
        <v>617</v>
      </c>
      <c r="V174" s="1" t="s">
        <v>27</v>
      </c>
      <c r="W174" s="2" t="s">
        <v>541</v>
      </c>
    </row>
    <row r="175" spans="1:23" x14ac:dyDescent="0.2">
      <c r="A175" s="1">
        <v>2</v>
      </c>
      <c r="B175" s="1" t="s">
        <v>575</v>
      </c>
      <c r="C175" s="1">
        <v>1</v>
      </c>
      <c r="D175" s="1" t="s">
        <v>306</v>
      </c>
      <c r="F175" s="4">
        <v>45415</v>
      </c>
      <c r="G175" s="3">
        <f>H175 + K175</f>
        <v>0.26935185185185184</v>
      </c>
      <c r="H175" s="3">
        <v>0.21716435185185184</v>
      </c>
      <c r="I175" s="3">
        <v>1.5219907407407408E-2</v>
      </c>
      <c r="J175" s="3">
        <f t="shared" si="7"/>
        <v>0.23238425925925926</v>
      </c>
      <c r="K175" s="3">
        <v>5.2187499999999998E-2</v>
      </c>
      <c r="L175" s="1">
        <v>3</v>
      </c>
      <c r="M175" s="1" t="s">
        <v>14</v>
      </c>
      <c r="N175" s="1">
        <v>3</v>
      </c>
      <c r="O175" s="1" t="s">
        <v>14</v>
      </c>
      <c r="Q175" s="1">
        <v>0.1</v>
      </c>
      <c r="R175" s="1">
        <v>0.1</v>
      </c>
      <c r="S175" s="1">
        <v>1</v>
      </c>
      <c r="V175" s="1" t="s">
        <v>27</v>
      </c>
      <c r="W175" s="2" t="s">
        <v>541</v>
      </c>
    </row>
    <row r="176" spans="1:23" x14ac:dyDescent="0.2">
      <c r="A176" s="1">
        <v>2</v>
      </c>
      <c r="B176" s="1" t="s">
        <v>558</v>
      </c>
      <c r="C176" s="1">
        <v>2</v>
      </c>
      <c r="D176" s="1" t="s">
        <v>306</v>
      </c>
      <c r="F176" s="4">
        <v>45415</v>
      </c>
      <c r="G176" s="3">
        <f>H176 + K176</f>
        <v>0.2772222222222222</v>
      </c>
      <c r="H176" s="3">
        <v>0.21716435185185184</v>
      </c>
      <c r="I176" s="3">
        <v>4.7939814814814817E-2</v>
      </c>
      <c r="J176" s="3">
        <f t="shared" si="7"/>
        <v>0.26510416666666664</v>
      </c>
      <c r="K176" s="3">
        <v>6.0057870370370373E-2</v>
      </c>
      <c r="L176" s="1">
        <v>3</v>
      </c>
      <c r="M176" s="1" t="s">
        <v>13</v>
      </c>
      <c r="N176" s="1">
        <v>3</v>
      </c>
      <c r="O176" s="1" t="s">
        <v>13</v>
      </c>
      <c r="Q176" s="1">
        <v>0.1</v>
      </c>
      <c r="R176" s="1">
        <v>0.1</v>
      </c>
      <c r="S176" s="1">
        <v>0</v>
      </c>
      <c r="U176" s="1" t="s">
        <v>614</v>
      </c>
      <c r="V176" s="1" t="s">
        <v>27</v>
      </c>
      <c r="W176" s="2" t="s">
        <v>541</v>
      </c>
    </row>
    <row r="177" spans="1:23" x14ac:dyDescent="0.2">
      <c r="A177" s="1">
        <v>2</v>
      </c>
      <c r="B177" s="1" t="s">
        <v>558</v>
      </c>
      <c r="C177" s="1">
        <v>1</v>
      </c>
      <c r="D177" s="1" t="s">
        <v>306</v>
      </c>
      <c r="F177" s="4">
        <v>45415</v>
      </c>
      <c r="G177" s="3">
        <f>H177 + K177</f>
        <v>0.26082175925925927</v>
      </c>
      <c r="H177" s="3">
        <v>0.21716435185185184</v>
      </c>
      <c r="I177" s="3">
        <v>2.5104166666666667E-2</v>
      </c>
      <c r="J177" s="3">
        <f t="shared" si="7"/>
        <v>0.24226851851851852</v>
      </c>
      <c r="K177" s="3">
        <v>4.3657407407407409E-2</v>
      </c>
      <c r="L177" s="1">
        <v>3</v>
      </c>
      <c r="M177" s="1" t="s">
        <v>13</v>
      </c>
      <c r="N177" s="1">
        <v>3</v>
      </c>
      <c r="O177" s="1" t="s">
        <v>13</v>
      </c>
      <c r="Q177" s="1">
        <v>0.1</v>
      </c>
      <c r="R177" s="1">
        <v>0.1</v>
      </c>
      <c r="S177" s="1">
        <v>0</v>
      </c>
      <c r="V177" s="1" t="s">
        <v>27</v>
      </c>
      <c r="W177" s="2" t="s">
        <v>541</v>
      </c>
    </row>
    <row r="178" spans="1:23" x14ac:dyDescent="0.2">
      <c r="A178" s="1">
        <v>2</v>
      </c>
      <c r="B178" s="1" t="s">
        <v>575</v>
      </c>
      <c r="C178" s="1">
        <v>1</v>
      </c>
      <c r="D178" s="1" t="s">
        <v>595</v>
      </c>
      <c r="F178" s="4">
        <v>45415</v>
      </c>
      <c r="G178" s="3">
        <f>H178 + K178</f>
        <v>0.78495370370370365</v>
      </c>
      <c r="H178" s="3">
        <v>0.75037037037037035</v>
      </c>
      <c r="I178" s="3">
        <v>8.0787037037037043E-3</v>
      </c>
      <c r="J178" s="3">
        <f t="shared" si="7"/>
        <v>0.75844907407407403</v>
      </c>
      <c r="K178" s="3">
        <v>3.4583333333333334E-2</v>
      </c>
      <c r="L178" s="1">
        <v>3</v>
      </c>
      <c r="M178" s="1" t="s">
        <v>14</v>
      </c>
      <c r="N178" s="1">
        <v>2</v>
      </c>
      <c r="O178" s="1" t="s">
        <v>13</v>
      </c>
      <c r="Q178" s="1">
        <v>0.1</v>
      </c>
      <c r="R178" s="1">
        <v>0.1</v>
      </c>
      <c r="S178" s="1">
        <v>1</v>
      </c>
      <c r="U178" s="1" t="s">
        <v>619</v>
      </c>
      <c r="V178" s="1" t="s">
        <v>27</v>
      </c>
      <c r="W178" s="2" t="s">
        <v>541</v>
      </c>
    </row>
    <row r="179" spans="1:23" x14ac:dyDescent="0.2">
      <c r="A179" s="1">
        <v>2</v>
      </c>
      <c r="B179" s="1" t="s">
        <v>558</v>
      </c>
      <c r="C179" s="1">
        <v>1</v>
      </c>
      <c r="D179" s="1" t="s">
        <v>595</v>
      </c>
      <c r="F179" s="4">
        <v>45415</v>
      </c>
      <c r="G179" s="3">
        <f>H179 + K179</f>
        <v>0.78583333333333327</v>
      </c>
      <c r="H179" s="3">
        <v>0.75037037037037035</v>
      </c>
      <c r="I179" s="1" t="s">
        <v>27</v>
      </c>
      <c r="J179" s="1" t="s">
        <v>27</v>
      </c>
      <c r="K179" s="3">
        <v>3.546296296296296E-2</v>
      </c>
      <c r="L179" s="1">
        <v>3</v>
      </c>
      <c r="M179" s="1" t="s">
        <v>13</v>
      </c>
      <c r="N179" s="1">
        <v>2</v>
      </c>
      <c r="O179" s="1" t="s">
        <v>14</v>
      </c>
      <c r="Q179" s="1">
        <v>0.1</v>
      </c>
      <c r="R179" s="1">
        <v>0.1</v>
      </c>
      <c r="S179" s="1">
        <v>1</v>
      </c>
      <c r="U179" s="1" t="s">
        <v>499</v>
      </c>
      <c r="V179" s="1" t="s">
        <v>27</v>
      </c>
      <c r="W179" s="2" t="s">
        <v>541</v>
      </c>
    </row>
    <row r="180" spans="1:23" x14ac:dyDescent="0.2">
      <c r="A180" s="1">
        <v>2</v>
      </c>
      <c r="B180" s="1" t="s">
        <v>558</v>
      </c>
      <c r="C180" s="1">
        <v>1</v>
      </c>
      <c r="D180" s="1" t="s">
        <v>621</v>
      </c>
      <c r="E180" s="1" t="s">
        <v>671</v>
      </c>
      <c r="F180" s="4">
        <v>45416</v>
      </c>
      <c r="G180" s="1" t="s">
        <v>27</v>
      </c>
      <c r="H180" s="3">
        <v>0.22187499999999999</v>
      </c>
      <c r="I180" s="3">
        <v>8.9930555555555562E-3</v>
      </c>
      <c r="J180" s="3">
        <f>$H180 + $I180</f>
        <v>0.23086805555555553</v>
      </c>
      <c r="K180" s="1" t="s">
        <v>27</v>
      </c>
      <c r="L180" s="1">
        <v>2</v>
      </c>
      <c r="M180" s="1" t="s">
        <v>13</v>
      </c>
      <c r="N180" s="1">
        <v>2</v>
      </c>
      <c r="O180" s="1" t="s">
        <v>14</v>
      </c>
      <c r="Q180" s="1">
        <v>0.1</v>
      </c>
      <c r="R180" s="1">
        <v>0.1</v>
      </c>
      <c r="S180" s="1" t="s">
        <v>27</v>
      </c>
      <c r="U180" s="1" t="s">
        <v>623</v>
      </c>
      <c r="V180" s="1" t="s">
        <v>27</v>
      </c>
      <c r="W180" s="2" t="s">
        <v>541</v>
      </c>
    </row>
    <row r="181" spans="1:23" x14ac:dyDescent="0.2">
      <c r="A181" s="1">
        <v>2</v>
      </c>
      <c r="B181" s="1" t="s">
        <v>575</v>
      </c>
      <c r="C181" s="1">
        <v>1</v>
      </c>
      <c r="D181" s="1" t="s">
        <v>620</v>
      </c>
      <c r="E181" s="1" t="s">
        <v>691</v>
      </c>
      <c r="F181" s="4">
        <v>45416</v>
      </c>
      <c r="G181" s="1" t="s">
        <v>27</v>
      </c>
      <c r="H181" s="3">
        <v>0.22187499999999999</v>
      </c>
      <c r="I181" s="3">
        <v>0</v>
      </c>
      <c r="J181" s="3">
        <f>$H181 + $I181</f>
        <v>0.22187499999999999</v>
      </c>
      <c r="K181" s="1" t="s">
        <v>27</v>
      </c>
      <c r="L181" s="1">
        <v>2</v>
      </c>
      <c r="M181" s="1" t="s">
        <v>14</v>
      </c>
      <c r="N181" s="1">
        <v>2</v>
      </c>
      <c r="O181" s="1" t="s">
        <v>13</v>
      </c>
      <c r="Q181" s="1">
        <v>0.1</v>
      </c>
      <c r="R181" s="1">
        <v>0.1</v>
      </c>
      <c r="S181" s="1" t="s">
        <v>85</v>
      </c>
      <c r="U181" s="1" t="s">
        <v>622</v>
      </c>
      <c r="V181" s="1" t="s">
        <v>27</v>
      </c>
      <c r="W181" s="2" t="s">
        <v>541</v>
      </c>
    </row>
    <row r="182" spans="1:23" x14ac:dyDescent="0.2">
      <c r="A182" s="1">
        <v>2</v>
      </c>
      <c r="B182" s="1" t="s">
        <v>624</v>
      </c>
      <c r="C182" s="1">
        <v>1</v>
      </c>
      <c r="D182" s="1" t="s">
        <v>495</v>
      </c>
      <c r="E182" s="1" t="s">
        <v>669</v>
      </c>
      <c r="F182" s="4">
        <v>45417</v>
      </c>
      <c r="G182" s="3">
        <f>H182 + K182</f>
        <v>0.78140046296296295</v>
      </c>
      <c r="H182" s="3">
        <v>0.77410879629629625</v>
      </c>
      <c r="I182" s="3">
        <v>3.5763888888888889E-3</v>
      </c>
      <c r="J182" s="3">
        <f>$H182 + $I182</f>
        <v>0.77768518518518515</v>
      </c>
      <c r="K182" s="3">
        <v>7.2916666666666668E-3</v>
      </c>
      <c r="L182" s="1">
        <v>1</v>
      </c>
      <c r="M182" s="1" t="s">
        <v>14</v>
      </c>
      <c r="N182" s="1">
        <v>1</v>
      </c>
      <c r="O182" s="1" t="s">
        <v>14</v>
      </c>
      <c r="Q182" s="1">
        <v>0.1</v>
      </c>
      <c r="R182" s="1">
        <v>0.1</v>
      </c>
      <c r="S182" s="1">
        <v>1</v>
      </c>
      <c r="U182" s="1" t="s">
        <v>626</v>
      </c>
      <c r="V182" s="1" t="s">
        <v>27</v>
      </c>
      <c r="W182" s="2" t="s">
        <v>541</v>
      </c>
    </row>
    <row r="183" spans="1:23" x14ac:dyDescent="0.2">
      <c r="A183" s="1">
        <v>2</v>
      </c>
      <c r="B183" s="1" t="s">
        <v>625</v>
      </c>
      <c r="C183" s="1" t="s">
        <v>27</v>
      </c>
      <c r="D183" s="1" t="s">
        <v>495</v>
      </c>
      <c r="E183" s="1" t="s">
        <v>669</v>
      </c>
      <c r="F183" s="4">
        <v>45417</v>
      </c>
      <c r="G183" s="1" t="s">
        <v>27</v>
      </c>
      <c r="H183" s="3">
        <v>0.77410879629629625</v>
      </c>
      <c r="I183" s="1" t="s">
        <v>27</v>
      </c>
      <c r="J183" s="1" t="s">
        <v>27</v>
      </c>
      <c r="K183" s="1" t="s">
        <v>27</v>
      </c>
      <c r="L183" s="1">
        <v>1</v>
      </c>
      <c r="M183" s="1" t="s">
        <v>13</v>
      </c>
      <c r="N183" s="1">
        <v>1</v>
      </c>
      <c r="O183" s="1" t="s">
        <v>13</v>
      </c>
      <c r="Q183" s="1">
        <v>0.1</v>
      </c>
      <c r="R183" s="1">
        <v>0.1</v>
      </c>
      <c r="S183" s="1" t="s">
        <v>27</v>
      </c>
      <c r="U183" s="1" t="s">
        <v>627</v>
      </c>
      <c r="V183" s="1" t="s">
        <v>27</v>
      </c>
      <c r="W183" s="2" t="s">
        <v>541</v>
      </c>
    </row>
    <row r="184" spans="1:23" x14ac:dyDescent="0.2">
      <c r="A184" s="1">
        <v>2</v>
      </c>
      <c r="B184" s="1" t="s">
        <v>624</v>
      </c>
      <c r="C184" s="1">
        <v>1</v>
      </c>
      <c r="D184" s="1" t="s">
        <v>494</v>
      </c>
      <c r="E184" s="1" t="s">
        <v>669</v>
      </c>
      <c r="F184" s="4">
        <v>45418</v>
      </c>
      <c r="G184" s="3">
        <f>H184 + K184</f>
        <v>0.24024305555555556</v>
      </c>
      <c r="H184" s="3">
        <v>0.22297453703703704</v>
      </c>
      <c r="I184" s="3">
        <v>1.1018518518518518E-2</v>
      </c>
      <c r="J184" s="3">
        <f>$H184 + $I184</f>
        <v>0.23399305555555555</v>
      </c>
      <c r="K184" s="3">
        <v>1.726851851851852E-2</v>
      </c>
      <c r="L184" s="1">
        <v>1</v>
      </c>
      <c r="M184" s="1" t="s">
        <v>14</v>
      </c>
      <c r="N184" s="1">
        <v>1</v>
      </c>
      <c r="O184" s="1" t="s">
        <v>14</v>
      </c>
      <c r="Q184" s="1">
        <v>0.1</v>
      </c>
      <c r="R184" s="1">
        <v>0.1</v>
      </c>
      <c r="S184" s="1">
        <v>1</v>
      </c>
      <c r="V184" s="1" t="s">
        <v>27</v>
      </c>
      <c r="W184" s="2" t="s">
        <v>541</v>
      </c>
    </row>
    <row r="185" spans="1:23" x14ac:dyDescent="0.2">
      <c r="A185" s="1">
        <v>2</v>
      </c>
      <c r="B185" s="1" t="s">
        <v>625</v>
      </c>
      <c r="C185" s="1" t="s">
        <v>27</v>
      </c>
      <c r="D185" s="1" t="s">
        <v>494</v>
      </c>
      <c r="E185" s="1" t="s">
        <v>669</v>
      </c>
      <c r="F185" s="4">
        <v>45418</v>
      </c>
      <c r="G185" s="1" t="s">
        <v>27</v>
      </c>
      <c r="H185" s="3">
        <v>0.22297453703703704</v>
      </c>
      <c r="I185" s="1" t="s">
        <v>27</v>
      </c>
      <c r="J185" s="1" t="s">
        <v>27</v>
      </c>
      <c r="K185" s="1" t="s">
        <v>27</v>
      </c>
      <c r="L185" s="1">
        <v>1</v>
      </c>
      <c r="M185" s="1" t="s">
        <v>13</v>
      </c>
      <c r="N185" s="1">
        <v>1</v>
      </c>
      <c r="O185" s="1" t="s">
        <v>13</v>
      </c>
      <c r="Q185" s="1">
        <v>0.1</v>
      </c>
      <c r="R185" s="1">
        <v>0.1</v>
      </c>
      <c r="S185" s="1" t="s">
        <v>27</v>
      </c>
      <c r="U185" s="1" t="s">
        <v>630</v>
      </c>
      <c r="V185" s="1" t="s">
        <v>27</v>
      </c>
      <c r="W185" s="2" t="s">
        <v>541</v>
      </c>
    </row>
    <row r="186" spans="1:23" x14ac:dyDescent="0.2">
      <c r="A186" s="1">
        <v>2</v>
      </c>
      <c r="B186" s="1" t="s">
        <v>624</v>
      </c>
      <c r="C186" s="1">
        <v>1</v>
      </c>
      <c r="D186" s="1" t="s">
        <v>486</v>
      </c>
      <c r="E186" s="1" t="s">
        <v>669</v>
      </c>
      <c r="F186" s="4">
        <v>45419</v>
      </c>
      <c r="G186" s="3">
        <f>H186 + K186</f>
        <v>0.23739583333333331</v>
      </c>
      <c r="H186" s="3">
        <v>0.22049768518518517</v>
      </c>
      <c r="I186" s="3">
        <v>7.5462962962962966E-3</v>
      </c>
      <c r="K186" s="3">
        <v>1.6898148148148148E-2</v>
      </c>
      <c r="L186" s="1">
        <v>1</v>
      </c>
      <c r="M186" s="1" t="s">
        <v>14</v>
      </c>
      <c r="N186" s="1">
        <v>1</v>
      </c>
      <c r="O186" s="1" t="s">
        <v>14</v>
      </c>
      <c r="Q186" s="1">
        <v>0.1</v>
      </c>
      <c r="R186" s="1">
        <v>0.1</v>
      </c>
      <c r="S186" s="1">
        <v>1</v>
      </c>
      <c r="V186" s="1" t="s">
        <v>27</v>
      </c>
      <c r="W186" s="2" t="s">
        <v>541</v>
      </c>
    </row>
    <row r="187" spans="1:23" x14ac:dyDescent="0.2">
      <c r="A187" s="1">
        <v>2</v>
      </c>
      <c r="B187" s="1" t="s">
        <v>625</v>
      </c>
      <c r="C187" s="1" t="s">
        <v>27</v>
      </c>
      <c r="D187" s="1" t="s">
        <v>261</v>
      </c>
      <c r="E187" s="1" t="s">
        <v>669</v>
      </c>
      <c r="F187" s="4">
        <v>45418</v>
      </c>
      <c r="G187" s="3" t="s">
        <v>27</v>
      </c>
      <c r="H187" s="3">
        <v>0.76620370370370372</v>
      </c>
      <c r="I187" s="1" t="s">
        <v>27</v>
      </c>
      <c r="J187" s="1" t="s">
        <v>27</v>
      </c>
      <c r="K187" s="1" t="s">
        <v>27</v>
      </c>
      <c r="L187" s="1">
        <v>1</v>
      </c>
      <c r="M187" s="1" t="s">
        <v>13</v>
      </c>
      <c r="N187" s="1">
        <v>1</v>
      </c>
      <c r="O187" s="1" t="s">
        <v>13</v>
      </c>
      <c r="Q187" s="1">
        <v>0.1</v>
      </c>
      <c r="R187" s="1">
        <v>0.1</v>
      </c>
      <c r="S187" s="1" t="s">
        <v>27</v>
      </c>
      <c r="U187" s="1" t="s">
        <v>690</v>
      </c>
      <c r="V187" s="1" t="s">
        <v>27</v>
      </c>
      <c r="W187" s="2" t="s">
        <v>541</v>
      </c>
    </row>
    <row r="188" spans="1:23" x14ac:dyDescent="0.2">
      <c r="A188" s="1">
        <v>2</v>
      </c>
      <c r="B188" s="1" t="s">
        <v>624</v>
      </c>
      <c r="C188" s="1">
        <v>1</v>
      </c>
      <c r="D188" s="1" t="s">
        <v>261</v>
      </c>
      <c r="E188" s="1" t="s">
        <v>669</v>
      </c>
      <c r="F188" s="4">
        <v>45418</v>
      </c>
      <c r="G188" s="3">
        <f>H188 + K188</f>
        <v>0.78</v>
      </c>
      <c r="H188" s="3">
        <v>0.76620370370370372</v>
      </c>
      <c r="I188" s="3">
        <v>1.1886574074074074E-2</v>
      </c>
      <c r="J188" s="3">
        <f>$H188 + $I188</f>
        <v>0.77809027777777784</v>
      </c>
      <c r="K188" s="3">
        <v>1.3796296296296296E-2</v>
      </c>
      <c r="L188" s="1">
        <v>1</v>
      </c>
      <c r="M188" s="1" t="s">
        <v>14</v>
      </c>
      <c r="N188" s="1">
        <v>1</v>
      </c>
      <c r="O188" s="1" t="s">
        <v>14</v>
      </c>
      <c r="Q188" s="1">
        <v>0.1</v>
      </c>
      <c r="R188" s="1">
        <v>0.1</v>
      </c>
      <c r="S188" s="1">
        <v>1</v>
      </c>
      <c r="V188" s="1" t="s">
        <v>27</v>
      </c>
      <c r="W188" s="2" t="s">
        <v>541</v>
      </c>
    </row>
    <row r="189" spans="1:23" x14ac:dyDescent="0.2">
      <c r="A189" s="1">
        <v>2</v>
      </c>
      <c r="B189" s="1" t="s">
        <v>624</v>
      </c>
      <c r="C189" s="1">
        <v>1</v>
      </c>
      <c r="D189" s="1" t="s">
        <v>641</v>
      </c>
      <c r="E189" s="1" t="s">
        <v>669</v>
      </c>
      <c r="G189" s="3">
        <v>2.4398148148148148E-2</v>
      </c>
      <c r="I189" s="3">
        <v>1.5902777777777776E-2</v>
      </c>
    </row>
    <row r="190" spans="1:23" x14ac:dyDescent="0.2">
      <c r="A190" s="1">
        <v>2</v>
      </c>
      <c r="B190" s="1" t="s">
        <v>625</v>
      </c>
      <c r="C190" s="1">
        <v>1</v>
      </c>
      <c r="D190" s="1" t="s">
        <v>641</v>
      </c>
      <c r="E190" s="1" t="s">
        <v>669</v>
      </c>
      <c r="G190" s="3">
        <v>2.539351851851852E-2</v>
      </c>
      <c r="I190" s="3">
        <v>1.8483796296296297E-2</v>
      </c>
    </row>
    <row r="191" spans="1:23" x14ac:dyDescent="0.2">
      <c r="A191" s="1">
        <v>2</v>
      </c>
      <c r="B191" s="1" t="s">
        <v>625</v>
      </c>
      <c r="C191" s="1">
        <v>1</v>
      </c>
      <c r="D191" s="1" t="s">
        <v>519</v>
      </c>
      <c r="E191" s="1" t="s">
        <v>669</v>
      </c>
      <c r="I191" s="1" t="s">
        <v>27</v>
      </c>
      <c r="J191" s="1" t="s">
        <v>27</v>
      </c>
      <c r="K191" s="3">
        <v>1.8773148148148146E-2</v>
      </c>
      <c r="L191" s="1">
        <v>1</v>
      </c>
      <c r="M191" s="1" t="s">
        <v>13</v>
      </c>
      <c r="N191" s="1">
        <v>1</v>
      </c>
      <c r="O191" s="1" t="s">
        <v>14</v>
      </c>
      <c r="Q191" s="1">
        <v>0.1</v>
      </c>
      <c r="R191" s="1">
        <v>0.1</v>
      </c>
      <c r="S191" s="1">
        <v>0</v>
      </c>
      <c r="V191" s="1" t="s">
        <v>27</v>
      </c>
      <c r="W191" s="2" t="s">
        <v>541</v>
      </c>
    </row>
    <row r="192" spans="1:23" x14ac:dyDescent="0.2">
      <c r="A192" s="1">
        <v>2</v>
      </c>
      <c r="B192" s="1" t="s">
        <v>624</v>
      </c>
      <c r="C192" s="1">
        <v>1</v>
      </c>
      <c r="D192" s="1" t="s">
        <v>519</v>
      </c>
      <c r="E192" s="1" t="s">
        <v>669</v>
      </c>
      <c r="G192" s="1" t="s">
        <v>27</v>
      </c>
      <c r="I192" s="1" t="s">
        <v>27</v>
      </c>
      <c r="J192" s="1" t="s">
        <v>27</v>
      </c>
      <c r="K192" s="1" t="s">
        <v>27</v>
      </c>
      <c r="L192" s="1">
        <v>1</v>
      </c>
      <c r="M192" s="1" t="s">
        <v>14</v>
      </c>
      <c r="N192" s="1">
        <v>1</v>
      </c>
      <c r="O192" s="1" t="s">
        <v>13</v>
      </c>
      <c r="Q192" s="1">
        <v>0.1</v>
      </c>
      <c r="R192" s="1">
        <v>0.1</v>
      </c>
      <c r="S192" s="1" t="s">
        <v>27</v>
      </c>
      <c r="U192" s="1" t="s">
        <v>643</v>
      </c>
      <c r="V192" s="1" t="s">
        <v>27</v>
      </c>
      <c r="W192" s="2" t="s">
        <v>541</v>
      </c>
    </row>
    <row r="193" spans="1:25" x14ac:dyDescent="0.2">
      <c r="A193" s="1">
        <v>2</v>
      </c>
      <c r="B193" s="1" t="s">
        <v>625</v>
      </c>
      <c r="C193" s="1">
        <v>1</v>
      </c>
      <c r="D193" s="1" t="s">
        <v>517</v>
      </c>
      <c r="E193" s="1" t="s">
        <v>669</v>
      </c>
      <c r="F193" s="4">
        <v>45421</v>
      </c>
      <c r="H193" s="3">
        <v>0.77157407407407408</v>
      </c>
      <c r="I193" s="3">
        <v>9.1435185185185185E-4</v>
      </c>
      <c r="J193" s="3">
        <f>$H193 + $I193</f>
        <v>0.77248842592592593</v>
      </c>
      <c r="K193" s="3">
        <v>3.5416666666666665E-3</v>
      </c>
      <c r="L193" s="1">
        <v>1</v>
      </c>
      <c r="M193" s="1" t="s">
        <v>13</v>
      </c>
      <c r="N193" s="1">
        <v>1</v>
      </c>
      <c r="O193" s="1" t="s">
        <v>13</v>
      </c>
      <c r="Q193" s="1">
        <v>0.1</v>
      </c>
      <c r="R193" s="1">
        <v>0.1</v>
      </c>
      <c r="S193" s="1">
        <v>1</v>
      </c>
      <c r="V193" s="1" t="s">
        <v>27</v>
      </c>
      <c r="W193" s="2" t="s">
        <v>541</v>
      </c>
    </row>
    <row r="194" spans="1:25" x14ac:dyDescent="0.2">
      <c r="A194" s="1">
        <v>2</v>
      </c>
      <c r="B194" s="1" t="s">
        <v>624</v>
      </c>
      <c r="C194" s="1">
        <v>1</v>
      </c>
      <c r="D194" s="1" t="s">
        <v>517</v>
      </c>
      <c r="E194" s="1" t="s">
        <v>669</v>
      </c>
      <c r="F194" s="4">
        <v>45421</v>
      </c>
      <c r="G194" s="1" t="s">
        <v>27</v>
      </c>
      <c r="H194" s="3">
        <v>0.77157407407407408</v>
      </c>
      <c r="I194" s="3">
        <v>2.6967592592592594E-3</v>
      </c>
      <c r="J194" s="1" t="s">
        <v>27</v>
      </c>
      <c r="K194" s="1" t="s">
        <v>27</v>
      </c>
      <c r="L194" s="1">
        <v>1</v>
      </c>
      <c r="M194" s="1" t="s">
        <v>14</v>
      </c>
      <c r="N194" s="1">
        <v>1</v>
      </c>
      <c r="O194" s="1" t="s">
        <v>13</v>
      </c>
      <c r="Q194" s="1">
        <v>0.1</v>
      </c>
      <c r="R194" s="1">
        <v>0.1</v>
      </c>
      <c r="S194" s="1" t="s">
        <v>27</v>
      </c>
      <c r="U194" s="1" t="s">
        <v>645</v>
      </c>
      <c r="V194" s="1" t="s">
        <v>27</v>
      </c>
      <c r="W194" s="2" t="s">
        <v>541</v>
      </c>
    </row>
    <row r="195" spans="1:25" x14ac:dyDescent="0.2">
      <c r="A195" s="1">
        <v>2</v>
      </c>
      <c r="B195" s="1" t="s">
        <v>625</v>
      </c>
      <c r="C195" s="1">
        <v>1</v>
      </c>
      <c r="D195" s="1" t="s">
        <v>638</v>
      </c>
      <c r="E195" s="1" t="s">
        <v>669</v>
      </c>
      <c r="F195" s="4">
        <v>45422</v>
      </c>
      <c r="H195" s="3">
        <v>0.22137731481481482</v>
      </c>
      <c r="I195" s="1" t="s">
        <v>27</v>
      </c>
      <c r="J195" s="1" t="s">
        <v>27</v>
      </c>
      <c r="L195" s="1">
        <v>1</v>
      </c>
      <c r="M195" s="1" t="s">
        <v>13</v>
      </c>
      <c r="N195" s="1">
        <v>1</v>
      </c>
      <c r="O195" s="1" t="s">
        <v>13</v>
      </c>
      <c r="Q195" s="1">
        <v>0.1</v>
      </c>
      <c r="R195" s="1">
        <v>0.1</v>
      </c>
      <c r="S195" s="1">
        <v>0</v>
      </c>
      <c r="U195" s="1" t="s">
        <v>648</v>
      </c>
      <c r="V195" s="1" t="s">
        <v>27</v>
      </c>
      <c r="W195" s="2" t="s">
        <v>541</v>
      </c>
    </row>
    <row r="196" spans="1:25" x14ac:dyDescent="0.2">
      <c r="A196" s="1">
        <v>2</v>
      </c>
      <c r="B196" s="1" t="s">
        <v>624</v>
      </c>
      <c r="C196" s="1">
        <v>1</v>
      </c>
      <c r="D196" s="1" t="s">
        <v>638</v>
      </c>
      <c r="E196" s="1" t="s">
        <v>669</v>
      </c>
      <c r="F196" s="4">
        <v>45422</v>
      </c>
      <c r="H196" s="3">
        <v>0.22137731481481482</v>
      </c>
      <c r="I196" s="1" t="s">
        <v>27</v>
      </c>
      <c r="J196" s="1" t="s">
        <v>27</v>
      </c>
      <c r="L196" s="1">
        <v>1</v>
      </c>
      <c r="M196" s="1" t="s">
        <v>14</v>
      </c>
      <c r="N196" s="1">
        <v>1</v>
      </c>
      <c r="O196" s="1" t="s">
        <v>14</v>
      </c>
      <c r="Q196" s="1">
        <v>0.1</v>
      </c>
      <c r="R196" s="1">
        <v>0.1</v>
      </c>
      <c r="S196" s="1">
        <v>0</v>
      </c>
      <c r="U196" s="1" t="s">
        <v>647</v>
      </c>
      <c r="V196" s="1" t="s">
        <v>27</v>
      </c>
      <c r="W196" s="2" t="s">
        <v>541</v>
      </c>
    </row>
    <row r="197" spans="1:25" x14ac:dyDescent="0.2">
      <c r="A197" s="1">
        <v>2</v>
      </c>
      <c r="B197" s="1" t="s">
        <v>625</v>
      </c>
      <c r="C197" s="1">
        <v>1</v>
      </c>
      <c r="D197" s="1" t="s">
        <v>644</v>
      </c>
      <c r="E197" s="1" t="s">
        <v>669</v>
      </c>
      <c r="F197" s="4">
        <v>45423</v>
      </c>
      <c r="G197" s="3">
        <f>H197 + K197</f>
        <v>0.24792824074074074</v>
      </c>
      <c r="H197" s="3">
        <v>0.22122685185185184</v>
      </c>
      <c r="I197" s="3">
        <v>0</v>
      </c>
      <c r="J197" s="3">
        <f>$H197 + $I197</f>
        <v>0.22122685185185184</v>
      </c>
      <c r="K197" s="3">
        <v>2.6701388888888889E-2</v>
      </c>
      <c r="L197" s="1">
        <v>2</v>
      </c>
      <c r="M197" s="1" t="s">
        <v>14</v>
      </c>
      <c r="N197" s="1">
        <v>2</v>
      </c>
      <c r="O197" s="1" t="s">
        <v>14</v>
      </c>
      <c r="Q197" s="1">
        <v>0.1</v>
      </c>
      <c r="R197" s="1">
        <v>0.1</v>
      </c>
      <c r="S197" s="1">
        <v>0</v>
      </c>
      <c r="V197" s="1" t="s">
        <v>27</v>
      </c>
      <c r="W197" s="2" t="s">
        <v>541</v>
      </c>
    </row>
    <row r="198" spans="1:25" x14ac:dyDescent="0.2">
      <c r="A198" s="1">
        <v>2</v>
      </c>
      <c r="B198" s="1" t="s">
        <v>624</v>
      </c>
      <c r="C198" s="1">
        <v>1</v>
      </c>
      <c r="D198" s="1" t="s">
        <v>644</v>
      </c>
      <c r="E198" s="1" t="s">
        <v>669</v>
      </c>
      <c r="F198" s="4">
        <v>45423</v>
      </c>
      <c r="G198" s="3">
        <f>H198 + K198</f>
        <v>0.24557870370370369</v>
      </c>
      <c r="H198" s="3">
        <v>0.22122685185185184</v>
      </c>
      <c r="I198" s="3">
        <v>4.9189814814814816E-3</v>
      </c>
      <c r="J198" s="3">
        <f>$H198 + $I198</f>
        <v>0.22614583333333332</v>
      </c>
      <c r="K198" s="3">
        <v>2.435185185185185E-2</v>
      </c>
      <c r="L198" s="1">
        <v>2</v>
      </c>
      <c r="M198" s="1" t="s">
        <v>13</v>
      </c>
      <c r="N198" s="1">
        <v>2</v>
      </c>
      <c r="O198" s="1" t="s">
        <v>13</v>
      </c>
      <c r="Q198" s="1">
        <v>0.1</v>
      </c>
      <c r="R198" s="1">
        <v>0.1</v>
      </c>
      <c r="S198" s="1">
        <v>0</v>
      </c>
      <c r="U198" s="1" t="s">
        <v>654</v>
      </c>
      <c r="V198" s="1" t="s">
        <v>27</v>
      </c>
      <c r="W198" s="2" t="s">
        <v>541</v>
      </c>
    </row>
    <row r="199" spans="1:25" x14ac:dyDescent="0.2">
      <c r="A199" s="1">
        <v>2</v>
      </c>
      <c r="B199" s="1" t="s">
        <v>625</v>
      </c>
      <c r="C199" s="1">
        <v>1</v>
      </c>
      <c r="D199" s="1" t="s">
        <v>520</v>
      </c>
      <c r="E199" s="1" t="s">
        <v>669</v>
      </c>
      <c r="F199" s="4">
        <v>45422</v>
      </c>
      <c r="G199" s="3">
        <f>H199 + K199</f>
        <v>0.78847222222222224</v>
      </c>
      <c r="H199" s="3">
        <v>0.7610069444444445</v>
      </c>
      <c r="I199" s="3">
        <v>1.4293981481481482E-2</v>
      </c>
      <c r="J199" s="3">
        <f>$H199 + $I199</f>
        <v>0.77530092592592603</v>
      </c>
      <c r="K199" s="3">
        <v>2.7465277777777779E-2</v>
      </c>
      <c r="L199" s="1">
        <v>2</v>
      </c>
      <c r="M199" s="1" t="s">
        <v>14</v>
      </c>
      <c r="N199" s="1">
        <v>2</v>
      </c>
      <c r="O199" s="1" t="s">
        <v>14</v>
      </c>
      <c r="Q199" s="1">
        <v>0.1</v>
      </c>
      <c r="R199" s="1">
        <v>0.1</v>
      </c>
      <c r="S199" s="1">
        <v>0</v>
      </c>
      <c r="V199" s="1" t="s">
        <v>27</v>
      </c>
      <c r="W199" s="2" t="s">
        <v>541</v>
      </c>
    </row>
    <row r="200" spans="1:25" x14ac:dyDescent="0.2">
      <c r="A200" s="1">
        <v>2</v>
      </c>
      <c r="B200" s="1" t="s">
        <v>624</v>
      </c>
      <c r="C200" s="1">
        <v>1</v>
      </c>
      <c r="D200" s="1" t="s">
        <v>520</v>
      </c>
      <c r="E200" s="1" t="s">
        <v>669</v>
      </c>
      <c r="F200" s="4">
        <v>45422</v>
      </c>
      <c r="G200" s="3">
        <f>H200 + K200</f>
        <v>0.78931712962962963</v>
      </c>
      <c r="H200" s="3">
        <v>0.7610069444444445</v>
      </c>
      <c r="I200" s="1" t="s">
        <v>27</v>
      </c>
      <c r="J200" s="1" t="s">
        <v>27</v>
      </c>
      <c r="K200" s="3">
        <v>2.8310185185185185E-2</v>
      </c>
      <c r="L200" s="1">
        <v>2</v>
      </c>
      <c r="M200" s="1" t="s">
        <v>13</v>
      </c>
      <c r="N200" s="1">
        <v>2</v>
      </c>
      <c r="O200" s="1" t="s">
        <v>13</v>
      </c>
      <c r="Q200" s="1">
        <v>0.1</v>
      </c>
      <c r="R200" s="1">
        <v>0.1</v>
      </c>
      <c r="S200" s="1">
        <v>0</v>
      </c>
      <c r="V200" s="1" t="s">
        <v>27</v>
      </c>
      <c r="W200" s="2" t="s">
        <v>541</v>
      </c>
    </row>
    <row r="201" spans="1:25" x14ac:dyDescent="0.2">
      <c r="A201" s="1" t="s">
        <v>27</v>
      </c>
      <c r="B201" s="1" t="s">
        <v>27</v>
      </c>
      <c r="C201" s="1" t="s">
        <v>27</v>
      </c>
      <c r="D201" s="1" t="s">
        <v>27</v>
      </c>
      <c r="E201" s="1" t="s">
        <v>27</v>
      </c>
      <c r="F201" s="4">
        <v>45423</v>
      </c>
      <c r="G201" s="1" t="s">
        <v>27</v>
      </c>
      <c r="H201" s="1" t="s">
        <v>27</v>
      </c>
      <c r="I201" s="1" t="s">
        <v>27</v>
      </c>
      <c r="J201" s="1" t="s">
        <v>27</v>
      </c>
      <c r="K201" s="1" t="s">
        <v>27</v>
      </c>
      <c r="L201" s="1" t="s">
        <v>27</v>
      </c>
      <c r="M201" s="1" t="s">
        <v>27</v>
      </c>
      <c r="N201" s="1" t="s">
        <v>27</v>
      </c>
      <c r="O201" s="1" t="s">
        <v>27</v>
      </c>
      <c r="Q201" s="1" t="s">
        <v>27</v>
      </c>
      <c r="R201" s="1" t="s">
        <v>27</v>
      </c>
      <c r="S201" s="1" t="s">
        <v>27</v>
      </c>
      <c r="T201" s="1" t="s">
        <v>27</v>
      </c>
      <c r="U201" s="1" t="s">
        <v>657</v>
      </c>
      <c r="V201" s="1" t="s">
        <v>27</v>
      </c>
      <c r="W201" s="1" t="s">
        <v>27</v>
      </c>
      <c r="X201" s="1" t="s">
        <v>27</v>
      </c>
      <c r="Y201" s="1" t="s">
        <v>27</v>
      </c>
    </row>
    <row r="202" spans="1:25" s="28" customFormat="1" x14ac:dyDescent="0.2">
      <c r="A202" s="28">
        <v>2</v>
      </c>
      <c r="B202" s="28" t="s">
        <v>625</v>
      </c>
      <c r="C202" s="28">
        <v>1</v>
      </c>
      <c r="D202" s="28" t="s">
        <v>656</v>
      </c>
      <c r="E202" s="28" t="s">
        <v>669</v>
      </c>
      <c r="F202" s="31">
        <v>45424</v>
      </c>
      <c r="G202" s="34">
        <f t="shared" ref="G202:G211" si="8">H202 + K202</f>
        <v>0.23504629629629628</v>
      </c>
      <c r="H202" s="34">
        <v>0.22221064814814814</v>
      </c>
      <c r="I202" s="28" t="s">
        <v>27</v>
      </c>
      <c r="J202" s="28" t="s">
        <v>27</v>
      </c>
      <c r="K202" s="34">
        <v>1.2835648148148148E-2</v>
      </c>
      <c r="L202" s="28">
        <v>2</v>
      </c>
      <c r="M202" s="28" t="s">
        <v>14</v>
      </c>
      <c r="N202" s="28">
        <v>2</v>
      </c>
      <c r="O202" s="28" t="s">
        <v>14</v>
      </c>
      <c r="Q202" s="28">
        <v>0.1</v>
      </c>
      <c r="R202" s="28">
        <v>0.1</v>
      </c>
      <c r="S202" s="28">
        <v>0</v>
      </c>
      <c r="U202" s="28" t="s">
        <v>658</v>
      </c>
      <c r="V202" s="28" t="s">
        <v>27</v>
      </c>
      <c r="W202" s="35" t="s">
        <v>541</v>
      </c>
      <c r="X202" s="35"/>
      <c r="Y202" s="35"/>
    </row>
    <row r="203" spans="1:25" s="28" customFormat="1" x14ac:dyDescent="0.2">
      <c r="A203" s="28">
        <v>2</v>
      </c>
      <c r="B203" s="28" t="s">
        <v>625</v>
      </c>
      <c r="C203" s="28">
        <v>2</v>
      </c>
      <c r="D203" s="28" t="s">
        <v>656</v>
      </c>
      <c r="E203" s="28" t="s">
        <v>669</v>
      </c>
      <c r="F203" s="31">
        <v>45424</v>
      </c>
      <c r="G203" s="34">
        <f t="shared" si="8"/>
        <v>0.24569444444444444</v>
      </c>
      <c r="H203" s="34">
        <v>0.22221064814814814</v>
      </c>
      <c r="I203" s="34">
        <v>1.3321759259259259E-2</v>
      </c>
      <c r="J203" s="34">
        <f t="shared" ref="J203:J210" si="9">$H203 + $I203</f>
        <v>0.23553240740740741</v>
      </c>
      <c r="K203" s="34">
        <v>2.3483796296296298E-2</v>
      </c>
      <c r="L203" s="28">
        <v>2</v>
      </c>
      <c r="M203" s="28" t="s">
        <v>14</v>
      </c>
      <c r="N203" s="28">
        <v>2</v>
      </c>
      <c r="O203" s="28" t="s">
        <v>14</v>
      </c>
      <c r="Q203" s="28">
        <v>0.1</v>
      </c>
      <c r="R203" s="28">
        <v>0.1</v>
      </c>
      <c r="S203" s="28">
        <v>1</v>
      </c>
      <c r="U203" s="28" t="s">
        <v>659</v>
      </c>
      <c r="V203" s="28" t="s">
        <v>27</v>
      </c>
      <c r="W203" s="35" t="s">
        <v>541</v>
      </c>
      <c r="X203" s="35"/>
      <c r="Y203" s="35"/>
    </row>
    <row r="204" spans="1:25" s="28" customFormat="1" x14ac:dyDescent="0.2">
      <c r="A204" s="28">
        <v>2</v>
      </c>
      <c r="B204" s="28" t="s">
        <v>624</v>
      </c>
      <c r="C204" s="28">
        <v>1</v>
      </c>
      <c r="D204" s="28" t="s">
        <v>656</v>
      </c>
      <c r="E204" s="28" t="s">
        <v>669</v>
      </c>
      <c r="F204" s="31">
        <v>45424</v>
      </c>
      <c r="G204" s="34">
        <f t="shared" si="8"/>
        <v>0.2459375</v>
      </c>
      <c r="H204" s="34">
        <v>0.22221064814814814</v>
      </c>
      <c r="I204" s="34">
        <v>8.2291666666666659E-3</v>
      </c>
      <c r="J204" s="34">
        <f t="shared" si="9"/>
        <v>0.23043981481481482</v>
      </c>
      <c r="K204" s="34">
        <v>2.3726851851851853E-2</v>
      </c>
      <c r="L204" s="28">
        <v>1</v>
      </c>
      <c r="M204" s="28" t="s">
        <v>13</v>
      </c>
      <c r="N204" s="28">
        <v>1</v>
      </c>
      <c r="O204" s="28" t="s">
        <v>13</v>
      </c>
      <c r="Q204" s="28">
        <v>0.1</v>
      </c>
      <c r="R204" s="28">
        <v>0.1</v>
      </c>
      <c r="S204" s="28">
        <v>1</v>
      </c>
      <c r="U204" s="28" t="s">
        <v>801</v>
      </c>
      <c r="V204" s="28" t="s">
        <v>27</v>
      </c>
      <c r="W204" s="35" t="s">
        <v>541</v>
      </c>
      <c r="X204" s="35"/>
      <c r="Y204" s="35"/>
    </row>
    <row r="205" spans="1:25" x14ac:dyDescent="0.2">
      <c r="A205" s="1">
        <v>2</v>
      </c>
      <c r="B205" s="1" t="s">
        <v>625</v>
      </c>
      <c r="C205" s="1">
        <v>1</v>
      </c>
      <c r="D205" s="1" t="s">
        <v>738</v>
      </c>
      <c r="E205" s="1" t="s">
        <v>670</v>
      </c>
      <c r="F205" s="4">
        <v>45424</v>
      </c>
      <c r="G205" s="3">
        <f t="shared" si="8"/>
        <v>0.7866319444444444</v>
      </c>
      <c r="H205" s="3">
        <v>0.76555555555555554</v>
      </c>
      <c r="I205" s="3">
        <v>8.8541666666666664E-3</v>
      </c>
      <c r="J205" s="3">
        <f t="shared" si="9"/>
        <v>0.77440972222222226</v>
      </c>
      <c r="K205" s="3">
        <v>2.1076388888888888E-2</v>
      </c>
      <c r="L205" s="1">
        <v>2</v>
      </c>
      <c r="M205" s="1" t="s">
        <v>14</v>
      </c>
      <c r="N205" s="1">
        <v>2</v>
      </c>
      <c r="O205" s="1" t="s">
        <v>13</v>
      </c>
      <c r="Q205" s="1">
        <v>0.1</v>
      </c>
      <c r="R205" s="1">
        <v>0.1</v>
      </c>
      <c r="S205" s="1">
        <v>0</v>
      </c>
      <c r="U205" s="1" t="s">
        <v>664</v>
      </c>
      <c r="V205" s="1" t="s">
        <v>27</v>
      </c>
      <c r="W205" s="2" t="s">
        <v>541</v>
      </c>
    </row>
    <row r="206" spans="1:25" x14ac:dyDescent="0.2">
      <c r="A206" s="1">
        <v>2</v>
      </c>
      <c r="B206" s="1" t="s">
        <v>625</v>
      </c>
      <c r="C206" s="1">
        <v>2</v>
      </c>
      <c r="D206" s="1" t="s">
        <v>738</v>
      </c>
      <c r="E206" s="1" t="s">
        <v>670</v>
      </c>
      <c r="F206" s="4">
        <v>45424</v>
      </c>
      <c r="G206" s="3">
        <f t="shared" si="8"/>
        <v>0.79677083333333332</v>
      </c>
      <c r="H206" s="3">
        <v>0.76555555555555554</v>
      </c>
      <c r="I206" s="3">
        <v>2.2222222222222223E-2</v>
      </c>
      <c r="J206" s="3">
        <f t="shared" si="9"/>
        <v>0.7877777777777778</v>
      </c>
      <c r="K206" s="3">
        <v>3.1215277777777779E-2</v>
      </c>
      <c r="L206" s="1">
        <v>2</v>
      </c>
      <c r="M206" s="1" t="s">
        <v>13</v>
      </c>
      <c r="N206" s="1">
        <v>2</v>
      </c>
      <c r="O206" s="1" t="s">
        <v>13</v>
      </c>
      <c r="Q206" s="1">
        <v>0.1</v>
      </c>
      <c r="R206" s="1">
        <v>0.1</v>
      </c>
      <c r="S206" s="1">
        <v>0</v>
      </c>
      <c r="U206" s="1" t="s">
        <v>662</v>
      </c>
      <c r="V206" s="1" t="s">
        <v>27</v>
      </c>
      <c r="W206" s="2" t="s">
        <v>541</v>
      </c>
    </row>
    <row r="207" spans="1:25" x14ac:dyDescent="0.2">
      <c r="A207" s="1">
        <v>2</v>
      </c>
      <c r="B207" s="1" t="s">
        <v>624</v>
      </c>
      <c r="C207" s="1">
        <v>1</v>
      </c>
      <c r="D207" s="1" t="s">
        <v>738</v>
      </c>
      <c r="E207" s="1" t="s">
        <v>670</v>
      </c>
      <c r="F207" s="4">
        <v>45424</v>
      </c>
      <c r="G207" s="3">
        <f t="shared" si="8"/>
        <v>0.78964120370370372</v>
      </c>
      <c r="H207" s="3">
        <v>0.76555555555555554</v>
      </c>
      <c r="I207" s="3">
        <v>5.8564814814814816E-3</v>
      </c>
      <c r="J207" s="3">
        <f t="shared" si="9"/>
        <v>0.77141203703703698</v>
      </c>
      <c r="K207" s="3">
        <v>2.4085648148148148E-2</v>
      </c>
      <c r="L207" s="1">
        <v>2</v>
      </c>
      <c r="M207" s="1" t="s">
        <v>13</v>
      </c>
      <c r="N207" s="1">
        <v>2</v>
      </c>
      <c r="O207" s="1" t="s">
        <v>14</v>
      </c>
      <c r="Q207" s="1">
        <v>0.1</v>
      </c>
      <c r="R207" s="1">
        <v>0.1</v>
      </c>
      <c r="S207" s="1">
        <v>1</v>
      </c>
      <c r="V207" s="1" t="s">
        <v>27</v>
      </c>
      <c r="W207" s="2" t="s">
        <v>541</v>
      </c>
    </row>
    <row r="208" spans="1:25" x14ac:dyDescent="0.2">
      <c r="A208" s="1">
        <v>2</v>
      </c>
      <c r="B208" s="1" t="s">
        <v>624</v>
      </c>
      <c r="C208" s="1">
        <v>1</v>
      </c>
      <c r="D208" s="1" t="s">
        <v>739</v>
      </c>
      <c r="E208" s="1" t="s">
        <v>670</v>
      </c>
      <c r="F208" s="4">
        <v>45425</v>
      </c>
      <c r="G208" s="3">
        <f t="shared" si="8"/>
        <v>0.23394675925925926</v>
      </c>
      <c r="H208" s="3">
        <v>0.2172337962962963</v>
      </c>
      <c r="I208" s="3">
        <v>4.5601851851851853E-3</v>
      </c>
      <c r="J208" s="3">
        <f t="shared" si="9"/>
        <v>0.22179398148148149</v>
      </c>
      <c r="K208" s="3">
        <v>1.6712962962962964E-2</v>
      </c>
      <c r="L208" s="1">
        <v>2</v>
      </c>
      <c r="M208" s="1" t="s">
        <v>14</v>
      </c>
      <c r="N208" s="1">
        <v>2</v>
      </c>
      <c r="O208" s="1" t="s">
        <v>13</v>
      </c>
      <c r="Q208" s="1">
        <v>0.1</v>
      </c>
      <c r="R208" s="1">
        <v>0.1</v>
      </c>
      <c r="S208" s="1">
        <v>1</v>
      </c>
      <c r="V208" s="1" t="s">
        <v>27</v>
      </c>
      <c r="W208" s="2" t="s">
        <v>541</v>
      </c>
    </row>
    <row r="209" spans="1:25" x14ac:dyDescent="0.2">
      <c r="A209" s="1">
        <v>2</v>
      </c>
      <c r="B209" s="1" t="s">
        <v>624</v>
      </c>
      <c r="C209" s="1">
        <v>2</v>
      </c>
      <c r="D209" s="1" t="s">
        <v>739</v>
      </c>
      <c r="E209" s="1" t="s">
        <v>670</v>
      </c>
      <c r="F209" s="4">
        <v>45425</v>
      </c>
      <c r="G209" s="3">
        <f t="shared" si="8"/>
        <v>0.24116898148148147</v>
      </c>
      <c r="H209" s="3">
        <v>0.2172337962962963</v>
      </c>
      <c r="I209" s="3">
        <v>1.8055555555555554E-2</v>
      </c>
      <c r="J209" s="3">
        <f t="shared" si="9"/>
        <v>0.23528935185185185</v>
      </c>
      <c r="K209" s="3">
        <v>2.3935185185185184E-2</v>
      </c>
      <c r="L209" s="1">
        <v>2</v>
      </c>
      <c r="M209" s="1" t="s">
        <v>13</v>
      </c>
      <c r="N209" s="1">
        <v>2</v>
      </c>
      <c r="O209" s="1" t="s">
        <v>13</v>
      </c>
      <c r="Q209" s="1">
        <v>0.1</v>
      </c>
      <c r="R209" s="1">
        <v>0.1</v>
      </c>
      <c r="S209" s="1">
        <v>0</v>
      </c>
      <c r="U209" s="1" t="s">
        <v>662</v>
      </c>
      <c r="V209" s="1" t="s">
        <v>27</v>
      </c>
      <c r="W209" s="2" t="s">
        <v>541</v>
      </c>
    </row>
    <row r="210" spans="1:25" x14ac:dyDescent="0.2">
      <c r="A210" s="1">
        <v>2</v>
      </c>
      <c r="B210" s="1" t="s">
        <v>624</v>
      </c>
      <c r="C210" s="1">
        <v>3</v>
      </c>
      <c r="D210" s="1" t="s">
        <v>739</v>
      </c>
      <c r="E210" s="1" t="s">
        <v>670</v>
      </c>
      <c r="F210" s="4">
        <v>45425</v>
      </c>
      <c r="G210" s="3">
        <f t="shared" si="8"/>
        <v>0.24863425925925925</v>
      </c>
      <c r="H210" s="3">
        <v>0.2172337962962963</v>
      </c>
      <c r="I210" s="3">
        <v>2.4861111111111112E-2</v>
      </c>
      <c r="J210" s="3">
        <f t="shared" si="9"/>
        <v>0.24209490740740741</v>
      </c>
      <c r="K210" s="3">
        <v>3.1400462962962963E-2</v>
      </c>
      <c r="L210" s="1">
        <v>2</v>
      </c>
      <c r="M210" s="1" t="s">
        <v>13</v>
      </c>
      <c r="N210" s="1">
        <v>2</v>
      </c>
      <c r="O210" s="1" t="s">
        <v>13</v>
      </c>
      <c r="Q210" s="1">
        <v>0.1</v>
      </c>
      <c r="R210" s="1">
        <v>0.1</v>
      </c>
      <c r="S210" s="1">
        <v>1</v>
      </c>
      <c r="V210" s="1" t="s">
        <v>27</v>
      </c>
      <c r="W210" s="2" t="s">
        <v>541</v>
      </c>
    </row>
    <row r="211" spans="1:25" x14ac:dyDescent="0.2">
      <c r="A211" s="1">
        <v>2</v>
      </c>
      <c r="B211" s="1" t="s">
        <v>625</v>
      </c>
      <c r="C211" s="1">
        <v>1</v>
      </c>
      <c r="D211" s="1" t="s">
        <v>739</v>
      </c>
      <c r="E211" s="1" t="s">
        <v>670</v>
      </c>
      <c r="F211" s="4">
        <v>45425</v>
      </c>
      <c r="G211" s="3">
        <f t="shared" si="8"/>
        <v>0.23906250000000001</v>
      </c>
      <c r="H211" s="3">
        <v>0.2172337962962963</v>
      </c>
      <c r="I211" s="1" t="s">
        <v>27</v>
      </c>
      <c r="J211" s="1" t="s">
        <v>27</v>
      </c>
      <c r="K211" s="3">
        <v>2.1828703703703704E-2</v>
      </c>
      <c r="L211" s="1">
        <v>2</v>
      </c>
      <c r="M211" s="1" t="s">
        <v>13</v>
      </c>
      <c r="N211" s="1">
        <v>2</v>
      </c>
      <c r="O211" s="1" t="s">
        <v>14</v>
      </c>
      <c r="Q211" s="1">
        <v>0.1</v>
      </c>
      <c r="R211" s="1">
        <v>0.1</v>
      </c>
      <c r="S211" s="1">
        <v>1</v>
      </c>
      <c r="U211" s="1" t="s">
        <v>667</v>
      </c>
      <c r="V211" s="1" t="s">
        <v>27</v>
      </c>
      <c r="W211" s="2" t="s">
        <v>541</v>
      </c>
    </row>
    <row r="212" spans="1:25" x14ac:dyDescent="0.2">
      <c r="A212" s="1">
        <v>2</v>
      </c>
      <c r="B212" s="1" t="s">
        <v>625</v>
      </c>
      <c r="C212" s="1">
        <v>2</v>
      </c>
      <c r="D212" s="1" t="s">
        <v>739</v>
      </c>
      <c r="E212" s="1" t="s">
        <v>670</v>
      </c>
      <c r="F212" s="4">
        <v>45425</v>
      </c>
      <c r="G212" s="1" t="s">
        <v>27</v>
      </c>
      <c r="H212" s="3">
        <v>0.2172337962962963</v>
      </c>
      <c r="I212" s="3">
        <v>3.0115740740740742E-2</v>
      </c>
      <c r="J212" s="3">
        <f t="shared" ref="J212:J217" si="10">$H212 + $I212</f>
        <v>0.24734953703703705</v>
      </c>
      <c r="K212" s="1" t="s">
        <v>27</v>
      </c>
      <c r="L212" s="1">
        <v>2</v>
      </c>
      <c r="M212" s="1" t="s">
        <v>14</v>
      </c>
      <c r="N212" s="1">
        <v>2</v>
      </c>
      <c r="O212" s="1" t="s">
        <v>14</v>
      </c>
      <c r="Q212" s="1">
        <v>0.1</v>
      </c>
      <c r="R212" s="1">
        <v>0.1</v>
      </c>
      <c r="S212" s="1" t="s">
        <v>27</v>
      </c>
      <c r="U212" s="1" t="s">
        <v>666</v>
      </c>
      <c r="V212" s="2" t="s">
        <v>27</v>
      </c>
      <c r="W212" s="2" t="s">
        <v>541</v>
      </c>
    </row>
    <row r="213" spans="1:25" s="36" customFormat="1" x14ac:dyDescent="0.2">
      <c r="A213" s="36">
        <v>2</v>
      </c>
      <c r="B213" s="36" t="s">
        <v>624</v>
      </c>
      <c r="C213" s="36">
        <v>1</v>
      </c>
      <c r="D213" s="36" t="s">
        <v>656</v>
      </c>
      <c r="E213" s="36" t="s">
        <v>671</v>
      </c>
      <c r="F213" s="27">
        <v>45425</v>
      </c>
      <c r="G213" s="37">
        <f>H213 + K213</f>
        <v>0.7901273148148148</v>
      </c>
      <c r="H213" s="37">
        <v>0.76443287037037033</v>
      </c>
      <c r="I213" s="37">
        <v>1.2777777777777779E-2</v>
      </c>
      <c r="J213" s="37">
        <f t="shared" si="10"/>
        <v>0.77721064814814811</v>
      </c>
      <c r="K213" s="37">
        <v>2.5694444444444443E-2</v>
      </c>
      <c r="L213" s="36">
        <v>2</v>
      </c>
      <c r="M213" s="36" t="s">
        <v>13</v>
      </c>
      <c r="N213" s="36">
        <v>2</v>
      </c>
      <c r="O213" s="36" t="s">
        <v>14</v>
      </c>
      <c r="Q213" s="36">
        <v>0.1</v>
      </c>
      <c r="R213" s="36">
        <v>0.1</v>
      </c>
      <c r="S213" s="36">
        <v>0</v>
      </c>
      <c r="V213" s="38" t="s">
        <v>27</v>
      </c>
      <c r="W213" s="38" t="s">
        <v>541</v>
      </c>
      <c r="X213" s="38"/>
      <c r="Y213" s="38"/>
    </row>
    <row r="214" spans="1:25" s="36" customFormat="1" x14ac:dyDescent="0.2">
      <c r="A214" s="36">
        <v>2</v>
      </c>
      <c r="B214" s="36" t="s">
        <v>625</v>
      </c>
      <c r="C214" s="36">
        <v>1</v>
      </c>
      <c r="D214" s="36" t="s">
        <v>656</v>
      </c>
      <c r="E214" s="36" t="s">
        <v>671</v>
      </c>
      <c r="F214" s="27">
        <v>45425</v>
      </c>
      <c r="G214" s="37">
        <f>H214 + K214</f>
        <v>0.78368055555555549</v>
      </c>
      <c r="H214" s="37">
        <v>0.76443287037037033</v>
      </c>
      <c r="I214" s="37">
        <v>8.2870370370370372E-3</v>
      </c>
      <c r="J214" s="37">
        <f t="shared" si="10"/>
        <v>0.77271990740740737</v>
      </c>
      <c r="K214" s="37">
        <v>1.9247685185185184E-2</v>
      </c>
      <c r="L214" s="36">
        <v>2</v>
      </c>
      <c r="M214" s="36" t="s">
        <v>14</v>
      </c>
      <c r="N214" s="36">
        <v>2</v>
      </c>
      <c r="O214" s="36" t="s">
        <v>13</v>
      </c>
      <c r="Q214" s="36">
        <v>0.1</v>
      </c>
      <c r="R214" s="36">
        <v>0.1</v>
      </c>
      <c r="S214" s="36">
        <v>0</v>
      </c>
      <c r="V214" s="38" t="s">
        <v>27</v>
      </c>
      <c r="W214" s="38" t="s">
        <v>541</v>
      </c>
      <c r="X214" s="38"/>
      <c r="Y214" s="38"/>
    </row>
    <row r="215" spans="1:25" s="36" customFormat="1" x14ac:dyDescent="0.2">
      <c r="A215" s="36">
        <v>2</v>
      </c>
      <c r="B215" s="36" t="s">
        <v>625</v>
      </c>
      <c r="C215" s="36">
        <v>2</v>
      </c>
      <c r="D215" s="36" t="s">
        <v>656</v>
      </c>
      <c r="E215" s="36" t="s">
        <v>671</v>
      </c>
      <c r="F215" s="27">
        <v>45425</v>
      </c>
      <c r="G215" s="37">
        <f>H215 + K215</f>
        <v>0.78785879629629629</v>
      </c>
      <c r="H215" s="37">
        <v>0.76443287037037033</v>
      </c>
      <c r="I215" s="37">
        <v>1.9814814814814816E-2</v>
      </c>
      <c r="J215" s="37">
        <f t="shared" si="10"/>
        <v>0.78424768518518517</v>
      </c>
      <c r="K215" s="37">
        <v>2.3425925925925926E-2</v>
      </c>
      <c r="L215" s="36">
        <v>2</v>
      </c>
      <c r="M215" s="36" t="s">
        <v>13</v>
      </c>
      <c r="N215" s="36">
        <v>2</v>
      </c>
      <c r="O215" s="36" t="s">
        <v>13</v>
      </c>
      <c r="Q215" s="36">
        <v>0.1</v>
      </c>
      <c r="R215" s="36">
        <v>0.1</v>
      </c>
      <c r="S215" s="36">
        <v>1</v>
      </c>
      <c r="V215" s="38" t="s">
        <v>27</v>
      </c>
      <c r="W215" s="38" t="s">
        <v>541</v>
      </c>
      <c r="X215" s="38"/>
      <c r="Y215" s="38"/>
    </row>
    <row r="216" spans="1:25" s="36" customFormat="1" x14ac:dyDescent="0.2">
      <c r="A216" s="36">
        <v>2</v>
      </c>
      <c r="B216" s="36" t="s">
        <v>625</v>
      </c>
      <c r="C216" s="36">
        <v>3</v>
      </c>
      <c r="D216" s="36" t="s">
        <v>656</v>
      </c>
      <c r="E216" s="36" t="s">
        <v>671</v>
      </c>
      <c r="F216" s="27">
        <v>45425</v>
      </c>
      <c r="G216" s="37">
        <f>H216 + K216</f>
        <v>0.79247685185185179</v>
      </c>
      <c r="H216" s="37">
        <v>0.76443287037037033</v>
      </c>
      <c r="I216" s="37">
        <v>2.3946759259259258E-2</v>
      </c>
      <c r="J216" s="37">
        <f t="shared" si="10"/>
        <v>0.7883796296296296</v>
      </c>
      <c r="K216" s="37">
        <v>2.8043981481481482E-2</v>
      </c>
      <c r="L216" s="36">
        <v>2</v>
      </c>
      <c r="M216" s="36" t="s">
        <v>13</v>
      </c>
      <c r="N216" s="36">
        <v>2</v>
      </c>
      <c r="O216" s="36" t="s">
        <v>13</v>
      </c>
      <c r="Q216" s="36">
        <v>0.1</v>
      </c>
      <c r="R216" s="36">
        <v>0.1</v>
      </c>
      <c r="S216" s="36">
        <v>0</v>
      </c>
      <c r="V216" s="38" t="s">
        <v>27</v>
      </c>
      <c r="W216" s="38" t="s">
        <v>541</v>
      </c>
      <c r="X216" s="38"/>
      <c r="Y216" s="38"/>
    </row>
    <row r="217" spans="1:25" s="36" customFormat="1" x14ac:dyDescent="0.2">
      <c r="A217" s="36">
        <v>2</v>
      </c>
      <c r="B217" s="36" t="s">
        <v>625</v>
      </c>
      <c r="C217" s="36">
        <v>4</v>
      </c>
      <c r="D217" s="36" t="s">
        <v>656</v>
      </c>
      <c r="E217" s="36" t="s">
        <v>671</v>
      </c>
      <c r="F217" s="27">
        <v>45425</v>
      </c>
      <c r="G217" s="37">
        <f>H217 + K217</f>
        <v>0.79731481481481481</v>
      </c>
      <c r="H217" s="37">
        <v>0.76443287037037033</v>
      </c>
      <c r="I217" s="37">
        <v>2.8796296296296296E-2</v>
      </c>
      <c r="J217" s="37">
        <f t="shared" si="10"/>
        <v>0.79322916666666665</v>
      </c>
      <c r="K217" s="37">
        <v>3.2881944444444443E-2</v>
      </c>
      <c r="L217" s="36">
        <v>2</v>
      </c>
      <c r="M217" s="36" t="s">
        <v>13</v>
      </c>
      <c r="N217" s="36">
        <v>2</v>
      </c>
      <c r="O217" s="36" t="s">
        <v>13</v>
      </c>
      <c r="Q217" s="36">
        <v>0.1</v>
      </c>
      <c r="R217" s="36">
        <v>0.1</v>
      </c>
      <c r="S217" s="36">
        <v>0</v>
      </c>
      <c r="U217" s="36" t="s">
        <v>674</v>
      </c>
      <c r="V217" s="38" t="s">
        <v>27</v>
      </c>
      <c r="W217" s="38" t="s">
        <v>541</v>
      </c>
      <c r="X217" s="38"/>
      <c r="Y217" s="38"/>
    </row>
    <row r="218" spans="1:25" x14ac:dyDescent="0.2">
      <c r="A218" s="1">
        <v>2</v>
      </c>
      <c r="B218" s="1" t="s">
        <v>625</v>
      </c>
      <c r="C218" s="1">
        <v>1</v>
      </c>
      <c r="D218" s="1" t="s">
        <v>661</v>
      </c>
      <c r="E218" s="1" t="s">
        <v>671</v>
      </c>
      <c r="F218" s="4">
        <v>45426</v>
      </c>
      <c r="G218" s="3">
        <f t="shared" ref="G218:G224" si="11">H218 + K218</f>
        <v>0.22803240740740741</v>
      </c>
      <c r="H218" s="3">
        <v>0.22282407407407406</v>
      </c>
      <c r="I218" s="1" t="s">
        <v>27</v>
      </c>
      <c r="J218" s="1" t="s">
        <v>27</v>
      </c>
      <c r="K218" s="3">
        <v>5.208333333333333E-3</v>
      </c>
      <c r="L218" s="1">
        <v>2</v>
      </c>
      <c r="M218" s="1" t="s">
        <v>13</v>
      </c>
      <c r="N218" s="1">
        <v>2</v>
      </c>
      <c r="O218" s="1" t="s">
        <v>13</v>
      </c>
      <c r="Q218" s="1">
        <v>0.1</v>
      </c>
      <c r="R218" s="1">
        <v>0.1</v>
      </c>
      <c r="S218" s="1">
        <v>1</v>
      </c>
      <c r="U218" s="1" t="s">
        <v>677</v>
      </c>
      <c r="V218" s="2" t="s">
        <v>27</v>
      </c>
      <c r="W218" s="2" t="s">
        <v>541</v>
      </c>
    </row>
    <row r="219" spans="1:25" x14ac:dyDescent="0.2">
      <c r="A219" s="1">
        <v>2</v>
      </c>
      <c r="B219" s="1" t="s">
        <v>625</v>
      </c>
      <c r="C219" s="1">
        <v>2</v>
      </c>
      <c r="D219" s="1" t="s">
        <v>661</v>
      </c>
      <c r="E219" s="1" t="s">
        <v>671</v>
      </c>
      <c r="F219" s="4">
        <v>45427</v>
      </c>
      <c r="G219" s="3">
        <f t="shared" si="11"/>
        <v>0.24171296296296296</v>
      </c>
      <c r="H219" s="3">
        <v>0.22282407407407406</v>
      </c>
      <c r="I219" s="3">
        <v>6.2268518518518515E-3</v>
      </c>
      <c r="J219" s="3">
        <f>$H219 + $I219</f>
        <v>0.22905092592592591</v>
      </c>
      <c r="K219" s="3">
        <v>1.8888888888888889E-2</v>
      </c>
      <c r="L219" s="1">
        <v>2</v>
      </c>
      <c r="M219" s="1" t="s">
        <v>13</v>
      </c>
      <c r="N219" s="1">
        <v>2</v>
      </c>
      <c r="O219" s="1" t="s">
        <v>14</v>
      </c>
      <c r="Q219" s="1">
        <v>0.1</v>
      </c>
      <c r="R219" s="1">
        <v>0.1</v>
      </c>
      <c r="S219" s="1">
        <v>1</v>
      </c>
      <c r="V219" s="2" t="s">
        <v>27</v>
      </c>
      <c r="W219" s="2" t="s">
        <v>541</v>
      </c>
    </row>
    <row r="220" spans="1:25" x14ac:dyDescent="0.2">
      <c r="A220" s="1">
        <v>2</v>
      </c>
      <c r="B220" s="1" t="s">
        <v>624</v>
      </c>
      <c r="C220" s="1">
        <v>1</v>
      </c>
      <c r="D220" s="1" t="s">
        <v>661</v>
      </c>
      <c r="E220" s="1" t="s">
        <v>671</v>
      </c>
      <c r="F220" s="4">
        <v>45428</v>
      </c>
      <c r="G220" s="3">
        <f t="shared" si="11"/>
        <v>0.23959490740740741</v>
      </c>
      <c r="H220" s="3">
        <v>0.22282407407407406</v>
      </c>
      <c r="I220" s="1" t="s">
        <v>27</v>
      </c>
      <c r="J220" s="1" t="s">
        <v>27</v>
      </c>
      <c r="K220" s="3">
        <v>1.6770833333333332E-2</v>
      </c>
      <c r="L220" s="1">
        <v>2</v>
      </c>
      <c r="M220" s="1" t="s">
        <v>14</v>
      </c>
      <c r="N220" s="1">
        <v>2</v>
      </c>
      <c r="O220" s="1" t="s">
        <v>14</v>
      </c>
      <c r="Q220" s="1">
        <v>0.1</v>
      </c>
      <c r="R220" s="1">
        <v>0.1</v>
      </c>
      <c r="S220" s="1">
        <v>1</v>
      </c>
      <c r="U220" s="1" t="s">
        <v>571</v>
      </c>
      <c r="V220" s="2" t="s">
        <v>27</v>
      </c>
      <c r="W220" s="2" t="s">
        <v>541</v>
      </c>
    </row>
    <row r="221" spans="1:25" x14ac:dyDescent="0.2">
      <c r="A221" s="1">
        <v>2</v>
      </c>
      <c r="B221" s="1" t="s">
        <v>625</v>
      </c>
      <c r="C221" s="1">
        <v>1</v>
      </c>
      <c r="D221" s="1" t="s">
        <v>665</v>
      </c>
      <c r="E221" s="1" t="s">
        <v>671</v>
      </c>
      <c r="F221" s="4">
        <v>45426</v>
      </c>
      <c r="G221" s="3">
        <f t="shared" si="11"/>
        <v>0.77475694444444443</v>
      </c>
      <c r="H221" s="3">
        <v>0.76245370370370369</v>
      </c>
      <c r="I221" s="1" t="s">
        <v>27</v>
      </c>
      <c r="J221" s="1" t="s">
        <v>27</v>
      </c>
      <c r="K221" s="3">
        <v>1.2303240740740741E-2</v>
      </c>
      <c r="L221" s="1">
        <v>2</v>
      </c>
      <c r="M221" s="1" t="s">
        <v>14</v>
      </c>
      <c r="N221" s="1">
        <v>2</v>
      </c>
      <c r="O221" s="1" t="s">
        <v>14</v>
      </c>
      <c r="Q221" s="1">
        <v>0.1</v>
      </c>
      <c r="R221" s="1">
        <v>0.1</v>
      </c>
      <c r="S221" s="1">
        <v>1</v>
      </c>
      <c r="V221" s="2" t="s">
        <v>27</v>
      </c>
      <c r="W221" s="2" t="s">
        <v>541</v>
      </c>
    </row>
    <row r="222" spans="1:25" x14ac:dyDescent="0.2">
      <c r="A222" s="1">
        <v>2</v>
      </c>
      <c r="B222" s="1" t="s">
        <v>625</v>
      </c>
      <c r="C222" s="1">
        <v>2</v>
      </c>
      <c r="D222" s="1" t="s">
        <v>665</v>
      </c>
      <c r="E222" s="1" t="s">
        <v>671</v>
      </c>
      <c r="F222" s="4">
        <v>45426</v>
      </c>
      <c r="G222" s="3">
        <f t="shared" si="11"/>
        <v>0.78489583333333335</v>
      </c>
      <c r="H222" s="3">
        <v>0.76245370370370369</v>
      </c>
      <c r="I222" s="3">
        <v>1.2997685185185185E-2</v>
      </c>
      <c r="J222" s="3">
        <f>$H222 + $I222</f>
        <v>0.77545138888888887</v>
      </c>
      <c r="K222" s="3">
        <v>2.2442129629629631E-2</v>
      </c>
      <c r="L222" s="1">
        <v>2</v>
      </c>
      <c r="M222" s="1" t="s">
        <v>14</v>
      </c>
      <c r="N222" s="1">
        <v>2</v>
      </c>
      <c r="O222" s="1" t="s">
        <v>14</v>
      </c>
      <c r="Q222" s="1">
        <v>0.1</v>
      </c>
      <c r="R222" s="1">
        <v>0.1</v>
      </c>
      <c r="S222" s="1">
        <v>1</v>
      </c>
      <c r="V222" s="2" t="s">
        <v>27</v>
      </c>
      <c r="W222" s="2" t="s">
        <v>541</v>
      </c>
    </row>
    <row r="223" spans="1:25" x14ac:dyDescent="0.2">
      <c r="A223" s="1">
        <v>2</v>
      </c>
      <c r="B223" s="1" t="s">
        <v>625</v>
      </c>
      <c r="C223" s="1">
        <v>3</v>
      </c>
      <c r="D223" s="1" t="s">
        <v>665</v>
      </c>
      <c r="E223" s="1" t="s">
        <v>671</v>
      </c>
      <c r="F223" s="4">
        <v>45426</v>
      </c>
      <c r="G223" s="3">
        <f t="shared" si="11"/>
        <v>0.79067129629629629</v>
      </c>
      <c r="H223" s="3">
        <v>0.76245370370370369</v>
      </c>
      <c r="I223" s="3">
        <v>2.3530092592592592E-2</v>
      </c>
      <c r="J223" s="3">
        <f>$H223 + $I223</f>
        <v>0.78598379629629633</v>
      </c>
      <c r="K223" s="3">
        <v>2.8217592592592593E-2</v>
      </c>
      <c r="L223" s="1">
        <v>2</v>
      </c>
      <c r="M223" s="1" t="s">
        <v>14</v>
      </c>
      <c r="N223" s="1">
        <v>2</v>
      </c>
      <c r="O223" s="1" t="s">
        <v>14</v>
      </c>
      <c r="Q223" s="1">
        <v>0.1</v>
      </c>
      <c r="R223" s="1">
        <v>0.1</v>
      </c>
      <c r="S223" s="1">
        <v>0</v>
      </c>
      <c r="U223" s="1" t="s">
        <v>681</v>
      </c>
      <c r="V223" s="2" t="s">
        <v>27</v>
      </c>
      <c r="W223" s="2" t="s">
        <v>541</v>
      </c>
    </row>
    <row r="224" spans="1:25" x14ac:dyDescent="0.2">
      <c r="A224" s="1">
        <v>2</v>
      </c>
      <c r="B224" s="1" t="s">
        <v>624</v>
      </c>
      <c r="C224" s="1">
        <v>1</v>
      </c>
      <c r="D224" s="1" t="s">
        <v>665</v>
      </c>
      <c r="E224" s="1" t="s">
        <v>671</v>
      </c>
      <c r="F224" s="4">
        <v>45426</v>
      </c>
      <c r="G224" s="3">
        <f t="shared" si="11"/>
        <v>0.78</v>
      </c>
      <c r="H224" s="3">
        <v>0.76245370370370369</v>
      </c>
      <c r="I224" s="3">
        <v>9.0277777777777774E-4</v>
      </c>
      <c r="J224" s="3">
        <f>$H224 + $I224</f>
        <v>0.7633564814814815</v>
      </c>
      <c r="K224" s="3">
        <v>1.7546296296296296E-2</v>
      </c>
      <c r="L224" s="1">
        <v>2</v>
      </c>
      <c r="M224" s="1" t="s">
        <v>13</v>
      </c>
      <c r="N224" s="1">
        <v>2</v>
      </c>
      <c r="O224" s="1" t="s">
        <v>13</v>
      </c>
      <c r="Q224" s="1">
        <v>0.1</v>
      </c>
      <c r="R224" s="1">
        <v>0.1</v>
      </c>
      <c r="S224" s="1">
        <v>1</v>
      </c>
      <c r="V224" s="2" t="s">
        <v>27</v>
      </c>
      <c r="W224" s="2" t="s">
        <v>541</v>
      </c>
    </row>
    <row r="225" spans="1:23" x14ac:dyDescent="0.2">
      <c r="A225" s="1">
        <v>2</v>
      </c>
      <c r="B225" s="1" t="s">
        <v>625</v>
      </c>
      <c r="C225" s="1">
        <v>1</v>
      </c>
      <c r="D225" s="1" t="s">
        <v>672</v>
      </c>
      <c r="E225" s="1" t="s">
        <v>671</v>
      </c>
      <c r="F225" s="4">
        <v>45427</v>
      </c>
      <c r="G225" s="3">
        <f t="shared" ref="G225:G238" si="12">H225 + K225</f>
        <v>0.22659722222222223</v>
      </c>
      <c r="H225" s="3">
        <v>0.21856481481481482</v>
      </c>
      <c r="I225" s="1" t="s">
        <v>27</v>
      </c>
      <c r="J225" s="1" t="s">
        <v>27</v>
      </c>
      <c r="K225" s="3">
        <v>8.0324074074074082E-3</v>
      </c>
      <c r="L225" s="1">
        <v>2</v>
      </c>
      <c r="M225" s="1" t="s">
        <v>14</v>
      </c>
      <c r="N225" s="1">
        <v>2</v>
      </c>
      <c r="O225" s="1" t="s">
        <v>14</v>
      </c>
      <c r="Q225" s="1">
        <v>0.1</v>
      </c>
      <c r="R225" s="1">
        <v>0.1</v>
      </c>
      <c r="S225" s="1">
        <v>1</v>
      </c>
      <c r="T225" s="1" t="s">
        <v>688</v>
      </c>
      <c r="U225" s="1" t="s">
        <v>684</v>
      </c>
      <c r="V225" s="2" t="s">
        <v>27</v>
      </c>
      <c r="W225" s="2" t="s">
        <v>541</v>
      </c>
    </row>
    <row r="226" spans="1:23" x14ac:dyDescent="0.2">
      <c r="A226" s="1">
        <v>2</v>
      </c>
      <c r="B226" s="1" t="s">
        <v>625</v>
      </c>
      <c r="C226" s="1">
        <v>2</v>
      </c>
      <c r="D226" s="1" t="s">
        <v>672</v>
      </c>
      <c r="E226" s="1" t="s">
        <v>671</v>
      </c>
      <c r="F226" s="4">
        <v>45427</v>
      </c>
      <c r="G226" s="3">
        <f t="shared" si="12"/>
        <v>0.24837962962962964</v>
      </c>
      <c r="H226" s="3">
        <v>0.21856481481481482</v>
      </c>
      <c r="I226" s="3">
        <v>8.0324074074074082E-3</v>
      </c>
      <c r="J226" s="3">
        <f>$H226 + $I226</f>
        <v>0.22659722222222223</v>
      </c>
      <c r="K226" s="3">
        <v>2.9814814814814815E-2</v>
      </c>
      <c r="L226" s="1">
        <v>2</v>
      </c>
      <c r="M226" s="1" t="s">
        <v>14</v>
      </c>
      <c r="N226" s="1">
        <v>2</v>
      </c>
      <c r="O226" s="1" t="s">
        <v>13</v>
      </c>
      <c r="Q226" s="1">
        <v>0.2</v>
      </c>
      <c r="R226" s="1">
        <v>0.2</v>
      </c>
      <c r="S226" s="1">
        <v>0</v>
      </c>
      <c r="T226" s="1" t="s">
        <v>689</v>
      </c>
      <c r="U226" s="1" t="s">
        <v>685</v>
      </c>
      <c r="V226" s="2" t="s">
        <v>27</v>
      </c>
      <c r="W226" s="2" t="s">
        <v>541</v>
      </c>
    </row>
    <row r="227" spans="1:23" x14ac:dyDescent="0.2">
      <c r="A227" s="1">
        <v>2</v>
      </c>
      <c r="B227" s="1" t="s">
        <v>624</v>
      </c>
      <c r="C227" s="1">
        <v>1</v>
      </c>
      <c r="D227" s="1" t="s">
        <v>672</v>
      </c>
      <c r="E227" s="1" t="s">
        <v>671</v>
      </c>
      <c r="F227" s="4">
        <v>45427</v>
      </c>
      <c r="G227" s="3">
        <f t="shared" si="12"/>
        <v>0.24015046296296297</v>
      </c>
      <c r="H227" s="3">
        <v>0.21856481481481482</v>
      </c>
      <c r="I227" s="1" t="s">
        <v>27</v>
      </c>
      <c r="J227" s="1" t="s">
        <v>27</v>
      </c>
      <c r="K227" s="3">
        <v>2.1585648148148149E-2</v>
      </c>
      <c r="L227" s="1">
        <v>2</v>
      </c>
      <c r="M227" s="1" t="s">
        <v>13</v>
      </c>
      <c r="N227" s="1">
        <v>2</v>
      </c>
      <c r="O227" s="1" t="s">
        <v>14</v>
      </c>
      <c r="Q227" s="1">
        <v>0.1</v>
      </c>
      <c r="R227" s="1">
        <v>0.2</v>
      </c>
      <c r="S227" s="1">
        <v>0</v>
      </c>
      <c r="U227" s="1" t="s">
        <v>686</v>
      </c>
      <c r="V227" s="2" t="s">
        <v>27</v>
      </c>
      <c r="W227" s="2" t="s">
        <v>541</v>
      </c>
    </row>
    <row r="228" spans="1:23" x14ac:dyDescent="0.2">
      <c r="A228" s="1">
        <v>2</v>
      </c>
      <c r="B228" s="1" t="s">
        <v>624</v>
      </c>
      <c r="C228" s="1">
        <v>2</v>
      </c>
      <c r="D228" s="1" t="s">
        <v>672</v>
      </c>
      <c r="E228" s="1" t="s">
        <v>671</v>
      </c>
      <c r="F228" s="4">
        <v>45427</v>
      </c>
      <c r="G228" s="3">
        <f t="shared" si="12"/>
        <v>0.24885416666666668</v>
      </c>
      <c r="H228" s="3">
        <v>0.21856481481481482</v>
      </c>
      <c r="I228" s="3">
        <v>2.3379629629629629E-2</v>
      </c>
      <c r="J228" s="3">
        <f>$H228 + $I228</f>
        <v>0.24194444444444446</v>
      </c>
      <c r="K228" s="3">
        <v>3.0289351851851852E-2</v>
      </c>
      <c r="L228" s="1">
        <v>2</v>
      </c>
      <c r="M228" s="1" t="s">
        <v>14</v>
      </c>
      <c r="N228" s="1">
        <v>2</v>
      </c>
      <c r="O228" s="1" t="s">
        <v>14</v>
      </c>
      <c r="Q228" s="1">
        <v>0.2</v>
      </c>
      <c r="R228" s="1">
        <v>0.2</v>
      </c>
      <c r="S228" s="1">
        <v>0</v>
      </c>
      <c r="V228" s="2" t="s">
        <v>27</v>
      </c>
      <c r="W228" s="2" t="s">
        <v>541</v>
      </c>
    </row>
    <row r="229" spans="1:23" x14ac:dyDescent="0.2">
      <c r="A229" s="1">
        <v>2</v>
      </c>
      <c r="B229" s="1" t="s">
        <v>624</v>
      </c>
      <c r="C229" s="1">
        <v>3</v>
      </c>
      <c r="D229" s="1" t="s">
        <v>672</v>
      </c>
      <c r="E229" s="1" t="s">
        <v>671</v>
      </c>
      <c r="F229" s="4">
        <v>45427</v>
      </c>
      <c r="G229" s="3">
        <f t="shared" si="12"/>
        <v>0.25814814814814813</v>
      </c>
      <c r="H229" s="3">
        <v>0.21856481481481482</v>
      </c>
      <c r="I229" s="3">
        <v>3.2129629629629633E-2</v>
      </c>
      <c r="J229" s="3">
        <f>$H229 + $I229</f>
        <v>0.25069444444444444</v>
      </c>
      <c r="K229" s="3">
        <v>3.9583333333333331E-2</v>
      </c>
      <c r="L229" s="1">
        <v>2</v>
      </c>
      <c r="M229" s="1" t="s">
        <v>14</v>
      </c>
      <c r="N229" s="1">
        <v>2</v>
      </c>
      <c r="O229" s="1" t="s">
        <v>14</v>
      </c>
      <c r="Q229" s="1">
        <v>0.2</v>
      </c>
      <c r="R229" s="1">
        <v>0.2</v>
      </c>
      <c r="S229" s="1">
        <v>0</v>
      </c>
      <c r="V229" s="2" t="s">
        <v>27</v>
      </c>
      <c r="W229" s="2" t="s">
        <v>541</v>
      </c>
    </row>
    <row r="230" spans="1:23" x14ac:dyDescent="0.2">
      <c r="A230" s="1">
        <v>2</v>
      </c>
      <c r="B230" s="1" t="s">
        <v>624</v>
      </c>
      <c r="C230" s="1">
        <v>1</v>
      </c>
      <c r="D230" s="1" t="s">
        <v>675</v>
      </c>
      <c r="E230" s="1" t="s">
        <v>671</v>
      </c>
      <c r="F230" s="4">
        <v>45427</v>
      </c>
      <c r="G230" s="3">
        <f t="shared" si="12"/>
        <v>0.79385416666666664</v>
      </c>
      <c r="H230" s="3">
        <v>0.75618055555555552</v>
      </c>
      <c r="I230" s="3">
        <v>1.6851851851851851E-2</v>
      </c>
      <c r="J230" s="3">
        <f t="shared" ref="J230:J234" si="13">$H230 + $I230</f>
        <v>0.77303240740740742</v>
      </c>
      <c r="K230" s="3">
        <v>3.7673611111111109E-2</v>
      </c>
      <c r="L230" s="1">
        <v>2</v>
      </c>
      <c r="M230" s="1" t="s">
        <v>14</v>
      </c>
      <c r="N230" s="1">
        <v>2</v>
      </c>
      <c r="O230" s="1" t="s">
        <v>13</v>
      </c>
      <c r="Q230" s="1">
        <v>0.1</v>
      </c>
      <c r="R230" s="1">
        <v>0.1</v>
      </c>
      <c r="S230" s="1">
        <v>1</v>
      </c>
      <c r="V230" s="2" t="s">
        <v>27</v>
      </c>
      <c r="W230" s="2" t="s">
        <v>541</v>
      </c>
    </row>
    <row r="231" spans="1:23" x14ac:dyDescent="0.2">
      <c r="A231" s="1">
        <v>2</v>
      </c>
      <c r="B231" s="1" t="s">
        <v>625</v>
      </c>
      <c r="C231" s="1">
        <v>1</v>
      </c>
      <c r="D231" s="1" t="s">
        <v>675</v>
      </c>
      <c r="E231" s="1" t="s">
        <v>671</v>
      </c>
      <c r="F231" s="4">
        <v>45427</v>
      </c>
      <c r="G231" s="3">
        <f t="shared" si="12"/>
        <v>0.7804861111111111</v>
      </c>
      <c r="H231" s="3">
        <v>0.75618055555555552</v>
      </c>
      <c r="I231" s="3">
        <v>1.34375E-2</v>
      </c>
      <c r="J231" s="3">
        <f t="shared" si="13"/>
        <v>0.76961805555555551</v>
      </c>
      <c r="K231" s="3">
        <v>2.4305555555555556E-2</v>
      </c>
      <c r="L231" s="1">
        <v>2</v>
      </c>
      <c r="M231" s="1" t="s">
        <v>13</v>
      </c>
      <c r="N231" s="1">
        <v>2</v>
      </c>
      <c r="O231" s="1" t="s">
        <v>14</v>
      </c>
      <c r="Q231" s="1">
        <v>0.1</v>
      </c>
      <c r="R231" s="1">
        <v>0.1</v>
      </c>
      <c r="S231" s="1">
        <v>1</v>
      </c>
      <c r="V231" s="2" t="s">
        <v>27</v>
      </c>
      <c r="W231" s="2" t="s">
        <v>541</v>
      </c>
    </row>
    <row r="232" spans="1:23" x14ac:dyDescent="0.2">
      <c r="A232" s="1">
        <v>2</v>
      </c>
      <c r="B232" s="1" t="s">
        <v>625</v>
      </c>
      <c r="C232" s="1">
        <v>2</v>
      </c>
      <c r="D232" s="1" t="s">
        <v>675</v>
      </c>
      <c r="E232" s="1" t="s">
        <v>671</v>
      </c>
      <c r="F232" s="4">
        <v>45427</v>
      </c>
      <c r="G232" s="3">
        <f t="shared" si="12"/>
        <v>0.78665509259259259</v>
      </c>
      <c r="H232" s="3">
        <v>0.75618055555555552</v>
      </c>
      <c r="I232" s="3">
        <v>2.4687500000000001E-2</v>
      </c>
      <c r="J232" s="3">
        <f t="shared" si="13"/>
        <v>0.7808680555555555</v>
      </c>
      <c r="K232" s="3">
        <v>3.0474537037037036E-2</v>
      </c>
      <c r="L232" s="1">
        <v>2</v>
      </c>
      <c r="M232" s="1" t="s">
        <v>14</v>
      </c>
      <c r="N232" s="1">
        <v>2</v>
      </c>
      <c r="O232" s="1" t="s">
        <v>14</v>
      </c>
      <c r="Q232" s="1">
        <v>0.1</v>
      </c>
      <c r="R232" s="1">
        <v>0.1</v>
      </c>
      <c r="S232" s="1">
        <v>0</v>
      </c>
      <c r="V232" s="2" t="s">
        <v>27</v>
      </c>
      <c r="W232" s="2" t="s">
        <v>541</v>
      </c>
    </row>
    <row r="233" spans="1:23" x14ac:dyDescent="0.2">
      <c r="A233" s="1">
        <v>2</v>
      </c>
      <c r="B233" s="1" t="s">
        <v>625</v>
      </c>
      <c r="C233" s="1">
        <v>3</v>
      </c>
      <c r="D233" s="1" t="s">
        <v>675</v>
      </c>
      <c r="E233" s="1" t="s">
        <v>671</v>
      </c>
      <c r="F233" s="4">
        <v>45427</v>
      </c>
      <c r="G233" s="3">
        <f t="shared" si="12"/>
        <v>0.79276620370370365</v>
      </c>
      <c r="H233" s="3">
        <v>0.75618055555555552</v>
      </c>
      <c r="I233" s="3">
        <v>3.0879629629629628E-2</v>
      </c>
      <c r="J233" s="3">
        <f t="shared" si="13"/>
        <v>0.78706018518518517</v>
      </c>
      <c r="K233" s="3">
        <v>3.6585648148148145E-2</v>
      </c>
      <c r="L233" s="1">
        <v>2</v>
      </c>
      <c r="M233" s="1" t="s">
        <v>14</v>
      </c>
      <c r="N233" s="1">
        <v>2</v>
      </c>
      <c r="O233" s="1" t="s">
        <v>14</v>
      </c>
      <c r="Q233" s="1">
        <v>0.1</v>
      </c>
      <c r="R233" s="1">
        <v>0.1</v>
      </c>
      <c r="S233" s="1">
        <v>1</v>
      </c>
      <c r="T233" s="1" t="s">
        <v>696</v>
      </c>
      <c r="V233" s="2" t="s">
        <v>27</v>
      </c>
      <c r="W233" s="2" t="s">
        <v>541</v>
      </c>
    </row>
    <row r="234" spans="1:23" x14ac:dyDescent="0.2">
      <c r="A234" s="1">
        <v>2</v>
      </c>
      <c r="B234" s="1" t="s">
        <v>625</v>
      </c>
      <c r="C234" s="1">
        <v>4</v>
      </c>
      <c r="D234" s="1" t="s">
        <v>675</v>
      </c>
      <c r="E234" s="1" t="s">
        <v>671</v>
      </c>
      <c r="F234" s="4">
        <v>45427</v>
      </c>
      <c r="G234" s="3">
        <f t="shared" si="12"/>
        <v>0.799224537037037</v>
      </c>
      <c r="H234" s="3">
        <v>0.75618055555555552</v>
      </c>
      <c r="I234" s="3">
        <v>3.784722222222222E-2</v>
      </c>
      <c r="J234" s="3">
        <f t="shared" si="13"/>
        <v>0.79402777777777778</v>
      </c>
      <c r="K234" s="3">
        <v>4.3043981481481482E-2</v>
      </c>
      <c r="L234" s="1">
        <v>2</v>
      </c>
      <c r="M234" s="1" t="s">
        <v>14</v>
      </c>
      <c r="N234" s="1">
        <v>2</v>
      </c>
      <c r="O234" s="1" t="s">
        <v>14</v>
      </c>
      <c r="Q234" s="1">
        <v>0.1</v>
      </c>
      <c r="R234" s="1">
        <v>0.1</v>
      </c>
      <c r="S234" s="1">
        <v>0</v>
      </c>
      <c r="T234" s="1" t="s">
        <v>703</v>
      </c>
      <c r="U234" s="1" t="s">
        <v>702</v>
      </c>
      <c r="V234" s="2" t="s">
        <v>27</v>
      </c>
      <c r="W234" s="2" t="s">
        <v>541</v>
      </c>
    </row>
    <row r="235" spans="1:23" x14ac:dyDescent="0.2">
      <c r="A235" s="1">
        <v>2</v>
      </c>
      <c r="B235" s="1" t="s">
        <v>625</v>
      </c>
      <c r="C235" s="1">
        <v>1</v>
      </c>
      <c r="D235" s="1" t="s">
        <v>678</v>
      </c>
      <c r="E235" s="1" t="s">
        <v>671</v>
      </c>
      <c r="F235" s="4">
        <v>45428</v>
      </c>
      <c r="G235" s="3">
        <f t="shared" si="12"/>
        <v>0.23674768518518519</v>
      </c>
      <c r="H235" s="3">
        <v>0.22144675925925925</v>
      </c>
      <c r="K235" s="3">
        <v>1.5300925925925926E-2</v>
      </c>
      <c r="L235" s="1">
        <v>2</v>
      </c>
      <c r="M235" s="1" t="s">
        <v>14</v>
      </c>
      <c r="N235" s="1">
        <v>2</v>
      </c>
      <c r="O235" s="1" t="s">
        <v>14</v>
      </c>
      <c r="Q235" s="1">
        <v>0.1</v>
      </c>
      <c r="R235" s="1">
        <v>0.2</v>
      </c>
      <c r="S235" s="1">
        <v>1</v>
      </c>
      <c r="T235" s="1">
        <v>1</v>
      </c>
      <c r="V235" s="2" t="s">
        <v>27</v>
      </c>
      <c r="W235" s="2" t="s">
        <v>541</v>
      </c>
    </row>
    <row r="236" spans="1:23" x14ac:dyDescent="0.2">
      <c r="A236" s="1">
        <v>2</v>
      </c>
      <c r="B236" s="1" t="s">
        <v>624</v>
      </c>
      <c r="C236" s="1">
        <v>1</v>
      </c>
      <c r="D236" s="1" t="s">
        <v>678</v>
      </c>
      <c r="E236" s="1" t="s">
        <v>671</v>
      </c>
      <c r="F236" s="4">
        <v>45428</v>
      </c>
      <c r="G236" s="3">
        <f t="shared" si="12"/>
        <v>0.22597222222222221</v>
      </c>
      <c r="H236" s="3">
        <v>0.22144675925925925</v>
      </c>
      <c r="K236" s="3">
        <v>4.5254629629629629E-3</v>
      </c>
      <c r="L236" s="1">
        <v>2</v>
      </c>
      <c r="M236" s="1" t="s">
        <v>13</v>
      </c>
      <c r="N236" s="1">
        <v>2</v>
      </c>
      <c r="O236" s="1" t="s">
        <v>13</v>
      </c>
      <c r="Q236" s="1">
        <v>0.1</v>
      </c>
      <c r="R236" s="1">
        <v>0.1</v>
      </c>
      <c r="S236" s="1" t="s">
        <v>27</v>
      </c>
      <c r="U236" s="1" t="s">
        <v>701</v>
      </c>
      <c r="V236" s="2" t="s">
        <v>27</v>
      </c>
      <c r="W236" s="2" t="s">
        <v>541</v>
      </c>
    </row>
    <row r="237" spans="1:23" x14ac:dyDescent="0.2">
      <c r="A237" s="1">
        <v>2</v>
      </c>
      <c r="B237" s="1" t="s">
        <v>624</v>
      </c>
      <c r="C237" s="1">
        <v>2</v>
      </c>
      <c r="D237" s="1" t="s">
        <v>678</v>
      </c>
      <c r="E237" s="1" t="s">
        <v>671</v>
      </c>
      <c r="F237" s="4">
        <v>45428</v>
      </c>
      <c r="G237" s="3">
        <f t="shared" si="12"/>
        <v>0.23618055555555553</v>
      </c>
      <c r="H237" s="3">
        <v>0.22144675925925925</v>
      </c>
      <c r="K237" s="3">
        <v>1.4733796296296297E-2</v>
      </c>
      <c r="L237" s="1">
        <v>2</v>
      </c>
      <c r="M237" s="1" t="s">
        <v>13</v>
      </c>
      <c r="N237" s="1">
        <v>2</v>
      </c>
      <c r="O237" s="1" t="s">
        <v>13</v>
      </c>
      <c r="Q237" s="1">
        <v>0.1</v>
      </c>
      <c r="R237" s="1">
        <v>0.2</v>
      </c>
      <c r="S237" s="1">
        <v>0</v>
      </c>
      <c r="T237" s="1" t="s">
        <v>700</v>
      </c>
      <c r="V237" s="2" t="s">
        <v>27</v>
      </c>
      <c r="W237" s="2" t="s">
        <v>541</v>
      </c>
    </row>
    <row r="238" spans="1:23" x14ac:dyDescent="0.2">
      <c r="A238" s="1">
        <v>2</v>
      </c>
      <c r="B238" s="1" t="s">
        <v>624</v>
      </c>
      <c r="C238" s="1">
        <v>3</v>
      </c>
      <c r="D238" s="1" t="s">
        <v>678</v>
      </c>
      <c r="E238" s="1" t="s">
        <v>671</v>
      </c>
      <c r="F238" s="4">
        <v>45428</v>
      </c>
      <c r="G238" s="3">
        <f t="shared" si="12"/>
        <v>0.24971064814814814</v>
      </c>
      <c r="H238" s="3">
        <v>0.22144675925925925</v>
      </c>
      <c r="I238" s="3">
        <v>1.9988425925925927E-2</v>
      </c>
      <c r="J238" s="3">
        <f t="shared" ref="J238:J243" si="14">$H238 + $I238</f>
        <v>0.24143518518518517</v>
      </c>
      <c r="K238" s="3">
        <v>2.826388888888889E-2</v>
      </c>
      <c r="L238" s="1">
        <v>2</v>
      </c>
      <c r="M238" s="1" t="s">
        <v>13</v>
      </c>
      <c r="N238" s="1">
        <v>2</v>
      </c>
      <c r="O238" s="1" t="s">
        <v>13</v>
      </c>
      <c r="Q238" s="1">
        <v>0.2</v>
      </c>
      <c r="R238" s="1">
        <v>0.1</v>
      </c>
      <c r="S238" s="1">
        <v>0</v>
      </c>
      <c r="T238" s="1">
        <v>1</v>
      </c>
      <c r="V238" s="2" t="s">
        <v>27</v>
      </c>
      <c r="W238" s="2" t="s">
        <v>541</v>
      </c>
    </row>
    <row r="239" spans="1:23" x14ac:dyDescent="0.2">
      <c r="A239" s="1">
        <v>2</v>
      </c>
      <c r="B239" s="1" t="s">
        <v>625</v>
      </c>
      <c r="C239" s="1">
        <v>1</v>
      </c>
      <c r="D239" s="1" t="s">
        <v>679</v>
      </c>
      <c r="E239" s="1" t="s">
        <v>671</v>
      </c>
      <c r="F239" s="4">
        <v>45428</v>
      </c>
      <c r="G239" s="3">
        <f t="shared" ref="G239:G253" si="15">H239 + K239</f>
        <v>0.78483796296296304</v>
      </c>
      <c r="H239" s="3">
        <v>0.7544791666666667</v>
      </c>
      <c r="I239" s="3">
        <v>1.4351851851851852E-2</v>
      </c>
      <c r="J239" s="3">
        <f t="shared" si="14"/>
        <v>0.76883101851851854</v>
      </c>
      <c r="K239" s="3">
        <v>3.0358796296296297E-2</v>
      </c>
      <c r="L239" s="1">
        <v>2</v>
      </c>
      <c r="M239" s="1" t="s">
        <v>14</v>
      </c>
      <c r="N239" s="1">
        <v>2</v>
      </c>
      <c r="O239" s="1" t="s">
        <v>13</v>
      </c>
      <c r="Q239" s="1">
        <v>0.1</v>
      </c>
      <c r="R239" s="1">
        <v>0.1</v>
      </c>
      <c r="S239" s="1">
        <v>1</v>
      </c>
      <c r="V239" s="2" t="s">
        <v>27</v>
      </c>
      <c r="W239" s="2" t="s">
        <v>541</v>
      </c>
    </row>
    <row r="240" spans="1:23" x14ac:dyDescent="0.2">
      <c r="A240" s="1">
        <v>2</v>
      </c>
      <c r="B240" s="1" t="s">
        <v>624</v>
      </c>
      <c r="C240" s="1">
        <v>1</v>
      </c>
      <c r="D240" s="1" t="s">
        <v>679</v>
      </c>
      <c r="E240" s="1" t="s">
        <v>671</v>
      </c>
      <c r="F240" s="4">
        <v>45428</v>
      </c>
      <c r="G240" s="3">
        <f t="shared" si="15"/>
        <v>0.79086805555555562</v>
      </c>
      <c r="H240" s="3">
        <v>0.7544791666666667</v>
      </c>
      <c r="I240" s="3">
        <v>1.8587962962962962E-2</v>
      </c>
      <c r="J240" s="3">
        <f t="shared" si="14"/>
        <v>0.77306712962962965</v>
      </c>
      <c r="K240" s="3">
        <v>3.6388888888888887E-2</v>
      </c>
      <c r="L240" s="1">
        <v>2</v>
      </c>
      <c r="M240" s="1" t="s">
        <v>13</v>
      </c>
      <c r="N240" s="1">
        <v>2</v>
      </c>
      <c r="O240" s="1" t="s">
        <v>14</v>
      </c>
      <c r="Q240" s="1">
        <v>0.1</v>
      </c>
      <c r="R240" s="1">
        <v>0.1</v>
      </c>
      <c r="S240" s="1">
        <v>0</v>
      </c>
      <c r="T240" s="1">
        <v>1</v>
      </c>
      <c r="V240" s="2" t="s">
        <v>27</v>
      </c>
      <c r="W240" s="2" t="s">
        <v>541</v>
      </c>
    </row>
    <row r="241" spans="1:23" x14ac:dyDescent="0.2">
      <c r="A241" s="1">
        <v>2</v>
      </c>
      <c r="B241" s="1" t="s">
        <v>625</v>
      </c>
      <c r="C241" s="1">
        <v>1</v>
      </c>
      <c r="D241" s="1" t="s">
        <v>694</v>
      </c>
      <c r="E241" s="1" t="s">
        <v>671</v>
      </c>
      <c r="F241" s="4">
        <v>45429</v>
      </c>
      <c r="G241" s="3">
        <f t="shared" si="15"/>
        <v>0.24288194444444444</v>
      </c>
      <c r="H241" s="3">
        <v>0.22107638888888889</v>
      </c>
      <c r="I241" s="3">
        <v>7.9629629629629634E-3</v>
      </c>
      <c r="J241" s="3">
        <f t="shared" si="14"/>
        <v>0.22903935185185187</v>
      </c>
      <c r="K241" s="3">
        <v>2.1805555555555557E-2</v>
      </c>
      <c r="L241" s="1">
        <v>2</v>
      </c>
      <c r="M241" s="1" t="s">
        <v>13</v>
      </c>
      <c r="N241" s="1">
        <v>2</v>
      </c>
      <c r="O241" s="1" t="s">
        <v>13</v>
      </c>
      <c r="Q241" s="1">
        <v>0.1</v>
      </c>
      <c r="R241" s="1">
        <v>0.2</v>
      </c>
      <c r="S241" s="1">
        <v>1</v>
      </c>
      <c r="T241" s="1">
        <v>1</v>
      </c>
      <c r="V241" s="2" t="s">
        <v>27</v>
      </c>
      <c r="W241" s="2" t="s">
        <v>541</v>
      </c>
    </row>
    <row r="242" spans="1:23" x14ac:dyDescent="0.2">
      <c r="A242" s="1">
        <v>2</v>
      </c>
      <c r="B242" s="1" t="s">
        <v>624</v>
      </c>
      <c r="C242" s="1">
        <v>1</v>
      </c>
      <c r="D242" s="1" t="s">
        <v>694</v>
      </c>
      <c r="E242" s="1" t="s">
        <v>671</v>
      </c>
      <c r="F242" s="4">
        <v>45429</v>
      </c>
      <c r="G242" s="3">
        <f t="shared" si="15"/>
        <v>0.23121527777777778</v>
      </c>
      <c r="H242" s="3">
        <v>0.22107638888888889</v>
      </c>
      <c r="I242" s="3">
        <v>0</v>
      </c>
      <c r="J242" s="3">
        <f t="shared" si="14"/>
        <v>0.22107638888888889</v>
      </c>
      <c r="K242" s="3">
        <v>1.0138888888888888E-2</v>
      </c>
      <c r="L242" s="1">
        <v>2</v>
      </c>
      <c r="M242" s="1" t="s">
        <v>14</v>
      </c>
      <c r="N242" s="1">
        <v>2</v>
      </c>
      <c r="O242" s="1" t="s">
        <v>14</v>
      </c>
      <c r="Q242" s="1">
        <v>0.1</v>
      </c>
      <c r="R242" s="1">
        <v>0.1</v>
      </c>
      <c r="S242" s="1">
        <v>0</v>
      </c>
      <c r="T242" s="1">
        <v>1</v>
      </c>
      <c r="V242" s="2" t="s">
        <v>27</v>
      </c>
      <c r="W242" s="2" t="s">
        <v>541</v>
      </c>
    </row>
    <row r="243" spans="1:23" x14ac:dyDescent="0.2">
      <c r="A243" s="1">
        <v>2</v>
      </c>
      <c r="B243" s="1" t="s">
        <v>624</v>
      </c>
      <c r="C243" s="1">
        <v>2</v>
      </c>
      <c r="D243" s="1" t="s">
        <v>694</v>
      </c>
      <c r="E243" s="1" t="s">
        <v>671</v>
      </c>
      <c r="F243" s="4">
        <v>45429</v>
      </c>
      <c r="G243" s="3">
        <f t="shared" si="15"/>
        <v>0.24766203703703704</v>
      </c>
      <c r="H243" s="3">
        <v>0.22107638888888889</v>
      </c>
      <c r="I243" s="3">
        <v>2.1643518518518517E-2</v>
      </c>
      <c r="J243" s="3">
        <f t="shared" si="14"/>
        <v>0.2427199074074074</v>
      </c>
      <c r="K243" s="3">
        <v>2.6585648148148146E-2</v>
      </c>
      <c r="L243" s="1">
        <v>2</v>
      </c>
      <c r="M243" s="1" t="s">
        <v>14</v>
      </c>
      <c r="N243" s="1">
        <v>2</v>
      </c>
      <c r="O243" s="1" t="s">
        <v>14</v>
      </c>
      <c r="Q243" s="1">
        <v>0.2</v>
      </c>
      <c r="R243" s="1">
        <v>0.2</v>
      </c>
      <c r="S243" s="1">
        <v>1</v>
      </c>
      <c r="T243" s="1">
        <v>1</v>
      </c>
      <c r="V243" s="2" t="s">
        <v>27</v>
      </c>
      <c r="W243" s="2" t="s">
        <v>541</v>
      </c>
    </row>
    <row r="244" spans="1:23" x14ac:dyDescent="0.2">
      <c r="A244" s="1">
        <v>2</v>
      </c>
      <c r="B244" s="1" t="s">
        <v>624</v>
      </c>
      <c r="C244" s="1">
        <v>3</v>
      </c>
      <c r="D244" s="1" t="s">
        <v>694</v>
      </c>
      <c r="E244" s="1" t="s">
        <v>671</v>
      </c>
      <c r="F244" s="4">
        <v>45429</v>
      </c>
      <c r="G244" s="3">
        <f t="shared" si="15"/>
        <v>0.25545138888888891</v>
      </c>
      <c r="H244" s="3">
        <v>0.22107638888888889</v>
      </c>
      <c r="K244" s="3">
        <v>3.4375000000000003E-2</v>
      </c>
      <c r="L244" s="1">
        <v>2</v>
      </c>
      <c r="M244" s="1" t="s">
        <v>14</v>
      </c>
      <c r="N244" s="1">
        <v>2</v>
      </c>
      <c r="O244" s="1" t="s">
        <v>14</v>
      </c>
      <c r="Q244" s="1">
        <v>0.2</v>
      </c>
      <c r="R244" s="1">
        <v>0.2</v>
      </c>
      <c r="S244" s="1">
        <v>1</v>
      </c>
      <c r="T244" s="1">
        <v>1</v>
      </c>
      <c r="V244" s="2" t="s">
        <v>27</v>
      </c>
      <c r="W244" s="2" t="s">
        <v>541</v>
      </c>
    </row>
    <row r="245" spans="1:23" x14ac:dyDescent="0.2">
      <c r="A245" s="1">
        <v>2</v>
      </c>
      <c r="B245" s="1" t="s">
        <v>624</v>
      </c>
      <c r="C245" s="1">
        <v>1</v>
      </c>
      <c r="D245" s="1" t="s">
        <v>713</v>
      </c>
      <c r="E245" s="1" t="s">
        <v>671</v>
      </c>
      <c r="F245" s="4">
        <v>45429</v>
      </c>
      <c r="G245" s="3">
        <f t="shared" si="15"/>
        <v>0.79304398148148147</v>
      </c>
      <c r="H245" s="3">
        <v>0.76368055555555558</v>
      </c>
      <c r="I245" s="3">
        <v>1.1770833333333333E-2</v>
      </c>
      <c r="J245" s="3">
        <f>$H245 + $I245</f>
        <v>0.77545138888888887</v>
      </c>
      <c r="K245" s="3">
        <v>2.9363425925925925E-2</v>
      </c>
      <c r="L245" s="1">
        <v>2</v>
      </c>
      <c r="M245" s="1" t="s">
        <v>14</v>
      </c>
      <c r="N245" s="1">
        <v>2</v>
      </c>
      <c r="O245" s="1" t="s">
        <v>13</v>
      </c>
      <c r="Q245" s="1">
        <v>0.2</v>
      </c>
      <c r="R245" s="1">
        <v>0.1</v>
      </c>
      <c r="S245" s="1">
        <v>1</v>
      </c>
      <c r="T245" s="1">
        <v>1</v>
      </c>
      <c r="V245" s="2" t="s">
        <v>27</v>
      </c>
      <c r="W245" s="2" t="s">
        <v>541</v>
      </c>
    </row>
    <row r="246" spans="1:23" x14ac:dyDescent="0.2">
      <c r="A246" s="1">
        <v>2</v>
      </c>
      <c r="B246" s="1" t="s">
        <v>625</v>
      </c>
      <c r="C246" s="1">
        <v>1</v>
      </c>
      <c r="D246" s="1" t="s">
        <v>713</v>
      </c>
      <c r="E246" s="1" t="s">
        <v>671</v>
      </c>
      <c r="F246" s="4">
        <v>45429</v>
      </c>
      <c r="G246" s="3">
        <f t="shared" si="15"/>
        <v>0.78851851851851851</v>
      </c>
      <c r="H246" s="3">
        <v>0.76368055555555558</v>
      </c>
      <c r="I246" s="3">
        <v>1.6527777777777777E-2</v>
      </c>
      <c r="J246" s="3">
        <f>$H246 + $I246</f>
        <v>0.78020833333333339</v>
      </c>
      <c r="K246" s="3">
        <v>2.4837962962962964E-2</v>
      </c>
      <c r="L246" s="1">
        <v>2</v>
      </c>
      <c r="M246" s="1" t="s">
        <v>14</v>
      </c>
      <c r="N246" s="1">
        <v>2</v>
      </c>
      <c r="O246" s="1" t="s">
        <v>14</v>
      </c>
      <c r="Q246" s="1">
        <v>0.1</v>
      </c>
      <c r="R246" s="1">
        <v>0.1</v>
      </c>
      <c r="S246" s="1">
        <v>0</v>
      </c>
      <c r="T246" s="1">
        <v>1</v>
      </c>
      <c r="V246" s="2" t="s">
        <v>27</v>
      </c>
      <c r="W246" s="2" t="s">
        <v>541</v>
      </c>
    </row>
    <row r="247" spans="1:23" x14ac:dyDescent="0.2">
      <c r="A247" s="1">
        <v>2</v>
      </c>
      <c r="B247" s="1" t="s">
        <v>624</v>
      </c>
      <c r="C247" s="1">
        <v>1</v>
      </c>
      <c r="D247" s="1" t="s">
        <v>715</v>
      </c>
      <c r="E247" s="1" t="s">
        <v>671</v>
      </c>
      <c r="F247" s="4">
        <v>45430</v>
      </c>
      <c r="G247" s="3">
        <f t="shared" si="15"/>
        <v>0.24028935185185185</v>
      </c>
      <c r="H247" s="3">
        <v>0.21936342592592592</v>
      </c>
      <c r="I247" s="3">
        <v>2.3726851851851851E-3</v>
      </c>
      <c r="J247" s="3">
        <f>$H247 + $I247</f>
        <v>0.22173611111111111</v>
      </c>
      <c r="K247" s="3">
        <v>2.0925925925925924E-2</v>
      </c>
      <c r="L247" s="1">
        <v>2</v>
      </c>
      <c r="M247" s="1" t="s">
        <v>14</v>
      </c>
      <c r="N247" s="1">
        <v>2</v>
      </c>
      <c r="O247" s="1" t="s">
        <v>13</v>
      </c>
      <c r="Q247" s="1">
        <v>0.1</v>
      </c>
      <c r="R247" s="1">
        <v>0.2</v>
      </c>
      <c r="S247" s="1">
        <v>0</v>
      </c>
      <c r="T247" s="1">
        <v>1</v>
      </c>
      <c r="V247" s="2" t="s">
        <v>27</v>
      </c>
      <c r="W247" s="2" t="s">
        <v>541</v>
      </c>
    </row>
    <row r="248" spans="1:23" x14ac:dyDescent="0.2">
      <c r="A248" s="1">
        <v>2</v>
      </c>
      <c r="B248" s="1" t="s">
        <v>624</v>
      </c>
      <c r="C248" s="1">
        <v>1</v>
      </c>
      <c r="D248" s="1" t="s">
        <v>717</v>
      </c>
      <c r="E248" s="1" t="s">
        <v>671</v>
      </c>
      <c r="F248" s="4">
        <v>45430</v>
      </c>
      <c r="G248" s="3">
        <f t="shared" si="15"/>
        <v>0.79083333333333328</v>
      </c>
      <c r="H248" s="3">
        <v>0.76873842592592589</v>
      </c>
      <c r="J248" s="3"/>
      <c r="K248" s="3">
        <v>2.2094907407407407E-2</v>
      </c>
      <c r="L248" s="1">
        <v>2</v>
      </c>
      <c r="M248" s="1" t="s">
        <v>13</v>
      </c>
      <c r="N248" s="1">
        <v>2</v>
      </c>
      <c r="O248" s="1" t="s">
        <v>14</v>
      </c>
      <c r="Q248" s="1">
        <v>0.1</v>
      </c>
      <c r="R248" s="1">
        <v>0.1</v>
      </c>
      <c r="S248" s="1">
        <v>0</v>
      </c>
      <c r="T248" s="1">
        <v>1</v>
      </c>
      <c r="V248" s="2" t="s">
        <v>27</v>
      </c>
      <c r="W248" s="2" t="s">
        <v>541</v>
      </c>
    </row>
    <row r="249" spans="1:23" x14ac:dyDescent="0.2">
      <c r="A249" s="1">
        <v>2</v>
      </c>
      <c r="B249" s="1" t="s">
        <v>624</v>
      </c>
      <c r="C249" s="1">
        <v>1</v>
      </c>
      <c r="D249" s="1" t="s">
        <v>733</v>
      </c>
      <c r="E249" s="1" t="s">
        <v>671</v>
      </c>
      <c r="F249" s="4">
        <v>45433</v>
      </c>
      <c r="G249" s="3">
        <f t="shared" si="15"/>
        <v>0.78643518518518518</v>
      </c>
      <c r="H249" s="3">
        <v>0.76209490740740737</v>
      </c>
      <c r="I249" s="3">
        <v>1.7905092592592594E-2</v>
      </c>
      <c r="J249" s="3">
        <f>$H249 + $I249</f>
        <v>0.77999999999999992</v>
      </c>
      <c r="K249" s="3">
        <v>2.4340277777777777E-2</v>
      </c>
      <c r="L249" s="1">
        <v>2</v>
      </c>
      <c r="M249" s="1" t="s">
        <v>14</v>
      </c>
      <c r="N249" s="1">
        <v>2</v>
      </c>
      <c r="O249" s="1" t="s">
        <v>14</v>
      </c>
      <c r="Q249" s="1">
        <v>0.2</v>
      </c>
      <c r="R249" s="1">
        <v>0.1</v>
      </c>
      <c r="S249" s="1">
        <v>1</v>
      </c>
      <c r="V249" s="2" t="s">
        <v>27</v>
      </c>
      <c r="W249" s="2" t="s">
        <v>541</v>
      </c>
    </row>
    <row r="250" spans="1:23" x14ac:dyDescent="0.2">
      <c r="A250" s="1">
        <v>2</v>
      </c>
      <c r="B250" s="1" t="s">
        <v>624</v>
      </c>
      <c r="C250" s="1">
        <v>1</v>
      </c>
      <c r="D250" s="1" t="s">
        <v>734</v>
      </c>
      <c r="E250" s="1" t="s">
        <v>671</v>
      </c>
      <c r="F250" s="4">
        <v>45433</v>
      </c>
      <c r="G250" s="3">
        <f t="shared" si="15"/>
        <v>0.23763888888888887</v>
      </c>
      <c r="H250" s="3">
        <v>0.21850694444444443</v>
      </c>
      <c r="I250" s="1" t="s">
        <v>27</v>
      </c>
      <c r="J250" s="1" t="s">
        <v>27</v>
      </c>
      <c r="K250" s="3">
        <v>1.9131944444444444E-2</v>
      </c>
      <c r="L250" s="1">
        <v>2</v>
      </c>
      <c r="M250" s="1" t="s">
        <v>13</v>
      </c>
      <c r="N250" s="1">
        <v>2</v>
      </c>
      <c r="O250" s="1" t="s">
        <v>14</v>
      </c>
      <c r="Q250" s="1">
        <v>0.1</v>
      </c>
      <c r="R250" s="1">
        <v>0.2</v>
      </c>
      <c r="S250" s="1">
        <v>0</v>
      </c>
      <c r="T250" s="1">
        <v>1</v>
      </c>
      <c r="U250" s="1" t="s">
        <v>735</v>
      </c>
      <c r="V250" s="2" t="s">
        <v>27</v>
      </c>
      <c r="W250" s="2" t="s">
        <v>541</v>
      </c>
    </row>
    <row r="251" spans="1:23" x14ac:dyDescent="0.2">
      <c r="A251" s="1">
        <v>2</v>
      </c>
      <c r="B251" s="1" t="s">
        <v>624</v>
      </c>
      <c r="C251" s="1">
        <v>2</v>
      </c>
      <c r="D251" s="1" t="s">
        <v>734</v>
      </c>
      <c r="E251" s="1" t="s">
        <v>671</v>
      </c>
      <c r="F251" s="4">
        <v>45433</v>
      </c>
      <c r="G251" s="3">
        <f t="shared" si="15"/>
        <v>0.25300925925925927</v>
      </c>
      <c r="H251" s="3">
        <v>0.21850694444444443</v>
      </c>
      <c r="I251" s="3">
        <v>1.9131944444444444E-2</v>
      </c>
      <c r="J251" s="3">
        <f>$H251 + $I251</f>
        <v>0.23763888888888887</v>
      </c>
      <c r="K251" s="3">
        <v>3.4502314814814812E-2</v>
      </c>
      <c r="L251" s="1">
        <v>2</v>
      </c>
      <c r="M251" s="1" t="s">
        <v>14</v>
      </c>
      <c r="N251" s="1">
        <v>2</v>
      </c>
      <c r="O251" s="1" t="s">
        <v>14</v>
      </c>
      <c r="Q251" s="1">
        <v>0.2</v>
      </c>
      <c r="R251" s="1">
        <v>0.2</v>
      </c>
      <c r="S251" s="1">
        <v>1</v>
      </c>
      <c r="V251" s="2" t="s">
        <v>27</v>
      </c>
      <c r="W251" s="2" t="s">
        <v>541</v>
      </c>
    </row>
    <row r="252" spans="1:23" x14ac:dyDescent="0.2">
      <c r="A252" s="1">
        <v>2</v>
      </c>
      <c r="B252" s="1" t="s">
        <v>624</v>
      </c>
      <c r="C252" s="1">
        <v>1</v>
      </c>
      <c r="D252" s="1" t="s">
        <v>229</v>
      </c>
      <c r="E252" s="1" t="s">
        <v>671</v>
      </c>
      <c r="F252" s="4">
        <v>45432</v>
      </c>
      <c r="G252" s="3">
        <f t="shared" si="15"/>
        <v>0.24386574074074074</v>
      </c>
      <c r="H252" s="3">
        <v>0.2215162037037037</v>
      </c>
      <c r="K252" s="3">
        <v>2.2349537037037036E-2</v>
      </c>
      <c r="L252" s="1">
        <v>2</v>
      </c>
      <c r="M252" s="1" t="s">
        <v>13</v>
      </c>
      <c r="N252" s="1">
        <v>2</v>
      </c>
      <c r="O252" s="1" t="s">
        <v>13</v>
      </c>
      <c r="Q252" s="1">
        <v>0.2</v>
      </c>
      <c r="R252" s="1">
        <v>0.2</v>
      </c>
      <c r="S252" s="1">
        <v>1</v>
      </c>
      <c r="V252" s="2" t="s">
        <v>27</v>
      </c>
      <c r="W252" s="2" t="s">
        <v>541</v>
      </c>
    </row>
    <row r="253" spans="1:23" x14ac:dyDescent="0.2">
      <c r="A253" s="1">
        <v>2</v>
      </c>
      <c r="B253" s="1" t="s">
        <v>624</v>
      </c>
      <c r="C253" s="1">
        <v>1</v>
      </c>
      <c r="D253" s="3" t="s">
        <v>737</v>
      </c>
      <c r="E253" s="1" t="s">
        <v>671</v>
      </c>
      <c r="F253" s="4">
        <v>45431</v>
      </c>
      <c r="G253" s="3">
        <f t="shared" si="15"/>
        <v>0.24098379629629629</v>
      </c>
      <c r="H253" s="3">
        <v>0.21858796296296296</v>
      </c>
      <c r="K253" s="3">
        <v>2.2395833333333334E-2</v>
      </c>
      <c r="L253" s="1">
        <v>2</v>
      </c>
      <c r="M253" s="1" t="s">
        <v>14</v>
      </c>
      <c r="N253" s="1">
        <v>2</v>
      </c>
      <c r="O253" s="1" t="s">
        <v>14</v>
      </c>
      <c r="Q253" s="1">
        <v>0.1</v>
      </c>
      <c r="R253" s="1">
        <v>0.2</v>
      </c>
      <c r="S253" s="1">
        <v>1</v>
      </c>
      <c r="V253" s="2" t="s">
        <v>27</v>
      </c>
      <c r="W253" s="2" t="s">
        <v>541</v>
      </c>
    </row>
    <row r="254" spans="1:23" x14ac:dyDescent="0.2">
      <c r="A254" s="1">
        <v>2</v>
      </c>
      <c r="B254" s="1" t="s">
        <v>624</v>
      </c>
      <c r="C254" s="1">
        <v>1</v>
      </c>
      <c r="D254" s="1" t="s">
        <v>724</v>
      </c>
      <c r="E254" s="1" t="s">
        <v>671</v>
      </c>
      <c r="F254" s="4">
        <v>45431</v>
      </c>
      <c r="G254" s="1" t="s">
        <v>27</v>
      </c>
      <c r="H254" s="3">
        <v>0.76197916666666665</v>
      </c>
      <c r="I254" s="3">
        <v>2.0532407407407409E-2</v>
      </c>
      <c r="K254" s="1" t="s">
        <v>27</v>
      </c>
      <c r="L254" s="1">
        <v>2</v>
      </c>
      <c r="M254" s="1" t="s">
        <v>14</v>
      </c>
      <c r="N254" s="1">
        <v>2</v>
      </c>
      <c r="O254" s="1" t="s">
        <v>13</v>
      </c>
      <c r="R254" s="1">
        <v>0.1</v>
      </c>
      <c r="S254" s="1" t="s">
        <v>27</v>
      </c>
      <c r="U254" s="1" t="s">
        <v>736</v>
      </c>
      <c r="V254" s="2" t="s">
        <v>27</v>
      </c>
      <c r="W254" s="2" t="s">
        <v>541</v>
      </c>
    </row>
    <row r="255" spans="1:23" x14ac:dyDescent="0.2">
      <c r="A255" s="1">
        <v>2</v>
      </c>
      <c r="B255" s="1" t="s">
        <v>624</v>
      </c>
      <c r="C255" s="1">
        <v>1</v>
      </c>
      <c r="D255" s="1" t="s">
        <v>729</v>
      </c>
      <c r="E255" s="1" t="s">
        <v>671</v>
      </c>
      <c r="F255" s="4">
        <v>45436</v>
      </c>
      <c r="G255" s="3">
        <f t="shared" ref="G255:G258" si="16">H255 + K255</f>
        <v>0.25960648148148147</v>
      </c>
      <c r="H255" s="3">
        <v>0.22819444444444445</v>
      </c>
      <c r="I255" s="1" t="s">
        <v>27</v>
      </c>
      <c r="J255" s="1" t="s">
        <v>27</v>
      </c>
      <c r="K255" s="3">
        <v>3.1412037037037037E-2</v>
      </c>
      <c r="L255" s="1">
        <v>2</v>
      </c>
      <c r="M255" s="1" t="s">
        <v>14</v>
      </c>
      <c r="N255" s="1">
        <v>2</v>
      </c>
      <c r="O255" s="1" t="s">
        <v>13</v>
      </c>
      <c r="Q255" s="1">
        <v>0.1</v>
      </c>
      <c r="R255" s="1">
        <v>0.2</v>
      </c>
      <c r="S255" s="1">
        <v>0</v>
      </c>
      <c r="T255" s="1">
        <v>1</v>
      </c>
      <c r="V255" s="2" t="s">
        <v>27</v>
      </c>
      <c r="W255" s="2" t="s">
        <v>541</v>
      </c>
    </row>
    <row r="256" spans="1:23" x14ac:dyDescent="0.2">
      <c r="A256" s="1">
        <v>2</v>
      </c>
      <c r="B256" s="1" t="s">
        <v>624</v>
      </c>
      <c r="C256" s="1">
        <v>1</v>
      </c>
      <c r="D256" s="1" t="s">
        <v>730</v>
      </c>
      <c r="E256" s="1" t="s">
        <v>671</v>
      </c>
      <c r="F256" s="4">
        <v>45435</v>
      </c>
      <c r="G256" s="3">
        <f t="shared" si="16"/>
        <v>0.24655092592592592</v>
      </c>
      <c r="H256" s="3">
        <v>0.21998842592592593</v>
      </c>
      <c r="I256" s="3">
        <v>2.2222222222222222E-3</v>
      </c>
      <c r="J256" s="3">
        <f>$H256 + $I256</f>
        <v>0.22221064814814814</v>
      </c>
      <c r="K256" s="3">
        <v>2.6562499999999999E-2</v>
      </c>
      <c r="L256" s="1">
        <v>2</v>
      </c>
      <c r="M256" s="1" t="s">
        <v>14</v>
      </c>
      <c r="N256" s="1">
        <v>2</v>
      </c>
      <c r="O256" s="1" t="s">
        <v>14</v>
      </c>
      <c r="Q256" s="1">
        <v>0.1</v>
      </c>
      <c r="R256" s="1">
        <v>0.2</v>
      </c>
      <c r="S256" s="1">
        <v>0</v>
      </c>
      <c r="T256" s="1">
        <v>1</v>
      </c>
      <c r="V256" s="2" t="s">
        <v>27</v>
      </c>
      <c r="W256" s="2" t="s">
        <v>541</v>
      </c>
    </row>
    <row r="257" spans="1:23" x14ac:dyDescent="0.2">
      <c r="A257" s="1">
        <v>2</v>
      </c>
      <c r="B257" s="1" t="s">
        <v>624</v>
      </c>
      <c r="C257" s="1">
        <v>1</v>
      </c>
      <c r="D257" s="1" t="s">
        <v>731</v>
      </c>
      <c r="E257" s="1" t="s">
        <v>671</v>
      </c>
      <c r="F257" s="4">
        <v>45434</v>
      </c>
      <c r="G257" s="3">
        <f t="shared" si="16"/>
        <v>0.78530092592592593</v>
      </c>
      <c r="H257" s="3">
        <v>0.76609953703703704</v>
      </c>
      <c r="I257" s="3">
        <v>1.2858796296296297E-2</v>
      </c>
      <c r="J257" s="3">
        <f>$H257 + $I257</f>
        <v>0.77895833333333331</v>
      </c>
      <c r="K257" s="3">
        <v>1.9201388888888889E-2</v>
      </c>
      <c r="L257" s="1">
        <v>2</v>
      </c>
      <c r="M257" s="1" t="s">
        <v>13</v>
      </c>
      <c r="N257" s="1">
        <v>2</v>
      </c>
      <c r="O257" s="1" t="s">
        <v>14</v>
      </c>
      <c r="Q257" s="1">
        <v>0.2</v>
      </c>
      <c r="R257" s="1">
        <v>0.1</v>
      </c>
      <c r="S257" s="1">
        <v>0</v>
      </c>
      <c r="T257" s="1">
        <v>1</v>
      </c>
      <c r="V257" s="2" t="s">
        <v>27</v>
      </c>
      <c r="W257" s="2" t="s">
        <v>541</v>
      </c>
    </row>
    <row r="258" spans="1:23" x14ac:dyDescent="0.2">
      <c r="A258" s="1">
        <v>2</v>
      </c>
      <c r="B258" s="1" t="s">
        <v>624</v>
      </c>
      <c r="C258" s="1">
        <v>1</v>
      </c>
      <c r="D258" s="1" t="s">
        <v>732</v>
      </c>
      <c r="E258" s="1" t="s">
        <v>671</v>
      </c>
      <c r="F258" s="4">
        <v>45434</v>
      </c>
      <c r="G258" s="3">
        <f t="shared" si="16"/>
        <v>0.2490046296296296</v>
      </c>
      <c r="H258" s="3">
        <v>0.22027777777777777</v>
      </c>
      <c r="I258" s="3">
        <v>2.3148148148148147E-5</v>
      </c>
      <c r="J258" s="3">
        <f>$H258 + $I258</f>
        <v>0.22030092592592593</v>
      </c>
      <c r="K258" s="3">
        <v>2.8726851851851851E-2</v>
      </c>
      <c r="L258" s="1">
        <v>2</v>
      </c>
      <c r="M258" s="1" t="s">
        <v>14</v>
      </c>
      <c r="N258" s="1">
        <v>2</v>
      </c>
      <c r="O258" s="1" t="s">
        <v>13</v>
      </c>
      <c r="Q258" s="1">
        <v>0.1</v>
      </c>
      <c r="R258" s="1">
        <v>0.2</v>
      </c>
      <c r="S258" s="1">
        <v>0</v>
      </c>
      <c r="T258" s="1">
        <v>1</v>
      </c>
      <c r="V258" s="2" t="s">
        <v>27</v>
      </c>
      <c r="W258" s="2" t="s">
        <v>541</v>
      </c>
    </row>
    <row r="259" spans="1:23" x14ac:dyDescent="0.2">
      <c r="A259" s="1">
        <v>2</v>
      </c>
      <c r="B259" s="1" t="s">
        <v>624</v>
      </c>
      <c r="C259" s="1">
        <v>1</v>
      </c>
      <c r="D259" s="1" t="s">
        <v>740</v>
      </c>
      <c r="E259" s="1" t="s">
        <v>671</v>
      </c>
      <c r="F259" s="4">
        <v>45437</v>
      </c>
      <c r="G259" s="1" t="s">
        <v>27</v>
      </c>
      <c r="H259" s="3">
        <v>0.75185185185185188</v>
      </c>
      <c r="I259" s="1" t="s">
        <v>27</v>
      </c>
      <c r="J259" s="1" t="s">
        <v>27</v>
      </c>
      <c r="K259" s="1" t="s">
        <v>27</v>
      </c>
      <c r="L259" s="1">
        <v>2</v>
      </c>
      <c r="M259" s="1" t="s">
        <v>13</v>
      </c>
      <c r="N259" s="1">
        <v>2</v>
      </c>
      <c r="O259" s="1" t="s">
        <v>14</v>
      </c>
      <c r="Q259" s="1">
        <v>0.2</v>
      </c>
      <c r="R259" s="1">
        <v>0.1</v>
      </c>
      <c r="S259" s="1" t="s">
        <v>27</v>
      </c>
      <c r="U259" s="1" t="s">
        <v>555</v>
      </c>
      <c r="V259" s="2" t="s">
        <v>27</v>
      </c>
      <c r="W259" s="2" t="s">
        <v>541</v>
      </c>
    </row>
    <row r="260" spans="1:23" x14ac:dyDescent="0.2">
      <c r="A260" s="1">
        <v>2</v>
      </c>
      <c r="B260" s="1" t="s">
        <v>624</v>
      </c>
      <c r="C260" s="1" t="s">
        <v>27</v>
      </c>
      <c r="D260" s="1" t="s">
        <v>248</v>
      </c>
      <c r="F260" s="4">
        <v>45438</v>
      </c>
      <c r="H260" s="3">
        <v>0.22033564814814816</v>
      </c>
      <c r="Q260" s="1">
        <v>0.1</v>
      </c>
      <c r="R260" s="1">
        <v>0.1</v>
      </c>
      <c r="S260" s="1" t="s">
        <v>27</v>
      </c>
      <c r="U260" s="1" t="s">
        <v>743</v>
      </c>
    </row>
    <row r="261" spans="1:23" x14ac:dyDescent="0.2">
      <c r="A261" s="1" t="s">
        <v>27</v>
      </c>
      <c r="B261" s="1" t="s">
        <v>27</v>
      </c>
      <c r="C261" s="1" t="s">
        <v>27</v>
      </c>
      <c r="D261" s="1" t="s">
        <v>744</v>
      </c>
      <c r="E261" s="1" t="s">
        <v>669</v>
      </c>
      <c r="T261" s="1" t="s">
        <v>27</v>
      </c>
      <c r="U261" s="1" t="s">
        <v>745</v>
      </c>
    </row>
    <row r="262" spans="1:23" x14ac:dyDescent="0.2">
      <c r="D262" s="1" t="s">
        <v>746</v>
      </c>
    </row>
    <row r="263" spans="1:23" x14ac:dyDescent="0.2">
      <c r="D263" s="1" t="s">
        <v>747</v>
      </c>
    </row>
  </sheetData>
  <sortState xmlns:xlrd2="http://schemas.microsoft.com/office/spreadsheetml/2017/richdata2" ref="A2:U165">
    <sortCondition ref="F2:F165"/>
  </sortState>
  <customSheetViews>
    <customSheetView guid="{8A75D892-44B4-104C-BB94-8EB0D0E43396}" scale="90">
      <pane ySplit="1" topLeftCell="A74" activePane="bottomLeft" state="frozen"/>
      <selection pane="bottomLeft" activeCell="D102" sqref="D102"/>
      <pageMargins left="0.7" right="0.7" top="0.75" bottom="0.75" header="0.3" footer="0.3"/>
    </customSheetView>
  </customSheetViews>
  <phoneticPr fontId="1"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46BF6B-D1DF-534C-84AB-A76165A0F4D2}">
  <dimension ref="A1:T53"/>
  <sheetViews>
    <sheetView topLeftCell="A5" workbookViewId="0">
      <selection activeCell="C16" sqref="C16"/>
    </sheetView>
  </sheetViews>
  <sheetFormatPr baseColWidth="10" defaultRowHeight="16" x14ac:dyDescent="0.2"/>
  <cols>
    <col min="1" max="3" width="18.83203125" customWidth="1"/>
    <col min="4" max="4" width="24" customWidth="1"/>
    <col min="5" max="5" width="25.83203125" customWidth="1"/>
    <col min="6" max="8" width="15" customWidth="1"/>
    <col min="9" max="10" width="16.33203125" customWidth="1"/>
    <col min="11" max="11" width="29.5" customWidth="1"/>
    <col min="12" max="12" width="14.83203125" customWidth="1"/>
    <col min="15" max="15" width="16.5" customWidth="1"/>
    <col min="16" max="16" width="23.6640625" customWidth="1"/>
    <col min="17" max="17" width="16.1640625" customWidth="1"/>
    <col min="18" max="18" width="24" customWidth="1"/>
  </cols>
  <sheetData>
    <row r="1" spans="1:20" x14ac:dyDescent="0.2">
      <c r="A1" t="s">
        <v>284</v>
      </c>
      <c r="B1" t="s">
        <v>37</v>
      </c>
      <c r="C1" t="s">
        <v>288</v>
      </c>
      <c r="D1" t="s">
        <v>285</v>
      </c>
      <c r="E1" t="s">
        <v>286</v>
      </c>
      <c r="F1" t="s">
        <v>241</v>
      </c>
      <c r="G1" t="s">
        <v>345</v>
      </c>
      <c r="H1" t="s">
        <v>346</v>
      </c>
      <c r="I1" t="s">
        <v>223</v>
      </c>
      <c r="J1" t="s">
        <v>337</v>
      </c>
      <c r="K1" t="s">
        <v>5</v>
      </c>
      <c r="L1" t="s">
        <v>21</v>
      </c>
    </row>
    <row r="2" spans="1:20" x14ac:dyDescent="0.2">
      <c r="A2" t="s">
        <v>289</v>
      </c>
      <c r="C2">
        <v>10</v>
      </c>
      <c r="D2" t="s">
        <v>287</v>
      </c>
      <c r="E2">
        <v>49.74</v>
      </c>
      <c r="F2" t="e">
        <f xml:space="preserve"> (E2/D2*5)+C2</f>
        <v>#VALUE!</v>
      </c>
      <c r="G2" t="e">
        <f t="shared" ref="G2:G13" si="0">$Q$7-F2</f>
        <v>#VALUE!</v>
      </c>
      <c r="H2" t="e">
        <f t="shared" ref="H2:H13" si="1" xml:space="preserve"> $J2 / (2*DEGREES(ATAN(0.5*$R$7 / $G2)))</f>
        <v>#VALUE!</v>
      </c>
      <c r="I2">
        <v>0.05</v>
      </c>
      <c r="J2">
        <v>2.17</v>
      </c>
    </row>
    <row r="3" spans="1:20" x14ac:dyDescent="0.2">
      <c r="A3" t="s">
        <v>294</v>
      </c>
      <c r="F3">
        <v>15</v>
      </c>
      <c r="G3">
        <f t="shared" si="0"/>
        <v>16.2</v>
      </c>
      <c r="H3">
        <f t="shared" si="1"/>
        <v>8.6445102133919177E-2</v>
      </c>
      <c r="I3">
        <v>0.15</v>
      </c>
      <c r="J3">
        <v>6.51</v>
      </c>
    </row>
    <row r="4" spans="1:20" x14ac:dyDescent="0.2">
      <c r="A4" t="s">
        <v>295</v>
      </c>
      <c r="C4">
        <v>10</v>
      </c>
      <c r="D4">
        <v>125.67</v>
      </c>
      <c r="E4">
        <v>84.08</v>
      </c>
      <c r="F4">
        <f xml:space="preserve"> (E4/D4*5)+C4</f>
        <v>13.345269356250498</v>
      </c>
      <c r="G4">
        <f t="shared" si="0"/>
        <v>17.854730643749502</v>
      </c>
      <c r="H4">
        <f t="shared" si="1"/>
        <v>9.3011542339628731E-2</v>
      </c>
      <c r="I4">
        <v>0.15</v>
      </c>
      <c r="J4">
        <v>6.51</v>
      </c>
    </row>
    <row r="5" spans="1:20" x14ac:dyDescent="0.2">
      <c r="A5" t="s">
        <v>296</v>
      </c>
      <c r="C5">
        <v>15</v>
      </c>
      <c r="D5">
        <v>119.92</v>
      </c>
      <c r="E5">
        <v>51.43</v>
      </c>
      <c r="F5">
        <f xml:space="preserve"> (E5/D5*5)+C5</f>
        <v>17.144346230820545</v>
      </c>
      <c r="G5">
        <f t="shared" si="0"/>
        <v>14.055653769179454</v>
      </c>
      <c r="H5">
        <f t="shared" si="1"/>
        <v>7.8156150762295956E-2</v>
      </c>
      <c r="I5">
        <v>0.15</v>
      </c>
      <c r="J5">
        <v>6.51</v>
      </c>
    </row>
    <row r="6" spans="1:20" x14ac:dyDescent="0.2">
      <c r="A6" t="s">
        <v>300</v>
      </c>
      <c r="C6">
        <v>10</v>
      </c>
      <c r="D6">
        <v>126.56</v>
      </c>
      <c r="E6">
        <v>70.66</v>
      </c>
      <c r="F6">
        <f xml:space="preserve"> (E6/D6*5)+C6</f>
        <v>12.791561314791403</v>
      </c>
      <c r="G6">
        <f t="shared" si="0"/>
        <v>18.408438685208594</v>
      </c>
      <c r="H6">
        <f t="shared" si="1"/>
        <v>3.1745630299109547E-2</v>
      </c>
      <c r="I6">
        <v>0.05</v>
      </c>
      <c r="J6">
        <v>2.17</v>
      </c>
      <c r="O6" s="1" t="s">
        <v>342</v>
      </c>
      <c r="P6" s="1" t="s">
        <v>344</v>
      </c>
      <c r="Q6" s="1" t="s">
        <v>348</v>
      </c>
      <c r="R6" s="1" t="s">
        <v>335</v>
      </c>
      <c r="S6" s="1" t="s">
        <v>336</v>
      </c>
      <c r="T6" s="1" t="s">
        <v>343</v>
      </c>
    </row>
    <row r="7" spans="1:20" x14ac:dyDescent="0.2">
      <c r="A7" t="s">
        <v>301</v>
      </c>
      <c r="C7">
        <v>10</v>
      </c>
      <c r="D7">
        <v>130.18</v>
      </c>
      <c r="E7">
        <v>61.29</v>
      </c>
      <c r="F7">
        <f xml:space="preserve"> (E7/D7*5)+C7</f>
        <v>12.354048240897219</v>
      </c>
      <c r="G7">
        <f t="shared" si="0"/>
        <v>18.845951759102782</v>
      </c>
      <c r="H7">
        <f t="shared" si="1"/>
        <v>3.2334761181875366E-2</v>
      </c>
      <c r="I7">
        <v>0.05</v>
      </c>
      <c r="J7">
        <v>2.17</v>
      </c>
      <c r="O7" s="1">
        <v>0.05</v>
      </c>
      <c r="P7" s="1"/>
      <c r="Q7" s="1">
        <v>31.2</v>
      </c>
      <c r="R7" s="1">
        <v>25</v>
      </c>
      <c r="S7" s="1">
        <v>315</v>
      </c>
      <c r="T7" s="1" t="s">
        <v>347</v>
      </c>
    </row>
    <row r="8" spans="1:20" x14ac:dyDescent="0.2">
      <c r="A8" t="s">
        <v>311</v>
      </c>
      <c r="C8">
        <v>15</v>
      </c>
      <c r="D8">
        <v>108.6</v>
      </c>
      <c r="E8">
        <v>22.8</v>
      </c>
      <c r="F8">
        <f xml:space="preserve"> (E8/D8*5)+C8</f>
        <v>16.049723756906076</v>
      </c>
      <c r="G8">
        <f t="shared" si="0"/>
        <v>15.150276243093924</v>
      </c>
      <c r="H8">
        <f t="shared" si="1"/>
        <v>8.2353084574215585E-2</v>
      </c>
      <c r="I8">
        <v>0.15</v>
      </c>
      <c r="J8">
        <v>6.51</v>
      </c>
      <c r="O8" s="1">
        <v>0.1</v>
      </c>
      <c r="P8" s="1"/>
      <c r="Q8" s="1"/>
      <c r="R8" s="1"/>
      <c r="S8" s="1"/>
      <c r="T8" s="1"/>
    </row>
    <row r="9" spans="1:20" x14ac:dyDescent="0.2">
      <c r="A9" t="s">
        <v>312</v>
      </c>
      <c r="C9">
        <v>10</v>
      </c>
      <c r="F9">
        <v>10</v>
      </c>
      <c r="G9">
        <f t="shared" si="0"/>
        <v>21.2</v>
      </c>
      <c r="H9">
        <f t="shared" si="1"/>
        <v>3.5545143206206414E-2</v>
      </c>
      <c r="I9">
        <v>0.05</v>
      </c>
      <c r="J9">
        <v>2.17</v>
      </c>
      <c r="O9" s="1">
        <v>0.15</v>
      </c>
      <c r="P9" s="1"/>
      <c r="Q9" s="1"/>
      <c r="R9" s="1"/>
      <c r="S9" s="1"/>
      <c r="T9" s="1"/>
    </row>
    <row r="10" spans="1:20" x14ac:dyDescent="0.2">
      <c r="A10" t="s">
        <v>333</v>
      </c>
      <c r="C10">
        <v>10</v>
      </c>
      <c r="D10">
        <v>120.1</v>
      </c>
      <c r="E10">
        <v>25.6</v>
      </c>
      <c r="F10">
        <f xml:space="preserve"> (E10/D10*5)+C10</f>
        <v>11.065778517901748</v>
      </c>
      <c r="G10">
        <f t="shared" si="0"/>
        <v>20.134221482098251</v>
      </c>
      <c r="H10">
        <f t="shared" si="1"/>
        <v>6.8167401988641602E-2</v>
      </c>
      <c r="I10">
        <v>0.1</v>
      </c>
      <c r="J10">
        <v>4.34</v>
      </c>
      <c r="O10" s="1">
        <v>0.2</v>
      </c>
      <c r="P10" s="1"/>
      <c r="Q10" s="1"/>
      <c r="R10" s="1"/>
      <c r="S10" s="1"/>
      <c r="T10" s="1"/>
    </row>
    <row r="11" spans="1:20" x14ac:dyDescent="0.2">
      <c r="A11" t="s">
        <v>332</v>
      </c>
      <c r="C11">
        <v>10</v>
      </c>
      <c r="D11">
        <v>122.2</v>
      </c>
      <c r="E11">
        <v>21.6</v>
      </c>
      <c r="F11">
        <f xml:space="preserve"> (E11/D11*5)+C11</f>
        <v>10.88379705400982</v>
      </c>
      <c r="G11">
        <f t="shared" si="0"/>
        <v>20.316202945990177</v>
      </c>
      <c r="H11">
        <f t="shared" si="1"/>
        <v>6.8664713343847467E-2</v>
      </c>
      <c r="I11">
        <v>0.1</v>
      </c>
      <c r="J11">
        <v>4.34</v>
      </c>
      <c r="O11" s="1"/>
      <c r="P11" s="1"/>
      <c r="Q11" s="1"/>
      <c r="R11" s="1"/>
      <c r="S11" s="1"/>
      <c r="T11" s="1"/>
    </row>
    <row r="12" spans="1:20" x14ac:dyDescent="0.2">
      <c r="A12" t="s">
        <v>331</v>
      </c>
      <c r="D12" t="s">
        <v>27</v>
      </c>
      <c r="E12" t="s">
        <v>27</v>
      </c>
      <c r="F12">
        <v>15</v>
      </c>
      <c r="G12">
        <f t="shared" si="0"/>
        <v>16.2</v>
      </c>
      <c r="H12">
        <f t="shared" si="1"/>
        <v>5.7630068089279451E-2</v>
      </c>
      <c r="I12">
        <v>0.1</v>
      </c>
      <c r="J12" s="17">
        <v>4.34</v>
      </c>
      <c r="O12" s="1"/>
      <c r="P12" s="1"/>
      <c r="Q12" s="1"/>
      <c r="R12" s="1"/>
      <c r="S12" s="1"/>
      <c r="T12" s="1"/>
    </row>
    <row r="13" spans="1:20" x14ac:dyDescent="0.2">
      <c r="A13" t="s">
        <v>353</v>
      </c>
      <c r="C13">
        <v>10</v>
      </c>
      <c r="D13">
        <v>130.19999999999999</v>
      </c>
      <c r="E13">
        <v>66.2</v>
      </c>
      <c r="F13">
        <f xml:space="preserve"> (E13/D13*5)+C13</f>
        <v>12.542242703533027</v>
      </c>
      <c r="G13">
        <f t="shared" si="0"/>
        <v>18.657757296466972</v>
      </c>
      <c r="H13">
        <f t="shared" si="1"/>
        <v>3.2081032625899855E-2</v>
      </c>
      <c r="I13">
        <v>0.05</v>
      </c>
      <c r="J13">
        <v>2.17</v>
      </c>
    </row>
    <row r="14" spans="1:20" x14ac:dyDescent="0.2">
      <c r="A14" t="s">
        <v>228</v>
      </c>
      <c r="C14" t="s">
        <v>27</v>
      </c>
      <c r="D14" t="s">
        <v>27</v>
      </c>
      <c r="E14" t="s">
        <v>27</v>
      </c>
      <c r="F14" t="s">
        <v>27</v>
      </c>
      <c r="G14" t="s">
        <v>27</v>
      </c>
      <c r="H14" t="s">
        <v>27</v>
      </c>
      <c r="I14" t="s">
        <v>27</v>
      </c>
      <c r="J14" t="s">
        <v>27</v>
      </c>
      <c r="K14" t="s">
        <v>27</v>
      </c>
      <c r="L14" t="s">
        <v>354</v>
      </c>
    </row>
    <row r="15" spans="1:20" x14ac:dyDescent="0.2">
      <c r="A15" t="s">
        <v>355</v>
      </c>
      <c r="B15" s="18">
        <v>45376</v>
      </c>
      <c r="C15" t="s">
        <v>27</v>
      </c>
      <c r="D15" t="s">
        <v>27</v>
      </c>
      <c r="E15" t="s">
        <v>27</v>
      </c>
      <c r="F15" t="s">
        <v>27</v>
      </c>
      <c r="G15" t="s">
        <v>27</v>
      </c>
      <c r="H15" t="s">
        <v>27</v>
      </c>
      <c r="I15" t="s">
        <v>27</v>
      </c>
      <c r="J15" t="s">
        <v>27</v>
      </c>
      <c r="K15" t="s">
        <v>27</v>
      </c>
    </row>
    <row r="16" spans="1:20" x14ac:dyDescent="0.2">
      <c r="A16" t="s">
        <v>351</v>
      </c>
      <c r="C16">
        <v>5</v>
      </c>
      <c r="D16">
        <v>127.9</v>
      </c>
      <c r="E16">
        <v>37.6</v>
      </c>
      <c r="F16">
        <f xml:space="preserve"> (E16/D16*5)+C16</f>
        <v>6.4698983580922595</v>
      </c>
      <c r="G16">
        <f>$Q$7-F16</f>
        <v>24.730101641907741</v>
      </c>
      <c r="H16">
        <f xml:space="preserve"> $J16 / (2*DEGREES(ATAN(0.5*$R$7 / $G16)))</f>
        <v>0.1213889593312432</v>
      </c>
      <c r="I16">
        <v>0.15</v>
      </c>
      <c r="J16">
        <v>6.51</v>
      </c>
    </row>
    <row r="17" spans="1:12" x14ac:dyDescent="0.2">
      <c r="A17" t="s">
        <v>356</v>
      </c>
      <c r="C17">
        <v>5</v>
      </c>
      <c r="D17">
        <v>127.1</v>
      </c>
      <c r="E17">
        <v>110.5</v>
      </c>
      <c r="F17">
        <f xml:space="preserve"> (E17/D17*5)+C17</f>
        <v>9.34697088906373</v>
      </c>
      <c r="G17">
        <f>$Q$7-F17</f>
        <v>21.853029110936269</v>
      </c>
      <c r="H17">
        <f xml:space="preserve"> $J17 / (2*DEGREES(ATAN(0.5*$R$7 / $G17)))</f>
        <v>0.1093394002958783</v>
      </c>
      <c r="I17">
        <v>0.15</v>
      </c>
      <c r="J17">
        <v>6.51</v>
      </c>
    </row>
    <row r="18" spans="1:12" x14ac:dyDescent="0.2">
      <c r="A18" t="s">
        <v>234</v>
      </c>
      <c r="C18" t="s">
        <v>27</v>
      </c>
      <c r="D18" t="s">
        <v>27</v>
      </c>
      <c r="E18" t="s">
        <v>27</v>
      </c>
      <c r="F18" t="s">
        <v>27</v>
      </c>
      <c r="G18" t="s">
        <v>27</v>
      </c>
      <c r="H18" t="s">
        <v>27</v>
      </c>
      <c r="I18" t="s">
        <v>27</v>
      </c>
      <c r="J18" t="s">
        <v>27</v>
      </c>
      <c r="L18" t="s">
        <v>357</v>
      </c>
    </row>
    <row r="19" spans="1:12" x14ac:dyDescent="0.2">
      <c r="A19" t="s">
        <v>358</v>
      </c>
      <c r="C19">
        <v>5</v>
      </c>
      <c r="D19">
        <v>128.80000000000001</v>
      </c>
      <c r="E19">
        <v>59.5</v>
      </c>
      <c r="F19">
        <f xml:space="preserve"> (E19/D19*5)+C19</f>
        <v>7.3097826086956523</v>
      </c>
      <c r="G19">
        <f>$Q$7-F19</f>
        <v>23.890217391304347</v>
      </c>
      <c r="H19">
        <f xml:space="preserve"> $J19 / (2*DEGREES(ATAN(0.5*$R$7 / $G19)))</f>
        <v>3.928346076792355E-2</v>
      </c>
      <c r="I19">
        <v>0.05</v>
      </c>
      <c r="J19">
        <v>2.17</v>
      </c>
    </row>
    <row r="20" spans="1:12" x14ac:dyDescent="0.2">
      <c r="A20" t="s">
        <v>248</v>
      </c>
      <c r="C20" t="s">
        <v>27</v>
      </c>
      <c r="D20" t="s">
        <v>27</v>
      </c>
      <c r="E20" t="s">
        <v>27</v>
      </c>
      <c r="F20" t="s">
        <v>27</v>
      </c>
      <c r="G20" t="s">
        <v>27</v>
      </c>
      <c r="H20" t="s">
        <v>27</v>
      </c>
      <c r="I20" t="s">
        <v>27</v>
      </c>
      <c r="J20" t="s">
        <v>27</v>
      </c>
      <c r="K20" t="s">
        <v>27</v>
      </c>
      <c r="L20" t="s">
        <v>354</v>
      </c>
    </row>
    <row r="21" spans="1:12" x14ac:dyDescent="0.2">
      <c r="A21" t="s">
        <v>359</v>
      </c>
      <c r="C21">
        <v>5</v>
      </c>
      <c r="D21">
        <v>121.7</v>
      </c>
      <c r="E21">
        <v>68.5</v>
      </c>
      <c r="F21">
        <f xml:space="preserve"> (E21/D21*5)+C21</f>
        <v>7.8142974527526707</v>
      </c>
      <c r="G21">
        <f>$Q$7-F21</f>
        <v>23.385702547247327</v>
      </c>
      <c r="H21">
        <f xml:space="preserve"> $J21 / (2*DEGREES(ATAN(0.5*$R$7 / $G21)))</f>
        <v>0.11573269373639951</v>
      </c>
      <c r="I21">
        <v>0.15</v>
      </c>
      <c r="J21">
        <v>6.51</v>
      </c>
    </row>
    <row r="22" spans="1:12" x14ac:dyDescent="0.2">
      <c r="A22" t="s">
        <v>253</v>
      </c>
      <c r="C22" t="s">
        <v>27</v>
      </c>
      <c r="D22" t="s">
        <v>27</v>
      </c>
      <c r="E22" t="s">
        <v>27</v>
      </c>
      <c r="F22" t="s">
        <v>27</v>
      </c>
      <c r="G22" t="s">
        <v>27</v>
      </c>
      <c r="H22" t="s">
        <v>27</v>
      </c>
      <c r="I22" t="s">
        <v>27</v>
      </c>
      <c r="J22" t="s">
        <v>27</v>
      </c>
      <c r="K22" t="s">
        <v>27</v>
      </c>
      <c r="L22" t="s">
        <v>354</v>
      </c>
    </row>
    <row r="23" spans="1:12" x14ac:dyDescent="0.2">
      <c r="A23" t="s">
        <v>256</v>
      </c>
      <c r="C23" t="s">
        <v>27</v>
      </c>
      <c r="D23" t="s">
        <v>27</v>
      </c>
      <c r="E23" t="s">
        <v>27</v>
      </c>
      <c r="F23" t="s">
        <v>27</v>
      </c>
      <c r="G23" t="s">
        <v>27</v>
      </c>
      <c r="H23" t="s">
        <v>27</v>
      </c>
      <c r="I23" t="s">
        <v>27</v>
      </c>
      <c r="J23" t="s">
        <v>27</v>
      </c>
      <c r="K23" t="s">
        <v>27</v>
      </c>
      <c r="L23" t="s">
        <v>354</v>
      </c>
    </row>
    <row r="24" spans="1:12" x14ac:dyDescent="0.2">
      <c r="A24" t="s">
        <v>360</v>
      </c>
      <c r="C24">
        <v>10</v>
      </c>
      <c r="D24">
        <v>120.8</v>
      </c>
      <c r="E24">
        <v>98</v>
      </c>
      <c r="F24">
        <f xml:space="preserve"> (E24/D24*5)+C24</f>
        <v>14.056291390728477</v>
      </c>
      <c r="G24">
        <f>$Q$7-F24</f>
        <v>17.143708609271521</v>
      </c>
      <c r="H24">
        <f xml:space="preserve"> $J24 / (2*DEGREES(ATAN(0.5*$R$7 / $G24)))</f>
        <v>3.0057958466804167E-2</v>
      </c>
      <c r="I24">
        <v>0.05</v>
      </c>
      <c r="J24">
        <v>2.17</v>
      </c>
    </row>
    <row r="25" spans="1:12" x14ac:dyDescent="0.2">
      <c r="A25" s="17" t="s">
        <v>361</v>
      </c>
      <c r="C25">
        <v>10</v>
      </c>
      <c r="F25">
        <v>10</v>
      </c>
      <c r="G25">
        <f>$Q$7-F25</f>
        <v>21.2</v>
      </c>
      <c r="H25">
        <f xml:space="preserve"> $J25 / (2*DEGREES(ATAN(0.5*$R$7 / $G25)))</f>
        <v>3.5545143206206414E-2</v>
      </c>
      <c r="I25">
        <v>0.05</v>
      </c>
      <c r="J25">
        <v>2.17</v>
      </c>
    </row>
    <row r="26" spans="1:12" x14ac:dyDescent="0.2">
      <c r="A26" s="17" t="s">
        <v>362</v>
      </c>
      <c r="C26">
        <v>20</v>
      </c>
      <c r="F26">
        <v>20</v>
      </c>
      <c r="G26">
        <f>$Q$7-F26</f>
        <v>11.2</v>
      </c>
      <c r="H26">
        <f xml:space="preserve"> $J26 / (2*DEGREES(ATAN(0.5*$R$7 / $G26)))</f>
        <v>2.2538588695232575E-2</v>
      </c>
      <c r="I26">
        <v>0.05</v>
      </c>
      <c r="J26">
        <v>2.17</v>
      </c>
    </row>
    <row r="27" spans="1:12" x14ac:dyDescent="0.2">
      <c r="A27" t="s">
        <v>363</v>
      </c>
      <c r="C27">
        <v>20</v>
      </c>
      <c r="D27">
        <v>115.4</v>
      </c>
      <c r="E27">
        <v>66.599999999999994</v>
      </c>
      <c r="F27">
        <f xml:space="preserve"> (E27/D27*5)+C27</f>
        <v>22.885615251299825</v>
      </c>
      <c r="G27">
        <f>$Q$7-F27</f>
        <v>8.3143847487001743</v>
      </c>
      <c r="H27">
        <f xml:space="preserve"> $J27 / (2*DEGREES(ATAN(0.5*$R$7 / $G27)))</f>
        <v>1.9247791284384051E-2</v>
      </c>
      <c r="I27">
        <v>0.05</v>
      </c>
      <c r="J27">
        <v>2.17</v>
      </c>
    </row>
    <row r="28" spans="1:12" s="19" customFormat="1" x14ac:dyDescent="0.2">
      <c r="A28" s="19" t="s">
        <v>307</v>
      </c>
      <c r="C28" s="19" t="s">
        <v>27</v>
      </c>
      <c r="D28" s="19" t="s">
        <v>27</v>
      </c>
      <c r="E28" s="19" t="s">
        <v>27</v>
      </c>
      <c r="F28" s="19" t="s">
        <v>27</v>
      </c>
      <c r="G28" s="19" t="s">
        <v>27</v>
      </c>
      <c r="H28" s="19" t="s">
        <v>27</v>
      </c>
      <c r="I28" s="19" t="s">
        <v>27</v>
      </c>
      <c r="J28" s="19" t="s">
        <v>27</v>
      </c>
      <c r="K28" s="19" t="s">
        <v>27</v>
      </c>
      <c r="L28" s="19" t="s">
        <v>364</v>
      </c>
    </row>
    <row r="29" spans="1:12" x14ac:dyDescent="0.2">
      <c r="A29" t="s">
        <v>326</v>
      </c>
      <c r="C29" t="s">
        <v>27</v>
      </c>
      <c r="D29" t="s">
        <v>27</v>
      </c>
      <c r="E29" t="s">
        <v>27</v>
      </c>
      <c r="F29" t="s">
        <v>27</v>
      </c>
      <c r="G29" t="s">
        <v>27</v>
      </c>
      <c r="H29" t="s">
        <v>27</v>
      </c>
      <c r="I29" t="s">
        <v>27</v>
      </c>
      <c r="J29" t="s">
        <v>27</v>
      </c>
      <c r="K29" t="s">
        <v>27</v>
      </c>
      <c r="L29" t="s">
        <v>354</v>
      </c>
    </row>
    <row r="30" spans="1:12" x14ac:dyDescent="0.2">
      <c r="A30" t="s">
        <v>365</v>
      </c>
      <c r="C30" t="s">
        <v>27</v>
      </c>
      <c r="D30" t="s">
        <v>27</v>
      </c>
      <c r="E30" t="s">
        <v>27</v>
      </c>
      <c r="F30" t="s">
        <v>27</v>
      </c>
      <c r="G30" t="s">
        <v>27</v>
      </c>
      <c r="H30" t="s">
        <v>27</v>
      </c>
      <c r="I30" t="s">
        <v>27</v>
      </c>
      <c r="J30" t="s">
        <v>27</v>
      </c>
      <c r="K30" t="s">
        <v>27</v>
      </c>
      <c r="L30" t="s">
        <v>354</v>
      </c>
    </row>
    <row r="31" spans="1:12" x14ac:dyDescent="0.2">
      <c r="A31" t="s">
        <v>433</v>
      </c>
      <c r="C31">
        <v>8.35</v>
      </c>
      <c r="F31">
        <f xml:space="preserve"> 8.35 + (48.3/224.5)* (18.3-8.35)</f>
        <v>10.490690423162583</v>
      </c>
      <c r="G31">
        <f t="shared" ref="G31:G46" si="2">$Q$7-F31</f>
        <v>20.709309576837416</v>
      </c>
      <c r="H31">
        <f t="shared" ref="H31:H46" si="3" xml:space="preserve"> $J31 / (2*DEGREES(ATAN(0.5*$R$7 / $G31)))</f>
        <v>3.4870754832840557E-2</v>
      </c>
      <c r="I31">
        <v>0.05</v>
      </c>
      <c r="J31">
        <v>2.17</v>
      </c>
    </row>
    <row r="32" spans="1:12" x14ac:dyDescent="0.2">
      <c r="A32" t="s">
        <v>434</v>
      </c>
      <c r="F32">
        <f xml:space="preserve"> 8.35 + (145.8/226.3)* (18.3-8.35)</f>
        <v>14.760561201944322</v>
      </c>
      <c r="G32">
        <f t="shared" si="2"/>
        <v>16.439438798055676</v>
      </c>
      <c r="H32">
        <f t="shared" si="3"/>
        <v>2.9128966957005804E-2</v>
      </c>
      <c r="I32">
        <v>0.05</v>
      </c>
      <c r="J32">
        <v>2.17</v>
      </c>
    </row>
    <row r="33" spans="1:12" x14ac:dyDescent="0.2">
      <c r="A33" t="s">
        <v>435</v>
      </c>
      <c r="F33">
        <v>8.35</v>
      </c>
      <c r="G33">
        <f t="shared" si="2"/>
        <v>22.85</v>
      </c>
      <c r="H33">
        <f t="shared" si="3"/>
        <v>3.7830336673040817E-2</v>
      </c>
      <c r="I33">
        <v>0.05</v>
      </c>
      <c r="J33">
        <v>2.17</v>
      </c>
    </row>
    <row r="34" spans="1:12" x14ac:dyDescent="0.2">
      <c r="A34" t="s">
        <v>436</v>
      </c>
      <c r="F34">
        <f xml:space="preserve"> 8.35 + (51.9/228.6)* (18.3-8.35)</f>
        <v>10.608989501312337</v>
      </c>
      <c r="G34">
        <f t="shared" si="2"/>
        <v>20.591010498687663</v>
      </c>
      <c r="H34">
        <f t="shared" si="3"/>
        <v>3.4708553522484198E-2</v>
      </c>
      <c r="I34">
        <v>0.05</v>
      </c>
      <c r="J34">
        <v>2.17</v>
      </c>
    </row>
    <row r="35" spans="1:12" x14ac:dyDescent="0.2">
      <c r="A35" t="s">
        <v>439</v>
      </c>
      <c r="F35">
        <f xml:space="preserve"> 8.35 + (177.1/230.8)* (18.3-8.35)</f>
        <v>15.984943674176776</v>
      </c>
      <c r="G35">
        <f t="shared" si="2"/>
        <v>15.215056325823223</v>
      </c>
      <c r="H35">
        <f t="shared" si="3"/>
        <v>2.7534595602459244E-2</v>
      </c>
      <c r="I35">
        <v>0.05</v>
      </c>
      <c r="J35">
        <v>2.17</v>
      </c>
    </row>
    <row r="36" spans="1:12" x14ac:dyDescent="0.2">
      <c r="A36" t="s">
        <v>437</v>
      </c>
      <c r="F36">
        <f xml:space="preserve"> 18.3 + (35.8/266.5)* (31.5-18.3)</f>
        <v>20.073208255159475</v>
      </c>
      <c r="G36">
        <f t="shared" si="2"/>
        <v>11.126791744840524</v>
      </c>
      <c r="H36">
        <f t="shared" si="3"/>
        <v>2.2451526710271889E-2</v>
      </c>
      <c r="I36">
        <v>0.05</v>
      </c>
      <c r="J36">
        <v>2.17</v>
      </c>
      <c r="L36" t="s">
        <v>438</v>
      </c>
    </row>
    <row r="37" spans="1:12" x14ac:dyDescent="0.2">
      <c r="A37" t="s">
        <v>462</v>
      </c>
      <c r="F37">
        <f xml:space="preserve"> 8.35 + (186.1/235.8)* (18.3-8.35)</f>
        <v>16.202820186598814</v>
      </c>
      <c r="G37">
        <f t="shared" si="2"/>
        <v>14.997179813401186</v>
      </c>
      <c r="H37">
        <f t="shared" si="3"/>
        <v>2.7253863391563733E-2</v>
      </c>
      <c r="I37">
        <v>0.05</v>
      </c>
      <c r="J37">
        <v>2.17</v>
      </c>
    </row>
    <row r="38" spans="1:12" x14ac:dyDescent="0.2">
      <c r="A38" t="s">
        <v>463</v>
      </c>
      <c r="F38">
        <f xml:space="preserve"> 8.35 + (174.5/230.4)* (18.3-8.35)</f>
        <v>15.885915798611112</v>
      </c>
      <c r="G38">
        <f t="shared" si="2"/>
        <v>15.314084201388887</v>
      </c>
      <c r="H38">
        <f t="shared" si="3"/>
        <v>2.7662502883388645E-2</v>
      </c>
      <c r="I38">
        <v>0.05</v>
      </c>
      <c r="J38">
        <v>2.17</v>
      </c>
    </row>
    <row r="39" spans="1:12" x14ac:dyDescent="0.2">
      <c r="A39" t="s">
        <v>465</v>
      </c>
      <c r="F39">
        <f xml:space="preserve"> 8.35 + (212.3/241)* (18.3-8.35)</f>
        <v>17.115082987551869</v>
      </c>
      <c r="G39">
        <f t="shared" si="2"/>
        <v>14.08491701244813</v>
      </c>
      <c r="H39">
        <f t="shared" si="3"/>
        <v>2.6089114062275189E-2</v>
      </c>
      <c r="I39">
        <v>0.05</v>
      </c>
      <c r="J39">
        <v>2.17</v>
      </c>
    </row>
    <row r="40" spans="1:12" x14ac:dyDescent="0.2">
      <c r="A40" t="s">
        <v>466</v>
      </c>
      <c r="F40">
        <f xml:space="preserve"> 8.35 + (165.7/229.6)* (18.3-8.35)</f>
        <v>15.530814459930312</v>
      </c>
      <c r="G40">
        <f t="shared" si="2"/>
        <v>15.669185540069687</v>
      </c>
      <c r="H40">
        <f t="shared" si="3"/>
        <v>2.8122718374816082E-2</v>
      </c>
      <c r="I40">
        <v>0.05</v>
      </c>
      <c r="J40">
        <v>2.17</v>
      </c>
      <c r="L40" t="s">
        <v>467</v>
      </c>
    </row>
    <row r="41" spans="1:12" x14ac:dyDescent="0.2">
      <c r="A41" t="s">
        <v>468</v>
      </c>
      <c r="F41">
        <f xml:space="preserve"> 8.35 + (63.1/238.7)* (18.3-8.35)</f>
        <v>10.980268118977797</v>
      </c>
      <c r="G41">
        <f t="shared" si="2"/>
        <v>20.219731881022202</v>
      </c>
      <c r="H41">
        <f t="shared" si="3"/>
        <v>3.4200493652346668E-2</v>
      </c>
      <c r="I41">
        <v>0.05</v>
      </c>
      <c r="J41">
        <v>2.17</v>
      </c>
    </row>
    <row r="42" spans="1:12" x14ac:dyDescent="0.2">
      <c r="A42" t="s">
        <v>469</v>
      </c>
      <c r="F42">
        <f xml:space="preserve"> 8.35 + (242.1/262)* (18.3-8.35)</f>
        <v>17.54425572519084</v>
      </c>
      <c r="G42">
        <f t="shared" si="2"/>
        <v>13.655744274809159</v>
      </c>
      <c r="H42">
        <f t="shared" si="3"/>
        <v>5.109499119861137E-2</v>
      </c>
      <c r="I42">
        <v>0.1</v>
      </c>
      <c r="J42" s="17">
        <v>4.34</v>
      </c>
    </row>
    <row r="43" spans="1:12" x14ac:dyDescent="0.2">
      <c r="A43" t="s">
        <v>470</v>
      </c>
      <c r="F43">
        <v>18.3</v>
      </c>
      <c r="G43">
        <f t="shared" si="2"/>
        <v>12.899999999999999</v>
      </c>
      <c r="H43">
        <f t="shared" si="3"/>
        <v>4.9208827681519053E-2</v>
      </c>
      <c r="I43">
        <v>0.1</v>
      </c>
      <c r="J43" s="17">
        <v>4.34</v>
      </c>
    </row>
    <row r="44" spans="1:12" x14ac:dyDescent="0.2">
      <c r="A44" t="s">
        <v>471</v>
      </c>
      <c r="F44">
        <f xml:space="preserve"> 18.3 + (114.6/278)* (31.5-18.3)</f>
        <v>23.741438848920865</v>
      </c>
      <c r="G44">
        <f t="shared" si="2"/>
        <v>7.4585611510791345</v>
      </c>
      <c r="H44">
        <f t="shared" si="3"/>
        <v>5.500530464216144E-2</v>
      </c>
      <c r="I44">
        <v>0.15</v>
      </c>
      <c r="J44">
        <v>6.51</v>
      </c>
    </row>
    <row r="45" spans="1:12" x14ac:dyDescent="0.2">
      <c r="A45" t="s">
        <v>472</v>
      </c>
      <c r="F45">
        <f xml:space="preserve"> 18.3 + (84.1/275.1)* (31.5-18.3)</f>
        <v>22.335332606324972</v>
      </c>
      <c r="G45">
        <f t="shared" si="2"/>
        <v>8.8646673936750275</v>
      </c>
      <c r="H45">
        <f t="shared" si="3"/>
        <v>5.9553487713183681E-2</v>
      </c>
      <c r="I45">
        <v>0.15</v>
      </c>
      <c r="J45">
        <v>6.51</v>
      </c>
    </row>
    <row r="46" spans="1:12" x14ac:dyDescent="0.2">
      <c r="A46" t="s">
        <v>475</v>
      </c>
      <c r="C46">
        <v>15</v>
      </c>
      <c r="D46">
        <v>115.6</v>
      </c>
      <c r="E46">
        <v>75.5</v>
      </c>
      <c r="F46">
        <f xml:space="preserve"> (E46/D46*5)+C46</f>
        <v>18.265570934256054</v>
      </c>
      <c r="G46">
        <f t="shared" si="2"/>
        <v>12.934429065743945</v>
      </c>
      <c r="H46">
        <f t="shared" si="3"/>
        <v>7.394120467085763E-2</v>
      </c>
      <c r="I46">
        <v>0.15</v>
      </c>
      <c r="J46">
        <v>6.51</v>
      </c>
      <c r="K46" s="1"/>
    </row>
    <row r="47" spans="1:12" x14ac:dyDescent="0.2">
      <c r="A47" t="s">
        <v>479</v>
      </c>
      <c r="F47">
        <v>31.5</v>
      </c>
      <c r="H47" t="s">
        <v>480</v>
      </c>
      <c r="I47">
        <v>0.1</v>
      </c>
      <c r="J47" s="17">
        <v>4.34</v>
      </c>
      <c r="L47" t="s">
        <v>481</v>
      </c>
    </row>
    <row r="48" spans="1:12" x14ac:dyDescent="0.2">
      <c r="A48" t="s">
        <v>487</v>
      </c>
      <c r="F48">
        <v>31.5</v>
      </c>
      <c r="H48" t="s">
        <v>480</v>
      </c>
      <c r="I48">
        <v>0.05</v>
      </c>
      <c r="J48">
        <v>2.17</v>
      </c>
      <c r="L48" t="s">
        <v>488</v>
      </c>
    </row>
    <row r="49" spans="1:12" x14ac:dyDescent="0.2">
      <c r="A49" t="s">
        <v>489</v>
      </c>
      <c r="C49">
        <v>15</v>
      </c>
      <c r="D49">
        <v>108.6</v>
      </c>
      <c r="E49">
        <v>26.8</v>
      </c>
      <c r="F49">
        <f xml:space="preserve"> (E49/D49*5)+C49</f>
        <v>16.233885819521177</v>
      </c>
      <c r="G49">
        <f>$Q$7-F49</f>
        <v>14.966114180478822</v>
      </c>
      <c r="H49">
        <f xml:space="preserve"> $J49 / (2*DEGREES(ATAN(0.5*$R$7 / $G49)))</f>
        <v>5.4427826243110322E-2</v>
      </c>
      <c r="I49">
        <v>0.1</v>
      </c>
      <c r="J49" s="17">
        <v>4.34</v>
      </c>
      <c r="L49" t="s">
        <v>490</v>
      </c>
    </row>
    <row r="50" spans="1:12" x14ac:dyDescent="0.2">
      <c r="A50" t="s">
        <v>505</v>
      </c>
      <c r="F50">
        <v>25</v>
      </c>
      <c r="G50">
        <f>$Q$7-F50</f>
        <v>6.1999999999999993</v>
      </c>
      <c r="H50">
        <f xml:space="preserve"> $J50 / (2*DEGREES(ATAN(0.5*$R$7 / $G50)))</f>
        <v>1.7054763794037576E-2</v>
      </c>
      <c r="I50">
        <v>0.05</v>
      </c>
      <c r="J50">
        <v>2.17</v>
      </c>
      <c r="L50" t="s">
        <v>492</v>
      </c>
    </row>
    <row r="51" spans="1:12" x14ac:dyDescent="0.2">
      <c r="A51" t="s">
        <v>504</v>
      </c>
      <c r="C51">
        <v>15</v>
      </c>
      <c r="D51">
        <v>115.1</v>
      </c>
      <c r="E51">
        <v>38.6</v>
      </c>
      <c r="F51">
        <f xml:space="preserve"> (E51/D51*5)+C51</f>
        <v>16.676802780191139</v>
      </c>
      <c r="G51">
        <f>$Q$7-F51</f>
        <v>14.523197219808861</v>
      </c>
      <c r="H51">
        <f xml:space="preserve"> $J51 / (2*DEGREES(ATAN(0.5*$R$7 / $G51)))</f>
        <v>7.9939455555224637E-2</v>
      </c>
      <c r="I51">
        <v>0.15</v>
      </c>
      <c r="J51">
        <v>6.51</v>
      </c>
      <c r="L51" t="s">
        <v>503</v>
      </c>
    </row>
    <row r="52" spans="1:12" x14ac:dyDescent="0.2">
      <c r="A52" t="s">
        <v>528</v>
      </c>
      <c r="C52">
        <v>5</v>
      </c>
      <c r="D52">
        <v>125.2</v>
      </c>
      <c r="E52">
        <v>32.200000000000003</v>
      </c>
      <c r="F52">
        <f xml:space="preserve"> (E52/D52*5)+C52</f>
        <v>6.2859424920127793</v>
      </c>
      <c r="G52">
        <f xml:space="preserve"> 18-F52</f>
        <v>11.714057507987221</v>
      </c>
      <c r="H52">
        <f xml:space="preserve"> $J52 / (2*DEGREES(ATAN(0.5*$R$7 / $G52)))</f>
        <v>4.6309080968759062E-2</v>
      </c>
      <c r="I52">
        <v>0.1</v>
      </c>
      <c r="J52" s="17">
        <v>4.34</v>
      </c>
      <c r="L52" t="s">
        <v>529</v>
      </c>
    </row>
    <row r="53" spans="1:12" x14ac:dyDescent="0.2">
      <c r="A53" t="s">
        <v>532</v>
      </c>
      <c r="L53" t="s">
        <v>533</v>
      </c>
    </row>
  </sheetData>
  <customSheetViews>
    <customSheetView guid="{8A75D892-44B4-104C-BB94-8EB0D0E43396}" topLeftCell="A5">
      <selection activeCell="C16" sqref="C16"/>
      <pageMargins left="0.7" right="0.7" top="0.75" bottom="0.75" header="0.3" footer="0.3"/>
    </customSheetView>
  </customSheetView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A50CC9-1DD3-2246-BC43-AE6518846A1D}">
  <dimension ref="A1:W36"/>
  <sheetViews>
    <sheetView zoomScaleNormal="100" workbookViewId="0">
      <selection activeCell="E12" sqref="E12"/>
    </sheetView>
  </sheetViews>
  <sheetFormatPr baseColWidth="10" defaultRowHeight="16" x14ac:dyDescent="0.2"/>
  <cols>
    <col min="1" max="2" width="24.5" customWidth="1"/>
    <col min="3" max="3" width="16.83203125" customWidth="1"/>
    <col min="4" max="5" width="24.5" customWidth="1"/>
    <col min="6" max="6" width="20.83203125" customWidth="1"/>
    <col min="7" max="7" width="23.5" customWidth="1"/>
    <col min="8" max="8" width="16" customWidth="1"/>
    <col min="9" max="9" width="12.6640625" customWidth="1"/>
    <col min="10" max="10" width="15.5" customWidth="1"/>
    <col min="11" max="11" width="20" customWidth="1"/>
    <col min="12" max="12" width="23.1640625" customWidth="1"/>
    <col min="13" max="13" width="20" customWidth="1"/>
    <col min="14" max="14" width="16.83203125" style="33" customWidth="1"/>
    <col min="15" max="15" width="10.83203125" style="33"/>
    <col min="17" max="17" width="13.6640625" customWidth="1"/>
  </cols>
  <sheetData>
    <row r="1" spans="1:15" x14ac:dyDescent="0.2">
      <c r="A1" s="1" t="s">
        <v>0</v>
      </c>
      <c r="B1" s="1" t="s">
        <v>37</v>
      </c>
      <c r="C1" t="s">
        <v>2</v>
      </c>
      <c r="D1" s="1" t="s">
        <v>284</v>
      </c>
      <c r="E1" s="1" t="s">
        <v>339</v>
      </c>
      <c r="F1" s="1" t="s">
        <v>796</v>
      </c>
      <c r="G1" s="1" t="s">
        <v>795</v>
      </c>
      <c r="H1" s="1" t="s">
        <v>797</v>
      </c>
      <c r="I1" s="1" t="s">
        <v>798</v>
      </c>
      <c r="J1" s="1" t="s">
        <v>345</v>
      </c>
      <c r="K1" s="1" t="s">
        <v>792</v>
      </c>
      <c r="L1" s="1" t="s">
        <v>223</v>
      </c>
      <c r="M1" s="1" t="s">
        <v>799</v>
      </c>
      <c r="N1" s="32" t="s">
        <v>793</v>
      </c>
      <c r="O1" s="32" t="s">
        <v>21</v>
      </c>
    </row>
    <row r="2" spans="1:15" x14ac:dyDescent="0.2">
      <c r="A2" s="1">
        <v>2</v>
      </c>
      <c r="B2" s="1"/>
      <c r="C2" t="str">
        <f>_xlfn.TEXTSPLIT($D2, "_")</f>
        <v>C0080</v>
      </c>
      <c r="D2" s="1" t="s">
        <v>313</v>
      </c>
      <c r="E2" s="1"/>
      <c r="F2" s="1">
        <v>50</v>
      </c>
      <c r="G2" s="1">
        <v>136.9</v>
      </c>
      <c r="H2" s="1">
        <v>56.4</v>
      </c>
      <c r="I2" s="1">
        <f t="shared" ref="I2:I13" si="0" xml:space="preserve"> (H2 / G2)*5 +F2</f>
        <v>52.059897735573408</v>
      </c>
      <c r="J2" s="1">
        <f xml:space="preserve"> 312 - I2</f>
        <v>259.94010226442657</v>
      </c>
      <c r="K2" s="1">
        <f t="shared" ref="K2:K26" si="1">VLOOKUP(L2, $P$31:$R$36, 2, FALSE)</f>
        <v>38.39</v>
      </c>
      <c r="L2" s="1">
        <v>0.15</v>
      </c>
      <c r="M2" s="1">
        <f t="shared" ref="M2:M26" si="2">1/((2*DEGREES(ATAN(0.5*$K2/$J2))))</f>
        <v>0.11839137755216687</v>
      </c>
      <c r="N2" s="32"/>
      <c r="O2" s="32"/>
    </row>
    <row r="3" spans="1:15" x14ac:dyDescent="0.2">
      <c r="A3" s="1">
        <v>2</v>
      </c>
      <c r="B3" s="1"/>
      <c r="C3" t="str">
        <f t="shared" ref="C3:C26" si="3">_xlfn.TEXTSPLIT($D3, "_")</f>
        <v>C0126</v>
      </c>
      <c r="D3" s="1" t="s">
        <v>323</v>
      </c>
      <c r="E3" s="1"/>
      <c r="F3" s="1">
        <v>0</v>
      </c>
      <c r="G3" s="1">
        <v>130.19999999999999</v>
      </c>
      <c r="H3" s="1">
        <v>58.6</v>
      </c>
      <c r="I3" s="1">
        <f t="shared" si="0"/>
        <v>2.2503840245775732</v>
      </c>
      <c r="J3" s="1">
        <f t="shared" ref="J3:J25" si="4" xml:space="preserve"> 312 - I3</f>
        <v>309.74961597542244</v>
      </c>
      <c r="K3" s="1">
        <f t="shared" si="1"/>
        <v>57.59</v>
      </c>
      <c r="L3" s="1">
        <v>0.1</v>
      </c>
      <c r="M3" s="1">
        <f t="shared" si="2"/>
        <v>9.4142875273433069E-2</v>
      </c>
      <c r="N3" s="32"/>
      <c r="O3" s="32"/>
    </row>
    <row r="4" spans="1:15" x14ac:dyDescent="0.2">
      <c r="A4" s="1">
        <v>2</v>
      </c>
      <c r="B4" s="1"/>
      <c r="C4" t="str">
        <f t="shared" si="3"/>
        <v>C0085</v>
      </c>
      <c r="D4" s="1" t="s">
        <v>324</v>
      </c>
      <c r="E4" s="1"/>
      <c r="F4" s="1">
        <v>100</v>
      </c>
      <c r="G4" s="1">
        <v>124.5</v>
      </c>
      <c r="H4" s="1">
        <v>66.400000000000006</v>
      </c>
      <c r="I4" s="1">
        <f t="shared" si="0"/>
        <v>102.66666666666667</v>
      </c>
      <c r="J4" s="1">
        <f t="shared" si="4"/>
        <v>209.33333333333331</v>
      </c>
      <c r="K4" s="1">
        <f t="shared" si="1"/>
        <v>38.39</v>
      </c>
      <c r="L4" s="1">
        <v>0.15</v>
      </c>
      <c r="M4" s="1">
        <f t="shared" si="2"/>
        <v>9.5435605638469756E-2</v>
      </c>
      <c r="N4" s="32"/>
      <c r="O4" s="32"/>
    </row>
    <row r="5" spans="1:15" x14ac:dyDescent="0.2">
      <c r="A5" s="1">
        <v>2</v>
      </c>
      <c r="B5" s="1"/>
      <c r="C5" t="str">
        <f t="shared" si="3"/>
        <v>C0085</v>
      </c>
      <c r="D5" s="1" t="s">
        <v>325</v>
      </c>
      <c r="E5" s="1"/>
      <c r="F5" s="1">
        <v>150</v>
      </c>
      <c r="G5" s="1">
        <v>110.5</v>
      </c>
      <c r="H5" s="1">
        <v>67.599999999999994</v>
      </c>
      <c r="I5" s="1">
        <f t="shared" si="0"/>
        <v>153.05882352941177</v>
      </c>
      <c r="J5" s="1">
        <f t="shared" si="4"/>
        <v>158.94117647058823</v>
      </c>
      <c r="K5" s="1">
        <f t="shared" si="1"/>
        <v>38.39</v>
      </c>
      <c r="L5" s="1">
        <v>0.15</v>
      </c>
      <c r="M5" s="1">
        <f t="shared" si="2"/>
        <v>7.260956465522074E-2</v>
      </c>
      <c r="N5" s="32"/>
      <c r="O5" s="32"/>
    </row>
    <row r="6" spans="1:15" x14ac:dyDescent="0.2">
      <c r="A6" s="1">
        <v>2</v>
      </c>
      <c r="B6" s="1"/>
      <c r="C6" t="str">
        <f t="shared" si="3"/>
        <v>C0074</v>
      </c>
      <c r="D6" s="1" t="s">
        <v>418</v>
      </c>
      <c r="E6" s="1"/>
      <c r="F6" s="1">
        <v>200</v>
      </c>
      <c r="G6" s="1">
        <v>103.3</v>
      </c>
      <c r="H6" s="1">
        <v>21.9</v>
      </c>
      <c r="I6" s="1">
        <f t="shared" si="0"/>
        <v>201.06001936108422</v>
      </c>
      <c r="J6" s="1">
        <f t="shared" si="4"/>
        <v>110.93998063891578</v>
      </c>
      <c r="K6" s="1">
        <f t="shared" si="1"/>
        <v>57.59</v>
      </c>
      <c r="L6" s="1">
        <v>0.1</v>
      </c>
      <c r="M6" s="1">
        <f t="shared" si="2"/>
        <v>3.4363508907516056E-2</v>
      </c>
      <c r="N6" s="32" t="s">
        <v>349</v>
      </c>
      <c r="O6" s="32"/>
    </row>
    <row r="7" spans="1:15" x14ac:dyDescent="0.2">
      <c r="A7" s="1">
        <v>2</v>
      </c>
      <c r="B7" s="1"/>
      <c r="C7" t="str">
        <f t="shared" si="3"/>
        <v>C0073</v>
      </c>
      <c r="D7" s="1" t="s">
        <v>421</v>
      </c>
      <c r="E7" s="1"/>
      <c r="F7" s="1">
        <v>50</v>
      </c>
      <c r="G7" s="1">
        <v>122.5</v>
      </c>
      <c r="H7" s="1">
        <v>31.8</v>
      </c>
      <c r="I7" s="1">
        <f t="shared" si="0"/>
        <v>51.29795918367347</v>
      </c>
      <c r="J7" s="1">
        <f t="shared" si="4"/>
        <v>260.70204081632653</v>
      </c>
      <c r="K7" s="1">
        <f t="shared" si="1"/>
        <v>115.17</v>
      </c>
      <c r="L7" s="1">
        <v>0.05</v>
      </c>
      <c r="M7" s="1">
        <f t="shared" si="2"/>
        <v>4.0142136209352523E-2</v>
      </c>
      <c r="N7" s="32"/>
      <c r="O7" s="32"/>
    </row>
    <row r="8" spans="1:15" x14ac:dyDescent="0.2">
      <c r="A8" s="1">
        <v>2</v>
      </c>
      <c r="B8" s="1"/>
      <c r="C8" t="str">
        <f t="shared" si="3"/>
        <v>C0069</v>
      </c>
      <c r="D8" s="1" t="s">
        <v>461</v>
      </c>
      <c r="E8" s="1"/>
      <c r="F8" s="1">
        <v>50</v>
      </c>
      <c r="G8" s="1">
        <v>125.2</v>
      </c>
      <c r="H8" s="1">
        <v>51.5</v>
      </c>
      <c r="I8" s="1">
        <f t="shared" si="0"/>
        <v>52.056709265175719</v>
      </c>
      <c r="J8" s="1">
        <f t="shared" si="4"/>
        <v>259.9432907348243</v>
      </c>
      <c r="K8" s="1">
        <f t="shared" si="1"/>
        <v>57.59</v>
      </c>
      <c r="L8" s="1">
        <v>0.1</v>
      </c>
      <c r="M8" s="1">
        <f t="shared" si="2"/>
        <v>7.9099897933956026E-2</v>
      </c>
      <c r="N8" s="32"/>
      <c r="O8" s="32"/>
    </row>
    <row r="9" spans="1:15" x14ac:dyDescent="0.2">
      <c r="A9" s="1">
        <v>2</v>
      </c>
      <c r="B9" s="4">
        <v>45377</v>
      </c>
      <c r="C9" t="str">
        <f t="shared" si="3"/>
        <v>C0077</v>
      </c>
      <c r="D9" s="1" t="s">
        <v>351</v>
      </c>
      <c r="E9" s="1"/>
      <c r="F9" s="1">
        <v>50</v>
      </c>
      <c r="G9" s="1">
        <v>124.8</v>
      </c>
      <c r="H9" s="1">
        <v>100.6</v>
      </c>
      <c r="I9" s="1">
        <f t="shared" si="0"/>
        <v>54.030448717948715</v>
      </c>
      <c r="J9" s="1">
        <f t="shared" si="4"/>
        <v>257.96955128205127</v>
      </c>
      <c r="K9" s="1">
        <f t="shared" si="1"/>
        <v>115.17</v>
      </c>
      <c r="L9" s="1">
        <v>0.05</v>
      </c>
      <c r="M9" s="1">
        <f t="shared" si="2"/>
        <v>3.9734592950621969E-2</v>
      </c>
      <c r="N9" s="32"/>
      <c r="O9" s="32"/>
    </row>
    <row r="10" spans="1:15" x14ac:dyDescent="0.2">
      <c r="A10" s="1">
        <v>2</v>
      </c>
      <c r="B10" s="4">
        <v>45383</v>
      </c>
      <c r="C10" t="str">
        <f t="shared" si="3"/>
        <v>C0086</v>
      </c>
      <c r="D10" s="1" t="s">
        <v>352</v>
      </c>
      <c r="E10" s="1"/>
      <c r="F10" s="1">
        <v>200</v>
      </c>
      <c r="G10" s="1">
        <v>112.3</v>
      </c>
      <c r="H10" s="1">
        <v>17.5</v>
      </c>
      <c r="I10" s="1">
        <f t="shared" si="0"/>
        <v>200.77916295636686</v>
      </c>
      <c r="J10" s="1">
        <f t="shared" si="4"/>
        <v>111.22083704363314</v>
      </c>
      <c r="K10" s="1">
        <f t="shared" si="1"/>
        <v>115.17</v>
      </c>
      <c r="L10" s="1">
        <v>0.05</v>
      </c>
      <c r="M10" s="1">
        <f t="shared" si="2"/>
        <v>1.8266155278166885E-2</v>
      </c>
      <c r="N10" s="32"/>
      <c r="O10" s="32"/>
    </row>
    <row r="11" spans="1:15" x14ac:dyDescent="0.2">
      <c r="A11" s="1">
        <v>2</v>
      </c>
      <c r="B11" s="1"/>
      <c r="C11" t="str">
        <f t="shared" si="3"/>
        <v>C0058</v>
      </c>
      <c r="D11" s="1" t="s">
        <v>437</v>
      </c>
      <c r="E11" s="1"/>
      <c r="F11" s="1">
        <v>0</v>
      </c>
      <c r="G11" s="1">
        <v>52.8</v>
      </c>
      <c r="H11" s="1">
        <v>20.6</v>
      </c>
      <c r="I11" s="1">
        <f t="shared" si="0"/>
        <v>1.9507575757575759</v>
      </c>
      <c r="J11" s="1">
        <f t="shared" si="4"/>
        <v>310.04924242424244</v>
      </c>
      <c r="K11" s="1">
        <f t="shared" si="1"/>
        <v>38.39</v>
      </c>
      <c r="L11" s="1">
        <v>0.15</v>
      </c>
      <c r="M11" s="1">
        <f t="shared" si="2"/>
        <v>0.14113796901651063</v>
      </c>
      <c r="N11" s="32"/>
      <c r="O11" s="32"/>
    </row>
    <row r="12" spans="1:15" x14ac:dyDescent="0.2">
      <c r="A12" s="1">
        <v>2</v>
      </c>
      <c r="B12" s="1"/>
      <c r="C12" t="str">
        <f t="shared" si="3"/>
        <v>C0053</v>
      </c>
      <c r="D12" s="1" t="s">
        <v>464</v>
      </c>
      <c r="E12" s="1"/>
      <c r="F12" s="1">
        <v>50</v>
      </c>
      <c r="G12" s="1">
        <v>79.3</v>
      </c>
      <c r="H12" s="1">
        <v>23.7</v>
      </c>
      <c r="I12" s="1">
        <f t="shared" si="0"/>
        <v>51.494325346784365</v>
      </c>
      <c r="J12" s="1">
        <f t="shared" si="4"/>
        <v>260.50567465321564</v>
      </c>
      <c r="K12" s="1">
        <f t="shared" si="1"/>
        <v>115.17</v>
      </c>
      <c r="L12" s="1">
        <v>0.05</v>
      </c>
      <c r="M12" s="1">
        <f t="shared" si="2"/>
        <v>4.0112844329355218E-2</v>
      </c>
      <c r="O12" s="32"/>
    </row>
    <row r="13" spans="1:15" x14ac:dyDescent="0.2">
      <c r="A13" s="1">
        <v>2</v>
      </c>
      <c r="C13" t="str">
        <f t="shared" si="3"/>
        <v>C0048</v>
      </c>
      <c r="D13" s="1" t="s">
        <v>427</v>
      </c>
      <c r="E13" s="1"/>
      <c r="F13">
        <v>100</v>
      </c>
      <c r="G13">
        <v>83.2</v>
      </c>
      <c r="H13">
        <v>35.799999999999997</v>
      </c>
      <c r="I13" s="1">
        <f t="shared" si="0"/>
        <v>102.15144230769231</v>
      </c>
      <c r="J13" s="1">
        <f t="shared" si="4"/>
        <v>209.84855769230768</v>
      </c>
      <c r="K13" s="1">
        <f t="shared" si="1"/>
        <v>115.17</v>
      </c>
      <c r="L13" s="1">
        <v>0.05</v>
      </c>
      <c r="M13" s="1">
        <f t="shared" si="2"/>
        <v>3.2584041919664422E-2</v>
      </c>
    </row>
    <row r="14" spans="1:15" x14ac:dyDescent="0.2">
      <c r="A14" s="1">
        <v>2</v>
      </c>
      <c r="C14" t="str">
        <f t="shared" si="3"/>
        <v>C0046</v>
      </c>
      <c r="D14" s="1" t="s">
        <v>426</v>
      </c>
      <c r="E14" s="1"/>
      <c r="I14">
        <v>18.3</v>
      </c>
      <c r="J14" s="1">
        <f t="shared" si="4"/>
        <v>293.7</v>
      </c>
      <c r="K14" s="1">
        <f t="shared" si="1"/>
        <v>115.17</v>
      </c>
      <c r="L14" s="1">
        <v>0.05</v>
      </c>
      <c r="M14" s="1">
        <f t="shared" si="2"/>
        <v>4.5073001563095454E-2</v>
      </c>
    </row>
    <row r="15" spans="1:15" x14ac:dyDescent="0.2">
      <c r="A15" s="1">
        <v>2</v>
      </c>
      <c r="C15" t="str">
        <f t="shared" si="3"/>
        <v>C0041</v>
      </c>
      <c r="D15" s="1" t="s">
        <v>425</v>
      </c>
      <c r="E15" s="1"/>
      <c r="I15">
        <f xml:space="preserve"> 8.35 * ( 125.4 / 225.1 )</f>
        <v>4.6516659262549984</v>
      </c>
      <c r="J15" s="1">
        <f t="shared" si="4"/>
        <v>307.34833407374498</v>
      </c>
      <c r="K15" s="1">
        <f t="shared" si="1"/>
        <v>115.17</v>
      </c>
      <c r="L15" s="1">
        <v>0.05</v>
      </c>
      <c r="M15" s="1">
        <f t="shared" si="2"/>
        <v>4.7116716027333458E-2</v>
      </c>
    </row>
    <row r="16" spans="1:15" x14ac:dyDescent="0.2">
      <c r="A16" s="1">
        <v>2</v>
      </c>
      <c r="C16" t="str">
        <f t="shared" si="3"/>
        <v>C0042</v>
      </c>
      <c r="D16" t="s">
        <v>428</v>
      </c>
      <c r="I16">
        <f>18.3+  (31.5-18.3)*(83.2 / 275.5)</f>
        <v>22.286352087114338</v>
      </c>
      <c r="J16" s="1">
        <f t="shared" si="4"/>
        <v>289.71364791288568</v>
      </c>
      <c r="K16" s="1">
        <f t="shared" si="1"/>
        <v>57.59</v>
      </c>
      <c r="L16" s="1">
        <v>0.1</v>
      </c>
      <c r="M16" s="1">
        <f t="shared" si="2"/>
        <v>8.8089315496625159E-2</v>
      </c>
      <c r="O16" s="33" t="s">
        <v>429</v>
      </c>
    </row>
    <row r="17" spans="1:23" x14ac:dyDescent="0.2">
      <c r="A17" s="1">
        <v>2</v>
      </c>
      <c r="C17" t="str">
        <f t="shared" si="3"/>
        <v>C0037</v>
      </c>
      <c r="D17" t="s">
        <v>430</v>
      </c>
      <c r="I17">
        <f>8.35 +  (9.95)*(46.5 / 238.4)</f>
        <v>10.290750838926174</v>
      </c>
      <c r="J17" s="1">
        <f t="shared" si="4"/>
        <v>301.70924916107384</v>
      </c>
      <c r="K17" s="1">
        <f t="shared" si="1"/>
        <v>38.39</v>
      </c>
      <c r="L17" s="1">
        <v>0.15</v>
      </c>
      <c r="M17" s="1">
        <f t="shared" si="2"/>
        <v>0.13735131013781826</v>
      </c>
    </row>
    <row r="18" spans="1:23" x14ac:dyDescent="0.2">
      <c r="A18" s="1">
        <v>2</v>
      </c>
      <c r="C18" t="str">
        <f t="shared" si="3"/>
        <v>C0033</v>
      </c>
      <c r="D18" t="s">
        <v>431</v>
      </c>
      <c r="I18">
        <f>18.3+  (31.5-18.3)*(40.3 / 240)</f>
        <v>20.516500000000001</v>
      </c>
      <c r="J18" s="1">
        <f t="shared" si="4"/>
        <v>291.48349999999999</v>
      </c>
      <c r="K18" s="1">
        <f t="shared" si="1"/>
        <v>115.17</v>
      </c>
      <c r="L18" s="1">
        <v>0.05</v>
      </c>
      <c r="M18" s="1">
        <f t="shared" si="2"/>
        <v>4.4741311817743969E-2</v>
      </c>
      <c r="O18" s="33" t="s">
        <v>432</v>
      </c>
    </row>
    <row r="19" spans="1:23" x14ac:dyDescent="0.2">
      <c r="A19" s="1">
        <v>2</v>
      </c>
      <c r="C19" t="str">
        <f t="shared" si="3"/>
        <v>C0094</v>
      </c>
      <c r="D19" t="s">
        <v>496</v>
      </c>
      <c r="I19">
        <v>15.1</v>
      </c>
      <c r="J19" s="1">
        <f t="shared" si="4"/>
        <v>296.89999999999998</v>
      </c>
      <c r="K19" s="1">
        <f t="shared" si="1"/>
        <v>115.17</v>
      </c>
      <c r="L19" s="15">
        <v>0.05</v>
      </c>
      <c r="M19" s="1">
        <f t="shared" si="2"/>
        <v>4.5551975431436666E-2</v>
      </c>
    </row>
    <row r="20" spans="1:23" x14ac:dyDescent="0.2">
      <c r="A20" s="1">
        <v>2</v>
      </c>
      <c r="C20" t="str">
        <f t="shared" si="3"/>
        <v>C0096</v>
      </c>
      <c r="D20" t="s">
        <v>509</v>
      </c>
      <c r="F20">
        <v>100</v>
      </c>
      <c r="G20">
        <v>120.4</v>
      </c>
      <c r="H20">
        <v>88.3</v>
      </c>
      <c r="I20" s="1">
        <f xml:space="preserve"> (H20 / G20)*5 +F20</f>
        <v>103.66694352159469</v>
      </c>
      <c r="J20" s="1">
        <f t="shared" si="4"/>
        <v>208.3330564784053</v>
      </c>
      <c r="K20" s="1">
        <f t="shared" si="1"/>
        <v>19.2</v>
      </c>
      <c r="L20" s="1">
        <v>0.3</v>
      </c>
      <c r="M20" s="1">
        <f t="shared" si="2"/>
        <v>0.1895140581655243</v>
      </c>
    </row>
    <row r="21" spans="1:23" x14ac:dyDescent="0.2">
      <c r="A21" s="1">
        <v>2</v>
      </c>
      <c r="C21" t="str">
        <f t="shared" si="3"/>
        <v>C0092</v>
      </c>
      <c r="D21" t="s">
        <v>333</v>
      </c>
      <c r="F21">
        <v>200</v>
      </c>
      <c r="G21">
        <v>106.1</v>
      </c>
      <c r="H21">
        <v>33.1</v>
      </c>
      <c r="I21" s="1">
        <f xml:space="preserve"> (H21 / G21)*5 +F21</f>
        <v>201.55984919886899</v>
      </c>
      <c r="J21" s="1">
        <f t="shared" si="4"/>
        <v>110.44015080113101</v>
      </c>
      <c r="K21" s="1">
        <f t="shared" si="1"/>
        <v>38.39</v>
      </c>
      <c r="L21" s="1">
        <v>0.15</v>
      </c>
      <c r="M21" s="1">
        <f t="shared" si="2"/>
        <v>5.0711107919972846E-2</v>
      </c>
    </row>
    <row r="22" spans="1:23" x14ac:dyDescent="0.2">
      <c r="A22" s="1">
        <v>2</v>
      </c>
      <c r="C22" t="str">
        <f t="shared" si="3"/>
        <v>C0097</v>
      </c>
      <c r="D22" t="s">
        <v>521</v>
      </c>
      <c r="I22">
        <v>15</v>
      </c>
      <c r="J22" s="1">
        <f t="shared" si="4"/>
        <v>297</v>
      </c>
      <c r="K22" s="1">
        <f t="shared" si="1"/>
        <v>19.2</v>
      </c>
      <c r="L22" s="1">
        <v>0.3</v>
      </c>
      <c r="M22" s="1">
        <f t="shared" si="2"/>
        <v>0.27007461695743307</v>
      </c>
    </row>
    <row r="23" spans="1:23" x14ac:dyDescent="0.2">
      <c r="A23" s="1">
        <v>2</v>
      </c>
      <c r="C23" t="str">
        <f t="shared" si="3"/>
        <v>C0098</v>
      </c>
      <c r="D23" t="s">
        <v>522</v>
      </c>
      <c r="I23">
        <v>15</v>
      </c>
      <c r="J23" s="1">
        <f t="shared" si="4"/>
        <v>297</v>
      </c>
      <c r="K23" s="1">
        <f t="shared" si="1"/>
        <v>19.2</v>
      </c>
      <c r="L23" s="1">
        <v>0.3</v>
      </c>
      <c r="M23" s="1">
        <f t="shared" si="2"/>
        <v>0.27007461695743307</v>
      </c>
    </row>
    <row r="24" spans="1:23" x14ac:dyDescent="0.2">
      <c r="A24" s="1">
        <v>2</v>
      </c>
      <c r="C24" t="str">
        <f t="shared" si="3"/>
        <v>C0101</v>
      </c>
      <c r="D24" t="s">
        <v>523</v>
      </c>
      <c r="F24">
        <v>50</v>
      </c>
      <c r="G24">
        <v>118.3</v>
      </c>
      <c r="H24">
        <v>82.5</v>
      </c>
      <c r="I24" s="1">
        <f xml:space="preserve"> (H24 / G24)*5 +F24</f>
        <v>53.486897717666949</v>
      </c>
      <c r="J24" s="1">
        <f t="shared" si="4"/>
        <v>258.51310228233308</v>
      </c>
      <c r="K24" s="1">
        <f t="shared" si="1"/>
        <v>38.39</v>
      </c>
      <c r="L24" s="1">
        <v>0.15</v>
      </c>
      <c r="M24" s="1">
        <f t="shared" si="2"/>
        <v>0.1177437993541843</v>
      </c>
    </row>
    <row r="25" spans="1:23" x14ac:dyDescent="0.2">
      <c r="A25" s="1">
        <v>2</v>
      </c>
      <c r="C25" t="str">
        <f t="shared" si="3"/>
        <v>C0103</v>
      </c>
      <c r="D25" t="s">
        <v>524</v>
      </c>
      <c r="I25">
        <v>16</v>
      </c>
      <c r="J25" s="1">
        <f t="shared" si="4"/>
        <v>296</v>
      </c>
      <c r="K25" s="1">
        <f t="shared" si="1"/>
        <v>19.2</v>
      </c>
      <c r="L25" s="1">
        <v>0.3</v>
      </c>
      <c r="M25" s="1">
        <f t="shared" si="2"/>
        <v>0.26916590868943718</v>
      </c>
    </row>
    <row r="26" spans="1:23" x14ac:dyDescent="0.2">
      <c r="A26" s="1">
        <v>2</v>
      </c>
      <c r="B26" s="1"/>
      <c r="C26" t="str">
        <f t="shared" si="3"/>
        <v>C0056</v>
      </c>
      <c r="D26" s="1" t="s">
        <v>462</v>
      </c>
      <c r="E26" s="1"/>
      <c r="F26" s="1"/>
      <c r="G26" s="1"/>
      <c r="H26" s="1"/>
      <c r="I26" s="1">
        <v>2.5</v>
      </c>
      <c r="J26" s="1">
        <f xml:space="preserve"> 312 - I26</f>
        <v>309.5</v>
      </c>
      <c r="K26" s="1">
        <f t="shared" si="1"/>
        <v>115.17</v>
      </c>
      <c r="L26" s="1">
        <v>0.05</v>
      </c>
      <c r="M26" s="1">
        <f t="shared" si="2"/>
        <v>4.7439101129823226E-2</v>
      </c>
      <c r="O26" s="32"/>
    </row>
    <row r="30" spans="1:23" x14ac:dyDescent="0.2">
      <c r="P30" s="1" t="s">
        <v>342</v>
      </c>
      <c r="Q30" s="1" t="s">
        <v>794</v>
      </c>
      <c r="R30" s="1" t="s">
        <v>344</v>
      </c>
      <c r="S30" s="1" t="s">
        <v>791</v>
      </c>
      <c r="T30" s="1" t="s">
        <v>335</v>
      </c>
      <c r="U30" s="1" t="s">
        <v>336</v>
      </c>
      <c r="V30" s="1" t="s">
        <v>422</v>
      </c>
      <c r="W30" s="1" t="s">
        <v>343</v>
      </c>
    </row>
    <row r="31" spans="1:23" x14ac:dyDescent="0.2">
      <c r="P31" s="1">
        <v>0.05</v>
      </c>
      <c r="Q31" s="1">
        <v>115.17</v>
      </c>
      <c r="R31" s="1">
        <v>2.1707000000000001</v>
      </c>
      <c r="S31" s="1">
        <v>312</v>
      </c>
      <c r="T31" s="1">
        <v>25</v>
      </c>
      <c r="U31" s="1">
        <v>315</v>
      </c>
      <c r="V31" s="1">
        <v>18</v>
      </c>
      <c r="W31" s="1" t="s">
        <v>347</v>
      </c>
    </row>
    <row r="32" spans="1:23" x14ac:dyDescent="0.2">
      <c r="P32" s="1">
        <v>0.1</v>
      </c>
      <c r="Q32" s="1">
        <v>57.59</v>
      </c>
      <c r="R32" s="1">
        <v>4.3413899999999996</v>
      </c>
      <c r="S32" s="1"/>
      <c r="T32" s="1"/>
      <c r="U32" s="1"/>
      <c r="V32" s="1"/>
      <c r="W32" s="1"/>
    </row>
    <row r="33" spans="16:23" x14ac:dyDescent="0.2">
      <c r="P33" s="1">
        <v>0.15</v>
      </c>
      <c r="Q33" s="1">
        <v>38.39</v>
      </c>
      <c r="R33" s="1">
        <v>6.5120899999999997</v>
      </c>
      <c r="S33" s="1"/>
      <c r="T33" s="1"/>
      <c r="U33" s="1"/>
      <c r="V33" s="1"/>
      <c r="W33" s="1"/>
    </row>
    <row r="34" spans="16:23" x14ac:dyDescent="0.2">
      <c r="P34" s="1">
        <v>0.2</v>
      </c>
      <c r="Q34" s="1">
        <v>28.79</v>
      </c>
      <c r="R34" s="1">
        <v>8.6827900000000007</v>
      </c>
      <c r="S34" s="1"/>
      <c r="T34" s="1"/>
      <c r="U34" s="1"/>
      <c r="V34" s="1"/>
      <c r="W34" s="1"/>
    </row>
    <row r="35" spans="16:23" x14ac:dyDescent="0.2">
      <c r="P35" s="1">
        <v>0.25</v>
      </c>
      <c r="Q35" s="1">
        <v>23.03</v>
      </c>
    </row>
    <row r="36" spans="16:23" x14ac:dyDescent="0.2">
      <c r="P36" s="1">
        <v>0.3</v>
      </c>
      <c r="Q36" s="1">
        <v>19.2</v>
      </c>
    </row>
  </sheetData>
  <customSheetViews>
    <customSheetView guid="{8A75D892-44B4-104C-BB94-8EB0D0E43396}">
      <selection activeCell="E12" sqref="E12"/>
      <pageMargins left="0.7" right="0.7" top="0.75" bottom="0.75" header="0.3" footer="0.3"/>
    </customSheetView>
  </customSheetView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5533C0-031E-5044-81C9-8C0A17420ED1}">
  <dimension ref="A1:S80"/>
  <sheetViews>
    <sheetView tabSelected="1" workbookViewId="0">
      <pane ySplit="1" topLeftCell="A48" activePane="bottomLeft" state="frozen"/>
      <selection pane="bottomLeft" activeCell="G73" sqref="G73"/>
    </sheetView>
  </sheetViews>
  <sheetFormatPr baseColWidth="10" defaultRowHeight="16" x14ac:dyDescent="0.2"/>
  <cols>
    <col min="1" max="4" width="10.83203125" style="1"/>
    <col min="5" max="5" width="13.33203125" style="1" customWidth="1"/>
    <col min="6" max="6" width="11.83203125" style="1" bestFit="1" customWidth="1"/>
    <col min="7" max="10" width="20.1640625" style="1" customWidth="1"/>
    <col min="11" max="11" width="28.1640625" style="1" customWidth="1"/>
    <col min="12" max="12" width="18.33203125" style="1" customWidth="1"/>
    <col min="13" max="13" width="19.33203125" style="1" customWidth="1"/>
    <col min="14" max="16384" width="10.83203125" style="1"/>
  </cols>
  <sheetData>
    <row r="1" spans="1:19" x14ac:dyDescent="0.2">
      <c r="A1" s="1" t="s">
        <v>70</v>
      </c>
      <c r="B1" s="1" t="s">
        <v>1</v>
      </c>
      <c r="C1" s="1" t="s">
        <v>16</v>
      </c>
      <c r="D1" s="1" t="s">
        <v>268</v>
      </c>
      <c r="E1" s="1" t="s">
        <v>37</v>
      </c>
      <c r="F1" s="1" t="s">
        <v>7</v>
      </c>
      <c r="G1" s="1" t="s">
        <v>5</v>
      </c>
      <c r="H1" s="1" t="s">
        <v>419</v>
      </c>
      <c r="I1" s="1" t="s">
        <v>377</v>
      </c>
      <c r="J1" s="1" t="s">
        <v>445</v>
      </c>
      <c r="K1" s="1" t="s">
        <v>267</v>
      </c>
      <c r="L1" s="1" t="s">
        <v>10</v>
      </c>
      <c r="M1" s="1" t="s">
        <v>71</v>
      </c>
      <c r="N1" s="1" t="s">
        <v>162</v>
      </c>
      <c r="O1" s="1" t="s">
        <v>338</v>
      </c>
      <c r="P1" s="1" t="s">
        <v>21</v>
      </c>
      <c r="S1" s="1" t="s">
        <v>100</v>
      </c>
    </row>
    <row r="2" spans="1:19" x14ac:dyDescent="0.2">
      <c r="A2" s="1">
        <v>2</v>
      </c>
      <c r="B2" s="1">
        <v>2.6</v>
      </c>
      <c r="C2" s="1">
        <v>1</v>
      </c>
      <c r="D2" s="1" t="s">
        <v>46</v>
      </c>
      <c r="E2" s="4">
        <v>45352</v>
      </c>
      <c r="F2" s="3">
        <v>0.78471064814814817</v>
      </c>
      <c r="G2" s="1">
        <v>1.7569999999999999E-2</v>
      </c>
      <c r="K2" s="1" t="s">
        <v>81</v>
      </c>
      <c r="L2" s="3">
        <v>0.75744212962962953</v>
      </c>
      <c r="M2" s="3">
        <f>F2 - L2</f>
        <v>2.7268518518518636E-2</v>
      </c>
    </row>
    <row r="3" spans="1:19" x14ac:dyDescent="0.2">
      <c r="A3" s="1">
        <v>2</v>
      </c>
      <c r="B3" s="1">
        <v>2.6</v>
      </c>
      <c r="C3" s="1">
        <v>1</v>
      </c>
      <c r="D3" s="1" t="s">
        <v>27</v>
      </c>
      <c r="E3" s="4">
        <v>45352</v>
      </c>
      <c r="F3" s="3" t="s">
        <v>27</v>
      </c>
      <c r="G3" s="1" t="s">
        <v>27</v>
      </c>
      <c r="K3" s="1" t="s">
        <v>72</v>
      </c>
      <c r="L3" s="3">
        <v>0.22700231481481481</v>
      </c>
      <c r="M3" s="3"/>
    </row>
    <row r="4" spans="1:19" x14ac:dyDescent="0.2">
      <c r="A4" s="1">
        <v>2</v>
      </c>
      <c r="B4" s="1">
        <v>2.6</v>
      </c>
      <c r="C4" s="1">
        <v>1</v>
      </c>
      <c r="D4" s="1" t="s">
        <v>112</v>
      </c>
      <c r="E4" s="4">
        <v>45353</v>
      </c>
      <c r="F4" s="1" t="s">
        <v>27</v>
      </c>
      <c r="G4" s="1" t="s">
        <v>27</v>
      </c>
      <c r="K4" s="4" t="s">
        <v>80</v>
      </c>
      <c r="L4" s="3">
        <v>0.22784722222222223</v>
      </c>
      <c r="M4" s="1" t="s">
        <v>27</v>
      </c>
      <c r="N4" s="1" t="s">
        <v>27</v>
      </c>
      <c r="P4" s="1" t="s">
        <v>79</v>
      </c>
    </row>
    <row r="5" spans="1:19" x14ac:dyDescent="0.2">
      <c r="A5" s="1">
        <v>2</v>
      </c>
      <c r="B5" s="1">
        <v>2.6</v>
      </c>
      <c r="C5" s="1">
        <v>1</v>
      </c>
      <c r="D5" s="1" t="s">
        <v>62</v>
      </c>
      <c r="E5" s="4">
        <v>45353</v>
      </c>
      <c r="F5" s="1" t="s">
        <v>27</v>
      </c>
      <c r="G5" s="1" t="s">
        <v>27</v>
      </c>
      <c r="K5" s="1" t="s">
        <v>87</v>
      </c>
      <c r="L5" s="3">
        <v>0.76015046296296296</v>
      </c>
      <c r="M5" s="1" t="s">
        <v>27</v>
      </c>
      <c r="P5" s="1" t="s">
        <v>369</v>
      </c>
    </row>
    <row r="6" spans="1:19" x14ac:dyDescent="0.2">
      <c r="A6" s="1">
        <v>2</v>
      </c>
      <c r="B6" s="1">
        <v>2.6</v>
      </c>
      <c r="C6" s="1">
        <v>1</v>
      </c>
      <c r="D6" s="1" t="s">
        <v>64</v>
      </c>
      <c r="E6" s="4">
        <v>45354</v>
      </c>
      <c r="F6" s="1" t="s">
        <v>27</v>
      </c>
      <c r="G6" s="1" t="s">
        <v>27</v>
      </c>
      <c r="K6" s="1" t="s">
        <v>88</v>
      </c>
      <c r="L6" s="3">
        <v>0.23024305555555555</v>
      </c>
      <c r="M6" s="1" t="s">
        <v>27</v>
      </c>
      <c r="N6" s="1" t="s">
        <v>27</v>
      </c>
      <c r="P6" s="1" t="s">
        <v>372</v>
      </c>
    </row>
    <row r="7" spans="1:19" x14ac:dyDescent="0.2">
      <c r="A7" s="1">
        <v>2</v>
      </c>
      <c r="B7" s="1">
        <v>2.6</v>
      </c>
      <c r="C7" s="1">
        <v>1</v>
      </c>
      <c r="D7" s="1" t="s">
        <v>27</v>
      </c>
      <c r="E7" s="4">
        <v>45354</v>
      </c>
      <c r="F7" s="1" t="s">
        <v>27</v>
      </c>
      <c r="G7" s="1" t="s">
        <v>27</v>
      </c>
      <c r="K7" s="1" t="s">
        <v>92</v>
      </c>
      <c r="L7" s="3">
        <v>0.7471875</v>
      </c>
      <c r="M7" s="1" t="s">
        <v>27</v>
      </c>
      <c r="P7" s="1" t="s">
        <v>371</v>
      </c>
    </row>
    <row r="8" spans="1:19" x14ac:dyDescent="0.2">
      <c r="A8" s="1">
        <v>2</v>
      </c>
      <c r="B8" s="1">
        <v>2.6</v>
      </c>
      <c r="C8" s="1">
        <v>1</v>
      </c>
      <c r="D8" s="1" t="s">
        <v>78</v>
      </c>
      <c r="E8" s="4">
        <v>45355</v>
      </c>
      <c r="F8" s="3">
        <v>0.2673726851851852</v>
      </c>
      <c r="G8" s="1">
        <v>0.54100000000000004</v>
      </c>
      <c r="K8" s="1" t="s">
        <v>93</v>
      </c>
      <c r="L8" s="3">
        <v>0.23173611111111111</v>
      </c>
      <c r="M8" s="3">
        <f>F8 - L8</f>
        <v>3.5636574074074084E-2</v>
      </c>
    </row>
    <row r="9" spans="1:19" x14ac:dyDescent="0.2">
      <c r="A9" s="1">
        <v>2</v>
      </c>
      <c r="B9" s="1">
        <v>2.6</v>
      </c>
      <c r="C9" s="1">
        <v>1</v>
      </c>
      <c r="D9" s="1" t="s">
        <v>83</v>
      </c>
      <c r="E9" s="4">
        <v>45355</v>
      </c>
      <c r="F9" s="3">
        <v>0.78221064814814811</v>
      </c>
      <c r="G9" s="1">
        <v>5.7799999999999997E-2</v>
      </c>
      <c r="K9" s="1" t="s">
        <v>97</v>
      </c>
      <c r="L9" s="3">
        <v>0.75074074074074071</v>
      </c>
      <c r="M9" s="3">
        <f>F9 - L9</f>
        <v>3.1469907407407405E-2</v>
      </c>
    </row>
    <row r="10" spans="1:19" x14ac:dyDescent="0.2">
      <c r="A10" s="1">
        <v>2</v>
      </c>
      <c r="B10" s="1">
        <v>2.6</v>
      </c>
      <c r="C10" s="1">
        <v>1</v>
      </c>
      <c r="D10" s="1" t="s">
        <v>94</v>
      </c>
      <c r="E10" s="4">
        <v>45356</v>
      </c>
      <c r="F10" s="3">
        <v>0.27211805555555557</v>
      </c>
      <c r="G10" s="1">
        <v>1.9450000000000001</v>
      </c>
      <c r="K10" s="1" t="s">
        <v>103</v>
      </c>
      <c r="L10" s="3">
        <v>0.23202546296296298</v>
      </c>
      <c r="M10" s="3">
        <f>F10 - L10</f>
        <v>4.0092592592592596E-2</v>
      </c>
    </row>
    <row r="11" spans="1:19" x14ac:dyDescent="0.2">
      <c r="A11" s="1">
        <v>2</v>
      </c>
      <c r="B11" s="1">
        <v>2.6</v>
      </c>
      <c r="C11" s="1">
        <v>1</v>
      </c>
      <c r="D11" s="1" t="s">
        <v>110</v>
      </c>
      <c r="E11" s="4">
        <v>45356</v>
      </c>
      <c r="F11" s="3">
        <v>0.77976851851851858</v>
      </c>
      <c r="G11" s="1">
        <v>0.15620000000000001</v>
      </c>
      <c r="K11" s="1" t="s">
        <v>109</v>
      </c>
      <c r="L11" s="3">
        <v>0.76247685185185177</v>
      </c>
      <c r="M11" s="3">
        <f>F11 - L11</f>
        <v>1.7291666666666816E-2</v>
      </c>
    </row>
    <row r="12" spans="1:19" x14ac:dyDescent="0.2">
      <c r="A12" s="1">
        <v>2</v>
      </c>
      <c r="B12" s="1">
        <v>2.6</v>
      </c>
      <c r="C12" s="1">
        <v>1</v>
      </c>
      <c r="D12" s="1" t="s">
        <v>105</v>
      </c>
      <c r="E12" s="4">
        <v>45357</v>
      </c>
      <c r="F12" s="1" t="s">
        <v>27</v>
      </c>
      <c r="G12" s="1">
        <v>0.14530000000000001</v>
      </c>
      <c r="K12" s="1" t="s">
        <v>27</v>
      </c>
      <c r="L12" s="1" t="s">
        <v>27</v>
      </c>
      <c r="M12" s="1" t="s">
        <v>27</v>
      </c>
      <c r="P12" s="1" t="s">
        <v>108</v>
      </c>
    </row>
    <row r="13" spans="1:19" x14ac:dyDescent="0.2">
      <c r="A13" s="1">
        <v>2</v>
      </c>
      <c r="B13" s="1">
        <v>2.6</v>
      </c>
      <c r="C13" s="1" t="s">
        <v>27</v>
      </c>
      <c r="D13" s="1" t="s">
        <v>117</v>
      </c>
      <c r="E13" s="4">
        <v>45357</v>
      </c>
      <c r="F13" s="1" t="s">
        <v>27</v>
      </c>
      <c r="G13" s="1" t="s">
        <v>27</v>
      </c>
      <c r="K13" s="1" t="s">
        <v>120</v>
      </c>
      <c r="L13" s="3">
        <v>0.74782407407407403</v>
      </c>
      <c r="M13" s="1" t="s">
        <v>27</v>
      </c>
      <c r="N13" s="1" t="s">
        <v>27</v>
      </c>
      <c r="P13" s="1" t="s">
        <v>86</v>
      </c>
    </row>
    <row r="14" spans="1:19" x14ac:dyDescent="0.2">
      <c r="A14" s="1">
        <v>2</v>
      </c>
      <c r="B14" s="1">
        <v>2.6</v>
      </c>
      <c r="C14" s="1">
        <v>1</v>
      </c>
      <c r="D14" s="1" t="s">
        <v>90</v>
      </c>
      <c r="E14" s="4">
        <v>45358</v>
      </c>
      <c r="F14" s="3">
        <v>0.26952546296296298</v>
      </c>
      <c r="G14" s="1">
        <v>1.389</v>
      </c>
      <c r="K14" s="1" t="s">
        <v>119</v>
      </c>
      <c r="L14" s="3">
        <v>0.23011574074074073</v>
      </c>
      <c r="M14" s="3">
        <f t="shared" ref="M14:M34" si="0">F14 - L14</f>
        <v>3.9409722222222249E-2</v>
      </c>
    </row>
    <row r="15" spans="1:19" x14ac:dyDescent="0.2">
      <c r="A15" s="1">
        <v>2</v>
      </c>
      <c r="B15" s="1">
        <v>2.6</v>
      </c>
      <c r="C15" s="1">
        <v>1</v>
      </c>
      <c r="D15" s="1" t="s">
        <v>101</v>
      </c>
      <c r="E15" s="4">
        <v>45358</v>
      </c>
      <c r="F15" s="3">
        <v>0.78515046296296309</v>
      </c>
      <c r="G15" s="1">
        <v>1.7930000000000001E-2</v>
      </c>
      <c r="K15" s="1" t="s">
        <v>127</v>
      </c>
      <c r="L15" s="3">
        <v>0.75884259259259268</v>
      </c>
      <c r="M15" s="3">
        <f t="shared" si="0"/>
        <v>2.6307870370370412E-2</v>
      </c>
    </row>
    <row r="16" spans="1:19" x14ac:dyDescent="0.2">
      <c r="A16" s="1">
        <v>2</v>
      </c>
      <c r="B16" s="1">
        <v>2.6</v>
      </c>
      <c r="C16" s="1">
        <v>1</v>
      </c>
      <c r="D16" s="1" t="s">
        <v>104</v>
      </c>
      <c r="E16" s="4">
        <v>45359</v>
      </c>
      <c r="F16" s="3">
        <v>0.27240740740740743</v>
      </c>
      <c r="G16" s="1">
        <v>2.5299999999999998</v>
      </c>
      <c r="K16" s="1" t="s">
        <v>128</v>
      </c>
      <c r="L16" s="3">
        <v>0.23064814814814816</v>
      </c>
      <c r="M16" s="3">
        <f t="shared" si="0"/>
        <v>4.1759259259259274E-2</v>
      </c>
      <c r="P16" s="1" t="s">
        <v>129</v>
      </c>
    </row>
    <row r="17" spans="1:19" x14ac:dyDescent="0.2">
      <c r="A17" s="1">
        <v>2</v>
      </c>
      <c r="B17" s="1">
        <v>2.6</v>
      </c>
      <c r="C17" s="1">
        <v>1</v>
      </c>
      <c r="D17" s="1" t="s">
        <v>115</v>
      </c>
      <c r="E17" s="4">
        <v>45359</v>
      </c>
      <c r="F17" s="3">
        <v>0.78239583333333329</v>
      </c>
      <c r="G17" s="1">
        <v>4.7600000000000003E-2</v>
      </c>
      <c r="K17" s="1" t="s">
        <v>178</v>
      </c>
      <c r="L17" s="3">
        <v>0.73781249999999998</v>
      </c>
      <c r="M17" s="3">
        <f t="shared" si="0"/>
        <v>4.4583333333333308E-2</v>
      </c>
      <c r="N17" s="1" t="s">
        <v>27</v>
      </c>
      <c r="P17" s="1" t="s">
        <v>179</v>
      </c>
    </row>
    <row r="18" spans="1:19" x14ac:dyDescent="0.2">
      <c r="A18" s="1">
        <v>2</v>
      </c>
      <c r="B18" s="1">
        <v>2.6</v>
      </c>
      <c r="C18" s="1">
        <v>1</v>
      </c>
      <c r="D18" s="1" t="s">
        <v>114</v>
      </c>
      <c r="E18" s="4">
        <v>45362</v>
      </c>
      <c r="F18" s="3">
        <v>0.27355324074074072</v>
      </c>
      <c r="G18" s="1">
        <v>1.2969999999999999</v>
      </c>
      <c r="K18" s="1" t="s">
        <v>180</v>
      </c>
      <c r="L18" s="3">
        <v>0.22348379629629631</v>
      </c>
      <c r="M18" s="3">
        <f t="shared" si="0"/>
        <v>5.0069444444444416E-2</v>
      </c>
      <c r="N18" s="1" t="s">
        <v>27</v>
      </c>
      <c r="P18" s="1" t="s">
        <v>179</v>
      </c>
    </row>
    <row r="19" spans="1:19" s="7" customFormat="1" x14ac:dyDescent="0.2">
      <c r="A19" s="1">
        <v>2</v>
      </c>
      <c r="B19" s="1">
        <v>2.6</v>
      </c>
      <c r="C19" s="1">
        <v>1</v>
      </c>
      <c r="D19" s="1" t="s">
        <v>133</v>
      </c>
      <c r="E19" s="4">
        <v>45362</v>
      </c>
      <c r="F19" s="3">
        <v>0.77763888888888888</v>
      </c>
      <c r="G19" s="1">
        <v>0.1764</v>
      </c>
      <c r="H19" s="1"/>
      <c r="I19" s="1"/>
      <c r="J19" s="1"/>
      <c r="K19" s="1" t="s">
        <v>164</v>
      </c>
      <c r="L19" s="3">
        <v>0.75906249999999997</v>
      </c>
      <c r="M19" s="3">
        <f t="shared" si="0"/>
        <v>1.8576388888888906E-2</v>
      </c>
      <c r="N19" s="3">
        <v>1.9502314814814816E-2</v>
      </c>
      <c r="O19" s="3"/>
      <c r="P19" s="1" t="s">
        <v>374</v>
      </c>
      <c r="Q19" s="1"/>
      <c r="R19" s="1"/>
      <c r="S19" s="1"/>
    </row>
    <row r="20" spans="1:19" x14ac:dyDescent="0.2">
      <c r="A20" s="1">
        <v>2</v>
      </c>
      <c r="B20" s="1">
        <v>2.6</v>
      </c>
      <c r="C20" s="1">
        <v>1</v>
      </c>
      <c r="D20" s="1" t="s">
        <v>132</v>
      </c>
      <c r="E20" s="4">
        <v>45363</v>
      </c>
      <c r="F20" s="3">
        <v>0.26667824074074076</v>
      </c>
      <c r="G20" s="1">
        <v>0.64600000000000002</v>
      </c>
      <c r="K20" s="1" t="s">
        <v>161</v>
      </c>
      <c r="L20" s="3">
        <v>0.22644675925925925</v>
      </c>
      <c r="M20" s="3">
        <f t="shared" si="0"/>
        <v>4.0231481481481507E-2</v>
      </c>
      <c r="N20" s="3">
        <v>4.0254629629629626E-2</v>
      </c>
      <c r="O20" s="3"/>
    </row>
    <row r="21" spans="1:19" x14ac:dyDescent="0.2">
      <c r="A21" s="1">
        <v>2</v>
      </c>
      <c r="B21" s="1">
        <v>2.6</v>
      </c>
      <c r="C21" s="1">
        <v>1</v>
      </c>
      <c r="D21" s="1" t="s">
        <v>122</v>
      </c>
      <c r="E21" s="4">
        <v>45363</v>
      </c>
      <c r="F21" s="3">
        <v>0.77273148148148152</v>
      </c>
      <c r="G21" s="1">
        <v>0.13969999999999999</v>
      </c>
      <c r="K21" s="1" t="s">
        <v>163</v>
      </c>
      <c r="L21" s="3">
        <v>0.75655092592592588</v>
      </c>
      <c r="M21" s="3">
        <f t="shared" si="0"/>
        <v>1.6180555555555642E-2</v>
      </c>
      <c r="N21" s="3">
        <v>1.6226851851851853E-2</v>
      </c>
      <c r="O21" s="3"/>
    </row>
    <row r="22" spans="1:19" x14ac:dyDescent="0.2">
      <c r="A22" s="1">
        <v>2</v>
      </c>
      <c r="B22" s="1">
        <v>2.6</v>
      </c>
      <c r="C22" s="1">
        <v>1</v>
      </c>
      <c r="D22" s="1" t="s">
        <v>154</v>
      </c>
      <c r="E22" s="4">
        <v>45364</v>
      </c>
      <c r="F22" s="3">
        <v>0.26287037037037037</v>
      </c>
      <c r="G22" s="1">
        <v>0.25600000000000001</v>
      </c>
      <c r="K22" s="1" t="s">
        <v>181</v>
      </c>
      <c r="L22" s="3">
        <v>0.2348611111111111</v>
      </c>
      <c r="M22" s="3">
        <f t="shared" si="0"/>
        <v>2.8009259259259262E-2</v>
      </c>
      <c r="N22" s="1" t="s">
        <v>27</v>
      </c>
      <c r="P22" s="1" t="s">
        <v>182</v>
      </c>
    </row>
    <row r="23" spans="1:19" x14ac:dyDescent="0.2">
      <c r="A23" s="1">
        <v>2</v>
      </c>
      <c r="B23" s="1">
        <v>2.6</v>
      </c>
      <c r="C23" s="1">
        <v>1</v>
      </c>
      <c r="D23" s="1" t="s">
        <v>146</v>
      </c>
      <c r="E23" s="4">
        <v>45364</v>
      </c>
      <c r="F23" s="3">
        <v>0.77724537037037034</v>
      </c>
      <c r="G23" s="1">
        <v>0.878</v>
      </c>
      <c r="K23" s="1" t="s">
        <v>183</v>
      </c>
      <c r="L23" s="3">
        <v>0.76083333333333336</v>
      </c>
      <c r="M23" s="3">
        <f t="shared" si="0"/>
        <v>1.6412037037036975E-2</v>
      </c>
      <c r="N23" s="3">
        <v>1.6331018518518519E-2</v>
      </c>
      <c r="O23" s="3"/>
    </row>
    <row r="24" spans="1:19" x14ac:dyDescent="0.2">
      <c r="A24" s="1">
        <v>2</v>
      </c>
      <c r="B24" s="1">
        <v>2.6</v>
      </c>
      <c r="C24" s="1">
        <v>1</v>
      </c>
      <c r="D24" s="1" t="s">
        <v>139</v>
      </c>
      <c r="E24" s="4">
        <v>45365</v>
      </c>
      <c r="F24" s="3">
        <v>0.26702546296296298</v>
      </c>
      <c r="G24" s="1">
        <v>1.6419999999999999</v>
      </c>
      <c r="K24" s="1" t="s">
        <v>185</v>
      </c>
      <c r="L24" s="3">
        <v>0.23493055555555556</v>
      </c>
      <c r="M24" s="3">
        <f t="shared" si="0"/>
        <v>3.2094907407407419E-2</v>
      </c>
      <c r="N24" s="1" t="s">
        <v>27</v>
      </c>
      <c r="P24" s="1" t="s">
        <v>179</v>
      </c>
    </row>
    <row r="25" spans="1:19" x14ac:dyDescent="0.2">
      <c r="A25" s="1">
        <v>2</v>
      </c>
      <c r="B25" s="1">
        <v>2.6</v>
      </c>
      <c r="C25" s="1">
        <v>1</v>
      </c>
      <c r="D25" s="1" t="s">
        <v>144</v>
      </c>
      <c r="E25" s="4">
        <v>45365</v>
      </c>
      <c r="F25" s="3">
        <v>0.78295138888888882</v>
      </c>
      <c r="G25" s="1">
        <v>1.8599999999999998E-2</v>
      </c>
      <c r="K25" s="1" t="s">
        <v>186</v>
      </c>
      <c r="L25" s="3">
        <v>0.75518518518518518</v>
      </c>
      <c r="M25" s="3">
        <f t="shared" si="0"/>
        <v>2.776620370370364E-2</v>
      </c>
      <c r="N25" s="3">
        <v>2.7662037037037037E-2</v>
      </c>
      <c r="O25" s="3"/>
    </row>
    <row r="26" spans="1:19" x14ac:dyDescent="0.2">
      <c r="A26" s="1">
        <v>2</v>
      </c>
      <c r="B26" s="1">
        <v>2.6</v>
      </c>
      <c r="C26" s="1">
        <v>1</v>
      </c>
      <c r="D26" s="1" t="s">
        <v>138</v>
      </c>
      <c r="E26" s="4">
        <v>45366</v>
      </c>
      <c r="F26" s="3">
        <v>0.26596064814814813</v>
      </c>
      <c r="G26" s="1">
        <v>0.74199999999999999</v>
      </c>
      <c r="K26" s="1" t="s">
        <v>187</v>
      </c>
      <c r="L26" s="3">
        <v>0.23423611111111112</v>
      </c>
      <c r="M26" s="3">
        <f t="shared" si="0"/>
        <v>3.1724537037037009E-2</v>
      </c>
      <c r="N26" s="3">
        <v>3.1585648148148147E-2</v>
      </c>
      <c r="O26" s="3"/>
    </row>
    <row r="27" spans="1:19" x14ac:dyDescent="0.2">
      <c r="A27" s="1">
        <v>2</v>
      </c>
      <c r="B27" s="1">
        <v>2.6</v>
      </c>
      <c r="C27" s="1">
        <v>1</v>
      </c>
      <c r="D27" s="1" t="s">
        <v>136</v>
      </c>
      <c r="E27" s="4">
        <v>45366</v>
      </c>
      <c r="F27" s="3">
        <v>0.78123842592592596</v>
      </c>
      <c r="G27" s="1">
        <v>3.56E-2</v>
      </c>
      <c r="K27" s="1" t="s">
        <v>188</v>
      </c>
      <c r="L27" s="3">
        <v>0.75768518518518524</v>
      </c>
      <c r="M27" s="3">
        <f t="shared" si="0"/>
        <v>2.3553240740740722E-2</v>
      </c>
      <c r="N27" s="3">
        <v>2.3506944444444445E-2</v>
      </c>
      <c r="O27" s="3"/>
    </row>
    <row r="28" spans="1:19" x14ac:dyDescent="0.2">
      <c r="A28" s="1">
        <v>2</v>
      </c>
      <c r="B28" s="1">
        <v>2.6</v>
      </c>
      <c r="C28" s="1">
        <v>1</v>
      </c>
      <c r="D28" s="1" t="s">
        <v>154</v>
      </c>
      <c r="E28" s="4">
        <v>45367</v>
      </c>
      <c r="F28" s="3">
        <v>0.26401620370370371</v>
      </c>
      <c r="G28" s="1">
        <v>0.54100000000000004</v>
      </c>
      <c r="K28" s="1" t="s">
        <v>189</v>
      </c>
      <c r="L28" s="3">
        <v>0.2401851851851852</v>
      </c>
      <c r="M28" s="3">
        <f t="shared" si="0"/>
        <v>2.3831018518518515E-2</v>
      </c>
      <c r="N28" s="3">
        <v>2.3692129629629629E-2</v>
      </c>
      <c r="O28" s="3"/>
    </row>
    <row r="29" spans="1:19" x14ac:dyDescent="0.2">
      <c r="A29" s="1">
        <v>2</v>
      </c>
      <c r="B29" s="1">
        <v>2.6</v>
      </c>
      <c r="C29" s="1">
        <v>1</v>
      </c>
      <c r="D29" s="1" t="s">
        <v>151</v>
      </c>
      <c r="E29" s="4">
        <v>45367</v>
      </c>
      <c r="F29" s="3">
        <v>0.78548611111111111</v>
      </c>
      <c r="G29" s="1">
        <v>7.1599999999999997E-3</v>
      </c>
      <c r="K29" s="1" t="s">
        <v>190</v>
      </c>
      <c r="L29" s="3">
        <v>0.75130787037037039</v>
      </c>
      <c r="M29" s="3">
        <f t="shared" si="0"/>
        <v>3.4178240740740717E-2</v>
      </c>
      <c r="N29" s="3">
        <v>3.4201388888888892E-2</v>
      </c>
      <c r="O29" s="3"/>
    </row>
    <row r="30" spans="1:19" x14ac:dyDescent="0.2">
      <c r="A30" s="1">
        <v>2</v>
      </c>
      <c r="B30" s="1">
        <v>2.6</v>
      </c>
      <c r="C30" s="1">
        <v>1</v>
      </c>
      <c r="D30" s="1" t="s">
        <v>149</v>
      </c>
      <c r="E30" s="4">
        <v>45368</v>
      </c>
      <c r="F30" s="3">
        <v>0.2610763888888889</v>
      </c>
      <c r="G30" s="1">
        <v>0.373</v>
      </c>
      <c r="K30" s="1" t="s">
        <v>191</v>
      </c>
      <c r="L30" s="3">
        <v>0.23671296296296296</v>
      </c>
      <c r="M30" s="3">
        <f t="shared" si="0"/>
        <v>2.4363425925925941E-2</v>
      </c>
      <c r="N30" s="12">
        <v>2.5046296296296296E-2</v>
      </c>
      <c r="O30" s="12"/>
      <c r="P30" s="1" t="s">
        <v>179</v>
      </c>
    </row>
    <row r="31" spans="1:19" x14ac:dyDescent="0.2">
      <c r="A31" s="1">
        <v>2</v>
      </c>
      <c r="B31" s="1">
        <v>2.6</v>
      </c>
      <c r="C31" s="1">
        <v>2</v>
      </c>
      <c r="D31" s="1" t="s">
        <v>149</v>
      </c>
      <c r="E31" s="4">
        <v>45368</v>
      </c>
      <c r="F31" s="3">
        <v>0.26609953703703704</v>
      </c>
      <c r="G31" s="1">
        <v>1.1180000000000001</v>
      </c>
      <c r="K31" s="1" t="s">
        <v>191</v>
      </c>
      <c r="L31" s="3">
        <v>0.23671296296296296</v>
      </c>
      <c r="M31" s="3">
        <f t="shared" si="0"/>
        <v>2.9386574074074079E-2</v>
      </c>
      <c r="P31" s="1" t="s">
        <v>179</v>
      </c>
    </row>
    <row r="32" spans="1:19" x14ac:dyDescent="0.2">
      <c r="A32" s="1">
        <v>2</v>
      </c>
      <c r="B32" s="1">
        <v>2.6</v>
      </c>
      <c r="C32" s="1">
        <v>2</v>
      </c>
      <c r="D32" s="1" t="s">
        <v>155</v>
      </c>
      <c r="E32" s="4">
        <v>45368</v>
      </c>
      <c r="F32" s="3">
        <v>0.78359953703703711</v>
      </c>
      <c r="G32" s="1">
        <v>1.208E-2</v>
      </c>
      <c r="K32" s="1" t="s">
        <v>201</v>
      </c>
      <c r="L32" s="3">
        <v>0.75736111111111115</v>
      </c>
      <c r="M32" s="3">
        <f t="shared" si="0"/>
        <v>2.6238425925925957E-2</v>
      </c>
      <c r="N32" s="3">
        <v>2.5833333333333333E-2</v>
      </c>
      <c r="O32" s="3"/>
    </row>
    <row r="33" spans="1:16" x14ac:dyDescent="0.2">
      <c r="A33" s="1">
        <v>2</v>
      </c>
      <c r="B33" s="1">
        <v>2.6</v>
      </c>
      <c r="C33" s="1">
        <v>1</v>
      </c>
      <c r="D33" s="1" t="s">
        <v>155</v>
      </c>
      <c r="E33" s="4">
        <v>45368</v>
      </c>
      <c r="F33" s="3">
        <v>0.77284722222222224</v>
      </c>
      <c r="G33" s="1">
        <v>0.57099999999999995</v>
      </c>
      <c r="K33" s="1" t="s">
        <v>201</v>
      </c>
      <c r="L33" s="3">
        <v>0.75736111111111115</v>
      </c>
      <c r="M33" s="3">
        <f t="shared" si="0"/>
        <v>1.5486111111111089E-2</v>
      </c>
      <c r="N33" s="3">
        <v>1.5069444444444444E-2</v>
      </c>
      <c r="O33" s="3"/>
      <c r="P33" s="1" t="s">
        <v>202</v>
      </c>
    </row>
    <row r="34" spans="1:16" x14ac:dyDescent="0.2">
      <c r="A34" s="1">
        <v>2</v>
      </c>
      <c r="B34" s="1">
        <v>2.6</v>
      </c>
      <c r="C34" s="1">
        <v>1</v>
      </c>
      <c r="D34" s="1" t="s">
        <v>160</v>
      </c>
      <c r="E34" s="4">
        <v>45369</v>
      </c>
      <c r="F34" s="3">
        <v>0.25927083333333334</v>
      </c>
      <c r="G34" s="1">
        <v>8.8200000000000001E-2</v>
      </c>
      <c r="K34" s="1" t="s">
        <v>203</v>
      </c>
      <c r="L34" s="3">
        <v>0.2326388888888889</v>
      </c>
      <c r="M34" s="3">
        <f t="shared" si="0"/>
        <v>2.6631944444444444E-2</v>
      </c>
      <c r="N34" s="3">
        <v>2.6412037037037036E-2</v>
      </c>
      <c r="O34" s="3"/>
    </row>
    <row r="35" spans="1:16" x14ac:dyDescent="0.2">
      <c r="A35" s="1">
        <v>2</v>
      </c>
      <c r="B35" s="1">
        <v>2.6</v>
      </c>
      <c r="C35" s="1" t="s">
        <v>27</v>
      </c>
      <c r="D35" s="1" t="s">
        <v>175</v>
      </c>
      <c r="E35" s="4">
        <v>45369</v>
      </c>
      <c r="F35" s="1" t="s">
        <v>27</v>
      </c>
      <c r="G35" s="1" t="s">
        <v>27</v>
      </c>
      <c r="K35" s="1" t="s">
        <v>205</v>
      </c>
      <c r="L35" s="3">
        <v>0.75791666666666668</v>
      </c>
      <c r="M35" s="1" t="s">
        <v>27</v>
      </c>
      <c r="P35" s="1" t="s">
        <v>176</v>
      </c>
    </row>
    <row r="36" spans="1:16" x14ac:dyDescent="0.2">
      <c r="A36" s="1">
        <v>2</v>
      </c>
      <c r="B36" s="1">
        <v>2.6</v>
      </c>
      <c r="C36" s="1">
        <v>1</v>
      </c>
      <c r="D36" s="1" t="s">
        <v>165</v>
      </c>
      <c r="E36" s="4">
        <v>45370</v>
      </c>
      <c r="F36" s="3">
        <v>0.2697222222222222</v>
      </c>
      <c r="G36" s="1">
        <v>1.069</v>
      </c>
      <c r="K36" s="1" t="s">
        <v>208</v>
      </c>
      <c r="L36" s="3">
        <v>0.26671296296296299</v>
      </c>
      <c r="M36" s="3">
        <f>F36 - L36</f>
        <v>3.0092592592592116E-3</v>
      </c>
      <c r="N36" s="1" t="s">
        <v>27</v>
      </c>
      <c r="P36" s="1" t="s">
        <v>179</v>
      </c>
    </row>
    <row r="37" spans="1:16" x14ac:dyDescent="0.2">
      <c r="A37" s="1">
        <v>2</v>
      </c>
      <c r="B37" s="1">
        <v>2.6</v>
      </c>
      <c r="C37" s="1">
        <v>1</v>
      </c>
      <c r="D37" s="1" t="s">
        <v>171</v>
      </c>
      <c r="E37" s="4">
        <v>45370</v>
      </c>
      <c r="F37" s="3">
        <v>0.77118055555555554</v>
      </c>
      <c r="G37" s="1">
        <v>0.67900000000000005</v>
      </c>
      <c r="K37" s="1" t="s">
        <v>281</v>
      </c>
      <c r="L37" s="3">
        <v>0.75416666666666665</v>
      </c>
      <c r="M37" s="3">
        <f>F37 - L37</f>
        <v>1.7013888888888884E-2</v>
      </c>
      <c r="N37" s="3">
        <v>1.6863425925925928E-2</v>
      </c>
      <c r="O37" s="3"/>
    </row>
    <row r="38" spans="1:16" x14ac:dyDescent="0.2">
      <c r="A38" s="1">
        <v>2</v>
      </c>
      <c r="B38" s="1">
        <v>2.6</v>
      </c>
      <c r="C38" s="1">
        <v>2</v>
      </c>
      <c r="D38" s="1" t="s">
        <v>171</v>
      </c>
      <c r="E38" s="4">
        <v>45370</v>
      </c>
      <c r="F38" s="3">
        <v>0.78053240740740737</v>
      </c>
      <c r="G38" s="1">
        <v>4.8500000000000001E-2</v>
      </c>
      <c r="K38" s="1" t="s">
        <v>281</v>
      </c>
      <c r="L38" s="3">
        <v>0.75416666666666665</v>
      </c>
      <c r="M38" s="3">
        <f>F38 - L38</f>
        <v>2.6365740740740717E-2</v>
      </c>
      <c r="N38" s="3">
        <v>2.6226851851851852E-2</v>
      </c>
      <c r="O38" s="3"/>
    </row>
    <row r="39" spans="1:16" x14ac:dyDescent="0.2">
      <c r="A39" s="1">
        <v>2</v>
      </c>
      <c r="B39" s="1">
        <v>2.6</v>
      </c>
      <c r="C39" s="1" t="s">
        <v>27</v>
      </c>
      <c r="D39" s="1" t="s">
        <v>27</v>
      </c>
      <c r="E39" s="4">
        <v>45371</v>
      </c>
      <c r="F39" s="14" t="s">
        <v>27</v>
      </c>
      <c r="G39" s="1" t="s">
        <v>27</v>
      </c>
      <c r="K39" s="1" t="s">
        <v>27</v>
      </c>
      <c r="L39" s="1" t="s">
        <v>27</v>
      </c>
      <c r="M39" s="1" t="s">
        <v>27</v>
      </c>
      <c r="N39" s="1" t="s">
        <v>27</v>
      </c>
      <c r="P39" s="1" t="s">
        <v>204</v>
      </c>
    </row>
    <row r="40" spans="1:16" x14ac:dyDescent="0.2">
      <c r="A40" s="1">
        <v>2</v>
      </c>
      <c r="B40" s="1">
        <v>2.6</v>
      </c>
      <c r="C40" s="1" t="s">
        <v>27</v>
      </c>
      <c r="D40" s="1" t="s">
        <v>27</v>
      </c>
      <c r="E40" s="4">
        <v>45371</v>
      </c>
      <c r="F40" s="14" t="s">
        <v>27</v>
      </c>
      <c r="G40" s="1" t="s">
        <v>27</v>
      </c>
      <c r="K40" s="1" t="s">
        <v>27</v>
      </c>
      <c r="L40" s="1" t="s">
        <v>27</v>
      </c>
      <c r="M40" s="1" t="s">
        <v>27</v>
      </c>
      <c r="N40" s="1" t="s">
        <v>27</v>
      </c>
      <c r="P40" s="1" t="s">
        <v>207</v>
      </c>
    </row>
    <row r="41" spans="1:16" x14ac:dyDescent="0.2">
      <c r="A41" s="1">
        <v>2</v>
      </c>
      <c r="B41" s="1">
        <v>2.1</v>
      </c>
      <c r="C41" s="1">
        <v>1</v>
      </c>
      <c r="D41" s="1" t="s">
        <v>170</v>
      </c>
      <c r="E41" s="4">
        <v>45372</v>
      </c>
      <c r="F41" s="3">
        <v>0.27496527777777779</v>
      </c>
      <c r="G41" s="1">
        <v>6.28</v>
      </c>
      <c r="K41" s="1" t="s">
        <v>279</v>
      </c>
      <c r="L41" s="3">
        <v>0.26805555555555555</v>
      </c>
      <c r="M41" s="3">
        <f>F41 - L41</f>
        <v>6.9097222222222476E-3</v>
      </c>
      <c r="N41" s="3">
        <v>6.8865740740740745E-3</v>
      </c>
      <c r="O41" s="3"/>
    </row>
    <row r="42" spans="1:16" x14ac:dyDescent="0.2">
      <c r="A42" s="1">
        <v>2</v>
      </c>
      <c r="B42" s="1">
        <v>2.1</v>
      </c>
      <c r="C42" s="1">
        <v>1</v>
      </c>
      <c r="D42" s="1" t="s">
        <v>168</v>
      </c>
      <c r="E42" s="4">
        <v>45372</v>
      </c>
      <c r="F42" s="3">
        <v>0.77909722222222222</v>
      </c>
      <c r="G42" s="1" t="s">
        <v>27</v>
      </c>
      <c r="H42" s="2" t="s">
        <v>385</v>
      </c>
      <c r="I42" s="1">
        <v>7.9299999999999995E-2</v>
      </c>
      <c r="J42" s="1" t="s">
        <v>460</v>
      </c>
      <c r="K42" s="1" t="s">
        <v>27</v>
      </c>
      <c r="L42" s="1" t="s">
        <v>27</v>
      </c>
      <c r="M42" s="1" t="s">
        <v>27</v>
      </c>
      <c r="N42" s="1" t="s">
        <v>27</v>
      </c>
      <c r="P42" s="1" t="s">
        <v>280</v>
      </c>
    </row>
    <row r="43" spans="1:16" x14ac:dyDescent="0.2">
      <c r="A43" s="1">
        <v>2</v>
      </c>
      <c r="B43" s="1">
        <v>2.1</v>
      </c>
      <c r="C43" s="1">
        <v>1</v>
      </c>
      <c r="D43" s="1" t="s">
        <v>166</v>
      </c>
      <c r="E43" s="4">
        <v>45373</v>
      </c>
      <c r="F43" s="3">
        <v>0.26319444444444445</v>
      </c>
      <c r="G43" s="1">
        <v>1.0109999999999999</v>
      </c>
      <c r="K43" s="1" t="s">
        <v>261</v>
      </c>
      <c r="L43" s="3">
        <v>0.22378472222222223</v>
      </c>
      <c r="M43" s="3">
        <f>F43 - L43</f>
        <v>3.9409722222222221E-2</v>
      </c>
      <c r="N43" s="3">
        <v>3.951388888888889E-2</v>
      </c>
      <c r="O43" s="3"/>
    </row>
    <row r="44" spans="1:16" x14ac:dyDescent="0.2">
      <c r="A44" s="1">
        <v>2</v>
      </c>
      <c r="B44" s="1">
        <v>2.1</v>
      </c>
      <c r="C44" s="1">
        <v>1</v>
      </c>
      <c r="D44" s="1" t="s">
        <v>197</v>
      </c>
      <c r="E44" s="4">
        <v>45373</v>
      </c>
      <c r="F44" s="3">
        <v>0.77481481481481485</v>
      </c>
      <c r="G44" s="1">
        <v>0.39</v>
      </c>
      <c r="K44" s="1" t="s">
        <v>262</v>
      </c>
      <c r="L44" s="3">
        <v>0.75416666666666665</v>
      </c>
      <c r="M44" s="3">
        <f>F44 - L44</f>
        <v>2.0648148148148193E-2</v>
      </c>
      <c r="N44" s="3">
        <v>2.0312500000000001E-2</v>
      </c>
      <c r="O44" s="3"/>
    </row>
    <row r="45" spans="1:16" x14ac:dyDescent="0.2">
      <c r="A45" s="1">
        <v>2</v>
      </c>
      <c r="B45" s="1">
        <v>2.1</v>
      </c>
      <c r="C45" s="1">
        <v>1</v>
      </c>
      <c r="D45" s="15" t="s">
        <v>260</v>
      </c>
      <c r="E45" s="4">
        <v>45374</v>
      </c>
      <c r="F45" s="3">
        <v>0.2701041666666667</v>
      </c>
      <c r="G45" s="1">
        <v>2.67</v>
      </c>
      <c r="K45" s="1" t="s">
        <v>263</v>
      </c>
      <c r="L45" s="3">
        <v>0.2399537037037037</v>
      </c>
      <c r="M45" s="3">
        <f>F45 - L45</f>
        <v>3.0150462962963004E-2</v>
      </c>
      <c r="N45" s="3">
        <v>3.0289351851851852E-2</v>
      </c>
      <c r="O45" s="3"/>
    </row>
    <row r="46" spans="1:16" x14ac:dyDescent="0.2">
      <c r="A46" s="1">
        <v>2</v>
      </c>
      <c r="B46" s="1">
        <v>2.1</v>
      </c>
      <c r="C46" s="1">
        <v>1</v>
      </c>
      <c r="D46" s="1" t="s">
        <v>224</v>
      </c>
      <c r="E46" s="4">
        <v>45374</v>
      </c>
      <c r="F46" s="1" t="s">
        <v>27</v>
      </c>
      <c r="G46" s="1" t="s">
        <v>27</v>
      </c>
      <c r="K46" s="1" t="s">
        <v>119</v>
      </c>
      <c r="L46" s="3">
        <v>0.75451388888888893</v>
      </c>
      <c r="M46" s="1" t="s">
        <v>27</v>
      </c>
      <c r="N46" s="1" t="s">
        <v>27</v>
      </c>
      <c r="P46" s="1" t="s">
        <v>176</v>
      </c>
    </row>
    <row r="47" spans="1:16" x14ac:dyDescent="0.2">
      <c r="A47" s="1">
        <v>2</v>
      </c>
      <c r="B47" s="1">
        <v>2.6</v>
      </c>
      <c r="C47" s="1">
        <v>1</v>
      </c>
      <c r="D47" s="1" t="s">
        <v>242</v>
      </c>
      <c r="E47" s="4">
        <v>45375</v>
      </c>
      <c r="F47" s="14">
        <v>0.25738425925925923</v>
      </c>
      <c r="G47" s="7">
        <v>0.1409</v>
      </c>
      <c r="H47" s="7" t="s">
        <v>378</v>
      </c>
      <c r="I47" s="7"/>
      <c r="J47" s="7"/>
      <c r="K47" s="1" t="s">
        <v>264</v>
      </c>
      <c r="L47" s="3">
        <v>0.23355324074074074</v>
      </c>
      <c r="M47" s="3">
        <f>F47 - L47</f>
        <v>2.3831018518518488E-2</v>
      </c>
      <c r="N47" s="3">
        <v>2.3923611111111111E-2</v>
      </c>
      <c r="O47" s="3"/>
    </row>
    <row r="48" spans="1:16" x14ac:dyDescent="0.2">
      <c r="A48" s="1">
        <v>2</v>
      </c>
      <c r="B48" s="1">
        <v>2.6</v>
      </c>
      <c r="C48" s="1">
        <v>2</v>
      </c>
      <c r="D48" s="1" t="s">
        <v>242</v>
      </c>
      <c r="E48" s="4">
        <v>45375</v>
      </c>
      <c r="F48" s="14">
        <v>0.26746527777777779</v>
      </c>
      <c r="G48" s="7">
        <v>0.23799999999999999</v>
      </c>
      <c r="H48" s="7" t="s">
        <v>378</v>
      </c>
      <c r="I48" s="7"/>
      <c r="J48" s="7"/>
      <c r="K48" s="1" t="s">
        <v>264</v>
      </c>
      <c r="L48" s="3">
        <v>0.23355324074074074</v>
      </c>
      <c r="M48" s="3">
        <f>F48 - L48</f>
        <v>3.3912037037037046E-2</v>
      </c>
      <c r="N48" s="3">
        <v>3.4004629629629628E-2</v>
      </c>
      <c r="O48" s="3"/>
    </row>
    <row r="49" spans="1:19" x14ac:dyDescent="0.2">
      <c r="A49" s="1">
        <v>2</v>
      </c>
      <c r="B49" s="1">
        <v>2.6</v>
      </c>
      <c r="C49" s="1">
        <v>1</v>
      </c>
      <c r="D49" s="1" t="s">
        <v>244</v>
      </c>
      <c r="E49" s="4">
        <v>45375</v>
      </c>
      <c r="F49" s="14">
        <v>0.77380787037037035</v>
      </c>
      <c r="G49" s="1">
        <v>0.52900000000000003</v>
      </c>
      <c r="K49" s="1" t="s">
        <v>127</v>
      </c>
      <c r="L49" s="3">
        <v>0.74961805555555561</v>
      </c>
      <c r="M49" s="3">
        <f>F49 - L49</f>
        <v>2.4189814814814747E-2</v>
      </c>
      <c r="N49" s="3">
        <v>2.4328703703703703E-2</v>
      </c>
      <c r="O49" s="3"/>
    </row>
    <row r="50" spans="1:19" s="7" customFormat="1" x14ac:dyDescent="0.2">
      <c r="A50" s="1">
        <v>2</v>
      </c>
      <c r="B50" s="1">
        <v>2.6</v>
      </c>
      <c r="C50" s="1">
        <v>1</v>
      </c>
      <c r="D50" s="1" t="s">
        <v>228</v>
      </c>
      <c r="E50" s="4">
        <v>45376</v>
      </c>
      <c r="F50" s="14" t="s">
        <v>27</v>
      </c>
      <c r="G50" s="1" t="s">
        <v>27</v>
      </c>
      <c r="H50" s="1"/>
      <c r="I50" s="1"/>
      <c r="J50" s="1"/>
      <c r="K50" s="1" t="s">
        <v>265</v>
      </c>
      <c r="L50" s="3">
        <v>0.23734953703703704</v>
      </c>
      <c r="M50" s="3" t="s">
        <v>27</v>
      </c>
      <c r="N50" s="1" t="s">
        <v>27</v>
      </c>
      <c r="O50" s="1"/>
      <c r="P50" s="1" t="s">
        <v>246</v>
      </c>
      <c r="Q50" s="1"/>
      <c r="R50" s="1"/>
      <c r="S50" s="1"/>
    </row>
    <row r="51" spans="1:19" x14ac:dyDescent="0.2">
      <c r="A51" s="1">
        <v>2</v>
      </c>
      <c r="B51" s="1">
        <v>2.6</v>
      </c>
      <c r="C51" s="1">
        <v>1</v>
      </c>
      <c r="D51" s="1" t="s">
        <v>269</v>
      </c>
      <c r="E51" s="4">
        <v>45376</v>
      </c>
      <c r="F51" s="14">
        <v>0.77660879629629631</v>
      </c>
      <c r="G51" s="1">
        <v>0.28000000000000003</v>
      </c>
      <c r="K51" s="1" t="s">
        <v>266</v>
      </c>
      <c r="L51" s="3">
        <v>0.75342592592592594</v>
      </c>
      <c r="M51" s="3">
        <f>F51 - L51</f>
        <v>2.3182870370370368E-2</v>
      </c>
      <c r="N51" s="3">
        <v>2.2905092592592591E-2</v>
      </c>
      <c r="O51" s="3"/>
    </row>
    <row r="52" spans="1:19" x14ac:dyDescent="0.2">
      <c r="A52" s="1">
        <v>2</v>
      </c>
      <c r="B52" s="1">
        <v>2.6</v>
      </c>
      <c r="C52" s="1">
        <v>1</v>
      </c>
      <c r="D52" s="1" t="s">
        <v>231</v>
      </c>
      <c r="E52" s="4">
        <v>45377</v>
      </c>
      <c r="F52" s="14">
        <v>0.25671296296296298</v>
      </c>
      <c r="G52" s="7">
        <v>0.20200000000000001</v>
      </c>
      <c r="I52" s="7"/>
      <c r="J52" s="7"/>
      <c r="K52" s="1" t="s">
        <v>128</v>
      </c>
      <c r="L52" s="3">
        <v>0.23350694444444445</v>
      </c>
      <c r="M52" s="3">
        <f>F52 - L52</f>
        <v>2.3206018518518529E-2</v>
      </c>
      <c r="N52" s="3">
        <v>2.3356481481481482E-2</v>
      </c>
      <c r="O52" s="3"/>
    </row>
    <row r="53" spans="1:19" x14ac:dyDescent="0.2">
      <c r="A53" s="1">
        <v>2</v>
      </c>
      <c r="B53" s="1">
        <v>2.6</v>
      </c>
      <c r="C53" s="1" t="s">
        <v>27</v>
      </c>
      <c r="D53" s="1" t="s">
        <v>27</v>
      </c>
      <c r="E53" s="4">
        <v>45377</v>
      </c>
      <c r="F53" s="14" t="s">
        <v>27</v>
      </c>
      <c r="G53" s="1" t="s">
        <v>27</v>
      </c>
      <c r="K53" s="1" t="s">
        <v>27</v>
      </c>
      <c r="L53" s="1" t="s">
        <v>27</v>
      </c>
      <c r="M53" s="1" t="s">
        <v>27</v>
      </c>
      <c r="N53" s="1" t="s">
        <v>27</v>
      </c>
      <c r="P53" s="1" t="s">
        <v>270</v>
      </c>
    </row>
    <row r="54" spans="1:19" x14ac:dyDescent="0.2">
      <c r="A54" s="1">
        <v>2</v>
      </c>
      <c r="B54" s="1">
        <v>2.6</v>
      </c>
      <c r="C54" s="1">
        <v>1</v>
      </c>
      <c r="D54" s="1" t="s">
        <v>234</v>
      </c>
      <c r="E54" s="4">
        <v>45378</v>
      </c>
      <c r="F54" s="14">
        <v>0.26596064814814813</v>
      </c>
      <c r="G54" s="7">
        <v>2.2799999999999998</v>
      </c>
      <c r="H54" s="7" t="s">
        <v>379</v>
      </c>
      <c r="I54" s="7"/>
      <c r="J54" s="7"/>
      <c r="K54" s="1" t="s">
        <v>420</v>
      </c>
      <c r="L54" s="3">
        <v>0.23856481481481481</v>
      </c>
      <c r="M54" s="3">
        <f>F54 - L54</f>
        <v>2.7395833333333314E-2</v>
      </c>
      <c r="N54" s="3">
        <v>2.75E-2</v>
      </c>
      <c r="O54" s="3"/>
      <c r="P54" s="1" t="s">
        <v>379</v>
      </c>
    </row>
    <row r="55" spans="1:19" x14ac:dyDescent="0.2">
      <c r="A55" s="1">
        <v>2</v>
      </c>
      <c r="B55" s="1">
        <v>2.6</v>
      </c>
      <c r="C55" s="1" t="s">
        <v>27</v>
      </c>
      <c r="D55" s="1" t="s">
        <v>249</v>
      </c>
      <c r="E55" s="4">
        <v>45379</v>
      </c>
      <c r="F55" s="14" t="s">
        <v>27</v>
      </c>
      <c r="G55" s="1" t="s">
        <v>27</v>
      </c>
      <c r="K55" s="1" t="s">
        <v>291</v>
      </c>
      <c r="L55" s="3">
        <v>0.76531249999999995</v>
      </c>
      <c r="M55" s="3" t="s">
        <v>27</v>
      </c>
      <c r="N55" s="3" t="s">
        <v>27</v>
      </c>
      <c r="O55" s="3"/>
      <c r="P55" s="1" t="s">
        <v>176</v>
      </c>
    </row>
    <row r="56" spans="1:19" s="7" customFormat="1" x14ac:dyDescent="0.2">
      <c r="A56" s="1">
        <v>2</v>
      </c>
      <c r="B56" s="1">
        <v>2.6</v>
      </c>
      <c r="C56" s="1">
        <v>1</v>
      </c>
      <c r="D56" s="1" t="s">
        <v>248</v>
      </c>
      <c r="E56" s="4">
        <v>45379</v>
      </c>
      <c r="F56" s="3">
        <v>0.26277777777777778</v>
      </c>
      <c r="G56" s="7">
        <v>1.2869999999999999</v>
      </c>
      <c r="H56" s="1" t="s">
        <v>440</v>
      </c>
      <c r="K56" s="1" t="s">
        <v>292</v>
      </c>
      <c r="L56" s="3">
        <v>0.23756944444444444</v>
      </c>
      <c r="M56" s="3">
        <f>F56 - L56</f>
        <v>2.5208333333333333E-2</v>
      </c>
      <c r="N56" s="3" t="s">
        <v>27</v>
      </c>
      <c r="O56" s="3"/>
      <c r="S56" s="13"/>
    </row>
    <row r="57" spans="1:19" x14ac:dyDescent="0.2">
      <c r="A57" s="1">
        <v>2</v>
      </c>
      <c r="B57" s="1">
        <v>2.6</v>
      </c>
      <c r="C57" s="1">
        <v>1</v>
      </c>
      <c r="D57" s="1" t="s">
        <v>251</v>
      </c>
      <c r="E57" s="4">
        <v>45380</v>
      </c>
      <c r="F57" s="3">
        <v>0.26237268518518519</v>
      </c>
      <c r="G57" s="7">
        <v>0.83099999999999996</v>
      </c>
      <c r="H57" s="1" t="s">
        <v>381</v>
      </c>
      <c r="I57" s="7"/>
      <c r="J57" s="7"/>
      <c r="K57" s="1" t="s">
        <v>303</v>
      </c>
      <c r="L57" s="3">
        <v>0.2282986111111111</v>
      </c>
      <c r="M57" s="3">
        <f>F57 - L57</f>
        <v>3.407407407407409E-2</v>
      </c>
      <c r="N57" s="3">
        <v>3.4189814814814812E-2</v>
      </c>
      <c r="O57" s="3"/>
      <c r="S57" s="2"/>
    </row>
    <row r="58" spans="1:19" x14ac:dyDescent="0.2">
      <c r="A58" s="1">
        <v>2</v>
      </c>
      <c r="B58" s="1">
        <v>2.6</v>
      </c>
      <c r="C58" s="1" t="s">
        <v>27</v>
      </c>
      <c r="D58" s="1" t="s">
        <v>253</v>
      </c>
      <c r="E58" s="4">
        <v>45380</v>
      </c>
      <c r="F58" s="3" t="s">
        <v>27</v>
      </c>
      <c r="G58" s="1" t="s">
        <v>27</v>
      </c>
      <c r="K58" s="1" t="s">
        <v>306</v>
      </c>
      <c r="L58" s="3">
        <v>0.77248842592592593</v>
      </c>
      <c r="M58" s="3" t="s">
        <v>27</v>
      </c>
      <c r="N58" s="3" t="s">
        <v>27</v>
      </c>
      <c r="O58" s="3"/>
      <c r="P58" s="1" t="s">
        <v>176</v>
      </c>
      <c r="S58" s="2"/>
    </row>
    <row r="59" spans="1:19" x14ac:dyDescent="0.2">
      <c r="A59" s="1">
        <v>2</v>
      </c>
      <c r="B59" s="1">
        <v>2.6</v>
      </c>
      <c r="C59" s="1">
        <v>1</v>
      </c>
      <c r="D59" s="1" t="s">
        <v>256</v>
      </c>
      <c r="E59" s="4">
        <v>45381</v>
      </c>
      <c r="F59" s="3" t="s">
        <v>27</v>
      </c>
      <c r="G59" s="1" t="s">
        <v>27</v>
      </c>
      <c r="K59" s="1" t="s">
        <v>383</v>
      </c>
      <c r="L59" s="3">
        <v>0.75232638888888892</v>
      </c>
      <c r="M59" s="3" t="s">
        <v>27</v>
      </c>
      <c r="N59" s="3" t="s">
        <v>27</v>
      </c>
      <c r="O59" s="3"/>
      <c r="P59" s="1" t="s">
        <v>369</v>
      </c>
      <c r="S59" s="2"/>
    </row>
    <row r="60" spans="1:19" s="7" customFormat="1" x14ac:dyDescent="0.2">
      <c r="A60" s="1">
        <v>2</v>
      </c>
      <c r="B60" s="1">
        <v>2.6</v>
      </c>
      <c r="C60" s="1">
        <v>1</v>
      </c>
      <c r="D60" s="1" t="s">
        <v>316</v>
      </c>
      <c r="E60" s="4">
        <v>45381</v>
      </c>
      <c r="F60" s="3">
        <v>0.26086805555555553</v>
      </c>
      <c r="G60" s="7">
        <v>3.05</v>
      </c>
      <c r="H60" s="1" t="s">
        <v>441</v>
      </c>
      <c r="I60" s="7">
        <f xml:space="preserve"> (G60 *(1.004*10^-6)) / (1.081*10^-5)</f>
        <v>0.28327474560592047</v>
      </c>
      <c r="J60" s="7" t="s">
        <v>655</v>
      </c>
      <c r="K60" s="1" t="s">
        <v>317</v>
      </c>
      <c r="L60" s="3">
        <v>0.2303125</v>
      </c>
      <c r="M60" s="3">
        <f>F60 - L60</f>
        <v>3.055555555555553E-2</v>
      </c>
      <c r="N60" s="3" t="s">
        <v>27</v>
      </c>
      <c r="O60" s="3" t="s">
        <v>320</v>
      </c>
      <c r="Q60" s="1"/>
      <c r="S60" s="13"/>
    </row>
    <row r="61" spans="1:19" x14ac:dyDescent="0.2">
      <c r="A61" s="1">
        <v>2</v>
      </c>
      <c r="B61" s="1">
        <v>2.6</v>
      </c>
      <c r="C61" s="1" t="s">
        <v>27</v>
      </c>
      <c r="D61" s="1" t="s">
        <v>27</v>
      </c>
      <c r="E61" s="4">
        <v>45382</v>
      </c>
      <c r="F61" s="3" t="s">
        <v>27</v>
      </c>
      <c r="G61" s="1" t="s">
        <v>27</v>
      </c>
      <c r="K61" s="1" t="s">
        <v>27</v>
      </c>
      <c r="L61" s="3" t="s">
        <v>27</v>
      </c>
      <c r="M61" s="3" t="s">
        <v>27</v>
      </c>
      <c r="N61" s="3" t="s">
        <v>27</v>
      </c>
      <c r="O61" s="3"/>
      <c r="P61" s="1" t="s">
        <v>382</v>
      </c>
      <c r="S61" s="2"/>
    </row>
    <row r="62" spans="1:19" x14ac:dyDescent="0.2">
      <c r="A62" s="1">
        <v>2</v>
      </c>
      <c r="B62" s="1">
        <v>2.6</v>
      </c>
      <c r="C62" s="1">
        <v>1</v>
      </c>
      <c r="D62" s="1" t="s">
        <v>298</v>
      </c>
      <c r="E62" s="4">
        <v>45382</v>
      </c>
      <c r="F62" s="3">
        <v>0.77803240740740742</v>
      </c>
      <c r="G62" s="7">
        <v>0.71299999999999997</v>
      </c>
      <c r="H62" s="1" t="s">
        <v>459</v>
      </c>
      <c r="I62" s="7">
        <f xml:space="preserve"> (G62 *(1.004*10^-6)) / (1.081*10^-5)</f>
        <v>6.6221276595744685E-2</v>
      </c>
      <c r="J62" s="7" t="s">
        <v>655</v>
      </c>
      <c r="K62" s="1" t="s">
        <v>321</v>
      </c>
      <c r="L62" s="3">
        <v>0.75362268518518516</v>
      </c>
      <c r="M62" s="3">
        <f>F62 - L62</f>
        <v>2.4409722222222263E-2</v>
      </c>
      <c r="N62" s="3">
        <v>2.4895833333333332E-2</v>
      </c>
      <c r="O62" s="3" t="s">
        <v>319</v>
      </c>
      <c r="S62" s="2"/>
    </row>
    <row r="63" spans="1:19" x14ac:dyDescent="0.2">
      <c r="A63" s="1">
        <v>2</v>
      </c>
      <c r="B63" s="1">
        <v>2.6</v>
      </c>
      <c r="C63" s="1">
        <v>1</v>
      </c>
      <c r="D63" s="1" t="s">
        <v>282</v>
      </c>
      <c r="E63" s="4">
        <v>45383</v>
      </c>
      <c r="F63" s="3">
        <v>0.27090277777777777</v>
      </c>
      <c r="G63" s="7">
        <v>22.2</v>
      </c>
      <c r="H63" s="1" t="s">
        <v>386</v>
      </c>
      <c r="I63" s="7">
        <f xml:space="preserve"> (G63 *(1.004*10^-6)) / (1.081*10^-5)</f>
        <v>2.0618686401480111</v>
      </c>
      <c r="J63" s="7" t="s">
        <v>655</v>
      </c>
      <c r="K63" s="1" t="s">
        <v>322</v>
      </c>
      <c r="L63" s="3">
        <v>0.22976851851851851</v>
      </c>
      <c r="M63" s="3">
        <f>F63 - L63</f>
        <v>4.1134259259259259E-2</v>
      </c>
      <c r="N63" s="3">
        <v>4.1284722222222223E-2</v>
      </c>
      <c r="O63" s="3" t="s">
        <v>319</v>
      </c>
    </row>
    <row r="64" spans="1:19" x14ac:dyDescent="0.2">
      <c r="A64" s="1">
        <v>2</v>
      </c>
      <c r="B64" s="1">
        <v>2.6</v>
      </c>
      <c r="C64" s="1" t="s">
        <v>27</v>
      </c>
      <c r="D64" s="1" t="s">
        <v>27</v>
      </c>
      <c r="E64" s="4">
        <v>45383</v>
      </c>
      <c r="F64" s="3" t="s">
        <v>27</v>
      </c>
      <c r="G64" s="1" t="s">
        <v>27</v>
      </c>
      <c r="K64" s="1" t="s">
        <v>27</v>
      </c>
      <c r="L64" s="1" t="s">
        <v>27</v>
      </c>
      <c r="M64" s="1" t="s">
        <v>27</v>
      </c>
      <c r="N64" s="1" t="s">
        <v>27</v>
      </c>
      <c r="O64" s="3"/>
      <c r="P64" s="1" t="s">
        <v>341</v>
      </c>
    </row>
    <row r="65" spans="1:16" s="7" customFormat="1" x14ac:dyDescent="0.2">
      <c r="A65" s="1">
        <v>2</v>
      </c>
      <c r="B65" s="1">
        <v>2.6</v>
      </c>
      <c r="C65" s="1" t="s">
        <v>27</v>
      </c>
      <c r="D65" s="1" t="s">
        <v>27</v>
      </c>
      <c r="E65" s="4">
        <v>45384</v>
      </c>
      <c r="F65" s="3" t="s">
        <v>27</v>
      </c>
      <c r="G65" s="1" t="s">
        <v>27</v>
      </c>
      <c r="H65" s="1"/>
      <c r="I65" s="1"/>
      <c r="J65" s="1"/>
      <c r="K65" s="1" t="s">
        <v>27</v>
      </c>
      <c r="L65" s="1" t="s">
        <v>27</v>
      </c>
      <c r="M65" s="1" t="s">
        <v>27</v>
      </c>
      <c r="N65" s="1" t="s">
        <v>27</v>
      </c>
      <c r="O65" s="8"/>
      <c r="P65" s="1" t="s">
        <v>387</v>
      </c>
    </row>
    <row r="66" spans="1:16" s="7" customFormat="1" x14ac:dyDescent="0.2">
      <c r="A66" s="1">
        <v>2</v>
      </c>
      <c r="B66" s="1">
        <v>2.6</v>
      </c>
      <c r="C66" s="1" t="s">
        <v>27</v>
      </c>
      <c r="D66" s="1" t="s">
        <v>27</v>
      </c>
      <c r="E66" s="4">
        <v>45384</v>
      </c>
      <c r="F66" s="3" t="s">
        <v>27</v>
      </c>
      <c r="G66" s="1" t="s">
        <v>27</v>
      </c>
      <c r="H66" s="1"/>
      <c r="I66" s="1"/>
      <c r="J66" s="1"/>
      <c r="K66" s="1" t="s">
        <v>27</v>
      </c>
      <c r="L66" s="1" t="s">
        <v>27</v>
      </c>
      <c r="M66" s="1" t="s">
        <v>27</v>
      </c>
      <c r="N66" s="1" t="s">
        <v>27</v>
      </c>
      <c r="O66" s="8"/>
      <c r="P66" s="1" t="s">
        <v>391</v>
      </c>
    </row>
    <row r="67" spans="1:16" x14ac:dyDescent="0.2">
      <c r="A67" s="1">
        <v>2</v>
      </c>
      <c r="B67" s="1">
        <v>2.6</v>
      </c>
      <c r="C67" s="1">
        <v>1</v>
      </c>
      <c r="D67" t="s">
        <v>293</v>
      </c>
      <c r="E67" s="4">
        <v>45385</v>
      </c>
      <c r="F67" s="3">
        <v>0.78233796296296299</v>
      </c>
      <c r="G67" s="1" t="s">
        <v>27</v>
      </c>
      <c r="H67" s="1" t="s">
        <v>367</v>
      </c>
      <c r="I67" s="21">
        <f xml:space="preserve"> (0.1331*(1.004*10^-6)) / (1.081*10^-5)</f>
        <v>1.2361924144310825E-2</v>
      </c>
      <c r="J67" s="1" t="s">
        <v>458</v>
      </c>
      <c r="K67" s="1" t="s">
        <v>27</v>
      </c>
      <c r="L67" s="1" t="s">
        <v>27</v>
      </c>
      <c r="M67" s="1" t="s">
        <v>27</v>
      </c>
      <c r="N67" s="1" t="s">
        <v>27</v>
      </c>
      <c r="O67" s="1" t="s">
        <v>27</v>
      </c>
    </row>
    <row r="68" spans="1:16" x14ac:dyDescent="0.2">
      <c r="A68" s="1">
        <v>2</v>
      </c>
      <c r="B68" s="1">
        <v>2.6</v>
      </c>
      <c r="C68" s="1" t="s">
        <v>27</v>
      </c>
      <c r="D68" s="1" t="s">
        <v>27</v>
      </c>
      <c r="E68" s="4">
        <v>45385</v>
      </c>
      <c r="F68" s="3" t="s">
        <v>27</v>
      </c>
      <c r="G68" s="1" t="s">
        <v>27</v>
      </c>
      <c r="K68" s="1" t="s">
        <v>27</v>
      </c>
      <c r="L68" s="1" t="s">
        <v>27</v>
      </c>
      <c r="M68" s="1" t="s">
        <v>27</v>
      </c>
      <c r="N68" s="1" t="s">
        <v>27</v>
      </c>
      <c r="P68" s="1" t="s">
        <v>387</v>
      </c>
    </row>
    <row r="69" spans="1:16" x14ac:dyDescent="0.2">
      <c r="A69" s="1">
        <v>2</v>
      </c>
      <c r="B69" s="1">
        <v>2.6</v>
      </c>
      <c r="C69" s="1" t="s">
        <v>27</v>
      </c>
      <c r="D69" s="1" t="s">
        <v>27</v>
      </c>
      <c r="E69" s="4">
        <v>45386</v>
      </c>
      <c r="F69" s="3" t="s">
        <v>27</v>
      </c>
      <c r="G69" s="1" t="s">
        <v>27</v>
      </c>
      <c r="K69" s="1" t="s">
        <v>27</v>
      </c>
      <c r="L69" s="1" t="s">
        <v>27</v>
      </c>
      <c r="M69" s="1" t="s">
        <v>27</v>
      </c>
      <c r="N69" s="1" t="s">
        <v>27</v>
      </c>
      <c r="P69" s="1" t="s">
        <v>387</v>
      </c>
    </row>
    <row r="70" spans="1:16" x14ac:dyDescent="0.2">
      <c r="A70" s="1">
        <v>2</v>
      </c>
      <c r="B70" s="1">
        <v>2.6</v>
      </c>
      <c r="C70" s="1">
        <v>1</v>
      </c>
      <c r="D70" s="1" t="s">
        <v>180</v>
      </c>
      <c r="E70" s="4">
        <v>45386</v>
      </c>
      <c r="F70" s="3">
        <v>0.78053240740740737</v>
      </c>
      <c r="G70" s="7">
        <v>0.25800000000000001</v>
      </c>
      <c r="H70" s="7" t="s">
        <v>384</v>
      </c>
      <c r="I70" s="7">
        <f xml:space="preserve"> (G70 *(1.004*10^-6)) / (1.081*10^-5)</f>
        <v>2.3962257169287699E-2</v>
      </c>
      <c r="J70" s="7" t="s">
        <v>655</v>
      </c>
      <c r="K70" s="1" t="s">
        <v>297</v>
      </c>
      <c r="L70" s="3">
        <v>0.75498842592592597</v>
      </c>
      <c r="M70" s="3">
        <f>F70 - L70</f>
        <v>2.5543981481481404E-2</v>
      </c>
      <c r="N70" s="3">
        <v>2.5694444444444443E-2</v>
      </c>
      <c r="O70" s="3" t="s">
        <v>319</v>
      </c>
    </row>
    <row r="71" spans="1:16" x14ac:dyDescent="0.2">
      <c r="A71" s="1">
        <v>2</v>
      </c>
      <c r="B71" s="1">
        <v>2.6</v>
      </c>
      <c r="C71" s="1" t="s">
        <v>27</v>
      </c>
      <c r="D71" s="1" t="s">
        <v>27</v>
      </c>
      <c r="E71" s="4">
        <v>45387</v>
      </c>
      <c r="F71" s="3" t="s">
        <v>27</v>
      </c>
      <c r="G71" s="1" t="s">
        <v>27</v>
      </c>
      <c r="K71" s="1" t="s">
        <v>27</v>
      </c>
      <c r="L71" s="1" t="s">
        <v>27</v>
      </c>
      <c r="M71" s="1" t="s">
        <v>27</v>
      </c>
      <c r="N71" s="1" t="s">
        <v>27</v>
      </c>
      <c r="P71" s="1" t="s">
        <v>388</v>
      </c>
    </row>
    <row r="72" spans="1:16" x14ac:dyDescent="0.2">
      <c r="A72" s="1">
        <v>2</v>
      </c>
      <c r="B72" s="1">
        <v>2.6</v>
      </c>
      <c r="C72" s="1">
        <v>1</v>
      </c>
      <c r="D72" s="1" t="s">
        <v>365</v>
      </c>
      <c r="E72" s="4">
        <v>45391</v>
      </c>
      <c r="F72" s="3">
        <v>0.2723726851851852</v>
      </c>
      <c r="G72" s="1">
        <v>31.1</v>
      </c>
      <c r="H72" s="7" t="s">
        <v>384</v>
      </c>
      <c r="I72" s="7">
        <f xml:space="preserve"> (G72 *(1.004*10^-6)) / (1.081*10^-5)</f>
        <v>2.8884736355226646</v>
      </c>
      <c r="J72" s="7" t="s">
        <v>655</v>
      </c>
      <c r="K72" s="1" t="s">
        <v>474</v>
      </c>
      <c r="L72" s="3">
        <v>0.23653935185185185</v>
      </c>
      <c r="M72" s="3">
        <f t="shared" ref="M72:M80" si="1">F72 - L72</f>
        <v>3.5833333333333356E-2</v>
      </c>
      <c r="N72" s="3">
        <v>3.5995370370370372E-2</v>
      </c>
      <c r="O72" s="3" t="s">
        <v>319</v>
      </c>
    </row>
    <row r="73" spans="1:16" x14ac:dyDescent="0.2">
      <c r="A73" s="1">
        <v>2</v>
      </c>
      <c r="B73" s="1">
        <v>2.6</v>
      </c>
      <c r="C73" s="1">
        <v>1</v>
      </c>
      <c r="D73" s="1" t="s">
        <v>392</v>
      </c>
      <c r="E73" s="4">
        <v>45392</v>
      </c>
      <c r="F73" s="3">
        <v>0.25964120370370369</v>
      </c>
      <c r="G73" s="1">
        <v>5.79</v>
      </c>
      <c r="H73" s="7" t="s">
        <v>384</v>
      </c>
      <c r="K73" s="1" t="s">
        <v>501</v>
      </c>
      <c r="L73" s="3">
        <v>0.23417824074074073</v>
      </c>
      <c r="M73" s="3">
        <f t="shared" si="1"/>
        <v>2.5462962962962965E-2</v>
      </c>
      <c r="N73" s="3">
        <v>2.5810185185185186E-2</v>
      </c>
      <c r="O73" s="3" t="s">
        <v>319</v>
      </c>
    </row>
    <row r="74" spans="1:16" x14ac:dyDescent="0.2">
      <c r="A74" s="1">
        <v>2</v>
      </c>
      <c r="B74" s="1">
        <v>2.6</v>
      </c>
      <c r="C74" s="1">
        <v>1</v>
      </c>
      <c r="D74" s="1" t="s">
        <v>506</v>
      </c>
      <c r="E74" s="4">
        <v>45391</v>
      </c>
      <c r="F74" s="3">
        <v>0.77521990740740732</v>
      </c>
      <c r="G74" s="1">
        <v>0.307</v>
      </c>
      <c r="H74" s="7" t="s">
        <v>384</v>
      </c>
      <c r="K74" s="1" t="s">
        <v>498</v>
      </c>
      <c r="L74" s="3">
        <v>0.76300925925925922</v>
      </c>
      <c r="M74" s="3">
        <f t="shared" si="1"/>
        <v>1.2210648148148096E-2</v>
      </c>
      <c r="O74" s="3" t="s">
        <v>319</v>
      </c>
    </row>
    <row r="75" spans="1:16" x14ac:dyDescent="0.2">
      <c r="A75" s="1">
        <v>2</v>
      </c>
      <c r="B75" s="1">
        <v>2.6</v>
      </c>
      <c r="C75" s="1">
        <v>1</v>
      </c>
      <c r="D75" s="1" t="s">
        <v>305</v>
      </c>
      <c r="E75" s="4">
        <v>45387</v>
      </c>
      <c r="F75" s="3">
        <v>0.7795023148148148</v>
      </c>
      <c r="G75" s="1">
        <v>0.307</v>
      </c>
      <c r="H75" s="7" t="s">
        <v>384</v>
      </c>
      <c r="K75" s="1" t="s">
        <v>495</v>
      </c>
      <c r="L75" s="3">
        <v>0.76537037037037037</v>
      </c>
      <c r="M75" s="3">
        <f t="shared" si="1"/>
        <v>1.4131944444444433E-2</v>
      </c>
      <c r="N75" s="3">
        <v>1.4282407407407407E-2</v>
      </c>
      <c r="O75" s="3" t="s">
        <v>319</v>
      </c>
    </row>
    <row r="76" spans="1:16" x14ac:dyDescent="0.2">
      <c r="A76" s="1">
        <v>2</v>
      </c>
      <c r="B76" s="1">
        <v>2.6</v>
      </c>
      <c r="C76" s="1">
        <v>1</v>
      </c>
      <c r="D76" s="1" t="s">
        <v>327</v>
      </c>
      <c r="E76" s="4">
        <v>45390</v>
      </c>
      <c r="F76" s="3">
        <v>0.26424768518518515</v>
      </c>
      <c r="G76" s="1">
        <v>0.61099999999999999</v>
      </c>
      <c r="H76" s="7" t="s">
        <v>384</v>
      </c>
      <c r="K76" s="1" t="s">
        <v>486</v>
      </c>
      <c r="L76" s="3">
        <v>0.2351273148148148</v>
      </c>
      <c r="M76" s="3">
        <f t="shared" si="1"/>
        <v>2.9120370370370352E-2</v>
      </c>
      <c r="N76" s="3">
        <v>2.9328703703703704E-2</v>
      </c>
      <c r="O76" s="3" t="s">
        <v>319</v>
      </c>
    </row>
    <row r="77" spans="1:16" x14ac:dyDescent="0.2">
      <c r="A77" s="1">
        <v>2</v>
      </c>
      <c r="B77" s="1">
        <v>2.6</v>
      </c>
      <c r="C77" s="1">
        <v>1</v>
      </c>
      <c r="D77" s="1" t="s">
        <v>476</v>
      </c>
      <c r="E77" s="4">
        <v>45394</v>
      </c>
      <c r="F77" s="3">
        <v>0.76479166666666665</v>
      </c>
      <c r="G77" s="1">
        <v>7.26</v>
      </c>
      <c r="H77" s="7" t="s">
        <v>384</v>
      </c>
      <c r="K77" s="1" t="s">
        <v>517</v>
      </c>
      <c r="L77" s="3">
        <v>0.76234953703703701</v>
      </c>
      <c r="M77" s="3">
        <f t="shared" si="1"/>
        <v>2.4421296296296413E-3</v>
      </c>
      <c r="N77" s="3">
        <v>2.6967592592592594E-3</v>
      </c>
      <c r="O77" s="3" t="s">
        <v>319</v>
      </c>
    </row>
    <row r="78" spans="1:16" x14ac:dyDescent="0.2">
      <c r="A78" s="1">
        <v>2</v>
      </c>
      <c r="B78" s="1">
        <v>2.6</v>
      </c>
      <c r="C78" s="1">
        <v>1</v>
      </c>
      <c r="D78" s="1" t="s">
        <v>485</v>
      </c>
      <c r="E78" s="4">
        <v>45393</v>
      </c>
      <c r="F78" s="3">
        <v>0.25677083333333334</v>
      </c>
      <c r="G78" s="1">
        <v>2.78</v>
      </c>
      <c r="H78" s="7" t="s">
        <v>384</v>
      </c>
      <c r="K78" s="1" t="s">
        <v>518</v>
      </c>
      <c r="L78" s="3">
        <v>0.23177083333333334</v>
      </c>
      <c r="M78" s="3">
        <f t="shared" si="1"/>
        <v>2.4999999999999994E-2</v>
      </c>
      <c r="O78" s="3" t="s">
        <v>319</v>
      </c>
    </row>
    <row r="79" spans="1:16" x14ac:dyDescent="0.2">
      <c r="A79" s="1">
        <v>2</v>
      </c>
      <c r="B79" s="1">
        <v>2.6</v>
      </c>
      <c r="C79" s="1">
        <v>1</v>
      </c>
      <c r="D79" s="1" t="s">
        <v>484</v>
      </c>
      <c r="E79" s="4">
        <v>45393</v>
      </c>
      <c r="F79" s="3">
        <v>0.76993055555555556</v>
      </c>
      <c r="G79" s="1">
        <v>5.25</v>
      </c>
      <c r="H79" s="7" t="s">
        <v>384</v>
      </c>
      <c r="K79" s="1" t="s">
        <v>519</v>
      </c>
      <c r="L79" s="3">
        <v>0.75616898148148148</v>
      </c>
      <c r="M79" s="3">
        <f t="shared" si="1"/>
        <v>1.3761574074074079E-2</v>
      </c>
      <c r="O79" s="3" t="s">
        <v>319</v>
      </c>
    </row>
    <row r="80" spans="1:16" x14ac:dyDescent="0.2">
      <c r="A80" s="1">
        <v>2</v>
      </c>
      <c r="B80" s="1">
        <v>2.6</v>
      </c>
      <c r="C80" s="1">
        <v>1</v>
      </c>
      <c r="D80" s="1" t="s">
        <v>497</v>
      </c>
      <c r="E80" s="4">
        <v>45397</v>
      </c>
      <c r="F80" s="3">
        <v>0.26587962962962963</v>
      </c>
      <c r="G80" s="1">
        <v>21.2</v>
      </c>
      <c r="H80" s="7" t="s">
        <v>384</v>
      </c>
      <c r="K80" s="1" t="s">
        <v>520</v>
      </c>
      <c r="L80" s="3">
        <v>0.2303125</v>
      </c>
      <c r="M80" s="3">
        <f t="shared" si="1"/>
        <v>3.5567129629629629E-2</v>
      </c>
      <c r="N80" s="3">
        <v>3.6412037037037034E-2</v>
      </c>
      <c r="O80" s="3" t="s">
        <v>319</v>
      </c>
    </row>
  </sheetData>
  <sortState xmlns:xlrd2="http://schemas.microsoft.com/office/spreadsheetml/2017/richdata2" ref="A2:S67">
    <sortCondition ref="E2:E67"/>
  </sortState>
  <customSheetViews>
    <customSheetView guid="{8A75D892-44B4-104C-BB94-8EB0D0E43396}">
      <pane ySplit="1" topLeftCell="A48" activePane="bottomLeft" state="frozen"/>
      <selection pane="bottomLeft" activeCell="G73" sqref="G73"/>
      <pageMargins left="0.7" right="0.7" top="0.75" bottom="0.75" header="0.3" footer="0.3"/>
    </customSheetView>
  </customSheetViews>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E3306D-5BE5-1A46-90EE-F531333A2C2D}">
  <dimension ref="A1:V103"/>
  <sheetViews>
    <sheetView workbookViewId="0">
      <pane ySplit="1" topLeftCell="A2" activePane="bottomLeft" state="frozen"/>
      <selection pane="bottomLeft" activeCell="J34" sqref="J34"/>
    </sheetView>
  </sheetViews>
  <sheetFormatPr baseColWidth="10" defaultRowHeight="16" x14ac:dyDescent="0.2"/>
  <cols>
    <col min="1" max="7" width="10.83203125" style="1"/>
    <col min="8" max="11" width="18.5" style="1" customWidth="1"/>
    <col min="12" max="12" width="10.83203125" style="1"/>
    <col min="13" max="13" width="15.1640625" style="1" customWidth="1"/>
    <col min="14" max="14" width="18.5" style="1" customWidth="1"/>
    <col min="15" max="16384" width="10.83203125" style="1"/>
  </cols>
  <sheetData>
    <row r="1" spans="1:19" x14ac:dyDescent="0.2">
      <c r="A1" s="1" t="s">
        <v>70</v>
      </c>
      <c r="B1" s="1" t="s">
        <v>1</v>
      </c>
      <c r="C1" s="1" t="s">
        <v>16</v>
      </c>
      <c r="D1" s="1" t="s">
        <v>268</v>
      </c>
      <c r="E1" s="1" t="s">
        <v>267</v>
      </c>
      <c r="F1" s="1" t="s">
        <v>37</v>
      </c>
      <c r="G1" s="1" t="s">
        <v>7</v>
      </c>
      <c r="H1" s="1" t="s">
        <v>5</v>
      </c>
      <c r="I1" s="1" t="s">
        <v>419</v>
      </c>
      <c r="J1" s="1" t="s">
        <v>377</v>
      </c>
      <c r="K1" s="1" t="s">
        <v>445</v>
      </c>
      <c r="L1" s="1" t="s">
        <v>10</v>
      </c>
      <c r="M1" s="1" t="s">
        <v>71</v>
      </c>
      <c r="N1" s="1" t="s">
        <v>338</v>
      </c>
      <c r="O1" s="1" t="s">
        <v>162</v>
      </c>
      <c r="P1" s="1" t="s">
        <v>21</v>
      </c>
      <c r="S1" s="1" t="s">
        <v>100</v>
      </c>
    </row>
    <row r="2" spans="1:19" x14ac:dyDescent="0.2">
      <c r="A2" s="1">
        <v>1</v>
      </c>
      <c r="B2" s="1">
        <v>1.2</v>
      </c>
      <c r="C2" s="1">
        <v>1</v>
      </c>
      <c r="E2" s="1" t="s">
        <v>73</v>
      </c>
      <c r="F2" s="4">
        <v>45351</v>
      </c>
      <c r="G2" s="3">
        <v>0.78778935185185184</v>
      </c>
      <c r="H2" s="1">
        <v>4.9699999999999996E-3</v>
      </c>
      <c r="L2" s="3">
        <v>0.76006944444444446</v>
      </c>
      <c r="M2" s="3">
        <f>G2 - L2</f>
        <v>2.7719907407407374E-2</v>
      </c>
    </row>
    <row r="3" spans="1:19" x14ac:dyDescent="0.2">
      <c r="A3" s="1">
        <v>1</v>
      </c>
      <c r="B3" s="1">
        <v>1.2</v>
      </c>
      <c r="C3" s="1">
        <v>1</v>
      </c>
      <c r="E3" s="1" t="s">
        <v>72</v>
      </c>
      <c r="F3" s="4">
        <v>45352</v>
      </c>
      <c r="G3" s="3">
        <v>0.24906249999999999</v>
      </c>
      <c r="H3" s="1">
        <v>3.5300000000000002E-3</v>
      </c>
      <c r="L3" s="3">
        <v>0.22700231481481481</v>
      </c>
      <c r="M3" s="3">
        <f>G3 - L3</f>
        <v>2.2060185185185183E-2</v>
      </c>
    </row>
    <row r="4" spans="1:19" x14ac:dyDescent="0.2">
      <c r="A4" s="1">
        <v>1</v>
      </c>
      <c r="B4" s="1">
        <v>1.2</v>
      </c>
      <c r="C4" s="1">
        <v>2</v>
      </c>
      <c r="E4" s="1" t="s">
        <v>72</v>
      </c>
      <c r="F4" s="4">
        <v>45352</v>
      </c>
      <c r="G4" s="3">
        <v>0.27140046296296294</v>
      </c>
      <c r="H4" s="1">
        <v>1.7849999999999999</v>
      </c>
      <c r="L4" s="3">
        <v>0.22700231481481481</v>
      </c>
      <c r="M4" s="3">
        <f>G4 - L4</f>
        <v>4.4398148148148131E-2</v>
      </c>
    </row>
    <row r="5" spans="1:19" x14ac:dyDescent="0.2">
      <c r="A5" s="1">
        <v>1</v>
      </c>
      <c r="B5" s="1">
        <v>1.2</v>
      </c>
      <c r="C5" s="1">
        <v>1</v>
      </c>
      <c r="E5" s="1" t="s">
        <v>81</v>
      </c>
      <c r="F5" s="4">
        <v>45352</v>
      </c>
      <c r="G5" s="1" t="s">
        <v>27</v>
      </c>
      <c r="H5" s="1" t="s">
        <v>27</v>
      </c>
      <c r="L5" s="3">
        <v>0.75744212962962953</v>
      </c>
      <c r="M5" s="1" t="s">
        <v>27</v>
      </c>
    </row>
    <row r="6" spans="1:19" x14ac:dyDescent="0.2">
      <c r="A6" s="1">
        <v>1</v>
      </c>
      <c r="B6" s="1">
        <v>1.2</v>
      </c>
      <c r="C6" s="1">
        <v>1</v>
      </c>
      <c r="E6" s="4" t="s">
        <v>80</v>
      </c>
      <c r="F6" s="4">
        <v>45353</v>
      </c>
      <c r="G6" s="3">
        <v>0.25237268518518519</v>
      </c>
      <c r="H6" s="1">
        <v>1.39E-3</v>
      </c>
      <c r="L6" s="3">
        <v>0.22784722222222223</v>
      </c>
      <c r="M6" s="3">
        <f>G6 - L6</f>
        <v>2.4525462962962957E-2</v>
      </c>
    </row>
    <row r="7" spans="1:19" x14ac:dyDescent="0.2">
      <c r="A7" s="1" t="s">
        <v>27</v>
      </c>
      <c r="B7" s="1" t="s">
        <v>27</v>
      </c>
      <c r="C7" s="1" t="s">
        <v>27</v>
      </c>
      <c r="E7" s="1" t="s">
        <v>87</v>
      </c>
      <c r="F7" s="4">
        <v>45353</v>
      </c>
      <c r="G7" s="1" t="s">
        <v>27</v>
      </c>
      <c r="H7" s="1" t="s">
        <v>27</v>
      </c>
      <c r="L7" s="3">
        <v>0.76015046296296296</v>
      </c>
      <c r="M7" s="1" t="s">
        <v>27</v>
      </c>
      <c r="O7" s="1" t="s">
        <v>27</v>
      </c>
      <c r="P7" s="1" t="s">
        <v>86</v>
      </c>
    </row>
    <row r="8" spans="1:19" x14ac:dyDescent="0.2">
      <c r="A8" s="1">
        <v>1</v>
      </c>
      <c r="B8" s="1">
        <v>1.2</v>
      </c>
      <c r="C8" s="1">
        <v>1</v>
      </c>
      <c r="E8" s="1" t="s">
        <v>88</v>
      </c>
      <c r="F8" s="4">
        <v>45354</v>
      </c>
      <c r="G8" s="3">
        <v>0.25850694444444444</v>
      </c>
      <c r="H8" s="1">
        <v>2.0199999999999999E-2</v>
      </c>
      <c r="L8" s="3">
        <v>0.23024305555555555</v>
      </c>
      <c r="M8" s="3">
        <f>G8 - L8</f>
        <v>2.8263888888888894E-2</v>
      </c>
    </row>
    <row r="9" spans="1:19" x14ac:dyDescent="0.2">
      <c r="A9" s="1" t="s">
        <v>27</v>
      </c>
      <c r="B9" s="1" t="s">
        <v>27</v>
      </c>
      <c r="C9" s="1" t="s">
        <v>27</v>
      </c>
      <c r="E9" s="1" t="s">
        <v>92</v>
      </c>
      <c r="F9" s="4">
        <v>45354</v>
      </c>
      <c r="G9" s="1" t="s">
        <v>27</v>
      </c>
      <c r="H9" s="1" t="s">
        <v>27</v>
      </c>
      <c r="L9" s="3">
        <v>0.7471875</v>
      </c>
      <c r="M9" s="1" t="s">
        <v>27</v>
      </c>
      <c r="O9" s="1" t="s">
        <v>27</v>
      </c>
    </row>
    <row r="10" spans="1:19" x14ac:dyDescent="0.2">
      <c r="A10" s="1">
        <v>1</v>
      </c>
      <c r="B10" s="1">
        <v>1.2</v>
      </c>
      <c r="C10" s="1">
        <v>1</v>
      </c>
      <c r="E10" s="1" t="s">
        <v>93</v>
      </c>
      <c r="F10" s="4">
        <v>45355</v>
      </c>
      <c r="G10" s="3">
        <v>0.25762731481481482</v>
      </c>
      <c r="H10" s="1">
        <v>1.562E-2</v>
      </c>
      <c r="L10" s="3">
        <v>0.23173611111111111</v>
      </c>
      <c r="M10" s="3">
        <f>G10 - L10</f>
        <v>2.5891203703703708E-2</v>
      </c>
    </row>
    <row r="11" spans="1:19" x14ac:dyDescent="0.2">
      <c r="A11" s="1">
        <v>1</v>
      </c>
      <c r="B11" s="1">
        <v>1.2</v>
      </c>
      <c r="C11" s="1">
        <v>1</v>
      </c>
      <c r="E11" s="1" t="s">
        <v>97</v>
      </c>
      <c r="F11" s="4">
        <v>45355</v>
      </c>
      <c r="G11" s="3">
        <v>0.78077546296296285</v>
      </c>
      <c r="H11" s="1">
        <v>0.1085</v>
      </c>
      <c r="L11" s="3">
        <v>0.75074074074074071</v>
      </c>
      <c r="M11" s="3">
        <f>G11 - L11</f>
        <v>3.0034722222222143E-2</v>
      </c>
    </row>
    <row r="12" spans="1:19" x14ac:dyDescent="0.2">
      <c r="A12" s="1">
        <v>1</v>
      </c>
      <c r="B12" s="1">
        <v>1.2</v>
      </c>
      <c r="C12" s="1">
        <v>1</v>
      </c>
      <c r="E12" s="1" t="s">
        <v>103</v>
      </c>
      <c r="F12" s="4">
        <v>45356</v>
      </c>
      <c r="G12" s="3">
        <v>0.25917824074074075</v>
      </c>
      <c r="H12" s="1">
        <v>3.61E-2</v>
      </c>
      <c r="L12" s="3">
        <v>0.23202546296296298</v>
      </c>
      <c r="M12" s="3">
        <f>G12 - L12</f>
        <v>2.7152777777777776E-2</v>
      </c>
    </row>
    <row r="13" spans="1:19" x14ac:dyDescent="0.2">
      <c r="A13" s="1" t="s">
        <v>27</v>
      </c>
      <c r="B13" s="1" t="s">
        <v>27</v>
      </c>
      <c r="C13" s="1" t="s">
        <v>27</v>
      </c>
      <c r="E13" s="1" t="s">
        <v>120</v>
      </c>
      <c r="F13" s="4">
        <v>45357</v>
      </c>
      <c r="G13" s="1" t="s">
        <v>27</v>
      </c>
      <c r="H13" s="1" t="s">
        <v>27</v>
      </c>
      <c r="L13" s="3">
        <v>0.74782407407407403</v>
      </c>
      <c r="M13" s="1" t="s">
        <v>27</v>
      </c>
      <c r="O13" s="1" t="s">
        <v>27</v>
      </c>
      <c r="P13" s="1" t="s">
        <v>86</v>
      </c>
    </row>
    <row r="14" spans="1:19" x14ac:dyDescent="0.2">
      <c r="A14" s="1">
        <v>1</v>
      </c>
      <c r="B14" s="1">
        <v>1.2</v>
      </c>
      <c r="C14" s="1">
        <v>1</v>
      </c>
      <c r="D14" s="1" t="s">
        <v>114</v>
      </c>
      <c r="E14" s="1" t="s">
        <v>119</v>
      </c>
      <c r="F14" s="4">
        <v>45358</v>
      </c>
      <c r="G14" s="3">
        <v>0.25737268518518519</v>
      </c>
      <c r="H14" s="1">
        <v>2.6499999999999999E-2</v>
      </c>
      <c r="L14" s="3">
        <v>0.23011574074074073</v>
      </c>
      <c r="M14" s="3">
        <f t="shared" ref="M14:M25" si="0">G14 - L14</f>
        <v>2.7256944444444459E-2</v>
      </c>
    </row>
    <row r="15" spans="1:19" x14ac:dyDescent="0.2">
      <c r="A15" s="1">
        <v>1</v>
      </c>
      <c r="B15" s="1">
        <v>1.2</v>
      </c>
      <c r="C15" s="1">
        <v>1</v>
      </c>
      <c r="D15" s="1" t="s">
        <v>125</v>
      </c>
      <c r="E15" s="1" t="s">
        <v>127</v>
      </c>
      <c r="F15" s="4">
        <v>45358</v>
      </c>
      <c r="G15" s="3">
        <v>0.78069444444444447</v>
      </c>
      <c r="H15" s="1">
        <v>0.1134</v>
      </c>
      <c r="L15" s="3">
        <v>0.75884259259259268</v>
      </c>
      <c r="M15" s="3">
        <f t="shared" si="0"/>
        <v>2.1851851851851789E-2</v>
      </c>
    </row>
    <row r="16" spans="1:19" x14ac:dyDescent="0.2">
      <c r="A16" s="1">
        <v>1</v>
      </c>
      <c r="B16" s="1">
        <v>1.2</v>
      </c>
      <c r="C16" s="1" t="s">
        <v>121</v>
      </c>
      <c r="D16" s="1" t="s">
        <v>122</v>
      </c>
      <c r="E16" s="1" t="s">
        <v>128</v>
      </c>
      <c r="F16" s="4">
        <v>45359</v>
      </c>
      <c r="G16" s="3">
        <v>0.27071759259259259</v>
      </c>
      <c r="H16" s="1">
        <v>1.899</v>
      </c>
      <c r="L16" s="3">
        <v>0.23064814814814816</v>
      </c>
      <c r="M16" s="3">
        <f t="shared" si="0"/>
        <v>4.0069444444444435E-2</v>
      </c>
      <c r="P16" s="1" t="s">
        <v>129</v>
      </c>
    </row>
    <row r="17" spans="1:16" x14ac:dyDescent="0.2">
      <c r="A17" s="1">
        <v>1</v>
      </c>
      <c r="B17" s="1">
        <v>1.2</v>
      </c>
      <c r="C17" s="1">
        <v>1</v>
      </c>
      <c r="D17" s="1" t="s">
        <v>142</v>
      </c>
      <c r="E17" s="1" t="s">
        <v>178</v>
      </c>
      <c r="F17" s="4">
        <v>45359</v>
      </c>
      <c r="G17" s="3">
        <v>0.78964120370370372</v>
      </c>
      <c r="H17" s="1">
        <v>5.3499999999999997E-3</v>
      </c>
      <c r="L17" s="3">
        <v>0.73781249999999998</v>
      </c>
      <c r="M17" s="3">
        <f t="shared" si="0"/>
        <v>5.1828703703703738E-2</v>
      </c>
      <c r="O17" s="3">
        <v>5.185185185185185E-2</v>
      </c>
    </row>
    <row r="18" spans="1:16" x14ac:dyDescent="0.2">
      <c r="A18" s="1">
        <v>1</v>
      </c>
      <c r="B18" s="1">
        <v>1.2</v>
      </c>
      <c r="C18" s="1">
        <v>1</v>
      </c>
      <c r="D18" s="1" t="s">
        <v>139</v>
      </c>
      <c r="E18" s="1" t="s">
        <v>180</v>
      </c>
      <c r="F18" s="4">
        <v>45362</v>
      </c>
      <c r="G18" s="3">
        <v>0.25252314814814814</v>
      </c>
      <c r="H18" s="1">
        <v>2.5799999999999998E-3</v>
      </c>
      <c r="L18" s="3">
        <v>0.22348379629629631</v>
      </c>
      <c r="M18" s="3">
        <f t="shared" si="0"/>
        <v>2.903935185185183E-2</v>
      </c>
      <c r="O18" s="3">
        <v>2.9050925925925924E-2</v>
      </c>
    </row>
    <row r="19" spans="1:16" x14ac:dyDescent="0.2">
      <c r="A19" s="1">
        <v>1</v>
      </c>
      <c r="B19" s="1">
        <v>1.2</v>
      </c>
      <c r="C19" s="1">
        <v>2</v>
      </c>
      <c r="D19" s="1" t="s">
        <v>139</v>
      </c>
      <c r="E19" s="1" t="s">
        <v>180</v>
      </c>
      <c r="F19" s="4">
        <v>45362</v>
      </c>
      <c r="G19" s="3">
        <v>0.26149305555555558</v>
      </c>
      <c r="H19" s="1">
        <v>3.5999999999999997E-2</v>
      </c>
      <c r="L19" s="3">
        <v>0.22348379629629631</v>
      </c>
      <c r="M19" s="3">
        <f t="shared" si="0"/>
        <v>3.800925925925927E-2</v>
      </c>
      <c r="O19" s="3">
        <v>3.8090277777777778E-2</v>
      </c>
    </row>
    <row r="20" spans="1:16" x14ac:dyDescent="0.2">
      <c r="A20" s="1">
        <v>1</v>
      </c>
      <c r="B20" s="1">
        <v>1.2</v>
      </c>
      <c r="C20" s="1">
        <v>1</v>
      </c>
      <c r="D20" s="1" t="s">
        <v>138</v>
      </c>
      <c r="E20" s="1" t="s">
        <v>164</v>
      </c>
      <c r="F20" s="4">
        <v>45362</v>
      </c>
      <c r="G20" s="3">
        <v>0.78787037037037033</v>
      </c>
      <c r="H20" s="1">
        <v>2.9099999999999998E-3</v>
      </c>
      <c r="L20" s="3">
        <v>0.75906249999999997</v>
      </c>
      <c r="M20" s="3">
        <f t="shared" si="0"/>
        <v>2.8807870370370359E-2</v>
      </c>
    </row>
    <row r="21" spans="1:16" x14ac:dyDescent="0.2">
      <c r="A21" s="1">
        <v>1</v>
      </c>
      <c r="B21" s="1">
        <v>1.2</v>
      </c>
      <c r="C21" s="1">
        <v>1</v>
      </c>
      <c r="D21" s="1" t="s">
        <v>130</v>
      </c>
      <c r="E21" s="1" t="s">
        <v>161</v>
      </c>
      <c r="F21" s="4">
        <v>45363</v>
      </c>
      <c r="G21" s="3">
        <v>0.25710648148148146</v>
      </c>
      <c r="H21" s="1">
        <v>1.6039999999999999E-2</v>
      </c>
      <c r="L21" s="3">
        <v>0.22644675925925925</v>
      </c>
      <c r="M21" s="3">
        <f t="shared" si="0"/>
        <v>3.0659722222222213E-2</v>
      </c>
    </row>
    <row r="22" spans="1:16" x14ac:dyDescent="0.2">
      <c r="A22" s="1">
        <v>1</v>
      </c>
      <c r="B22" s="1">
        <v>1.2</v>
      </c>
      <c r="C22" s="1">
        <v>2</v>
      </c>
      <c r="D22" s="1" t="s">
        <v>130</v>
      </c>
      <c r="E22" s="1" t="s">
        <v>161</v>
      </c>
      <c r="F22" s="4">
        <v>45363</v>
      </c>
      <c r="G22" s="3">
        <v>0.2658449074074074</v>
      </c>
      <c r="H22" s="1">
        <v>0.52400000000000002</v>
      </c>
      <c r="L22" s="3">
        <v>0.22644675925925925</v>
      </c>
      <c r="M22" s="3">
        <f t="shared" si="0"/>
        <v>3.9398148148148154E-2</v>
      </c>
      <c r="O22" s="3">
        <v>3.923611111111111E-2</v>
      </c>
    </row>
    <row r="23" spans="1:16" x14ac:dyDescent="0.2">
      <c r="A23" s="1">
        <v>1</v>
      </c>
      <c r="B23" s="1">
        <v>1.2</v>
      </c>
      <c r="C23" s="1">
        <v>1</v>
      </c>
      <c r="D23" s="1" t="s">
        <v>136</v>
      </c>
      <c r="E23" s="1" t="s">
        <v>163</v>
      </c>
      <c r="F23" s="4">
        <v>45363</v>
      </c>
      <c r="G23" s="3">
        <v>0.77847222222222223</v>
      </c>
      <c r="H23" s="1">
        <v>9.2100000000000001E-2</v>
      </c>
      <c r="L23" s="3">
        <v>0.75655092592592588</v>
      </c>
      <c r="M23" s="3">
        <f t="shared" si="0"/>
        <v>2.1921296296296355E-2</v>
      </c>
      <c r="O23" s="3">
        <v>2.1770833333333333E-2</v>
      </c>
    </row>
    <row r="24" spans="1:16" x14ac:dyDescent="0.2">
      <c r="A24" s="1">
        <v>1</v>
      </c>
      <c r="B24" s="1">
        <v>1.2</v>
      </c>
      <c r="C24" s="1">
        <v>2</v>
      </c>
      <c r="D24" s="1" t="s">
        <v>136</v>
      </c>
      <c r="E24" s="1" t="s">
        <v>163</v>
      </c>
      <c r="F24" s="4">
        <v>45363</v>
      </c>
      <c r="G24" s="3">
        <v>0.7882986111111111</v>
      </c>
      <c r="H24" s="1">
        <v>1.763E-3</v>
      </c>
      <c r="L24" s="3">
        <v>0.75655092592592588</v>
      </c>
      <c r="M24" s="3">
        <f t="shared" si="0"/>
        <v>3.1747685185185226E-2</v>
      </c>
      <c r="O24" s="3">
        <v>3.1689814814814816E-2</v>
      </c>
    </row>
    <row r="25" spans="1:16" x14ac:dyDescent="0.2">
      <c r="A25" s="1">
        <v>1</v>
      </c>
      <c r="B25" s="1">
        <v>1.2</v>
      </c>
      <c r="C25" s="1">
        <v>1</v>
      </c>
      <c r="D25" s="1" t="s">
        <v>147</v>
      </c>
      <c r="E25" s="1" t="s">
        <v>181</v>
      </c>
      <c r="F25" s="4">
        <v>45364</v>
      </c>
      <c r="G25" s="3">
        <v>0.25965277777777779</v>
      </c>
      <c r="H25" s="1">
        <v>1.8499999999999999E-2</v>
      </c>
      <c r="L25" s="3">
        <v>0.2348611111111111</v>
      </c>
      <c r="M25" s="3">
        <f t="shared" si="0"/>
        <v>2.4791666666666684E-2</v>
      </c>
      <c r="O25" s="3">
        <v>2.3831018518518519E-2</v>
      </c>
    </row>
    <row r="26" spans="1:16" x14ac:dyDescent="0.2">
      <c r="A26" s="1">
        <v>1</v>
      </c>
      <c r="B26" s="1">
        <v>1.2</v>
      </c>
      <c r="C26" s="1">
        <v>1</v>
      </c>
      <c r="D26" s="1" t="s">
        <v>152</v>
      </c>
      <c r="E26" s="1" t="s">
        <v>183</v>
      </c>
      <c r="F26" s="4">
        <v>45364</v>
      </c>
      <c r="G26" s="3">
        <v>0.75667824074074075</v>
      </c>
      <c r="H26" s="1" t="s">
        <v>27</v>
      </c>
      <c r="L26" s="3">
        <v>0.76083333333333336</v>
      </c>
      <c r="M26" s="3" t="s">
        <v>27</v>
      </c>
      <c r="O26" s="1" t="s">
        <v>27</v>
      </c>
      <c r="P26" s="1" t="s">
        <v>184</v>
      </c>
    </row>
    <row r="27" spans="1:16" x14ac:dyDescent="0.2">
      <c r="A27" s="1">
        <v>1</v>
      </c>
      <c r="B27" s="1">
        <v>1.2</v>
      </c>
      <c r="C27" s="1">
        <v>2</v>
      </c>
      <c r="D27" s="1" t="s">
        <v>152</v>
      </c>
      <c r="E27" s="1" t="s">
        <v>183</v>
      </c>
      <c r="F27" s="4">
        <v>45364</v>
      </c>
      <c r="G27" s="3">
        <v>0.7806249999999999</v>
      </c>
      <c r="H27" s="1">
        <v>4.6199999999999998E-2</v>
      </c>
      <c r="L27" s="3">
        <v>0.76083333333333336</v>
      </c>
      <c r="M27" s="3">
        <f t="shared" ref="M27:M35" si="1">G27 - L27</f>
        <v>1.9791666666666541E-2</v>
      </c>
      <c r="O27" s="3">
        <v>1.9571759259259261E-2</v>
      </c>
    </row>
    <row r="28" spans="1:16" x14ac:dyDescent="0.2">
      <c r="A28" s="1">
        <v>1</v>
      </c>
      <c r="B28" s="1">
        <v>1.2</v>
      </c>
      <c r="C28" s="1">
        <v>1</v>
      </c>
      <c r="D28" s="1" t="s">
        <v>151</v>
      </c>
      <c r="E28" s="1" t="s">
        <v>185</v>
      </c>
      <c r="F28" s="4">
        <v>45365</v>
      </c>
      <c r="G28" s="3">
        <v>0.25800925925925927</v>
      </c>
      <c r="H28" s="1">
        <v>5.2499999999999998E-2</v>
      </c>
      <c r="L28" s="3">
        <v>0.23493055555555556</v>
      </c>
      <c r="M28" s="3">
        <f t="shared" si="1"/>
        <v>2.3078703703703712E-2</v>
      </c>
      <c r="O28" s="3">
        <v>2.3194444444444445E-2</v>
      </c>
    </row>
    <row r="29" spans="1:16" x14ac:dyDescent="0.2">
      <c r="A29" s="1">
        <v>1</v>
      </c>
      <c r="B29" s="1">
        <v>1.2</v>
      </c>
      <c r="C29" s="1">
        <v>1</v>
      </c>
      <c r="D29" s="1" t="s">
        <v>149</v>
      </c>
      <c r="E29" s="1" t="s">
        <v>186</v>
      </c>
      <c r="F29" s="4">
        <v>45365</v>
      </c>
      <c r="G29" s="3">
        <v>0.78318287037037038</v>
      </c>
      <c r="H29" s="1">
        <v>1.77E-2</v>
      </c>
      <c r="L29" s="3">
        <v>0.75518518518518518</v>
      </c>
      <c r="M29" s="3">
        <f t="shared" si="1"/>
        <v>2.7997685185185195E-2</v>
      </c>
      <c r="O29" s="3">
        <v>2.7719907407407408E-2</v>
      </c>
    </row>
    <row r="30" spans="1:16" x14ac:dyDescent="0.2">
      <c r="A30" s="1">
        <v>1</v>
      </c>
      <c r="B30" s="1">
        <v>1.2</v>
      </c>
      <c r="C30" s="1">
        <v>2</v>
      </c>
      <c r="D30" s="1" t="s">
        <v>149</v>
      </c>
      <c r="E30" s="1" t="s">
        <v>186</v>
      </c>
      <c r="F30" s="4">
        <v>45365</v>
      </c>
      <c r="G30" s="3">
        <v>0.79114583333333344</v>
      </c>
      <c r="H30" s="1">
        <v>8.6E-3</v>
      </c>
      <c r="L30" s="3">
        <v>0.75518518518518518</v>
      </c>
      <c r="M30" s="3">
        <f t="shared" si="1"/>
        <v>3.5960648148148255E-2</v>
      </c>
      <c r="O30" s="3">
        <v>3.5648148148148151E-2</v>
      </c>
      <c r="P30" s="1" t="s">
        <v>194</v>
      </c>
    </row>
    <row r="31" spans="1:16" x14ac:dyDescent="0.2">
      <c r="A31" s="1">
        <v>1</v>
      </c>
      <c r="B31" s="1">
        <v>1.2</v>
      </c>
      <c r="C31" s="1">
        <v>1</v>
      </c>
      <c r="D31" s="1" t="s">
        <v>155</v>
      </c>
      <c r="E31" s="1" t="s">
        <v>187</v>
      </c>
      <c r="F31" s="4">
        <v>45366</v>
      </c>
      <c r="G31" s="3">
        <v>0.25900462962962967</v>
      </c>
      <c r="H31" s="1">
        <v>6.08E-2</v>
      </c>
      <c r="L31" s="3">
        <v>0.23423611111111112</v>
      </c>
      <c r="M31" s="3">
        <f t="shared" si="1"/>
        <v>2.4768518518518551E-2</v>
      </c>
      <c r="O31" s="3">
        <v>2.4444444444444446E-2</v>
      </c>
    </row>
    <row r="32" spans="1:16" x14ac:dyDescent="0.2">
      <c r="A32" s="1">
        <v>1</v>
      </c>
      <c r="B32" s="1">
        <v>1.2</v>
      </c>
      <c r="C32" s="1">
        <v>2</v>
      </c>
      <c r="D32" s="1" t="s">
        <v>155</v>
      </c>
      <c r="E32" s="1" t="s">
        <v>187</v>
      </c>
      <c r="F32" s="4">
        <v>45366</v>
      </c>
      <c r="G32" s="3">
        <v>0.26502314814814815</v>
      </c>
      <c r="H32" s="1">
        <v>0.56100000000000005</v>
      </c>
      <c r="L32" s="3">
        <v>0.23423611111111112</v>
      </c>
      <c r="M32" s="3">
        <f t="shared" si="1"/>
        <v>3.0787037037037029E-2</v>
      </c>
      <c r="O32" s="3">
        <v>3.0497685185185187E-2</v>
      </c>
    </row>
    <row r="33" spans="1:22" x14ac:dyDescent="0.2">
      <c r="A33" s="1">
        <v>1</v>
      </c>
      <c r="B33" s="1">
        <v>1.2</v>
      </c>
      <c r="C33" s="1">
        <v>1</v>
      </c>
      <c r="D33" s="1" t="s">
        <v>156</v>
      </c>
      <c r="E33" s="1" t="s">
        <v>188</v>
      </c>
      <c r="F33" s="4">
        <v>45366</v>
      </c>
      <c r="G33" s="3">
        <v>0.7882986111111111</v>
      </c>
      <c r="H33" s="1">
        <v>1.3699999999999999E-3</v>
      </c>
      <c r="L33" s="3">
        <v>0.75768518518518524</v>
      </c>
      <c r="M33" s="3">
        <f t="shared" si="1"/>
        <v>3.0613425925925863E-2</v>
      </c>
      <c r="O33" s="3">
        <v>3.0243055555555554E-2</v>
      </c>
    </row>
    <row r="34" spans="1:22" x14ac:dyDescent="0.2">
      <c r="A34" s="1">
        <v>1</v>
      </c>
      <c r="B34" s="1">
        <v>1.2</v>
      </c>
      <c r="C34" s="1">
        <v>2</v>
      </c>
      <c r="D34" s="1" t="s">
        <v>158</v>
      </c>
      <c r="E34" s="1" t="s">
        <v>189</v>
      </c>
      <c r="F34" s="4">
        <v>45367</v>
      </c>
      <c r="G34" s="3">
        <v>0.25092592592592594</v>
      </c>
      <c r="H34" s="7">
        <v>0.159</v>
      </c>
      <c r="I34" s="7" t="s">
        <v>415</v>
      </c>
      <c r="J34" s="7">
        <v>5.0600000000000005E-4</v>
      </c>
      <c r="K34" s="7" t="s">
        <v>449</v>
      </c>
      <c r="L34" s="3">
        <v>0.2401851851851852</v>
      </c>
      <c r="M34" s="3">
        <f t="shared" si="1"/>
        <v>1.0740740740740745E-2</v>
      </c>
      <c r="O34" s="3">
        <v>1.0474537037037037E-2</v>
      </c>
    </row>
    <row r="35" spans="1:22" x14ac:dyDescent="0.2">
      <c r="A35" s="1">
        <v>1</v>
      </c>
      <c r="B35" s="1">
        <v>1.2</v>
      </c>
      <c r="C35" s="1">
        <v>1</v>
      </c>
      <c r="D35" s="1" t="s">
        <v>160</v>
      </c>
      <c r="E35" s="1" t="s">
        <v>190</v>
      </c>
      <c r="F35" s="4">
        <v>45367</v>
      </c>
      <c r="G35" s="3">
        <v>0.78707175925925921</v>
      </c>
      <c r="H35" s="1">
        <v>4.5900000000000003E-3</v>
      </c>
      <c r="L35" s="3">
        <v>0.75130787037037039</v>
      </c>
      <c r="M35" s="3">
        <f t="shared" si="1"/>
        <v>3.5763888888888817E-2</v>
      </c>
      <c r="O35" s="3">
        <v>3.5578703703703703E-2</v>
      </c>
      <c r="P35" s="1" t="s">
        <v>195</v>
      </c>
    </row>
    <row r="36" spans="1:22" x14ac:dyDescent="0.2">
      <c r="A36" s="1">
        <v>1</v>
      </c>
      <c r="B36" s="1">
        <v>1.2</v>
      </c>
      <c r="C36" s="1">
        <v>1</v>
      </c>
      <c r="D36" s="1" t="s">
        <v>158</v>
      </c>
      <c r="E36" s="1" t="s">
        <v>189</v>
      </c>
      <c r="F36" s="4">
        <v>45367</v>
      </c>
      <c r="G36" s="1" t="s">
        <v>27</v>
      </c>
      <c r="H36" s="1" t="s">
        <v>27</v>
      </c>
      <c r="L36" s="3">
        <v>0.2401851851851852</v>
      </c>
      <c r="M36" s="1" t="s">
        <v>27</v>
      </c>
      <c r="O36" s="1" t="s">
        <v>27</v>
      </c>
      <c r="P36" s="1" t="s">
        <v>192</v>
      </c>
    </row>
    <row r="37" spans="1:22" x14ac:dyDescent="0.2">
      <c r="A37" s="1">
        <v>1</v>
      </c>
      <c r="B37" s="1">
        <v>1.2</v>
      </c>
      <c r="C37" s="1">
        <v>3</v>
      </c>
      <c r="D37" s="1" t="s">
        <v>158</v>
      </c>
      <c r="E37" s="1" t="s">
        <v>189</v>
      </c>
      <c r="F37" s="4">
        <v>45367</v>
      </c>
      <c r="G37" s="1" t="s">
        <v>27</v>
      </c>
      <c r="H37" s="1" t="s">
        <v>27</v>
      </c>
      <c r="L37" s="3">
        <v>0.2401851851851852</v>
      </c>
      <c r="M37" s="1" t="s">
        <v>27</v>
      </c>
      <c r="O37" s="1" t="s">
        <v>27</v>
      </c>
      <c r="P37" s="1" t="s">
        <v>193</v>
      </c>
    </row>
    <row r="38" spans="1:22" x14ac:dyDescent="0.2">
      <c r="A38" s="1">
        <v>1</v>
      </c>
      <c r="B38" s="1">
        <v>1.2</v>
      </c>
      <c r="C38" s="1">
        <v>1</v>
      </c>
      <c r="D38" s="1" t="s">
        <v>165</v>
      </c>
      <c r="E38" s="1" t="s">
        <v>191</v>
      </c>
      <c r="F38" s="4">
        <v>45368</v>
      </c>
      <c r="G38" s="3">
        <v>0.25017361111111114</v>
      </c>
      <c r="H38" s="7">
        <v>1.1469999999999999E-2</v>
      </c>
      <c r="I38" s="1" t="s">
        <v>452</v>
      </c>
      <c r="L38" s="3">
        <v>0.23671296296296296</v>
      </c>
      <c r="M38" s="3">
        <f t="shared" ref="M38:M44" si="2">G38 - L38</f>
        <v>1.346064814814818E-2</v>
      </c>
      <c r="O38" s="3"/>
    </row>
    <row r="39" spans="1:22" x14ac:dyDescent="0.2">
      <c r="A39" s="1">
        <v>1</v>
      </c>
      <c r="B39" s="1">
        <v>1.2</v>
      </c>
      <c r="C39" s="1">
        <v>2</v>
      </c>
      <c r="D39" s="1" t="s">
        <v>165</v>
      </c>
      <c r="E39" s="1" t="s">
        <v>191</v>
      </c>
      <c r="F39" s="4">
        <v>45368</v>
      </c>
      <c r="G39" s="3">
        <v>0.26189814814814816</v>
      </c>
      <c r="H39" s="1">
        <v>0.39300000000000002</v>
      </c>
      <c r="L39" s="3">
        <v>0.23671296296296296</v>
      </c>
      <c r="M39" s="3">
        <f t="shared" si="2"/>
        <v>2.5185185185185199E-2</v>
      </c>
    </row>
    <row r="40" spans="1:22" x14ac:dyDescent="0.2">
      <c r="A40" s="1">
        <v>1</v>
      </c>
      <c r="B40" s="1">
        <v>1.2</v>
      </c>
      <c r="C40" s="1">
        <v>1</v>
      </c>
      <c r="D40" s="1" t="s">
        <v>171</v>
      </c>
      <c r="E40" s="1" t="s">
        <v>201</v>
      </c>
      <c r="F40" s="4">
        <v>45368</v>
      </c>
      <c r="G40" s="3">
        <v>0.78758101851851858</v>
      </c>
      <c r="H40" s="1">
        <v>1.14E-3</v>
      </c>
      <c r="L40" s="3">
        <v>0.75736111111111115</v>
      </c>
      <c r="M40" s="3">
        <f t="shared" si="2"/>
        <v>3.0219907407407431E-2</v>
      </c>
      <c r="O40" s="3">
        <v>2.9965277777777778E-2</v>
      </c>
      <c r="P40" s="1" t="s">
        <v>200</v>
      </c>
    </row>
    <row r="41" spans="1:22" x14ac:dyDescent="0.2">
      <c r="A41" s="1">
        <v>1</v>
      </c>
      <c r="B41" s="1">
        <v>1.2</v>
      </c>
      <c r="C41" s="1">
        <v>1</v>
      </c>
      <c r="D41" s="1" t="s">
        <v>170</v>
      </c>
      <c r="E41" s="1" t="s">
        <v>203</v>
      </c>
      <c r="F41" s="4">
        <v>45369</v>
      </c>
      <c r="G41" s="3">
        <v>0.24724537037037037</v>
      </c>
      <c r="H41" s="7">
        <v>6.7000000000000002E-3</v>
      </c>
      <c r="I41" s="1" t="s">
        <v>453</v>
      </c>
      <c r="L41" s="3">
        <v>0.2326388888888889</v>
      </c>
      <c r="M41" s="3">
        <f t="shared" si="2"/>
        <v>1.460648148148147E-2</v>
      </c>
      <c r="O41" s="3">
        <v>1.4201388888888888E-2</v>
      </c>
    </row>
    <row r="42" spans="1:22" x14ac:dyDescent="0.2">
      <c r="A42" s="1">
        <v>1</v>
      </c>
      <c r="B42" s="1">
        <v>1.2</v>
      </c>
      <c r="C42" s="1">
        <v>2</v>
      </c>
      <c r="D42" s="1" t="s">
        <v>170</v>
      </c>
      <c r="E42" s="1" t="s">
        <v>203</v>
      </c>
      <c r="F42" s="4">
        <v>45369</v>
      </c>
      <c r="G42" s="3">
        <v>0.25831018518518517</v>
      </c>
      <c r="H42" s="1">
        <v>4.9200000000000001E-2</v>
      </c>
      <c r="L42" s="3">
        <v>0.2326388888888889</v>
      </c>
      <c r="M42" s="3">
        <f t="shared" si="2"/>
        <v>2.5671296296296275E-2</v>
      </c>
      <c r="O42" s="3">
        <v>2.5266203703703704E-2</v>
      </c>
    </row>
    <row r="43" spans="1:22" s="7" customFormat="1" x14ac:dyDescent="0.2">
      <c r="A43" s="1">
        <v>1</v>
      </c>
      <c r="B43" s="1">
        <v>1.2</v>
      </c>
      <c r="C43" s="1">
        <v>1</v>
      </c>
      <c r="D43" s="1" t="s">
        <v>168</v>
      </c>
      <c r="E43" s="1" t="s">
        <v>205</v>
      </c>
      <c r="F43" s="4">
        <v>45369</v>
      </c>
      <c r="G43" s="3">
        <v>0.78405092592592596</v>
      </c>
      <c r="H43" s="7" t="s">
        <v>414</v>
      </c>
      <c r="I43" s="1" t="s">
        <v>217</v>
      </c>
      <c r="J43" s="1">
        <v>9.7699999999999992E-3</v>
      </c>
      <c r="K43" s="7" t="s">
        <v>451</v>
      </c>
      <c r="L43" s="3">
        <v>0.75791666666666668</v>
      </c>
      <c r="M43" s="3">
        <f t="shared" si="2"/>
        <v>2.6134259259259274E-2</v>
      </c>
      <c r="N43" s="1"/>
      <c r="O43" s="3">
        <v>2.5810185185185186E-2</v>
      </c>
      <c r="Q43" s="1"/>
      <c r="R43" s="1"/>
      <c r="S43" s="1"/>
      <c r="T43" s="1"/>
      <c r="U43" s="1"/>
      <c r="V43" s="1"/>
    </row>
    <row r="44" spans="1:22" x14ac:dyDescent="0.2">
      <c r="A44" s="1">
        <v>1</v>
      </c>
      <c r="B44" s="1">
        <v>1.2</v>
      </c>
      <c r="C44" s="1">
        <v>1</v>
      </c>
      <c r="D44" s="1" t="s">
        <v>166</v>
      </c>
      <c r="E44" s="1" t="s">
        <v>206</v>
      </c>
      <c r="F44" s="4">
        <v>45370</v>
      </c>
      <c r="G44" s="3">
        <v>0.26055555555555554</v>
      </c>
      <c r="H44" s="1">
        <v>5.8200000000000002E-2</v>
      </c>
      <c r="L44" s="3">
        <v>0.22921296296296295</v>
      </c>
      <c r="M44" s="3">
        <f t="shared" si="2"/>
        <v>3.1342592592592589E-2</v>
      </c>
      <c r="O44" s="3">
        <v>3.0844907407407408E-2</v>
      </c>
    </row>
    <row r="45" spans="1:22" x14ac:dyDescent="0.2">
      <c r="A45" s="1">
        <v>1</v>
      </c>
      <c r="B45" s="1">
        <v>1.2</v>
      </c>
      <c r="C45" s="1">
        <v>1</v>
      </c>
      <c r="D45" s="1" t="s">
        <v>197</v>
      </c>
      <c r="E45" s="1" t="s">
        <v>396</v>
      </c>
      <c r="F45" s="4">
        <v>45370</v>
      </c>
      <c r="G45" s="3" t="s">
        <v>27</v>
      </c>
      <c r="H45" s="1" t="s">
        <v>27</v>
      </c>
      <c r="L45" s="3" t="s">
        <v>397</v>
      </c>
      <c r="M45" s="1" t="s">
        <v>27</v>
      </c>
      <c r="O45" s="6" t="s">
        <v>27</v>
      </c>
      <c r="P45" s="1" t="s">
        <v>198</v>
      </c>
      <c r="U45" s="2"/>
      <c r="V45" s="2"/>
    </row>
    <row r="46" spans="1:22" x14ac:dyDescent="0.2">
      <c r="A46" s="1">
        <v>1</v>
      </c>
      <c r="B46" s="1">
        <v>1.2</v>
      </c>
      <c r="C46" s="1">
        <v>1</v>
      </c>
      <c r="D46" s="1" t="s">
        <v>210</v>
      </c>
      <c r="E46" s="1" t="s">
        <v>278</v>
      </c>
      <c r="F46" s="4">
        <v>45372</v>
      </c>
      <c r="G46" s="6">
        <v>0.26060185185185186</v>
      </c>
      <c r="H46" s="1">
        <v>0.22700000000000001</v>
      </c>
      <c r="L46" s="3">
        <v>0.22766203703703702</v>
      </c>
      <c r="M46" s="3">
        <f>G46 - L46</f>
        <v>3.2939814814814838E-2</v>
      </c>
      <c r="O46" s="3">
        <v>3.2384259259259258E-2</v>
      </c>
    </row>
    <row r="47" spans="1:22" x14ac:dyDescent="0.2">
      <c r="A47" s="1">
        <v>1</v>
      </c>
      <c r="B47" s="1">
        <v>1.2</v>
      </c>
      <c r="C47" s="1">
        <v>1</v>
      </c>
      <c r="D47" s="1" t="s">
        <v>224</v>
      </c>
      <c r="E47" s="4" t="s">
        <v>27</v>
      </c>
      <c r="F47" s="4">
        <v>45372</v>
      </c>
      <c r="G47" s="6">
        <v>0.77483796296296303</v>
      </c>
      <c r="H47" s="1" t="s">
        <v>27</v>
      </c>
      <c r="I47" s="1" t="s">
        <v>413</v>
      </c>
      <c r="J47" s="1">
        <v>0.54600000000000004</v>
      </c>
      <c r="K47" s="1" t="s">
        <v>456</v>
      </c>
      <c r="L47" s="1" t="s">
        <v>27</v>
      </c>
      <c r="M47" s="1" t="s">
        <v>27</v>
      </c>
      <c r="O47" s="1" t="s">
        <v>27</v>
      </c>
      <c r="P47" s="1" t="s">
        <v>271</v>
      </c>
    </row>
    <row r="48" spans="1:22" x14ac:dyDescent="0.2">
      <c r="A48" s="1">
        <v>1</v>
      </c>
      <c r="B48" s="1">
        <v>1.2</v>
      </c>
      <c r="C48" s="1">
        <v>2</v>
      </c>
      <c r="D48" s="1" t="s">
        <v>224</v>
      </c>
      <c r="E48" s="4" t="s">
        <v>27</v>
      </c>
      <c r="F48" s="4">
        <v>45372</v>
      </c>
      <c r="G48" s="6" t="s">
        <v>27</v>
      </c>
      <c r="H48" s="1" t="s">
        <v>27</v>
      </c>
      <c r="L48" s="1" t="s">
        <v>27</v>
      </c>
      <c r="M48" s="1" t="s">
        <v>27</v>
      </c>
      <c r="O48" s="1" t="s">
        <v>27</v>
      </c>
      <c r="P48" s="1" t="s">
        <v>274</v>
      </c>
    </row>
    <row r="49" spans="1:22" x14ac:dyDescent="0.2">
      <c r="A49" s="1">
        <v>1</v>
      </c>
      <c r="B49" s="1">
        <v>1.2</v>
      </c>
      <c r="C49" s="1">
        <v>1</v>
      </c>
      <c r="D49" s="1" t="s">
        <v>228</v>
      </c>
      <c r="E49" s="1" t="s">
        <v>261</v>
      </c>
      <c r="F49" s="4">
        <v>45373</v>
      </c>
      <c r="G49" s="6">
        <v>0.25677083333333334</v>
      </c>
      <c r="H49" s="1">
        <v>9.2299999999999993E-2</v>
      </c>
      <c r="L49" s="3">
        <v>0.22378472222222223</v>
      </c>
      <c r="M49" s="3">
        <f t="shared" ref="M49:M55" si="3">G49 - L49</f>
        <v>3.2986111111111105E-2</v>
      </c>
      <c r="O49" s="3">
        <v>3.2916666666666664E-2</v>
      </c>
      <c r="P49" s="1" t="s">
        <v>276</v>
      </c>
    </row>
    <row r="50" spans="1:22" x14ac:dyDescent="0.2">
      <c r="A50" s="1">
        <v>1</v>
      </c>
      <c r="B50" s="1">
        <v>1.2</v>
      </c>
      <c r="C50" s="1">
        <v>1</v>
      </c>
      <c r="D50" s="1" t="s">
        <v>229</v>
      </c>
      <c r="E50" s="1" t="s">
        <v>262</v>
      </c>
      <c r="F50" s="4">
        <v>45373</v>
      </c>
      <c r="G50" s="6">
        <v>0.77311342592592591</v>
      </c>
      <c r="H50" s="1">
        <v>0.54600000000000004</v>
      </c>
      <c r="L50" s="3">
        <v>0.75416666666666665</v>
      </c>
      <c r="M50" s="3">
        <f t="shared" si="3"/>
        <v>1.894675925925926E-2</v>
      </c>
      <c r="O50" s="3">
        <v>1.8692129629629628E-2</v>
      </c>
    </row>
    <row r="51" spans="1:22" x14ac:dyDescent="0.2">
      <c r="A51" s="1">
        <v>1</v>
      </c>
      <c r="B51" s="1">
        <v>1.2</v>
      </c>
      <c r="C51" s="1">
        <v>1</v>
      </c>
      <c r="D51" s="1" t="s">
        <v>231</v>
      </c>
      <c r="E51" s="1" t="s">
        <v>263</v>
      </c>
      <c r="F51" s="4">
        <v>45374</v>
      </c>
      <c r="G51" s="6">
        <v>0.25959490740740743</v>
      </c>
      <c r="H51" s="1">
        <v>0.24</v>
      </c>
      <c r="L51" s="3">
        <v>0.2399537037037037</v>
      </c>
      <c r="M51" s="3">
        <f t="shared" si="3"/>
        <v>1.964120370370373E-2</v>
      </c>
      <c r="O51" s="3">
        <v>1.9432870370370371E-2</v>
      </c>
    </row>
    <row r="52" spans="1:22" x14ac:dyDescent="0.2">
      <c r="A52" s="1">
        <v>1</v>
      </c>
      <c r="B52" s="1">
        <v>1.2</v>
      </c>
      <c r="C52" s="1">
        <v>2</v>
      </c>
      <c r="D52" s="1" t="s">
        <v>231</v>
      </c>
      <c r="E52" s="1" t="s">
        <v>263</v>
      </c>
      <c r="F52" s="4">
        <v>45374</v>
      </c>
      <c r="G52" s="6">
        <v>0.26443287037037039</v>
      </c>
      <c r="H52" s="1">
        <v>0.70799999999999996</v>
      </c>
      <c r="L52" s="3">
        <v>0.2399537037037037</v>
      </c>
      <c r="M52" s="3">
        <f t="shared" si="3"/>
        <v>2.4479166666666691E-2</v>
      </c>
      <c r="O52" s="3">
        <v>2.4270833333333332E-2</v>
      </c>
    </row>
    <row r="53" spans="1:22" x14ac:dyDescent="0.2">
      <c r="A53" s="1">
        <v>1</v>
      </c>
      <c r="B53" s="1">
        <v>1.2</v>
      </c>
      <c r="C53" s="1">
        <v>1</v>
      </c>
      <c r="D53" s="1" t="s">
        <v>234</v>
      </c>
      <c r="E53" s="1" t="s">
        <v>119</v>
      </c>
      <c r="F53" s="4">
        <v>45374</v>
      </c>
      <c r="G53" s="6">
        <v>0.77297453703703711</v>
      </c>
      <c r="H53" s="1">
        <v>0.85299999999999998</v>
      </c>
      <c r="L53" s="3">
        <v>0.75451388888888893</v>
      </c>
      <c r="M53" s="3">
        <f t="shared" si="3"/>
        <v>1.8460648148148184E-2</v>
      </c>
      <c r="O53" s="3">
        <v>1.8310185185185186E-2</v>
      </c>
    </row>
    <row r="54" spans="1:22" x14ac:dyDescent="0.2">
      <c r="A54" s="1">
        <v>1</v>
      </c>
      <c r="B54" s="1">
        <v>1.2</v>
      </c>
      <c r="C54" s="1">
        <v>2</v>
      </c>
      <c r="D54" s="1" t="s">
        <v>234</v>
      </c>
      <c r="E54" s="1" t="s">
        <v>119</v>
      </c>
      <c r="F54" s="4">
        <v>45374</v>
      </c>
      <c r="G54" s="6">
        <v>0.78350694444444446</v>
      </c>
      <c r="H54" s="1">
        <v>2.1899999999999999E-2</v>
      </c>
      <c r="L54" s="3">
        <v>0.75451388888888893</v>
      </c>
      <c r="M54" s="3">
        <f t="shared" si="3"/>
        <v>2.8993055555555536E-2</v>
      </c>
      <c r="O54" s="3">
        <v>2.8923611111111112E-2</v>
      </c>
    </row>
    <row r="55" spans="1:22" x14ac:dyDescent="0.2">
      <c r="A55" s="1">
        <v>1</v>
      </c>
      <c r="B55" s="1">
        <v>1.2</v>
      </c>
      <c r="C55" s="1">
        <v>1</v>
      </c>
      <c r="D55" s="1" t="s">
        <v>237</v>
      </c>
      <c r="E55" s="1" t="s">
        <v>264</v>
      </c>
      <c r="F55" s="4">
        <v>45375</v>
      </c>
      <c r="G55" s="6">
        <v>0.26059027777777777</v>
      </c>
      <c r="H55" s="1">
        <v>0.378</v>
      </c>
      <c r="L55" s="3">
        <v>0.23355324074074074</v>
      </c>
      <c r="M55" s="3">
        <f t="shared" si="3"/>
        <v>2.7037037037037026E-2</v>
      </c>
      <c r="O55" s="3">
        <v>2.6793981481481481E-2</v>
      </c>
    </row>
    <row r="56" spans="1:22" x14ac:dyDescent="0.2">
      <c r="A56" s="1">
        <v>1</v>
      </c>
      <c r="B56" s="1">
        <v>1.2</v>
      </c>
      <c r="C56" s="1">
        <v>2</v>
      </c>
      <c r="D56" s="1" t="s">
        <v>237</v>
      </c>
      <c r="E56" s="1" t="s">
        <v>264</v>
      </c>
      <c r="F56" s="4">
        <v>45375</v>
      </c>
      <c r="G56" s="6" t="s">
        <v>27</v>
      </c>
      <c r="H56" s="1" t="s">
        <v>27</v>
      </c>
      <c r="L56" s="3">
        <v>0.23355324074074074</v>
      </c>
      <c r="M56" s="1" t="s">
        <v>27</v>
      </c>
      <c r="O56" s="1" t="s">
        <v>27</v>
      </c>
      <c r="P56" s="1" t="s">
        <v>272</v>
      </c>
    </row>
    <row r="57" spans="1:22" x14ac:dyDescent="0.2">
      <c r="A57" s="1">
        <v>1</v>
      </c>
      <c r="B57" s="1">
        <v>1.2</v>
      </c>
      <c r="C57" s="1">
        <v>1</v>
      </c>
      <c r="D57" s="1" t="s">
        <v>248</v>
      </c>
      <c r="E57" s="1" t="s">
        <v>127</v>
      </c>
      <c r="F57" s="4">
        <v>45375</v>
      </c>
      <c r="G57" s="6">
        <v>0.7900462962962963</v>
      </c>
      <c r="H57" s="1">
        <v>6.8999999999999997E-4</v>
      </c>
      <c r="L57" s="3">
        <v>0.74961805555555561</v>
      </c>
      <c r="M57" s="3">
        <f>G57 - L57</f>
        <v>4.0428240740740695E-2</v>
      </c>
      <c r="O57" s="1" t="s">
        <v>27</v>
      </c>
      <c r="P57" s="1" t="s">
        <v>275</v>
      </c>
    </row>
    <row r="58" spans="1:22" x14ac:dyDescent="0.2">
      <c r="A58" s="1">
        <v>1</v>
      </c>
      <c r="B58" s="1">
        <v>1.2</v>
      </c>
      <c r="C58" s="1">
        <v>1</v>
      </c>
      <c r="D58" s="1" t="s">
        <v>355</v>
      </c>
      <c r="E58" s="1" t="s">
        <v>266</v>
      </c>
      <c r="F58" s="4">
        <v>45376</v>
      </c>
      <c r="G58" s="6">
        <v>0.78878472222222218</v>
      </c>
      <c r="H58" s="1">
        <v>9.3000000000000005E-4</v>
      </c>
      <c r="L58" s="3">
        <v>0.75342592592592594</v>
      </c>
      <c r="M58" s="3">
        <f>G58 - L58</f>
        <v>3.5358796296296235E-2</v>
      </c>
      <c r="O58" s="3">
        <v>3.5474537037037034E-2</v>
      </c>
    </row>
    <row r="59" spans="1:22" x14ac:dyDescent="0.2">
      <c r="A59" s="1">
        <v>1</v>
      </c>
      <c r="B59" s="1">
        <v>1.2</v>
      </c>
      <c r="C59" s="1">
        <v>1</v>
      </c>
      <c r="D59" s="1" t="s">
        <v>249</v>
      </c>
      <c r="E59" s="1" t="s">
        <v>265</v>
      </c>
      <c r="F59" s="4">
        <v>45376</v>
      </c>
      <c r="G59" s="6">
        <v>0.2697222222222222</v>
      </c>
      <c r="H59" s="1">
        <v>3.56</v>
      </c>
      <c r="L59" s="3">
        <v>0.23734953703703704</v>
      </c>
      <c r="M59" s="3">
        <f>G59 - L59</f>
        <v>3.2372685185185157E-2</v>
      </c>
      <c r="O59" s="3">
        <v>3.2569444444444443E-2</v>
      </c>
      <c r="P59" s="3"/>
    </row>
    <row r="60" spans="1:22" x14ac:dyDescent="0.2">
      <c r="A60" s="1">
        <v>1</v>
      </c>
      <c r="B60" s="1">
        <v>1.2</v>
      </c>
      <c r="C60" s="1" t="s">
        <v>27</v>
      </c>
      <c r="D60" s="1" t="s">
        <v>27</v>
      </c>
      <c r="E60" s="1" t="s">
        <v>27</v>
      </c>
      <c r="F60" s="4">
        <v>45377</v>
      </c>
      <c r="G60" s="6" t="s">
        <v>27</v>
      </c>
      <c r="H60" s="1" t="s">
        <v>27</v>
      </c>
      <c r="L60" s="1" t="s">
        <v>27</v>
      </c>
      <c r="M60" s="1" t="s">
        <v>27</v>
      </c>
      <c r="O60" s="1" t="s">
        <v>27</v>
      </c>
      <c r="P60" s="1" t="s">
        <v>273</v>
      </c>
    </row>
    <row r="61" spans="1:22" x14ac:dyDescent="0.2">
      <c r="A61" s="1">
        <v>1</v>
      </c>
      <c r="B61" s="1">
        <v>1.2</v>
      </c>
      <c r="C61" s="1">
        <v>1</v>
      </c>
      <c r="D61" s="1" t="s">
        <v>253</v>
      </c>
      <c r="E61" s="1" t="s">
        <v>128</v>
      </c>
      <c r="F61" s="4">
        <v>45377</v>
      </c>
      <c r="G61" s="6">
        <v>0.25787037037037036</v>
      </c>
      <c r="H61" s="1">
        <v>0.251</v>
      </c>
      <c r="L61" s="3">
        <v>0.23350694444444445</v>
      </c>
      <c r="M61" s="3">
        <f t="shared" ref="M61:M73" si="4">G61 - L61</f>
        <v>2.4363425925925913E-2</v>
      </c>
      <c r="O61" s="3">
        <v>2.4108796296296295E-2</v>
      </c>
    </row>
    <row r="62" spans="1:22" x14ac:dyDescent="0.2">
      <c r="A62" s="1">
        <v>1</v>
      </c>
      <c r="B62" s="1">
        <v>1.2</v>
      </c>
      <c r="C62" s="1">
        <v>2</v>
      </c>
      <c r="D62" s="1" t="s">
        <v>253</v>
      </c>
      <c r="E62" s="1" t="s">
        <v>128</v>
      </c>
      <c r="F62" s="4">
        <v>45377</v>
      </c>
      <c r="G62" s="6">
        <v>0.27064814814814814</v>
      </c>
      <c r="H62" s="1">
        <v>5.0199999999999996</v>
      </c>
      <c r="L62" s="3">
        <v>0.23350694444444445</v>
      </c>
      <c r="M62" s="3">
        <f t="shared" si="4"/>
        <v>3.714120370370369E-2</v>
      </c>
      <c r="O62" s="3">
        <v>3.6851851851851851E-2</v>
      </c>
    </row>
    <row r="63" spans="1:22" s="7" customFormat="1" ht="15" customHeight="1" x14ac:dyDescent="0.2">
      <c r="A63" s="1">
        <v>1</v>
      </c>
      <c r="B63" s="1">
        <v>1.2</v>
      </c>
      <c r="C63" s="1">
        <v>1</v>
      </c>
      <c r="D63" s="1" t="s">
        <v>256</v>
      </c>
      <c r="E63" s="1" t="s">
        <v>420</v>
      </c>
      <c r="F63" s="4">
        <v>45378</v>
      </c>
      <c r="G63" s="6">
        <v>0.25310185185185186</v>
      </c>
      <c r="H63" s="7">
        <v>3.6400000000000002E-2</v>
      </c>
      <c r="I63" s="1" t="s">
        <v>454</v>
      </c>
      <c r="L63" s="3">
        <v>0.23856481481481481</v>
      </c>
      <c r="M63" s="3">
        <f t="shared" si="4"/>
        <v>1.4537037037037043E-2</v>
      </c>
      <c r="N63" s="1"/>
      <c r="O63" s="3">
        <v>1.425925925925926E-2</v>
      </c>
      <c r="Q63" s="1"/>
      <c r="R63" s="1"/>
      <c r="S63" s="1"/>
      <c r="T63" s="1"/>
      <c r="U63" s="1"/>
      <c r="V63" s="1"/>
    </row>
    <row r="64" spans="1:22" s="7" customFormat="1" x14ac:dyDescent="0.2">
      <c r="A64" s="1">
        <v>1</v>
      </c>
      <c r="B64" s="1">
        <v>1.2</v>
      </c>
      <c r="C64" s="1">
        <v>1</v>
      </c>
      <c r="D64" s="1" t="s">
        <v>298</v>
      </c>
      <c r="E64" s="1" t="s">
        <v>299</v>
      </c>
      <c r="F64" s="4">
        <v>45378</v>
      </c>
      <c r="G64" s="6">
        <v>0.78462962962962968</v>
      </c>
      <c r="H64" s="1">
        <v>6.28E-3</v>
      </c>
      <c r="I64" s="1"/>
      <c r="J64" s="1"/>
      <c r="K64" s="1"/>
      <c r="L64" s="3">
        <v>0.75918981481481485</v>
      </c>
      <c r="M64" s="3">
        <f t="shared" si="4"/>
        <v>2.5439814814814832E-2</v>
      </c>
      <c r="N64" s="1"/>
      <c r="O64" s="6">
        <v>2.5196759259259259E-2</v>
      </c>
      <c r="P64" s="1"/>
      <c r="Q64" s="5"/>
      <c r="R64" s="1"/>
      <c r="S64" s="1"/>
      <c r="T64" s="1"/>
      <c r="U64" s="1"/>
      <c r="V64" s="1"/>
    </row>
    <row r="65" spans="1:22" s="7" customFormat="1" x14ac:dyDescent="0.2">
      <c r="A65" s="7">
        <v>1</v>
      </c>
      <c r="B65" s="7">
        <v>1.2</v>
      </c>
      <c r="C65" s="7">
        <v>1</v>
      </c>
      <c r="D65" s="7" t="s">
        <v>282</v>
      </c>
      <c r="E65" s="7" t="s">
        <v>407</v>
      </c>
      <c r="F65" s="9">
        <v>45379</v>
      </c>
      <c r="G65" s="10">
        <v>0.24640046296296297</v>
      </c>
      <c r="H65" s="7" t="s">
        <v>410</v>
      </c>
      <c r="I65" s="7" t="s">
        <v>409</v>
      </c>
      <c r="J65" s="7">
        <v>1.2869999999999999E-2</v>
      </c>
      <c r="K65" s="7" t="s">
        <v>450</v>
      </c>
      <c r="L65" s="8">
        <v>0.23756944444444444</v>
      </c>
      <c r="M65" s="8">
        <f t="shared" si="4"/>
        <v>8.8310185185185297E-3</v>
      </c>
      <c r="O65" s="6">
        <v>8.5416666666666662E-3</v>
      </c>
    </row>
    <row r="66" spans="1:22" s="7" customFormat="1" x14ac:dyDescent="0.2">
      <c r="A66" s="7">
        <v>1</v>
      </c>
      <c r="B66" s="7">
        <v>1.2</v>
      </c>
      <c r="C66" s="7">
        <v>2</v>
      </c>
      <c r="D66" s="7" t="s">
        <v>282</v>
      </c>
      <c r="E66" s="7" t="s">
        <v>407</v>
      </c>
      <c r="F66" s="9">
        <v>45379</v>
      </c>
      <c r="G66" s="10">
        <v>0.25540509259259259</v>
      </c>
      <c r="H66" s="7" t="s">
        <v>411</v>
      </c>
      <c r="I66" s="7" t="s">
        <v>409</v>
      </c>
      <c r="J66" s="7">
        <v>0.14929999999999999</v>
      </c>
      <c r="K66" s="7" t="s">
        <v>449</v>
      </c>
      <c r="L66" s="8">
        <v>0.23756944444444444</v>
      </c>
      <c r="M66" s="8">
        <f t="shared" si="4"/>
        <v>1.7835648148148142E-2</v>
      </c>
      <c r="O66" s="6">
        <v>1.7824074074074076E-2</v>
      </c>
      <c r="Q66" s="11"/>
      <c r="V66" s="13"/>
    </row>
    <row r="67" spans="1:22" s="7" customFormat="1" x14ac:dyDescent="0.2">
      <c r="A67" s="7">
        <v>1</v>
      </c>
      <c r="B67" s="7">
        <v>1.2</v>
      </c>
      <c r="C67" s="7">
        <v>3</v>
      </c>
      <c r="D67" s="7" t="s">
        <v>282</v>
      </c>
      <c r="E67" s="7" t="s">
        <v>407</v>
      </c>
      <c r="F67" s="9">
        <v>45379</v>
      </c>
      <c r="G67" s="10">
        <v>0.26923611111111112</v>
      </c>
      <c r="H67" s="7">
        <v>3.83</v>
      </c>
      <c r="L67" s="8">
        <v>0.23756944444444444</v>
      </c>
      <c r="M67" s="8">
        <f t="shared" si="4"/>
        <v>3.1666666666666676E-2</v>
      </c>
      <c r="O67" s="6">
        <v>3.1296296296296294E-2</v>
      </c>
      <c r="P67" s="7" t="s">
        <v>409</v>
      </c>
      <c r="Q67" s="11"/>
      <c r="V67" s="13"/>
    </row>
    <row r="68" spans="1:22" x14ac:dyDescent="0.2">
      <c r="A68" s="1">
        <v>1</v>
      </c>
      <c r="B68" s="1">
        <v>1.2</v>
      </c>
      <c r="C68" s="1">
        <v>1</v>
      </c>
      <c r="D68" s="1" t="s">
        <v>293</v>
      </c>
      <c r="E68" s="1" t="s">
        <v>408</v>
      </c>
      <c r="F68" s="4">
        <v>45379</v>
      </c>
      <c r="G68" s="6">
        <v>0.78693287037037041</v>
      </c>
      <c r="H68" s="7" t="s">
        <v>405</v>
      </c>
      <c r="I68" s="7" t="s">
        <v>404</v>
      </c>
      <c r="J68" s="7">
        <v>6.5199999999999998E-3</v>
      </c>
      <c r="K68" s="7" t="s">
        <v>447</v>
      </c>
      <c r="L68" s="3">
        <v>0.76531249999999995</v>
      </c>
      <c r="M68" s="3">
        <f t="shared" si="4"/>
        <v>2.1620370370370456E-2</v>
      </c>
      <c r="N68" s="7"/>
      <c r="O68" s="6">
        <v>2.2372685185185186E-2</v>
      </c>
      <c r="R68" s="7"/>
      <c r="S68" s="7"/>
      <c r="T68" s="7"/>
      <c r="U68" s="7"/>
      <c r="V68" s="13"/>
    </row>
    <row r="69" spans="1:22" x14ac:dyDescent="0.2">
      <c r="A69" s="1">
        <v>1</v>
      </c>
      <c r="B69" s="1">
        <v>1.2</v>
      </c>
      <c r="C69" s="1">
        <v>1</v>
      </c>
      <c r="D69" s="1" t="s">
        <v>297</v>
      </c>
      <c r="E69" s="1" t="s">
        <v>303</v>
      </c>
      <c r="F69" s="4">
        <v>45380</v>
      </c>
      <c r="G69" s="6">
        <v>0.25002314814814813</v>
      </c>
      <c r="H69" s="1">
        <v>1.0630000000000001E-2</v>
      </c>
      <c r="L69" s="3">
        <v>0.2282986111111111</v>
      </c>
      <c r="M69" s="3">
        <f t="shared" si="4"/>
        <v>2.1724537037037028E-2</v>
      </c>
      <c r="O69" s="6">
        <v>2.1458333333333333E-2</v>
      </c>
      <c r="P69" s="1" t="s">
        <v>403</v>
      </c>
      <c r="Q69" s="5"/>
    </row>
    <row r="70" spans="1:22" x14ac:dyDescent="0.2">
      <c r="A70" s="1">
        <v>1</v>
      </c>
      <c r="B70" s="1">
        <v>1.2</v>
      </c>
      <c r="C70" s="1">
        <v>2</v>
      </c>
      <c r="D70" s="1" t="s">
        <v>297</v>
      </c>
      <c r="E70" s="1" t="s">
        <v>303</v>
      </c>
      <c r="F70" s="4">
        <v>45380</v>
      </c>
      <c r="G70" s="6">
        <v>0.26598379629629632</v>
      </c>
      <c r="H70" s="1">
        <v>1.5820000000000001</v>
      </c>
      <c r="L70" s="3">
        <v>0.2282986111111111</v>
      </c>
      <c r="M70" s="3">
        <f t="shared" si="4"/>
        <v>3.768518518518521E-2</v>
      </c>
      <c r="O70" s="6">
        <v>3.7384259259259256E-2</v>
      </c>
      <c r="P70" s="1" t="s">
        <v>402</v>
      </c>
      <c r="Q70" s="5"/>
    </row>
    <row r="71" spans="1:22" x14ac:dyDescent="0.2">
      <c r="A71" s="1">
        <v>1</v>
      </c>
      <c r="B71" s="1">
        <v>1.2</v>
      </c>
      <c r="C71" s="1">
        <v>1</v>
      </c>
      <c r="D71" s="1" t="s">
        <v>305</v>
      </c>
      <c r="E71" s="1" t="s">
        <v>306</v>
      </c>
      <c r="F71" s="4">
        <v>45380</v>
      </c>
      <c r="G71" s="6">
        <v>0.78753472222222221</v>
      </c>
      <c r="H71" s="1">
        <v>5.5900000000000004E-3</v>
      </c>
      <c r="L71" s="3">
        <v>0.77248842592592593</v>
      </c>
      <c r="M71" s="3">
        <f t="shared" si="4"/>
        <v>1.504629629629628E-2</v>
      </c>
      <c r="O71" s="3">
        <v>1.4780092592592593E-2</v>
      </c>
      <c r="Q71" s="5"/>
      <c r="V71" s="2"/>
    </row>
    <row r="72" spans="1:22" s="7" customFormat="1" x14ac:dyDescent="0.2">
      <c r="A72" s="1">
        <v>1</v>
      </c>
      <c r="B72" s="1">
        <v>1.2</v>
      </c>
      <c r="C72" s="1">
        <v>1</v>
      </c>
      <c r="D72" s="1" t="s">
        <v>307</v>
      </c>
      <c r="E72" s="1" t="s">
        <v>317</v>
      </c>
      <c r="F72" s="4">
        <v>45381</v>
      </c>
      <c r="G72" s="6">
        <v>0.26030092592592591</v>
      </c>
      <c r="H72" s="7">
        <v>2.4500000000000002</v>
      </c>
      <c r="I72" s="7" t="s">
        <v>443</v>
      </c>
      <c r="J72" s="20">
        <f>( H72 * (1.004*10^-6)) / (1.081*10^-5)</f>
        <v>0.22754856614246069</v>
      </c>
      <c r="K72" s="20" t="s">
        <v>446</v>
      </c>
      <c r="L72" s="3">
        <v>0.2303125</v>
      </c>
      <c r="M72" s="3">
        <f t="shared" si="4"/>
        <v>2.9988425925925905E-2</v>
      </c>
      <c r="N72" s="7" t="s">
        <v>329</v>
      </c>
      <c r="O72" s="10">
        <v>2.9664351851851851E-2</v>
      </c>
      <c r="Q72" s="11" t="s">
        <v>310</v>
      </c>
      <c r="V72" s="13"/>
    </row>
    <row r="73" spans="1:22" x14ac:dyDescent="0.2">
      <c r="A73" s="1">
        <v>1</v>
      </c>
      <c r="B73" s="1">
        <v>1.2</v>
      </c>
      <c r="C73" s="1">
        <v>1</v>
      </c>
      <c r="D73" s="1" t="s">
        <v>308</v>
      </c>
      <c r="E73" s="1" t="s">
        <v>309</v>
      </c>
      <c r="F73" s="4">
        <v>45381</v>
      </c>
      <c r="G73" s="6">
        <v>0.78467592592592594</v>
      </c>
      <c r="H73" s="7">
        <v>5.0099999999999999E-2</v>
      </c>
      <c r="I73" s="7" t="s">
        <v>442</v>
      </c>
      <c r="J73" s="20">
        <f>( H73 * (1.004*10^-6)) / (1.081*10^-5)</f>
        <v>4.6531359851988904E-3</v>
      </c>
      <c r="K73" s="20" t="s">
        <v>446</v>
      </c>
      <c r="L73" s="3">
        <v>0.75232638888888892</v>
      </c>
      <c r="M73" s="3">
        <f t="shared" si="4"/>
        <v>3.2349537037037024E-2</v>
      </c>
      <c r="N73" s="1" t="s">
        <v>330</v>
      </c>
      <c r="O73" s="3">
        <v>3.2141203703703707E-2</v>
      </c>
    </row>
    <row r="74" spans="1:22" x14ac:dyDescent="0.2">
      <c r="A74" s="1">
        <v>1</v>
      </c>
      <c r="B74" s="1">
        <v>1.2</v>
      </c>
      <c r="C74" s="1" t="s">
        <v>27</v>
      </c>
      <c r="D74" s="1" t="s">
        <v>27</v>
      </c>
      <c r="E74" s="1" t="s">
        <v>27</v>
      </c>
      <c r="F74" s="4">
        <v>45382</v>
      </c>
      <c r="G74" s="6" t="s">
        <v>27</v>
      </c>
      <c r="H74" s="1" t="s">
        <v>27</v>
      </c>
      <c r="L74" s="3" t="s">
        <v>27</v>
      </c>
      <c r="M74" s="3" t="s">
        <v>27</v>
      </c>
      <c r="O74" s="3"/>
      <c r="P74" s="1" t="s">
        <v>382</v>
      </c>
    </row>
    <row r="75" spans="1:22" s="7" customFormat="1" x14ac:dyDescent="0.2">
      <c r="A75" s="7">
        <v>1</v>
      </c>
      <c r="B75" s="7">
        <v>1.2</v>
      </c>
      <c r="C75" s="7">
        <v>1</v>
      </c>
      <c r="D75" s="7" t="s">
        <v>327</v>
      </c>
      <c r="E75" s="7" t="s">
        <v>321</v>
      </c>
      <c r="F75" s="9">
        <v>45382</v>
      </c>
      <c r="G75" s="10">
        <v>0.79083333333333328</v>
      </c>
      <c r="H75" s="7" t="s">
        <v>334</v>
      </c>
      <c r="I75" s="11" t="s">
        <v>455</v>
      </c>
      <c r="J75" s="21">
        <f>(0.00477* (1.004*10^-6)) / (1.081*10^-5)</f>
        <v>4.4302312673450507E-4</v>
      </c>
      <c r="K75" s="7" t="s">
        <v>448</v>
      </c>
      <c r="L75" s="8">
        <v>0.75362268518518516</v>
      </c>
      <c r="M75" s="8">
        <f>G75 - L75</f>
        <v>3.7210648148148118E-2</v>
      </c>
      <c r="N75" s="7" t="s">
        <v>319</v>
      </c>
      <c r="O75" s="8">
        <v>3.6944444444444446E-2</v>
      </c>
      <c r="T75" s="13"/>
      <c r="U75" s="13"/>
    </row>
    <row r="76" spans="1:22" x14ac:dyDescent="0.2">
      <c r="A76" s="1">
        <v>1</v>
      </c>
      <c r="B76" s="1">
        <v>1.2</v>
      </c>
      <c r="C76" s="1">
        <v>1</v>
      </c>
      <c r="D76" s="1" t="s">
        <v>326</v>
      </c>
      <c r="E76" s="1" t="s">
        <v>322</v>
      </c>
      <c r="F76" s="4">
        <v>45383</v>
      </c>
      <c r="G76" s="6" t="s">
        <v>27</v>
      </c>
      <c r="H76" s="1" t="s">
        <v>27</v>
      </c>
      <c r="L76" s="3">
        <v>0.22976851851851851</v>
      </c>
      <c r="M76" s="3" t="s">
        <v>27</v>
      </c>
      <c r="O76" s="3" t="s">
        <v>27</v>
      </c>
      <c r="P76" s="5" t="s">
        <v>398</v>
      </c>
      <c r="T76" s="2"/>
      <c r="U76" s="2"/>
    </row>
    <row r="77" spans="1:22" s="7" customFormat="1" x14ac:dyDescent="0.2">
      <c r="A77" s="7">
        <v>1</v>
      </c>
      <c r="B77" s="7">
        <v>1.2</v>
      </c>
      <c r="C77" s="7">
        <v>2</v>
      </c>
      <c r="D77" s="7" t="s">
        <v>326</v>
      </c>
      <c r="E77" s="7" t="s">
        <v>322</v>
      </c>
      <c r="F77" s="9">
        <v>45383</v>
      </c>
      <c r="G77" s="10">
        <v>0.26740740740740743</v>
      </c>
      <c r="H77" s="7">
        <v>14</v>
      </c>
      <c r="I77" s="7" t="s">
        <v>444</v>
      </c>
      <c r="J77" s="20">
        <f>( H77 * (1.004*10^-6)) / (1.081*10^-5)</f>
        <v>1.3002775208140611</v>
      </c>
      <c r="K77" s="20" t="s">
        <v>446</v>
      </c>
      <c r="L77" s="8">
        <v>0.22976851851851851</v>
      </c>
      <c r="M77" s="8">
        <f>G77 - L77</f>
        <v>3.7638888888888916E-2</v>
      </c>
      <c r="N77" s="7" t="s">
        <v>319</v>
      </c>
      <c r="O77" s="10">
        <v>3.7245370370370373E-2</v>
      </c>
      <c r="Q77" s="11"/>
      <c r="U77" s="13"/>
      <c r="V77" s="13"/>
    </row>
    <row r="78" spans="1:22" s="7" customFormat="1" x14ac:dyDescent="0.2">
      <c r="A78" s="1">
        <v>1</v>
      </c>
      <c r="B78" s="1">
        <v>1.2</v>
      </c>
      <c r="C78" s="1" t="s">
        <v>27</v>
      </c>
      <c r="D78" s="1" t="s">
        <v>27</v>
      </c>
      <c r="E78" s="1" t="s">
        <v>27</v>
      </c>
      <c r="F78" s="4">
        <v>45384</v>
      </c>
      <c r="G78" s="3" t="s">
        <v>27</v>
      </c>
      <c r="H78" s="3" t="s">
        <v>27</v>
      </c>
      <c r="I78" s="3"/>
      <c r="J78" s="3"/>
      <c r="K78" s="3"/>
      <c r="L78" s="3" t="s">
        <v>27</v>
      </c>
      <c r="M78" s="3" t="s">
        <v>27</v>
      </c>
      <c r="O78" s="6" t="s">
        <v>27</v>
      </c>
      <c r="P78" s="1" t="s">
        <v>399</v>
      </c>
      <c r="Q78" s="11"/>
      <c r="U78" s="13"/>
      <c r="V78" s="13"/>
    </row>
    <row r="79" spans="1:22" s="7" customFormat="1" x14ac:dyDescent="0.2">
      <c r="A79" s="1">
        <v>1</v>
      </c>
      <c r="B79" s="1">
        <v>1.2</v>
      </c>
      <c r="C79" s="1" t="s">
        <v>27</v>
      </c>
      <c r="D79" s="1" t="s">
        <v>27</v>
      </c>
      <c r="E79" s="1" t="s">
        <v>27</v>
      </c>
      <c r="F79" s="4">
        <v>45384</v>
      </c>
      <c r="G79" s="1" t="s">
        <v>27</v>
      </c>
      <c r="H79" s="1" t="s">
        <v>27</v>
      </c>
      <c r="I79" s="1"/>
      <c r="J79" s="1"/>
      <c r="K79" s="1"/>
      <c r="L79" s="1" t="s">
        <v>27</v>
      </c>
      <c r="M79" s="1" t="s">
        <v>27</v>
      </c>
      <c r="O79" s="6" t="s">
        <v>27</v>
      </c>
      <c r="P79" s="1" t="s">
        <v>401</v>
      </c>
      <c r="Q79" s="11"/>
      <c r="U79" s="13"/>
      <c r="V79" s="13"/>
    </row>
    <row r="80" spans="1:22" s="7" customFormat="1" x14ac:dyDescent="0.2">
      <c r="A80" s="1">
        <v>1</v>
      </c>
      <c r="B80" s="1">
        <v>1.2</v>
      </c>
      <c r="C80" s="1" t="s">
        <v>27</v>
      </c>
      <c r="D80" s="1" t="s">
        <v>27</v>
      </c>
      <c r="E80" s="1" t="s">
        <v>27</v>
      </c>
      <c r="F80" s="4">
        <v>45385</v>
      </c>
      <c r="G80" s="3" t="s">
        <v>27</v>
      </c>
      <c r="H80" s="3" t="s">
        <v>27</v>
      </c>
      <c r="I80" s="3"/>
      <c r="J80" s="3"/>
      <c r="K80" s="3"/>
      <c r="L80" s="3" t="s">
        <v>27</v>
      </c>
      <c r="M80" s="3" t="s">
        <v>27</v>
      </c>
      <c r="O80" s="6" t="s">
        <v>27</v>
      </c>
      <c r="P80" s="1" t="s">
        <v>399</v>
      </c>
      <c r="Q80" s="11"/>
      <c r="U80" s="13"/>
      <c r="V80" s="13"/>
    </row>
    <row r="81" spans="1:16" x14ac:dyDescent="0.2">
      <c r="A81" s="1">
        <v>1</v>
      </c>
      <c r="B81" s="1">
        <v>1.2</v>
      </c>
      <c r="C81" s="1">
        <v>1</v>
      </c>
      <c r="D81" s="1" t="s">
        <v>365</v>
      </c>
      <c r="E81" s="1" t="s">
        <v>27</v>
      </c>
      <c r="F81" s="4">
        <v>45385</v>
      </c>
      <c r="G81" s="6">
        <v>0.79365740740740742</v>
      </c>
      <c r="H81" s="1" t="s">
        <v>27</v>
      </c>
      <c r="I81" s="1" t="s">
        <v>366</v>
      </c>
      <c r="J81" s="1">
        <v>2.331211840888067E-4</v>
      </c>
      <c r="K81" s="1" t="s">
        <v>447</v>
      </c>
      <c r="L81" s="1" t="s">
        <v>27</v>
      </c>
      <c r="M81" s="1" t="s">
        <v>27</v>
      </c>
      <c r="O81" s="1" t="s">
        <v>27</v>
      </c>
    </row>
    <row r="82" spans="1:16" x14ac:dyDescent="0.2">
      <c r="A82" s="1">
        <v>1</v>
      </c>
      <c r="B82" s="1">
        <v>1.2</v>
      </c>
      <c r="C82" s="1" t="s">
        <v>27</v>
      </c>
      <c r="D82" s="1" t="s">
        <v>27</v>
      </c>
      <c r="E82" s="1" t="s">
        <v>27</v>
      </c>
      <c r="F82" s="4">
        <v>45386</v>
      </c>
      <c r="G82" s="6" t="s">
        <v>27</v>
      </c>
      <c r="H82" s="1" t="s">
        <v>27</v>
      </c>
      <c r="J82" s="20"/>
      <c r="L82" s="1" t="s">
        <v>27</v>
      </c>
      <c r="M82" s="1" t="s">
        <v>27</v>
      </c>
      <c r="O82" s="1" t="s">
        <v>27</v>
      </c>
      <c r="P82" s="1" t="s">
        <v>399</v>
      </c>
    </row>
    <row r="83" spans="1:16" x14ac:dyDescent="0.2">
      <c r="A83" s="1">
        <v>1</v>
      </c>
      <c r="B83" s="1">
        <v>1.2</v>
      </c>
      <c r="C83" s="1">
        <v>1</v>
      </c>
      <c r="D83" s="1" t="s">
        <v>392</v>
      </c>
      <c r="E83" s="1" t="s">
        <v>297</v>
      </c>
      <c r="F83" s="4">
        <v>45386</v>
      </c>
      <c r="G83" s="6">
        <v>0.79339120370370364</v>
      </c>
      <c r="H83" s="7">
        <v>2.5100000000000001E-3</v>
      </c>
      <c r="I83" s="7" t="s">
        <v>384</v>
      </c>
      <c r="J83" s="20">
        <f>( H83 * (1.004*10^-6)) / (1.081*10^-5)</f>
        <v>2.331211840888067E-4</v>
      </c>
      <c r="K83" s="20" t="s">
        <v>446</v>
      </c>
      <c r="L83" s="3">
        <v>0.75498842592592597</v>
      </c>
      <c r="M83" s="3">
        <f>G83 - L83</f>
        <v>3.8402777777777675E-2</v>
      </c>
      <c r="N83" s="1" t="s">
        <v>319</v>
      </c>
      <c r="O83" s="3">
        <v>3.8391203703703705E-2</v>
      </c>
    </row>
    <row r="84" spans="1:16" x14ac:dyDescent="0.2">
      <c r="A84" s="1">
        <v>1</v>
      </c>
      <c r="B84" s="1">
        <v>1.2</v>
      </c>
      <c r="C84" s="1" t="s">
        <v>27</v>
      </c>
      <c r="D84" s="1" t="s">
        <v>27</v>
      </c>
      <c r="E84" s="1" t="s">
        <v>27</v>
      </c>
      <c r="F84" s="4">
        <v>45387</v>
      </c>
      <c r="G84" s="1" t="s">
        <v>27</v>
      </c>
      <c r="H84" s="1" t="s">
        <v>27</v>
      </c>
      <c r="L84" s="1" t="s">
        <v>27</v>
      </c>
      <c r="M84" s="1" t="s">
        <v>27</v>
      </c>
      <c r="O84" s="1" t="s">
        <v>27</v>
      </c>
      <c r="P84" s="1" t="s">
        <v>400</v>
      </c>
    </row>
    <row r="85" spans="1:16" x14ac:dyDescent="0.2">
      <c r="A85" s="1">
        <v>1</v>
      </c>
      <c r="B85" s="1">
        <v>1.2</v>
      </c>
      <c r="C85" s="1">
        <v>1</v>
      </c>
      <c r="D85" s="1" t="s">
        <v>473</v>
      </c>
      <c r="E85" s="1" t="s">
        <v>474</v>
      </c>
      <c r="F85" s="4">
        <v>45391</v>
      </c>
      <c r="G85" s="6">
        <v>0.25509259259259259</v>
      </c>
      <c r="H85" s="1">
        <v>0.94899999999999995</v>
      </c>
      <c r="I85" s="7" t="s">
        <v>384</v>
      </c>
      <c r="L85" s="3">
        <v>0.23653935185185185</v>
      </c>
      <c r="M85" s="3">
        <f t="shared" ref="M85:M100" si="5">G85 - L85</f>
        <v>1.8553240740740745E-2</v>
      </c>
      <c r="O85" s="3">
        <v>1.8622685185185187E-2</v>
      </c>
    </row>
    <row r="86" spans="1:16" x14ac:dyDescent="0.2">
      <c r="A86" s="1">
        <v>1</v>
      </c>
      <c r="B86" s="1">
        <v>1.2</v>
      </c>
      <c r="C86" s="1">
        <v>1</v>
      </c>
      <c r="D86" s="1" t="s">
        <v>476</v>
      </c>
      <c r="E86" s="6" t="s">
        <v>477</v>
      </c>
      <c r="F86" s="4">
        <v>45390</v>
      </c>
      <c r="G86" s="6">
        <v>0.79108796296296291</v>
      </c>
      <c r="H86" s="1">
        <v>1.06E-3</v>
      </c>
      <c r="I86" s="7" t="s">
        <v>384</v>
      </c>
      <c r="L86" s="3">
        <v>0.76604166666666662</v>
      </c>
      <c r="M86" s="3">
        <f t="shared" si="5"/>
        <v>2.5046296296296289E-2</v>
      </c>
      <c r="O86" s="1" t="s">
        <v>27</v>
      </c>
    </row>
    <row r="87" spans="1:16" x14ac:dyDescent="0.2">
      <c r="A87" s="1">
        <v>1</v>
      </c>
      <c r="B87" s="1">
        <v>1.2</v>
      </c>
      <c r="C87" s="1">
        <v>1</v>
      </c>
      <c r="D87" s="1" t="s">
        <v>482</v>
      </c>
      <c r="E87" s="1" t="s">
        <v>486</v>
      </c>
      <c r="F87" s="4">
        <v>45390</v>
      </c>
      <c r="G87" s="6">
        <v>0.24300925925925926</v>
      </c>
      <c r="H87" s="1">
        <v>5.1599999999999997E-3</v>
      </c>
      <c r="I87" s="7" t="s">
        <v>384</v>
      </c>
      <c r="L87" s="3">
        <v>0.2351273148148148</v>
      </c>
      <c r="M87" s="3">
        <f t="shared" si="5"/>
        <v>7.8819444444444553E-3</v>
      </c>
      <c r="O87" s="3">
        <v>7.9166666666666673E-3</v>
      </c>
    </row>
    <row r="88" spans="1:16" x14ac:dyDescent="0.2">
      <c r="A88" s="1">
        <v>1</v>
      </c>
      <c r="B88" s="1">
        <v>1.2</v>
      </c>
      <c r="C88" s="1">
        <v>2</v>
      </c>
      <c r="D88" s="1" t="s">
        <v>482</v>
      </c>
      <c r="E88" s="1" t="s">
        <v>486</v>
      </c>
      <c r="F88" s="4">
        <v>45390</v>
      </c>
      <c r="G88" s="6">
        <v>0.25400462962962966</v>
      </c>
      <c r="H88" s="1">
        <v>0.94699999999999995</v>
      </c>
      <c r="I88" s="7" t="s">
        <v>384</v>
      </c>
      <c r="L88" s="3">
        <v>0.2351273148148148</v>
      </c>
      <c r="M88" s="3">
        <f t="shared" si="5"/>
        <v>1.8877314814814861E-2</v>
      </c>
      <c r="O88" s="3">
        <v>1.8622685185185187E-2</v>
      </c>
    </row>
    <row r="89" spans="1:16" x14ac:dyDescent="0.2">
      <c r="A89" s="1">
        <v>1</v>
      </c>
      <c r="B89" s="1">
        <v>1.2</v>
      </c>
      <c r="C89" s="1">
        <v>1</v>
      </c>
      <c r="D89" s="1" t="s">
        <v>483</v>
      </c>
      <c r="E89" s="1" t="s">
        <v>493</v>
      </c>
      <c r="F89" s="4">
        <v>45389</v>
      </c>
      <c r="G89" s="6">
        <v>0.79043981481481473</v>
      </c>
      <c r="H89" s="1">
        <v>1.73E-3</v>
      </c>
      <c r="I89" s="7" t="s">
        <v>384</v>
      </c>
      <c r="L89" s="3">
        <v>0.76695601851851847</v>
      </c>
      <c r="M89" s="3">
        <f t="shared" si="5"/>
        <v>2.3483796296296267E-2</v>
      </c>
      <c r="O89" s="3">
        <v>2.3472222222222221E-2</v>
      </c>
    </row>
    <row r="90" spans="1:16" x14ac:dyDescent="0.2">
      <c r="A90" s="1">
        <v>1</v>
      </c>
      <c r="B90" s="1">
        <v>1.2</v>
      </c>
      <c r="C90" s="1">
        <v>1</v>
      </c>
      <c r="D90" s="1" t="s">
        <v>484</v>
      </c>
      <c r="E90" s="1" t="s">
        <v>494</v>
      </c>
      <c r="F90" s="4">
        <v>45388</v>
      </c>
      <c r="G90" s="6">
        <v>0.78626157407407415</v>
      </c>
      <c r="H90" s="1">
        <v>9.8099999999999993E-3</v>
      </c>
      <c r="I90" s="7" t="s">
        <v>384</v>
      </c>
      <c r="L90" s="3">
        <v>0.7645601851851852</v>
      </c>
      <c r="M90" s="3">
        <f t="shared" si="5"/>
        <v>2.1701388888888951E-2</v>
      </c>
      <c r="O90" s="1" t="s">
        <v>27</v>
      </c>
    </row>
    <row r="91" spans="1:16" x14ac:dyDescent="0.2">
      <c r="A91" s="1">
        <v>1</v>
      </c>
      <c r="B91" s="1">
        <v>1.2</v>
      </c>
      <c r="C91" s="1">
        <v>1</v>
      </c>
      <c r="D91" s="1" t="s">
        <v>485</v>
      </c>
      <c r="E91" s="1" t="s">
        <v>495</v>
      </c>
      <c r="F91" s="4">
        <v>45387</v>
      </c>
      <c r="G91" s="6">
        <v>0.79177083333333342</v>
      </c>
      <c r="H91" s="1">
        <v>2.4099999999999998E-3</v>
      </c>
      <c r="I91" s="7" t="s">
        <v>384</v>
      </c>
      <c r="L91" s="3">
        <v>0.76537037037037037</v>
      </c>
      <c r="M91" s="3">
        <f t="shared" si="5"/>
        <v>2.6400462962963056E-2</v>
      </c>
      <c r="O91" s="3">
        <v>2.6006944444444444E-2</v>
      </c>
    </row>
    <row r="92" spans="1:16" x14ac:dyDescent="0.2">
      <c r="A92" s="1">
        <v>1</v>
      </c>
      <c r="B92" s="1">
        <v>1.2</v>
      </c>
      <c r="C92" s="1">
        <v>1</v>
      </c>
      <c r="D92" s="1" t="s">
        <v>497</v>
      </c>
      <c r="E92" s="1" t="s">
        <v>498</v>
      </c>
      <c r="F92" s="4">
        <v>45391</v>
      </c>
      <c r="G92" s="6">
        <v>0.78599537037037037</v>
      </c>
      <c r="H92" s="1">
        <v>8.2100000000000003E-3</v>
      </c>
      <c r="I92" s="1" t="s">
        <v>384</v>
      </c>
      <c r="L92" s="3">
        <v>0.76300925925925922</v>
      </c>
      <c r="M92" s="3">
        <f t="shared" si="5"/>
        <v>2.2986111111111152E-2</v>
      </c>
      <c r="O92" s="3">
        <v>2.2754629629629628E-2</v>
      </c>
    </row>
    <row r="93" spans="1:16" x14ac:dyDescent="0.2">
      <c r="A93" s="1">
        <v>1</v>
      </c>
      <c r="B93" s="1">
        <v>1.2</v>
      </c>
      <c r="C93" s="1">
        <v>1</v>
      </c>
      <c r="D93" s="1" t="s">
        <v>73</v>
      </c>
      <c r="E93" s="1" t="s">
        <v>501</v>
      </c>
      <c r="F93" s="4">
        <v>45392</v>
      </c>
      <c r="G93" s="6">
        <v>0.23944444444444443</v>
      </c>
      <c r="H93" s="1">
        <v>7.0000000000000001E-3</v>
      </c>
      <c r="I93" s="1" t="s">
        <v>502</v>
      </c>
      <c r="L93" s="3">
        <v>0.23417824074074073</v>
      </c>
      <c r="M93" s="3">
        <f t="shared" si="5"/>
        <v>5.2662037037037035E-3</v>
      </c>
      <c r="O93" s="3">
        <v>4.8611111111111112E-3</v>
      </c>
    </row>
    <row r="94" spans="1:16" x14ac:dyDescent="0.2">
      <c r="A94" s="1">
        <v>1</v>
      </c>
      <c r="B94" s="1">
        <v>1.2</v>
      </c>
      <c r="C94" s="1">
        <v>5</v>
      </c>
      <c r="D94" s="1" t="s">
        <v>72</v>
      </c>
      <c r="E94" s="1" t="s">
        <v>518</v>
      </c>
      <c r="F94" s="4">
        <v>45393</v>
      </c>
      <c r="G94" s="6">
        <v>0.27635416666666668</v>
      </c>
      <c r="H94" s="1">
        <v>25</v>
      </c>
      <c r="I94" s="1" t="s">
        <v>536</v>
      </c>
      <c r="L94" s="3">
        <v>0.23177083333333334</v>
      </c>
      <c r="M94" s="3">
        <f t="shared" si="5"/>
        <v>4.4583333333333336E-2</v>
      </c>
    </row>
    <row r="95" spans="1:16" x14ac:dyDescent="0.2">
      <c r="A95" s="1">
        <v>1</v>
      </c>
      <c r="B95" s="1">
        <v>1.2</v>
      </c>
      <c r="C95" s="1">
        <v>4</v>
      </c>
      <c r="D95" s="1" t="s">
        <v>72</v>
      </c>
      <c r="E95" s="1" t="s">
        <v>518</v>
      </c>
      <c r="F95" s="4">
        <v>45393</v>
      </c>
      <c r="G95" s="6">
        <v>0.24847222222222221</v>
      </c>
      <c r="H95" s="1">
        <v>0.23</v>
      </c>
      <c r="I95" s="1" t="s">
        <v>384</v>
      </c>
      <c r="L95" s="3">
        <v>0.23177083333333334</v>
      </c>
      <c r="M95" s="3">
        <f t="shared" si="5"/>
        <v>1.6701388888888863E-2</v>
      </c>
      <c r="O95" s="3">
        <v>1.6261574074074074E-2</v>
      </c>
    </row>
    <row r="96" spans="1:16" x14ac:dyDescent="0.2">
      <c r="A96" s="1">
        <v>1</v>
      </c>
      <c r="B96" s="1">
        <v>1.2</v>
      </c>
      <c r="C96" s="1">
        <v>3</v>
      </c>
      <c r="D96" s="1" t="s">
        <v>72</v>
      </c>
      <c r="E96" s="1" t="s">
        <v>518</v>
      </c>
      <c r="F96" s="4">
        <v>45393</v>
      </c>
      <c r="G96" s="6">
        <v>0.24243055555555554</v>
      </c>
      <c r="H96" s="1">
        <v>2.3400000000000001E-2</v>
      </c>
      <c r="I96" s="1" t="s">
        <v>384</v>
      </c>
      <c r="L96" s="3">
        <v>0.23177083333333334</v>
      </c>
      <c r="M96" s="3">
        <f t="shared" si="5"/>
        <v>1.0659722222222195E-2</v>
      </c>
      <c r="O96" s="3">
        <v>1.0439814814814815E-2</v>
      </c>
    </row>
    <row r="97" spans="1:16" x14ac:dyDescent="0.2">
      <c r="A97" s="1">
        <v>1</v>
      </c>
      <c r="B97" s="1">
        <v>1.2</v>
      </c>
      <c r="C97" s="1">
        <v>2</v>
      </c>
      <c r="D97" s="1" t="s">
        <v>72</v>
      </c>
      <c r="E97" s="1" t="s">
        <v>518</v>
      </c>
      <c r="F97" s="4">
        <v>45393</v>
      </c>
      <c r="G97" s="6">
        <v>0.2383912037037037</v>
      </c>
      <c r="H97" s="1">
        <v>6.8300000000000001E-3</v>
      </c>
      <c r="I97" s="1" t="s">
        <v>384</v>
      </c>
      <c r="L97" s="3">
        <v>0.23177083333333334</v>
      </c>
      <c r="M97" s="3">
        <f t="shared" si="5"/>
        <v>6.6203703703703598E-3</v>
      </c>
    </row>
    <row r="98" spans="1:16" x14ac:dyDescent="0.2">
      <c r="A98" s="1">
        <v>1</v>
      </c>
      <c r="B98" s="1">
        <v>1.2</v>
      </c>
      <c r="C98" s="1">
        <v>1</v>
      </c>
      <c r="D98" s="1" t="s">
        <v>72</v>
      </c>
      <c r="E98" s="1" t="s">
        <v>518</v>
      </c>
      <c r="F98" s="4">
        <v>45393</v>
      </c>
      <c r="G98" s="6">
        <v>0.23265046296296296</v>
      </c>
      <c r="H98" s="1">
        <v>3.6600000000000001E-3</v>
      </c>
      <c r="I98" s="1" t="s">
        <v>384</v>
      </c>
      <c r="L98" s="3">
        <v>0.23177083333333334</v>
      </c>
      <c r="M98" s="3">
        <f t="shared" si="5"/>
        <v>8.796296296296191E-4</v>
      </c>
    </row>
    <row r="99" spans="1:16" x14ac:dyDescent="0.2">
      <c r="A99" s="1">
        <v>1</v>
      </c>
      <c r="B99" s="1">
        <v>1.2</v>
      </c>
      <c r="C99" s="1">
        <v>1</v>
      </c>
      <c r="D99" s="1" t="s">
        <v>81</v>
      </c>
      <c r="E99" s="1" t="s">
        <v>519</v>
      </c>
      <c r="F99" s="4">
        <v>45393</v>
      </c>
      <c r="G99" s="6">
        <v>0.7855671296296296</v>
      </c>
      <c r="H99" s="1">
        <v>3.5799999999999998E-2</v>
      </c>
      <c r="I99" s="1" t="s">
        <v>384</v>
      </c>
      <c r="L99" s="3">
        <v>0.75616898148148148</v>
      </c>
      <c r="M99" s="3">
        <f t="shared" si="5"/>
        <v>2.9398148148148118E-2</v>
      </c>
      <c r="O99" s="3">
        <v>2.8946759259259259E-2</v>
      </c>
    </row>
    <row r="100" spans="1:16" x14ac:dyDescent="0.2">
      <c r="A100" s="1">
        <v>1</v>
      </c>
      <c r="B100" s="1">
        <v>1.2</v>
      </c>
      <c r="C100" s="1">
        <v>3</v>
      </c>
      <c r="D100" s="1" t="s">
        <v>80</v>
      </c>
      <c r="E100" s="1" t="s">
        <v>537</v>
      </c>
      <c r="F100" s="4">
        <v>45394</v>
      </c>
      <c r="G100" s="6">
        <v>0.27350694444444446</v>
      </c>
      <c r="H100" s="1">
        <v>34.200000000000003</v>
      </c>
      <c r="I100" s="1" t="s">
        <v>384</v>
      </c>
      <c r="L100" s="3">
        <v>0.24976851851851853</v>
      </c>
      <c r="M100" s="3">
        <f t="shared" si="5"/>
        <v>2.3738425925925927E-2</v>
      </c>
    </row>
    <row r="101" spans="1:16" x14ac:dyDescent="0.2">
      <c r="A101" s="1">
        <v>1</v>
      </c>
      <c r="B101" s="1">
        <v>1.2</v>
      </c>
      <c r="C101" s="1">
        <v>2</v>
      </c>
      <c r="D101" s="1" t="s">
        <v>80</v>
      </c>
      <c r="E101" s="1" t="s">
        <v>537</v>
      </c>
      <c r="F101" s="4">
        <v>45394</v>
      </c>
      <c r="G101" s="6">
        <v>0.25049768518518517</v>
      </c>
      <c r="H101" s="1">
        <v>0.14499999999999999</v>
      </c>
      <c r="I101" s="1" t="s">
        <v>384</v>
      </c>
      <c r="L101" s="3">
        <v>0.24976851851851853</v>
      </c>
      <c r="M101" s="3">
        <f t="shared" ref="M101" si="6">G101 - L101</f>
        <v>7.2916666666664187E-4</v>
      </c>
    </row>
    <row r="102" spans="1:16" x14ac:dyDescent="0.2">
      <c r="A102" s="1">
        <v>1</v>
      </c>
      <c r="B102" s="1">
        <v>1.2</v>
      </c>
      <c r="C102" s="1">
        <v>1</v>
      </c>
      <c r="D102" s="1" t="s">
        <v>80</v>
      </c>
      <c r="E102" s="1" t="s">
        <v>537</v>
      </c>
      <c r="F102" s="4">
        <v>45394</v>
      </c>
      <c r="G102" s="6">
        <v>0.23868055555555553</v>
      </c>
      <c r="H102" s="1" t="s">
        <v>27</v>
      </c>
      <c r="I102" s="1" t="s">
        <v>539</v>
      </c>
      <c r="J102" s="1">
        <v>6.8300000000000001E-3</v>
      </c>
      <c r="K102" s="1" t="s">
        <v>540</v>
      </c>
      <c r="L102" s="3">
        <v>0.24976851851851853</v>
      </c>
      <c r="M102" s="3"/>
      <c r="P102" s="1" t="s">
        <v>538</v>
      </c>
    </row>
    <row r="103" spans="1:16" x14ac:dyDescent="0.2">
      <c r="A103" s="1">
        <v>1</v>
      </c>
      <c r="B103" s="1">
        <v>1.2</v>
      </c>
      <c r="C103" s="1">
        <v>1</v>
      </c>
      <c r="D103" s="1" t="s">
        <v>87</v>
      </c>
      <c r="F103" s="4">
        <v>45394</v>
      </c>
      <c r="G103" s="6">
        <v>0.78399305555555554</v>
      </c>
    </row>
  </sheetData>
  <sortState xmlns:xlrd2="http://schemas.microsoft.com/office/spreadsheetml/2017/richdata2" ref="A2:V84">
    <sortCondition ref="F2:F84"/>
  </sortState>
  <customSheetViews>
    <customSheetView guid="{8A75D892-44B4-104C-BB94-8EB0D0E43396}">
      <pane ySplit="1" topLeftCell="A2" activePane="bottomLeft" state="frozen"/>
      <selection pane="bottomLeft" activeCell="J34" sqref="J34"/>
      <pageMargins left="0.7" right="0.7" top="0.75" bottom="0.75" header="0.3" footer="0.3"/>
    </customSheetView>
  </customSheetView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32BCC2-2C70-944E-A462-04AA228E5B7B}">
  <dimension ref="A1:E3"/>
  <sheetViews>
    <sheetView workbookViewId="0">
      <selection activeCell="E3" sqref="E3"/>
    </sheetView>
  </sheetViews>
  <sheetFormatPr baseColWidth="10" defaultRowHeight="16" x14ac:dyDescent="0.2"/>
  <cols>
    <col min="1" max="1" width="19.5" customWidth="1"/>
    <col min="2" max="2" width="18.1640625" customWidth="1"/>
    <col min="3" max="3" width="25.1640625" customWidth="1"/>
    <col min="4" max="4" width="19" customWidth="1"/>
    <col min="5" max="6" width="16.83203125" customWidth="1"/>
  </cols>
  <sheetData>
    <row r="1" spans="1:5" x14ac:dyDescent="0.2">
      <c r="A1" t="s">
        <v>634</v>
      </c>
      <c r="B1" t="s">
        <v>633</v>
      </c>
      <c r="C1" t="s">
        <v>637</v>
      </c>
      <c r="D1" t="s">
        <v>636</v>
      </c>
      <c r="E1" t="s">
        <v>635</v>
      </c>
    </row>
    <row r="2" spans="1:5" x14ac:dyDescent="0.2">
      <c r="A2">
        <v>183</v>
      </c>
      <c r="B2">
        <f xml:space="preserve"> 250/4.34</f>
        <v>57.603686635944705</v>
      </c>
      <c r="C2">
        <f>2*((0.5*$B2)/$A2)</f>
        <v>0.31477424391226616</v>
      </c>
      <c r="D2">
        <f>DEGREES(ATAN($C2))</f>
        <v>17.472659297833538</v>
      </c>
      <c r="E2">
        <f xml:space="preserve"> 1/$D2</f>
        <v>5.7232272601114104E-2</v>
      </c>
    </row>
    <row r="3" spans="1:5" x14ac:dyDescent="0.2">
      <c r="A3">
        <f>14.9661141804788*10</f>
        <v>149.661141804788</v>
      </c>
      <c r="B3">
        <f xml:space="preserve"> 250/4.34</f>
        <v>57.603686635944705</v>
      </c>
      <c r="C3">
        <f>2*((0.5*$B3)/$A3)</f>
        <v>0.38489407431543349</v>
      </c>
      <c r="D3">
        <f>DEGREES(ATAN($C3))</f>
        <v>21.051419771101877</v>
      </c>
      <c r="E3">
        <f xml:space="preserve"> 1/$D3</f>
        <v>4.750273429884002E-2</v>
      </c>
    </row>
  </sheetData>
  <customSheetViews>
    <customSheetView guid="{8A75D892-44B4-104C-BB94-8EB0D0E43396}">
      <selection activeCell="E3" sqref="E3"/>
      <pageMargins left="0.7" right="0.7" top="0.75" bottom="0.75" header="0.3" footer="0.3"/>
    </customSheetView>
  </customSheetView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C634D7-082B-134A-AD91-B35FA6B4A994}">
  <dimension ref="A2:L119"/>
  <sheetViews>
    <sheetView topLeftCell="B1" workbookViewId="0">
      <pane ySplit="1" topLeftCell="A96" activePane="bottomLeft" state="frozen"/>
      <selection pane="bottomLeft" activeCell="H133" sqref="H133"/>
    </sheetView>
  </sheetViews>
  <sheetFormatPr baseColWidth="10" defaultRowHeight="16" x14ac:dyDescent="0.2"/>
  <cols>
    <col min="5" max="5" width="13" customWidth="1"/>
    <col min="6" max="6" width="13.6640625" customWidth="1"/>
    <col min="7" max="7" width="12.83203125" customWidth="1"/>
    <col min="8" max="8" width="13" customWidth="1"/>
    <col min="10" max="11" width="15.33203125" customWidth="1"/>
  </cols>
  <sheetData>
    <row r="2" spans="4:12" x14ac:dyDescent="0.2">
      <c r="D2" s="18"/>
      <c r="E2" s="30"/>
      <c r="F2" s="30"/>
      <c r="G2" s="30"/>
      <c r="H2" s="30"/>
      <c r="I2" s="30"/>
      <c r="J2" s="30"/>
      <c r="K2" s="30"/>
      <c r="L2" s="30"/>
    </row>
    <row r="3" spans="4:12" x14ac:dyDescent="0.2">
      <c r="D3" s="18"/>
      <c r="E3" s="30"/>
    </row>
    <row r="4" spans="4:12" x14ac:dyDescent="0.2">
      <c r="D4" s="18"/>
      <c r="E4" s="30"/>
    </row>
    <row r="5" spans="4:12" x14ac:dyDescent="0.2">
      <c r="D5" s="18"/>
      <c r="E5" s="30"/>
    </row>
    <row r="6" spans="4:12" x14ac:dyDescent="0.2">
      <c r="F6" s="30"/>
      <c r="G6" s="30"/>
      <c r="H6" s="30"/>
    </row>
    <row r="7" spans="4:12" x14ac:dyDescent="0.2">
      <c r="F7" s="30"/>
      <c r="H7" s="30"/>
    </row>
    <row r="8" spans="4:12" x14ac:dyDescent="0.2">
      <c r="F8" s="30"/>
      <c r="H8" s="30"/>
    </row>
    <row r="9" spans="4:12" x14ac:dyDescent="0.2">
      <c r="F9" s="30"/>
      <c r="H9" s="30"/>
    </row>
    <row r="11" spans="4:12" x14ac:dyDescent="0.2">
      <c r="F11" s="30"/>
      <c r="H11" s="30"/>
    </row>
    <row r="12" spans="4:12" x14ac:dyDescent="0.2">
      <c r="F12" s="30"/>
      <c r="H12" s="30"/>
    </row>
    <row r="13" spans="4:12" x14ac:dyDescent="0.2">
      <c r="F13" s="30"/>
      <c r="H13" s="30"/>
    </row>
    <row r="14" spans="4:12" x14ac:dyDescent="0.2">
      <c r="H14" s="30"/>
    </row>
    <row r="15" spans="4:12" x14ac:dyDescent="0.2">
      <c r="D15" s="18"/>
      <c r="E15" s="30"/>
      <c r="H15" s="30"/>
      <c r="I15" s="30"/>
      <c r="J15" s="30"/>
      <c r="K15" s="30"/>
      <c r="L15" s="30"/>
    </row>
    <row r="16" spans="4:12" x14ac:dyDescent="0.2">
      <c r="D16" s="18"/>
      <c r="E16" s="30"/>
      <c r="F16" s="30"/>
      <c r="G16" s="30"/>
      <c r="H16" s="30"/>
      <c r="I16" s="30"/>
      <c r="J16" s="30"/>
      <c r="K16" s="30"/>
      <c r="L16" s="30"/>
    </row>
    <row r="17" spans="1:12" x14ac:dyDescent="0.2">
      <c r="D17" s="18"/>
      <c r="E17" s="30"/>
      <c r="H17" s="30"/>
      <c r="I17" s="30"/>
      <c r="J17" s="30"/>
      <c r="K17" s="30"/>
      <c r="L17" s="30"/>
    </row>
    <row r="18" spans="1:12" x14ac:dyDescent="0.2">
      <c r="D18" s="18"/>
      <c r="E18" s="30"/>
    </row>
    <row r="19" spans="1:12" x14ac:dyDescent="0.2">
      <c r="D19" s="18"/>
      <c r="E19" s="30"/>
      <c r="H19" s="30"/>
      <c r="I19" s="30"/>
      <c r="J19" s="30"/>
      <c r="K19" s="30"/>
      <c r="L19" s="30"/>
    </row>
    <row r="20" spans="1:12" x14ac:dyDescent="0.2">
      <c r="D20" s="18"/>
      <c r="E20" s="30"/>
      <c r="H20" s="30"/>
      <c r="I20" s="30"/>
      <c r="J20" s="30"/>
      <c r="K20" s="30"/>
      <c r="L20" s="30"/>
    </row>
    <row r="21" spans="1:12" x14ac:dyDescent="0.2">
      <c r="A21" s="17"/>
      <c r="D21" s="18"/>
      <c r="E21" s="30"/>
      <c r="H21" s="30"/>
      <c r="I21" s="30"/>
      <c r="J21" s="30"/>
      <c r="K21" s="30"/>
      <c r="L21" s="30"/>
    </row>
    <row r="22" spans="1:12" x14ac:dyDescent="0.2">
      <c r="A22" s="17"/>
      <c r="D22" s="18"/>
      <c r="E22" s="30"/>
      <c r="F22" s="30"/>
      <c r="G22" s="30"/>
      <c r="H22" s="30"/>
      <c r="I22" s="30"/>
      <c r="J22" s="30"/>
      <c r="K22" s="30"/>
      <c r="L22" s="30"/>
    </row>
    <row r="23" spans="1:12" x14ac:dyDescent="0.2">
      <c r="A23" s="17"/>
      <c r="D23" s="18"/>
      <c r="E23" s="30"/>
      <c r="F23" s="30"/>
      <c r="G23" s="30"/>
      <c r="H23" s="30"/>
      <c r="I23" s="30"/>
      <c r="J23" s="30"/>
      <c r="K23" s="30"/>
      <c r="L23" s="30"/>
    </row>
    <row r="24" spans="1:12" x14ac:dyDescent="0.2">
      <c r="A24" s="17"/>
      <c r="D24" s="18"/>
      <c r="E24" s="30"/>
      <c r="F24" s="30"/>
      <c r="G24" s="30"/>
      <c r="H24" s="30"/>
      <c r="I24" s="30"/>
      <c r="J24" s="30"/>
      <c r="K24" s="30"/>
      <c r="L24" s="30"/>
    </row>
    <row r="25" spans="1:12" x14ac:dyDescent="0.2">
      <c r="A25" s="17"/>
      <c r="D25" s="18"/>
      <c r="E25" s="30"/>
      <c r="H25" s="30"/>
      <c r="I25" s="30"/>
      <c r="J25" s="30"/>
      <c r="K25" s="30"/>
      <c r="L25" s="30"/>
    </row>
    <row r="26" spans="1:12" x14ac:dyDescent="0.2">
      <c r="A26" s="17"/>
      <c r="D26" s="18"/>
      <c r="E26" s="30"/>
      <c r="F26" s="30"/>
      <c r="G26" s="30"/>
      <c r="H26" s="30"/>
    </row>
    <row r="27" spans="1:12" x14ac:dyDescent="0.2">
      <c r="D27" s="18"/>
      <c r="E27" s="30"/>
      <c r="H27" s="30"/>
      <c r="I27" s="30"/>
      <c r="J27" s="30"/>
      <c r="K27" s="30"/>
      <c r="L27" s="30"/>
    </row>
    <row r="28" spans="1:12" x14ac:dyDescent="0.2">
      <c r="A28" s="17"/>
      <c r="D28" s="18"/>
      <c r="E28" s="30"/>
      <c r="F28" s="30"/>
      <c r="G28" s="30"/>
      <c r="H28" s="30"/>
      <c r="I28" s="30"/>
      <c r="J28" s="30"/>
      <c r="K28" s="30"/>
      <c r="L28" s="30"/>
    </row>
    <row r="29" spans="1:12" x14ac:dyDescent="0.2">
      <c r="D29" s="18"/>
      <c r="E29" s="30"/>
      <c r="H29" s="30"/>
      <c r="I29" s="30"/>
      <c r="J29" s="30"/>
      <c r="K29" s="30"/>
      <c r="L29" s="30"/>
    </row>
    <row r="30" spans="1:12" x14ac:dyDescent="0.2">
      <c r="D30" s="18"/>
      <c r="E30" s="30"/>
      <c r="F30" s="30"/>
      <c r="H30" s="30"/>
      <c r="I30" s="30"/>
      <c r="J30" s="30"/>
      <c r="K30" s="30"/>
      <c r="L30" s="30"/>
    </row>
    <row r="31" spans="1:12" x14ac:dyDescent="0.2">
      <c r="A31" s="17"/>
      <c r="D31" s="18"/>
      <c r="E31" s="30"/>
      <c r="H31" s="30"/>
      <c r="I31" s="30"/>
      <c r="J31" s="30"/>
      <c r="K31" s="30"/>
      <c r="L31" s="30"/>
    </row>
    <row r="32" spans="1:12" x14ac:dyDescent="0.2">
      <c r="A32" s="17"/>
      <c r="D32" s="18"/>
      <c r="E32" s="30"/>
      <c r="F32" s="30"/>
      <c r="H32" s="30"/>
      <c r="I32" s="30"/>
      <c r="J32" s="30"/>
      <c r="K32" s="30"/>
      <c r="L32" s="30"/>
    </row>
    <row r="33" spans="4:9" x14ac:dyDescent="0.2">
      <c r="D33" s="18"/>
      <c r="E33" s="30"/>
      <c r="G33" s="30"/>
      <c r="H33" s="30"/>
      <c r="I33" s="30"/>
    </row>
    <row r="34" spans="4:9" x14ac:dyDescent="0.2">
      <c r="D34" s="18"/>
      <c r="E34" s="30"/>
      <c r="F34" s="30"/>
      <c r="G34" s="30"/>
      <c r="H34" s="30"/>
      <c r="I34" s="30"/>
    </row>
    <row r="35" spans="4:9" x14ac:dyDescent="0.2">
      <c r="D35" s="18"/>
      <c r="E35" s="30"/>
      <c r="F35" s="30"/>
      <c r="G35" s="30"/>
      <c r="H35" s="30"/>
      <c r="I35" s="30"/>
    </row>
    <row r="36" spans="4:9" x14ac:dyDescent="0.2">
      <c r="D36" s="18"/>
      <c r="E36" s="30"/>
      <c r="F36" s="30"/>
      <c r="G36" s="30"/>
      <c r="H36" s="30"/>
      <c r="I36" s="30"/>
    </row>
    <row r="37" spans="4:9" x14ac:dyDescent="0.2">
      <c r="D37" s="18"/>
      <c r="E37" s="30"/>
      <c r="H37" s="30"/>
      <c r="I37" s="30"/>
    </row>
    <row r="38" spans="4:9" x14ac:dyDescent="0.2">
      <c r="D38" s="18"/>
      <c r="E38" s="30"/>
      <c r="F38" s="30"/>
      <c r="G38" s="30"/>
      <c r="H38" s="30"/>
      <c r="I38" s="30"/>
    </row>
    <row r="39" spans="4:9" x14ac:dyDescent="0.2">
      <c r="D39" s="18"/>
      <c r="E39" s="30"/>
    </row>
    <row r="40" spans="4:9" x14ac:dyDescent="0.2">
      <c r="D40" s="18"/>
      <c r="E40" s="30"/>
      <c r="H40" s="30"/>
      <c r="I40" s="30"/>
    </row>
    <row r="41" spans="4:9" x14ac:dyDescent="0.2">
      <c r="D41" s="18"/>
      <c r="E41" s="30"/>
      <c r="F41" s="30"/>
      <c r="G41" s="30"/>
      <c r="H41" s="30"/>
      <c r="I41" s="30"/>
    </row>
    <row r="42" spans="4:9" x14ac:dyDescent="0.2">
      <c r="D42" s="18"/>
      <c r="E42" s="30"/>
    </row>
    <row r="43" spans="4:9" x14ac:dyDescent="0.2">
      <c r="D43" s="18"/>
      <c r="E43" s="30"/>
      <c r="F43" s="30"/>
      <c r="G43" s="30"/>
      <c r="H43" s="30"/>
      <c r="I43" s="30"/>
    </row>
    <row r="44" spans="4:9" x14ac:dyDescent="0.2">
      <c r="D44" s="18"/>
      <c r="E44" s="30"/>
    </row>
    <row r="45" spans="4:9" x14ac:dyDescent="0.2">
      <c r="D45" s="18"/>
      <c r="E45" s="30"/>
      <c r="F45" s="30"/>
      <c r="G45" s="30"/>
      <c r="H45" s="30"/>
      <c r="I45" s="30"/>
    </row>
    <row r="46" spans="4:9" x14ac:dyDescent="0.2">
      <c r="D46" s="18"/>
      <c r="E46" s="30"/>
      <c r="H46" s="30"/>
      <c r="I46" s="30"/>
    </row>
    <row r="47" spans="4:9" x14ac:dyDescent="0.2">
      <c r="D47" s="18"/>
      <c r="E47" s="30"/>
      <c r="F47" s="30"/>
      <c r="G47" s="30"/>
      <c r="H47" s="30"/>
      <c r="I47" s="30"/>
    </row>
    <row r="48" spans="4:9" x14ac:dyDescent="0.2">
      <c r="D48" s="18"/>
      <c r="E48" s="30"/>
      <c r="F48" s="30"/>
      <c r="G48" s="30"/>
      <c r="H48" s="30"/>
      <c r="I48" s="30"/>
    </row>
    <row r="49" spans="4:9" x14ac:dyDescent="0.2">
      <c r="D49" s="18"/>
      <c r="E49" s="30"/>
      <c r="F49" s="30"/>
      <c r="G49" s="30"/>
      <c r="H49" s="30"/>
      <c r="I49" s="30"/>
    </row>
    <row r="50" spans="4:9" x14ac:dyDescent="0.2">
      <c r="D50" s="18"/>
      <c r="E50" s="30"/>
      <c r="F50" s="30"/>
      <c r="G50" s="30"/>
      <c r="H50" s="30"/>
      <c r="I50" s="30"/>
    </row>
    <row r="51" spans="4:9" x14ac:dyDescent="0.2">
      <c r="D51" s="18"/>
      <c r="E51" s="30"/>
    </row>
    <row r="52" spans="4:9" x14ac:dyDescent="0.2">
      <c r="D52" s="18"/>
      <c r="E52" s="30"/>
      <c r="H52" s="30"/>
      <c r="I52" s="30"/>
    </row>
    <row r="53" spans="4:9" x14ac:dyDescent="0.2">
      <c r="D53" s="18"/>
      <c r="E53" s="30"/>
      <c r="F53" s="30"/>
      <c r="G53" s="30"/>
      <c r="H53" s="30"/>
      <c r="I53" s="30"/>
    </row>
    <row r="54" spans="4:9" x14ac:dyDescent="0.2">
      <c r="D54" s="18"/>
      <c r="E54" s="30"/>
      <c r="H54" s="30"/>
      <c r="I54" s="30"/>
    </row>
    <row r="55" spans="4:9" x14ac:dyDescent="0.2">
      <c r="D55" s="18"/>
      <c r="E55" s="30"/>
      <c r="F55" s="30"/>
      <c r="G55" s="30"/>
      <c r="H55" s="30"/>
      <c r="I55" s="30"/>
    </row>
    <row r="56" spans="4:9" x14ac:dyDescent="0.2">
      <c r="D56" s="18"/>
      <c r="E56" s="30"/>
      <c r="H56" s="30"/>
      <c r="I56" s="30"/>
    </row>
    <row r="57" spans="4:9" x14ac:dyDescent="0.2">
      <c r="D57" s="18"/>
      <c r="E57" s="30"/>
      <c r="F57" s="30"/>
      <c r="H57" s="30"/>
      <c r="I57" s="30"/>
    </row>
    <row r="58" spans="4:9" x14ac:dyDescent="0.2">
      <c r="D58" s="18"/>
      <c r="E58" s="30"/>
      <c r="F58" s="30"/>
      <c r="H58" s="30"/>
      <c r="I58" s="30"/>
    </row>
    <row r="59" spans="4:9" x14ac:dyDescent="0.2">
      <c r="D59" s="18"/>
      <c r="E59" s="30"/>
      <c r="F59" s="30"/>
      <c r="G59" s="30"/>
      <c r="H59" s="30"/>
      <c r="I59" s="30"/>
    </row>
    <row r="60" spans="4:9" x14ac:dyDescent="0.2">
      <c r="D60" s="18"/>
      <c r="E60" s="30"/>
      <c r="F60" s="30"/>
      <c r="G60" s="30"/>
      <c r="H60" s="30"/>
      <c r="I60" s="30"/>
    </row>
    <row r="61" spans="4:9" x14ac:dyDescent="0.2">
      <c r="D61" s="18"/>
      <c r="E61" s="30"/>
      <c r="F61" s="30"/>
      <c r="G61" s="30"/>
      <c r="H61" s="30"/>
      <c r="I61" s="30"/>
    </row>
    <row r="62" spans="4:9" x14ac:dyDescent="0.2">
      <c r="D62" s="18"/>
      <c r="E62" s="30"/>
      <c r="F62" s="30"/>
      <c r="G62" s="30"/>
      <c r="H62" s="30"/>
      <c r="I62" s="30"/>
    </row>
    <row r="63" spans="4:9" x14ac:dyDescent="0.2">
      <c r="D63" s="18"/>
      <c r="E63" s="30"/>
      <c r="F63" s="30"/>
      <c r="G63" s="30"/>
      <c r="H63" s="30"/>
      <c r="I63" s="30"/>
    </row>
    <row r="64" spans="4:9" x14ac:dyDescent="0.2">
      <c r="D64" s="18"/>
      <c r="E64" s="30"/>
      <c r="H64" s="30"/>
      <c r="I64" s="30"/>
    </row>
    <row r="65" spans="4:9" x14ac:dyDescent="0.2">
      <c r="D65" s="18"/>
      <c r="E65" s="30"/>
      <c r="F65" s="30"/>
      <c r="G65" s="30"/>
      <c r="H65" s="30"/>
      <c r="I65" s="30"/>
    </row>
    <row r="66" spans="4:9" x14ac:dyDescent="0.2">
      <c r="D66" s="18"/>
      <c r="E66" s="30"/>
      <c r="H66" s="30"/>
      <c r="I66" s="30"/>
    </row>
    <row r="67" spans="4:9" x14ac:dyDescent="0.2">
      <c r="D67" s="18"/>
      <c r="E67" s="30"/>
      <c r="H67" s="30"/>
      <c r="I67" s="30"/>
    </row>
    <row r="68" spans="4:9" x14ac:dyDescent="0.2">
      <c r="D68" s="18"/>
      <c r="E68" s="30"/>
      <c r="H68" s="30"/>
      <c r="I68" s="30"/>
    </row>
    <row r="69" spans="4:9" x14ac:dyDescent="0.2">
      <c r="D69" s="18"/>
      <c r="E69" s="30"/>
      <c r="F69" s="30"/>
      <c r="H69" s="30"/>
      <c r="I69" s="30"/>
    </row>
    <row r="70" spans="4:9" x14ac:dyDescent="0.2">
      <c r="D70" s="18"/>
      <c r="E70" s="30"/>
      <c r="H70" s="30"/>
      <c r="I70" s="30"/>
    </row>
    <row r="71" spans="4:9" x14ac:dyDescent="0.2">
      <c r="D71" s="18"/>
      <c r="E71" s="30"/>
      <c r="H71" s="30"/>
      <c r="I71" s="30"/>
    </row>
    <row r="72" spans="4:9" x14ac:dyDescent="0.2">
      <c r="D72" s="18"/>
      <c r="E72" s="30"/>
      <c r="F72" s="30"/>
      <c r="H72" s="30"/>
      <c r="I72" s="30"/>
    </row>
    <row r="73" spans="4:9" x14ac:dyDescent="0.2">
      <c r="D73" s="18"/>
      <c r="E73" s="30"/>
      <c r="F73" s="30"/>
      <c r="H73" s="30"/>
      <c r="I73" s="30"/>
    </row>
    <row r="74" spans="4:9" x14ac:dyDescent="0.2">
      <c r="D74" s="18"/>
      <c r="E74" s="30"/>
      <c r="H74" s="30"/>
      <c r="I74" s="30"/>
    </row>
    <row r="75" spans="4:9" x14ac:dyDescent="0.2">
      <c r="D75" s="18"/>
      <c r="E75" s="30"/>
      <c r="H75" s="30"/>
      <c r="I75" s="30"/>
    </row>
    <row r="76" spans="4:9" x14ac:dyDescent="0.2">
      <c r="D76" s="18"/>
      <c r="E76" s="30"/>
      <c r="H76" s="30"/>
      <c r="I76" s="30"/>
    </row>
    <row r="77" spans="4:9" x14ac:dyDescent="0.2">
      <c r="D77" s="18"/>
      <c r="E77" s="30"/>
      <c r="F77" s="30"/>
      <c r="H77" s="30"/>
      <c r="I77" s="30"/>
    </row>
    <row r="78" spans="4:9" x14ac:dyDescent="0.2">
      <c r="D78" s="18"/>
      <c r="E78" s="30"/>
      <c r="F78" s="30"/>
      <c r="H78" s="30"/>
      <c r="I78" s="30"/>
    </row>
    <row r="79" spans="4:9" x14ac:dyDescent="0.2">
      <c r="D79" s="18"/>
      <c r="E79" s="30"/>
      <c r="F79" s="30"/>
    </row>
    <row r="80" spans="4:9" x14ac:dyDescent="0.2">
      <c r="D80" s="18"/>
      <c r="E80" s="30"/>
      <c r="F80" s="30"/>
      <c r="H80" s="30"/>
      <c r="I80" s="30"/>
    </row>
    <row r="81" spans="3:9" x14ac:dyDescent="0.2">
      <c r="D81" s="18"/>
      <c r="E81" s="30"/>
      <c r="H81" s="30"/>
      <c r="I81" s="30"/>
    </row>
    <row r="82" spans="3:9" x14ac:dyDescent="0.2">
      <c r="D82" s="18"/>
      <c r="E82" s="30"/>
      <c r="F82" s="30"/>
      <c r="H82" s="30"/>
      <c r="I82" s="30"/>
    </row>
    <row r="83" spans="3:9" x14ac:dyDescent="0.2">
      <c r="D83" s="18"/>
      <c r="E83" s="30"/>
      <c r="F83" s="30"/>
      <c r="H83" s="30"/>
      <c r="I83" s="30"/>
    </row>
    <row r="84" spans="3:9" x14ac:dyDescent="0.2">
      <c r="C84" s="1"/>
      <c r="D84" s="4"/>
      <c r="E84" s="6"/>
      <c r="F84" s="30"/>
      <c r="H84" s="30"/>
      <c r="I84" s="30"/>
    </row>
    <row r="85" spans="3:9" x14ac:dyDescent="0.2">
      <c r="C85" s="1"/>
      <c r="D85" s="4"/>
      <c r="E85" s="6"/>
      <c r="H85" s="30"/>
      <c r="I85" s="30"/>
    </row>
    <row r="86" spans="3:9" x14ac:dyDescent="0.2">
      <c r="C86" s="1"/>
      <c r="D86" s="4"/>
      <c r="E86" s="6"/>
      <c r="F86" s="30"/>
      <c r="H86" s="30"/>
      <c r="I86" s="30"/>
    </row>
    <row r="87" spans="3:9" x14ac:dyDescent="0.2">
      <c r="C87" s="1"/>
      <c r="D87" s="4"/>
      <c r="E87" s="6"/>
      <c r="F87" s="30"/>
      <c r="H87" s="30"/>
      <c r="I87" s="30"/>
    </row>
    <row r="88" spans="3:9" x14ac:dyDescent="0.2">
      <c r="D88" s="18"/>
      <c r="E88" s="30"/>
      <c r="H88" s="30"/>
      <c r="I88" s="30"/>
    </row>
    <row r="89" spans="3:9" x14ac:dyDescent="0.2">
      <c r="D89" s="18"/>
      <c r="E89" s="30"/>
      <c r="H89" s="30"/>
      <c r="I89" s="30"/>
    </row>
    <row r="90" spans="3:9" x14ac:dyDescent="0.2">
      <c r="D90" s="18"/>
      <c r="E90" s="30"/>
      <c r="F90" s="30"/>
      <c r="G90" s="30"/>
      <c r="H90" s="30"/>
      <c r="I90" s="30"/>
    </row>
    <row r="91" spans="3:9" x14ac:dyDescent="0.2">
      <c r="D91" s="18"/>
      <c r="E91" s="30"/>
      <c r="F91" s="30"/>
      <c r="G91" s="30"/>
      <c r="H91" s="30"/>
      <c r="I91" s="30"/>
    </row>
    <row r="92" spans="3:9" x14ac:dyDescent="0.2">
      <c r="D92" s="18"/>
      <c r="E92" s="30"/>
    </row>
    <row r="93" spans="3:9" x14ac:dyDescent="0.2">
      <c r="D93" s="18"/>
      <c r="E93" s="30"/>
      <c r="H93" s="30"/>
      <c r="I93" s="30"/>
    </row>
    <row r="94" spans="3:9" x14ac:dyDescent="0.2">
      <c r="D94" s="18"/>
      <c r="E94" s="30"/>
      <c r="H94" s="30"/>
      <c r="I94" s="30"/>
    </row>
    <row r="95" spans="3:9" x14ac:dyDescent="0.2">
      <c r="D95" s="18"/>
      <c r="E95" s="30"/>
      <c r="H95" s="30"/>
      <c r="I95" s="30"/>
    </row>
    <row r="96" spans="3:9" x14ac:dyDescent="0.2">
      <c r="D96" s="18"/>
      <c r="E96" s="30"/>
      <c r="F96" s="30"/>
      <c r="H96" s="30"/>
      <c r="I96" s="30"/>
    </row>
    <row r="97" spans="1:9" x14ac:dyDescent="0.2">
      <c r="D97" s="18"/>
      <c r="E97" s="30"/>
      <c r="F97" s="30"/>
      <c r="H97" s="30"/>
      <c r="I97" s="30"/>
    </row>
    <row r="98" spans="1:9" x14ac:dyDescent="0.2">
      <c r="D98" s="18"/>
      <c r="E98" s="30"/>
      <c r="F98" s="30"/>
      <c r="H98" s="30"/>
      <c r="I98" s="30"/>
    </row>
    <row r="99" spans="1:9" x14ac:dyDescent="0.2">
      <c r="D99" s="18"/>
      <c r="E99" s="30"/>
      <c r="F99" s="30"/>
      <c r="H99" s="30"/>
      <c r="I99" s="30"/>
    </row>
    <row r="100" spans="1:9" x14ac:dyDescent="0.2">
      <c r="D100" s="18"/>
      <c r="E100" s="30"/>
      <c r="H100" s="30"/>
      <c r="I100" s="30"/>
    </row>
    <row r="101" spans="1:9" x14ac:dyDescent="0.2">
      <c r="D101" s="18"/>
      <c r="E101" s="30"/>
      <c r="F101" s="30"/>
      <c r="H101" s="30"/>
      <c r="I101" s="30"/>
    </row>
    <row r="102" spans="1:9" x14ac:dyDescent="0.2">
      <c r="D102" s="18"/>
      <c r="E102" s="30"/>
      <c r="F102" s="30"/>
      <c r="H102" s="30"/>
      <c r="I102" s="30"/>
    </row>
    <row r="103" spans="1:9" x14ac:dyDescent="0.2">
      <c r="A103" s="17"/>
      <c r="D103" s="18"/>
      <c r="E103" s="30"/>
      <c r="F103" s="30"/>
    </row>
    <row r="104" spans="1:9" x14ac:dyDescent="0.2">
      <c r="A104" s="17"/>
      <c r="D104" s="18"/>
      <c r="E104" s="30"/>
      <c r="H104" s="30"/>
      <c r="I104" s="30"/>
    </row>
    <row r="105" spans="1:9" x14ac:dyDescent="0.2">
      <c r="A105" s="17"/>
      <c r="D105" s="18"/>
      <c r="E105" s="30"/>
      <c r="F105" s="30"/>
      <c r="H105" s="30"/>
      <c r="I105" s="30"/>
    </row>
    <row r="106" spans="1:9" x14ac:dyDescent="0.2">
      <c r="A106" s="17"/>
      <c r="D106" s="18"/>
      <c r="E106" s="30"/>
      <c r="F106" s="30"/>
      <c r="H106" s="30"/>
      <c r="I106" s="30"/>
    </row>
    <row r="107" spans="1:9" x14ac:dyDescent="0.2">
      <c r="A107" s="17"/>
      <c r="D107" s="18"/>
      <c r="E107" s="30"/>
      <c r="F107" s="30"/>
      <c r="H107" s="30"/>
      <c r="I107" s="30"/>
    </row>
    <row r="108" spans="1:9" x14ac:dyDescent="0.2">
      <c r="A108" s="17"/>
      <c r="D108" s="18"/>
      <c r="E108" s="30"/>
      <c r="H108" s="30"/>
      <c r="I108" s="30"/>
    </row>
    <row r="109" spans="1:9" x14ac:dyDescent="0.2">
      <c r="A109" s="17"/>
      <c r="D109" s="18"/>
      <c r="E109" s="30"/>
      <c r="F109" s="30"/>
      <c r="H109" s="30"/>
      <c r="I109" s="30"/>
    </row>
    <row r="110" spans="1:9" x14ac:dyDescent="0.2">
      <c r="A110" s="17"/>
      <c r="D110" s="18"/>
      <c r="E110" s="30"/>
      <c r="H110" s="30"/>
      <c r="I110" s="30"/>
    </row>
    <row r="111" spans="1:9" x14ac:dyDescent="0.2">
      <c r="A111" s="17"/>
      <c r="D111" s="18"/>
      <c r="E111" s="30"/>
      <c r="F111" s="30"/>
      <c r="G111" s="30"/>
      <c r="H111" s="30"/>
      <c r="I111" s="30"/>
    </row>
    <row r="112" spans="1:9" x14ac:dyDescent="0.2">
      <c r="A112" s="17"/>
      <c r="D112" s="18"/>
      <c r="E112" s="30"/>
      <c r="F112" s="30"/>
      <c r="G112" s="30"/>
      <c r="H112" s="30"/>
      <c r="I112" s="30"/>
    </row>
    <row r="113" spans="1:9" x14ac:dyDescent="0.2">
      <c r="A113" s="17"/>
      <c r="D113" s="18"/>
      <c r="E113" s="30"/>
      <c r="G113" s="30"/>
      <c r="H113" s="30"/>
      <c r="I113" s="30"/>
    </row>
    <row r="114" spans="1:9" x14ac:dyDescent="0.2">
      <c r="A114" s="17"/>
      <c r="D114" s="18"/>
      <c r="E114" s="30"/>
      <c r="F114" s="30"/>
      <c r="G114" s="30"/>
      <c r="H114" s="30"/>
      <c r="I114" s="30"/>
    </row>
    <row r="115" spans="1:9" x14ac:dyDescent="0.2">
      <c r="A115" s="17"/>
      <c r="D115" s="18"/>
      <c r="E115" s="30"/>
      <c r="F115" s="30"/>
      <c r="G115" s="30"/>
    </row>
    <row r="116" spans="1:9" x14ac:dyDescent="0.2">
      <c r="A116" s="17"/>
      <c r="D116" s="18"/>
      <c r="E116" s="30"/>
    </row>
    <row r="117" spans="1:9" x14ac:dyDescent="0.2">
      <c r="A117" s="17"/>
      <c r="D117" s="18"/>
      <c r="E117" s="30"/>
    </row>
    <row r="118" spans="1:9" x14ac:dyDescent="0.2">
      <c r="A118" s="17"/>
      <c r="D118" s="18"/>
      <c r="E118" s="30"/>
      <c r="F118" s="30"/>
      <c r="G118" s="30"/>
      <c r="H118" s="30"/>
      <c r="I118" s="30"/>
    </row>
    <row r="119" spans="1:9" x14ac:dyDescent="0.2">
      <c r="A119" s="17"/>
      <c r="D119" s="18"/>
      <c r="E119" s="30"/>
      <c r="F119" s="30"/>
      <c r="G119" s="30"/>
      <c r="H119" s="30"/>
      <c r="I119" s="30"/>
    </row>
  </sheetData>
  <customSheetViews>
    <customSheetView guid="{8A75D892-44B4-104C-BB94-8EB0D0E43396}" topLeftCell="B1">
      <pane ySplit="1" topLeftCell="A96" activePane="bottomLeft" state="frozen"/>
      <selection pane="bottomLeft" activeCell="H133" sqref="H133"/>
      <pageMargins left="0.7" right="0.7" top="0.75" bottom="0.75" header="0.3" footer="0.3"/>
    </customSheetView>
  </customSheetView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8</vt:i4>
      </vt:variant>
    </vt:vector>
  </HeadingPairs>
  <TitlesOfParts>
    <vt:vector size="8" baseType="lpstr">
      <vt:lpstr>maze1</vt:lpstr>
      <vt:lpstr>maze2</vt:lpstr>
      <vt:lpstr>turning_frequencies_maze1</vt:lpstr>
      <vt:lpstr>turning_frequencies_maze2</vt:lpstr>
      <vt:lpstr>light_levels_maze2</vt:lpstr>
      <vt:lpstr>light_levels_maze1</vt:lpstr>
      <vt:lpstr>Sheet2</vt:lpstr>
      <vt:lpstr>Sheet3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Andre Scheepers</dc:creator>
  <cp:lastModifiedBy>Andre Scheepers</cp:lastModifiedBy>
  <dcterms:created xsi:type="dcterms:W3CDTF">2024-02-23T15:38:35Z</dcterms:created>
  <dcterms:modified xsi:type="dcterms:W3CDTF">2025-05-05T19:18:46Z</dcterms:modified>
</cp:coreProperties>
</file>