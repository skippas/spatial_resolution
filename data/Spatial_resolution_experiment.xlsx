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userNames1.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9.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5.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093C1C54-0B67-CC4C-8563-3837D00EB9B7}" xr6:coauthVersionLast="47" xr6:coauthVersionMax="47" xr10:uidLastSave="{00000000-0000-0000-0000-000000000000}"/>
  <bookViews>
    <workbookView xWindow="60" yWindow="500" windowWidth="37480" windowHeight="211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<sst xmlns="http://schemas.openxmlformats.org/spreadsheetml/2006/main" count="5612" uniqueCount="806">
  <si>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</si>
  <si>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</si>
  <si>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</si>
  <si>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</si>
  <si>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</si>
  <si>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</si>
  <si>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</si>
  <si>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</si>
  <si>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</si>
  <si>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</si>
  <si>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</si>
  <si>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</si>
  <si>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</si>
  <si>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</si>
  <si>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</si>
  <si>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</si>
  <si>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</si>
  <si>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</si>
  <si>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</si>
  <si>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</si>
  <si>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</si>
  <si>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</si>
  <si>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</si>
  <si>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</si>
  <si>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</si>
  <si>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</si>
  <si>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</si>
  <si>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</si>
  <si>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</si>
  <si>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</si>
  <si>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</si>
  <si>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</si>
  <si>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</si>
  <si>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</si>
  <si>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</si>
  <si>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</si>
  <si>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</si>
  <si>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</si>
  <si>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</si>
  <si>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</si>
  <si>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</si>
  <si>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</si>
  <si>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</si>
  <si>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</si>
  <si>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</si>
  <si>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</si>
  <si>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</si>
  <si>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</si>
  <si>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</si>
  <si>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</si>
  <si>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</si>
  <si>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</si>
  <si>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</si>
  <si>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</si>
  <si>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</si>
  <si>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</si>
  <si>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</si>
  <si>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</si>
  <si>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</si>
  <si>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</si>
  <si>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</si>
  <si>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</si>
  <si>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</si>
  <si>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</si>
  <si>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</si>
  <si>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</si>
  <si>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</si>
  <si>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</si>
  <si>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</si>
  <si>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</si>
  <si>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</si>
  <si>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</si>
  <si>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</si>
  <si>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</si>
  <si>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</si>
  <si>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</si>
  <si>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</si>
  <si>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</si>
  <si>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</si>
  <si>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</si>
  <si>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</si>
  <si>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</si>
  <si>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</si>
  <si>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</si>
  <si>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</si>
  <si>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</si>
  <si>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</si>
  <si>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</si>
  <si>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</si>
  <si>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</si>
  <si>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</si>
  <si>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</si>
  <si>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</si>
  <si>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</si>
  <si>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</si>
  <si>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</si>
  <si>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</si>
  <si>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</si>
  <si>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</si>
  <si>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</si>
  <si>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</si>
  <si>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</si>
  <si>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</si>
  <si>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</si>
  <si>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</si>
  <si>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</si>
  <si>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</si>
  <si>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</si>
  <si>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</si>
  <si>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</si>
  <si>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</si>
  <si>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</si>
  <si>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</si>
  <si>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</si>
  <si>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</si>
  <si>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</si>
  <si>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</si>
  <si>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</si>
  <si>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</si>
  <si>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</si>
  <si>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</si>
  <si>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</si>
  <si>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</si>
  <si>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</si>
  <si>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</si>
  <si>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</si>
  <si>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</si>
  <si>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</si>
  <si>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</si>
  <si>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</si>
  <si>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</si>
  <si>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</si>
  <si>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</si>
  <si>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</si>
  <si>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</si>
  <si>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</si>
  <si>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</si>
  <si>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</si>
  <si>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</si>
  <si>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</si>
  <si>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</si>
  <si>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</si>
  <si>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</si>
  <si>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</si>
  <si>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</si>
  <si>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</si>
  <si>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</si>
  <si>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</si>
  <si>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</si>
  <si>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</si>
  <si>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</si>
  <si>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</si>
  <si>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</si>
  <si>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</si>
  <si>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</si>
  <si>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</si>
  <si>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</si>
  <si>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</si>
  <si>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</si>
  <si>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</si>
  <si>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</si>
  <si>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</si>
  <si>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</si>
  <si>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</si>
  <si>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</si>
  <si>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</si>
  <si>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</si>
  <si>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</si>
  <si>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</si>
  <si>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</si>
  <si>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</si>
  <si>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</si>
  <si>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</si>
  <si>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</si>
  <si>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</si>
  <si>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</si>
  <si>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</si>
  <si>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</si>
  <si>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</si>
  <si>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</si>
  <si>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</si>
  <si>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</si>
  <si>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</si>
  <si>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</si>
  <si>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</si>
  <si>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</si>
  <si>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</si>
  <si>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</si>
  <si>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</si>
  <si>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</si>
  <si>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</si>
  <si>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</si>
  <si>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</si>
  <si>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</si>
  <si>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</si>
  <si>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</si>
  <si>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</si>
  <si>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</si>
  <si>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</si>
  <si>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</si>
  <si>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</si>
  <si>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</si>
  <si>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</si>
  <si>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</si>
  <si>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</si>
  <si>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</si>
  <si>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</si>
  <si>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</si>
  <si>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</si>
  <si>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</si>
  <si>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</si>
  <si>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</si>
  <si>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</si>
  <si>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</si>
  <si>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</si>
  <si>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</si>
  <si>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</si>
  <si>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</si>
  <si>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</si>
  <si>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</si>
  <si>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</si>
  <si>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</si>
  <si>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</si>
  <si>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</si>
  <si>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</si>
  <si>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</si>
  <si>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</si>
  <si>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</si>
  <si>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</si>
  <si>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</si>
  <si>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</si>
  <si>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</si>
  <si>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</si>
  <si>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</si>
  <si>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</si>
  <si>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</si>
  <si>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</si>
  <si>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</si>
  <si>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</si>
  <si>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</si>
  <si>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</si>
  <si>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</si>
  <si>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</si>
  <si>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</si>
  <si>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</si>
  <si>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</si>
  <si>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</si>
  <si>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</si>
  <si>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</si>
  <si>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</si>
  <si>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</si>
  <si>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</si>
  <si>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</si>
  <si>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</si>
  <si>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</si>
  <si>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</si>
  <si>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</si>
  <si>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</si>
  <si>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</si>
  <si>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</si>
  <si>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</si>
  <si>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</si>
  <si>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</si>
  <si>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</si>
  <si>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</si>
  <si>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</si>
  <si>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</si>
  <si>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</si>
  <si>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</si>
  <si>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</si>
  <si>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</si>
  <si>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</si>
  <si>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</si>
  <si>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</si>
  <si>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</si>
  <si>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</si>
  <si>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</si>
  <si>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</si>
  <si>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</si>
  <si>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</si>
  <si>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</si>
  <si>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</si>
  <si>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</si>
  <si>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</si>
  <si>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</si>
  <si>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</si>
  <si>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</si>
  <si>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</si>
  <si>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</si>
  <si>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</si>
  <si>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</si>
  <si>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</si>
  <si>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</si>
  <si>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</si>
  <si>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</si>
  <si>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</si>
  <si>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</si>
  <si>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</si>
  <si>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</si>
  <si>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</si>
  <si>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</si>
  <si>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</si>
  <si>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</si>
  <si>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</si>
  <si>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</si>
  <si>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</si>
  <si>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</si>
  <si>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</si>
  <si>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</si>
  <si>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</si>
  <si>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</si>
  <si>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</si>
  <si>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</si>
  <si>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</si>
  <si>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</si>
  <si>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</si>
  <si>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</si>
  <si>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</si>
  <si>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</si>
  <si>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</si>
  <si>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</si>
  <si>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</si>
  <si>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</si>
  <si>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</si>
  <si>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</si>
  <si>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</si>
  <si>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</si>
  <si>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</si>
  <si>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</si>
  <si>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</si>
  <si>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</si>
  <si>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</si>
  <si>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</si>
  <si>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</si>
  <si>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</si>
  <si>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</si>
  <si>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</si>
  <si>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</si>
  <si>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</si>
  <si>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</si>
  <si>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</si>
  <si>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</si>
  <si>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</si>
  <si>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</si>
  <si>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</si>
  <si>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</si>
  <si>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</si>
  <si>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</si>
  <si>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</si>
  <si>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</si>
  <si>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</si>
  <si>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</si>
  <si>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</si>
  <si>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</si>
  <si>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</si>
  <si>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</si>
  <si>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</si>
  <si>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</si>
  <si>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</si>
  <si>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</si>
  <si>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</si>
  <si>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</si>
  <si>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</si>
  <si>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</si>
  <si>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</si>
  <si>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</si>
  <si>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</si>
  <si>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</si>
  <si>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</si>
  <si>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</si>
  <si>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</si>
  <si>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</si>
  <si>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</si>
  <si>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</si>
  <si>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</si>
  <si>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</si>
  <si>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</si>
  <si>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</si>
  <si>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</si>
  <si>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</si>
  <si>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</si>
  <si>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</si>
  <si>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</si>
  <si>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</si>
  <si>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</si>
  <si>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</si>
  <si>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</si>
  <si>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</si>
  <si>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</si>
  <si>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</si>
  <si>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</si>
  <si>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</si>
  <si>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</si>
  <si>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</si>
  <si>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</si>
  <si>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</si>
  <si>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</si>
  <si>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</si>
  <si>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</si>
  <si>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</si>
  <si>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</si>
  <si>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</si>
  <si>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</si>
  <si>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</si>
  <si>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</si>
  <si>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</si>
  <si>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</si>
  <si>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</si>
  <si>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</si>
  <si>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</si>
  <si>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</si>
  <si>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</si>
  <si>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</si>
  <si>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</si>
  <si>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</si>
  <si>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</si>
  <si>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</si>
  <si>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</si>
  <si>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</si>
  <si>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</si>
  <si>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</si>
  <si>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</si>
  <si>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</si>
  <si>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</si>
  <si>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</si>
  <si>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</si>
  <si>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</si>
  <si>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</si>
  <si>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</si>
  <si>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</si>
  <si>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</si>
  <si>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</si>
  <si>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</si>
  <si>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</si>
  <si>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</si>
  <si>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</si>
  <si>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</si>
  <si>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</si>
  <si>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</si>
  <si>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</si>
  <si>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</si>
  <si>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</si>
  <si>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</si>
  <si>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</si>
  <si>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</si>
  <si>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</si>
  <si>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</si>
  <si>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</si>
  <si>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</si>
  <si>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</si>
  <si>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</si>
  <si>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</si>
  <si>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</si>
  <si>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</si>
  <si>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</si>
  <si>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</si>
  <si>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</si>
  <si>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</si>
  <si>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</si>
  <si>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</si>
  <si>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</si>
  <si>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</si>
  <si>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</si>
  <si>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</si>
  <si>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</si>
  <si>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</si>
  <si>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</si>
  <si>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</si>
  <si>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</si>
  <si>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</si>
  <si>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</si>
  <si>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</si>
  <si>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</si>
  <si>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</si>
  <si>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</si>
  <si>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</si>
  <si>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</si>
  <si>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</si>
  <si>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</si>
  <si>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</si>
  <si>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</si>
  <si>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</si>
  <si>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</si>
  <si>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</si>
  <si>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</si>
  <si>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</si>
  <si>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</si>
  <si>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</si>
  <si>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</si>
  <si>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</si>
  <si>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</si>
  <si>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</si>
  <si>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</si>
  <si>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</si>
  <si>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</si>
  <si>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</si>
  <si>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</si>
  <si>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</si>
  <si>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</si>
  <si>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</si>
  <si>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</si>
  <si>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</si>
  <si>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</si>
  <si>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</si>
  <si>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</si>
  <si>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</si>
  <si>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</si>
  <si>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</si>
  <si>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</si>
  <si>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</si>
  <si>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</si>
  <si>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</si>
  <si>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</si>
  <si>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</si>
  <si>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</si>
  <si>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</si>
  <si>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</si>
  <si>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</si>
  <si>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</si>
  <si>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</si>
  <si>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</si>
  <si>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</si>
  <si>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</si>
  <si>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</si>
  <si>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</si>
  <si>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</si>
  <si>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</si>
  <si>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</si>
  <si>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</si>
  <si>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</si>
  <si>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</si>
  <si>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</si>
  <si>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</si>
  <si>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</si>
  <si>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</si>
  <si>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</si>
  <si>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</si>
  <si>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</si>
  <si>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</si>
  <si>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</si>
  <si>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</si>
  <si>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</si>
  <si>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</si>
  <si>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</si>
  <si>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</si>
  <si>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</si>
  <si>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</si>
  <si>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</si>
  <si>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</si>
  <si>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</si>
  <si>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</si>
  <si>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</si>
  <si>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</si>
  <si>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</si>
  <si>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</si>
  <si>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</si>
  <si>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</si>
  <si>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</si>
  <si>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</si>
  <si>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</si>
  <si>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</si>
  <si>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</si>
  <si>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</si>
  <si>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</si>
  <si>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</si>
  <si>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</si>
  <si>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</si>
  <si>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</si>
  <si>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</si>
  <si>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</si>
  <si>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</si>
  <si>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</si>
  <si>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</si>
  <si>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</si>
  <si>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</si>
  <si>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</si>
  <si>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</si>
  <si>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</si>
  <si>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</si>
  <si>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</si>
  <si>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</si>
  <si>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</si>
  <si>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</si>
  <si>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</si>
  <si>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</si>
  <si>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</si>
  <si>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</si>
  <si>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</si>
  <si>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</si>
  <si>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</si>
  <si>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</si>
  <si>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</si>
  <si>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</si>
  <si>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</si>
  <si>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</si>
  <si>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</si>
  <si>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</si>
  <si>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</si>
  <si>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</si>
  <si>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</si>
  <si>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</si>
  <si>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</si>
  <si>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</si>
  <si>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</si>
  <si>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</si>
  <si>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</si>
  <si>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</si>
  <si>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</si>
  <si>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</si>
  <si>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</si>
  <si>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</si>
  <si>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</si>
  <si>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</si>
  <si>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</si>
  <si>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</si>
  <si>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</si>
  <si>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</si>
  <si>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</si>
  <si>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</si>
  <si>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</si>
  <si>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</si>
  <si>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</si>
  <si>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</si>
  <si>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</si>
  <si>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</si>
  <si>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</si>
  <si>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</si>
  <si>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</si>
  <si>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</si>
  <si>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</si>
  <si>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</si>
  <si>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</si>
  <si>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</si>
  <si>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</si>
  <si>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</si>
  <si>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</si>
  <si>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</si>
  <si>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</si>
  <si>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</si>
  <si>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</si>
  <si>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</si>
  <si>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</si>
  <si>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</si>
  <si>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</si>
  <si>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</si>
  <si>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</si>
  <si>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</si>
  <si>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</si>
  <si>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</si>
  <si>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</si>
  <si>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</si>
  <si>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</si>
  <si>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</si>
  <si>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</si>
  <si>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</si>
  <si>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</si>
  <si>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</si>
  <si>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</si>
  <si>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</si>
  <si>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</si>
  <si>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</si>
  <si>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</si>
  <si>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</si>
  <si>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</si>
  <si>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</si>
  <si>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</si>
  <si>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</si>
  <si>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</si>
  <si>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</si>
  <si>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</si>
  <si>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</si>
  <si>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</si>
  <si>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</si>
  <si>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</si>
  <si>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</si>
  <si>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</si>
  <si>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</si>
  <si>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</si>
  <si>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</si>
  <si>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</si>
  <si>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</si>
  <si>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</si>
  <si>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</si>
  <si>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</si>
  <si>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</si>
  <si>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</si>
  <si>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</si>
  <si>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</si>
  <si>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</si>
  <si>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</si>
  <si>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</si>
  <si>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</si>
  <si>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</si>
  <si>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</si>
  <si>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</si>
  <si>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</si>
  <si>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</si>
  <si>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</si>
  <si>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</si>
  <si>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</si>
  <si>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</si>
  <si>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</si>
  <si>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</si>
  <si>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</si>
  <si>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</si>
  <si>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</si>
  <si>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</si>
  <si>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</si>
  <si>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</si>
  <si>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</si>
  <si>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</si>
  <si>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</si>
  <si>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</si>
  <si>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</si>
  <si>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</si>
  <si>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</si>
  <si>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</si>
  <si>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</si>
  <si>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</si>
  <si>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</si>
  <si>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</si>
  <si>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</si>
  <si>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</si>
  <si>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</si>
  <si>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</si>
  <si>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</si>
  <si>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</si>
  <si>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</si>
  <si>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</si>
  <si>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</si>
  <si>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</si>
  <si>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</si>
  <si>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</si>
  <si>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</si>
  <si>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</si>
  <si>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</si>
  <si>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</si>
  <si>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</si>
  <si>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</si>
  <si>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</si>
  <si>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</si>
  <si>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</si>
  <si>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</si>
  <si>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</si>
  <si>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</si>
  <si>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</si>
  <si>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</si>
  <si>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</si>
  <si>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</si>
  <si>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</si>
  <si>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</si>
  <si>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</si>
  <si>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</si>
  <si>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</si>
  <si>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</si>
  <si>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</si>
  <si>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</si>
  <si>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</si>
  <si>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</si>
  <si>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</si>
  <si>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</si>
  <si>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</si>
  <si>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</si>
  <si>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</si>
  <si>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</si>
  <si>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</si>
  <si>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</si>
  <si>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</si>
  <si>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</si>
  <si>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</si>
  <si>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</si>
  <si>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</si>
  <si>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</si>
  <si>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</si>
  <si>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</si>
  <si>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</si>
  <si>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</si>
  <si>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</si>
  <si>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</si>
  <si>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</si>
  <si>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</si>
  <si>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</si>
  <si>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</si>
  <si>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</si>
  <si>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</si>
  <si>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</si>
  <si>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</si>
  <si>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</si>
  <si>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</si>
  <si>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</si>
  <si>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</si>
  <si>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</si>
  <si>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</si>
  <si>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</si>
  <si>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</si>
  <si>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</si>
  <si>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</si>
  <si>
    <t>nest2</t>
  </si>
  <si>
    <t>1.2</t>
  </si>
  <si>
    <t>1.1</t>
  </si>
  <si>
    <t>1.3</t>
  </si>
  <si>
    <t>2.1</t>
  </si>
  <si>
    <t>2.2</t>
  </si>
  <si>
    <t>2.3</t>
  </si>
  <si>
    <t>2.4</t>
  </si>
  <si>
    <t>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</si>
</sst>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40">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xf numFmtId="0" fontId="0" fillId="0" borderId="0" xfId="0" applyNumberFormat="1" applyAlignment="1">
      <alignment horizontal="left"/>
    </xf>
    <xf numFmtId="0" fontId="2" fillId="0" borderId="0" xfId="0" applyNumberFormat="1" applyFont="1" applyAlignment="1">
      <alignment horizontal="left"/>
    </xf>
    <xf numFmtId="0" fontId="0" fillId="2" borderId="0" xfId="0" applyNumberFormat="1" applyFill="1" applyAlignment="1">
      <alignment horizontal="left"/>
    </xf>
    <xf numFmtId="0" fontId="0" fillId="3" borderId="0" xfId="0" applyNumberFormat="1" applyFill="1" applyAlignment="1">
      <alignment horizontal="left"/>
    </xf>
    <xf numFmtId="0" fontId="3" fillId="0" borderId="0" xfId="0" applyNumberFormat="1" applyFont="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usernames" Target="revisions/userNames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50" Type="http://schemas.openxmlformats.org/officeDocument/2006/relationships/revisionLog" Target="revisionLog50.xml"/><Relationship Id="rId55" Type="http://schemas.openxmlformats.org/officeDocument/2006/relationships/revisionLog" Target="revisionLog55.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5" Type="http://schemas.openxmlformats.org/officeDocument/2006/relationships/revisionLog" Target="revisionLog5.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8" Type="http://schemas.openxmlformats.org/officeDocument/2006/relationships/revisionLog" Target="revisionLog8.xml"/><Relationship Id="rId51" Type="http://schemas.openxmlformats.org/officeDocument/2006/relationships/revisionLog" Target="revisionLog51.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1" Type="http://schemas.openxmlformats.org/officeDocument/2006/relationships/revisionLog" Target="revisionLog1.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B47CABE0-EF07-FE42-9DA0-E8F7BFBE8C36}" diskRevisions="1" revisionId="9997" version="60">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 guid="{ACEC0B86-39A8-134E-B374-E90D877A69D8}" dateTime="2026-09-29T15:16:29" maxSheetId="9" userName="Andre Scheepers" r:id="rId50" minRId="7900" maxRId="7901">
    <sheetIdMap count="8">
      <sheetId val="1"/>
      <sheetId val="2"/>
      <sheetId val="4"/>
      <sheetId val="5"/>
      <sheetId val="6"/>
      <sheetId val="7"/>
      <sheetId val="8"/>
      <sheetId val="3"/>
    </sheetIdMap>
  </header>
  <header guid="{862A83D5-7B1E-AF4B-B26C-3C4FCFC50891}" dateTime="2026-09-29T15:30:15" maxSheetId="9" userName="Andre Scheepers" r:id="rId51">
    <sheetIdMap count="8">
      <sheetId val="1"/>
      <sheetId val="2"/>
      <sheetId val="4"/>
      <sheetId val="5"/>
      <sheetId val="6"/>
      <sheetId val="7"/>
      <sheetId val="8"/>
      <sheetId val="3"/>
    </sheetIdMap>
  </header>
  <header guid="{1D7C1F56-DEAD-E147-8E12-1EBA307B34E5}" dateTime="2026-09-29T15:31:16" maxSheetId="9" userName="Andre Scheepers" r:id="rId52">
    <sheetIdMap count="8">
      <sheetId val="1"/>
      <sheetId val="2"/>
      <sheetId val="4"/>
      <sheetId val="5"/>
      <sheetId val="6"/>
      <sheetId val="7"/>
      <sheetId val="8"/>
      <sheetId val="3"/>
    </sheetIdMap>
  </header>
  <header guid="{4F4B0B84-E98F-D44C-8EF6-FFEF6DB1B1A5}" dateTime="2026-09-29T15:37:07" maxSheetId="9" userName="Andre Scheepers" r:id="rId53">
    <sheetIdMap count="8">
      <sheetId val="1"/>
      <sheetId val="2"/>
      <sheetId val="4"/>
      <sheetId val="5"/>
      <sheetId val="6"/>
      <sheetId val="7"/>
      <sheetId val="8"/>
      <sheetId val="3"/>
    </sheetIdMap>
  </header>
  <header guid="{2BE1D440-B071-FB47-9A13-99989B8F14C3}" dateTime="2026-09-29T15:37:25" maxSheetId="9" userName="Andre Scheepers" r:id="rId54">
    <sheetIdMap count="8">
      <sheetId val="1"/>
      <sheetId val="2"/>
      <sheetId val="4"/>
      <sheetId val="5"/>
      <sheetId val="6"/>
      <sheetId val="7"/>
      <sheetId val="8"/>
      <sheetId val="3"/>
    </sheetIdMap>
  </header>
  <header guid="{7E9ABEFF-AA53-794F-B32F-315075794F41}" dateTime="2026-09-29T15:38:12" maxSheetId="9" userName="Andre Scheepers" r:id="rId55" minRId="7902">
    <sheetIdMap count="8">
      <sheetId val="1"/>
      <sheetId val="2"/>
      <sheetId val="4"/>
      <sheetId val="5"/>
      <sheetId val="6"/>
      <sheetId val="7"/>
      <sheetId val="8"/>
      <sheetId val="3"/>
    </sheetIdMap>
  </header>
  <header guid="{39D571B3-A9F3-554B-A78E-1014341D853D}" dateTime="2026-09-29T15:41:55" maxSheetId="9" userName="Andre Scheepers" r:id="rId56" minRId="7903" maxRId="8576">
    <sheetIdMap count="8">
      <sheetId val="1"/>
      <sheetId val="2"/>
      <sheetId val="4"/>
      <sheetId val="5"/>
      <sheetId val="6"/>
      <sheetId val="7"/>
      <sheetId val="8"/>
      <sheetId val="3"/>
    </sheetIdMap>
  </header>
  <header guid="{97156208-2669-D14D-8C16-7C34DF1B3B77}" dateTime="2026-09-29T15:43:11" maxSheetId="9" userName="Andre Scheepers" r:id="rId57" minRId="8577" maxRId="8791">
    <sheetIdMap count="8">
      <sheetId val="1"/>
      <sheetId val="2"/>
      <sheetId val="4"/>
      <sheetId val="5"/>
      <sheetId val="6"/>
      <sheetId val="7"/>
      <sheetId val="8"/>
      <sheetId val="3"/>
    </sheetIdMap>
  </header>
  <header guid="{1765A7D1-68CD-8345-A446-E0920C33A179}" dateTime="2026-09-29T15:46:30" maxSheetId="9" userName="Andre Scheepers" r:id="rId58" minRId="8792" maxRId="9468">
    <sheetIdMap count="8">
      <sheetId val="1"/>
      <sheetId val="2"/>
      <sheetId val="4"/>
      <sheetId val="5"/>
      <sheetId val="6"/>
      <sheetId val="7"/>
      <sheetId val="8"/>
      <sheetId val="3"/>
    </sheetIdMap>
  </header>
  <header guid="{B1A9D911-F7D6-554B-8634-35963F97B9D8}" dateTime="2026-09-29T16:03:20" maxSheetId="9" userName="Andre Scheepers" r:id="rId59" minRId="9469" maxRId="9996">
    <sheetIdMap count="8">
      <sheetId val="1"/>
      <sheetId val="2"/>
      <sheetId val="4"/>
      <sheetId val="5"/>
      <sheetId val="6"/>
      <sheetId val="7"/>
      <sheetId val="8"/>
      <sheetId val="3"/>
    </sheetIdMap>
  </header>
  <header guid="{B47CABE0-EF07-FE42-9DA0-E8F7BFBE8C36}" dateTime="2026-09-29T16:04:06" maxSheetId="9" userName="Andre Scheepers" r:id="rId60" minRId="9997">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0" sId="1">
    <oc r="D32" t="inlineStr">
      <is>
        <t>2?</t>
      </is>
    </oc>
    <nc r="D32">
      <v>2</v>
    </nc>
  </rcc>
  <rcc rId="7901" sId="1" odxf="1" dxf="1">
    <oc r="U32" t="inlineStr">
      <is>
        <t>I had switched sides by the time already before she left , so she didn’t get switched and she started on 0.05. She finally leaves after about 8 minutes of struggling.</t>
      </is>
    </oc>
    <nc r="U32" t="inlineStr">
      <is>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is>
    </nc>
    <odxf>
      <alignment wrapText="0"/>
    </odxf>
    <ndxf>
      <alignment wrapText="1"/>
    </ndxf>
  </rcc>
  <rfmt sheetId="1" sqref="U32">
    <dxf>
      <alignment wrapText="0"/>
    </dxf>
  </rfmt>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numFmt numFmtId="0" formatCode="General"/>
    </dxf>
  </rfmt>
  <rfmt sheetId="1" sqref="B1:B1048576">
    <dxf>
      <numFmt numFmtId="30" formatCode="@"/>
    </dxf>
  </rfmt>
  <rfmt sheetId="2" sqref="B1:B1048576">
    <dxf>
      <numFmt numFmtId="30" formatCode="@"/>
    </dxf>
  </rfmt>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O1:O1048576">
    <dxf>
      <numFmt numFmtId="0" formatCode="General"/>
    </dxf>
  </rfmt>
  <rfmt sheetId="1" sqref="O1:O1048576">
    <dxf>
      <numFmt numFmtId="0" formatCode="General"/>
    </dxf>
  </rfmt>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B1:B1048576">
    <dxf>
      <numFmt numFmtId="0" formatCode="General"/>
    </dxf>
  </rfmt>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B1:B1048576">
    <dxf>
      <numFmt numFmtId="0" formatCode="General"/>
    </dxf>
  </rfmt>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2" sId="2">
    <oc r="T27" t="inlineStr">
      <is>
        <t>1*</t>
      </is>
    </oc>
    <nc r="T27">
      <v>1</v>
    </nc>
  </rcc>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3" sId="1">
    <oc r="P2" t="inlineStr">
      <is>
        <t>90</t>
      </is>
    </oc>
    <nc r="P2">
      <v>90</v>
    </nc>
  </rcc>
  <rcc rId="7904" sId="1">
    <oc r="P3" t="inlineStr">
      <is>
        <t>90</t>
      </is>
    </oc>
    <nc r="P3">
      <v>90</v>
    </nc>
  </rcc>
  <rcc rId="7905" sId="1">
    <oc r="P4" t="inlineStr">
      <is>
        <t>90</t>
      </is>
    </oc>
    <nc r="P4">
      <v>90</v>
    </nc>
  </rcc>
  <rcc rId="7906" sId="1">
    <oc r="P5" t="inlineStr">
      <is>
        <t>90</t>
      </is>
    </oc>
    <nc r="P5">
      <v>90</v>
    </nc>
  </rcc>
  <rcc rId="7907" sId="1">
    <oc r="P6" t="inlineStr">
      <is>
        <t>90</t>
      </is>
    </oc>
    <nc r="P6">
      <v>90</v>
    </nc>
  </rcc>
  <rcc rId="7908" sId="1">
    <oc r="P7" t="inlineStr">
      <is>
        <t>90</t>
      </is>
    </oc>
    <nc r="P7">
      <v>90</v>
    </nc>
  </rcc>
  <rcc rId="7909" sId="1">
    <oc r="P8" t="inlineStr">
      <is>
        <t>90</t>
      </is>
    </oc>
    <nc r="P8">
      <v>90</v>
    </nc>
  </rcc>
  <rcc rId="7910" sId="1">
    <oc r="P9" t="inlineStr">
      <is>
        <t>90</t>
      </is>
    </oc>
    <nc r="P9">
      <v>90</v>
    </nc>
  </rcc>
  <rcc rId="7911" sId="1">
    <oc r="P10" t="inlineStr">
      <is>
        <t>90</t>
      </is>
    </oc>
    <nc r="P10">
      <v>90</v>
    </nc>
  </rcc>
  <rcc rId="7912" sId="1">
    <oc r="P11" t="inlineStr">
      <is>
        <t>90</t>
      </is>
    </oc>
    <nc r="P11">
      <v>90</v>
    </nc>
  </rcc>
  <rcc rId="7913" sId="1">
    <oc r="P12" t="inlineStr">
      <is>
        <t>90</t>
      </is>
    </oc>
    <nc r="P12">
      <v>90</v>
    </nc>
  </rcc>
  <rcc rId="7914" sId="1">
    <oc r="P13" t="inlineStr">
      <is>
        <t>90</t>
      </is>
    </oc>
    <nc r="P13">
      <v>90</v>
    </nc>
  </rcc>
  <rcc rId="7915" sId="1">
    <oc r="P14" t="inlineStr">
      <is>
        <t>90</t>
      </is>
    </oc>
    <nc r="P14">
      <v>90</v>
    </nc>
  </rcc>
  <rcc rId="7916" sId="1">
    <oc r="P15" t="inlineStr">
      <is>
        <t>90</t>
      </is>
    </oc>
    <nc r="P15">
      <v>90</v>
    </nc>
  </rcc>
  <rcc rId="7917" sId="1">
    <oc r="P16" t="inlineStr">
      <is>
        <t>90</t>
      </is>
    </oc>
    <nc r="P16">
      <v>90</v>
    </nc>
  </rcc>
  <rcc rId="7918" sId="1">
    <oc r="P17" t="inlineStr">
      <is>
        <t>90</t>
      </is>
    </oc>
    <nc r="P17">
      <v>90</v>
    </nc>
  </rcc>
  <rcc rId="7919" sId="1">
    <oc r="P18" t="inlineStr">
      <is>
        <t>90</t>
      </is>
    </oc>
    <nc r="P18">
      <v>90</v>
    </nc>
  </rcc>
  <rcc rId="7920" sId="1">
    <oc r="P19" t="inlineStr">
      <is>
        <t>90</t>
      </is>
    </oc>
    <nc r="P19">
      <v>90</v>
    </nc>
  </rcc>
  <rcc rId="7921" sId="1">
    <oc r="P20" t="inlineStr">
      <is>
        <t>90</t>
      </is>
    </oc>
    <nc r="P20">
      <v>90</v>
    </nc>
  </rcc>
  <rcc rId="7922" sId="1">
    <oc r="P21" t="inlineStr">
      <is>
        <t>90</t>
      </is>
    </oc>
    <nc r="P21">
      <v>90</v>
    </nc>
  </rcc>
  <rcc rId="7923" sId="1">
    <oc r="P22" t="inlineStr">
      <is>
        <t>90</t>
      </is>
    </oc>
    <nc r="P22">
      <v>90</v>
    </nc>
  </rcc>
  <rcc rId="7924" sId="1">
    <oc r="P23" t="inlineStr">
      <is>
        <t>90</t>
      </is>
    </oc>
    <nc r="P23">
      <v>90</v>
    </nc>
  </rcc>
  <rcc rId="7925" sId="1">
    <oc r="P24" t="inlineStr">
      <is>
        <t>90</t>
      </is>
    </oc>
    <nc r="P24">
      <v>90</v>
    </nc>
  </rcc>
  <rcc rId="7926" sId="1">
    <oc r="P25" t="inlineStr">
      <is>
        <t>90</t>
      </is>
    </oc>
    <nc r="P25">
      <v>90</v>
    </nc>
  </rcc>
  <rcc rId="7927" sId="1">
    <oc r="P26" t="inlineStr">
      <is>
        <t>90</t>
      </is>
    </oc>
    <nc r="P26">
      <v>90</v>
    </nc>
  </rcc>
  <rcc rId="7928" sId="1">
    <oc r="P27" t="inlineStr">
      <is>
        <t>90</t>
      </is>
    </oc>
    <nc r="P27">
      <v>90</v>
    </nc>
  </rcc>
  <rcc rId="7929" sId="1">
    <oc r="P28" t="inlineStr">
      <is>
        <t>90</t>
      </is>
    </oc>
    <nc r="P28">
      <v>90</v>
    </nc>
  </rcc>
  <rcc rId="7930" sId="1">
    <oc r="P29" t="inlineStr">
      <is>
        <t>90</t>
      </is>
    </oc>
    <nc r="P29">
      <v>90</v>
    </nc>
  </rcc>
  <rcc rId="7931" sId="1">
    <oc r="P30" t="inlineStr">
      <is>
        <t>90</t>
      </is>
    </oc>
    <nc r="P30">
      <v>90</v>
    </nc>
  </rcc>
  <rcc rId="7932" sId="1">
    <oc r="P31" t="inlineStr">
      <is>
        <t>90</t>
      </is>
    </oc>
    <nc r="P31">
      <v>90</v>
    </nc>
  </rcc>
  <rcc rId="7933" sId="1">
    <oc r="P32" t="inlineStr">
      <is>
        <t>90</t>
      </is>
    </oc>
    <nc r="P32">
      <v>90</v>
    </nc>
  </rcc>
  <rcc rId="7934" sId="1">
    <oc r="P33" t="inlineStr">
      <is>
        <t>90</t>
      </is>
    </oc>
    <nc r="P33">
      <v>90</v>
    </nc>
  </rcc>
  <rcc rId="7935" sId="1">
    <oc r="P34" t="inlineStr">
      <is>
        <t>90</t>
      </is>
    </oc>
    <nc r="P34">
      <v>90</v>
    </nc>
  </rcc>
  <rcc rId="7936" sId="1">
    <oc r="P35" t="inlineStr">
      <is>
        <t>90</t>
      </is>
    </oc>
    <nc r="P35">
      <v>90</v>
    </nc>
  </rcc>
  <rcc rId="7937" sId="1">
    <oc r="P36" t="inlineStr">
      <is>
        <t>90</t>
      </is>
    </oc>
    <nc r="P36">
      <v>90</v>
    </nc>
  </rcc>
  <rcc rId="7938" sId="1">
    <oc r="P37" t="inlineStr">
      <is>
        <t>90</t>
      </is>
    </oc>
    <nc r="P37">
      <v>90</v>
    </nc>
  </rcc>
  <rcc rId="7939" sId="1">
    <oc r="P38" t="inlineStr">
      <is>
        <t>90</t>
      </is>
    </oc>
    <nc r="P38">
      <v>90</v>
    </nc>
  </rcc>
  <rcc rId="7940" sId="1">
    <oc r="P39" t="inlineStr">
      <is>
        <t>90</t>
      </is>
    </oc>
    <nc r="P39">
      <v>90</v>
    </nc>
  </rcc>
  <rcc rId="7941" sId="1">
    <oc r="P40" t="inlineStr">
      <is>
        <t>90</t>
      </is>
    </oc>
    <nc r="P40">
      <v>90</v>
    </nc>
  </rcc>
  <rcc rId="7942" sId="1">
    <oc r="P41" t="inlineStr">
      <is>
        <t>90</t>
      </is>
    </oc>
    <nc r="P41">
      <v>90</v>
    </nc>
  </rcc>
  <rcc rId="7943" sId="1">
    <oc r="P42" t="inlineStr">
      <is>
        <t>90</t>
      </is>
    </oc>
    <nc r="P42">
      <v>90</v>
    </nc>
  </rcc>
  <rcc rId="7944" sId="1">
    <oc r="P43" t="inlineStr">
      <is>
        <t>90</t>
      </is>
    </oc>
    <nc r="P43">
      <v>90</v>
    </nc>
  </rcc>
  <rcc rId="7945" sId="1">
    <oc r="P44" t="inlineStr">
      <is>
        <t>90</t>
      </is>
    </oc>
    <nc r="P44">
      <v>90</v>
    </nc>
  </rcc>
  <rcc rId="7946" sId="1">
    <oc r="P45" t="inlineStr">
      <is>
        <t>90</t>
      </is>
    </oc>
    <nc r="P45">
      <v>90</v>
    </nc>
  </rcc>
  <rcc rId="7947" sId="1">
    <oc r="P46" t="inlineStr">
      <is>
        <t>90</t>
      </is>
    </oc>
    <nc r="P46">
      <v>90</v>
    </nc>
  </rcc>
  <rcc rId="7948" sId="1">
    <oc r="P47" t="inlineStr">
      <is>
        <t>90</t>
      </is>
    </oc>
    <nc r="P47">
      <v>90</v>
    </nc>
  </rcc>
  <rcc rId="7949" sId="1">
    <oc r="P48" t="inlineStr">
      <is>
        <t>90</t>
      </is>
    </oc>
    <nc r="P48">
      <v>90</v>
    </nc>
  </rcc>
  <rcc rId="7950" sId="1">
    <oc r="P49" t="inlineStr">
      <is>
        <t>90</t>
      </is>
    </oc>
    <nc r="P49">
      <v>90</v>
    </nc>
  </rcc>
  <rcc rId="7951" sId="1">
    <oc r="P50" t="inlineStr">
      <is>
        <t>90</t>
      </is>
    </oc>
    <nc r="P50">
      <v>90</v>
    </nc>
  </rcc>
  <rcc rId="7952" sId="1">
    <oc r="P51" t="inlineStr">
      <is>
        <t>90</t>
      </is>
    </oc>
    <nc r="P51">
      <v>90</v>
    </nc>
  </rcc>
  <rcc rId="7953" sId="1">
    <oc r="P52" t="inlineStr">
      <is>
        <t>90</t>
      </is>
    </oc>
    <nc r="P52">
      <v>90</v>
    </nc>
  </rcc>
  <rcc rId="7954" sId="1">
    <oc r="P53" t="inlineStr">
      <is>
        <t>90</t>
      </is>
    </oc>
    <nc r="P53">
      <v>90</v>
    </nc>
  </rcc>
  <rcc rId="7955" sId="1">
    <oc r="P54" t="inlineStr">
      <is>
        <t>90</t>
      </is>
    </oc>
    <nc r="P54">
      <v>90</v>
    </nc>
  </rcc>
  <rcc rId="7956" sId="1">
    <oc r="P55" t="inlineStr">
      <is>
        <t>90</t>
      </is>
    </oc>
    <nc r="P55">
      <v>90</v>
    </nc>
  </rcc>
  <rcc rId="7957" sId="1">
    <oc r="P56" t="inlineStr">
      <is>
        <t>90</t>
      </is>
    </oc>
    <nc r="P56">
      <v>90</v>
    </nc>
  </rcc>
  <rcc rId="7958" sId="1">
    <oc r="P57" t="inlineStr">
      <is>
        <t>90</t>
      </is>
    </oc>
    <nc r="P57">
      <v>90</v>
    </nc>
  </rcc>
  <rcc rId="7959" sId="1">
    <oc r="P58" t="inlineStr">
      <is>
        <t>90</t>
      </is>
    </oc>
    <nc r="P58">
      <v>90</v>
    </nc>
  </rcc>
  <rcc rId="7960" sId="1">
    <oc r="P59" t="inlineStr">
      <is>
        <t>90</t>
      </is>
    </oc>
    <nc r="P59">
      <v>90</v>
    </nc>
  </rcc>
  <rcc rId="7961" sId="1">
    <oc r="P60" t="inlineStr">
      <is>
        <t>90</t>
      </is>
    </oc>
    <nc r="P60">
      <v>90</v>
    </nc>
  </rcc>
  <rcc rId="7962" sId="1">
    <oc r="P61" t="inlineStr">
      <is>
        <t>90</t>
      </is>
    </oc>
    <nc r="P61">
      <v>90</v>
    </nc>
  </rcc>
  <rcc rId="7963" sId="1">
    <oc r="P62" t="inlineStr">
      <is>
        <t>90</t>
      </is>
    </oc>
    <nc r="P62">
      <v>90</v>
    </nc>
  </rcc>
  <rcc rId="7964" sId="1">
    <oc r="P63" t="inlineStr">
      <is>
        <t>90</t>
      </is>
    </oc>
    <nc r="P63">
      <v>90</v>
    </nc>
  </rcc>
  <rcc rId="7965" sId="1">
    <oc r="P64" t="inlineStr">
      <is>
        <t>90</t>
      </is>
    </oc>
    <nc r="P64">
      <v>90</v>
    </nc>
  </rcc>
  <rcc rId="7966" sId="1">
    <oc r="P65" t="inlineStr">
      <is>
        <t>90</t>
      </is>
    </oc>
    <nc r="P65">
      <v>90</v>
    </nc>
  </rcc>
  <rcc rId="7967" sId="1">
    <oc r="P66" t="inlineStr">
      <is>
        <t>90</t>
      </is>
    </oc>
    <nc r="P66">
      <v>90</v>
    </nc>
  </rcc>
  <rcc rId="7968" sId="1">
    <oc r="P67" t="inlineStr">
      <is>
        <t>90</t>
      </is>
    </oc>
    <nc r="P67">
      <v>90</v>
    </nc>
  </rcc>
  <rcc rId="7969" sId="1">
    <oc r="P68" t="inlineStr">
      <is>
        <t>90</t>
      </is>
    </oc>
    <nc r="P68">
      <v>90</v>
    </nc>
  </rcc>
  <rcc rId="7970" sId="1">
    <oc r="P69" t="inlineStr">
      <is>
        <t>90</t>
      </is>
    </oc>
    <nc r="P69">
      <v>90</v>
    </nc>
  </rcc>
  <rcc rId="7971" sId="1">
    <oc r="P70" t="inlineStr">
      <is>
        <t>90</t>
      </is>
    </oc>
    <nc r="P70">
      <v>90</v>
    </nc>
  </rcc>
  <rcc rId="7972" sId="1">
    <oc r="P71" t="inlineStr">
      <is>
        <t>90</t>
      </is>
    </oc>
    <nc r="P71">
      <v>90</v>
    </nc>
  </rcc>
  <rcc rId="7973" sId="1">
    <oc r="P72" t="inlineStr">
      <is>
        <t>90</t>
      </is>
    </oc>
    <nc r="P72">
      <v>90</v>
    </nc>
  </rcc>
  <rcc rId="7974" sId="1">
    <oc r="P73" t="inlineStr">
      <is>
        <t>90</t>
      </is>
    </oc>
    <nc r="P73">
      <v>90</v>
    </nc>
  </rcc>
  <rcc rId="7975" sId="1">
    <oc r="P74" t="inlineStr">
      <is>
        <t>90</t>
      </is>
    </oc>
    <nc r="P74">
      <v>90</v>
    </nc>
  </rcc>
  <rcc rId="7976" sId="1">
    <oc r="P75" t="inlineStr">
      <is>
        <t>90</t>
      </is>
    </oc>
    <nc r="P75">
      <v>90</v>
    </nc>
  </rcc>
  <rcc rId="7977" sId="1">
    <oc r="P76" t="inlineStr">
      <is>
        <t>90</t>
      </is>
    </oc>
    <nc r="P76">
      <v>90</v>
    </nc>
  </rcc>
  <rcc rId="7978" sId="1">
    <oc r="P77" t="inlineStr">
      <is>
        <t>90</t>
      </is>
    </oc>
    <nc r="P77">
      <v>90</v>
    </nc>
  </rcc>
  <rcc rId="7979" sId="1">
    <oc r="P78" t="inlineStr">
      <is>
        <t>90</t>
      </is>
    </oc>
    <nc r="P78">
      <v>90</v>
    </nc>
  </rcc>
  <rcc rId="7980" sId="1">
    <oc r="P79" t="inlineStr">
      <is>
        <t>90</t>
      </is>
    </oc>
    <nc r="P79">
      <v>90</v>
    </nc>
  </rcc>
  <rcc rId="7981" sId="1">
    <oc r="P80" t="inlineStr">
      <is>
        <t>90</t>
      </is>
    </oc>
    <nc r="P80">
      <v>90</v>
    </nc>
  </rcc>
  <rcc rId="7982" sId="1">
    <oc r="P81" t="inlineStr">
      <is>
        <t>90</t>
      </is>
    </oc>
    <nc r="P81">
      <v>90</v>
    </nc>
  </rcc>
  <rcc rId="7983" sId="1">
    <oc r="P82" t="inlineStr">
      <is>
        <t>90</t>
      </is>
    </oc>
    <nc r="P82">
      <v>90</v>
    </nc>
  </rcc>
  <rcc rId="7984" sId="1">
    <oc r="P83" t="inlineStr">
      <is>
        <t>90</t>
      </is>
    </oc>
    <nc r="P83">
      <v>90</v>
    </nc>
  </rcc>
  <rcc rId="7985" sId="1">
    <oc r="P84" t="inlineStr">
      <is>
        <t>90</t>
      </is>
    </oc>
    <nc r="P84">
      <v>90</v>
    </nc>
  </rcc>
  <rcc rId="7986" sId="1">
    <oc r="P85" t="inlineStr">
      <is>
        <t>90</t>
      </is>
    </oc>
    <nc r="P85">
      <v>90</v>
    </nc>
  </rcc>
  <rcc rId="7987" sId="1">
    <oc r="P86" t="inlineStr">
      <is>
        <t>90</t>
      </is>
    </oc>
    <nc r="P86">
      <v>90</v>
    </nc>
  </rcc>
  <rcc rId="7988" sId="1">
    <oc r="P87" t="inlineStr">
      <is>
        <t>90</t>
      </is>
    </oc>
    <nc r="P87">
      <v>90</v>
    </nc>
  </rcc>
  <rcc rId="7989" sId="1">
    <oc r="P88" t="inlineStr">
      <is>
        <t>90</t>
      </is>
    </oc>
    <nc r="P88">
      <v>90</v>
    </nc>
  </rcc>
  <rcc rId="7990" sId="1">
    <oc r="P89" t="inlineStr">
      <is>
        <t>90</t>
      </is>
    </oc>
    <nc r="P89">
      <v>90</v>
    </nc>
  </rcc>
  <rcc rId="7991" sId="1">
    <oc r="P90" t="inlineStr">
      <is>
        <t>90</t>
      </is>
    </oc>
    <nc r="P90">
      <v>90</v>
    </nc>
  </rcc>
  <rcc rId="7992" sId="1">
    <oc r="P91" t="inlineStr">
      <is>
        <t>90</t>
      </is>
    </oc>
    <nc r="P91">
      <v>90</v>
    </nc>
  </rcc>
  <rcc rId="7993" sId="1">
    <oc r="P92" t="inlineStr">
      <is>
        <t>90</t>
      </is>
    </oc>
    <nc r="P92">
      <v>90</v>
    </nc>
  </rcc>
  <rcc rId="7994" sId="1">
    <oc r="P93" t="inlineStr">
      <is>
        <t>90</t>
      </is>
    </oc>
    <nc r="P93">
      <v>90</v>
    </nc>
  </rcc>
  <rcc rId="7995" sId="1">
    <oc r="P94" t="inlineStr">
      <is>
        <t>90</t>
      </is>
    </oc>
    <nc r="P94">
      <v>90</v>
    </nc>
  </rcc>
  <rcc rId="7996" sId="1">
    <oc r="P95" t="inlineStr">
      <is>
        <t>90</t>
      </is>
    </oc>
    <nc r="P95">
      <v>90</v>
    </nc>
  </rcc>
  <rcc rId="7997" sId="1">
    <oc r="P96" t="inlineStr">
      <is>
        <t>90</t>
      </is>
    </oc>
    <nc r="P96">
      <v>90</v>
    </nc>
  </rcc>
  <rcc rId="7998" sId="1">
    <oc r="P97" t="inlineStr">
      <is>
        <t>90</t>
      </is>
    </oc>
    <nc r="P97">
      <v>90</v>
    </nc>
  </rcc>
  <rcc rId="7999" sId="1">
    <oc r="P98" t="inlineStr">
      <is>
        <t>90</t>
      </is>
    </oc>
    <nc r="P98">
      <v>90</v>
    </nc>
  </rcc>
  <rcc rId="8000" sId="1">
    <oc r="P99" t="inlineStr">
      <is>
        <t>90</t>
      </is>
    </oc>
    <nc r="P99">
      <v>90</v>
    </nc>
  </rcc>
  <rcc rId="8001" sId="1">
    <oc r="P100" t="inlineStr">
      <is>
        <t>90</t>
      </is>
    </oc>
    <nc r="P100">
      <v>90</v>
    </nc>
  </rcc>
  <rcc rId="8002" sId="1">
    <oc r="P101" t="inlineStr">
      <is>
        <t>90</t>
      </is>
    </oc>
    <nc r="P101">
      <v>90</v>
    </nc>
  </rcc>
  <rcc rId="8003" sId="1">
    <oc r="P102" t="inlineStr">
      <is>
        <t>90</t>
      </is>
    </oc>
    <nc r="P102">
      <v>90</v>
    </nc>
  </rcc>
  <rcc rId="8004" sId="1">
    <oc r="P103" t="inlineStr">
      <is>
        <t>90</t>
      </is>
    </oc>
    <nc r="P103">
      <v>90</v>
    </nc>
  </rcc>
  <rcc rId="8005" sId="1">
    <oc r="P104" t="inlineStr">
      <is>
        <t>90</t>
      </is>
    </oc>
    <nc r="P104">
      <v>90</v>
    </nc>
  </rcc>
  <rcc rId="8006" sId="1">
    <oc r="P105" t="inlineStr">
      <is>
        <t>90</t>
      </is>
    </oc>
    <nc r="P105">
      <v>90</v>
    </nc>
  </rcc>
  <rcc rId="8007" sId="1">
    <oc r="P106" t="inlineStr">
      <is>
        <t>90</t>
      </is>
    </oc>
    <nc r="P106">
      <v>90</v>
    </nc>
  </rcc>
  <rcc rId="8008" sId="1">
    <oc r="P107" t="inlineStr">
      <is>
        <t>90</t>
      </is>
    </oc>
    <nc r="P107">
      <v>90</v>
    </nc>
  </rcc>
  <rcc rId="8009" sId="1">
    <oc r="P108" t="inlineStr">
      <is>
        <t>90</t>
      </is>
    </oc>
    <nc r="P108">
      <v>90</v>
    </nc>
  </rcc>
  <rcc rId="8010" sId="1">
    <oc r="P109" t="inlineStr">
      <is>
        <t>90</t>
      </is>
    </oc>
    <nc r="P109">
      <v>90</v>
    </nc>
  </rcc>
  <rcc rId="8011" sId="1">
    <oc r="P110" t="inlineStr">
      <is>
        <t>90</t>
      </is>
    </oc>
    <nc r="P110">
      <v>90</v>
    </nc>
  </rcc>
  <rcc rId="8012" sId="1">
    <oc r="P111" t="inlineStr">
      <is>
        <t>90</t>
      </is>
    </oc>
    <nc r="P111">
      <v>90</v>
    </nc>
  </rcc>
  <rcc rId="8013" sId="1">
    <oc r="P112" t="inlineStr">
      <is>
        <t>90</t>
      </is>
    </oc>
    <nc r="P112">
      <v>90</v>
    </nc>
  </rcc>
  <rcc rId="8014" sId="1">
    <oc r="P113" t="inlineStr">
      <is>
        <t>90</t>
      </is>
    </oc>
    <nc r="P113">
      <v>90</v>
    </nc>
  </rcc>
  <rcc rId="8015" sId="1">
    <oc r="P114" t="inlineStr">
      <is>
        <t>90</t>
      </is>
    </oc>
    <nc r="P114">
      <v>90</v>
    </nc>
  </rcc>
  <rcc rId="8016" sId="1">
    <oc r="P115" t="inlineStr">
      <is>
        <t>90</t>
      </is>
    </oc>
    <nc r="P115">
      <v>90</v>
    </nc>
  </rcc>
  <rcc rId="8017" sId="1">
    <oc r="P116" t="inlineStr">
      <is>
        <t>90</t>
      </is>
    </oc>
    <nc r="P116">
      <v>90</v>
    </nc>
  </rcc>
  <rcc rId="8018" sId="1">
    <oc r="P117" t="inlineStr">
      <is>
        <t>90</t>
      </is>
    </oc>
    <nc r="P117">
      <v>90</v>
    </nc>
  </rcc>
  <rcc rId="8019" sId="1">
    <oc r="P118" t="inlineStr">
      <is>
        <t>90</t>
      </is>
    </oc>
    <nc r="P118">
      <v>90</v>
    </nc>
  </rcc>
  <rcc rId="8020" sId="1">
    <oc r="P119" t="inlineStr">
      <is>
        <t>90</t>
      </is>
    </oc>
    <nc r="P119">
      <v>90</v>
    </nc>
  </rcc>
  <rcc rId="8021" sId="1">
    <oc r="P120" t="inlineStr">
      <is>
        <t>90</t>
      </is>
    </oc>
    <nc r="P120">
      <v>90</v>
    </nc>
  </rcc>
  <rcc rId="8022" sId="1">
    <oc r="P121" t="inlineStr">
      <is>
        <t>90</t>
      </is>
    </oc>
    <nc r="P121">
      <v>90</v>
    </nc>
  </rcc>
  <rcc rId="8023" sId="1">
    <oc r="P122" t="inlineStr">
      <is>
        <t>90</t>
      </is>
    </oc>
    <nc r="P122">
      <v>90</v>
    </nc>
  </rcc>
  <rcc rId="8024" sId="1">
    <oc r="P123" t="inlineStr">
      <is>
        <t>90</t>
      </is>
    </oc>
    <nc r="P123">
      <v>90</v>
    </nc>
  </rcc>
  <rcc rId="8025" sId="1">
    <oc r="P124" t="inlineStr">
      <is>
        <t>90</t>
      </is>
    </oc>
    <nc r="P124">
      <v>90</v>
    </nc>
  </rcc>
  <rcc rId="8026" sId="1">
    <oc r="P125" t="inlineStr">
      <is>
        <t>90</t>
      </is>
    </oc>
    <nc r="P125">
      <v>90</v>
    </nc>
  </rcc>
  <rcc rId="8027" sId="1">
    <oc r="P126" t="inlineStr">
      <is>
        <t>90</t>
      </is>
    </oc>
    <nc r="P126">
      <v>90</v>
    </nc>
  </rcc>
  <rcc rId="8028" sId="1">
    <oc r="P127" t="inlineStr">
      <is>
        <t>90</t>
      </is>
    </oc>
    <nc r="P127">
      <v>90</v>
    </nc>
  </rcc>
  <rcc rId="8029" sId="1">
    <oc r="P128" t="inlineStr">
      <is>
        <t>90</t>
      </is>
    </oc>
    <nc r="P128">
      <v>90</v>
    </nc>
  </rcc>
  <rcc rId="8030" sId="1">
    <oc r="P129" t="inlineStr">
      <is>
        <t>90</t>
      </is>
    </oc>
    <nc r="P129">
      <v>90</v>
    </nc>
  </rcc>
  <rcc rId="8031" sId="1">
    <oc r="P130" t="inlineStr">
      <is>
        <t>90</t>
      </is>
    </oc>
    <nc r="P130">
      <v>90</v>
    </nc>
  </rcc>
  <rcc rId="8032" sId="1">
    <oc r="P131" t="inlineStr">
      <is>
        <t>90</t>
      </is>
    </oc>
    <nc r="P131">
      <v>90</v>
    </nc>
  </rcc>
  <rcc rId="8033" sId="1">
    <oc r="P132" t="inlineStr">
      <is>
        <t>90</t>
      </is>
    </oc>
    <nc r="P132">
      <v>90</v>
    </nc>
  </rcc>
  <rcc rId="8034" sId="1">
    <oc r="P133" t="inlineStr">
      <is>
        <t>90</t>
      </is>
    </oc>
    <nc r="P133">
      <v>90</v>
    </nc>
  </rcc>
  <rcc rId="8035" sId="1">
    <oc r="P134" t="inlineStr">
      <is>
        <t>90</t>
      </is>
    </oc>
    <nc r="P134">
      <v>90</v>
    </nc>
  </rcc>
  <rcc rId="8036" sId="1">
    <oc r="P135" t="inlineStr">
      <is>
        <t>90</t>
      </is>
    </oc>
    <nc r="P135">
      <v>90</v>
    </nc>
  </rcc>
  <rcc rId="8037" sId="1">
    <oc r="P136" t="inlineStr">
      <is>
        <t>90</t>
      </is>
    </oc>
    <nc r="P136">
      <v>90</v>
    </nc>
  </rcc>
  <rcc rId="8038" sId="1">
    <oc r="P137" t="inlineStr">
      <is>
        <t>90</t>
      </is>
    </oc>
    <nc r="P137">
      <v>90</v>
    </nc>
  </rcc>
  <rcc rId="8039" sId="1">
    <oc r="P138" t="inlineStr">
      <is>
        <t>90</t>
      </is>
    </oc>
    <nc r="P138">
      <v>90</v>
    </nc>
  </rcc>
  <rcc rId="8040" sId="1">
    <oc r="P139" t="inlineStr">
      <is>
        <t>90</t>
      </is>
    </oc>
    <nc r="P139">
      <v>90</v>
    </nc>
  </rcc>
  <rcc rId="8041" sId="1">
    <oc r="P140" t="inlineStr">
      <is>
        <t>90</t>
      </is>
    </oc>
    <nc r="P140">
      <v>90</v>
    </nc>
  </rcc>
  <rcc rId="8042" sId="1">
    <oc r="P141" t="inlineStr">
      <is>
        <t>90</t>
      </is>
    </oc>
    <nc r="P141">
      <v>90</v>
    </nc>
  </rcc>
  <rcc rId="8043" sId="1">
    <oc r="P142" t="inlineStr">
      <is>
        <t>90</t>
      </is>
    </oc>
    <nc r="P142">
      <v>90</v>
    </nc>
  </rcc>
  <rcc rId="8044" sId="1">
    <oc r="P143" t="inlineStr">
      <is>
        <t>90</t>
      </is>
    </oc>
    <nc r="P143">
      <v>90</v>
    </nc>
  </rcc>
  <rcc rId="8045" sId="1">
    <oc r="P144" t="inlineStr">
      <is>
        <t>90</t>
      </is>
    </oc>
    <nc r="P144">
      <v>90</v>
    </nc>
  </rcc>
  <rcc rId="8046" sId="1">
    <oc r="P145" t="inlineStr">
      <is>
        <t>90</t>
      </is>
    </oc>
    <nc r="P145">
      <v>90</v>
    </nc>
  </rcc>
  <rcc rId="8047" sId="1">
    <oc r="P146" t="inlineStr">
      <is>
        <t>90</t>
      </is>
    </oc>
    <nc r="P146">
      <v>90</v>
    </nc>
  </rcc>
  <rcc rId="8048" sId="1">
    <oc r="P147" t="inlineStr">
      <is>
        <t>90</t>
      </is>
    </oc>
    <nc r="P147">
      <v>90</v>
    </nc>
  </rcc>
  <rcc rId="8049" sId="1">
    <oc r="P148" t="inlineStr">
      <is>
        <t>90</t>
      </is>
    </oc>
    <nc r="P148">
      <v>90</v>
    </nc>
  </rcc>
  <rcc rId="8050" sId="1">
    <oc r="P149" t="inlineStr">
      <is>
        <t>90</t>
      </is>
    </oc>
    <nc r="P149">
      <v>90</v>
    </nc>
  </rcc>
  <rcc rId="8051" sId="1">
    <oc r="P150" t="inlineStr">
      <is>
        <t>90</t>
      </is>
    </oc>
    <nc r="P150">
      <v>90</v>
    </nc>
  </rcc>
  <rcc rId="8052" sId="1">
    <oc r="P151" t="inlineStr">
      <is>
        <t>90</t>
      </is>
    </oc>
    <nc r="P151">
      <v>90</v>
    </nc>
  </rcc>
  <rcc rId="8053" sId="1">
    <oc r="P152" t="inlineStr">
      <is>
        <t>90</t>
      </is>
    </oc>
    <nc r="P152">
      <v>90</v>
    </nc>
  </rcc>
  <rcc rId="8054" sId="1">
    <oc r="P153" t="inlineStr">
      <is>
        <t>90</t>
      </is>
    </oc>
    <nc r="P153">
      <v>90</v>
    </nc>
  </rcc>
  <rcc rId="8055" sId="1">
    <oc r="P154" t="inlineStr">
      <is>
        <t>90</t>
      </is>
    </oc>
    <nc r="P154">
      <v>90</v>
    </nc>
  </rcc>
  <rcc rId="8056" sId="1">
    <oc r="P155" t="inlineStr">
      <is>
        <t>90</t>
      </is>
    </oc>
    <nc r="P155">
      <v>90</v>
    </nc>
  </rcc>
  <rcc rId="8057" sId="1">
    <oc r="P156" t="inlineStr">
      <is>
        <t>90</t>
      </is>
    </oc>
    <nc r="P156">
      <v>90</v>
    </nc>
  </rcc>
  <rcc rId="8058" sId="1">
    <oc r="P157" t="inlineStr">
      <is>
        <t>90</t>
      </is>
    </oc>
    <nc r="P157">
      <v>90</v>
    </nc>
  </rcc>
  <rcc rId="8059" sId="1">
    <oc r="P158" t="inlineStr">
      <is>
        <t>90</t>
      </is>
    </oc>
    <nc r="P158">
      <v>90</v>
    </nc>
  </rcc>
  <rcc rId="8060" sId="1">
    <oc r="P159" t="inlineStr">
      <is>
        <t>90</t>
      </is>
    </oc>
    <nc r="P159">
      <v>90</v>
    </nc>
  </rcc>
  <rcc rId="8061" sId="1">
    <oc r="P160" t="inlineStr">
      <is>
        <t>90</t>
      </is>
    </oc>
    <nc r="P160">
      <v>90</v>
    </nc>
  </rcc>
  <rcc rId="8062" sId="1">
    <oc r="P161" t="inlineStr">
      <is>
        <t>90</t>
      </is>
    </oc>
    <nc r="P161">
      <v>90</v>
    </nc>
  </rcc>
  <rcc rId="8063" sId="1">
    <oc r="P162" t="inlineStr">
      <is>
        <t>90</t>
      </is>
    </oc>
    <nc r="P162">
      <v>90</v>
    </nc>
  </rcc>
  <rcc rId="8064" sId="1">
    <oc r="P163" t="inlineStr">
      <is>
        <t>90</t>
      </is>
    </oc>
    <nc r="P163">
      <v>90</v>
    </nc>
  </rcc>
  <rcc rId="8065" sId="1">
    <oc r="P164" t="inlineStr">
      <is>
        <t>90</t>
      </is>
    </oc>
    <nc r="P164">
      <v>90</v>
    </nc>
  </rcc>
  <rcc rId="8066" sId="1">
    <oc r="P165" t="inlineStr">
      <is>
        <t>90</t>
      </is>
    </oc>
    <nc r="P165">
      <v>90</v>
    </nc>
  </rcc>
  <rcc rId="8067" sId="1">
    <oc r="P166" t="inlineStr">
      <is>
        <t>90</t>
      </is>
    </oc>
    <nc r="P166">
      <v>90</v>
    </nc>
  </rcc>
  <rcc rId="8068" sId="1">
    <oc r="P167" t="inlineStr">
      <is>
        <t>90</t>
      </is>
    </oc>
    <nc r="P167">
      <v>90</v>
    </nc>
  </rcc>
  <rcc rId="8069" sId="1">
    <oc r="P168" t="inlineStr">
      <is>
        <t>90</t>
      </is>
    </oc>
    <nc r="P168">
      <v>90</v>
    </nc>
  </rcc>
  <rcc rId="8070" sId="1">
    <oc r="P169" t="inlineStr">
      <is>
        <t>90</t>
      </is>
    </oc>
    <nc r="P169">
      <v>90</v>
    </nc>
  </rcc>
  <rcc rId="8071" sId="1">
    <oc r="P170" t="inlineStr">
      <is>
        <t>90</t>
      </is>
    </oc>
    <nc r="P170">
      <v>90</v>
    </nc>
  </rcc>
  <rcc rId="8072" sId="1">
    <oc r="P171" t="inlineStr">
      <is>
        <t>90</t>
      </is>
    </oc>
    <nc r="P171">
      <v>90</v>
    </nc>
  </rcc>
  <rcc rId="8073" sId="1">
    <oc r="P172" t="inlineStr">
      <is>
        <t>90</t>
      </is>
    </oc>
    <nc r="P172">
      <v>90</v>
    </nc>
  </rcc>
  <rcc rId="8074" sId="1">
    <oc r="P173" t="inlineStr">
      <is>
        <t>90</t>
      </is>
    </oc>
    <nc r="P173">
      <v>90</v>
    </nc>
  </rcc>
  <rcc rId="8075" sId="1">
    <oc r="P174" t="inlineStr">
      <is>
        <t>90</t>
      </is>
    </oc>
    <nc r="P174">
      <v>90</v>
    </nc>
  </rcc>
  <rcc rId="8076" sId="1">
    <oc r="P175" t="inlineStr">
      <is>
        <t>90</t>
      </is>
    </oc>
    <nc r="P175">
      <v>90</v>
    </nc>
  </rcc>
  <rcc rId="8077" sId="1">
    <oc r="P176" t="inlineStr">
      <is>
        <t>90</t>
      </is>
    </oc>
    <nc r="P176">
      <v>90</v>
    </nc>
  </rcc>
  <rcc rId="8078" sId="1">
    <oc r="P177" t="inlineStr">
      <is>
        <t>90</t>
      </is>
    </oc>
    <nc r="P177">
      <v>90</v>
    </nc>
  </rcc>
  <rcc rId="8079" sId="1">
    <oc r="P178" t="inlineStr">
      <is>
        <t>90</t>
      </is>
    </oc>
    <nc r="P178">
      <v>90</v>
    </nc>
  </rcc>
  <rcc rId="8080" sId="1">
    <oc r="P179" t="inlineStr">
      <is>
        <t>90</t>
      </is>
    </oc>
    <nc r="P179">
      <v>90</v>
    </nc>
  </rcc>
  <rcc rId="8081" sId="1">
    <oc r="P180" t="inlineStr">
      <is>
        <t>90</t>
      </is>
    </oc>
    <nc r="P180">
      <v>90</v>
    </nc>
  </rcc>
  <rcc rId="8082" sId="1">
    <oc r="P181" t="inlineStr">
      <is>
        <t>90</t>
      </is>
    </oc>
    <nc r="P181">
      <v>90</v>
    </nc>
  </rcc>
  <rcc rId="8083" sId="1">
    <oc r="P182" t="inlineStr">
      <is>
        <t>90</t>
      </is>
    </oc>
    <nc r="P182">
      <v>90</v>
    </nc>
  </rcc>
  <rcc rId="8084" sId="1">
    <oc r="P183" t="inlineStr">
      <is>
        <t>90</t>
      </is>
    </oc>
    <nc r="P183">
      <v>90</v>
    </nc>
  </rcc>
  <rcc rId="8085" sId="1">
    <oc r="P184" t="inlineStr">
      <is>
        <t>90</t>
      </is>
    </oc>
    <nc r="P184">
      <v>90</v>
    </nc>
  </rcc>
  <rcc rId="8086" sId="1">
    <oc r="P185" t="inlineStr">
      <is>
        <t>90</t>
      </is>
    </oc>
    <nc r="P185">
      <v>90</v>
    </nc>
  </rcc>
  <rcc rId="8087" sId="1">
    <oc r="P186" t="inlineStr">
      <is>
        <t>90</t>
      </is>
    </oc>
    <nc r="P186">
      <v>90</v>
    </nc>
  </rcc>
  <rcc rId="8088" sId="1">
    <oc r="P187" t="inlineStr">
      <is>
        <t>90</t>
      </is>
    </oc>
    <nc r="P187">
      <v>90</v>
    </nc>
  </rcc>
  <rcc rId="8089" sId="1">
    <oc r="P188" t="inlineStr">
      <is>
        <t>90</t>
      </is>
    </oc>
    <nc r="P188">
      <v>90</v>
    </nc>
  </rcc>
  <rcc rId="8090" sId="1">
    <oc r="P189" t="inlineStr">
      <is>
        <t>90</t>
      </is>
    </oc>
    <nc r="P189">
      <v>90</v>
    </nc>
  </rcc>
  <rcc rId="8091" sId="1">
    <oc r="P190" t="inlineStr">
      <is>
        <t>90</t>
      </is>
    </oc>
    <nc r="P190">
      <v>90</v>
    </nc>
  </rcc>
  <rcc rId="8092" sId="1">
    <oc r="P191" t="inlineStr">
      <is>
        <t>90</t>
      </is>
    </oc>
    <nc r="P191">
      <v>90</v>
    </nc>
  </rcc>
  <rcc rId="8093" sId="1">
    <oc r="P192" t="inlineStr">
      <is>
        <t>90</t>
      </is>
    </oc>
    <nc r="P192">
      <v>90</v>
    </nc>
  </rcc>
  <rcc rId="8094" sId="1">
    <oc r="P193" t="inlineStr">
      <is>
        <t>90</t>
      </is>
    </oc>
    <nc r="P193">
      <v>90</v>
    </nc>
  </rcc>
  <rcc rId="8095" sId="1">
    <oc r="P194" t="inlineStr">
      <is>
        <t>90</t>
      </is>
    </oc>
    <nc r="P194">
      <v>90</v>
    </nc>
  </rcc>
  <rcc rId="8096" sId="1">
    <oc r="P195" t="inlineStr">
      <is>
        <t>90</t>
      </is>
    </oc>
    <nc r="P195">
      <v>90</v>
    </nc>
  </rcc>
  <rcc rId="8097" sId="1">
    <oc r="P196" t="inlineStr">
      <is>
        <t>90</t>
      </is>
    </oc>
    <nc r="P196">
      <v>90</v>
    </nc>
  </rcc>
  <rcc rId="8098" sId="1">
    <oc r="P197" t="inlineStr">
      <is>
        <t>90</t>
      </is>
    </oc>
    <nc r="P197">
      <v>90</v>
    </nc>
  </rcc>
  <rcc rId="8099" sId="1">
    <oc r="P198" t="inlineStr">
      <is>
        <t>90</t>
      </is>
    </oc>
    <nc r="P198">
      <v>90</v>
    </nc>
  </rcc>
  <rcc rId="8100" sId="1">
    <oc r="P199" t="inlineStr">
      <is>
        <t>90</t>
      </is>
    </oc>
    <nc r="P199">
      <v>90</v>
    </nc>
  </rcc>
  <rcc rId="8101" sId="1">
    <oc r="P200" t="inlineStr">
      <is>
        <t>90</t>
      </is>
    </oc>
    <nc r="P200">
      <v>90</v>
    </nc>
  </rcc>
  <rcc rId="8102" sId="1">
    <oc r="P201" t="inlineStr">
      <is>
        <t>90</t>
      </is>
    </oc>
    <nc r="P201">
      <v>90</v>
    </nc>
  </rcc>
  <rcc rId="8103" sId="1">
    <oc r="P202" t="inlineStr">
      <is>
        <t>90</t>
      </is>
    </oc>
    <nc r="P202">
      <v>90</v>
    </nc>
  </rcc>
  <rcc rId="8104" sId="1">
    <oc r="P203" t="inlineStr">
      <is>
        <t>90</t>
      </is>
    </oc>
    <nc r="P203">
      <v>90</v>
    </nc>
  </rcc>
  <rcc rId="8105" sId="1">
    <oc r="P204" t="inlineStr">
      <is>
        <t>90</t>
      </is>
    </oc>
    <nc r="P204">
      <v>90</v>
    </nc>
  </rcc>
  <rcc rId="8106" sId="1">
    <oc r="P205" t="inlineStr">
      <is>
        <t>90</t>
      </is>
    </oc>
    <nc r="P205">
      <v>90</v>
    </nc>
  </rcc>
  <rcc rId="8107" sId="1">
    <oc r="P206" t="inlineStr">
      <is>
        <t>90</t>
      </is>
    </oc>
    <nc r="P206">
      <v>90</v>
    </nc>
  </rcc>
  <rcc rId="8108" sId="1">
    <oc r="P207" t="inlineStr">
      <is>
        <t>90</t>
      </is>
    </oc>
    <nc r="P207">
      <v>90</v>
    </nc>
  </rcc>
  <rcc rId="8109" sId="1">
    <oc r="P208" t="inlineStr">
      <is>
        <t>90</t>
      </is>
    </oc>
    <nc r="P208">
      <v>90</v>
    </nc>
  </rcc>
  <rcc rId="8110" sId="1">
    <oc r="P209" t="inlineStr">
      <is>
        <t>90</t>
      </is>
    </oc>
    <nc r="P209">
      <v>90</v>
    </nc>
  </rcc>
  <rcc rId="8111" sId="1">
    <oc r="P210" t="inlineStr">
      <is>
        <t>90</t>
      </is>
    </oc>
    <nc r="P210">
      <v>90</v>
    </nc>
  </rcc>
  <rcc rId="8112" sId="1">
    <oc r="P211" t="inlineStr">
      <is>
        <t>90</t>
      </is>
    </oc>
    <nc r="P211">
      <v>90</v>
    </nc>
  </rcc>
  <rcc rId="8113" sId="1">
    <oc r="P212" t="inlineStr">
      <is>
        <t>90</t>
      </is>
    </oc>
    <nc r="P212">
      <v>90</v>
    </nc>
  </rcc>
  <rcc rId="8114" sId="1">
    <oc r="P213" t="inlineStr">
      <is>
        <t>90</t>
      </is>
    </oc>
    <nc r="P213">
      <v>90</v>
    </nc>
  </rcc>
  <rcc rId="8115" sId="1">
    <oc r="P214" t="inlineStr">
      <is>
        <t>90</t>
      </is>
    </oc>
    <nc r="P214">
      <v>90</v>
    </nc>
  </rcc>
  <rcc rId="8116" sId="1">
    <oc r="P215" t="inlineStr">
      <is>
        <t>90</t>
      </is>
    </oc>
    <nc r="P215">
      <v>90</v>
    </nc>
  </rcc>
  <rcc rId="8117" sId="1">
    <oc r="P216" t="inlineStr">
      <is>
        <t>90</t>
      </is>
    </oc>
    <nc r="P216">
      <v>90</v>
    </nc>
  </rcc>
  <rcc rId="8118" sId="1">
    <oc r="P217" t="inlineStr">
      <is>
        <t>90</t>
      </is>
    </oc>
    <nc r="P217">
      <v>90</v>
    </nc>
  </rcc>
  <rcc rId="8119" sId="1">
    <oc r="P218" t="inlineStr">
      <is>
        <t>90</t>
      </is>
    </oc>
    <nc r="P218">
      <v>90</v>
    </nc>
  </rcc>
  <rcc rId="8120" sId="1">
    <oc r="P219" t="inlineStr">
      <is>
        <t>90</t>
      </is>
    </oc>
    <nc r="P219">
      <v>90</v>
    </nc>
  </rcc>
  <rcc rId="8121" sId="1">
    <oc r="P220" t="inlineStr">
      <is>
        <t>90</t>
      </is>
    </oc>
    <nc r="P220">
      <v>90</v>
    </nc>
  </rcc>
  <rcc rId="8122" sId="1">
    <oc r="P221" t="inlineStr">
      <is>
        <t>90</t>
      </is>
    </oc>
    <nc r="P221">
      <v>90</v>
    </nc>
  </rcc>
  <rcc rId="8123" sId="1">
    <oc r="P222" t="inlineStr">
      <is>
        <t>90</t>
      </is>
    </oc>
    <nc r="P222">
      <v>90</v>
    </nc>
  </rcc>
  <rcc rId="8124" sId="1">
    <oc r="P223" t="inlineStr">
      <is>
        <t>90</t>
      </is>
    </oc>
    <nc r="P223">
      <v>90</v>
    </nc>
  </rcc>
  <rcc rId="8125" sId="1">
    <oc r="P224" t="inlineStr">
      <is>
        <t>90</t>
      </is>
    </oc>
    <nc r="P224">
      <v>90</v>
    </nc>
  </rcc>
  <rcc rId="8126" sId="1">
    <oc r="P225" t="inlineStr">
      <is>
        <t>90</t>
      </is>
    </oc>
    <nc r="P225">
      <v>90</v>
    </nc>
  </rcc>
  <rcc rId="8127" sId="1">
    <oc r="P226" t="inlineStr">
      <is>
        <t>90</t>
      </is>
    </oc>
    <nc r="P226">
      <v>90</v>
    </nc>
  </rcc>
  <rcc rId="8128" sId="1">
    <oc r="P227" t="inlineStr">
      <is>
        <t>90</t>
      </is>
    </oc>
    <nc r="P227">
      <v>90</v>
    </nc>
  </rcc>
  <rcc rId="8129" sId="1">
    <oc r="P228" t="inlineStr">
      <is>
        <t>90</t>
      </is>
    </oc>
    <nc r="P228">
      <v>90</v>
    </nc>
  </rcc>
  <rcc rId="8130" sId="1">
    <oc r="P229" t="inlineStr">
      <is>
        <t>90</t>
      </is>
    </oc>
    <nc r="P229">
      <v>90</v>
    </nc>
  </rcc>
  <rcc rId="8131" sId="1">
    <oc r="P230" t="inlineStr">
      <is>
        <t>90</t>
      </is>
    </oc>
    <nc r="P230">
      <v>90</v>
    </nc>
  </rcc>
  <rcc rId="8132" sId="1">
    <oc r="P231" t="inlineStr">
      <is>
        <t>90</t>
      </is>
    </oc>
    <nc r="P231">
      <v>90</v>
    </nc>
  </rcc>
  <rcc rId="8133" sId="1">
    <oc r="P232" t="inlineStr">
      <is>
        <t>90</t>
      </is>
    </oc>
    <nc r="P232">
      <v>90</v>
    </nc>
  </rcc>
  <rcc rId="8134" sId="1">
    <oc r="P233" t="inlineStr">
      <is>
        <t>90</t>
      </is>
    </oc>
    <nc r="P233">
      <v>90</v>
    </nc>
  </rcc>
  <rcc rId="8135" sId="1">
    <oc r="P234" t="inlineStr">
      <is>
        <t>90</t>
      </is>
    </oc>
    <nc r="P234">
      <v>90</v>
    </nc>
  </rcc>
  <rcc rId="8136" sId="1">
    <oc r="P235" t="inlineStr">
      <is>
        <t>90</t>
      </is>
    </oc>
    <nc r="P235">
      <v>90</v>
    </nc>
  </rcc>
  <rcc rId="8137" sId="1">
    <oc r="P236" t="inlineStr">
      <is>
        <t>90</t>
      </is>
    </oc>
    <nc r="P236">
      <v>90</v>
    </nc>
  </rcc>
  <rcc rId="8138" sId="1">
    <oc r="P237" t="inlineStr">
      <is>
        <t>90</t>
      </is>
    </oc>
    <nc r="P237">
      <v>90</v>
    </nc>
  </rcc>
  <rcc rId="8139" sId="1">
    <oc r="P238" t="inlineStr">
      <is>
        <t>90</t>
      </is>
    </oc>
    <nc r="P238">
      <v>90</v>
    </nc>
  </rcc>
  <rcc rId="8140" sId="1">
    <oc r="P239" t="inlineStr">
      <is>
        <t>90</t>
      </is>
    </oc>
    <nc r="P239">
      <v>90</v>
    </nc>
  </rcc>
  <rcc rId="8141" sId="1">
    <oc r="P240" t="inlineStr">
      <is>
        <t>90</t>
      </is>
    </oc>
    <nc r="P240">
      <v>90</v>
    </nc>
  </rcc>
  <rcc rId="8142" sId="1">
    <oc r="P241" t="inlineStr">
      <is>
        <t>90</t>
      </is>
    </oc>
    <nc r="P241">
      <v>90</v>
    </nc>
  </rcc>
  <rcc rId="8143" sId="1">
    <oc r="P242" t="inlineStr">
      <is>
        <t>90</t>
      </is>
    </oc>
    <nc r="P242">
      <v>90</v>
    </nc>
  </rcc>
  <rcc rId="8144" sId="1">
    <oc r="P243" t="inlineStr">
      <is>
        <t>90</t>
      </is>
    </oc>
    <nc r="P243">
      <v>90</v>
    </nc>
  </rcc>
  <rcc rId="8145" sId="1">
    <oc r="P244" t="inlineStr">
      <is>
        <t>90</t>
      </is>
    </oc>
    <nc r="P244">
      <v>90</v>
    </nc>
  </rcc>
  <rcc rId="8146" sId="1">
    <oc r="P245" t="inlineStr">
      <is>
        <t>90</t>
      </is>
    </oc>
    <nc r="P245">
      <v>90</v>
    </nc>
  </rcc>
  <rcc rId="8147" sId="1">
    <oc r="P246" t="inlineStr">
      <is>
        <t>90</t>
      </is>
    </oc>
    <nc r="P246">
      <v>90</v>
    </nc>
  </rcc>
  <rcc rId="8148" sId="1">
    <oc r="P247" t="inlineStr">
      <is>
        <t>90</t>
      </is>
    </oc>
    <nc r="P247">
      <v>90</v>
    </nc>
  </rcc>
  <rcc rId="8149" sId="1">
    <oc r="P248" t="inlineStr">
      <is>
        <t>90</t>
      </is>
    </oc>
    <nc r="P248">
      <v>90</v>
    </nc>
  </rcc>
  <rcc rId="8150" sId="1">
    <oc r="P249" t="inlineStr">
      <is>
        <t>90</t>
      </is>
    </oc>
    <nc r="P249">
      <v>90</v>
    </nc>
  </rcc>
  <rcc rId="8151" sId="1">
    <oc r="P250" t="inlineStr">
      <is>
        <t>90</t>
      </is>
    </oc>
    <nc r="P250">
      <v>90</v>
    </nc>
  </rcc>
  <rcc rId="8152" sId="1">
    <oc r="P251" t="inlineStr">
      <is>
        <t>90</t>
      </is>
    </oc>
    <nc r="P251">
      <v>90</v>
    </nc>
  </rcc>
  <rcc rId="8153" sId="1">
    <oc r="P252" t="inlineStr">
      <is>
        <t>90</t>
      </is>
    </oc>
    <nc r="P252">
      <v>90</v>
    </nc>
  </rcc>
  <rcc rId="8154" sId="1">
    <oc r="P253" t="inlineStr">
      <is>
        <t>90</t>
      </is>
    </oc>
    <nc r="P253">
      <v>90</v>
    </nc>
  </rcc>
  <rcc rId="8155" sId="1">
    <oc r="P254" t="inlineStr">
      <is>
        <t>90</t>
      </is>
    </oc>
    <nc r="P254">
      <v>90</v>
    </nc>
  </rcc>
  <rcc rId="8156" sId="1">
    <oc r="P255" t="inlineStr">
      <is>
        <t>90</t>
      </is>
    </oc>
    <nc r="P255">
      <v>90</v>
    </nc>
  </rcc>
  <rcc rId="8157" sId="1">
    <oc r="P256" t="inlineStr">
      <is>
        <t>90</t>
      </is>
    </oc>
    <nc r="P256">
      <v>90</v>
    </nc>
  </rcc>
  <rcc rId="8158" sId="1">
    <oc r="P257" t="inlineStr">
      <is>
        <t>90</t>
      </is>
    </oc>
    <nc r="P257">
      <v>90</v>
    </nc>
  </rcc>
  <rcc rId="8159" sId="1">
    <oc r="P258" t="inlineStr">
      <is>
        <t>90</t>
      </is>
    </oc>
    <nc r="P258">
      <v>90</v>
    </nc>
  </rcc>
  <rcc rId="8160" sId="1">
    <oc r="P259" t="inlineStr">
      <is>
        <t>90</t>
      </is>
    </oc>
    <nc r="P259">
      <v>90</v>
    </nc>
  </rcc>
  <rcc rId="8161" sId="1">
    <oc r="P260" t="inlineStr">
      <is>
        <t>90</t>
      </is>
    </oc>
    <nc r="P260">
      <v>90</v>
    </nc>
  </rcc>
  <rcc rId="8162" sId="1">
    <oc r="P261" t="inlineStr">
      <is>
        <t>90</t>
      </is>
    </oc>
    <nc r="P261">
      <v>90</v>
    </nc>
  </rcc>
  <rcc rId="8163" sId="1">
    <oc r="P262" t="inlineStr">
      <is>
        <t>90</t>
      </is>
    </oc>
    <nc r="P262">
      <v>90</v>
    </nc>
  </rcc>
  <rcc rId="8164" sId="1">
    <oc r="P263" t="inlineStr">
      <is>
        <t>90</t>
      </is>
    </oc>
    <nc r="P263">
      <v>90</v>
    </nc>
  </rcc>
  <rcc rId="8165" sId="1">
    <oc r="P264" t="inlineStr">
      <is>
        <t>90</t>
      </is>
    </oc>
    <nc r="P264">
      <v>90</v>
    </nc>
  </rcc>
  <rcc rId="8166" sId="1">
    <oc r="P265" t="inlineStr">
      <is>
        <t>90</t>
      </is>
    </oc>
    <nc r="P265">
      <v>90</v>
    </nc>
  </rcc>
  <rcc rId="8167" sId="1">
    <oc r="P266" t="inlineStr">
      <is>
        <t>90</t>
      </is>
    </oc>
    <nc r="P266">
      <v>90</v>
    </nc>
  </rcc>
  <rcc rId="8168" sId="1">
    <oc r="P267" t="inlineStr">
      <is>
        <t>90</t>
      </is>
    </oc>
    <nc r="P267">
      <v>90</v>
    </nc>
  </rcc>
  <rcc rId="8169" sId="1">
    <oc r="P268" t="inlineStr">
      <is>
        <t>90</t>
      </is>
    </oc>
    <nc r="P268">
      <v>90</v>
    </nc>
  </rcc>
  <rcc rId="8170" sId="1">
    <oc r="P269" t="inlineStr">
      <is>
        <t>90</t>
      </is>
    </oc>
    <nc r="P269">
      <v>90</v>
    </nc>
  </rcc>
  <rcc rId="8171" sId="1">
    <oc r="P270" t="inlineStr">
      <is>
        <t>90</t>
      </is>
    </oc>
    <nc r="P270">
      <v>90</v>
    </nc>
  </rcc>
  <rcc rId="8172" sId="1">
    <oc r="P271" t="inlineStr">
      <is>
        <t>90</t>
      </is>
    </oc>
    <nc r="P271">
      <v>90</v>
    </nc>
  </rcc>
  <rcc rId="8173" sId="1">
    <oc r="P272" t="inlineStr">
      <is>
        <t>90</t>
      </is>
    </oc>
    <nc r="P272">
      <v>90</v>
    </nc>
  </rcc>
  <rcc rId="8174" sId="1">
    <oc r="P273" t="inlineStr">
      <is>
        <t>90</t>
      </is>
    </oc>
    <nc r="P273">
      <v>90</v>
    </nc>
  </rcc>
  <rcc rId="8175" sId="1">
    <oc r="P274" t="inlineStr">
      <is>
        <t>90</t>
      </is>
    </oc>
    <nc r="P274">
      <v>90</v>
    </nc>
  </rcc>
  <rcc rId="8176" sId="1">
    <oc r="P275" t="inlineStr">
      <is>
        <t>90</t>
      </is>
    </oc>
    <nc r="P275">
      <v>90</v>
    </nc>
  </rcc>
  <rcc rId="8177" sId="1">
    <oc r="P276" t="inlineStr">
      <is>
        <t>90</t>
      </is>
    </oc>
    <nc r="P276">
      <v>90</v>
    </nc>
  </rcc>
  <rcc rId="8178" sId="1">
    <oc r="P277" t="inlineStr">
      <is>
        <t>90</t>
      </is>
    </oc>
    <nc r="P277">
      <v>90</v>
    </nc>
  </rcc>
  <rcc rId="8179" sId="1">
    <oc r="P278" t="inlineStr">
      <is>
        <t>90</t>
      </is>
    </oc>
    <nc r="P278">
      <v>90</v>
    </nc>
  </rcc>
  <rcc rId="8180" sId="1">
    <oc r="P279" t="inlineStr">
      <is>
        <t>90</t>
      </is>
    </oc>
    <nc r="P279">
      <v>90</v>
    </nc>
  </rcc>
  <rcc rId="8181" sId="1">
    <oc r="P280" t="inlineStr">
      <is>
        <t>90</t>
      </is>
    </oc>
    <nc r="P280">
      <v>90</v>
    </nc>
  </rcc>
  <rcc rId="8182" sId="1">
    <oc r="P281" t="inlineStr">
      <is>
        <t>90</t>
      </is>
    </oc>
    <nc r="P281">
      <v>90</v>
    </nc>
  </rcc>
  <rcc rId="8183" sId="1">
    <oc r="P282" t="inlineStr">
      <is>
        <t>90</t>
      </is>
    </oc>
    <nc r="P282">
      <v>90</v>
    </nc>
  </rcc>
  <rcc rId="8184" sId="1">
    <oc r="P283" t="inlineStr">
      <is>
        <t>90</t>
      </is>
    </oc>
    <nc r="P283">
      <v>90</v>
    </nc>
  </rcc>
  <rcc rId="8185" sId="1">
    <oc r="P284" t="inlineStr">
      <is>
        <t>90</t>
      </is>
    </oc>
    <nc r="P284">
      <v>90</v>
    </nc>
  </rcc>
  <rcc rId="8186" sId="1">
    <oc r="P285" t="inlineStr">
      <is>
        <t>90</t>
      </is>
    </oc>
    <nc r="P285">
      <v>90</v>
    </nc>
  </rcc>
  <rcc rId="8187" sId="1">
    <oc r="P286" t="inlineStr">
      <is>
        <t>90</t>
      </is>
    </oc>
    <nc r="P286">
      <v>90</v>
    </nc>
  </rcc>
  <rcc rId="8188" sId="1">
    <oc r="P287" t="inlineStr">
      <is>
        <t>90</t>
      </is>
    </oc>
    <nc r="P287">
      <v>90</v>
    </nc>
  </rcc>
  <rcc rId="8189" sId="1">
    <oc r="P288" t="inlineStr">
      <is>
        <t>90</t>
      </is>
    </oc>
    <nc r="P288">
      <v>90</v>
    </nc>
  </rcc>
  <rcc rId="8190" sId="1">
    <oc r="P289" t="inlineStr">
      <is>
        <t>90</t>
      </is>
    </oc>
    <nc r="P289">
      <v>90</v>
    </nc>
  </rcc>
  <rcc rId="8191" sId="1">
    <oc r="P290" t="inlineStr">
      <is>
        <t>90</t>
      </is>
    </oc>
    <nc r="P290">
      <v>90</v>
    </nc>
  </rcc>
  <rcc rId="8192" sId="1">
    <oc r="P291" t="inlineStr">
      <is>
        <t>90</t>
      </is>
    </oc>
    <nc r="P291">
      <v>90</v>
    </nc>
  </rcc>
  <rcc rId="8193" sId="1">
    <oc r="P292" t="inlineStr">
      <is>
        <t>90</t>
      </is>
    </oc>
    <nc r="P292">
      <v>90</v>
    </nc>
  </rcc>
  <rcc rId="8194" sId="1">
    <oc r="P293" t="inlineStr">
      <is>
        <t>90</t>
      </is>
    </oc>
    <nc r="P293">
      <v>90</v>
    </nc>
  </rcc>
  <rcc rId="8195" sId="1">
    <oc r="P294" t="inlineStr">
      <is>
        <t>90</t>
      </is>
    </oc>
    <nc r="P294">
      <v>90</v>
    </nc>
  </rcc>
  <rcc rId="8196" sId="1">
    <oc r="P295" t="inlineStr">
      <is>
        <t>90</t>
      </is>
    </oc>
    <nc r="P295">
      <v>90</v>
    </nc>
  </rcc>
  <rcc rId="8197" sId="1">
    <oc r="P296" t="inlineStr">
      <is>
        <t>90</t>
      </is>
    </oc>
    <nc r="P296">
      <v>90</v>
    </nc>
  </rcc>
  <rcc rId="8198" sId="1">
    <oc r="P297" t="inlineStr">
      <is>
        <t>90</t>
      </is>
    </oc>
    <nc r="P297">
      <v>90</v>
    </nc>
  </rcc>
  <rcc rId="8199" sId="1">
    <oc r="P298" t="inlineStr">
      <is>
        <t>90</t>
      </is>
    </oc>
    <nc r="P298">
      <v>90</v>
    </nc>
  </rcc>
  <rcc rId="8200" sId="1">
    <oc r="P299" t="inlineStr">
      <is>
        <t>90</t>
      </is>
    </oc>
    <nc r="P299">
      <v>90</v>
    </nc>
  </rcc>
  <rcc rId="8201" sId="1">
    <oc r="P300" t="inlineStr">
      <is>
        <t>90</t>
      </is>
    </oc>
    <nc r="P300">
      <v>90</v>
    </nc>
  </rcc>
  <rcc rId="8202" sId="1">
    <oc r="P301" t="inlineStr">
      <is>
        <t>90</t>
      </is>
    </oc>
    <nc r="P301">
      <v>90</v>
    </nc>
  </rcc>
  <rcc rId="8203" sId="1">
    <oc r="P302" t="inlineStr">
      <is>
        <t>90</t>
      </is>
    </oc>
    <nc r="P302">
      <v>90</v>
    </nc>
  </rcc>
  <rcc rId="8204" sId="1">
    <oc r="P303" t="inlineStr">
      <is>
        <t>90</t>
      </is>
    </oc>
    <nc r="P303">
      <v>90</v>
    </nc>
  </rcc>
  <rcc rId="8205" sId="1">
    <oc r="P304" t="inlineStr">
      <is>
        <t>90</t>
      </is>
    </oc>
    <nc r="P304">
      <v>90</v>
    </nc>
  </rcc>
  <rcc rId="8206" sId="1">
    <oc r="P305" t="inlineStr">
      <is>
        <t>90</t>
      </is>
    </oc>
    <nc r="P305">
      <v>90</v>
    </nc>
  </rcc>
  <rcc rId="8207" sId="1">
    <oc r="P306" t="inlineStr">
      <is>
        <t>90</t>
      </is>
    </oc>
    <nc r="P306">
      <v>90</v>
    </nc>
  </rcc>
  <rcc rId="8208" sId="1">
    <oc r="P307" t="inlineStr">
      <is>
        <t>90</t>
      </is>
    </oc>
    <nc r="P307">
      <v>90</v>
    </nc>
  </rcc>
  <rcc rId="8209" sId="1">
    <oc r="P308" t="inlineStr">
      <is>
        <t>90</t>
      </is>
    </oc>
    <nc r="P308">
      <v>90</v>
    </nc>
  </rcc>
  <rcc rId="8210" sId="1">
    <oc r="P309" t="inlineStr">
      <is>
        <t>90</t>
      </is>
    </oc>
    <nc r="P309">
      <v>90</v>
    </nc>
  </rcc>
  <rcc rId="8211" sId="1">
    <oc r="P310" t="inlineStr">
      <is>
        <t>90</t>
      </is>
    </oc>
    <nc r="P310">
      <v>90</v>
    </nc>
  </rcc>
  <rcc rId="8212" sId="1">
    <oc r="P311" t="inlineStr">
      <is>
        <t>90</t>
      </is>
    </oc>
    <nc r="P311">
      <v>90</v>
    </nc>
  </rcc>
  <rcc rId="8213" sId="1">
    <oc r="P312" t="inlineStr">
      <is>
        <t>90</t>
      </is>
    </oc>
    <nc r="P312">
      <v>90</v>
    </nc>
  </rcc>
  <rcc rId="8214" sId="1">
    <oc r="P313" t="inlineStr">
      <is>
        <t>90</t>
      </is>
    </oc>
    <nc r="P313">
      <v>90</v>
    </nc>
  </rcc>
  <rcc rId="8215" sId="1">
    <oc r="P314" t="inlineStr">
      <is>
        <t>90</t>
      </is>
    </oc>
    <nc r="P314">
      <v>90</v>
    </nc>
  </rcc>
  <rcc rId="8216" sId="1">
    <oc r="P315" t="inlineStr">
      <is>
        <t>90</t>
      </is>
    </oc>
    <nc r="P315">
      <v>90</v>
    </nc>
  </rcc>
  <rcc rId="8217" sId="1">
    <oc r="P316" t="inlineStr">
      <is>
        <t>90</t>
      </is>
    </oc>
    <nc r="P316">
      <v>90</v>
    </nc>
  </rcc>
  <rcc rId="8218" sId="1">
    <oc r="P317" t="inlineStr">
      <is>
        <t>90</t>
      </is>
    </oc>
    <nc r="P317">
      <v>90</v>
    </nc>
  </rcc>
  <rcc rId="8219" sId="1">
    <oc r="P318" t="inlineStr">
      <is>
        <t>90</t>
      </is>
    </oc>
    <nc r="P318">
      <v>90</v>
    </nc>
  </rcc>
  <rcc rId="8220" sId="1">
    <oc r="P319" t="inlineStr">
      <is>
        <t>90</t>
      </is>
    </oc>
    <nc r="P319">
      <v>90</v>
    </nc>
  </rcc>
  <rcc rId="8221" sId="1">
    <oc r="P320" t="inlineStr">
      <is>
        <t>90</t>
      </is>
    </oc>
    <nc r="P320">
      <v>90</v>
    </nc>
  </rcc>
  <rcc rId="8222" sId="1">
    <oc r="P321" t="inlineStr">
      <is>
        <t>90</t>
      </is>
    </oc>
    <nc r="P321">
      <v>90</v>
    </nc>
  </rcc>
  <rcc rId="8223" sId="1">
    <oc r="P322" t="inlineStr">
      <is>
        <t>90</t>
      </is>
    </oc>
    <nc r="P322">
      <v>90</v>
    </nc>
  </rcc>
  <rcc rId="8224" sId="1">
    <oc r="P323" t="inlineStr">
      <is>
        <t>90</t>
      </is>
    </oc>
    <nc r="P323">
      <v>90</v>
    </nc>
  </rcc>
  <rcc rId="8225" sId="1">
    <oc r="P324" t="inlineStr">
      <is>
        <t>90</t>
      </is>
    </oc>
    <nc r="P324">
      <v>90</v>
    </nc>
  </rcc>
  <rcc rId="8226" sId="1">
    <oc r="P325" t="inlineStr">
      <is>
        <t>90</t>
      </is>
    </oc>
    <nc r="P325">
      <v>90</v>
    </nc>
  </rcc>
  <rcc rId="8227" sId="1">
    <oc r="P326" t="inlineStr">
      <is>
        <t>90</t>
      </is>
    </oc>
    <nc r="P326">
      <v>90</v>
    </nc>
  </rcc>
  <rcc rId="8228" sId="1">
    <oc r="P327" t="inlineStr">
      <is>
        <t>90</t>
      </is>
    </oc>
    <nc r="P327">
      <v>90</v>
    </nc>
  </rcc>
  <rcc rId="8229" sId="1">
    <oc r="P328" t="inlineStr">
      <is>
        <t>90</t>
      </is>
    </oc>
    <nc r="P328">
      <v>90</v>
    </nc>
  </rcc>
  <rcc rId="8230" sId="1">
    <oc r="P329" t="inlineStr">
      <is>
        <t>90</t>
      </is>
    </oc>
    <nc r="P329">
      <v>90</v>
    </nc>
  </rcc>
  <rcc rId="8231" sId="1">
    <oc r="P330" t="inlineStr">
      <is>
        <t>90</t>
      </is>
    </oc>
    <nc r="P330">
      <v>90</v>
    </nc>
  </rcc>
  <rcc rId="8232" sId="1">
    <oc r="P331" t="inlineStr">
      <is>
        <t>90</t>
      </is>
    </oc>
    <nc r="P331">
      <v>90</v>
    </nc>
  </rcc>
  <rcc rId="8233" sId="1">
    <oc r="P332" t="inlineStr">
      <is>
        <t>90</t>
      </is>
    </oc>
    <nc r="P332">
      <v>90</v>
    </nc>
  </rcc>
  <rcc rId="8234" sId="1">
    <oc r="P333" t="inlineStr">
      <is>
        <t>90</t>
      </is>
    </oc>
    <nc r="P333">
      <v>90</v>
    </nc>
  </rcc>
  <rcc rId="8235" sId="1">
    <oc r="P334" t="inlineStr">
      <is>
        <t>90</t>
      </is>
    </oc>
    <nc r="P334">
      <v>90</v>
    </nc>
  </rcc>
  <rcc rId="8236" sId="1">
    <oc r="P335" t="inlineStr">
      <is>
        <t>90</t>
      </is>
    </oc>
    <nc r="P335">
      <v>90</v>
    </nc>
  </rcc>
  <rcc rId="8237" sId="1">
    <oc r="P336" t="inlineStr">
      <is>
        <t>90</t>
      </is>
    </oc>
    <nc r="P336">
      <v>90</v>
    </nc>
  </rcc>
  <rcc rId="8238" sId="1">
    <oc r="P337" t="inlineStr">
      <is>
        <t>90</t>
      </is>
    </oc>
    <nc r="P337">
      <v>90</v>
    </nc>
  </rcc>
  <rcc rId="8239" sId="1">
    <oc r="P338" t="inlineStr">
      <is>
        <t>90</t>
      </is>
    </oc>
    <nc r="P338">
      <v>90</v>
    </nc>
  </rcc>
  <rcc rId="8240" sId="1">
    <oc r="Q2" t="inlineStr">
      <is>
        <t>90</t>
      </is>
    </oc>
    <nc r="Q2">
      <v>90</v>
    </nc>
  </rcc>
  <rcc rId="8241" sId="1">
    <oc r="Q3" t="inlineStr">
      <is>
        <t>90</t>
      </is>
    </oc>
    <nc r="Q3">
      <v>90</v>
    </nc>
  </rcc>
  <rcc rId="8242" sId="1">
    <oc r="Q4" t="inlineStr">
      <is>
        <t>90</t>
      </is>
    </oc>
    <nc r="Q4">
      <v>90</v>
    </nc>
  </rcc>
  <rcc rId="8243" sId="1">
    <oc r="Q5" t="inlineStr">
      <is>
        <t>90</t>
      </is>
    </oc>
    <nc r="Q5">
      <v>90</v>
    </nc>
  </rcc>
  <rcc rId="8244" sId="1">
    <oc r="Q6" t="inlineStr">
      <is>
        <t>90</t>
      </is>
    </oc>
    <nc r="Q6">
      <v>90</v>
    </nc>
  </rcc>
  <rcc rId="8245" sId="1">
    <oc r="Q7" t="inlineStr">
      <is>
        <t>90</t>
      </is>
    </oc>
    <nc r="Q7">
      <v>90</v>
    </nc>
  </rcc>
  <rcc rId="8246" sId="1">
    <oc r="Q8" t="inlineStr">
      <is>
        <t>90</t>
      </is>
    </oc>
    <nc r="Q8">
      <v>90</v>
    </nc>
  </rcc>
  <rcc rId="8247" sId="1">
    <oc r="Q9" t="inlineStr">
      <is>
        <t>90</t>
      </is>
    </oc>
    <nc r="Q9">
      <v>90</v>
    </nc>
  </rcc>
  <rcc rId="8248" sId="1">
    <oc r="Q10" t="inlineStr">
      <is>
        <t>90</t>
      </is>
    </oc>
    <nc r="Q10">
      <v>90</v>
    </nc>
  </rcc>
  <rcc rId="8249" sId="1">
    <oc r="Q11" t="inlineStr">
      <is>
        <t>90</t>
      </is>
    </oc>
    <nc r="Q11">
      <v>90</v>
    </nc>
  </rcc>
  <rcc rId="8250" sId="1">
    <oc r="Q12" t="inlineStr">
      <is>
        <t>90</t>
      </is>
    </oc>
    <nc r="Q12">
      <v>90</v>
    </nc>
  </rcc>
  <rcc rId="8251" sId="1">
    <oc r="Q13" t="inlineStr">
      <is>
        <t>90</t>
      </is>
    </oc>
    <nc r="Q13">
      <v>90</v>
    </nc>
  </rcc>
  <rcc rId="8252" sId="1">
    <oc r="Q14" t="inlineStr">
      <is>
        <t>90</t>
      </is>
    </oc>
    <nc r="Q14">
      <v>90</v>
    </nc>
  </rcc>
  <rcc rId="8253" sId="1">
    <oc r="Q15" t="inlineStr">
      <is>
        <t>90</t>
      </is>
    </oc>
    <nc r="Q15">
      <v>90</v>
    </nc>
  </rcc>
  <rcc rId="8254" sId="1">
    <oc r="Q16" t="inlineStr">
      <is>
        <t>90</t>
      </is>
    </oc>
    <nc r="Q16">
      <v>90</v>
    </nc>
  </rcc>
  <rcc rId="8255" sId="1">
    <oc r="Q17" t="inlineStr">
      <is>
        <t>90</t>
      </is>
    </oc>
    <nc r="Q17">
      <v>90</v>
    </nc>
  </rcc>
  <rcc rId="8256" sId="1">
    <oc r="Q18" t="inlineStr">
      <is>
        <t>90</t>
      </is>
    </oc>
    <nc r="Q18">
      <v>90</v>
    </nc>
  </rcc>
  <rcc rId="8257" sId="1">
    <oc r="Q19" t="inlineStr">
      <is>
        <t>90</t>
      </is>
    </oc>
    <nc r="Q19">
      <v>90</v>
    </nc>
  </rcc>
  <rcc rId="8258" sId="1">
    <oc r="Q20" t="inlineStr">
      <is>
        <t>90</t>
      </is>
    </oc>
    <nc r="Q20">
      <v>90</v>
    </nc>
  </rcc>
  <rcc rId="8259" sId="1">
    <oc r="Q21" t="inlineStr">
      <is>
        <t>90</t>
      </is>
    </oc>
    <nc r="Q21">
      <v>90</v>
    </nc>
  </rcc>
  <rcc rId="8260" sId="1">
    <oc r="Q22" t="inlineStr">
      <is>
        <t>90</t>
      </is>
    </oc>
    <nc r="Q22">
      <v>90</v>
    </nc>
  </rcc>
  <rcc rId="8261" sId="1">
    <oc r="Q23" t="inlineStr">
      <is>
        <t>90</t>
      </is>
    </oc>
    <nc r="Q23">
      <v>90</v>
    </nc>
  </rcc>
  <rcc rId="8262" sId="1">
    <oc r="Q24" t="inlineStr">
      <is>
        <t>90</t>
      </is>
    </oc>
    <nc r="Q24">
      <v>90</v>
    </nc>
  </rcc>
  <rcc rId="8263" sId="1">
    <oc r="Q25" t="inlineStr">
      <is>
        <t>90</t>
      </is>
    </oc>
    <nc r="Q25">
      <v>90</v>
    </nc>
  </rcc>
  <rcc rId="8264" sId="1">
    <oc r="Q26" t="inlineStr">
      <is>
        <t>90</t>
      </is>
    </oc>
    <nc r="Q26">
      <v>90</v>
    </nc>
  </rcc>
  <rcc rId="8265" sId="1">
    <oc r="Q27" t="inlineStr">
      <is>
        <t>90</t>
      </is>
    </oc>
    <nc r="Q27">
      <v>90</v>
    </nc>
  </rcc>
  <rcc rId="8266" sId="1">
    <oc r="Q28" t="inlineStr">
      <is>
        <t>90</t>
      </is>
    </oc>
    <nc r="Q28">
      <v>90</v>
    </nc>
  </rcc>
  <rcc rId="8267" sId="1">
    <oc r="Q29" t="inlineStr">
      <is>
        <t>90</t>
      </is>
    </oc>
    <nc r="Q29">
      <v>90</v>
    </nc>
  </rcc>
  <rcc rId="8268" sId="1">
    <oc r="Q30" t="inlineStr">
      <is>
        <t>90</t>
      </is>
    </oc>
    <nc r="Q30">
      <v>90</v>
    </nc>
  </rcc>
  <rcc rId="8269" sId="1">
    <oc r="Q31" t="inlineStr">
      <is>
        <t>90</t>
      </is>
    </oc>
    <nc r="Q31">
      <v>90</v>
    </nc>
  </rcc>
  <rcc rId="8270" sId="1">
    <oc r="Q32" t="inlineStr">
      <is>
        <t>90</t>
      </is>
    </oc>
    <nc r="Q32">
      <v>90</v>
    </nc>
  </rcc>
  <rcc rId="8271" sId="1">
    <oc r="Q33" t="inlineStr">
      <is>
        <t>90</t>
      </is>
    </oc>
    <nc r="Q33">
      <v>90</v>
    </nc>
  </rcc>
  <rcc rId="8272" sId="1">
    <oc r="Q34" t="inlineStr">
      <is>
        <t>90</t>
      </is>
    </oc>
    <nc r="Q34">
      <v>90</v>
    </nc>
  </rcc>
  <rcc rId="8273" sId="1">
    <oc r="Q35" t="inlineStr">
      <is>
        <t>90</t>
      </is>
    </oc>
    <nc r="Q35">
      <v>90</v>
    </nc>
  </rcc>
  <rcc rId="8274" sId="1">
    <oc r="Q36" t="inlineStr">
      <is>
        <t>90</t>
      </is>
    </oc>
    <nc r="Q36">
      <v>90</v>
    </nc>
  </rcc>
  <rcc rId="8275" sId="1">
    <oc r="Q37" t="inlineStr">
      <is>
        <t>90</t>
      </is>
    </oc>
    <nc r="Q37">
      <v>90</v>
    </nc>
  </rcc>
  <rcc rId="8276" sId="1">
    <oc r="Q38" t="inlineStr">
      <is>
        <t>90</t>
      </is>
    </oc>
    <nc r="Q38">
      <v>90</v>
    </nc>
  </rcc>
  <rcc rId="8277" sId="1">
    <oc r="Q39" t="inlineStr">
      <is>
        <t>90</t>
      </is>
    </oc>
    <nc r="Q39">
      <v>90</v>
    </nc>
  </rcc>
  <rcc rId="8278" sId="1">
    <oc r="Q40" t="inlineStr">
      <is>
        <t>90</t>
      </is>
    </oc>
    <nc r="Q40">
      <v>90</v>
    </nc>
  </rcc>
  <rcc rId="8279" sId="1">
    <oc r="Q41" t="inlineStr">
      <is>
        <t>90</t>
      </is>
    </oc>
    <nc r="Q41">
      <v>90</v>
    </nc>
  </rcc>
  <rcc rId="8280" sId="1">
    <oc r="Q42" t="inlineStr">
      <is>
        <t>90</t>
      </is>
    </oc>
    <nc r="Q42">
      <v>90</v>
    </nc>
  </rcc>
  <rcc rId="8281" sId="1">
    <oc r="Q43" t="inlineStr">
      <is>
        <t>90</t>
      </is>
    </oc>
    <nc r="Q43">
      <v>90</v>
    </nc>
  </rcc>
  <rcc rId="8282" sId="1">
    <oc r="Q44" t="inlineStr">
      <is>
        <t>90</t>
      </is>
    </oc>
    <nc r="Q44">
      <v>90</v>
    </nc>
  </rcc>
  <rcc rId="8283" sId="1">
    <oc r="Q45" t="inlineStr">
      <is>
        <t>90</t>
      </is>
    </oc>
    <nc r="Q45">
      <v>90</v>
    </nc>
  </rcc>
  <rcc rId="8284" sId="1">
    <oc r="Q46" t="inlineStr">
      <is>
        <t>90</t>
      </is>
    </oc>
    <nc r="Q46">
      <v>90</v>
    </nc>
  </rcc>
  <rcc rId="8285" sId="1">
    <oc r="Q47" t="inlineStr">
      <is>
        <t>90</t>
      </is>
    </oc>
    <nc r="Q47">
      <v>90</v>
    </nc>
  </rcc>
  <rcc rId="8286" sId="1">
    <oc r="Q48" t="inlineStr">
      <is>
        <t>90</t>
      </is>
    </oc>
    <nc r="Q48">
      <v>90</v>
    </nc>
  </rcc>
  <rcc rId="8287" sId="1">
    <oc r="Q49" t="inlineStr">
      <is>
        <t>90</t>
      </is>
    </oc>
    <nc r="Q49">
      <v>90</v>
    </nc>
  </rcc>
  <rcc rId="8288" sId="1">
    <oc r="Q50" t="inlineStr">
      <is>
        <t>90</t>
      </is>
    </oc>
    <nc r="Q50">
      <v>90</v>
    </nc>
  </rcc>
  <rcc rId="8289" sId="1">
    <oc r="Q51" t="inlineStr">
      <is>
        <t>90</t>
      </is>
    </oc>
    <nc r="Q51">
      <v>90</v>
    </nc>
  </rcc>
  <rcc rId="8290" sId="1">
    <oc r="Q52" t="inlineStr">
      <is>
        <t>90</t>
      </is>
    </oc>
    <nc r="Q52">
      <v>90</v>
    </nc>
  </rcc>
  <rcc rId="8291" sId="1">
    <oc r="Q53" t="inlineStr">
      <is>
        <t>90</t>
      </is>
    </oc>
    <nc r="Q53">
      <v>90</v>
    </nc>
  </rcc>
  <rcc rId="8292" sId="1">
    <oc r="Q54" t="inlineStr">
      <is>
        <t>90</t>
      </is>
    </oc>
    <nc r="Q54">
      <v>90</v>
    </nc>
  </rcc>
  <rcc rId="8293" sId="1">
    <oc r="Q55" t="inlineStr">
      <is>
        <t>90</t>
      </is>
    </oc>
    <nc r="Q55">
      <v>90</v>
    </nc>
  </rcc>
  <rcc rId="8294" sId="1">
    <oc r="Q56" t="inlineStr">
      <is>
        <t>90</t>
      </is>
    </oc>
    <nc r="Q56">
      <v>90</v>
    </nc>
  </rcc>
  <rcc rId="8295" sId="1">
    <oc r="Q57" t="inlineStr">
      <is>
        <t>90</t>
      </is>
    </oc>
    <nc r="Q57">
      <v>90</v>
    </nc>
  </rcc>
  <rcc rId="8296" sId="1">
    <oc r="Q58" t="inlineStr">
      <is>
        <t>90</t>
      </is>
    </oc>
    <nc r="Q58">
      <v>90</v>
    </nc>
  </rcc>
  <rcc rId="8297" sId="1">
    <oc r="Q59" t="inlineStr">
      <is>
        <t>90</t>
      </is>
    </oc>
    <nc r="Q59">
      <v>90</v>
    </nc>
  </rcc>
  <rcc rId="8298" sId="1">
    <oc r="Q60" t="inlineStr">
      <is>
        <t>90</t>
      </is>
    </oc>
    <nc r="Q60">
      <v>90</v>
    </nc>
  </rcc>
  <rcc rId="8299" sId="1">
    <oc r="Q61" t="inlineStr">
      <is>
        <t>90</t>
      </is>
    </oc>
    <nc r="Q61">
      <v>90</v>
    </nc>
  </rcc>
  <rcc rId="8300" sId="1">
    <oc r="Q62" t="inlineStr">
      <is>
        <t>90</t>
      </is>
    </oc>
    <nc r="Q62">
      <v>90</v>
    </nc>
  </rcc>
  <rcc rId="8301" sId="1">
    <oc r="Q63" t="inlineStr">
      <is>
        <t>90</t>
      </is>
    </oc>
    <nc r="Q63">
      <v>90</v>
    </nc>
  </rcc>
  <rcc rId="8302" sId="1">
    <oc r="Q64" t="inlineStr">
      <is>
        <t>90</t>
      </is>
    </oc>
    <nc r="Q64">
      <v>90</v>
    </nc>
  </rcc>
  <rcc rId="8303" sId="1">
    <oc r="Q65" t="inlineStr">
      <is>
        <t>90</t>
      </is>
    </oc>
    <nc r="Q65">
      <v>90</v>
    </nc>
  </rcc>
  <rcc rId="8304" sId="1">
    <oc r="Q66" t="inlineStr">
      <is>
        <t>90</t>
      </is>
    </oc>
    <nc r="Q66">
      <v>90</v>
    </nc>
  </rcc>
  <rcc rId="8305" sId="1">
    <oc r="Q67" t="inlineStr">
      <is>
        <t>90</t>
      </is>
    </oc>
    <nc r="Q67">
      <v>90</v>
    </nc>
  </rcc>
  <rcc rId="8306" sId="1">
    <oc r="Q68" t="inlineStr">
      <is>
        <t>90</t>
      </is>
    </oc>
    <nc r="Q68">
      <v>90</v>
    </nc>
  </rcc>
  <rcc rId="8307" sId="1">
    <oc r="Q69" t="inlineStr">
      <is>
        <t>90</t>
      </is>
    </oc>
    <nc r="Q69">
      <v>90</v>
    </nc>
  </rcc>
  <rcc rId="8308" sId="1">
    <oc r="Q70" t="inlineStr">
      <is>
        <t>90</t>
      </is>
    </oc>
    <nc r="Q70">
      <v>90</v>
    </nc>
  </rcc>
  <rcc rId="8309" sId="1">
    <oc r="Q71" t="inlineStr">
      <is>
        <t>90</t>
      </is>
    </oc>
    <nc r="Q71">
      <v>90</v>
    </nc>
  </rcc>
  <rcc rId="8310" sId="1">
    <oc r="Q72" t="inlineStr">
      <is>
        <t>90</t>
      </is>
    </oc>
    <nc r="Q72">
      <v>90</v>
    </nc>
  </rcc>
  <rcc rId="8311" sId="1">
    <oc r="Q73" t="inlineStr">
      <is>
        <t>90</t>
      </is>
    </oc>
    <nc r="Q73">
      <v>90</v>
    </nc>
  </rcc>
  <rcc rId="8312" sId="1">
    <oc r="Q74" t="inlineStr">
      <is>
        <t>90</t>
      </is>
    </oc>
    <nc r="Q74">
      <v>90</v>
    </nc>
  </rcc>
  <rcc rId="8313" sId="1">
    <oc r="Q75" t="inlineStr">
      <is>
        <t>90</t>
      </is>
    </oc>
    <nc r="Q75">
      <v>90</v>
    </nc>
  </rcc>
  <rcc rId="8314" sId="1">
    <oc r="Q76" t="inlineStr">
      <is>
        <t>90</t>
      </is>
    </oc>
    <nc r="Q76">
      <v>90</v>
    </nc>
  </rcc>
  <rcc rId="8315" sId="1">
    <oc r="Q77" t="inlineStr">
      <is>
        <t>90</t>
      </is>
    </oc>
    <nc r="Q77">
      <v>90</v>
    </nc>
  </rcc>
  <rcc rId="8316" sId="1">
    <oc r="Q78" t="inlineStr">
      <is>
        <t>90</t>
      </is>
    </oc>
    <nc r="Q78">
      <v>90</v>
    </nc>
  </rcc>
  <rcc rId="8317" sId="1">
    <oc r="Q79" t="inlineStr">
      <is>
        <t>90</t>
      </is>
    </oc>
    <nc r="Q79">
      <v>90</v>
    </nc>
  </rcc>
  <rcc rId="8318" sId="1">
    <oc r="Q80" t="inlineStr">
      <is>
        <t>90</t>
      </is>
    </oc>
    <nc r="Q80">
      <v>90</v>
    </nc>
  </rcc>
  <rcc rId="8319" sId="1">
    <oc r="Q81" t="inlineStr">
      <is>
        <t>90</t>
      </is>
    </oc>
    <nc r="Q81">
      <v>90</v>
    </nc>
  </rcc>
  <rcc rId="8320" sId="1">
    <oc r="Q82" t="inlineStr">
      <is>
        <t>90</t>
      </is>
    </oc>
    <nc r="Q82">
      <v>90</v>
    </nc>
  </rcc>
  <rcc rId="8321" sId="1">
    <oc r="Q83" t="inlineStr">
      <is>
        <t>90</t>
      </is>
    </oc>
    <nc r="Q83">
      <v>90</v>
    </nc>
  </rcc>
  <rcc rId="8322" sId="1">
    <oc r="Q84" t="inlineStr">
      <is>
        <t>90</t>
      </is>
    </oc>
    <nc r="Q84">
      <v>90</v>
    </nc>
  </rcc>
  <rcc rId="8323" sId="1">
    <oc r="Q85" t="inlineStr">
      <is>
        <t>90</t>
      </is>
    </oc>
    <nc r="Q85">
      <v>90</v>
    </nc>
  </rcc>
  <rcc rId="8324" sId="1">
    <oc r="Q86" t="inlineStr">
      <is>
        <t>90</t>
      </is>
    </oc>
    <nc r="Q86">
      <v>90</v>
    </nc>
  </rcc>
  <rcc rId="8325" sId="1">
    <oc r="Q87" t="inlineStr">
      <is>
        <t>90</t>
      </is>
    </oc>
    <nc r="Q87">
      <v>90</v>
    </nc>
  </rcc>
  <rcc rId="8326" sId="1">
    <oc r="Q88" t="inlineStr">
      <is>
        <t>90</t>
      </is>
    </oc>
    <nc r="Q88">
      <v>90</v>
    </nc>
  </rcc>
  <rcc rId="8327" sId="1">
    <oc r="Q89" t="inlineStr">
      <is>
        <t>90</t>
      </is>
    </oc>
    <nc r="Q89">
      <v>90</v>
    </nc>
  </rcc>
  <rcc rId="8328" sId="1">
    <oc r="Q90" t="inlineStr">
      <is>
        <t>90</t>
      </is>
    </oc>
    <nc r="Q90">
      <v>90</v>
    </nc>
  </rcc>
  <rcc rId="8329" sId="1">
    <oc r="Q91" t="inlineStr">
      <is>
        <t>90</t>
      </is>
    </oc>
    <nc r="Q91">
      <v>90</v>
    </nc>
  </rcc>
  <rcc rId="8330" sId="1">
    <oc r="Q92" t="inlineStr">
      <is>
        <t>90</t>
      </is>
    </oc>
    <nc r="Q92">
      <v>90</v>
    </nc>
  </rcc>
  <rcc rId="8331" sId="1">
    <oc r="Q93" t="inlineStr">
      <is>
        <t>90</t>
      </is>
    </oc>
    <nc r="Q93">
      <v>90</v>
    </nc>
  </rcc>
  <rcc rId="8332" sId="1">
    <oc r="Q94" t="inlineStr">
      <is>
        <t>90</t>
      </is>
    </oc>
    <nc r="Q94">
      <v>90</v>
    </nc>
  </rcc>
  <rcc rId="8333" sId="1">
    <oc r="Q95" t="inlineStr">
      <is>
        <t>90</t>
      </is>
    </oc>
    <nc r="Q95">
      <v>90</v>
    </nc>
  </rcc>
  <rcc rId="8334" sId="1">
    <oc r="Q96" t="inlineStr">
      <is>
        <t>90</t>
      </is>
    </oc>
    <nc r="Q96">
      <v>90</v>
    </nc>
  </rcc>
  <rcc rId="8335" sId="1">
    <oc r="Q97" t="inlineStr">
      <is>
        <t>90</t>
      </is>
    </oc>
    <nc r="Q97">
      <v>90</v>
    </nc>
  </rcc>
  <rcc rId="8336" sId="1">
    <oc r="Q98" t="inlineStr">
      <is>
        <t>90</t>
      </is>
    </oc>
    <nc r="Q98">
      <v>90</v>
    </nc>
  </rcc>
  <rcc rId="8337" sId="1">
    <oc r="Q99" t="inlineStr">
      <is>
        <t>90</t>
      </is>
    </oc>
    <nc r="Q99">
      <v>90</v>
    </nc>
  </rcc>
  <rcc rId="8338" sId="1">
    <oc r="Q100" t="inlineStr">
      <is>
        <t>90</t>
      </is>
    </oc>
    <nc r="Q100">
      <v>90</v>
    </nc>
  </rcc>
  <rcc rId="8339" sId="1">
    <oc r="Q101" t="inlineStr">
      <is>
        <t>90</t>
      </is>
    </oc>
    <nc r="Q101">
      <v>90</v>
    </nc>
  </rcc>
  <rcc rId="8340" sId="1">
    <oc r="Q102" t="inlineStr">
      <is>
        <t>90</t>
      </is>
    </oc>
    <nc r="Q102">
      <v>90</v>
    </nc>
  </rcc>
  <rcc rId="8341" sId="1">
    <oc r="Q103" t="inlineStr">
      <is>
        <t>90</t>
      </is>
    </oc>
    <nc r="Q103">
      <v>90</v>
    </nc>
  </rcc>
  <rcc rId="8342" sId="1">
    <oc r="Q104" t="inlineStr">
      <is>
        <t>90</t>
      </is>
    </oc>
    <nc r="Q104">
      <v>90</v>
    </nc>
  </rcc>
  <rcc rId="8343" sId="1">
    <oc r="Q105" t="inlineStr">
      <is>
        <t>90</t>
      </is>
    </oc>
    <nc r="Q105">
      <v>90</v>
    </nc>
  </rcc>
  <rcc rId="8344" sId="1">
    <oc r="Q106" t="inlineStr">
      <is>
        <t>90</t>
      </is>
    </oc>
    <nc r="Q106">
      <v>90</v>
    </nc>
  </rcc>
  <rcc rId="8345" sId="1">
    <oc r="Q107" t="inlineStr">
      <is>
        <t>90</t>
      </is>
    </oc>
    <nc r="Q107">
      <v>90</v>
    </nc>
  </rcc>
  <rcc rId="8346" sId="1">
    <oc r="Q108" t="inlineStr">
      <is>
        <t>90</t>
      </is>
    </oc>
    <nc r="Q108">
      <v>90</v>
    </nc>
  </rcc>
  <rcc rId="8347" sId="1">
    <oc r="Q109" t="inlineStr">
      <is>
        <t>90</t>
      </is>
    </oc>
    <nc r="Q109">
      <v>90</v>
    </nc>
  </rcc>
  <rcc rId="8348" sId="1">
    <oc r="Q110" t="inlineStr">
      <is>
        <t>90</t>
      </is>
    </oc>
    <nc r="Q110">
      <v>90</v>
    </nc>
  </rcc>
  <rcc rId="8349" sId="1">
    <oc r="Q111" t="inlineStr">
      <is>
        <t>90</t>
      </is>
    </oc>
    <nc r="Q111">
      <v>90</v>
    </nc>
  </rcc>
  <rcc rId="8350" sId="1">
    <oc r="Q112" t="inlineStr">
      <is>
        <t>90</t>
      </is>
    </oc>
    <nc r="Q112">
      <v>90</v>
    </nc>
  </rcc>
  <rcc rId="8351" sId="1">
    <oc r="Q113" t="inlineStr">
      <is>
        <t>90</t>
      </is>
    </oc>
    <nc r="Q113">
      <v>90</v>
    </nc>
  </rcc>
  <rcc rId="8352" sId="1">
    <oc r="Q114" t="inlineStr">
      <is>
        <t>90</t>
      </is>
    </oc>
    <nc r="Q114">
      <v>90</v>
    </nc>
  </rcc>
  <rcc rId="8353" sId="1">
    <oc r="Q115" t="inlineStr">
      <is>
        <t>90</t>
      </is>
    </oc>
    <nc r="Q115">
      <v>90</v>
    </nc>
  </rcc>
  <rcc rId="8354" sId="1">
    <oc r="Q116" t="inlineStr">
      <is>
        <t>90</t>
      </is>
    </oc>
    <nc r="Q116">
      <v>90</v>
    </nc>
  </rcc>
  <rcc rId="8355" sId="1">
    <oc r="Q117" t="inlineStr">
      <is>
        <t>90</t>
      </is>
    </oc>
    <nc r="Q117">
      <v>90</v>
    </nc>
  </rcc>
  <rcc rId="8356" sId="1">
    <oc r="Q118" t="inlineStr">
      <is>
        <t>90</t>
      </is>
    </oc>
    <nc r="Q118">
      <v>90</v>
    </nc>
  </rcc>
  <rcc rId="8357" sId="1">
    <oc r="Q119" t="inlineStr">
      <is>
        <t>90</t>
      </is>
    </oc>
    <nc r="Q119">
      <v>90</v>
    </nc>
  </rcc>
  <rcc rId="8358" sId="1">
    <oc r="Q120" t="inlineStr">
      <is>
        <t>90</t>
      </is>
    </oc>
    <nc r="Q120">
      <v>90</v>
    </nc>
  </rcc>
  <rcc rId="8359" sId="1">
    <oc r="Q121" t="inlineStr">
      <is>
        <t>90</t>
      </is>
    </oc>
    <nc r="Q121">
      <v>90</v>
    </nc>
  </rcc>
  <rcc rId="8360" sId="1">
    <oc r="Q122" t="inlineStr">
      <is>
        <t>90</t>
      </is>
    </oc>
    <nc r="Q122">
      <v>90</v>
    </nc>
  </rcc>
  <rcc rId="8361" sId="1">
    <oc r="Q123" t="inlineStr">
      <is>
        <t>90</t>
      </is>
    </oc>
    <nc r="Q123">
      <v>90</v>
    </nc>
  </rcc>
  <rcc rId="8362" sId="1">
    <oc r="Q124" t="inlineStr">
      <is>
        <t>90</t>
      </is>
    </oc>
    <nc r="Q124">
      <v>90</v>
    </nc>
  </rcc>
  <rcc rId="8363" sId="1">
    <oc r="Q125" t="inlineStr">
      <is>
        <t>90</t>
      </is>
    </oc>
    <nc r="Q125">
      <v>90</v>
    </nc>
  </rcc>
  <rcc rId="8364" sId="1">
    <oc r="Q126" t="inlineStr">
      <is>
        <t>90</t>
      </is>
    </oc>
    <nc r="Q126">
      <v>90</v>
    </nc>
  </rcc>
  <rcc rId="8365" sId="1">
    <oc r="Q127" t="inlineStr">
      <is>
        <t>90</t>
      </is>
    </oc>
    <nc r="Q127">
      <v>90</v>
    </nc>
  </rcc>
  <rcc rId="8366" sId="1">
    <oc r="Q128" t="inlineStr">
      <is>
        <t>90</t>
      </is>
    </oc>
    <nc r="Q128">
      <v>90</v>
    </nc>
  </rcc>
  <rcc rId="8367" sId="1">
    <oc r="Q129" t="inlineStr">
      <is>
        <t>90</t>
      </is>
    </oc>
    <nc r="Q129">
      <v>90</v>
    </nc>
  </rcc>
  <rcc rId="8368" sId="1">
    <oc r="Q130" t="inlineStr">
      <is>
        <t>90</t>
      </is>
    </oc>
    <nc r="Q130">
      <v>90</v>
    </nc>
  </rcc>
  <rcc rId="8369" sId="1">
    <oc r="Q131" t="inlineStr">
      <is>
        <t>90</t>
      </is>
    </oc>
    <nc r="Q131">
      <v>90</v>
    </nc>
  </rcc>
  <rcc rId="8370" sId="1">
    <oc r="Q132" t="inlineStr">
      <is>
        <t>90</t>
      </is>
    </oc>
    <nc r="Q132">
      <v>90</v>
    </nc>
  </rcc>
  <rcc rId="8371" sId="1">
    <oc r="Q133" t="inlineStr">
      <is>
        <t>90</t>
      </is>
    </oc>
    <nc r="Q133">
      <v>90</v>
    </nc>
  </rcc>
  <rcc rId="8372" sId="1">
    <oc r="Q134" t="inlineStr">
      <is>
        <t>90</t>
      </is>
    </oc>
    <nc r="Q134">
      <v>90</v>
    </nc>
  </rcc>
  <rcc rId="8373" sId="1">
    <oc r="Q135" t="inlineStr">
      <is>
        <t>90</t>
      </is>
    </oc>
    <nc r="Q135">
      <v>90</v>
    </nc>
  </rcc>
  <rcc rId="8374" sId="1">
    <oc r="Q136" t="inlineStr">
      <is>
        <t>90</t>
      </is>
    </oc>
    <nc r="Q136">
      <v>90</v>
    </nc>
  </rcc>
  <rcc rId="8375" sId="1">
    <oc r="Q137" t="inlineStr">
      <is>
        <t>90</t>
      </is>
    </oc>
    <nc r="Q137">
      <v>90</v>
    </nc>
  </rcc>
  <rcc rId="8376" sId="1">
    <oc r="Q138" t="inlineStr">
      <is>
        <t>90</t>
      </is>
    </oc>
    <nc r="Q138">
      <v>90</v>
    </nc>
  </rcc>
  <rcc rId="8377" sId="1">
    <oc r="Q139" t="inlineStr">
      <is>
        <t>90</t>
      </is>
    </oc>
    <nc r="Q139">
      <v>90</v>
    </nc>
  </rcc>
  <rcc rId="8378" sId="1">
    <oc r="Q140" t="inlineStr">
      <is>
        <t>90</t>
      </is>
    </oc>
    <nc r="Q140">
      <v>90</v>
    </nc>
  </rcc>
  <rcc rId="8379" sId="1">
    <oc r="Q141" t="inlineStr">
      <is>
        <t>90</t>
      </is>
    </oc>
    <nc r="Q141">
      <v>90</v>
    </nc>
  </rcc>
  <rcc rId="8380" sId="1">
    <oc r="Q142" t="inlineStr">
      <is>
        <t>90</t>
      </is>
    </oc>
    <nc r="Q142">
      <v>90</v>
    </nc>
  </rcc>
  <rcc rId="8381" sId="1">
    <oc r="Q143" t="inlineStr">
      <is>
        <t>90</t>
      </is>
    </oc>
    <nc r="Q143">
      <v>90</v>
    </nc>
  </rcc>
  <rcc rId="8382" sId="1">
    <oc r="Q144" t="inlineStr">
      <is>
        <t>90</t>
      </is>
    </oc>
    <nc r="Q144">
      <v>90</v>
    </nc>
  </rcc>
  <rcc rId="8383" sId="1">
    <oc r="Q145" t="inlineStr">
      <is>
        <t>90</t>
      </is>
    </oc>
    <nc r="Q145">
      <v>90</v>
    </nc>
  </rcc>
  <rcc rId="8384" sId="1">
    <oc r="Q146" t="inlineStr">
      <is>
        <t>90</t>
      </is>
    </oc>
    <nc r="Q146">
      <v>90</v>
    </nc>
  </rcc>
  <rcc rId="8385" sId="1">
    <oc r="Q147" t="inlineStr">
      <is>
        <t>90</t>
      </is>
    </oc>
    <nc r="Q147">
      <v>90</v>
    </nc>
  </rcc>
  <rcc rId="8386" sId="1">
    <oc r="Q148" t="inlineStr">
      <is>
        <t>90</t>
      </is>
    </oc>
    <nc r="Q148">
      <v>90</v>
    </nc>
  </rcc>
  <rcc rId="8387" sId="1">
    <oc r="Q149" t="inlineStr">
      <is>
        <t>90</t>
      </is>
    </oc>
    <nc r="Q149">
      <v>90</v>
    </nc>
  </rcc>
  <rcc rId="8388" sId="1">
    <oc r="Q150" t="inlineStr">
      <is>
        <t>90</t>
      </is>
    </oc>
    <nc r="Q150">
      <v>90</v>
    </nc>
  </rcc>
  <rcc rId="8389" sId="1">
    <oc r="Q151" t="inlineStr">
      <is>
        <t>90</t>
      </is>
    </oc>
    <nc r="Q151">
      <v>90</v>
    </nc>
  </rcc>
  <rcc rId="8390" sId="1">
    <oc r="Q152" t="inlineStr">
      <is>
        <t>90</t>
      </is>
    </oc>
    <nc r="Q152">
      <v>90</v>
    </nc>
  </rcc>
  <rcc rId="8391" sId="1">
    <oc r="Q153" t="inlineStr">
      <is>
        <t>90</t>
      </is>
    </oc>
    <nc r="Q153">
      <v>90</v>
    </nc>
  </rcc>
  <rcc rId="8392" sId="1">
    <oc r="Q154" t="inlineStr">
      <is>
        <t>90</t>
      </is>
    </oc>
    <nc r="Q154">
      <v>90</v>
    </nc>
  </rcc>
  <rcc rId="8393" sId="1">
    <oc r="Q155" t="inlineStr">
      <is>
        <t>90</t>
      </is>
    </oc>
    <nc r="Q155">
      <v>90</v>
    </nc>
  </rcc>
  <rcc rId="8394" sId="1">
    <oc r="Q156" t="inlineStr">
      <is>
        <t>90</t>
      </is>
    </oc>
    <nc r="Q156">
      <v>90</v>
    </nc>
  </rcc>
  <rcc rId="8395" sId="1">
    <oc r="Q157" t="inlineStr">
      <is>
        <t>90</t>
      </is>
    </oc>
    <nc r="Q157">
      <v>90</v>
    </nc>
  </rcc>
  <rcc rId="8396" sId="1">
    <oc r="Q158" t="inlineStr">
      <is>
        <t>90</t>
      </is>
    </oc>
    <nc r="Q158">
      <v>90</v>
    </nc>
  </rcc>
  <rcc rId="8397" sId="1">
    <oc r="Q159" t="inlineStr">
      <is>
        <t>90</t>
      </is>
    </oc>
    <nc r="Q159">
      <v>90</v>
    </nc>
  </rcc>
  <rcc rId="8398" sId="1">
    <oc r="Q160" t="inlineStr">
      <is>
        <t>90</t>
      </is>
    </oc>
    <nc r="Q160">
      <v>90</v>
    </nc>
  </rcc>
  <rcc rId="8399" sId="1">
    <oc r="Q161" t="inlineStr">
      <is>
        <t>90</t>
      </is>
    </oc>
    <nc r="Q161">
      <v>90</v>
    </nc>
  </rcc>
  <rcc rId="8400" sId="1">
    <oc r="Q162" t="inlineStr">
      <is>
        <t>90</t>
      </is>
    </oc>
    <nc r="Q162">
      <v>90</v>
    </nc>
  </rcc>
  <rcc rId="8401" sId="1">
    <oc r="Q163" t="inlineStr">
      <is>
        <t>90</t>
      </is>
    </oc>
    <nc r="Q163">
      <v>90</v>
    </nc>
  </rcc>
  <rcc rId="8402" sId="1">
    <oc r="Q164" t="inlineStr">
      <is>
        <t>90</t>
      </is>
    </oc>
    <nc r="Q164">
      <v>90</v>
    </nc>
  </rcc>
  <rcc rId="8403" sId="1">
    <oc r="Q165" t="inlineStr">
      <is>
        <t>90</t>
      </is>
    </oc>
    <nc r="Q165">
      <v>90</v>
    </nc>
  </rcc>
  <rcc rId="8404" sId="1">
    <oc r="Q166" t="inlineStr">
      <is>
        <t>90</t>
      </is>
    </oc>
    <nc r="Q166">
      <v>90</v>
    </nc>
  </rcc>
  <rcc rId="8405" sId="1">
    <oc r="Q167" t="inlineStr">
      <is>
        <t>90</t>
      </is>
    </oc>
    <nc r="Q167">
      <v>90</v>
    </nc>
  </rcc>
  <rcc rId="8406" sId="1">
    <oc r="Q168" t="inlineStr">
      <is>
        <t>90</t>
      </is>
    </oc>
    <nc r="Q168">
      <v>90</v>
    </nc>
  </rcc>
  <rcc rId="8407" sId="1">
    <oc r="Q169" t="inlineStr">
      <is>
        <t>90</t>
      </is>
    </oc>
    <nc r="Q169">
      <v>90</v>
    </nc>
  </rcc>
  <rcc rId="8408" sId="1">
    <oc r="Q170" t="inlineStr">
      <is>
        <t>90</t>
      </is>
    </oc>
    <nc r="Q170">
      <v>90</v>
    </nc>
  </rcc>
  <rcc rId="8409" sId="1">
    <oc r="Q171" t="inlineStr">
      <is>
        <t>90</t>
      </is>
    </oc>
    <nc r="Q171">
      <v>90</v>
    </nc>
  </rcc>
  <rcc rId="8410" sId="1">
    <oc r="Q172" t="inlineStr">
      <is>
        <t>90</t>
      </is>
    </oc>
    <nc r="Q172">
      <v>90</v>
    </nc>
  </rcc>
  <rcc rId="8411" sId="1">
    <oc r="Q173" t="inlineStr">
      <is>
        <t>90</t>
      </is>
    </oc>
    <nc r="Q173">
      <v>90</v>
    </nc>
  </rcc>
  <rcc rId="8412" sId="1">
    <oc r="Q174" t="inlineStr">
      <is>
        <t>90</t>
      </is>
    </oc>
    <nc r="Q174">
      <v>90</v>
    </nc>
  </rcc>
  <rcc rId="8413" sId="1">
    <oc r="Q175" t="inlineStr">
      <is>
        <t>90</t>
      </is>
    </oc>
    <nc r="Q175">
      <v>90</v>
    </nc>
  </rcc>
  <rcc rId="8414" sId="1">
    <oc r="Q176" t="inlineStr">
      <is>
        <t>90</t>
      </is>
    </oc>
    <nc r="Q176">
      <v>90</v>
    </nc>
  </rcc>
  <rcc rId="8415" sId="1">
    <oc r="Q177" t="inlineStr">
      <is>
        <t>90</t>
      </is>
    </oc>
    <nc r="Q177">
      <v>90</v>
    </nc>
  </rcc>
  <rcc rId="8416" sId="1">
    <oc r="Q178" t="inlineStr">
      <is>
        <t>90</t>
      </is>
    </oc>
    <nc r="Q178">
      <v>90</v>
    </nc>
  </rcc>
  <rcc rId="8417" sId="1">
    <oc r="Q179" t="inlineStr">
      <is>
        <t>90</t>
      </is>
    </oc>
    <nc r="Q179">
      <v>90</v>
    </nc>
  </rcc>
  <rcc rId="8418" sId="1">
    <oc r="Q180" t="inlineStr">
      <is>
        <t>90</t>
      </is>
    </oc>
    <nc r="Q180">
      <v>90</v>
    </nc>
  </rcc>
  <rcc rId="8419" sId="1">
    <oc r="Q181" t="inlineStr">
      <is>
        <t>90</t>
      </is>
    </oc>
    <nc r="Q181">
      <v>90</v>
    </nc>
  </rcc>
  <rcc rId="8420" sId="1">
    <oc r="Q182" t="inlineStr">
      <is>
        <t>90</t>
      </is>
    </oc>
    <nc r="Q182">
      <v>90</v>
    </nc>
  </rcc>
  <rcc rId="8421" sId="1">
    <oc r="Q183" t="inlineStr">
      <is>
        <t>90</t>
      </is>
    </oc>
    <nc r="Q183">
      <v>90</v>
    </nc>
  </rcc>
  <rcc rId="8422" sId="1">
    <oc r="Q184" t="inlineStr">
      <is>
        <t>90</t>
      </is>
    </oc>
    <nc r="Q184">
      <v>90</v>
    </nc>
  </rcc>
  <rcc rId="8423" sId="1">
    <oc r="Q185" t="inlineStr">
      <is>
        <t>90</t>
      </is>
    </oc>
    <nc r="Q185">
      <v>90</v>
    </nc>
  </rcc>
  <rcc rId="8424" sId="1">
    <oc r="Q186" t="inlineStr">
      <is>
        <t>90</t>
      </is>
    </oc>
    <nc r="Q186">
      <v>90</v>
    </nc>
  </rcc>
  <rcc rId="8425" sId="1">
    <oc r="Q187" t="inlineStr">
      <is>
        <t>90</t>
      </is>
    </oc>
    <nc r="Q187">
      <v>90</v>
    </nc>
  </rcc>
  <rcc rId="8426" sId="1">
    <oc r="Q188" t="inlineStr">
      <is>
        <t>90</t>
      </is>
    </oc>
    <nc r="Q188">
      <v>90</v>
    </nc>
  </rcc>
  <rcc rId="8427" sId="1">
    <oc r="Q189" t="inlineStr">
      <is>
        <t>90</t>
      </is>
    </oc>
    <nc r="Q189">
      <v>90</v>
    </nc>
  </rcc>
  <rcc rId="8428" sId="1">
    <oc r="Q190" t="inlineStr">
      <is>
        <t>90</t>
      </is>
    </oc>
    <nc r="Q190">
      <v>90</v>
    </nc>
  </rcc>
  <rcc rId="8429" sId="1">
    <oc r="Q191" t="inlineStr">
      <is>
        <t>90</t>
      </is>
    </oc>
    <nc r="Q191">
      <v>90</v>
    </nc>
  </rcc>
  <rcc rId="8430" sId="1">
    <oc r="Q192" t="inlineStr">
      <is>
        <t>90</t>
      </is>
    </oc>
    <nc r="Q192">
      <v>90</v>
    </nc>
  </rcc>
  <rcc rId="8431" sId="1">
    <oc r="Q193" t="inlineStr">
      <is>
        <t>90</t>
      </is>
    </oc>
    <nc r="Q193">
      <v>90</v>
    </nc>
  </rcc>
  <rcc rId="8432" sId="1">
    <oc r="Q194" t="inlineStr">
      <is>
        <t>90</t>
      </is>
    </oc>
    <nc r="Q194">
      <v>90</v>
    </nc>
  </rcc>
  <rcc rId="8433" sId="1">
    <oc r="Q195" t="inlineStr">
      <is>
        <t>90</t>
      </is>
    </oc>
    <nc r="Q195">
      <v>90</v>
    </nc>
  </rcc>
  <rcc rId="8434" sId="1">
    <oc r="Q196" t="inlineStr">
      <is>
        <t>90</t>
      </is>
    </oc>
    <nc r="Q196">
      <v>90</v>
    </nc>
  </rcc>
  <rcc rId="8435" sId="1">
    <oc r="Q197" t="inlineStr">
      <is>
        <t>90</t>
      </is>
    </oc>
    <nc r="Q197">
      <v>90</v>
    </nc>
  </rcc>
  <rcc rId="8436" sId="1">
    <oc r="Q198" t="inlineStr">
      <is>
        <t>90</t>
      </is>
    </oc>
    <nc r="Q198">
      <v>90</v>
    </nc>
  </rcc>
  <rcc rId="8437" sId="1">
    <oc r="Q199" t="inlineStr">
      <is>
        <t>90</t>
      </is>
    </oc>
    <nc r="Q199">
      <v>90</v>
    </nc>
  </rcc>
  <rcc rId="8438" sId="1">
    <oc r="Q200" t="inlineStr">
      <is>
        <t>90</t>
      </is>
    </oc>
    <nc r="Q200">
      <v>90</v>
    </nc>
  </rcc>
  <rcc rId="8439" sId="1">
    <oc r="Q201" t="inlineStr">
      <is>
        <t>90</t>
      </is>
    </oc>
    <nc r="Q201">
      <v>90</v>
    </nc>
  </rcc>
  <rcc rId="8440" sId="1">
    <oc r="Q202" t="inlineStr">
      <is>
        <t>90</t>
      </is>
    </oc>
    <nc r="Q202">
      <v>90</v>
    </nc>
  </rcc>
  <rcc rId="8441" sId="1">
    <oc r="Q203" t="inlineStr">
      <is>
        <t>90</t>
      </is>
    </oc>
    <nc r="Q203">
      <v>90</v>
    </nc>
  </rcc>
  <rcc rId="8442" sId="1">
    <oc r="Q204" t="inlineStr">
      <is>
        <t>90</t>
      </is>
    </oc>
    <nc r="Q204">
      <v>90</v>
    </nc>
  </rcc>
  <rcc rId="8443" sId="1">
    <oc r="Q205" t="inlineStr">
      <is>
        <t>90</t>
      </is>
    </oc>
    <nc r="Q205">
      <v>90</v>
    </nc>
  </rcc>
  <rcc rId="8444" sId="1">
    <oc r="Q206" t="inlineStr">
      <is>
        <t>90</t>
      </is>
    </oc>
    <nc r="Q206">
      <v>90</v>
    </nc>
  </rcc>
  <rcc rId="8445" sId="1">
    <oc r="Q207" t="inlineStr">
      <is>
        <t>90</t>
      </is>
    </oc>
    <nc r="Q207">
      <v>90</v>
    </nc>
  </rcc>
  <rcc rId="8446" sId="1">
    <oc r="Q208" t="inlineStr">
      <is>
        <t>90</t>
      </is>
    </oc>
    <nc r="Q208">
      <v>90</v>
    </nc>
  </rcc>
  <rcc rId="8447" sId="1">
    <oc r="Q209" t="inlineStr">
      <is>
        <t>90</t>
      </is>
    </oc>
    <nc r="Q209">
      <v>90</v>
    </nc>
  </rcc>
  <rcc rId="8448" sId="1">
    <oc r="Q210" t="inlineStr">
      <is>
        <t>90</t>
      </is>
    </oc>
    <nc r="Q210">
      <v>90</v>
    </nc>
  </rcc>
  <rcc rId="8449" sId="1">
    <oc r="Q211" t="inlineStr">
      <is>
        <t>90</t>
      </is>
    </oc>
    <nc r="Q211">
      <v>90</v>
    </nc>
  </rcc>
  <rcc rId="8450" sId="1">
    <oc r="Q212" t="inlineStr">
      <is>
        <t>90</t>
      </is>
    </oc>
    <nc r="Q212">
      <v>90</v>
    </nc>
  </rcc>
  <rcc rId="8451" sId="1">
    <oc r="Q213" t="inlineStr">
      <is>
        <t>90</t>
      </is>
    </oc>
    <nc r="Q213">
      <v>90</v>
    </nc>
  </rcc>
  <rcc rId="8452" sId="1">
    <oc r="Q214" t="inlineStr">
      <is>
        <t>90</t>
      </is>
    </oc>
    <nc r="Q214">
      <v>90</v>
    </nc>
  </rcc>
  <rcc rId="8453" sId="1">
    <oc r="Q215" t="inlineStr">
      <is>
        <t>90</t>
      </is>
    </oc>
    <nc r="Q215">
      <v>90</v>
    </nc>
  </rcc>
  <rcc rId="8454" sId="1">
    <oc r="Q216" t="inlineStr">
      <is>
        <t>90</t>
      </is>
    </oc>
    <nc r="Q216">
      <v>90</v>
    </nc>
  </rcc>
  <rcc rId="8455" sId="1">
    <oc r="Q217" t="inlineStr">
      <is>
        <t>90</t>
      </is>
    </oc>
    <nc r="Q217">
      <v>90</v>
    </nc>
  </rcc>
  <rcc rId="8456" sId="1">
    <oc r="Q218" t="inlineStr">
      <is>
        <t>90</t>
      </is>
    </oc>
    <nc r="Q218">
      <v>90</v>
    </nc>
  </rcc>
  <rcc rId="8457" sId="1">
    <oc r="Q219" t="inlineStr">
      <is>
        <t>90</t>
      </is>
    </oc>
    <nc r="Q219">
      <v>90</v>
    </nc>
  </rcc>
  <rcc rId="8458" sId="1">
    <oc r="Q220" t="inlineStr">
      <is>
        <t>90</t>
      </is>
    </oc>
    <nc r="Q220">
      <v>90</v>
    </nc>
  </rcc>
  <rcc rId="8459" sId="1">
    <oc r="Q221" t="inlineStr">
      <is>
        <t>90</t>
      </is>
    </oc>
    <nc r="Q221">
      <v>90</v>
    </nc>
  </rcc>
  <rcc rId="8460" sId="1">
    <oc r="Q222" t="inlineStr">
      <is>
        <t>90</t>
      </is>
    </oc>
    <nc r="Q222">
      <v>90</v>
    </nc>
  </rcc>
  <rcc rId="8461" sId="1">
    <oc r="Q223" t="inlineStr">
      <is>
        <t>90</t>
      </is>
    </oc>
    <nc r="Q223">
      <v>90</v>
    </nc>
  </rcc>
  <rcc rId="8462" sId="1">
    <oc r="Q224" t="inlineStr">
      <is>
        <t>90</t>
      </is>
    </oc>
    <nc r="Q224">
      <v>90</v>
    </nc>
  </rcc>
  <rcc rId="8463" sId="1">
    <oc r="Q225" t="inlineStr">
      <is>
        <t>90</t>
      </is>
    </oc>
    <nc r="Q225">
      <v>90</v>
    </nc>
  </rcc>
  <rcc rId="8464" sId="1">
    <oc r="Q226" t="inlineStr">
      <is>
        <t>90</t>
      </is>
    </oc>
    <nc r="Q226">
      <v>90</v>
    </nc>
  </rcc>
  <rcc rId="8465" sId="1">
    <oc r="Q227" t="inlineStr">
      <is>
        <t>90</t>
      </is>
    </oc>
    <nc r="Q227">
      <v>90</v>
    </nc>
  </rcc>
  <rcc rId="8466" sId="1">
    <oc r="Q228" t="inlineStr">
      <is>
        <t>90</t>
      </is>
    </oc>
    <nc r="Q228">
      <v>90</v>
    </nc>
  </rcc>
  <rcc rId="8467" sId="1">
    <oc r="Q229" t="inlineStr">
      <is>
        <t>90</t>
      </is>
    </oc>
    <nc r="Q229">
      <v>90</v>
    </nc>
  </rcc>
  <rcc rId="8468" sId="1">
    <oc r="Q230" t="inlineStr">
      <is>
        <t>90</t>
      </is>
    </oc>
    <nc r="Q230">
      <v>90</v>
    </nc>
  </rcc>
  <rcc rId="8469" sId="1">
    <oc r="Q231" t="inlineStr">
      <is>
        <t>90</t>
      </is>
    </oc>
    <nc r="Q231">
      <v>90</v>
    </nc>
  </rcc>
  <rcc rId="8470" sId="1">
    <oc r="Q232" t="inlineStr">
      <is>
        <t>90</t>
      </is>
    </oc>
    <nc r="Q232">
      <v>90</v>
    </nc>
  </rcc>
  <rcc rId="8471" sId="1">
    <oc r="Q233" t="inlineStr">
      <is>
        <t>90</t>
      </is>
    </oc>
    <nc r="Q233">
      <v>90</v>
    </nc>
  </rcc>
  <rcc rId="8472" sId="1">
    <oc r="Q234" t="inlineStr">
      <is>
        <t>90</t>
      </is>
    </oc>
    <nc r="Q234">
      <v>90</v>
    </nc>
  </rcc>
  <rcc rId="8473" sId="1">
    <oc r="Q235" t="inlineStr">
      <is>
        <t>90</t>
      </is>
    </oc>
    <nc r="Q235">
      <v>90</v>
    </nc>
  </rcc>
  <rcc rId="8474" sId="1">
    <oc r="Q236" t="inlineStr">
      <is>
        <t>90</t>
      </is>
    </oc>
    <nc r="Q236">
      <v>90</v>
    </nc>
  </rcc>
  <rcc rId="8475" sId="1">
    <oc r="Q237" t="inlineStr">
      <is>
        <t>90</t>
      </is>
    </oc>
    <nc r="Q237">
      <v>90</v>
    </nc>
  </rcc>
  <rcc rId="8476" sId="1">
    <oc r="Q238" t="inlineStr">
      <is>
        <t>90</t>
      </is>
    </oc>
    <nc r="Q238">
      <v>90</v>
    </nc>
  </rcc>
  <rcc rId="8477" sId="1">
    <oc r="Q239" t="inlineStr">
      <is>
        <t>90</t>
      </is>
    </oc>
    <nc r="Q239">
      <v>90</v>
    </nc>
  </rcc>
  <rcc rId="8478" sId="1">
    <oc r="Q240" t="inlineStr">
      <is>
        <t>90</t>
      </is>
    </oc>
    <nc r="Q240">
      <v>90</v>
    </nc>
  </rcc>
  <rcc rId="8479" sId="1">
    <oc r="Q241" t="inlineStr">
      <is>
        <t>90</t>
      </is>
    </oc>
    <nc r="Q241">
      <v>90</v>
    </nc>
  </rcc>
  <rcc rId="8480" sId="1">
    <oc r="Q242" t="inlineStr">
      <is>
        <t>90</t>
      </is>
    </oc>
    <nc r="Q242">
      <v>90</v>
    </nc>
  </rcc>
  <rcc rId="8481" sId="1">
    <oc r="Q243" t="inlineStr">
      <is>
        <t>90</t>
      </is>
    </oc>
    <nc r="Q243">
      <v>90</v>
    </nc>
  </rcc>
  <rcc rId="8482" sId="1">
    <oc r="Q244" t="inlineStr">
      <is>
        <t>90</t>
      </is>
    </oc>
    <nc r="Q244">
      <v>90</v>
    </nc>
  </rcc>
  <rcc rId="8483" sId="1">
    <oc r="Q245" t="inlineStr">
      <is>
        <t>90</t>
      </is>
    </oc>
    <nc r="Q245">
      <v>90</v>
    </nc>
  </rcc>
  <rcc rId="8484" sId="1">
    <oc r="Q246" t="inlineStr">
      <is>
        <t>90</t>
      </is>
    </oc>
    <nc r="Q246">
      <v>90</v>
    </nc>
  </rcc>
  <rcc rId="8485" sId="1">
    <oc r="Q247" t="inlineStr">
      <is>
        <t>90</t>
      </is>
    </oc>
    <nc r="Q247">
      <v>90</v>
    </nc>
  </rcc>
  <rcc rId="8486" sId="1">
    <oc r="Q248" t="inlineStr">
      <is>
        <t>90</t>
      </is>
    </oc>
    <nc r="Q248">
      <v>90</v>
    </nc>
  </rcc>
  <rcc rId="8487" sId="1">
    <oc r="Q249" t="inlineStr">
      <is>
        <t>90</t>
      </is>
    </oc>
    <nc r="Q249">
      <v>90</v>
    </nc>
  </rcc>
  <rcc rId="8488" sId="1">
    <oc r="Q250" t="inlineStr">
      <is>
        <t>90</t>
      </is>
    </oc>
    <nc r="Q250">
      <v>90</v>
    </nc>
  </rcc>
  <rcc rId="8489" sId="1">
    <oc r="Q251" t="inlineStr">
      <is>
        <t>90</t>
      </is>
    </oc>
    <nc r="Q251">
      <v>90</v>
    </nc>
  </rcc>
  <rcc rId="8490" sId="1">
    <oc r="Q252" t="inlineStr">
      <is>
        <t>90</t>
      </is>
    </oc>
    <nc r="Q252">
      <v>90</v>
    </nc>
  </rcc>
  <rcc rId="8491" sId="1">
    <oc r="Q253" t="inlineStr">
      <is>
        <t>90</t>
      </is>
    </oc>
    <nc r="Q253">
      <v>90</v>
    </nc>
  </rcc>
  <rcc rId="8492" sId="1">
    <oc r="Q254" t="inlineStr">
      <is>
        <t>90</t>
      </is>
    </oc>
    <nc r="Q254">
      <v>90</v>
    </nc>
  </rcc>
  <rcc rId="8493" sId="1">
    <oc r="Q255" t="inlineStr">
      <is>
        <t>90</t>
      </is>
    </oc>
    <nc r="Q255">
      <v>90</v>
    </nc>
  </rcc>
  <rcc rId="8494" sId="1">
    <oc r="Q256" t="inlineStr">
      <is>
        <t>90</t>
      </is>
    </oc>
    <nc r="Q256">
      <v>90</v>
    </nc>
  </rcc>
  <rcc rId="8495" sId="1">
    <oc r="Q257" t="inlineStr">
      <is>
        <t>90</t>
      </is>
    </oc>
    <nc r="Q257">
      <v>90</v>
    </nc>
  </rcc>
  <rcc rId="8496" sId="1">
    <oc r="Q258" t="inlineStr">
      <is>
        <t>90</t>
      </is>
    </oc>
    <nc r="Q258">
      <v>90</v>
    </nc>
  </rcc>
  <rcc rId="8497" sId="1">
    <oc r="Q259" t="inlineStr">
      <is>
        <t>90</t>
      </is>
    </oc>
    <nc r="Q259">
      <v>90</v>
    </nc>
  </rcc>
  <rcc rId="8498" sId="1">
    <oc r="Q260" t="inlineStr">
      <is>
        <t>90</t>
      </is>
    </oc>
    <nc r="Q260">
      <v>90</v>
    </nc>
  </rcc>
  <rcc rId="8499" sId="1">
    <oc r="Q261" t="inlineStr">
      <is>
        <t>90</t>
      </is>
    </oc>
    <nc r="Q261">
      <v>90</v>
    </nc>
  </rcc>
  <rcc rId="8500" sId="1">
    <oc r="Q262" t="inlineStr">
      <is>
        <t>90</t>
      </is>
    </oc>
    <nc r="Q262">
      <v>90</v>
    </nc>
  </rcc>
  <rcc rId="8501" sId="1">
    <oc r="Q263" t="inlineStr">
      <is>
        <t>90</t>
      </is>
    </oc>
    <nc r="Q263">
      <v>90</v>
    </nc>
  </rcc>
  <rcc rId="8502" sId="1">
    <oc r="Q264" t="inlineStr">
      <is>
        <t>90</t>
      </is>
    </oc>
    <nc r="Q264">
      <v>90</v>
    </nc>
  </rcc>
  <rcc rId="8503" sId="1">
    <oc r="Q265" t="inlineStr">
      <is>
        <t>90</t>
      </is>
    </oc>
    <nc r="Q265">
      <v>90</v>
    </nc>
  </rcc>
  <rcc rId="8504" sId="1">
    <oc r="Q266" t="inlineStr">
      <is>
        <t>90</t>
      </is>
    </oc>
    <nc r="Q266">
      <v>90</v>
    </nc>
  </rcc>
  <rcc rId="8505" sId="1">
    <oc r="Q267" t="inlineStr">
      <is>
        <t>90</t>
      </is>
    </oc>
    <nc r="Q267">
      <v>90</v>
    </nc>
  </rcc>
  <rcc rId="8506" sId="1">
    <oc r="Q268" t="inlineStr">
      <is>
        <t>90</t>
      </is>
    </oc>
    <nc r="Q268">
      <v>90</v>
    </nc>
  </rcc>
  <rcc rId="8507" sId="1">
    <oc r="Q269" t="inlineStr">
      <is>
        <t>90</t>
      </is>
    </oc>
    <nc r="Q269">
      <v>90</v>
    </nc>
  </rcc>
  <rcc rId="8508" sId="1">
    <oc r="Q270" t="inlineStr">
      <is>
        <t>90</t>
      </is>
    </oc>
    <nc r="Q270">
      <v>90</v>
    </nc>
  </rcc>
  <rcc rId="8509" sId="1">
    <oc r="Q271" t="inlineStr">
      <is>
        <t>90</t>
      </is>
    </oc>
    <nc r="Q271">
      <v>90</v>
    </nc>
  </rcc>
  <rcc rId="8510" sId="1">
    <oc r="Q272" t="inlineStr">
      <is>
        <t>90</t>
      </is>
    </oc>
    <nc r="Q272">
      <v>90</v>
    </nc>
  </rcc>
  <rcc rId="8511" sId="1">
    <oc r="Q273" t="inlineStr">
      <is>
        <t>90</t>
      </is>
    </oc>
    <nc r="Q273">
      <v>90</v>
    </nc>
  </rcc>
  <rcc rId="8512" sId="1">
    <oc r="Q274" t="inlineStr">
      <is>
        <t>90</t>
      </is>
    </oc>
    <nc r="Q274">
      <v>90</v>
    </nc>
  </rcc>
  <rcc rId="8513" sId="1">
    <oc r="Q275" t="inlineStr">
      <is>
        <t>90</t>
      </is>
    </oc>
    <nc r="Q275">
      <v>90</v>
    </nc>
  </rcc>
  <rcc rId="8514" sId="1">
    <oc r="Q276" t="inlineStr">
      <is>
        <t>90</t>
      </is>
    </oc>
    <nc r="Q276">
      <v>90</v>
    </nc>
  </rcc>
  <rcc rId="8515" sId="1">
    <oc r="Q277" t="inlineStr">
      <is>
        <t>90</t>
      </is>
    </oc>
    <nc r="Q277">
      <v>90</v>
    </nc>
  </rcc>
  <rcc rId="8516" sId="1">
    <oc r="Q278" t="inlineStr">
      <is>
        <t>90</t>
      </is>
    </oc>
    <nc r="Q278">
      <v>90</v>
    </nc>
  </rcc>
  <rcc rId="8517" sId="1">
    <oc r="Q279" t="inlineStr">
      <is>
        <t>90</t>
      </is>
    </oc>
    <nc r="Q279">
      <v>90</v>
    </nc>
  </rcc>
  <rcc rId="8518" sId="1">
    <oc r="Q280" t="inlineStr">
      <is>
        <t>90</t>
      </is>
    </oc>
    <nc r="Q280">
      <v>90</v>
    </nc>
  </rcc>
  <rcc rId="8519" sId="1">
    <oc r="Q281" t="inlineStr">
      <is>
        <t>90</t>
      </is>
    </oc>
    <nc r="Q281">
      <v>90</v>
    </nc>
  </rcc>
  <rcc rId="8520" sId="1">
    <oc r="Q282" t="inlineStr">
      <is>
        <t>90</t>
      </is>
    </oc>
    <nc r="Q282">
      <v>90</v>
    </nc>
  </rcc>
  <rcc rId="8521" sId="1">
    <oc r="Q283" t="inlineStr">
      <is>
        <t>90</t>
      </is>
    </oc>
    <nc r="Q283">
      <v>90</v>
    </nc>
  </rcc>
  <rcc rId="8522" sId="1">
    <oc r="Q284" t="inlineStr">
      <is>
        <t>90</t>
      </is>
    </oc>
    <nc r="Q284">
      <v>90</v>
    </nc>
  </rcc>
  <rcc rId="8523" sId="1">
    <oc r="Q285" t="inlineStr">
      <is>
        <t>90</t>
      </is>
    </oc>
    <nc r="Q285">
      <v>90</v>
    </nc>
  </rcc>
  <rcc rId="8524" sId="1">
    <oc r="Q286" t="inlineStr">
      <is>
        <t>90</t>
      </is>
    </oc>
    <nc r="Q286">
      <v>90</v>
    </nc>
  </rcc>
  <rcc rId="8525" sId="1">
    <oc r="Q287" t="inlineStr">
      <is>
        <t>90</t>
      </is>
    </oc>
    <nc r="Q287">
      <v>90</v>
    </nc>
  </rcc>
  <rcc rId="8526" sId="1">
    <oc r="Q288" t="inlineStr">
      <is>
        <t>90</t>
      </is>
    </oc>
    <nc r="Q288">
      <v>90</v>
    </nc>
  </rcc>
  <rcc rId="8527" sId="1">
    <oc r="Q289" t="inlineStr">
      <is>
        <t>90</t>
      </is>
    </oc>
    <nc r="Q289">
      <v>90</v>
    </nc>
  </rcc>
  <rcc rId="8528" sId="1">
    <oc r="Q290" t="inlineStr">
      <is>
        <t>90</t>
      </is>
    </oc>
    <nc r="Q290">
      <v>90</v>
    </nc>
  </rcc>
  <rcc rId="8529" sId="1">
    <oc r="Q291" t="inlineStr">
      <is>
        <t>90</t>
      </is>
    </oc>
    <nc r="Q291">
      <v>90</v>
    </nc>
  </rcc>
  <rcc rId="8530" sId="1">
    <oc r="Q292" t="inlineStr">
      <is>
        <t>90</t>
      </is>
    </oc>
    <nc r="Q292">
      <v>90</v>
    </nc>
  </rcc>
  <rcc rId="8531" sId="1">
    <oc r="Q293" t="inlineStr">
      <is>
        <t>90</t>
      </is>
    </oc>
    <nc r="Q293">
      <v>90</v>
    </nc>
  </rcc>
  <rcc rId="8532" sId="1">
    <oc r="Q294" t="inlineStr">
      <is>
        <t>90</t>
      </is>
    </oc>
    <nc r="Q294">
      <v>90</v>
    </nc>
  </rcc>
  <rcc rId="8533" sId="1">
    <oc r="Q295" t="inlineStr">
      <is>
        <t>90</t>
      </is>
    </oc>
    <nc r="Q295">
      <v>90</v>
    </nc>
  </rcc>
  <rcc rId="8534" sId="1">
    <oc r="Q296" t="inlineStr">
      <is>
        <t>90</t>
      </is>
    </oc>
    <nc r="Q296">
      <v>90</v>
    </nc>
  </rcc>
  <rcc rId="8535" sId="1">
    <oc r="Q297" t="inlineStr">
      <is>
        <t>90</t>
      </is>
    </oc>
    <nc r="Q297">
      <v>90</v>
    </nc>
  </rcc>
  <rcc rId="8536" sId="1">
    <oc r="Q298" t="inlineStr">
      <is>
        <t>90</t>
      </is>
    </oc>
    <nc r="Q298">
      <v>90</v>
    </nc>
  </rcc>
  <rcc rId="8537" sId="1">
    <oc r="Q299" t="inlineStr">
      <is>
        <t>90</t>
      </is>
    </oc>
    <nc r="Q299">
      <v>90</v>
    </nc>
  </rcc>
  <rcc rId="8538" sId="1">
    <oc r="Q300" t="inlineStr">
      <is>
        <t>90</t>
      </is>
    </oc>
    <nc r="Q300">
      <v>90</v>
    </nc>
  </rcc>
  <rcc rId="8539" sId="1">
    <oc r="Q301" t="inlineStr">
      <is>
        <t>90</t>
      </is>
    </oc>
    <nc r="Q301">
      <v>90</v>
    </nc>
  </rcc>
  <rcc rId="8540" sId="1">
    <oc r="Q302" t="inlineStr">
      <is>
        <t>90</t>
      </is>
    </oc>
    <nc r="Q302">
      <v>90</v>
    </nc>
  </rcc>
  <rcc rId="8541" sId="1">
    <oc r="Q303" t="inlineStr">
      <is>
        <t>90</t>
      </is>
    </oc>
    <nc r="Q303">
      <v>90</v>
    </nc>
  </rcc>
  <rcc rId="8542" sId="1">
    <oc r="Q304" t="inlineStr">
      <is>
        <t>90</t>
      </is>
    </oc>
    <nc r="Q304">
      <v>90</v>
    </nc>
  </rcc>
  <rcc rId="8543" sId="1">
    <oc r="Q305" t="inlineStr">
      <is>
        <t>90</t>
      </is>
    </oc>
    <nc r="Q305">
      <v>90</v>
    </nc>
  </rcc>
  <rcc rId="8544" sId="1">
    <oc r="Q306" t="inlineStr">
      <is>
        <t>90</t>
      </is>
    </oc>
    <nc r="Q306">
      <v>90</v>
    </nc>
  </rcc>
  <rcc rId="8545" sId="1">
    <oc r="Q307" t="inlineStr">
      <is>
        <t>90</t>
      </is>
    </oc>
    <nc r="Q307">
      <v>90</v>
    </nc>
  </rcc>
  <rcc rId="8546" sId="1">
    <oc r="Q308" t="inlineStr">
      <is>
        <t>90</t>
      </is>
    </oc>
    <nc r="Q308">
      <v>90</v>
    </nc>
  </rcc>
  <rcc rId="8547" sId="1">
    <oc r="Q309" t="inlineStr">
      <is>
        <t>90</t>
      </is>
    </oc>
    <nc r="Q309">
      <v>90</v>
    </nc>
  </rcc>
  <rcc rId="8548" sId="1">
    <oc r="Q310" t="inlineStr">
      <is>
        <t>90</t>
      </is>
    </oc>
    <nc r="Q310">
      <v>90</v>
    </nc>
  </rcc>
  <rcc rId="8549" sId="1">
    <oc r="Q311" t="inlineStr">
      <is>
        <t>90</t>
      </is>
    </oc>
    <nc r="Q311">
      <v>90</v>
    </nc>
  </rcc>
  <rcc rId="8550" sId="1">
    <oc r="Q312" t="inlineStr">
      <is>
        <t>90</t>
      </is>
    </oc>
    <nc r="Q312">
      <v>90</v>
    </nc>
  </rcc>
  <rcc rId="8551" sId="1">
    <oc r="Q313" t="inlineStr">
      <is>
        <t>90</t>
      </is>
    </oc>
    <nc r="Q313">
      <v>90</v>
    </nc>
  </rcc>
  <rcc rId="8552" sId="1">
    <oc r="Q314" t="inlineStr">
      <is>
        <t>90</t>
      </is>
    </oc>
    <nc r="Q314">
      <v>90</v>
    </nc>
  </rcc>
  <rcc rId="8553" sId="1">
    <oc r="Q315" t="inlineStr">
      <is>
        <t>90</t>
      </is>
    </oc>
    <nc r="Q315">
      <v>90</v>
    </nc>
  </rcc>
  <rcc rId="8554" sId="1">
    <oc r="Q316" t="inlineStr">
      <is>
        <t>90</t>
      </is>
    </oc>
    <nc r="Q316">
      <v>90</v>
    </nc>
  </rcc>
  <rcc rId="8555" sId="1">
    <oc r="Q317" t="inlineStr">
      <is>
        <t>90</t>
      </is>
    </oc>
    <nc r="Q317">
      <v>90</v>
    </nc>
  </rcc>
  <rcc rId="8556" sId="1">
    <oc r="Q318" t="inlineStr">
      <is>
        <t>90</t>
      </is>
    </oc>
    <nc r="Q318">
      <v>90</v>
    </nc>
  </rcc>
  <rcc rId="8557" sId="1">
    <oc r="Q319" t="inlineStr">
      <is>
        <t>90</t>
      </is>
    </oc>
    <nc r="Q319">
      <v>90</v>
    </nc>
  </rcc>
  <rcc rId="8558" sId="1">
    <oc r="Q320" t="inlineStr">
      <is>
        <t>90</t>
      </is>
    </oc>
    <nc r="Q320">
      <v>90</v>
    </nc>
  </rcc>
  <rcc rId="8559" sId="1">
    <oc r="Q321" t="inlineStr">
      <is>
        <t>90</t>
      </is>
    </oc>
    <nc r="Q321">
      <v>90</v>
    </nc>
  </rcc>
  <rcc rId="8560" sId="1">
    <oc r="Q322" t="inlineStr">
      <is>
        <t>90</t>
      </is>
    </oc>
    <nc r="Q322">
      <v>90</v>
    </nc>
  </rcc>
  <rcc rId="8561" sId="1">
    <oc r="Q323" t="inlineStr">
      <is>
        <t>90</t>
      </is>
    </oc>
    <nc r="Q323">
      <v>90</v>
    </nc>
  </rcc>
  <rcc rId="8562" sId="1">
    <oc r="Q324" t="inlineStr">
      <is>
        <t>90</t>
      </is>
    </oc>
    <nc r="Q324">
      <v>90</v>
    </nc>
  </rcc>
  <rcc rId="8563" sId="1">
    <oc r="Q325" t="inlineStr">
      <is>
        <t>90</t>
      </is>
    </oc>
    <nc r="Q325">
      <v>90</v>
    </nc>
  </rcc>
  <rcc rId="8564" sId="1">
    <oc r="Q326" t="inlineStr">
      <is>
        <t>90</t>
      </is>
    </oc>
    <nc r="Q326">
      <v>90</v>
    </nc>
  </rcc>
  <rcc rId="8565" sId="1">
    <oc r="Q327" t="inlineStr">
      <is>
        <t>90</t>
      </is>
    </oc>
    <nc r="Q327">
      <v>90</v>
    </nc>
  </rcc>
  <rcc rId="8566" sId="1">
    <oc r="Q328" t="inlineStr">
      <is>
        <t>90</t>
      </is>
    </oc>
    <nc r="Q328">
      <v>90</v>
    </nc>
  </rcc>
  <rcc rId="8567" sId="1">
    <oc r="Q329" t="inlineStr">
      <is>
        <t>90</t>
      </is>
    </oc>
    <nc r="Q329">
      <v>90</v>
    </nc>
  </rcc>
  <rcc rId="8568" sId="1">
    <oc r="Q330" t="inlineStr">
      <is>
        <t>90</t>
      </is>
    </oc>
    <nc r="Q330">
      <v>90</v>
    </nc>
  </rcc>
  <rcc rId="8569" sId="1">
    <oc r="Q331" t="inlineStr">
      <is>
        <t>90</t>
      </is>
    </oc>
    <nc r="Q331">
      <v>90</v>
    </nc>
  </rcc>
  <rcc rId="8570" sId="1">
    <oc r="Q332" t="inlineStr">
      <is>
        <t>90</t>
      </is>
    </oc>
    <nc r="Q332">
      <v>90</v>
    </nc>
  </rcc>
  <rcc rId="8571" sId="1">
    <oc r="Q333" t="inlineStr">
      <is>
        <t>90</t>
      </is>
    </oc>
    <nc r="Q333">
      <v>90</v>
    </nc>
  </rcc>
  <rcc rId="8572" sId="1">
    <oc r="Q334" t="inlineStr">
      <is>
        <t>90</t>
      </is>
    </oc>
    <nc r="Q334">
      <v>90</v>
    </nc>
  </rcc>
  <rcc rId="8573" sId="1">
    <oc r="Q335" t="inlineStr">
      <is>
        <t>90</t>
      </is>
    </oc>
    <nc r="Q335">
      <v>90</v>
    </nc>
  </rcc>
  <rcc rId="8574" sId="1">
    <oc r="Q336" t="inlineStr">
      <is>
        <t>90</t>
      </is>
    </oc>
    <nc r="Q336">
      <v>90</v>
    </nc>
  </rcc>
  <rcc rId="8575" sId="1">
    <oc r="Q337" t="inlineStr">
      <is>
        <t>90</t>
      </is>
    </oc>
    <nc r="Q337">
      <v>90</v>
    </nc>
  </rcc>
  <rcc rId="8576" sId="1">
    <oc r="Q338" t="inlineStr">
      <is>
        <t>90</t>
      </is>
    </oc>
    <nc r="Q338">
      <v>90</v>
    </nc>
  </rcc>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77" sId="1">
    <oc r="O131" t="inlineStr">
      <is>
        <t>1</t>
      </is>
    </oc>
    <nc r="O131">
      <v>1</v>
    </nc>
  </rcc>
  <rcc rId="8578" sId="1">
    <oc r="O132" t="inlineStr">
      <is>
        <t>1</t>
      </is>
    </oc>
    <nc r="O132">
      <v>1</v>
    </nc>
  </rcc>
  <rcc rId="8579" sId="1">
    <oc r="O133" t="inlineStr">
      <is>
        <t>1</t>
      </is>
    </oc>
    <nc r="O133">
      <v>1</v>
    </nc>
  </rcc>
  <rcc rId="8580" sId="1">
    <oc r="O134" t="inlineStr">
      <is>
        <t>1</t>
      </is>
    </oc>
    <nc r="O134">
      <v>1</v>
    </nc>
  </rcc>
  <rcc rId="8581" sId="1">
    <oc r="O135" t="inlineStr">
      <is>
        <t>1</t>
      </is>
    </oc>
    <nc r="O135">
      <v>1</v>
    </nc>
  </rcc>
  <rcc rId="8582" sId="1">
    <oc r="O136" t="inlineStr">
      <is>
        <t>1</t>
      </is>
    </oc>
    <nc r="O136">
      <v>1</v>
    </nc>
  </rcc>
  <rcc rId="8583" sId="1">
    <oc r="O137" t="inlineStr">
      <is>
        <t>1</t>
      </is>
    </oc>
    <nc r="O137">
      <v>1</v>
    </nc>
  </rcc>
  <rcc rId="8584" sId="1">
    <oc r="O138" t="inlineStr">
      <is>
        <t>1</t>
      </is>
    </oc>
    <nc r="O138">
      <v>1</v>
    </nc>
  </rcc>
  <rcc rId="8585" sId="1">
    <oc r="O139" t="inlineStr">
      <is>
        <t>1</t>
      </is>
    </oc>
    <nc r="O139">
      <v>1</v>
    </nc>
  </rcc>
  <rcc rId="8586" sId="1">
    <oc r="O140" t="inlineStr">
      <is>
        <t>1</t>
      </is>
    </oc>
    <nc r="O140">
      <v>1</v>
    </nc>
  </rcc>
  <rcc rId="8587" sId="1">
    <oc r="O141" t="inlineStr">
      <is>
        <t>1</t>
      </is>
    </oc>
    <nc r="O141">
      <v>1</v>
    </nc>
  </rcc>
  <rcc rId="8588" sId="1">
    <oc r="O142" t="inlineStr">
      <is>
        <t>1</t>
      </is>
    </oc>
    <nc r="O142">
      <v>1</v>
    </nc>
  </rcc>
  <rcc rId="8589" sId="1">
    <oc r="O143" t="inlineStr">
      <is>
        <t>1</t>
      </is>
    </oc>
    <nc r="O143">
      <v>1</v>
    </nc>
  </rcc>
  <rcc rId="8590" sId="1">
    <oc r="O211" t="inlineStr">
      <is>
        <t>1</t>
      </is>
    </oc>
    <nc r="O211">
      <v>1</v>
    </nc>
  </rcc>
  <rcc rId="8591" sId="1">
    <oc r="O212" t="inlineStr">
      <is>
        <t>1</t>
      </is>
    </oc>
    <nc r="O212">
      <v>1</v>
    </nc>
  </rcc>
  <rcc rId="8592" sId="1">
    <oc r="O126" t="inlineStr">
      <is>
        <t>2</t>
      </is>
    </oc>
    <nc r="O126">
      <v>2</v>
    </nc>
  </rcc>
  <rcc rId="8593" sId="1">
    <oc r="O144" t="inlineStr">
      <is>
        <t>2</t>
      </is>
    </oc>
    <nc r="O144">
      <v>2</v>
    </nc>
  </rcc>
  <rcc rId="8594" sId="1">
    <oc r="O145" t="inlineStr">
      <is>
        <t>2</t>
      </is>
    </oc>
    <nc r="O145">
      <v>2</v>
    </nc>
  </rcc>
  <rcc rId="8595" sId="1">
    <oc r="O146" t="inlineStr">
      <is>
        <t>2</t>
      </is>
    </oc>
    <nc r="O146">
      <v>2</v>
    </nc>
  </rcc>
  <rcc rId="8596" sId="1">
    <oc r="O147" t="inlineStr">
      <is>
        <t>2</t>
      </is>
    </oc>
    <nc r="O147">
      <v>2</v>
    </nc>
  </rcc>
  <rcc rId="8597" sId="1">
    <oc r="O148" t="inlineStr">
      <is>
        <t>2</t>
      </is>
    </oc>
    <nc r="O148">
      <v>2</v>
    </nc>
  </rcc>
  <rcc rId="8598" sId="1">
    <oc r="O149" t="inlineStr">
      <is>
        <t>2</t>
      </is>
    </oc>
    <nc r="O149">
      <v>2</v>
    </nc>
  </rcc>
  <rcc rId="8599" sId="1">
    <oc r="O150" t="inlineStr">
      <is>
        <t>2</t>
      </is>
    </oc>
    <nc r="O150">
      <v>2</v>
    </nc>
  </rcc>
  <rcc rId="8600" sId="1">
    <oc r="O151" t="inlineStr">
      <is>
        <t>2</t>
      </is>
    </oc>
    <nc r="O151">
      <v>2</v>
    </nc>
  </rcc>
  <rcc rId="8601" sId="1">
    <oc r="O152" t="inlineStr">
      <is>
        <t>2</t>
      </is>
    </oc>
    <nc r="O152">
      <v>2</v>
    </nc>
  </rcc>
  <rcc rId="8602" sId="1">
    <oc r="O153" t="inlineStr">
      <is>
        <t>2</t>
      </is>
    </oc>
    <nc r="O153">
      <v>2</v>
    </nc>
  </rcc>
  <rcc rId="8603" sId="1">
    <oc r="O154" t="inlineStr">
      <is>
        <t>2</t>
      </is>
    </oc>
    <nc r="O154">
      <v>2</v>
    </nc>
  </rcc>
  <rcc rId="8604" sId="1">
    <oc r="O155" t="inlineStr">
      <is>
        <t>2</t>
      </is>
    </oc>
    <nc r="O155">
      <v>2</v>
    </nc>
  </rcc>
  <rcc rId="8605" sId="1">
    <oc r="O156" t="inlineStr">
      <is>
        <t>2</t>
      </is>
    </oc>
    <nc r="O156">
      <v>2</v>
    </nc>
  </rcc>
  <rcc rId="8606" sId="1">
    <oc r="O157" t="inlineStr">
      <is>
        <t>2</t>
      </is>
    </oc>
    <nc r="O157">
      <v>2</v>
    </nc>
  </rcc>
  <rcc rId="8607" sId="1">
    <oc r="O158" t="inlineStr">
      <is>
        <t>2</t>
      </is>
    </oc>
    <nc r="O158">
      <v>2</v>
    </nc>
  </rcc>
  <rcc rId="8608" sId="1">
    <oc r="O159" t="inlineStr">
      <is>
        <t>2</t>
      </is>
    </oc>
    <nc r="O159">
      <v>2</v>
    </nc>
  </rcc>
  <rcc rId="8609" sId="1">
    <oc r="O160" t="inlineStr">
      <is>
        <t>2</t>
      </is>
    </oc>
    <nc r="O160">
      <v>2</v>
    </nc>
  </rcc>
  <rcc rId="8610" sId="1">
    <oc r="O161" t="inlineStr">
      <is>
        <t>2</t>
      </is>
    </oc>
    <nc r="O161">
      <v>2</v>
    </nc>
  </rcc>
  <rcc rId="8611" sId="1">
    <oc r="O162" t="inlineStr">
      <is>
        <t>2</t>
      </is>
    </oc>
    <nc r="O162">
      <v>2</v>
    </nc>
  </rcc>
  <rcc rId="8612" sId="1">
    <oc r="O163" t="inlineStr">
      <is>
        <t>2</t>
      </is>
    </oc>
    <nc r="O163">
      <v>2</v>
    </nc>
  </rcc>
  <rcc rId="8613" sId="1">
    <oc r="O164" t="inlineStr">
      <is>
        <t>2</t>
      </is>
    </oc>
    <nc r="O164">
      <v>2</v>
    </nc>
  </rcc>
  <rcc rId="8614" sId="1">
    <oc r="O165" t="inlineStr">
      <is>
        <t>2</t>
      </is>
    </oc>
    <nc r="O165">
      <v>2</v>
    </nc>
  </rcc>
  <rcc rId="8615" sId="1">
    <oc r="O172" t="inlineStr">
      <is>
        <t>2</t>
      </is>
    </oc>
    <nc r="O172">
      <v>2</v>
    </nc>
  </rcc>
  <rcc rId="8616" sId="1">
    <oc r="O173" t="inlineStr">
      <is>
        <t>2</t>
      </is>
    </oc>
    <nc r="O173">
      <v>2</v>
    </nc>
  </rcc>
  <rcc rId="8617" sId="1">
    <oc r="O174" t="inlineStr">
      <is>
        <t>2</t>
      </is>
    </oc>
    <nc r="O174">
      <v>2</v>
    </nc>
  </rcc>
  <rcc rId="8618" sId="1">
    <oc r="O175" t="inlineStr">
      <is>
        <t>2</t>
      </is>
    </oc>
    <nc r="O175">
      <v>2</v>
    </nc>
  </rcc>
  <rcc rId="8619" sId="1">
    <oc r="O176" t="inlineStr">
      <is>
        <t>2</t>
      </is>
    </oc>
    <nc r="O176">
      <v>2</v>
    </nc>
  </rcc>
  <rcc rId="8620" sId="1">
    <oc r="O177" t="inlineStr">
      <is>
        <t>2</t>
      </is>
    </oc>
    <nc r="O177">
      <v>2</v>
    </nc>
  </rcc>
  <rcc rId="8621" sId="1">
    <oc r="O178" t="inlineStr">
      <is>
        <t>2</t>
      </is>
    </oc>
    <nc r="O178">
      <v>2</v>
    </nc>
  </rcc>
  <rcc rId="8622" sId="1">
    <oc r="O179" t="inlineStr">
      <is>
        <t>2</t>
      </is>
    </oc>
    <nc r="O179">
      <v>2</v>
    </nc>
  </rcc>
  <rcc rId="8623" sId="1">
    <oc r="O180" t="inlineStr">
      <is>
        <t>2</t>
      </is>
    </oc>
    <nc r="O180">
      <v>2</v>
    </nc>
  </rcc>
  <rcc rId="8624" sId="1">
    <oc r="O181" t="inlineStr">
      <is>
        <t>2</t>
      </is>
    </oc>
    <nc r="O181">
      <v>2</v>
    </nc>
  </rcc>
  <rcc rId="8625" sId="1">
    <oc r="O182" t="inlineStr">
      <is>
        <t>2</t>
      </is>
    </oc>
    <nc r="O182">
      <v>2</v>
    </nc>
  </rcc>
  <rcc rId="8626" sId="1">
    <oc r="O183" t="inlineStr">
      <is>
        <t>2</t>
      </is>
    </oc>
    <nc r="O183">
      <v>2</v>
    </nc>
  </rcc>
  <rcc rId="8627" sId="1">
    <oc r="O184" t="inlineStr">
      <is>
        <t>2</t>
      </is>
    </oc>
    <nc r="O184">
      <v>2</v>
    </nc>
  </rcc>
  <rcc rId="8628" sId="1">
    <oc r="O185" t="inlineStr">
      <is>
        <t>2</t>
      </is>
    </oc>
    <nc r="O185">
      <v>2</v>
    </nc>
  </rcc>
  <rcc rId="8629" sId="1">
    <oc r="O186" t="inlineStr">
      <is>
        <t>2</t>
      </is>
    </oc>
    <nc r="O186">
      <v>2</v>
    </nc>
  </rcc>
  <rcc rId="8630" sId="1">
    <oc r="O187" t="inlineStr">
      <is>
        <t>2</t>
      </is>
    </oc>
    <nc r="O187">
      <v>2</v>
    </nc>
  </rcc>
  <rcc rId="8631" sId="1">
    <oc r="O188" t="inlineStr">
      <is>
        <t>2</t>
      </is>
    </oc>
    <nc r="O188">
      <v>2</v>
    </nc>
  </rcc>
  <rcc rId="8632" sId="1">
    <oc r="O189" t="inlineStr">
      <is>
        <t>2</t>
      </is>
    </oc>
    <nc r="O189">
      <v>2</v>
    </nc>
  </rcc>
  <rcc rId="8633" sId="1">
    <oc r="O190" t="inlineStr">
      <is>
        <t>2</t>
      </is>
    </oc>
    <nc r="O190">
      <v>2</v>
    </nc>
  </rcc>
  <rcc rId="8634" sId="1">
    <oc r="O191" t="inlineStr">
      <is>
        <t>2</t>
      </is>
    </oc>
    <nc r="O191">
      <v>2</v>
    </nc>
  </rcc>
  <rcc rId="8635" sId="1">
    <oc r="O192" t="inlineStr">
      <is>
        <t>2</t>
      </is>
    </oc>
    <nc r="O192">
      <v>2</v>
    </nc>
  </rcc>
  <rcc rId="8636" sId="1">
    <oc r="O193" t="inlineStr">
      <is>
        <t>2</t>
      </is>
    </oc>
    <nc r="O193">
      <v>2</v>
    </nc>
  </rcc>
  <rcc rId="8637" sId="1">
    <oc r="O194" t="inlineStr">
      <is>
        <t>2</t>
      </is>
    </oc>
    <nc r="O194">
      <v>2</v>
    </nc>
  </rcc>
  <rcc rId="8638" sId="1">
    <oc r="O195" t="inlineStr">
      <is>
        <t>2</t>
      </is>
    </oc>
    <nc r="O195">
      <v>2</v>
    </nc>
  </rcc>
  <rcc rId="8639" sId="1">
    <oc r="O196" t="inlineStr">
      <is>
        <t>2</t>
      </is>
    </oc>
    <nc r="O196">
      <v>2</v>
    </nc>
  </rcc>
  <rcc rId="8640" sId="1">
    <oc r="O197" t="inlineStr">
      <is>
        <t>2</t>
      </is>
    </oc>
    <nc r="O197">
      <v>2</v>
    </nc>
  </rcc>
  <rcc rId="8641" sId="1">
    <oc r="O198" t="inlineStr">
      <is>
        <t>2</t>
      </is>
    </oc>
    <nc r="O198">
      <v>2</v>
    </nc>
  </rcc>
  <rcc rId="8642" sId="1">
    <oc r="O199" t="inlineStr">
      <is>
        <t>2</t>
      </is>
    </oc>
    <nc r="O199">
      <v>2</v>
    </nc>
  </rcc>
  <rcc rId="8643" sId="1">
    <oc r="O200" t="inlineStr">
      <is>
        <t>2</t>
      </is>
    </oc>
    <nc r="O200">
      <v>2</v>
    </nc>
  </rcc>
  <rcc rId="8644" sId="1">
    <oc r="O201" t="inlineStr">
      <is>
        <t>2</t>
      </is>
    </oc>
    <nc r="O201">
      <v>2</v>
    </nc>
  </rcc>
  <rcc rId="8645" sId="1">
    <oc r="O202" t="inlineStr">
      <is>
        <t>2</t>
      </is>
    </oc>
    <nc r="O202">
      <v>2</v>
    </nc>
  </rcc>
  <rcc rId="8646" sId="1">
    <oc r="O203" t="inlineStr">
      <is>
        <t>2</t>
      </is>
    </oc>
    <nc r="O203">
      <v>2</v>
    </nc>
  </rcc>
  <rcc rId="8647" sId="1">
    <oc r="O205" t="inlineStr">
      <is>
        <t>2</t>
      </is>
    </oc>
    <nc r="O205">
      <v>2</v>
    </nc>
  </rcc>
  <rcc rId="8648" sId="1">
    <oc r="O206" t="inlineStr">
      <is>
        <t>2</t>
      </is>
    </oc>
    <nc r="O206">
      <v>2</v>
    </nc>
  </rcc>
  <rcc rId="8649" sId="1">
    <oc r="O207" t="inlineStr">
      <is>
        <t>2</t>
      </is>
    </oc>
    <nc r="O207">
      <v>2</v>
    </nc>
  </rcc>
  <rcc rId="8650" sId="1">
    <oc r="O208" t="inlineStr">
      <is>
        <t>2</t>
      </is>
    </oc>
    <nc r="O208">
      <v>2</v>
    </nc>
  </rcc>
  <rcc rId="8651" sId="1">
    <oc r="O209" t="inlineStr">
      <is>
        <t>2</t>
      </is>
    </oc>
    <nc r="O209">
      <v>2</v>
    </nc>
  </rcc>
  <rcc rId="8652" sId="1">
    <oc r="O210" t="inlineStr">
      <is>
        <t>2</t>
      </is>
    </oc>
    <nc r="O210">
      <v>2</v>
    </nc>
  </rcc>
  <rcc rId="8653" sId="1">
    <oc r="O214" t="inlineStr">
      <is>
        <t>2</t>
      </is>
    </oc>
    <nc r="O214">
      <v>2</v>
    </nc>
  </rcc>
  <rcc rId="8654" sId="1">
    <oc r="O215" t="inlineStr">
      <is>
        <t>2</t>
      </is>
    </oc>
    <nc r="O215">
      <v>2</v>
    </nc>
  </rcc>
  <rcc rId="8655" sId="1">
    <oc r="O216" t="inlineStr">
      <is>
        <t>2</t>
      </is>
    </oc>
    <nc r="O216">
      <v>2</v>
    </nc>
  </rcc>
  <rcc rId="8656" sId="1">
    <oc r="O217" t="inlineStr">
      <is>
        <t>2</t>
      </is>
    </oc>
    <nc r="O217">
      <v>2</v>
    </nc>
  </rcc>
  <rcc rId="8657" sId="1">
    <oc r="O218" t="inlineStr">
      <is>
        <t>2</t>
      </is>
    </oc>
    <nc r="O218">
      <v>2</v>
    </nc>
  </rcc>
  <rcc rId="8658" sId="1">
    <oc r="O219" t="inlineStr">
      <is>
        <t>2</t>
      </is>
    </oc>
    <nc r="O219">
      <v>2</v>
    </nc>
  </rcc>
  <rcc rId="8659" sId="1">
    <oc r="O220" t="inlineStr">
      <is>
        <t>2</t>
      </is>
    </oc>
    <nc r="O220">
      <v>2</v>
    </nc>
  </rcc>
  <rcc rId="8660" sId="1">
    <oc r="O221" t="inlineStr">
      <is>
        <t>2</t>
      </is>
    </oc>
    <nc r="O221">
      <v>2</v>
    </nc>
  </rcc>
  <rcc rId="8661" sId="1">
    <oc r="O222" t="inlineStr">
      <is>
        <t>2</t>
      </is>
    </oc>
    <nc r="O222">
      <v>2</v>
    </nc>
  </rcc>
  <rcc rId="8662" sId="1">
    <oc r="O223" t="inlineStr">
      <is>
        <t>2</t>
      </is>
    </oc>
    <nc r="O223">
      <v>2</v>
    </nc>
  </rcc>
  <rcc rId="8663" sId="1">
    <oc r="O224" t="inlineStr">
      <is>
        <t>2</t>
      </is>
    </oc>
    <nc r="O224">
      <v>2</v>
    </nc>
  </rcc>
  <rcc rId="8664" sId="1">
    <oc r="O225" t="inlineStr">
      <is>
        <t>2</t>
      </is>
    </oc>
    <nc r="O225">
      <v>2</v>
    </nc>
  </rcc>
  <rcc rId="8665" sId="1">
    <oc r="O227" t="inlineStr">
      <is>
        <t>2</t>
      </is>
    </oc>
    <nc r="O227">
      <v>2</v>
    </nc>
  </rcc>
  <rcc rId="8666" sId="1">
    <oc r="O228" t="inlineStr">
      <is>
        <t>2</t>
      </is>
    </oc>
    <nc r="O228">
      <v>2</v>
    </nc>
  </rcc>
  <rcc rId="8667" sId="1">
    <oc r="O229" t="inlineStr">
      <is>
        <t>2</t>
      </is>
    </oc>
    <nc r="O229">
      <v>2</v>
    </nc>
  </rcc>
  <rcc rId="8668" sId="1">
    <oc r="O230" t="inlineStr">
      <is>
        <t>2</t>
      </is>
    </oc>
    <nc r="O230">
      <v>2</v>
    </nc>
  </rcc>
  <rcc rId="8669" sId="1">
    <oc r="O231" t="inlineStr">
      <is>
        <t>2</t>
      </is>
    </oc>
    <nc r="O231">
      <v>2</v>
    </nc>
  </rcc>
  <rcc rId="8670" sId="1">
    <oc r="O232" t="inlineStr">
      <is>
        <t>2</t>
      </is>
    </oc>
    <nc r="O232">
      <v>2</v>
    </nc>
  </rcc>
  <rcc rId="8671" sId="1">
    <oc r="O233" t="inlineStr">
      <is>
        <t>2</t>
      </is>
    </oc>
    <nc r="O233">
      <v>2</v>
    </nc>
  </rcc>
  <rcc rId="8672" sId="1">
    <oc r="O234" t="inlineStr">
      <is>
        <t>2</t>
      </is>
    </oc>
    <nc r="O234">
      <v>2</v>
    </nc>
  </rcc>
  <rcc rId="8673" sId="1">
    <oc r="O235" t="inlineStr">
      <is>
        <t>2</t>
      </is>
    </oc>
    <nc r="O235">
      <v>2</v>
    </nc>
  </rcc>
  <rcc rId="8674" sId="1">
    <oc r="O236" t="inlineStr">
      <is>
        <t>2</t>
      </is>
    </oc>
    <nc r="O236">
      <v>2</v>
    </nc>
  </rcc>
  <rcc rId="8675" sId="1">
    <oc r="O237" t="inlineStr">
      <is>
        <t>2</t>
      </is>
    </oc>
    <nc r="O237">
      <v>2</v>
    </nc>
  </rcc>
  <rcc rId="8676" sId="1">
    <oc r="O238" t="inlineStr">
      <is>
        <t>2</t>
      </is>
    </oc>
    <nc r="O238">
      <v>2</v>
    </nc>
  </rcc>
  <rcc rId="8677" sId="1">
    <oc r="O239" t="inlineStr">
      <is>
        <t>2</t>
      </is>
    </oc>
    <nc r="O239">
      <v>2</v>
    </nc>
  </rcc>
  <rcc rId="8678" sId="1">
    <oc r="O240" t="inlineStr">
      <is>
        <t>2</t>
      </is>
    </oc>
    <nc r="O240">
      <v>2</v>
    </nc>
  </rcc>
  <rcc rId="8679" sId="1">
    <oc r="O241" t="inlineStr">
      <is>
        <t>2</t>
      </is>
    </oc>
    <nc r="O241">
      <v>2</v>
    </nc>
  </rcc>
  <rcc rId="8680" sId="1">
    <oc r="O242" t="inlineStr">
      <is>
        <t>2</t>
      </is>
    </oc>
    <nc r="O242">
      <v>2</v>
    </nc>
  </rcc>
  <rcc rId="8681" sId="1">
    <oc r="O243" t="inlineStr">
      <is>
        <t>2</t>
      </is>
    </oc>
    <nc r="O243">
      <v>2</v>
    </nc>
  </rcc>
  <rcc rId="8682" sId="1">
    <oc r="O244" t="inlineStr">
      <is>
        <t>2</t>
      </is>
    </oc>
    <nc r="O244">
      <v>2</v>
    </nc>
  </rcc>
  <rcc rId="8683" sId="1">
    <oc r="O245" t="inlineStr">
      <is>
        <t>2</t>
      </is>
    </oc>
    <nc r="O245">
      <v>2</v>
    </nc>
  </rcc>
  <rcc rId="8684" sId="1">
    <oc r="O248" t="inlineStr">
      <is>
        <t>2</t>
      </is>
    </oc>
    <nc r="O248">
      <v>2</v>
    </nc>
  </rcc>
  <rcc rId="8685" sId="1">
    <oc r="O249" t="inlineStr">
      <is>
        <t>2</t>
      </is>
    </oc>
    <nc r="O249">
      <v>2</v>
    </nc>
  </rcc>
  <rcc rId="8686" sId="1">
    <oc r="O250" t="inlineStr">
      <is>
        <t>2</t>
      </is>
    </oc>
    <nc r="O250">
      <v>2</v>
    </nc>
  </rcc>
  <rcc rId="8687" sId="1">
    <oc r="O251" t="inlineStr">
      <is>
        <t>2</t>
      </is>
    </oc>
    <nc r="O251">
      <v>2</v>
    </nc>
  </rcc>
  <rcc rId="8688" sId="1">
    <oc r="O252" t="inlineStr">
      <is>
        <t>2</t>
      </is>
    </oc>
    <nc r="O252">
      <v>2</v>
    </nc>
  </rcc>
  <rcc rId="8689" sId="1">
    <oc r="O253" t="inlineStr">
      <is>
        <t>2</t>
      </is>
    </oc>
    <nc r="O253">
      <v>2</v>
    </nc>
  </rcc>
  <rcc rId="8690" sId="1">
    <oc r="O254" t="inlineStr">
      <is>
        <t>2</t>
      </is>
    </oc>
    <nc r="O254">
      <v>2</v>
    </nc>
  </rcc>
  <rcc rId="8691" sId="1">
    <oc r="O255" t="inlineStr">
      <is>
        <t>2</t>
      </is>
    </oc>
    <nc r="O255">
      <v>2</v>
    </nc>
  </rcc>
  <rcc rId="8692" sId="1">
    <oc r="O256" t="inlineStr">
      <is>
        <t>2</t>
      </is>
    </oc>
    <nc r="O256">
      <v>2</v>
    </nc>
  </rcc>
  <rcc rId="8693" sId="1">
    <oc r="O257" t="inlineStr">
      <is>
        <t>2</t>
      </is>
    </oc>
    <nc r="O257">
      <v>2</v>
    </nc>
  </rcc>
  <rcc rId="8694" sId="1">
    <oc r="O258" t="inlineStr">
      <is>
        <t>2</t>
      </is>
    </oc>
    <nc r="O258">
      <v>2</v>
    </nc>
  </rcc>
  <rcc rId="8695" sId="1">
    <oc r="O259" t="inlineStr">
      <is>
        <t>2</t>
      </is>
    </oc>
    <nc r="O259">
      <v>2</v>
    </nc>
  </rcc>
  <rcc rId="8696" sId="1">
    <oc r="O260" t="inlineStr">
      <is>
        <t>2</t>
      </is>
    </oc>
    <nc r="O260">
      <v>2</v>
    </nc>
  </rcc>
  <rcc rId="8697" sId="1">
    <oc r="O261" t="inlineStr">
      <is>
        <t>2</t>
      </is>
    </oc>
    <nc r="O261">
      <v>2</v>
    </nc>
  </rcc>
  <rcc rId="8698" sId="1">
    <oc r="O262" t="inlineStr">
      <is>
        <t>2</t>
      </is>
    </oc>
    <nc r="O262">
      <v>2</v>
    </nc>
  </rcc>
  <rcc rId="8699" sId="1">
    <oc r="O263" t="inlineStr">
      <is>
        <t>2</t>
      </is>
    </oc>
    <nc r="O263">
      <v>2</v>
    </nc>
  </rcc>
  <rcc rId="8700" sId="1">
    <oc r="O264" t="inlineStr">
      <is>
        <t>2</t>
      </is>
    </oc>
    <nc r="O264">
      <v>2</v>
    </nc>
  </rcc>
  <rcc rId="8701" sId="1">
    <oc r="O265" t="inlineStr">
      <is>
        <t>2</t>
      </is>
    </oc>
    <nc r="O265">
      <v>2</v>
    </nc>
  </rcc>
  <rcc rId="8702" sId="1">
    <oc r="O266" t="inlineStr">
      <is>
        <t>2</t>
      </is>
    </oc>
    <nc r="O266">
      <v>2</v>
    </nc>
  </rcc>
  <rcc rId="8703" sId="1">
    <oc r="O267" t="inlineStr">
      <is>
        <t>2</t>
      </is>
    </oc>
    <nc r="O267">
      <v>2</v>
    </nc>
  </rcc>
  <rcc rId="8704" sId="1">
    <oc r="O268" t="inlineStr">
      <is>
        <t>2</t>
      </is>
    </oc>
    <nc r="O268">
      <v>2</v>
    </nc>
  </rcc>
  <rcc rId="8705" sId="1">
    <oc r="O269" t="inlineStr">
      <is>
        <t>2</t>
      </is>
    </oc>
    <nc r="O269">
      <v>2</v>
    </nc>
  </rcc>
  <rcc rId="8706" sId="1">
    <oc r="O270" t="inlineStr">
      <is>
        <t>2</t>
      </is>
    </oc>
    <nc r="O270">
      <v>2</v>
    </nc>
  </rcc>
  <rcc rId="8707" sId="1">
    <oc r="O271" t="inlineStr">
      <is>
        <t>2</t>
      </is>
    </oc>
    <nc r="O271">
      <v>2</v>
    </nc>
  </rcc>
  <rcc rId="8708" sId="1">
    <oc r="O272" t="inlineStr">
      <is>
        <t>2</t>
      </is>
    </oc>
    <nc r="O272">
      <v>2</v>
    </nc>
  </rcc>
  <rcc rId="8709" sId="1">
    <oc r="O273" t="inlineStr">
      <is>
        <t>2</t>
      </is>
    </oc>
    <nc r="O273">
      <v>2</v>
    </nc>
  </rcc>
  <rcc rId="8710" sId="1">
    <oc r="O274" t="inlineStr">
      <is>
        <t>2</t>
      </is>
    </oc>
    <nc r="O274">
      <v>2</v>
    </nc>
  </rcc>
  <rcc rId="8711" sId="1">
    <oc r="O275" t="inlineStr">
      <is>
        <t>2</t>
      </is>
    </oc>
    <nc r="O275">
      <v>2</v>
    </nc>
  </rcc>
  <rcc rId="8712" sId="1">
    <oc r="O276" t="inlineStr">
      <is>
        <t>2</t>
      </is>
    </oc>
    <nc r="O276">
      <v>2</v>
    </nc>
  </rcc>
  <rcc rId="8713" sId="1">
    <oc r="O277" t="inlineStr">
      <is>
        <t>2</t>
      </is>
    </oc>
    <nc r="O277">
      <v>2</v>
    </nc>
  </rcc>
  <rcc rId="8714" sId="1">
    <oc r="O278" t="inlineStr">
      <is>
        <t>2</t>
      </is>
    </oc>
    <nc r="O278">
      <v>2</v>
    </nc>
  </rcc>
  <rcc rId="8715" sId="1">
    <oc r="O279" t="inlineStr">
      <is>
        <t>2</t>
      </is>
    </oc>
    <nc r="O279">
      <v>2</v>
    </nc>
  </rcc>
  <rcc rId="8716" sId="1">
    <oc r="O280" t="inlineStr">
      <is>
        <t>2</t>
      </is>
    </oc>
    <nc r="O280">
      <v>2</v>
    </nc>
  </rcc>
  <rcc rId="8717" sId="1">
    <oc r="O281" t="inlineStr">
      <is>
        <t>2</t>
      </is>
    </oc>
    <nc r="O281">
      <v>2</v>
    </nc>
  </rcc>
  <rcc rId="8718" sId="1">
    <oc r="O282" t="inlineStr">
      <is>
        <t>2</t>
      </is>
    </oc>
    <nc r="O282">
      <v>2</v>
    </nc>
  </rcc>
  <rcc rId="8719" sId="1">
    <oc r="O283" t="inlineStr">
      <is>
        <t>2</t>
      </is>
    </oc>
    <nc r="O283">
      <v>2</v>
    </nc>
  </rcc>
  <rcc rId="8720" sId="1">
    <oc r="O284" t="inlineStr">
      <is>
        <t>2</t>
      </is>
    </oc>
    <nc r="O284">
      <v>2</v>
    </nc>
  </rcc>
  <rcc rId="8721" sId="1">
    <oc r="O285" t="inlineStr">
      <is>
        <t>2</t>
      </is>
    </oc>
    <nc r="O285">
      <v>2</v>
    </nc>
  </rcc>
  <rcc rId="8722" sId="1">
    <oc r="O286" t="inlineStr">
      <is>
        <t>2</t>
      </is>
    </oc>
    <nc r="O286">
      <v>2</v>
    </nc>
  </rcc>
  <rcc rId="8723" sId="1">
    <oc r="O287" t="inlineStr">
      <is>
        <t>2</t>
      </is>
    </oc>
    <nc r="O287">
      <v>2</v>
    </nc>
  </rcc>
  <rcc rId="8724" sId="1">
    <oc r="O288" t="inlineStr">
      <is>
        <t>2</t>
      </is>
    </oc>
    <nc r="O288">
      <v>2</v>
    </nc>
  </rcc>
  <rcc rId="8725" sId="1">
    <oc r="O289" t="inlineStr">
      <is>
        <t>2</t>
      </is>
    </oc>
    <nc r="O289">
      <v>2</v>
    </nc>
  </rcc>
  <rcc rId="8726" sId="1">
    <oc r="O290" t="inlineStr">
      <is>
        <t>2</t>
      </is>
    </oc>
    <nc r="O290">
      <v>2</v>
    </nc>
  </rcc>
  <rcc rId="8727" sId="1">
    <oc r="O291" t="inlineStr">
      <is>
        <t>2</t>
      </is>
    </oc>
    <nc r="O291">
      <v>2</v>
    </nc>
  </rcc>
  <rcc rId="8728" sId="1">
    <oc r="O292" t="inlineStr">
      <is>
        <t>2</t>
      </is>
    </oc>
    <nc r="O292">
      <v>2</v>
    </nc>
  </rcc>
  <rcc rId="8729" sId="1">
    <oc r="O293" t="inlineStr">
      <is>
        <t>2</t>
      </is>
    </oc>
    <nc r="O293">
      <v>2</v>
    </nc>
  </rcc>
  <rcc rId="8730" sId="1">
    <oc r="O294" t="inlineStr">
      <is>
        <t>2</t>
      </is>
    </oc>
    <nc r="O294">
      <v>2</v>
    </nc>
  </rcc>
  <rcc rId="8731" sId="1">
    <oc r="O295" t="inlineStr">
      <is>
        <t>2</t>
      </is>
    </oc>
    <nc r="O295">
      <v>2</v>
    </nc>
  </rcc>
  <rcc rId="8732" sId="1">
    <oc r="O296" t="inlineStr">
      <is>
        <t>2</t>
      </is>
    </oc>
    <nc r="O296">
      <v>2</v>
    </nc>
  </rcc>
  <rcc rId="8733" sId="1">
    <oc r="O297" t="inlineStr">
      <is>
        <t>2</t>
      </is>
    </oc>
    <nc r="O297">
      <v>2</v>
    </nc>
  </rcc>
  <rcc rId="8734" sId="1">
    <oc r="O298" t="inlineStr">
      <is>
        <t>2</t>
      </is>
    </oc>
    <nc r="O298">
      <v>2</v>
    </nc>
  </rcc>
  <rcc rId="8735" sId="1">
    <oc r="O299" t="inlineStr">
      <is>
        <t>2</t>
      </is>
    </oc>
    <nc r="O299">
      <v>2</v>
    </nc>
  </rcc>
  <rcc rId="8736" sId="1">
    <oc r="O300" t="inlineStr">
      <is>
        <t>2</t>
      </is>
    </oc>
    <nc r="O300">
      <v>2</v>
    </nc>
  </rcc>
  <rcc rId="8737" sId="1">
    <oc r="O301" t="inlineStr">
      <is>
        <t>2</t>
      </is>
    </oc>
    <nc r="O301">
      <v>2</v>
    </nc>
  </rcc>
  <rcc rId="8738" sId="1">
    <oc r="O302" t="inlineStr">
      <is>
        <t>2</t>
      </is>
    </oc>
    <nc r="O302">
      <v>2</v>
    </nc>
  </rcc>
  <rcc rId="8739" sId="1">
    <oc r="O303" t="inlineStr">
      <is>
        <t>2</t>
      </is>
    </oc>
    <nc r="O303">
      <v>2</v>
    </nc>
  </rcc>
  <rcc rId="8740" sId="1">
    <oc r="O304" t="inlineStr">
      <is>
        <t>2</t>
      </is>
    </oc>
    <nc r="O304">
      <v>2</v>
    </nc>
  </rcc>
  <rcc rId="8741" sId="1">
    <oc r="O305" t="inlineStr">
      <is>
        <t>2</t>
      </is>
    </oc>
    <nc r="O305">
      <v>2</v>
    </nc>
  </rcc>
  <rcc rId="8742" sId="1">
    <oc r="O306" t="inlineStr">
      <is>
        <t>2</t>
      </is>
    </oc>
    <nc r="O306">
      <v>2</v>
    </nc>
  </rcc>
  <rcc rId="8743" sId="1">
    <oc r="O307" t="inlineStr">
      <is>
        <t>2</t>
      </is>
    </oc>
    <nc r="O307">
      <v>2</v>
    </nc>
  </rcc>
  <rcc rId="8744" sId="1">
    <oc r="O308" t="inlineStr">
      <is>
        <t>2</t>
      </is>
    </oc>
    <nc r="O308">
      <v>2</v>
    </nc>
  </rcc>
  <rcc rId="8745" sId="1">
    <oc r="O309" t="inlineStr">
      <is>
        <t>2</t>
      </is>
    </oc>
    <nc r="O309">
      <v>2</v>
    </nc>
  </rcc>
  <rcc rId="8746" sId="1">
    <oc r="O310" t="inlineStr">
      <is>
        <t>2</t>
      </is>
    </oc>
    <nc r="O310">
      <v>2</v>
    </nc>
  </rcc>
  <rcc rId="8747" sId="1">
    <oc r="O311" t="inlineStr">
      <is>
        <t>2</t>
      </is>
    </oc>
    <nc r="O311">
      <v>2</v>
    </nc>
  </rcc>
  <rcc rId="8748" sId="1">
    <oc r="O312" t="inlineStr">
      <is>
        <t>2</t>
      </is>
    </oc>
    <nc r="O312">
      <v>2</v>
    </nc>
  </rcc>
  <rcc rId="8749" sId="1">
    <oc r="O313" t="inlineStr">
      <is>
        <t>2</t>
      </is>
    </oc>
    <nc r="O313">
      <v>2</v>
    </nc>
  </rcc>
  <rcc rId="8750" sId="1">
    <oc r="O314" t="inlineStr">
      <is>
        <t>2</t>
      </is>
    </oc>
    <nc r="O314">
      <v>2</v>
    </nc>
  </rcc>
  <rcc rId="8751" sId="1">
    <oc r="O315" t="inlineStr">
      <is>
        <t>2</t>
      </is>
    </oc>
    <nc r="O315">
      <v>2</v>
    </nc>
  </rcc>
  <rcc rId="8752" sId="1">
    <oc r="O316" t="inlineStr">
      <is>
        <t>2</t>
      </is>
    </oc>
    <nc r="O316">
      <v>2</v>
    </nc>
  </rcc>
  <rcc rId="8753" sId="1">
    <oc r="O317" t="inlineStr">
      <is>
        <t>2</t>
      </is>
    </oc>
    <nc r="O317">
      <v>2</v>
    </nc>
  </rcc>
  <rcc rId="8754" sId="1">
    <oc r="O318" t="inlineStr">
      <is>
        <t>2</t>
      </is>
    </oc>
    <nc r="O318">
      <v>2</v>
    </nc>
  </rcc>
  <rcc rId="8755" sId="1">
    <oc r="O319" t="inlineStr">
      <is>
        <t>2</t>
      </is>
    </oc>
    <nc r="O319">
      <v>2</v>
    </nc>
  </rcc>
  <rcc rId="8756" sId="1">
    <oc r="O320" t="inlineStr">
      <is>
        <t>2</t>
      </is>
    </oc>
    <nc r="O320">
      <v>2</v>
    </nc>
  </rcc>
  <rcc rId="8757" sId="1">
    <oc r="O321" t="inlineStr">
      <is>
        <t>2</t>
      </is>
    </oc>
    <nc r="O321">
      <v>2</v>
    </nc>
  </rcc>
  <rcc rId="8758" sId="1">
    <oc r="O322" t="inlineStr">
      <is>
        <t>2</t>
      </is>
    </oc>
    <nc r="O322">
      <v>2</v>
    </nc>
  </rcc>
  <rcc rId="8759" sId="1">
    <oc r="O323" t="inlineStr">
      <is>
        <t>2</t>
      </is>
    </oc>
    <nc r="O323">
      <v>2</v>
    </nc>
  </rcc>
  <rcc rId="8760" sId="1">
    <oc r="O324" t="inlineStr">
      <is>
        <t>2</t>
      </is>
    </oc>
    <nc r="O324">
      <v>2</v>
    </nc>
  </rcc>
  <rcc rId="8761" sId="1">
    <oc r="O326" t="inlineStr">
      <is>
        <t>2</t>
      </is>
    </oc>
    <nc r="O326">
      <v>2</v>
    </nc>
  </rcc>
  <rcc rId="8762" sId="1">
    <oc r="O327" t="inlineStr">
      <is>
        <t>2</t>
      </is>
    </oc>
    <nc r="O327">
      <v>2</v>
    </nc>
  </rcc>
  <rcc rId="8763" sId="1">
    <oc r="O328" t="inlineStr">
      <is>
        <t>2</t>
      </is>
    </oc>
    <nc r="O328">
      <v>2</v>
    </nc>
  </rcc>
  <rcc rId="8764" sId="1">
    <oc r="O329" t="inlineStr">
      <is>
        <t>2</t>
      </is>
    </oc>
    <nc r="O329">
      <v>2</v>
    </nc>
  </rcc>
  <rcc rId="8765" sId="1">
    <oc r="O332" t="inlineStr">
      <is>
        <t>2</t>
      </is>
    </oc>
    <nc r="O332">
      <v>2</v>
    </nc>
  </rcc>
  <rcc rId="8766" sId="1">
    <oc r="O333" t="inlineStr">
      <is>
        <t>2</t>
      </is>
    </oc>
    <nc r="O333">
      <v>2</v>
    </nc>
  </rcc>
  <rcc rId="8767" sId="1">
    <oc r="O334" t="inlineStr">
      <is>
        <t>2</t>
      </is>
    </oc>
    <nc r="O334">
      <v>2</v>
    </nc>
  </rcc>
  <rcc rId="8768" sId="1">
    <oc r="O335" t="inlineStr">
      <is>
        <t>2</t>
      </is>
    </oc>
    <nc r="O335">
      <v>2</v>
    </nc>
  </rcc>
  <rcc rId="8769" sId="1">
    <oc r="O336" t="inlineStr">
      <is>
        <t>2</t>
      </is>
    </oc>
    <nc r="O336">
      <v>2</v>
    </nc>
  </rcc>
  <rcc rId="8770" sId="1">
    <oc r="O337" t="inlineStr">
      <is>
        <t>2</t>
      </is>
    </oc>
    <nc r="O337">
      <v>2</v>
    </nc>
  </rcc>
  <rcc rId="8771" sId="1">
    <oc r="O46" t="inlineStr">
      <is>
        <t>3</t>
      </is>
    </oc>
    <nc r="O46">
      <v>3</v>
    </nc>
  </rcc>
  <rcc rId="8772" sId="1">
    <oc r="O106" t="inlineStr">
      <is>
        <t>3</t>
      </is>
    </oc>
    <nc r="O106">
      <v>3</v>
    </nc>
  </rcc>
  <rcc rId="8773" sId="1">
    <oc r="O107" t="inlineStr">
      <is>
        <t>3</t>
      </is>
    </oc>
    <nc r="O107">
      <v>3</v>
    </nc>
  </rcc>
  <rcc rId="8774" sId="1">
    <oc r="O114" t="inlineStr">
      <is>
        <t>3</t>
      </is>
    </oc>
    <nc r="O114">
      <v>3</v>
    </nc>
  </rcc>
  <rcc rId="8775" sId="1">
    <oc r="O115" t="inlineStr">
      <is>
        <t>3</t>
      </is>
    </oc>
    <nc r="O115">
      <v>3</v>
    </nc>
  </rcc>
  <rcc rId="8776" sId="1">
    <oc r="O116" t="inlineStr">
      <is>
        <t>3</t>
      </is>
    </oc>
    <nc r="O116">
      <v>3</v>
    </nc>
  </rcc>
  <rcc rId="8777" sId="1">
    <oc r="O121" t="inlineStr">
      <is>
        <t>3</t>
      </is>
    </oc>
    <nc r="O121">
      <v>3</v>
    </nc>
  </rcc>
  <rcc rId="8778" sId="1">
    <oc r="O122" t="inlineStr">
      <is>
        <t>3</t>
      </is>
    </oc>
    <nc r="O122">
      <v>3</v>
    </nc>
  </rcc>
  <rcc rId="8779" sId="1">
    <oc r="O123" t="inlineStr">
      <is>
        <t>3</t>
      </is>
    </oc>
    <nc r="O123">
      <v>3</v>
    </nc>
  </rcc>
  <rcc rId="8780" sId="1">
    <oc r="O124" t="inlineStr">
      <is>
        <t>3</t>
      </is>
    </oc>
    <nc r="O124">
      <v>3</v>
    </nc>
  </rcc>
  <rcc rId="8781" sId="1">
    <oc r="O125" t="inlineStr">
      <is>
        <t>3</t>
      </is>
    </oc>
    <nc r="O125">
      <v>3</v>
    </nc>
  </rcc>
  <rcc rId="8782" sId="1">
    <oc r="O129" t="inlineStr">
      <is>
        <t>3</t>
      </is>
    </oc>
    <nc r="O129">
      <v>3</v>
    </nc>
  </rcc>
  <rcc rId="8783" sId="1">
    <oc r="O130" t="inlineStr">
      <is>
        <t>3</t>
      </is>
    </oc>
    <nc r="O130">
      <v>3</v>
    </nc>
  </rcc>
  <rcc rId="8784" sId="1">
    <oc r="O166" t="inlineStr">
      <is>
        <t>3</t>
      </is>
    </oc>
    <nc r="O166">
      <v>3</v>
    </nc>
  </rcc>
  <rcc rId="8785" sId="1">
    <oc r="O167" t="inlineStr">
      <is>
        <t>3</t>
      </is>
    </oc>
    <nc r="O167">
      <v>3</v>
    </nc>
  </rcc>
  <rcc rId="8786" sId="1">
    <oc r="O168" t="inlineStr">
      <is>
        <t>3</t>
      </is>
    </oc>
    <nc r="O168">
      <v>3</v>
    </nc>
  </rcc>
  <rcc rId="8787" sId="1">
    <oc r="O169" t="inlineStr">
      <is>
        <t>3</t>
      </is>
    </oc>
    <nc r="O169">
      <v>3</v>
    </nc>
  </rcc>
  <rcc rId="8788" sId="1">
    <oc r="O170" t="inlineStr">
      <is>
        <t>3</t>
      </is>
    </oc>
    <nc r="O170">
      <v>3</v>
    </nc>
  </rcc>
  <rcc rId="8789" sId="1">
    <oc r="O171" t="inlineStr">
      <is>
        <t>3</t>
      </is>
    </oc>
    <nc r="O171">
      <v>3</v>
    </nc>
  </rcc>
  <rcc rId="8790" sId="1">
    <oc r="O330" t="inlineStr">
      <is>
        <t>3</t>
      </is>
    </oc>
    <nc r="O330">
      <v>3</v>
    </nc>
  </rcc>
  <rcc rId="8791" sId="1">
    <oc r="O331" t="inlineStr">
      <is>
        <t>3</t>
      </is>
    </oc>
    <nc r="O331">
      <v>3</v>
    </nc>
  </rcc>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792" sId="1" ref="C1:C1048576" action="insertCol"/>
  <rcc rId="8793" sId="1">
    <nc r="C2">
      <f>IF(B2="","",TEXT(B2,"0.0"))</f>
    </nc>
  </rcc>
  <rcc rId="8794" sId="1">
    <nc r="C3">
      <f>IF(B3="","",TEXT(B3,"0.0"))</f>
    </nc>
  </rcc>
  <rcc rId="8795" sId="1">
    <nc r="C4">
      <f>IF(B4="","",TEXT(B4,"0.0"))</f>
    </nc>
  </rcc>
  <rcc rId="8796" sId="1">
    <nc r="C5">
      <f>IF(B5="","",TEXT(B5,"0.0"))</f>
    </nc>
  </rcc>
  <rcc rId="8797" sId="1">
    <nc r="C6">
      <f>IF(B6="","",TEXT(B6,"0.0"))</f>
    </nc>
  </rcc>
  <rcc rId="8798" sId="1">
    <nc r="C7">
      <f>IF(B7="","",TEXT(B7,"0.0"))</f>
    </nc>
  </rcc>
  <rcc rId="8799" sId="1">
    <nc r="C8">
      <f>IF(B8="","",TEXT(B8,"0.0"))</f>
    </nc>
  </rcc>
  <rcc rId="8800" sId="1">
    <nc r="C9">
      <f>IF(B9="","",TEXT(B9,"0.0"))</f>
    </nc>
  </rcc>
  <rcc rId="8801" sId="1">
    <nc r="C10">
      <f>IF(B10="","",TEXT(B10,"0.0"))</f>
    </nc>
  </rcc>
  <rcc rId="8802" sId="1">
    <nc r="C11">
      <f>IF(B11="","",TEXT(B11,"0.0"))</f>
    </nc>
  </rcc>
  <rcc rId="8803" sId="1">
    <nc r="C12">
      <f>IF(B12="","",TEXT(B12,"0.0"))</f>
    </nc>
  </rcc>
  <rcc rId="8804" sId="1">
    <nc r="C13">
      <f>IF(B13="","",TEXT(B13,"0.0"))</f>
    </nc>
  </rcc>
  <rcc rId="8805" sId="1">
    <nc r="C14">
      <f>IF(B14="","",TEXT(B14,"0.0"))</f>
    </nc>
  </rcc>
  <rcc rId="8806" sId="1">
    <nc r="C15">
      <f>IF(B15="","",TEXT(B15,"0.0"))</f>
    </nc>
  </rcc>
  <rcc rId="8807" sId="1">
    <nc r="C16">
      <f>IF(B16="","",TEXT(B16,"0.0"))</f>
    </nc>
  </rcc>
  <rcc rId="8808" sId="1">
    <nc r="C17">
      <f>IF(B17="","",TEXT(B17,"0.0"))</f>
    </nc>
  </rcc>
  <rcc rId="8809" sId="1">
    <nc r="C18">
      <f>IF(B18="","",TEXT(B18,"0.0"))</f>
    </nc>
  </rcc>
  <rcc rId="8810" sId="1">
    <nc r="C19">
      <f>IF(B19="","",TEXT(B19,"0.0"))</f>
    </nc>
  </rcc>
  <rcc rId="8811" sId="1">
    <nc r="C20">
      <f>IF(B20="","",TEXT(B20,"0.0"))</f>
    </nc>
  </rcc>
  <rcc rId="8812" sId="1">
    <nc r="C21">
      <f>IF(B21="","",TEXT(B21,"0.0"))</f>
    </nc>
  </rcc>
  <rcc rId="8813" sId="1">
    <nc r="C22">
      <f>IF(B22="","",TEXT(B22,"0.0"))</f>
    </nc>
  </rcc>
  <rcc rId="8814" sId="1">
    <nc r="C23">
      <f>IF(B23="","",TEXT(B23,"0.0"))</f>
    </nc>
  </rcc>
  <rcc rId="8815" sId="1">
    <nc r="C24">
      <f>IF(B24="","",TEXT(B24,"0.0"))</f>
    </nc>
  </rcc>
  <rcc rId="8816" sId="1">
    <nc r="C25">
      <f>IF(B25="","",TEXT(B25,"0.0"))</f>
    </nc>
  </rcc>
  <rcc rId="8817" sId="1">
    <nc r="C26">
      <f>IF(B26="","",TEXT(B26,"0.0"))</f>
    </nc>
  </rcc>
  <rcc rId="8818" sId="1">
    <nc r="C27">
      <f>IF(B27="","",TEXT(B27,"0.0"))</f>
    </nc>
  </rcc>
  <rcc rId="8819" sId="1">
    <nc r="C28">
      <f>IF(B28="","",TEXT(B28,"0.0"))</f>
    </nc>
  </rcc>
  <rcc rId="8820" sId="1">
    <nc r="C29">
      <f>IF(B29="","",TEXT(B29,"0.0"))</f>
    </nc>
  </rcc>
  <rcc rId="8821" sId="1">
    <nc r="C30">
      <f>IF(B30="","",TEXT(B30,"0.0"))</f>
    </nc>
  </rcc>
  <rcc rId="8822" sId="1">
    <nc r="C31">
      <f>IF(B31="","",TEXT(B31,"0.0"))</f>
    </nc>
  </rcc>
  <rcc rId="8823" sId="1">
    <nc r="C32">
      <f>IF(B32="","",TEXT(B32,"0.0"))</f>
    </nc>
  </rcc>
  <rcc rId="8824" sId="1">
    <nc r="C33">
      <f>IF(B33="","",TEXT(B33,"0.0"))</f>
    </nc>
  </rcc>
  <rcc rId="8825" sId="1">
    <nc r="C34">
      <f>IF(B34="","",TEXT(B34,"0.0"))</f>
    </nc>
  </rcc>
  <rcc rId="8826" sId="1">
    <nc r="C35">
      <f>IF(B35="","",TEXT(B35,"0.0"))</f>
    </nc>
  </rcc>
  <rcc rId="8827" sId="1">
    <nc r="C36">
      <f>IF(B36="","",TEXT(B36,"0.0"))</f>
    </nc>
  </rcc>
  <rcc rId="8828" sId="1">
    <nc r="C37">
      <f>IF(B37="","",TEXT(B37,"0.0"))</f>
    </nc>
  </rcc>
  <rcc rId="8829" sId="1">
    <nc r="C38">
      <f>IF(B38="","",TEXT(B38,"0.0"))</f>
    </nc>
  </rcc>
  <rcc rId="8830" sId="1">
    <nc r="C39">
      <f>IF(B39="","",TEXT(B39,"0.0"))</f>
    </nc>
  </rcc>
  <rcc rId="8831" sId="1">
    <nc r="C40">
      <f>IF(B40="","",TEXT(B40,"0.0"))</f>
    </nc>
  </rcc>
  <rcc rId="8832" sId="1">
    <nc r="C41">
      <f>IF(B41="","",TEXT(B41,"0.0"))</f>
    </nc>
  </rcc>
  <rcc rId="8833" sId="1">
    <nc r="C42">
      <f>IF(B42="","",TEXT(B42,"0.0"))</f>
    </nc>
  </rcc>
  <rcc rId="8834" sId="1">
    <nc r="C43">
      <f>IF(B43="","",TEXT(B43,"0.0"))</f>
    </nc>
  </rcc>
  <rcc rId="8835" sId="1">
    <nc r="C44">
      <f>IF(B44="","",TEXT(B44,"0.0"))</f>
    </nc>
  </rcc>
  <rcc rId="8836" sId="1">
    <nc r="C45">
      <f>IF(B45="","",TEXT(B45,"0.0"))</f>
    </nc>
  </rcc>
  <rcc rId="8837" sId="1">
    <nc r="C46">
      <f>IF(B46="","",TEXT(B46,"0.0"))</f>
    </nc>
  </rcc>
  <rcc rId="8838" sId="1">
    <nc r="C47">
      <f>IF(B47="","",TEXT(B47,"0.0"))</f>
    </nc>
  </rcc>
  <rcc rId="8839" sId="1">
    <nc r="C48">
      <f>IF(B48="","",TEXT(B48,"0.0"))</f>
    </nc>
  </rcc>
  <rcc rId="8840" sId="1">
    <nc r="C49">
      <f>IF(B49="","",TEXT(B49,"0.0"))</f>
    </nc>
  </rcc>
  <rcc rId="8841" sId="1">
    <nc r="C50">
      <f>IF(B50="","",TEXT(B50,"0.0"))</f>
    </nc>
  </rcc>
  <rcc rId="8842" sId="1">
    <nc r="C51">
      <f>IF(B51="","",TEXT(B51,"0.0"))</f>
    </nc>
  </rcc>
  <rcc rId="8843" sId="1">
    <nc r="C52">
      <f>IF(B52="","",TEXT(B52,"0.0"))</f>
    </nc>
  </rcc>
  <rcc rId="8844" sId="1">
    <nc r="C53">
      <f>IF(B53="","",TEXT(B53,"0.0"))</f>
    </nc>
  </rcc>
  <rcc rId="8845" sId="1">
    <nc r="C54">
      <f>IF(B54="","",TEXT(B54,"0.0"))</f>
    </nc>
  </rcc>
  <rcc rId="8846" sId="1">
    <nc r="C55">
      <f>IF(B55="","",TEXT(B55,"0.0"))</f>
    </nc>
  </rcc>
  <rcc rId="8847" sId="1">
    <nc r="C56">
      <f>IF(B56="","",TEXT(B56,"0.0"))</f>
    </nc>
  </rcc>
  <rcc rId="8848" sId="1">
    <nc r="C57">
      <f>IF(B57="","",TEXT(B57,"0.0"))</f>
    </nc>
  </rcc>
  <rcc rId="8849" sId="1">
    <nc r="C58">
      <f>IF(B58="","",TEXT(B58,"0.0"))</f>
    </nc>
  </rcc>
  <rcc rId="8850" sId="1">
    <nc r="C59">
      <f>IF(B59="","",TEXT(B59,"0.0"))</f>
    </nc>
  </rcc>
  <rcc rId="8851" sId="1">
    <nc r="C60">
      <f>IF(B60="","",TEXT(B60,"0.0"))</f>
    </nc>
  </rcc>
  <rcc rId="8852" sId="1">
    <nc r="C61">
      <f>IF(B61="","",TEXT(B61,"0.0"))</f>
    </nc>
  </rcc>
  <rcc rId="8853" sId="1">
    <nc r="C62">
      <f>IF(B62="","",TEXT(B62,"0.0"))</f>
    </nc>
  </rcc>
  <rcc rId="8854" sId="1">
    <nc r="C63">
      <f>IF(B63="","",TEXT(B63,"0.0"))</f>
    </nc>
  </rcc>
  <rcc rId="8855" sId="1">
    <nc r="C64">
      <f>IF(B64="","",TEXT(B64,"0.0"))</f>
    </nc>
  </rcc>
  <rcc rId="8856" sId="1">
    <nc r="C65">
      <f>IF(B65="","",TEXT(B65,"0.0"))</f>
    </nc>
  </rcc>
  <rcc rId="8857" sId="1">
    <nc r="C66">
      <f>IF(B66="","",TEXT(B66,"0.0"))</f>
    </nc>
  </rcc>
  <rcc rId="8858" sId="1">
    <nc r="C67">
      <f>IF(B67="","",TEXT(B67,"0.0"))</f>
    </nc>
  </rcc>
  <rcc rId="8859" sId="1">
    <nc r="C68">
      <f>IF(B68="","",TEXT(B68,"0.0"))</f>
    </nc>
  </rcc>
  <rcc rId="8860" sId="1">
    <nc r="C69">
      <f>IF(B69="","",TEXT(B69,"0.0"))</f>
    </nc>
  </rcc>
  <rcc rId="8861" sId="1">
    <nc r="C70">
      <f>IF(B70="","",TEXT(B70,"0.0"))</f>
    </nc>
  </rcc>
  <rcc rId="8862" sId="1">
    <nc r="C71">
      <f>IF(B71="","",TEXT(B71,"0.0"))</f>
    </nc>
  </rcc>
  <rcc rId="8863" sId="1">
    <nc r="C72">
      <f>IF(B72="","",TEXT(B72,"0.0"))</f>
    </nc>
  </rcc>
  <rcc rId="8864" sId="1">
    <nc r="C73">
      <f>IF(B73="","",TEXT(B73,"0.0"))</f>
    </nc>
  </rcc>
  <rcc rId="8865" sId="1">
    <nc r="C74">
      <f>IF(B74="","",TEXT(B74,"0.0"))</f>
    </nc>
  </rcc>
  <rcc rId="8866" sId="1">
    <nc r="C75">
      <f>IF(B75="","",TEXT(B75,"0.0"))</f>
    </nc>
  </rcc>
  <rcc rId="8867" sId="1">
    <nc r="C76">
      <f>IF(B76="","",TEXT(B76,"0.0"))</f>
    </nc>
  </rcc>
  <rcc rId="8868" sId="1">
    <nc r="C77">
      <f>IF(B77="","",TEXT(B77,"0.0"))</f>
    </nc>
  </rcc>
  <rcc rId="8869" sId="1">
    <nc r="C78">
      <f>IF(B78="","",TEXT(B78,"0.0"))</f>
    </nc>
  </rcc>
  <rcc rId="8870" sId="1">
    <nc r="C79">
      <f>IF(B79="","",TEXT(B79,"0.0"))</f>
    </nc>
  </rcc>
  <rcc rId="8871" sId="1">
    <nc r="C80">
      <f>IF(B80="","",TEXT(B80,"0.0"))</f>
    </nc>
  </rcc>
  <rcc rId="8872" sId="1">
    <nc r="C81">
      <f>IF(B81="","",TEXT(B81,"0.0"))</f>
    </nc>
  </rcc>
  <rcc rId="8873" sId="1">
    <nc r="C82">
      <f>IF(B82="","",TEXT(B82,"0.0"))</f>
    </nc>
  </rcc>
  <rcc rId="8874" sId="1">
    <nc r="C83">
      <f>IF(B83="","",TEXT(B83,"0.0"))</f>
    </nc>
  </rcc>
  <rcc rId="8875" sId="1">
    <nc r="C84">
      <f>IF(B84="","",TEXT(B84,"0.0"))</f>
    </nc>
  </rcc>
  <rcc rId="8876" sId="1">
    <nc r="C85">
      <f>IF(B85="","",TEXT(B85,"0.0"))</f>
    </nc>
  </rcc>
  <rcc rId="8877" sId="1">
    <nc r="C86">
      <f>IF(B86="","",TEXT(B86,"0.0"))</f>
    </nc>
  </rcc>
  <rcc rId="8878" sId="1">
    <nc r="C87">
      <f>IF(B87="","",TEXT(B87,"0.0"))</f>
    </nc>
  </rcc>
  <rcc rId="8879" sId="1">
    <nc r="C88">
      <f>IF(B88="","",TEXT(B88,"0.0"))</f>
    </nc>
  </rcc>
  <rcc rId="8880" sId="1">
    <nc r="C89">
      <f>IF(B89="","",TEXT(B89,"0.0"))</f>
    </nc>
  </rcc>
  <rcc rId="8881" sId="1">
    <nc r="C90">
      <f>IF(B90="","",TEXT(B90,"0.0"))</f>
    </nc>
  </rcc>
  <rcc rId="8882" sId="1">
    <nc r="C91">
      <f>IF(B91="","",TEXT(B91,"0.0"))</f>
    </nc>
  </rcc>
  <rcc rId="8883" sId="1">
    <nc r="C92">
      <f>IF(B92="","",TEXT(B92,"0.0"))</f>
    </nc>
  </rcc>
  <rcc rId="8884" sId="1">
    <nc r="C93">
      <f>IF(B93="","",TEXT(B93,"0.0"))</f>
    </nc>
  </rcc>
  <rcc rId="8885" sId="1">
    <nc r="C94">
      <f>IF(B94="","",TEXT(B94,"0.0"))</f>
    </nc>
  </rcc>
  <rcc rId="8886" sId="1">
    <nc r="C95">
      <f>IF(B95="","",TEXT(B95,"0.0"))</f>
    </nc>
  </rcc>
  <rcc rId="8887" sId="1">
    <nc r="C96">
      <f>IF(B96="","",TEXT(B96,"0.0"))</f>
    </nc>
  </rcc>
  <rcc rId="8888" sId="1">
    <nc r="C97">
      <f>IF(B97="","",TEXT(B97,"0.0"))</f>
    </nc>
  </rcc>
  <rcc rId="8889" sId="1">
    <nc r="C98">
      <f>IF(B98="","",TEXT(B98,"0.0"))</f>
    </nc>
  </rcc>
  <rcc rId="8890" sId="1">
    <nc r="C99">
      <f>IF(B99="","",TEXT(B99,"0.0"))</f>
    </nc>
  </rcc>
  <rcc rId="8891" sId="1">
    <nc r="C100">
      <f>IF(B100="","",TEXT(B100,"0.0"))</f>
    </nc>
  </rcc>
  <rcc rId="8892" sId="1">
    <nc r="C101">
      <f>IF(B101="","",TEXT(B101,"0.0"))</f>
    </nc>
  </rcc>
  <rcc rId="8893" sId="1">
    <nc r="C102">
      <f>IF(B102="","",TEXT(B102,"0.0"))</f>
    </nc>
  </rcc>
  <rcc rId="8894" sId="1">
    <nc r="C103">
      <f>IF(B103="","",TEXT(B103,"0.0"))</f>
    </nc>
  </rcc>
  <rcc rId="8895" sId="1">
    <nc r="C104">
      <f>IF(B104="","",TEXT(B104,"0.0"))</f>
    </nc>
  </rcc>
  <rcc rId="8896" sId="1">
    <nc r="C105">
      <f>IF(B105="","",TEXT(B105,"0.0"))</f>
    </nc>
  </rcc>
  <rcc rId="8897" sId="1">
    <nc r="C106">
      <f>IF(B106="","",TEXT(B106,"0.0"))</f>
    </nc>
  </rcc>
  <rcc rId="8898" sId="1">
    <nc r="C107">
      <f>IF(B107="","",TEXT(B107,"0.0"))</f>
    </nc>
  </rcc>
  <rcc rId="8899" sId="1">
    <nc r="C108">
      <f>IF(B108="","",TEXT(B108,"0.0"))</f>
    </nc>
  </rcc>
  <rcc rId="8900" sId="1">
    <nc r="C109">
      <f>IF(B109="","",TEXT(B109,"0.0"))</f>
    </nc>
  </rcc>
  <rcc rId="8901" sId="1">
    <nc r="C110">
      <f>IF(B110="","",TEXT(B110,"0.0"))</f>
    </nc>
  </rcc>
  <rcc rId="8902" sId="1">
    <nc r="C111">
      <f>IF(B111="","",TEXT(B111,"0.0"))</f>
    </nc>
  </rcc>
  <rcc rId="8903" sId="1">
    <nc r="C112">
      <f>IF(B112="","",TEXT(B112,"0.0"))</f>
    </nc>
  </rcc>
  <rcc rId="8904" sId="1">
    <nc r="C113">
      <f>IF(B113="","",TEXT(B113,"0.0"))</f>
    </nc>
  </rcc>
  <rcc rId="8905" sId="1">
    <nc r="C114">
      <f>IF(B114="","",TEXT(B114,"0.0"))</f>
    </nc>
  </rcc>
  <rcc rId="8906" sId="1">
    <nc r="C115">
      <f>IF(B115="","",TEXT(B115,"0.0"))</f>
    </nc>
  </rcc>
  <rcc rId="8907" sId="1">
    <nc r="C116">
      <f>IF(B116="","",TEXT(B116,"0.0"))</f>
    </nc>
  </rcc>
  <rcc rId="8908" sId="1">
    <nc r="C117">
      <f>IF(B117="","",TEXT(B117,"0.0"))</f>
    </nc>
  </rcc>
  <rcc rId="8909" sId="1">
    <nc r="C118">
      <f>IF(B118="","",TEXT(B118,"0.0"))</f>
    </nc>
  </rcc>
  <rcc rId="8910" sId="1">
    <nc r="C119">
      <f>IF(B119="","",TEXT(B119,"0.0"))</f>
    </nc>
  </rcc>
  <rcc rId="8911" sId="1">
    <nc r="C120">
      <f>IF(B120="","",TEXT(B120,"0.0"))</f>
    </nc>
  </rcc>
  <rcc rId="8912" sId="1">
    <nc r="C121">
      <f>IF(B121="","",TEXT(B121,"0.0"))</f>
    </nc>
  </rcc>
  <rcc rId="8913" sId="1">
    <nc r="C122">
      <f>IF(B122="","",TEXT(B122,"0.0"))</f>
    </nc>
  </rcc>
  <rcc rId="8914" sId="1">
    <nc r="C123">
      <f>IF(B123="","",TEXT(B123,"0.0"))</f>
    </nc>
  </rcc>
  <rcc rId="8915" sId="1">
    <nc r="C124">
      <f>IF(B124="","",TEXT(B124,"0.0"))</f>
    </nc>
  </rcc>
  <rcc rId="8916" sId="1">
    <nc r="C125">
      <f>IF(B125="","",TEXT(B125,"0.0"))</f>
    </nc>
  </rcc>
  <rcc rId="8917" sId="1">
    <nc r="C126">
      <f>IF(B126="","",TEXT(B126,"0.0"))</f>
    </nc>
  </rcc>
  <rcc rId="8918" sId="1">
    <nc r="C127">
      <f>IF(B127="","",TEXT(B127,"0.0"))</f>
    </nc>
  </rcc>
  <rcc rId="8919" sId="1">
    <nc r="C128">
      <f>IF(B128="","",TEXT(B128,"0.0"))</f>
    </nc>
  </rcc>
  <rcc rId="8920" sId="1">
    <nc r="C129">
      <f>IF(B129="","",TEXT(B129,"0.0"))</f>
    </nc>
  </rcc>
  <rcc rId="8921" sId="1">
    <nc r="C130">
      <f>IF(B130="","",TEXT(B130,"0.0"))</f>
    </nc>
  </rcc>
  <rcc rId="8922" sId="1">
    <nc r="C131">
      <f>IF(B131="","",TEXT(B131,"0.0"))</f>
    </nc>
  </rcc>
  <rcc rId="8923" sId="1">
    <nc r="C132">
      <f>IF(B132="","",TEXT(B132,"0.0"))</f>
    </nc>
  </rcc>
  <rcc rId="8924" sId="1">
    <nc r="C133">
      <f>IF(B133="","",TEXT(B133,"0.0"))</f>
    </nc>
  </rcc>
  <rcc rId="8925" sId="1">
    <nc r="C134">
      <f>IF(B134="","",TEXT(B134,"0.0"))</f>
    </nc>
  </rcc>
  <rcc rId="8926" sId="1">
    <nc r="C135">
      <f>IF(B135="","",TEXT(B135,"0.0"))</f>
    </nc>
  </rcc>
  <rcc rId="8927" sId="1">
    <nc r="C136">
      <f>IF(B136="","",TEXT(B136,"0.0"))</f>
    </nc>
  </rcc>
  <rcc rId="8928" sId="1">
    <nc r="C137">
      <f>IF(B137="","",TEXT(B137,"0.0"))</f>
    </nc>
  </rcc>
  <rcc rId="8929" sId="1">
    <nc r="C138">
      <f>IF(B138="","",TEXT(B138,"0.0"))</f>
    </nc>
  </rcc>
  <rcc rId="8930" sId="1">
    <nc r="C139">
      <f>IF(B139="","",TEXT(B139,"0.0"))</f>
    </nc>
  </rcc>
  <rcc rId="8931" sId="1">
    <nc r="C140">
      <f>IF(B140="","",TEXT(B140,"0.0"))</f>
    </nc>
  </rcc>
  <rcc rId="8932" sId="1">
    <nc r="C141">
      <f>IF(B141="","",TEXT(B141,"0.0"))</f>
    </nc>
  </rcc>
  <rcc rId="8933" sId="1">
    <nc r="C142">
      <f>IF(B142="","",TEXT(B142,"0.0"))</f>
    </nc>
  </rcc>
  <rcc rId="8934" sId="1">
    <nc r="C143">
      <f>IF(B143="","",TEXT(B143,"0.0"))</f>
    </nc>
  </rcc>
  <rcc rId="8935" sId="1">
    <nc r="C144">
      <f>IF(B144="","",TEXT(B144,"0.0"))</f>
    </nc>
  </rcc>
  <rcc rId="8936" sId="1">
    <nc r="C145">
      <f>IF(B145="","",TEXT(B145,"0.0"))</f>
    </nc>
  </rcc>
  <rcc rId="8937" sId="1">
    <nc r="C146">
      <f>IF(B146="","",TEXT(B146,"0.0"))</f>
    </nc>
  </rcc>
  <rcc rId="8938" sId="1">
    <nc r="C147">
      <f>IF(B147="","",TEXT(B147,"0.0"))</f>
    </nc>
  </rcc>
  <rcc rId="8939" sId="1">
    <nc r="C148">
      <f>IF(B148="","",TEXT(B148,"0.0"))</f>
    </nc>
  </rcc>
  <rcc rId="8940" sId="1">
    <nc r="C149">
      <f>IF(B149="","",TEXT(B149,"0.0"))</f>
    </nc>
  </rcc>
  <rcc rId="8941" sId="1">
    <nc r="C150">
      <f>IF(B150="","",TEXT(B150,"0.0"))</f>
    </nc>
  </rcc>
  <rcc rId="8942" sId="1">
    <nc r="C151">
      <f>IF(B151="","",TEXT(B151,"0.0"))</f>
    </nc>
  </rcc>
  <rcc rId="8943" sId="1">
    <nc r="C152">
      <f>IF(B152="","",TEXT(B152,"0.0"))</f>
    </nc>
  </rcc>
  <rcc rId="8944" sId="1">
    <nc r="C153">
      <f>IF(B153="","",TEXT(B153,"0.0"))</f>
    </nc>
  </rcc>
  <rcc rId="8945" sId="1">
    <nc r="C154">
      <f>IF(B154="","",TEXT(B154,"0.0"))</f>
    </nc>
  </rcc>
  <rcc rId="8946" sId="1">
    <nc r="C155">
      <f>IF(B155="","",TEXT(B155,"0.0"))</f>
    </nc>
  </rcc>
  <rcc rId="8947" sId="1">
    <nc r="C156">
      <f>IF(B156="","",TEXT(B156,"0.0"))</f>
    </nc>
  </rcc>
  <rcc rId="8948" sId="1">
    <nc r="C157">
      <f>IF(B157="","",TEXT(B157,"0.0"))</f>
    </nc>
  </rcc>
  <rcc rId="8949" sId="1">
    <nc r="C158">
      <f>IF(B158="","",TEXT(B158,"0.0"))</f>
    </nc>
  </rcc>
  <rcc rId="8950" sId="1">
    <nc r="C159">
      <f>IF(B159="","",TEXT(B159,"0.0"))</f>
    </nc>
  </rcc>
  <rcc rId="8951" sId="1">
    <nc r="C160">
      <f>IF(B160="","",TEXT(B160,"0.0"))</f>
    </nc>
  </rcc>
  <rcc rId="8952" sId="1">
    <nc r="C161">
      <f>IF(B161="","",TEXT(B161,"0.0"))</f>
    </nc>
  </rcc>
  <rcc rId="8953" sId="1">
    <nc r="C162">
      <f>IF(B162="","",TEXT(B162,"0.0"))</f>
    </nc>
  </rcc>
  <rcc rId="8954" sId="1">
    <nc r="C163">
      <f>IF(B163="","",TEXT(B163,"0.0"))</f>
    </nc>
  </rcc>
  <rcc rId="8955" sId="1">
    <nc r="C164">
      <f>IF(B164="","",TEXT(B164,"0.0"))</f>
    </nc>
  </rcc>
  <rcc rId="8956" sId="1">
    <nc r="C165">
      <f>IF(B165="","",TEXT(B165,"0.0"))</f>
    </nc>
  </rcc>
  <rcc rId="8957" sId="1">
    <nc r="C166">
      <f>IF(B166="","",TEXT(B166,"0.0"))</f>
    </nc>
  </rcc>
  <rcc rId="8958" sId="1">
    <nc r="C167">
      <f>IF(B167="","",TEXT(B167,"0.0"))</f>
    </nc>
  </rcc>
  <rcc rId="8959" sId="1">
    <nc r="C168">
      <f>IF(B168="","",TEXT(B168,"0.0"))</f>
    </nc>
  </rcc>
  <rcc rId="8960" sId="1">
    <nc r="C169">
      <f>IF(B169="","",TEXT(B169,"0.0"))</f>
    </nc>
  </rcc>
  <rcc rId="8961" sId="1">
    <nc r="C170">
      <f>IF(B170="","",TEXT(B170,"0.0"))</f>
    </nc>
  </rcc>
  <rcc rId="8962" sId="1">
    <nc r="C171">
      <f>IF(B171="","",TEXT(B171,"0.0"))</f>
    </nc>
  </rcc>
  <rcc rId="8963" sId="1">
    <nc r="C172">
      <f>IF(B172="","",TEXT(B172,"0.0"))</f>
    </nc>
  </rcc>
  <rcc rId="8964" sId="1">
    <nc r="C173">
      <f>IF(B173="","",TEXT(B173,"0.0"))</f>
    </nc>
  </rcc>
  <rcc rId="8965" sId="1">
    <nc r="C174">
      <f>IF(B174="","",TEXT(B174,"0.0"))</f>
    </nc>
  </rcc>
  <rcc rId="8966" sId="1">
    <nc r="C175">
      <f>IF(B175="","",TEXT(B175,"0.0"))</f>
    </nc>
  </rcc>
  <rcc rId="8967" sId="1">
    <nc r="C176">
      <f>IF(B176="","",TEXT(B176,"0.0"))</f>
    </nc>
  </rcc>
  <rcc rId="8968" sId="1">
    <nc r="C177">
      <f>IF(B177="","",TEXT(B177,"0.0"))</f>
    </nc>
  </rcc>
  <rcc rId="8969" sId="1">
    <nc r="C178">
      <f>IF(B178="","",TEXT(B178,"0.0"))</f>
    </nc>
  </rcc>
  <rcc rId="8970" sId="1">
    <nc r="C179">
      <f>IF(B179="","",TEXT(B179,"0.0"))</f>
    </nc>
  </rcc>
  <rcc rId="8971" sId="1">
    <nc r="C180">
      <f>IF(B180="","",TEXT(B180,"0.0"))</f>
    </nc>
  </rcc>
  <rcc rId="8972" sId="1">
    <nc r="C181">
      <f>IF(B181="","",TEXT(B181,"0.0"))</f>
    </nc>
  </rcc>
  <rcc rId="8973" sId="1">
    <nc r="C182">
      <f>IF(B182="","",TEXT(B182,"0.0"))</f>
    </nc>
  </rcc>
  <rcc rId="8974" sId="1">
    <nc r="C183">
      <f>IF(B183="","",TEXT(B183,"0.0"))</f>
    </nc>
  </rcc>
  <rcc rId="8975" sId="1">
    <nc r="C184">
      <f>IF(B184="","",TEXT(B184,"0.0"))</f>
    </nc>
  </rcc>
  <rcc rId="8976" sId="1">
    <nc r="C185">
      <f>IF(B185="","",TEXT(B185,"0.0"))</f>
    </nc>
  </rcc>
  <rcc rId="8977" sId="1">
    <nc r="C186">
      <f>IF(B186="","",TEXT(B186,"0.0"))</f>
    </nc>
  </rcc>
  <rcc rId="8978" sId="1">
    <nc r="C187">
      <f>IF(B187="","",TEXT(B187,"0.0"))</f>
    </nc>
  </rcc>
  <rcc rId="8979" sId="1">
    <nc r="C188">
      <f>IF(B188="","",TEXT(B188,"0.0"))</f>
    </nc>
  </rcc>
  <rcc rId="8980" sId="1">
    <nc r="C189">
      <f>IF(B189="","",TEXT(B189,"0.0"))</f>
    </nc>
  </rcc>
  <rcc rId="8981" sId="1">
    <nc r="C190">
      <f>IF(B190="","",TEXT(B190,"0.0"))</f>
    </nc>
  </rcc>
  <rcc rId="8982" sId="1">
    <nc r="C191">
      <f>IF(B191="","",TEXT(B191,"0.0"))</f>
    </nc>
  </rcc>
  <rcc rId="8983" sId="1">
    <nc r="C192">
      <f>IF(B192="","",TEXT(B192,"0.0"))</f>
    </nc>
  </rcc>
  <rcc rId="8984" sId="1">
    <nc r="C193">
      <f>IF(B193="","",TEXT(B193,"0.0"))</f>
    </nc>
  </rcc>
  <rcc rId="8985" sId="1">
    <nc r="C194">
      <f>IF(B194="","",TEXT(B194,"0.0"))</f>
    </nc>
  </rcc>
  <rcc rId="8986" sId="1">
    <nc r="C195">
      <f>IF(B195="","",TEXT(B195,"0.0"))</f>
    </nc>
  </rcc>
  <rcc rId="8987" sId="1">
    <nc r="C196">
      <f>IF(B196="","",TEXT(B196,"0.0"))</f>
    </nc>
  </rcc>
  <rcc rId="8988" sId="1">
    <nc r="C197">
      <f>IF(B197="","",TEXT(B197,"0.0"))</f>
    </nc>
  </rcc>
  <rcc rId="8989" sId="1">
    <nc r="C198">
      <f>IF(B198="","",TEXT(B198,"0.0"))</f>
    </nc>
  </rcc>
  <rcc rId="8990" sId="1">
    <nc r="C199">
      <f>IF(B199="","",TEXT(B199,"0.0"))</f>
    </nc>
  </rcc>
  <rcc rId="8991" sId="1">
    <nc r="C200">
      <f>IF(B200="","",TEXT(B200,"0.0"))</f>
    </nc>
  </rcc>
  <rcc rId="8992" sId="1">
    <nc r="C201">
      <f>IF(B201="","",TEXT(B201,"0.0"))</f>
    </nc>
  </rcc>
  <rcc rId="8993" sId="1">
    <nc r="C202">
      <f>IF(B202="","",TEXT(B202,"0.0"))</f>
    </nc>
  </rcc>
  <rcc rId="8994" sId="1">
    <nc r="C203">
      <f>IF(B203="","",TEXT(B203,"0.0"))</f>
    </nc>
  </rcc>
  <rcc rId="8995" sId="1" odxf="1" dxf="1">
    <nc r="C204">
      <f>IF(B204="","",TEXT(B204,"0.0"))</f>
    </nc>
    <odxf>
      <alignment horizontal="general" vertical="bottom"/>
    </odxf>
    <ndxf>
      <alignment horizontal="left" vertical="top"/>
    </ndxf>
  </rcc>
  <rcc rId="8996" sId="1">
    <nc r="C205">
      <f>IF(B205="","",TEXT(B205,"0.0"))</f>
    </nc>
  </rcc>
  <rcc rId="8997" sId="1">
    <nc r="C206">
      <f>IF(B206="","",TEXT(B206,"0.0"))</f>
    </nc>
  </rcc>
  <rcc rId="8998" sId="1">
    <nc r="C207">
      <f>IF(B207="","",TEXT(B207,"0.0"))</f>
    </nc>
  </rcc>
  <rcc rId="8999" sId="1">
    <nc r="C208">
      <f>IF(B208="","",TEXT(B208,"0.0"))</f>
    </nc>
  </rcc>
  <rcc rId="9000" sId="1">
    <nc r="C209">
      <f>IF(B209="","",TEXT(B209,"0.0"))</f>
    </nc>
  </rcc>
  <rcc rId="9001" sId="1">
    <nc r="C210">
      <f>IF(B210="","",TEXT(B210,"0.0"))</f>
    </nc>
  </rcc>
  <rcc rId="9002" sId="1">
    <nc r="C211">
      <f>IF(B211="","",TEXT(B211,"0.0"))</f>
    </nc>
  </rcc>
  <rcc rId="9003" sId="1">
    <nc r="C212">
      <f>IF(B212="","",TEXT(B212,"0.0"))</f>
    </nc>
  </rcc>
  <rcc rId="9004" sId="1">
    <nc r="C213">
      <f>IF(B213="","",TEXT(B213,"0.0"))</f>
    </nc>
  </rcc>
  <rcc rId="9005" sId="1">
    <nc r="C214">
      <f>IF(B214="","",TEXT(B214,"0.0"))</f>
    </nc>
  </rcc>
  <rcc rId="9006" sId="1">
    <nc r="C215">
      <f>IF(B215="","",TEXT(B215,"0.0"))</f>
    </nc>
  </rcc>
  <rcc rId="9007" sId="1">
    <nc r="C216">
      <f>IF(B216="","",TEXT(B216,"0.0"))</f>
    </nc>
  </rcc>
  <rcc rId="9008" sId="1">
    <nc r="C217">
      <f>IF(B217="","",TEXT(B217,"0.0"))</f>
    </nc>
  </rcc>
  <rcc rId="9009" sId="1">
    <nc r="C218">
      <f>IF(B218="","",TEXT(B218,"0.0"))</f>
    </nc>
  </rcc>
  <rcc rId="9010" sId="1">
    <nc r="C219">
      <f>IF(B219="","",TEXT(B219,"0.0"))</f>
    </nc>
  </rcc>
  <rcc rId="9011" sId="1">
    <nc r="C220">
      <f>IF(B220="","",TEXT(B220,"0.0"))</f>
    </nc>
  </rcc>
  <rcc rId="9012" sId="1">
    <nc r="C221">
      <f>IF(B221="","",TEXT(B221,"0.0"))</f>
    </nc>
  </rcc>
  <rcc rId="9013" sId="1">
    <nc r="C222">
      <f>IF(B222="","",TEXT(B222,"0.0"))</f>
    </nc>
  </rcc>
  <rcc rId="9014" sId="1">
    <nc r="C223">
      <f>IF(B223="","",TEXT(B223,"0.0"))</f>
    </nc>
  </rcc>
  <rcc rId="9015" sId="1">
    <nc r="C224">
      <f>IF(B224="","",TEXT(B224,"0.0"))</f>
    </nc>
  </rcc>
  <rcc rId="9016" sId="1">
    <nc r="C225">
      <f>IF(B225="","",TEXT(B225,"0.0"))</f>
    </nc>
  </rcc>
  <rcc rId="9017" sId="1">
    <nc r="C226">
      <f>IF(B226="","",TEXT(B226,"0.0"))</f>
    </nc>
  </rcc>
  <rcc rId="9018" sId="1">
    <nc r="C227">
      <f>IF(B227="","",TEXT(B227,"0.0"))</f>
    </nc>
  </rcc>
  <rcc rId="9019" sId="1">
    <nc r="C228">
      <f>IF(B228="","",TEXT(B228,"0.0"))</f>
    </nc>
  </rcc>
  <rcc rId="9020" sId="1">
    <nc r="C229">
      <f>IF(B229="","",TEXT(B229,"0.0"))</f>
    </nc>
  </rcc>
  <rcc rId="9021" sId="1">
    <nc r="C230">
      <f>IF(B230="","",TEXT(B230,"0.0"))</f>
    </nc>
  </rcc>
  <rcc rId="9022" sId="1">
    <nc r="C231">
      <f>IF(B231="","",TEXT(B231,"0.0"))</f>
    </nc>
  </rcc>
  <rcc rId="9023" sId="1">
    <nc r="C232">
      <f>IF(B232="","",TEXT(B232,"0.0"))</f>
    </nc>
  </rcc>
  <rcc rId="9024" sId="1">
    <nc r="C233">
      <f>IF(B233="","",TEXT(B233,"0.0"))</f>
    </nc>
  </rcc>
  <rcc rId="9025" sId="1">
    <nc r="C234">
      <f>IF(B234="","",TEXT(B234,"0.0"))</f>
    </nc>
  </rcc>
  <rcc rId="9026" sId="1">
    <nc r="C235">
      <f>IF(B235="","",TEXT(B235,"0.0"))</f>
    </nc>
  </rcc>
  <rcc rId="9027" sId="1">
    <nc r="C236">
      <f>IF(B236="","",TEXT(B236,"0.0"))</f>
    </nc>
  </rcc>
  <rcc rId="9028" sId="1">
    <nc r="C237">
      <f>IF(B237="","",TEXT(B237,"0.0"))</f>
    </nc>
  </rcc>
  <rcc rId="9029" sId="1">
    <nc r="C238">
      <f>IF(B238="","",TEXT(B238,"0.0"))</f>
    </nc>
  </rcc>
  <rcc rId="9030" sId="1">
    <nc r="C239">
      <f>IF(B239="","",TEXT(B239,"0.0"))</f>
    </nc>
  </rcc>
  <rcc rId="9031" sId="1">
    <nc r="C240">
      <f>IF(B240="","",TEXT(B240,"0.0"))</f>
    </nc>
  </rcc>
  <rcc rId="9032" sId="1">
    <nc r="C241">
      <f>IF(B241="","",TEXT(B241,"0.0"))</f>
    </nc>
  </rcc>
  <rcc rId="9033" sId="1">
    <nc r="C242">
      <f>IF(B242="","",TEXT(B242,"0.0"))</f>
    </nc>
  </rcc>
  <rcc rId="9034" sId="1">
    <nc r="C243">
      <f>IF(B243="","",TEXT(B243,"0.0"))</f>
    </nc>
  </rcc>
  <rcc rId="9035" sId="1">
    <nc r="C244">
      <f>IF(B244="","",TEXT(B244,"0.0"))</f>
    </nc>
  </rcc>
  <rcc rId="9036" sId="1">
    <nc r="C245">
      <f>IF(B245="","",TEXT(B245,"0.0"))</f>
    </nc>
  </rcc>
  <rcc rId="9037" sId="1">
    <nc r="C246">
      <f>IF(B246="","",TEXT(B246,"0.0"))</f>
    </nc>
  </rcc>
  <rcc rId="9038" sId="1">
    <nc r="C247">
      <f>IF(B247="","",TEXT(B247,"0.0"))</f>
    </nc>
  </rcc>
  <rcc rId="9039" sId="1">
    <nc r="C248">
      <f>IF(B248="","",TEXT(B248,"0.0"))</f>
    </nc>
  </rcc>
  <rcc rId="9040" sId="1">
    <nc r="C249">
      <f>IF(B249="","",TEXT(B249,"0.0"))</f>
    </nc>
  </rcc>
  <rcc rId="9041" sId="1">
    <nc r="C250">
      <f>IF(B250="","",TEXT(B250,"0.0"))</f>
    </nc>
  </rcc>
  <rcc rId="9042" sId="1">
    <nc r="C251">
      <f>IF(B251="","",TEXT(B251,"0.0"))</f>
    </nc>
  </rcc>
  <rcc rId="9043" sId="1">
    <nc r="C252">
      <f>IF(B252="","",TEXT(B252,"0.0"))</f>
    </nc>
  </rcc>
  <rcc rId="9044" sId="1">
    <nc r="C253">
      <f>IF(B253="","",TEXT(B253,"0.0"))</f>
    </nc>
  </rcc>
  <rcc rId="9045" sId="1">
    <nc r="C254">
      <f>IF(B254="","",TEXT(B254,"0.0"))</f>
    </nc>
  </rcc>
  <rcc rId="9046" sId="1">
    <nc r="C255">
      <f>IF(B255="","",TEXT(B255,"0.0"))</f>
    </nc>
  </rcc>
  <rcc rId="9047" sId="1">
    <nc r="C256">
      <f>IF(B256="","",TEXT(B256,"0.0"))</f>
    </nc>
  </rcc>
  <rcc rId="9048" sId="1">
    <nc r="C257">
      <f>IF(B257="","",TEXT(B257,"0.0"))</f>
    </nc>
  </rcc>
  <rcc rId="9049" sId="1">
    <nc r="C258">
      <f>IF(B258="","",TEXT(B258,"0.0"))</f>
    </nc>
  </rcc>
  <rcc rId="9050" sId="1">
    <nc r="C259">
      <f>IF(B259="","",TEXT(B259,"0.0"))</f>
    </nc>
  </rcc>
  <rcc rId="9051" sId="1">
    <nc r="C260">
      <f>IF(B260="","",TEXT(B260,"0.0"))</f>
    </nc>
  </rcc>
  <rcc rId="9052" sId="1">
    <nc r="C261">
      <f>IF(B261="","",TEXT(B261,"0.0"))</f>
    </nc>
  </rcc>
  <rcc rId="9053" sId="1">
    <nc r="C262">
      <f>IF(B262="","",TEXT(B262,"0.0"))</f>
    </nc>
  </rcc>
  <rcc rId="9054" sId="1">
    <nc r="C263">
      <f>IF(B263="","",TEXT(B263,"0.0"))</f>
    </nc>
  </rcc>
  <rcc rId="9055" sId="1">
    <nc r="C264">
      <f>IF(B264="","",TEXT(B264,"0.0"))</f>
    </nc>
  </rcc>
  <rcc rId="9056" sId="1">
    <nc r="C265">
      <f>IF(B265="","",TEXT(B265,"0.0"))</f>
    </nc>
  </rcc>
  <rcc rId="9057" sId="1">
    <nc r="C266">
      <f>IF(B266="","",TEXT(B266,"0.0"))</f>
    </nc>
  </rcc>
  <rcc rId="9058" sId="1">
    <nc r="C267">
      <f>IF(B267="","",TEXT(B267,"0.0"))</f>
    </nc>
  </rcc>
  <rcc rId="9059" sId="1">
    <nc r="C268">
      <f>IF(B268="","",TEXT(B268,"0.0"))</f>
    </nc>
  </rcc>
  <rcc rId="9060" sId="1">
    <nc r="C269">
      <f>IF(B269="","",TEXT(B269,"0.0"))</f>
    </nc>
  </rcc>
  <rcc rId="9061" sId="1">
    <nc r="C270">
      <f>IF(B270="","",TEXT(B270,"0.0"))</f>
    </nc>
  </rcc>
  <rcc rId="9062" sId="1">
    <nc r="C271">
      <f>IF(B271="","",TEXT(B271,"0.0"))</f>
    </nc>
  </rcc>
  <rcc rId="9063" sId="1">
    <nc r="C272">
      <f>IF(B272="","",TEXT(B272,"0.0"))</f>
    </nc>
  </rcc>
  <rcc rId="9064" sId="1">
    <nc r="C273">
      <f>IF(B273="","",TEXT(B273,"0.0"))</f>
    </nc>
  </rcc>
  <rcc rId="9065" sId="1">
    <nc r="C274">
      <f>IF(B274="","",TEXT(B274,"0.0"))</f>
    </nc>
  </rcc>
  <rcc rId="9066" sId="1">
    <nc r="C275">
      <f>IF(B275="","",TEXT(B275,"0.0"))</f>
    </nc>
  </rcc>
  <rcc rId="9067" sId="1">
    <nc r="C276">
      <f>IF(B276="","",TEXT(B276,"0.0"))</f>
    </nc>
  </rcc>
  <rcc rId="9068" sId="1">
    <nc r="C277">
      <f>IF(B277="","",TEXT(B277,"0.0"))</f>
    </nc>
  </rcc>
  <rcc rId="9069" sId="1">
    <nc r="C278">
      <f>IF(B278="","",TEXT(B278,"0.0"))</f>
    </nc>
  </rcc>
  <rcc rId="9070" sId="1">
    <nc r="C279">
      <f>IF(B279="","",TEXT(B279,"0.0"))</f>
    </nc>
  </rcc>
  <rcc rId="9071" sId="1">
    <nc r="C280">
      <f>IF(B280="","",TEXT(B280,"0.0"))</f>
    </nc>
  </rcc>
  <rcc rId="9072" sId="1">
    <nc r="C281">
      <f>IF(B281="","",TEXT(B281,"0.0"))</f>
    </nc>
  </rcc>
  <rcc rId="9073" sId="1">
    <nc r="C282">
      <f>IF(B282="","",TEXT(B282,"0.0"))</f>
    </nc>
  </rcc>
  <rcc rId="9074" sId="1">
    <nc r="C283">
      <f>IF(B283="","",TEXT(B283,"0.0"))</f>
    </nc>
  </rcc>
  <rcc rId="9075" sId="1">
    <nc r="C284">
      <f>IF(B284="","",TEXT(B284,"0.0"))</f>
    </nc>
  </rcc>
  <rcc rId="9076" sId="1">
    <nc r="C285">
      <f>IF(B285="","",TEXT(B285,"0.0"))</f>
    </nc>
  </rcc>
  <rcc rId="9077" sId="1">
    <nc r="C286">
      <f>IF(B286="","",TEXT(B286,"0.0"))</f>
    </nc>
  </rcc>
  <rcc rId="9078" sId="1">
    <nc r="C287">
      <f>IF(B287="","",TEXT(B287,"0.0"))</f>
    </nc>
  </rcc>
  <rcc rId="9079" sId="1">
    <nc r="C288">
      <f>IF(B288="","",TEXT(B288,"0.0"))</f>
    </nc>
  </rcc>
  <rcc rId="9080" sId="1">
    <nc r="C289">
      <f>IF(B289="","",TEXT(B289,"0.0"))</f>
    </nc>
  </rcc>
  <rcc rId="9081" sId="1">
    <nc r="C290">
      <f>IF(B290="","",TEXT(B290,"0.0"))</f>
    </nc>
  </rcc>
  <rcc rId="9082" sId="1">
    <nc r="C291">
      <f>IF(B291="","",TEXT(B291,"0.0"))</f>
    </nc>
  </rcc>
  <rcc rId="9083" sId="1">
    <nc r="C292">
      <f>IF(B292="","",TEXT(B292,"0.0"))</f>
    </nc>
  </rcc>
  <rcc rId="9084" sId="1">
    <nc r="C293">
      <f>IF(B293="","",TEXT(B293,"0.0"))</f>
    </nc>
  </rcc>
  <rcc rId="9085" sId="1">
    <nc r="C294">
      <f>IF(B294="","",TEXT(B294,"0.0"))</f>
    </nc>
  </rcc>
  <rcc rId="9086" sId="1">
    <nc r="C295">
      <f>IF(B295="","",TEXT(B295,"0.0"))</f>
    </nc>
  </rcc>
  <rcc rId="9087" sId="1">
    <nc r="C296">
      <f>IF(B296="","",TEXT(B296,"0.0"))</f>
    </nc>
  </rcc>
  <rcc rId="9088" sId="1">
    <nc r="C297">
      <f>IF(B297="","",TEXT(B297,"0.0"))</f>
    </nc>
  </rcc>
  <rcc rId="9089" sId="1">
    <nc r="C298">
      <f>IF(B298="","",TEXT(B298,"0.0"))</f>
    </nc>
  </rcc>
  <rcc rId="9090" sId="1">
    <nc r="C299">
      <f>IF(B299="","",TEXT(B299,"0.0"))</f>
    </nc>
  </rcc>
  <rcc rId="9091" sId="1">
    <nc r="C300">
      <f>IF(B300="","",TEXT(B300,"0.0"))</f>
    </nc>
  </rcc>
  <rcc rId="9092" sId="1">
    <nc r="C301">
      <f>IF(B301="","",TEXT(B301,"0.0"))</f>
    </nc>
  </rcc>
  <rcc rId="9093" sId="1">
    <nc r="C302">
      <f>IF(B302="","",TEXT(B302,"0.0"))</f>
    </nc>
  </rcc>
  <rcc rId="9094" sId="1">
    <nc r="C303">
      <f>IF(B303="","",TEXT(B303,"0.0"))</f>
    </nc>
  </rcc>
  <rcc rId="9095" sId="1">
    <nc r="C304">
      <f>IF(B304="","",TEXT(B304,"0.0"))</f>
    </nc>
  </rcc>
  <rcc rId="9096" sId="1">
    <nc r="C305">
      <f>IF(B305="","",TEXT(B305,"0.0"))</f>
    </nc>
  </rcc>
  <rcc rId="9097" sId="1">
    <nc r="C306">
      <f>IF(B306="","",TEXT(B306,"0.0"))</f>
    </nc>
  </rcc>
  <rcc rId="9098" sId="1">
    <nc r="C307">
      <f>IF(B307="","",TEXT(B307,"0.0"))</f>
    </nc>
  </rcc>
  <rcc rId="9099" sId="1">
    <nc r="C308">
      <f>IF(B308="","",TEXT(B308,"0.0"))</f>
    </nc>
  </rcc>
  <rcc rId="9100" sId="1">
    <nc r="C309">
      <f>IF(B309="","",TEXT(B309,"0.0"))</f>
    </nc>
  </rcc>
  <rcc rId="9101" sId="1">
    <nc r="C310">
      <f>IF(B310="","",TEXT(B310,"0.0"))</f>
    </nc>
  </rcc>
  <rcc rId="9102" sId="1">
    <nc r="C311">
      <f>IF(B311="","",TEXT(B311,"0.0"))</f>
    </nc>
  </rcc>
  <rcc rId="9103" sId="1">
    <nc r="C312">
      <f>IF(B312="","",TEXT(B312,"0.0"))</f>
    </nc>
  </rcc>
  <rcc rId="9104" sId="1">
    <nc r="C313">
      <f>IF(B313="","",TEXT(B313,"0.0"))</f>
    </nc>
  </rcc>
  <rcc rId="9105" sId="1">
    <nc r="C314">
      <f>IF(B314="","",TEXT(B314,"0.0"))</f>
    </nc>
  </rcc>
  <rcc rId="9106" sId="1">
    <nc r="C315">
      <f>IF(B315="","",TEXT(B315,"0.0"))</f>
    </nc>
  </rcc>
  <rcc rId="9107" sId="1">
    <nc r="C316">
      <f>IF(B316="","",TEXT(B316,"0.0"))</f>
    </nc>
  </rcc>
  <rcc rId="9108" sId="1">
    <nc r="C317">
      <f>IF(B317="","",TEXT(B317,"0.0"))</f>
    </nc>
  </rcc>
  <rcc rId="9109" sId="1">
    <nc r="C318">
      <f>IF(B318="","",TEXT(B318,"0.0"))</f>
    </nc>
  </rcc>
  <rcc rId="9110" sId="1">
    <nc r="C319">
      <f>IF(B319="","",TEXT(B319,"0.0"))</f>
    </nc>
  </rcc>
  <rcc rId="9111" sId="1">
    <nc r="C320">
      <f>IF(B320="","",TEXT(B320,"0.0"))</f>
    </nc>
  </rcc>
  <rcc rId="9112" sId="1">
    <nc r="C321">
      <f>IF(B321="","",TEXT(B321,"0.0"))</f>
    </nc>
  </rcc>
  <rcc rId="9113" sId="1">
    <nc r="C322">
      <f>IF(B322="","",TEXT(B322,"0.0"))</f>
    </nc>
  </rcc>
  <rcc rId="9114" sId="1">
    <nc r="C323">
      <f>IF(B323="","",TEXT(B323,"0.0"))</f>
    </nc>
  </rcc>
  <rcc rId="9115" sId="1">
    <nc r="C324">
      <f>IF(B324="","",TEXT(B324,"0.0"))</f>
    </nc>
  </rcc>
  <rcc rId="9116" sId="1">
    <nc r="C325">
      <f>IF(B325="","",TEXT(B325,"0.0"))</f>
    </nc>
  </rcc>
  <rcc rId="9117" sId="1">
    <nc r="C326">
      <f>IF(B326="","",TEXT(B326,"0.0"))</f>
    </nc>
  </rcc>
  <rcc rId="9118" sId="1">
    <nc r="C327">
      <f>IF(B327="","",TEXT(B327,"0.0"))</f>
    </nc>
  </rcc>
  <rcc rId="9119" sId="1">
    <nc r="C328">
      <f>IF(B328="","",TEXT(B328,"0.0"))</f>
    </nc>
  </rcc>
  <rcc rId="9120" sId="1">
    <nc r="C329">
      <f>IF(B329="","",TEXT(B329,"0.0"))</f>
    </nc>
  </rcc>
  <rcc rId="9121" sId="1">
    <nc r="C330">
      <f>IF(B330="","",TEXT(B330,"0.0"))</f>
    </nc>
  </rcc>
  <rcc rId="9122" sId="1">
    <nc r="C331">
      <f>IF(B331="","",TEXT(B331,"0.0"))</f>
    </nc>
  </rcc>
  <rcc rId="9123" sId="1">
    <nc r="C332">
      <f>IF(B332="","",TEXT(B332,"0.0"))</f>
    </nc>
  </rcc>
  <rcc rId="9124" sId="1">
    <nc r="C333">
      <f>IF(B333="","",TEXT(B333,"0.0"))</f>
    </nc>
  </rcc>
  <rcc rId="9125" sId="1">
    <nc r="C334">
      <f>IF(B334="","",TEXT(B334,"0.0"))</f>
    </nc>
  </rcc>
  <rcc rId="9126" sId="1">
    <nc r="C335">
      <f>IF(B335="","",TEXT(B335,"0.0"))</f>
    </nc>
  </rcc>
  <rcc rId="9127" sId="1">
    <nc r="C336">
      <f>IF(B336="","",TEXT(B336,"0.0"))</f>
    </nc>
  </rcc>
  <rcc rId="9128" sId="1">
    <nc r="C337">
      <f>IF(B337="","",TEXT(B337,"0.0"))</f>
    </nc>
  </rcc>
  <rcc rId="9129" sId="1">
    <nc r="C338">
      <f>IF(B338="","",TEXT(B338,"0.0"))</f>
    </nc>
  </rcc>
  <rcc rId="9130" sId="1">
    <oc r="C2">
      <f>IF(B2="","",TEXT(B2,"0.0"))</f>
    </oc>
    <nc r="C2" t="inlineStr">
      <is>
        <t>1.2</t>
      </is>
    </nc>
  </rcc>
  <rcc rId="9131" sId="1">
    <oc r="C3">
      <f>IF(B3="","",TEXT(B3,"0.0"))</f>
    </oc>
    <nc r="C3" t="inlineStr">
      <is>
        <t>1.1</t>
      </is>
    </nc>
  </rcc>
  <rcc rId="9132" sId="1">
    <oc r="C4">
      <f>IF(B4="","",TEXT(B4,"0.0"))</f>
    </oc>
    <nc r="C4" t="inlineStr">
      <is>
        <t>1.2</t>
      </is>
    </nc>
  </rcc>
  <rcc rId="9133" sId="1">
    <oc r="C5">
      <f>IF(B5="","",TEXT(B5,"0.0"))</f>
    </oc>
    <nc r="C5" t="inlineStr">
      <is>
        <t>1.2</t>
      </is>
    </nc>
  </rcc>
  <rcc rId="9134" sId="1">
    <oc r="C6">
      <f>IF(B6="","",TEXT(B6,"0.0"))</f>
    </oc>
    <nc r="C6" t="inlineStr">
      <is>
        <t>1.2</t>
      </is>
    </nc>
  </rcc>
  <rcc rId="9135" sId="1">
    <oc r="C7">
      <f>IF(B7="","",TEXT(B7,"0.0"))</f>
    </oc>
    <nc r="C7" t="inlineStr">
      <is>
        <t>1.2</t>
      </is>
    </nc>
  </rcc>
  <rcc rId="9136" sId="1">
    <oc r="C8">
      <f>IF(B8="","",TEXT(B8,"0.0"))</f>
    </oc>
    <nc r="C8" t="inlineStr">
      <is>
        <t>1.2</t>
      </is>
    </nc>
  </rcc>
  <rcc rId="9137" sId="1">
    <oc r="C9">
      <f>IF(B9="","",TEXT(B9,"0.0"))</f>
    </oc>
    <nc r="C9" t="inlineStr">
      <is>
        <t>1.2</t>
      </is>
    </nc>
  </rcc>
  <rcc rId="9138" sId="1">
    <oc r="C10">
      <f>IF(B10="","",TEXT(B10,"0.0"))</f>
    </oc>
    <nc r="C10" t="inlineStr">
      <is>
        <t>1.2</t>
      </is>
    </nc>
  </rcc>
  <rcc rId="9139" sId="1">
    <oc r="C11">
      <f>IF(B11="","",TEXT(B11,"0.0"))</f>
    </oc>
    <nc r="C11" t="inlineStr">
      <is>
        <t>1.2</t>
      </is>
    </nc>
  </rcc>
  <rcc rId="9140" sId="1">
    <oc r="C12">
      <f>IF(B12="","",TEXT(B12,"0.0"))</f>
    </oc>
    <nc r="C12" t="inlineStr">
      <is>
        <t>1.2</t>
      </is>
    </nc>
  </rcc>
  <rcc rId="9141" sId="1">
    <oc r="C13">
      <f>IF(B13="","",TEXT(B13,"0.0"))</f>
    </oc>
    <nc r="C13" t="inlineStr">
      <is>
        <t>1.2</t>
      </is>
    </nc>
  </rcc>
  <rcc rId="9142" sId="1">
    <oc r="C14">
      <f>IF(B14="","",TEXT(B14,"0.0"))</f>
    </oc>
    <nc r="C14" t="inlineStr">
      <is>
        <t>1.2</t>
      </is>
    </nc>
  </rcc>
  <rcc rId="9143" sId="1">
    <oc r="C15">
      <f>IF(B15="","",TEXT(B15,"0.0"))</f>
    </oc>
    <nc r="C15" t="inlineStr">
      <is>
        <t>1.2</t>
      </is>
    </nc>
  </rcc>
  <rcc rId="9144" sId="1">
    <oc r="C16">
      <f>IF(B16="","",TEXT(B16,"0.0"))</f>
    </oc>
    <nc r="C16" t="inlineStr">
      <is>
        <t>1.2</t>
      </is>
    </nc>
  </rcc>
  <rcc rId="9145" sId="1">
    <oc r="C17">
      <f>IF(B17="","",TEXT(B17,"0.0"))</f>
    </oc>
    <nc r="C17" t="inlineStr">
      <is>
        <t>1.2</t>
      </is>
    </nc>
  </rcc>
  <rcc rId="9146" sId="1">
    <oc r="C18">
      <f>IF(B18="","",TEXT(B18,"0.0"))</f>
    </oc>
    <nc r="C18" t="inlineStr">
      <is>
        <t>1.2</t>
      </is>
    </nc>
  </rcc>
  <rcc rId="9147" sId="1">
    <oc r="C19">
      <f>IF(B19="","",TEXT(B19,"0.0"))</f>
    </oc>
    <nc r="C19" t="inlineStr">
      <is>
        <t>1.2</t>
      </is>
    </nc>
  </rcc>
  <rcc rId="9148" sId="1">
    <oc r="C20">
      <f>IF(B20="","",TEXT(B20,"0.0"))</f>
    </oc>
    <nc r="C20" t="inlineStr">
      <is>
        <t>1.2</t>
      </is>
    </nc>
  </rcc>
  <rcc rId="9149" sId="1">
    <oc r="C21">
      <f>IF(B21="","",TEXT(B21,"0.0"))</f>
    </oc>
    <nc r="C21" t="inlineStr">
      <is>
        <t>1.2</t>
      </is>
    </nc>
  </rcc>
  <rcc rId="9150" sId="1">
    <oc r="C22">
      <f>IF(B22="","",TEXT(B22,"0.0"))</f>
    </oc>
    <nc r="C22" t="inlineStr">
      <is>
        <t>1.2</t>
      </is>
    </nc>
  </rcc>
  <rcc rId="9151" sId="1">
    <oc r="C23">
      <f>IF(B23="","",TEXT(B23,"0.0"))</f>
    </oc>
    <nc r="C23" t="inlineStr">
      <is>
        <t>1.2</t>
      </is>
    </nc>
  </rcc>
  <rcc rId="9152" sId="1">
    <oc r="C24">
      <f>IF(B24="","",TEXT(B24,"0.0"))</f>
    </oc>
    <nc r="C24" t="inlineStr">
      <is>
        <t>1.2</t>
      </is>
    </nc>
  </rcc>
  <rcc rId="9153" sId="1">
    <oc r="C25">
      <f>IF(B25="","",TEXT(B25,"0.0"))</f>
    </oc>
    <nc r="C25" t="inlineStr">
      <is>
        <t>1.2</t>
      </is>
    </nc>
  </rcc>
  <rcc rId="9154" sId="1">
    <oc r="C26">
      <f>IF(B26="","",TEXT(B26,"0.0"))</f>
    </oc>
    <nc r="C26" t="inlineStr">
      <is>
        <t>1.2</t>
      </is>
    </nc>
  </rcc>
  <rcc rId="9155" sId="1">
    <oc r="C27">
      <f>IF(B27="","",TEXT(B27,"0.0"))</f>
    </oc>
    <nc r="C27" t="inlineStr">
      <is>
        <t>1.2</t>
      </is>
    </nc>
  </rcc>
  <rcc rId="9156" sId="1">
    <oc r="C28">
      <f>IF(B28="","",TEXT(B28,"0.0"))</f>
    </oc>
    <nc r="C28" t="inlineStr">
      <is>
        <t>1.2</t>
      </is>
    </nc>
  </rcc>
  <rcc rId="9157" sId="1">
    <oc r="C29">
      <f>IF(B29="","",TEXT(B29,"0.0"))</f>
    </oc>
    <nc r="C29" t="inlineStr">
      <is>
        <t>1.2</t>
      </is>
    </nc>
  </rcc>
  <rcc rId="9158" sId="1">
    <oc r="C30">
      <f>IF(B30="","",TEXT(B30,"0.0"))</f>
    </oc>
    <nc r="C30" t="inlineStr">
      <is>
        <t>1.2</t>
      </is>
    </nc>
  </rcc>
  <rcc rId="9159" sId="1">
    <oc r="C31">
      <f>IF(B31="","",TEXT(B31,"0.0"))</f>
    </oc>
    <nc r="C31" t="inlineStr">
      <is>
        <t>1.2</t>
      </is>
    </nc>
  </rcc>
  <rcc rId="9160" sId="1">
    <oc r="C32">
      <f>IF(B32="","",TEXT(B32,"0.0"))</f>
    </oc>
    <nc r="C32" t="inlineStr">
      <is>
        <t>1.2</t>
      </is>
    </nc>
  </rcc>
  <rcc rId="9161" sId="1">
    <oc r="C33">
      <f>IF(B33="","",TEXT(B33,"0.0"))</f>
    </oc>
    <nc r="C33" t="inlineStr">
      <is>
        <t>1.2</t>
      </is>
    </nc>
  </rcc>
  <rcc rId="9162" sId="1">
    <oc r="C34">
      <f>IF(B34="","",TEXT(B34,"0.0"))</f>
    </oc>
    <nc r="C34" t="inlineStr">
      <is>
        <t>1.2</t>
      </is>
    </nc>
  </rcc>
  <rcc rId="9163" sId="1">
    <oc r="C35">
      <f>IF(B35="","",TEXT(B35,"0.0"))</f>
    </oc>
    <nc r="C35" t="inlineStr">
      <is>
        <t>1.2</t>
      </is>
    </nc>
  </rcc>
  <rcc rId="9164" sId="1">
    <oc r="C36">
      <f>IF(B36="","",TEXT(B36,"0.0"))</f>
    </oc>
    <nc r="C36" t="inlineStr">
      <is>
        <t>1.2</t>
      </is>
    </nc>
  </rcc>
  <rcc rId="9165" sId="1">
    <oc r="C37">
      <f>IF(B37="","",TEXT(B37,"0.0"))</f>
    </oc>
    <nc r="C37" t="inlineStr">
      <is>
        <t>1.2</t>
      </is>
    </nc>
  </rcc>
  <rcc rId="9166" sId="1">
    <oc r="C38">
      <f>IF(B38="","",TEXT(B38,"0.0"))</f>
    </oc>
    <nc r="C38" t="inlineStr">
      <is>
        <t>1.2</t>
      </is>
    </nc>
  </rcc>
  <rcc rId="9167" sId="1">
    <oc r="C39">
      <f>IF(B39="","",TEXT(B39,"0.0"))</f>
    </oc>
    <nc r="C39" t="inlineStr">
      <is>
        <t>1.2</t>
      </is>
    </nc>
  </rcc>
  <rcc rId="9168" sId="1">
    <oc r="C40">
      <f>IF(B40="","",TEXT(B40,"0.0"))</f>
    </oc>
    <nc r="C40" t="inlineStr">
      <is>
        <t>1.2</t>
      </is>
    </nc>
  </rcc>
  <rcc rId="9169" sId="1">
    <oc r="C41">
      <f>IF(B41="","",TEXT(B41,"0.0"))</f>
    </oc>
    <nc r="C41" t="inlineStr">
      <is>
        <t>1.2</t>
      </is>
    </nc>
  </rcc>
  <rcc rId="9170" sId="1">
    <oc r="C42">
      <f>IF(B42="","",TEXT(B42,"0.0"))</f>
    </oc>
    <nc r="C42" t="inlineStr">
      <is>
        <t>1.2</t>
      </is>
    </nc>
  </rcc>
  <rcc rId="9171" sId="1">
    <oc r="C43">
      <f>IF(B43="","",TEXT(B43,"0.0"))</f>
    </oc>
    <nc r="C43" t="inlineStr">
      <is>
        <t>1.2</t>
      </is>
    </nc>
  </rcc>
  <rcc rId="9172" sId="1">
    <oc r="C44">
      <f>IF(B44="","",TEXT(B44,"0.0"))</f>
    </oc>
    <nc r="C44" t="inlineStr">
      <is>
        <t>1.2</t>
      </is>
    </nc>
  </rcc>
  <rcc rId="9173" sId="1">
    <oc r="C45">
      <f>IF(B45="","",TEXT(B45,"0.0"))</f>
    </oc>
    <nc r="C45" t="inlineStr">
      <is>
        <t>1.2</t>
      </is>
    </nc>
  </rcc>
  <rcc rId="9174" sId="1">
    <oc r="C46">
      <f>IF(B46="","",TEXT(B46,"0.0"))</f>
    </oc>
    <nc r="C46" t="inlineStr">
      <is>
        <t>1.2</t>
      </is>
    </nc>
  </rcc>
  <rcc rId="9175" sId="1">
    <oc r="C47">
      <f>IF(B47="","",TEXT(B47,"0.0"))</f>
    </oc>
    <nc r="C47" t="inlineStr">
      <is>
        <t>1.2</t>
      </is>
    </nc>
  </rcc>
  <rcc rId="9176" sId="1">
    <oc r="C48">
      <f>IF(B48="","",TEXT(B48,"0.0"))</f>
    </oc>
    <nc r="C48" t="inlineStr">
      <is>
        <t>1.2</t>
      </is>
    </nc>
  </rcc>
  <rcc rId="9177" sId="1">
    <oc r="C49">
      <f>IF(B49="","",TEXT(B49,"0.0"))</f>
    </oc>
    <nc r="C49" t="inlineStr">
      <is>
        <t>1.2</t>
      </is>
    </nc>
  </rcc>
  <rcc rId="9178" sId="1">
    <oc r="C50">
      <f>IF(B50="","",TEXT(B50,"0.0"))</f>
    </oc>
    <nc r="C50" t="inlineStr">
      <is>
        <t>1.2</t>
      </is>
    </nc>
  </rcc>
  <rcc rId="9179" sId="1">
    <oc r="C51">
      <f>IF(B51="","",TEXT(B51,"0.0"))</f>
    </oc>
    <nc r="C51" t="inlineStr">
      <is>
        <t>1.2</t>
      </is>
    </nc>
  </rcc>
  <rcc rId="9180" sId="1">
    <oc r="C52">
      <f>IF(B52="","",TEXT(B52,"0.0"))</f>
    </oc>
    <nc r="C52" t="inlineStr">
      <is>
        <t>1.2</t>
      </is>
    </nc>
  </rcc>
  <rcc rId="9181" sId="1">
    <oc r="C53">
      <f>IF(B53="","",TEXT(B53,"0.0"))</f>
    </oc>
    <nc r="C53" t="inlineStr">
      <is>
        <t>1.2</t>
      </is>
    </nc>
  </rcc>
  <rcc rId="9182" sId="1">
    <oc r="C54">
      <f>IF(B54="","",TEXT(B54,"0.0"))</f>
    </oc>
    <nc r="C54" t="inlineStr">
      <is>
        <t>1.2</t>
      </is>
    </nc>
  </rcc>
  <rcc rId="9183" sId="1">
    <oc r="C55">
      <f>IF(B55="","",TEXT(B55,"0.0"))</f>
    </oc>
    <nc r="C55" t="inlineStr">
      <is>
        <t>1.2</t>
      </is>
    </nc>
  </rcc>
  <rcc rId="9184" sId="1">
    <oc r="C56">
      <f>IF(B56="","",TEXT(B56,"0.0"))</f>
    </oc>
    <nc r="C56" t="inlineStr">
      <is>
        <t>1.2</t>
      </is>
    </nc>
  </rcc>
  <rcc rId="9185" sId="1">
    <oc r="C57">
      <f>IF(B57="","",TEXT(B57,"0.0"))</f>
    </oc>
    <nc r="C57" t="inlineStr">
      <is>
        <t>1.2</t>
      </is>
    </nc>
  </rcc>
  <rcc rId="9186" sId="1">
    <oc r="C58">
      <f>IF(B58="","",TEXT(B58,"0.0"))</f>
    </oc>
    <nc r="C58" t="inlineStr">
      <is>
        <t>1.2</t>
      </is>
    </nc>
  </rcc>
  <rcc rId="9187" sId="1">
    <oc r="C59">
      <f>IF(B59="","",TEXT(B59,"0.0"))</f>
    </oc>
    <nc r="C59" t="inlineStr">
      <is>
        <t>1.2</t>
      </is>
    </nc>
  </rcc>
  <rcc rId="9188" sId="1">
    <oc r="C60">
      <f>IF(B60="","",TEXT(B60,"0.0"))</f>
    </oc>
    <nc r="C60" t="inlineStr">
      <is>
        <t>1.2</t>
      </is>
    </nc>
  </rcc>
  <rcc rId="9189" sId="1">
    <oc r="C61">
      <f>IF(B61="","",TEXT(B61,"0.0"))</f>
    </oc>
    <nc r="C61" t="inlineStr">
      <is>
        <t>1.2</t>
      </is>
    </nc>
  </rcc>
  <rcc rId="9190" sId="1">
    <oc r="C62">
      <f>IF(B62="","",TEXT(B62,"0.0"))</f>
    </oc>
    <nc r="C62" t="inlineStr">
      <is>
        <t>1.2</t>
      </is>
    </nc>
  </rcc>
  <rcc rId="9191" sId="1">
    <oc r="C63">
      <f>IF(B63="","",TEXT(B63,"0.0"))</f>
    </oc>
    <nc r="C63" t="inlineStr">
      <is>
        <t>1.2</t>
      </is>
    </nc>
  </rcc>
  <rcc rId="9192" sId="1">
    <oc r="C64">
      <f>IF(B64="","",TEXT(B64,"0.0"))</f>
    </oc>
    <nc r="C64" t="inlineStr">
      <is>
        <t>1.2</t>
      </is>
    </nc>
  </rcc>
  <rcc rId="9193" sId="1">
    <oc r="C65">
      <f>IF(B65="","",TEXT(B65,"0.0"))</f>
    </oc>
    <nc r="C65" t="inlineStr">
      <is>
        <t>1.2</t>
      </is>
    </nc>
  </rcc>
  <rcc rId="9194" sId="1">
    <oc r="C66">
      <f>IF(B66="","",TEXT(B66,"0.0"))</f>
    </oc>
    <nc r="C66" t="inlineStr">
      <is>
        <t>1.2</t>
      </is>
    </nc>
  </rcc>
  <rcc rId="9195" sId="1">
    <oc r="C67">
      <f>IF(B67="","",TEXT(B67,"0.0"))</f>
    </oc>
    <nc r="C67" t="inlineStr">
      <is>
        <t>1.2</t>
      </is>
    </nc>
  </rcc>
  <rcc rId="9196" sId="1">
    <oc r="C68">
      <f>IF(B68="","",TEXT(B68,"0.0"))</f>
    </oc>
    <nc r="C68" t="inlineStr">
      <is>
        <t>1.2</t>
      </is>
    </nc>
  </rcc>
  <rcc rId="9197" sId="1">
    <oc r="C69">
      <f>IF(B69="","",TEXT(B69,"0.0"))</f>
    </oc>
    <nc r="C69" t="inlineStr">
      <is>
        <t>1.2</t>
      </is>
    </nc>
  </rcc>
  <rcc rId="9198" sId="1">
    <oc r="C70">
      <f>IF(B70="","",TEXT(B70,"0.0"))</f>
    </oc>
    <nc r="C70" t="inlineStr">
      <is>
        <t>1.2</t>
      </is>
    </nc>
  </rcc>
  <rcc rId="9199" sId="1">
    <oc r="C71">
      <f>IF(B71="","",TEXT(B71,"0.0"))</f>
    </oc>
    <nc r="C71" t="inlineStr">
      <is>
        <t>1.2</t>
      </is>
    </nc>
  </rcc>
  <rcc rId="9200" sId="1">
    <oc r="C72">
      <f>IF(B72="","",TEXT(B72,"0.0"))</f>
    </oc>
    <nc r="C72" t="inlineStr">
      <is>
        <t>1.2</t>
      </is>
    </nc>
  </rcc>
  <rcc rId="9201" sId="1">
    <oc r="C73">
      <f>IF(B73="","",TEXT(B73,"0.0"))</f>
    </oc>
    <nc r="C73" t="inlineStr">
      <is>
        <t>1.2</t>
      </is>
    </nc>
  </rcc>
  <rcc rId="9202" sId="1">
    <oc r="C74">
      <f>IF(B74="","",TEXT(B74,"0.0"))</f>
    </oc>
    <nc r="C74" t="inlineStr">
      <is>
        <t>1.2</t>
      </is>
    </nc>
  </rcc>
  <rcc rId="9203" sId="1">
    <oc r="C75">
      <f>IF(B75="","",TEXT(B75,"0.0"))</f>
    </oc>
    <nc r="C75" t="inlineStr">
      <is>
        <t>1.2</t>
      </is>
    </nc>
  </rcc>
  <rcc rId="9204" sId="1">
    <oc r="C76">
      <f>IF(B76="","",TEXT(B76,"0.0"))</f>
    </oc>
    <nc r="C76" t="inlineStr">
      <is>
        <t>1.2</t>
      </is>
    </nc>
  </rcc>
  <rcc rId="9205" sId="1">
    <oc r="C77">
      <f>IF(B77="","",TEXT(B77,"0.0"))</f>
    </oc>
    <nc r="C77" t="inlineStr">
      <is>
        <t>1.2</t>
      </is>
    </nc>
  </rcc>
  <rcc rId="9206" sId="1">
    <oc r="C78">
      <f>IF(B78="","",TEXT(B78,"0.0"))</f>
    </oc>
    <nc r="C78" t="inlineStr">
      <is>
        <t>1.2</t>
      </is>
    </nc>
  </rcc>
  <rcc rId="9207" sId="1">
    <oc r="C79">
      <f>IF(B79="","",TEXT(B79,"0.0"))</f>
    </oc>
    <nc r="C79" t="inlineStr">
      <is>
        <t>1.2</t>
      </is>
    </nc>
  </rcc>
  <rcc rId="9208" sId="1">
    <oc r="C80">
      <f>IF(B80="","",TEXT(B80,"0.0"))</f>
    </oc>
    <nc r="C80" t="inlineStr">
      <is>
        <t>1.2</t>
      </is>
    </nc>
  </rcc>
  <rcc rId="9209" sId="1">
    <oc r="C81">
      <f>IF(B81="","",TEXT(B81,"0.0"))</f>
    </oc>
    <nc r="C81" t="inlineStr">
      <is>
        <t>1.2</t>
      </is>
    </nc>
  </rcc>
  <rcc rId="9210" sId="1">
    <oc r="C82">
      <f>IF(B82="","",TEXT(B82,"0.0"))</f>
    </oc>
    <nc r="C82" t="inlineStr">
      <is>
        <t>1.2</t>
      </is>
    </nc>
  </rcc>
  <rcc rId="9211" sId="1">
    <oc r="C83">
      <f>IF(B83="","",TEXT(B83,"0.0"))</f>
    </oc>
    <nc r="C83" t="inlineStr">
      <is>
        <t>1.2</t>
      </is>
    </nc>
  </rcc>
  <rcc rId="9212" sId="1">
    <oc r="C84">
      <f>IF(B84="","",TEXT(B84,"0.0"))</f>
    </oc>
    <nc r="C84" t="inlineStr">
      <is>
        <t>1.2</t>
      </is>
    </nc>
  </rcc>
  <rcc rId="9213" sId="1">
    <oc r="C85">
      <f>IF(B85="","",TEXT(B85,"0.0"))</f>
    </oc>
    <nc r="C85" t="inlineStr">
      <is>
        <t>1.2</t>
      </is>
    </nc>
  </rcc>
  <rcc rId="9214" sId="1">
    <oc r="C86">
      <f>IF(B86="","",TEXT(B86,"0.0"))</f>
    </oc>
    <nc r="C86" t="inlineStr">
      <is>
        <t>1.2</t>
      </is>
    </nc>
  </rcc>
  <rcc rId="9215" sId="1">
    <oc r="C87">
      <f>IF(B87="","",TEXT(B87,"0.0"))</f>
    </oc>
    <nc r="C87" t="inlineStr">
      <is>
        <t>1.2</t>
      </is>
    </nc>
  </rcc>
  <rcc rId="9216" sId="1">
    <oc r="C88">
      <f>IF(B88="","",TEXT(B88,"0.0"))</f>
    </oc>
    <nc r="C88" t="inlineStr">
      <is>
        <t>1.2</t>
      </is>
    </nc>
  </rcc>
  <rcc rId="9217" sId="1">
    <oc r="C89">
      <f>IF(B89="","",TEXT(B89,"0.0"))</f>
    </oc>
    <nc r="C89" t="inlineStr">
      <is>
        <t>1.2</t>
      </is>
    </nc>
  </rcc>
  <rcc rId="9218" sId="1">
    <oc r="C90">
      <f>IF(B90="","",TEXT(B90,"0.0"))</f>
    </oc>
    <nc r="C90" t="inlineStr">
      <is>
        <t>1.2</t>
      </is>
    </nc>
  </rcc>
  <rcc rId="9219" sId="1">
    <oc r="C91">
      <f>IF(B91="","",TEXT(B91,"0.0"))</f>
    </oc>
    <nc r="C91" t="inlineStr">
      <is>
        <t>1.2</t>
      </is>
    </nc>
  </rcc>
  <rcc rId="9220" sId="1">
    <oc r="C92">
      <f>IF(B92="","",TEXT(B92,"0.0"))</f>
    </oc>
    <nc r="C92" t="inlineStr">
      <is>
        <t>1.2</t>
      </is>
    </nc>
  </rcc>
  <rcc rId="9221" sId="1">
    <oc r="C93">
      <f>IF(B93="","",TEXT(B93,"0.0"))</f>
    </oc>
    <nc r="C93" t="inlineStr">
      <is>
        <t>1.2</t>
      </is>
    </nc>
  </rcc>
  <rcc rId="9222" sId="1">
    <oc r="C94">
      <f>IF(B94="","",TEXT(B94,"0.0"))</f>
    </oc>
    <nc r="C94" t="inlineStr">
      <is>
        <t>1.2</t>
      </is>
    </nc>
  </rcc>
  <rcc rId="9223" sId="1">
    <oc r="C95">
      <f>IF(B95="","",TEXT(B95,"0.0"))</f>
    </oc>
    <nc r="C95" t="inlineStr">
      <is>
        <t>1.2</t>
      </is>
    </nc>
  </rcc>
  <rcc rId="9224" sId="1">
    <oc r="C96">
      <f>IF(B96="","",TEXT(B96,"0.0"))</f>
    </oc>
    <nc r="C96" t="inlineStr">
      <is>
        <t>1.2</t>
      </is>
    </nc>
  </rcc>
  <rcc rId="9225" sId="1">
    <oc r="C97">
      <f>IF(B97="","",TEXT(B97,"0.0"))</f>
    </oc>
    <nc r="C97" t="inlineStr">
      <is>
        <t>1.2</t>
      </is>
    </nc>
  </rcc>
  <rcc rId="9226" sId="1">
    <oc r="C98">
      <f>IF(B98="","",TEXT(B98,"0.0"))</f>
    </oc>
    <nc r="C98" t="inlineStr">
      <is>
        <t>1.2</t>
      </is>
    </nc>
  </rcc>
  <rcc rId="9227" sId="1">
    <oc r="C99">
      <f>IF(B99="","",TEXT(B99,"0.0"))</f>
    </oc>
    <nc r="C99" t="inlineStr">
      <is>
        <t>1.2</t>
      </is>
    </nc>
  </rcc>
  <rcc rId="9228" sId="1">
    <oc r="C100">
      <f>IF(B100="","",TEXT(B100,"0.0"))</f>
    </oc>
    <nc r="C100" t="inlineStr">
      <is>
        <t>1.2</t>
      </is>
    </nc>
  </rcc>
  <rcc rId="9229" sId="1">
    <oc r="C101">
      <f>IF(B101="","",TEXT(B101,"0.0"))</f>
    </oc>
    <nc r="C101" t="inlineStr">
      <is>
        <t>1.2</t>
      </is>
    </nc>
  </rcc>
  <rcc rId="9230" sId="1">
    <oc r="C102">
      <f>IF(B102="","",TEXT(B102,"0.0"))</f>
    </oc>
    <nc r="C102" t="inlineStr">
      <is>
        <t>1.2</t>
      </is>
    </nc>
  </rcc>
  <rcc rId="9231" sId="1">
    <oc r="C103">
      <f>IF(B103="","",TEXT(B103,"0.0"))</f>
    </oc>
    <nc r="C103" t="inlineStr">
      <is>
        <t>1.2</t>
      </is>
    </nc>
  </rcc>
  <rcc rId="9232" sId="1">
    <oc r="C104">
      <f>IF(B104="","",TEXT(B104,"0.0"))</f>
    </oc>
    <nc r="C104" t="inlineStr">
      <is>
        <t>1.2</t>
      </is>
    </nc>
  </rcc>
  <rcc rId="9233" sId="1">
    <oc r="C105">
      <f>IF(B105="","",TEXT(B105,"0.0"))</f>
    </oc>
    <nc r="C105" t="inlineStr">
      <is>
        <t>1.2</t>
      </is>
    </nc>
  </rcc>
  <rcc rId="9234" sId="1">
    <oc r="C106">
      <f>IF(B106="","",TEXT(B106,"0.0"))</f>
    </oc>
    <nc r="C106" t="inlineStr">
      <is>
        <t>1.2</t>
      </is>
    </nc>
  </rcc>
  <rcc rId="9235" sId="1">
    <oc r="C107">
      <f>IF(B107="","",TEXT(B107,"0.0"))</f>
    </oc>
    <nc r="C107" t="inlineStr">
      <is>
        <t>1.2</t>
      </is>
    </nc>
  </rcc>
  <rcc rId="9236" sId="1">
    <oc r="C108">
      <f>IF(B108="","",TEXT(B108,"0.0"))</f>
    </oc>
    <nc r="C108" t="inlineStr">
      <is>
        <t>1.2</t>
      </is>
    </nc>
  </rcc>
  <rcc rId="9237" sId="1">
    <oc r="C109">
      <f>IF(B109="","",TEXT(B109,"0.0"))</f>
    </oc>
    <nc r="C109" t="inlineStr">
      <is>
        <t>1.2</t>
      </is>
    </nc>
  </rcc>
  <rcc rId="9238" sId="1">
    <oc r="C110">
      <f>IF(B110="","",TEXT(B110,"0.0"))</f>
    </oc>
    <nc r="C110" t="inlineStr">
      <is>
        <t>1.2</t>
      </is>
    </nc>
  </rcc>
  <rcc rId="9239" sId="1">
    <oc r="C111">
      <f>IF(B111="","",TEXT(B111,"0.0"))</f>
    </oc>
    <nc r="C111" t="inlineStr">
      <is>
        <t>1.2</t>
      </is>
    </nc>
  </rcc>
  <rcc rId="9240" sId="1">
    <oc r="C112">
      <f>IF(B112="","",TEXT(B112,"0.0"))</f>
    </oc>
    <nc r="C112" t="inlineStr">
      <is>
        <t>1.2</t>
      </is>
    </nc>
  </rcc>
  <rcc rId="9241" sId="1">
    <oc r="C113">
      <f>IF(B113="","",TEXT(B113,"0.0"))</f>
    </oc>
    <nc r="C113" t="inlineStr">
      <is>
        <t>1.2</t>
      </is>
    </nc>
  </rcc>
  <rcc rId="9242" sId="1">
    <oc r="C114">
      <f>IF(B114="","",TEXT(B114,"0.0"))</f>
    </oc>
    <nc r="C114" t="inlineStr">
      <is>
        <t>1.2</t>
      </is>
    </nc>
  </rcc>
  <rcc rId="9243" sId="1">
    <oc r="C115">
      <f>IF(B115="","",TEXT(B115,"0.0"))</f>
    </oc>
    <nc r="C115" t="inlineStr">
      <is>
        <t>1.2</t>
      </is>
    </nc>
  </rcc>
  <rcc rId="9244" sId="1">
    <oc r="C116">
      <f>IF(B116="","",TEXT(B116,"0.0"))</f>
    </oc>
    <nc r="C116" t="inlineStr">
      <is>
        <t>1.2</t>
      </is>
    </nc>
  </rcc>
  <rcc rId="9245" sId="1">
    <oc r="C117">
      <f>IF(B117="","",TEXT(B117,"0.0"))</f>
    </oc>
    <nc r="C117" t="inlineStr">
      <is>
        <t>1.2</t>
      </is>
    </nc>
  </rcc>
  <rcc rId="9246" sId="1">
    <oc r="C118">
      <f>IF(B118="","",TEXT(B118,"0.0"))</f>
    </oc>
    <nc r="C118" t="inlineStr">
      <is>
        <t>1.2</t>
      </is>
    </nc>
  </rcc>
  <rcc rId="9247" sId="1">
    <oc r="C119">
      <f>IF(B119="","",TEXT(B119,"0.0"))</f>
    </oc>
    <nc r="C119" t="inlineStr">
      <is>
        <t>1.2</t>
      </is>
    </nc>
  </rcc>
  <rcc rId="9248" sId="1">
    <oc r="C120">
      <f>IF(B120="","",TEXT(B120,"0.0"))</f>
    </oc>
    <nc r="C120" t="inlineStr">
      <is>
        <t>1.2</t>
      </is>
    </nc>
  </rcc>
  <rcc rId="9249" sId="1">
    <oc r="C121">
      <f>IF(B121="","",TEXT(B121,"0.0"))</f>
    </oc>
    <nc r="C121" t="inlineStr">
      <is>
        <t>1.2</t>
      </is>
    </nc>
  </rcc>
  <rcc rId="9250" sId="1">
    <oc r="C122">
      <f>IF(B122="","",TEXT(B122,"0.0"))</f>
    </oc>
    <nc r="C122" t="inlineStr">
      <is>
        <t>1.2</t>
      </is>
    </nc>
  </rcc>
  <rcc rId="9251" sId="1">
    <oc r="C123">
      <f>IF(B123="","",TEXT(B123,"0.0"))</f>
    </oc>
    <nc r="C123" t="inlineStr">
      <is>
        <t>1.2</t>
      </is>
    </nc>
  </rcc>
  <rcc rId="9252" sId="1">
    <oc r="C124">
      <f>IF(B124="","",TEXT(B124,"0.0"))</f>
    </oc>
    <nc r="C124" t="inlineStr">
      <is>
        <t>1.2</t>
      </is>
    </nc>
  </rcc>
  <rcc rId="9253" sId="1">
    <oc r="C125">
      <f>IF(B125="","",TEXT(B125,"0.0"))</f>
    </oc>
    <nc r="C125" t="inlineStr">
      <is>
        <t>1.2</t>
      </is>
    </nc>
  </rcc>
  <rcc rId="9254" sId="1">
    <oc r="C126">
      <f>IF(B126="","",TEXT(B126,"0.0"))</f>
    </oc>
    <nc r="C126" t="inlineStr">
      <is>
        <t>1.2</t>
      </is>
    </nc>
  </rcc>
  <rcc rId="9255" sId="1">
    <oc r="C127">
      <f>IF(B127="","",TEXT(B127,"0.0"))</f>
    </oc>
    <nc r="C127" t="inlineStr">
      <is>
        <t>1.2</t>
      </is>
    </nc>
  </rcc>
  <rcc rId="9256" sId="1">
    <oc r="C128">
      <f>IF(B128="","",TEXT(B128,"0.0"))</f>
    </oc>
    <nc r="C128" t="inlineStr">
      <is>
        <t>1.2</t>
      </is>
    </nc>
  </rcc>
  <rcc rId="9257" sId="1">
    <oc r="C129">
      <f>IF(B129="","",TEXT(B129,"0.0"))</f>
    </oc>
    <nc r="C129" t="inlineStr">
      <is>
        <t>1.2</t>
      </is>
    </nc>
  </rcc>
  <rcc rId="9258" sId="1">
    <oc r="C130">
      <f>IF(B130="","",TEXT(B130,"0.0"))</f>
    </oc>
    <nc r="C130" t="inlineStr">
      <is>
        <t>1.2</t>
      </is>
    </nc>
  </rcc>
  <rcc rId="9259" sId="1">
    <oc r="C131">
      <f>IF(B131="","",TEXT(B131,"0.0"))</f>
    </oc>
    <nc r="C131" t="inlineStr">
      <is>
        <t>1.3</t>
      </is>
    </nc>
  </rcc>
  <rcc rId="9260" sId="1">
    <oc r="C132">
      <f>IF(B132="","",TEXT(B132,"0.0"))</f>
    </oc>
    <nc r="C132" t="inlineStr">
      <is>
        <t>1.3</t>
      </is>
    </nc>
  </rcc>
  <rcc rId="9261" sId="1">
    <oc r="C133">
      <f>IF(B133="","",TEXT(B133,"0.0"))</f>
    </oc>
    <nc r="C133" t="inlineStr">
      <is>
        <t>1.3</t>
      </is>
    </nc>
  </rcc>
  <rcc rId="9262" sId="1">
    <oc r="C134">
      <f>IF(B134="","",TEXT(B134,"0.0"))</f>
    </oc>
    <nc r="C134" t="inlineStr">
      <is>
        <t>1.3</t>
      </is>
    </nc>
  </rcc>
  <rcc rId="9263" sId="1">
    <oc r="C135">
      <f>IF(B135="","",TEXT(B135,"0.0"))</f>
    </oc>
    <nc r="C135" t="inlineStr">
      <is>
        <t>1.4</t>
      </is>
    </nc>
  </rcc>
  <rcc rId="9264" sId="1">
    <oc r="C136">
      <f>IF(B136="","",TEXT(B136,"0.0"))</f>
    </oc>
    <nc r="C136" t="inlineStr">
      <is>
        <t>1.5</t>
      </is>
    </nc>
  </rcc>
  <rcc rId="9265" sId="1">
    <oc r="C137">
      <f>IF(B137="","",TEXT(B137,"0.0"))</f>
    </oc>
    <nc r="C137" t="inlineStr">
      <is>
        <t>1.4</t>
      </is>
    </nc>
  </rcc>
  <rcc rId="9266" sId="1">
    <oc r="C138">
      <f>IF(B138="","",TEXT(B138,"0.0"))</f>
    </oc>
    <nc r="C138" t="inlineStr">
      <is>
        <t>1.5</t>
      </is>
    </nc>
  </rcc>
  <rcc rId="9267" sId="1">
    <oc r="C139">
      <f>IF(B139="","",TEXT(B139,"0.0"))</f>
    </oc>
    <nc r="C139" t="inlineStr">
      <is>
        <t>1.4</t>
      </is>
    </nc>
  </rcc>
  <rcc rId="9268" sId="1">
    <oc r="C140">
      <f>IF(B140="","",TEXT(B140,"0.0"))</f>
    </oc>
    <nc r="C140" t="inlineStr">
      <is>
        <t>1.5</t>
      </is>
    </nc>
  </rcc>
  <rcc rId="9269" sId="1">
    <oc r="C141">
      <f>IF(B141="","",TEXT(B141,"0.0"))</f>
    </oc>
    <nc r="C141" t="inlineStr">
      <is>
        <t>1.4</t>
      </is>
    </nc>
  </rcc>
  <rcc rId="9270" sId="1">
    <oc r="C142">
      <f>IF(B142="","",TEXT(B142,"0.0"))</f>
    </oc>
    <nc r="C142" t="inlineStr">
      <is>
        <t>1.4</t>
      </is>
    </nc>
  </rcc>
  <rcc rId="9271" sId="1">
    <oc r="C143">
      <f>IF(B143="","",TEXT(B143,"0.0"))</f>
    </oc>
    <nc r="C143" t="inlineStr">
      <is>
        <t>1.5</t>
      </is>
    </nc>
  </rcc>
  <rcc rId="9272" sId="1">
    <oc r="C144">
      <f>IF(B144="","",TEXT(B144,"0.0"))</f>
    </oc>
    <nc r="C144" t="inlineStr">
      <is>
        <t>1.4</t>
      </is>
    </nc>
  </rcc>
  <rcc rId="9273" sId="1">
    <oc r="C145">
      <f>IF(B145="","",TEXT(B145,"0.0"))</f>
    </oc>
    <nc r="C145" t="inlineStr">
      <is>
        <t>1.5</t>
      </is>
    </nc>
  </rcc>
  <rcc rId="9274" sId="1">
    <oc r="C146">
      <f>IF(B146="","",TEXT(B146,"0.0"))</f>
    </oc>
    <nc r="C146" t="inlineStr">
      <is>
        <t>1.5</t>
      </is>
    </nc>
  </rcc>
  <rcc rId="9275" sId="1">
    <oc r="C147">
      <f>IF(B147="","",TEXT(B147,"0.0"))</f>
    </oc>
    <nc r="C147" t="inlineStr">
      <is>
        <t>1.4</t>
      </is>
    </nc>
  </rcc>
  <rcc rId="9276" sId="1">
    <oc r="C148">
      <f>IF(B148="","",TEXT(B148,"0.0"))</f>
    </oc>
    <nc r="C148" t="inlineStr">
      <is>
        <t>1.5</t>
      </is>
    </nc>
  </rcc>
  <rcc rId="9277" sId="1">
    <oc r="C149">
      <f>IF(B149="","",TEXT(B149,"0.0"))</f>
    </oc>
    <nc r="C149" t="inlineStr">
      <is>
        <t>1.5</t>
      </is>
    </nc>
  </rcc>
  <rcc rId="9278" sId="1">
    <oc r="C150">
      <f>IF(B150="","",TEXT(B150,"0.0"))</f>
    </oc>
    <nc r="C150" t="inlineStr">
      <is>
        <t>1.4</t>
      </is>
    </nc>
  </rcc>
  <rcc rId="9279" sId="1">
    <oc r="C151">
      <f>IF(B151="","",TEXT(B151,"0.0"))</f>
    </oc>
    <nc r="C151" t="inlineStr">
      <is>
        <t>1.5</t>
      </is>
    </nc>
  </rcc>
  <rcc rId="9280" sId="1">
    <oc r="C152">
      <f>IF(B152="","",TEXT(B152,"0.0"))</f>
    </oc>
    <nc r="C152" t="inlineStr">
      <is>
        <t>1.4</t>
      </is>
    </nc>
  </rcc>
  <rcc rId="9281" sId="1">
    <oc r="C153">
      <f>IF(B153="","",TEXT(B153,"0.0"))</f>
    </oc>
    <nc r="C153" t="inlineStr">
      <is>
        <t>1.5</t>
      </is>
    </nc>
  </rcc>
  <rcc rId="9282" sId="1">
    <oc r="C154">
      <f>IF(B154="","",TEXT(B154,"0.0"))</f>
    </oc>
    <nc r="C154" t="inlineStr">
      <is>
        <t>1.5</t>
      </is>
    </nc>
  </rcc>
  <rcc rId="9283" sId="1">
    <oc r="C155">
      <f>IF(B155="","",TEXT(B155,"0.0"))</f>
    </oc>
    <nc r="C155" t="inlineStr">
      <is>
        <t>1.5</t>
      </is>
    </nc>
  </rcc>
  <rcc rId="9284" sId="1">
    <oc r="C156">
      <f>IF(B156="","",TEXT(B156,"0.0"))</f>
    </oc>
    <nc r="C156" t="inlineStr">
      <is>
        <t>1.4</t>
      </is>
    </nc>
  </rcc>
  <rcc rId="9285" sId="1">
    <oc r="C157">
      <f>IF(B157="","",TEXT(B157,"0.0"))</f>
    </oc>
    <nc r="C157" t="inlineStr">
      <is>
        <t>1.5</t>
      </is>
    </nc>
  </rcc>
  <rcc rId="9286" sId="1">
    <oc r="C158">
      <f>IF(B158="","",TEXT(B158,"0.0"))</f>
    </oc>
    <nc r="C158" t="inlineStr">
      <is>
        <t>1.4</t>
      </is>
    </nc>
  </rcc>
  <rcc rId="9287" sId="1">
    <oc r="C159">
      <f>IF(B159="","",TEXT(B159,"0.0"))</f>
    </oc>
    <nc r="C159" t="inlineStr">
      <is>
        <t>1.5</t>
      </is>
    </nc>
  </rcc>
  <rcc rId="9288" sId="1">
    <oc r="C160">
      <f>IF(B160="","",TEXT(B160,"0.0"))</f>
    </oc>
    <nc r="C160" t="inlineStr">
      <is>
        <t>1.5</t>
      </is>
    </nc>
  </rcc>
  <rcc rId="9289" sId="1">
    <oc r="C161">
      <f>IF(B161="","",TEXT(B161,"0.0"))</f>
    </oc>
    <nc r="C161" t="inlineStr">
      <is>
        <t>1.4</t>
      </is>
    </nc>
  </rcc>
  <rcc rId="9290" sId="1">
    <oc r="C162">
      <f>IF(B162="","",TEXT(B162,"0.0"))</f>
    </oc>
    <nc r="C162" t="inlineStr">
      <is>
        <t>1.5</t>
      </is>
    </nc>
  </rcc>
  <rcc rId="9291" sId="1">
    <oc r="C163">
      <f>IF(B163="","",TEXT(B163,"0.0"))</f>
    </oc>
    <nc r="C163" t="inlineStr">
      <is>
        <t>1.5</t>
      </is>
    </nc>
  </rcc>
  <rcc rId="9292" sId="1">
    <oc r="C164">
      <f>IF(B164="","",TEXT(B164,"0.0"))</f>
    </oc>
    <nc r="C164" t="inlineStr">
      <is>
        <t>1.4</t>
      </is>
    </nc>
  </rcc>
  <rcc rId="9293" sId="1">
    <oc r="C165">
      <f>IF(B165="","",TEXT(B165,"0.0"))</f>
    </oc>
    <nc r="C165" t="inlineStr">
      <is>
        <t>1.5</t>
      </is>
    </nc>
  </rcc>
  <rcc rId="9294" sId="1">
    <oc r="C166">
      <f>IF(B166="","",TEXT(B166,"0.0"))</f>
    </oc>
    <nc r="C166" t="inlineStr">
      <is>
        <t>1.5</t>
      </is>
    </nc>
  </rcc>
  <rcc rId="9295" sId="1">
    <oc r="C167">
      <f>IF(B167="","",TEXT(B167,"0.0"))</f>
    </oc>
    <nc r="C167" t="inlineStr">
      <is>
        <t>1.4</t>
      </is>
    </nc>
  </rcc>
  <rcc rId="9296" sId="1">
    <oc r="C168">
      <f>IF(B168="","",TEXT(B168,"0.0"))</f>
    </oc>
    <nc r="C168" t="inlineStr">
      <is>
        <t>1.4</t>
      </is>
    </nc>
  </rcc>
  <rcc rId="9297" sId="1">
    <oc r="C169">
      <f>IF(B169="","",TEXT(B169,"0.0"))</f>
    </oc>
    <nc r="C169" t="inlineStr">
      <is>
        <t>1.5</t>
      </is>
    </nc>
  </rcc>
  <rcc rId="9298" sId="1">
    <oc r="C170">
      <f>IF(B170="","",TEXT(B170,"0.0"))</f>
    </oc>
    <nc r="C170" t="inlineStr">
      <is>
        <t>1.4</t>
      </is>
    </nc>
  </rcc>
  <rcc rId="9299" sId="1">
    <oc r="C171">
      <f>IF(B171="","",TEXT(B171,"0.0"))</f>
    </oc>
    <nc r="C171" t="inlineStr">
      <is>
        <t>1.5</t>
      </is>
    </nc>
  </rcc>
  <rcc rId="9300" sId="1">
    <oc r="C172">
      <f>IF(B172="","",TEXT(B172,"0.0"))</f>
    </oc>
    <nc r="C172" t="inlineStr">
      <is>
        <t>1.5</t>
      </is>
    </nc>
  </rcc>
  <rcc rId="9301" sId="1">
    <oc r="C173">
      <f>IF(B173="","",TEXT(B173,"0.0"))</f>
    </oc>
    <nc r="C173" t="inlineStr">
      <is>
        <t>1.4</t>
      </is>
    </nc>
  </rcc>
  <rcc rId="9302" sId="1">
    <oc r="C174">
      <f>IF(B174="","",TEXT(B174,"0.0"))</f>
    </oc>
    <nc r="C174" t="inlineStr">
      <is>
        <t>1.4</t>
      </is>
    </nc>
  </rcc>
  <rcc rId="9303" sId="1">
    <oc r="C175">
      <f>IF(B175="","",TEXT(B175,"0.0"))</f>
    </oc>
    <nc r="C175" t="inlineStr">
      <is>
        <t>1.5</t>
      </is>
    </nc>
  </rcc>
  <rcc rId="9304" sId="1">
    <oc r="C176">
      <f>IF(B176="","",TEXT(B176,"0.0"))</f>
    </oc>
    <nc r="C176" t="inlineStr">
      <is>
        <t>1.5</t>
      </is>
    </nc>
  </rcc>
  <rcc rId="9305" sId="1">
    <oc r="C177">
      <f>IF(B177="","",TEXT(B177,"0.0"))</f>
    </oc>
    <nc r="C177" t="inlineStr">
      <is>
        <t>1.4</t>
      </is>
    </nc>
  </rcc>
  <rcc rId="9306" sId="1">
    <oc r="C178">
      <f>IF(B178="","",TEXT(B178,"0.0"))</f>
    </oc>
    <nc r="C178" t="inlineStr">
      <is>
        <t>1.5</t>
      </is>
    </nc>
  </rcc>
  <rcc rId="9307" sId="1">
    <oc r="C179">
      <f>IF(B179="","",TEXT(B179,"0.0"))</f>
    </oc>
    <nc r="C179" t="inlineStr">
      <is>
        <t>1.4</t>
      </is>
    </nc>
  </rcc>
  <rcc rId="9308" sId="1">
    <oc r="C180">
      <f>IF(B180="","",TEXT(B180,"0.0"))</f>
    </oc>
    <nc r="C180" t="inlineStr">
      <is>
        <t>1.5</t>
      </is>
    </nc>
  </rcc>
  <rcc rId="9309" sId="1">
    <oc r="C181">
      <f>IF(B181="","",TEXT(B181,"0.0"))</f>
    </oc>
    <nc r="C181" t="inlineStr">
      <is>
        <t>1.4</t>
      </is>
    </nc>
  </rcc>
  <rcc rId="9310" sId="1">
    <oc r="C182">
      <f>IF(B182="","",TEXT(B182,"0.0"))</f>
    </oc>
    <nc r="C182" t="inlineStr">
      <is>
        <t>1.4</t>
      </is>
    </nc>
  </rcc>
  <rcc rId="9311" sId="1">
    <oc r="C183">
      <f>IF(B183="","",TEXT(B183,"0.0"))</f>
    </oc>
    <nc r="C183" t="inlineStr">
      <is>
        <t>1.5</t>
      </is>
    </nc>
  </rcc>
  <rcc rId="9312" sId="1">
    <oc r="C184">
      <f>IF(B184="","",TEXT(B184,"0.0"))</f>
    </oc>
    <nc r="C184" t="inlineStr">
      <is>
        <t>1.4</t>
      </is>
    </nc>
  </rcc>
  <rcc rId="9313" sId="1">
    <oc r="C185">
      <f>IF(B185="","",TEXT(B185,"0.0"))</f>
    </oc>
    <nc r="C185" t="inlineStr">
      <is>
        <t>1.5</t>
      </is>
    </nc>
  </rcc>
  <rcc rId="9314" sId="1">
    <oc r="C186">
      <f>IF(B186="","",TEXT(B186,"0.0"))</f>
    </oc>
    <nc r="C186" t="inlineStr">
      <is>
        <t>1.5</t>
      </is>
    </nc>
  </rcc>
  <rcc rId="9315" sId="1">
    <oc r="C187">
      <f>IF(B187="","",TEXT(B187,"0.0"))</f>
    </oc>
    <nc r="C187" t="inlineStr">
      <is>
        <t>1.4</t>
      </is>
    </nc>
  </rcc>
  <rcc rId="9316" sId="1">
    <oc r="C188">
      <f>IF(B188="","",TEXT(B188,"0.0"))</f>
    </oc>
    <nc r="C188" t="inlineStr">
      <is>
        <t>1.4</t>
      </is>
    </nc>
  </rcc>
  <rcc rId="9317" sId="1">
    <oc r="C189">
      <f>IF(B189="","",TEXT(B189,"0.0"))</f>
    </oc>
    <nc r="C189" t="inlineStr">
      <is>
        <t>1.5</t>
      </is>
    </nc>
  </rcc>
  <rcc rId="9318" sId="1">
    <oc r="C190">
      <f>IF(B190="","",TEXT(B190,"0.0"))</f>
    </oc>
    <nc r="C190" t="inlineStr">
      <is>
        <t>1.5</t>
      </is>
    </nc>
  </rcc>
  <rcc rId="9319" sId="1">
    <oc r="C191">
      <f>IF(B191="","",TEXT(B191,"0.0"))</f>
    </oc>
    <nc r="C191" t="inlineStr">
      <is>
        <t>1.5</t>
      </is>
    </nc>
  </rcc>
  <rcc rId="9320" sId="1">
    <oc r="C192">
      <f>IF(B192="","",TEXT(B192,"0.0"))</f>
    </oc>
    <nc r="C192" t="inlineStr">
      <is>
        <t>1.4</t>
      </is>
    </nc>
  </rcc>
  <rcc rId="9321" sId="1">
    <oc r="C193">
      <f>IF(B193="","",TEXT(B193,"0.0"))</f>
    </oc>
    <nc r="C193" t="inlineStr">
      <is>
        <t>1.4</t>
      </is>
    </nc>
  </rcc>
  <rcc rId="9322" sId="1">
    <oc r="C194">
      <f>IF(B194="","",TEXT(B194,"0.0"))</f>
    </oc>
    <nc r="C194" t="inlineStr">
      <is>
        <t>1.5</t>
      </is>
    </nc>
  </rcc>
  <rcc rId="9323" sId="1">
    <oc r="C195">
      <f>IF(B195="","",TEXT(B195,"0.0"))</f>
    </oc>
    <nc r="C195" t="inlineStr">
      <is>
        <t>1.4</t>
      </is>
    </nc>
  </rcc>
  <rcc rId="9324" sId="1">
    <oc r="C196">
      <f>IF(B196="","",TEXT(B196,"0.0"))</f>
    </oc>
    <nc r="C196" t="inlineStr">
      <is>
        <t>1.5</t>
      </is>
    </nc>
  </rcc>
  <rcc rId="9325" sId="1">
    <oc r="C197">
      <f>IF(B197="","",TEXT(B197,"0.0"))</f>
    </oc>
    <nc r="C197" t="inlineStr">
      <is>
        <t>1.5</t>
      </is>
    </nc>
  </rcc>
  <rcc rId="9326" sId="1">
    <oc r="C198">
      <f>IF(B198="","",TEXT(B198,"0.0"))</f>
    </oc>
    <nc r="C198" t="inlineStr">
      <is>
        <t>1.4</t>
      </is>
    </nc>
  </rcc>
  <rcc rId="9327" sId="1">
    <oc r="C199">
      <f>IF(B199="","",TEXT(B199,"0.0"))</f>
    </oc>
    <nc r="C199" t="inlineStr">
      <is>
        <t>1.4</t>
      </is>
    </nc>
  </rcc>
  <rcc rId="9328" sId="1">
    <oc r="C200">
      <f>IF(B200="","",TEXT(B200,"0.0"))</f>
    </oc>
    <nc r="C200" t="inlineStr">
      <is>
        <t>1.5</t>
      </is>
    </nc>
  </rcc>
  <rcc rId="9329" sId="1">
    <oc r="C201">
      <f>IF(B201="","",TEXT(B201,"0.0"))</f>
    </oc>
    <nc r="C201" t="inlineStr">
      <is>
        <t>1.4</t>
      </is>
    </nc>
  </rcc>
  <rcc rId="9330" sId="1">
    <oc r="C202">
      <f>IF(B202="","",TEXT(B202,"0.0"))</f>
    </oc>
    <nc r="C202" t="inlineStr">
      <is>
        <t>1.4</t>
      </is>
    </nc>
  </rcc>
  <rcc rId="9331" sId="1">
    <oc r="C203">
      <f>IF(B203="","",TEXT(B203,"0.0"))</f>
    </oc>
    <nc r="C203" t="inlineStr">
      <is>
        <t>1.5</t>
      </is>
    </nc>
  </rcc>
  <rcc rId="9332" sId="1">
    <oc r="C204">
      <f>IF(B204="","",TEXT(B204,"0.0"))</f>
    </oc>
    <nc r="C204" t="inlineStr">
      <is>
        <t>NA</t>
      </is>
    </nc>
  </rcc>
  <rcc rId="9333" sId="1">
    <oc r="C205">
      <f>IF(B205="","",TEXT(B205,"0.0"))</f>
    </oc>
    <nc r="C205" t="inlineStr">
      <is>
        <t>1.5</t>
      </is>
    </nc>
  </rcc>
  <rcc rId="9334" sId="1">
    <oc r="C206">
      <f>IF(B206="","",TEXT(B206,"0.0"))</f>
    </oc>
    <nc r="C206" t="inlineStr">
      <is>
        <t>1.4</t>
      </is>
    </nc>
  </rcc>
  <rcc rId="9335" sId="1">
    <oc r="C207">
      <f>IF(B207="","",TEXT(B207,"0.0"))</f>
    </oc>
    <nc r="C207" t="inlineStr">
      <is>
        <t>1.5</t>
      </is>
    </nc>
  </rcc>
  <rcc rId="9336" sId="1">
    <oc r="C208">
      <f>IF(B208="","",TEXT(B208,"0.0"))</f>
    </oc>
    <nc r="C208" t="inlineStr">
      <is>
        <t>1.4</t>
      </is>
    </nc>
  </rcc>
  <rcc rId="9337" sId="1">
    <oc r="C209">
      <f>IF(B209="","",TEXT(B209,"0.0"))</f>
    </oc>
    <nc r="C209" t="inlineStr">
      <is>
        <t>1.5</t>
      </is>
    </nc>
  </rcc>
  <rcc rId="9338" sId="1">
    <oc r="C210">
      <f>IF(B210="","",TEXT(B210,"0.0"))</f>
    </oc>
    <nc r="C210" t="inlineStr">
      <is>
        <t>1.4</t>
      </is>
    </nc>
  </rcc>
  <rcc rId="9339" sId="1">
    <oc r="C211">
      <f>IF(B211="","",TEXT(B211,"0.0"))</f>
    </oc>
    <nc r="C211" t="inlineStr">
      <is>
        <t>1.4</t>
      </is>
    </nc>
  </rcc>
  <rcc rId="9340" sId="1">
    <oc r="C212">
      <f>IF(B212="","",TEXT(B212,"0.0"))</f>
    </oc>
    <nc r="C212" t="inlineStr">
      <is>
        <t>1.5</t>
      </is>
    </nc>
  </rcc>
  <rcc rId="9341" sId="1">
    <oc r="C213">
      <f>IF(B213="","",TEXT(B213,"0.0"))</f>
    </oc>
    <nc r="C213" t="inlineStr">
      <is>
        <t>1.4</t>
      </is>
    </nc>
  </rcc>
  <rcc rId="9342" sId="1">
    <oc r="C214">
      <f>IF(B214="","",TEXT(B214,"0.0"))</f>
    </oc>
    <nc r="C214" t="inlineStr">
      <is>
        <t>1.4</t>
      </is>
    </nc>
  </rcc>
  <rcc rId="9343" sId="1">
    <oc r="C215">
      <f>IF(B215="","",TEXT(B215,"0.0"))</f>
    </oc>
    <nc r="C215" t="inlineStr">
      <is>
        <t>1.5</t>
      </is>
    </nc>
  </rcc>
  <rcc rId="9344" sId="1">
    <oc r="C216">
      <f>IF(B216="","",TEXT(B216,"0.0"))</f>
    </oc>
    <nc r="C216" t="inlineStr">
      <is>
        <t>1.5</t>
      </is>
    </nc>
  </rcc>
  <rcc rId="9345" sId="1">
    <oc r="C217">
      <f>IF(B217="","",TEXT(B217,"0.0"))</f>
    </oc>
    <nc r="C217" t="inlineStr">
      <is>
        <t>1.5</t>
      </is>
    </nc>
  </rcc>
  <rcc rId="9346" sId="1">
    <oc r="C218">
      <f>IF(B218="","",TEXT(B218,"0.0"))</f>
    </oc>
    <nc r="C218" t="inlineStr">
      <is>
        <t>1.4</t>
      </is>
    </nc>
  </rcc>
  <rcc rId="9347" sId="1">
    <oc r="C219">
      <f>IF(B219="","",TEXT(B219,"0.0"))</f>
    </oc>
    <nc r="C219" t="inlineStr">
      <is>
        <t>1.5</t>
      </is>
    </nc>
  </rcc>
  <rcc rId="9348" sId="1">
    <oc r="C220">
      <f>IF(B220="","",TEXT(B220,"0.0"))</f>
    </oc>
    <nc r="C220" t="inlineStr">
      <is>
        <t>1.4</t>
      </is>
    </nc>
  </rcc>
  <rcc rId="9349" sId="1">
    <oc r="C221">
      <f>IF(B221="","",TEXT(B221,"0.0"))</f>
    </oc>
    <nc r="C221" t="inlineStr">
      <is>
        <t>1.5</t>
      </is>
    </nc>
  </rcc>
  <rcc rId="9350" sId="1">
    <oc r="C222">
      <f>IF(B222="","",TEXT(B222,"0.0"))</f>
    </oc>
    <nc r="C222" t="inlineStr">
      <is>
        <t>1.4</t>
      </is>
    </nc>
  </rcc>
  <rcc rId="9351" sId="1">
    <oc r="C223">
      <f>IF(B223="","",TEXT(B223,"0.0"))</f>
    </oc>
    <nc r="C223" t="inlineStr">
      <is>
        <t>1.5</t>
      </is>
    </nc>
  </rcc>
  <rcc rId="9352" sId="1">
    <oc r="C224">
      <f>IF(B224="","",TEXT(B224,"0.0"))</f>
    </oc>
    <nc r="C224" t="inlineStr">
      <is>
        <t>1.5</t>
      </is>
    </nc>
  </rcc>
  <rcc rId="9353" sId="1">
    <oc r="C225">
      <f>IF(B225="","",TEXT(B225,"0.0"))</f>
    </oc>
    <nc r="C225" t="inlineStr">
      <is>
        <t>1.4</t>
      </is>
    </nc>
  </rcc>
  <rcc rId="9354" sId="1">
    <oc r="C226">
      <f>IF(B226="","",TEXT(B226,"0.0"))</f>
    </oc>
    <nc r="C226" t="inlineStr">
      <is>
        <t>NA</t>
      </is>
    </nc>
  </rcc>
  <rcc rId="9355" sId="1">
    <oc r="C227">
      <f>IF(B227="","",TEXT(B227,"0.0"))</f>
    </oc>
    <nc r="C227" t="inlineStr">
      <is>
        <t>1.5</t>
      </is>
    </nc>
  </rcc>
  <rcc rId="9356" sId="1">
    <oc r="C228">
      <f>IF(B228="","",TEXT(B228,"0.0"))</f>
    </oc>
    <nc r="C228" t="inlineStr">
      <is>
        <t>1.4</t>
      </is>
    </nc>
  </rcc>
  <rcc rId="9357" sId="1">
    <oc r="C229">
      <f>IF(B229="","",TEXT(B229,"0.0"))</f>
    </oc>
    <nc r="C229" t="inlineStr">
      <is>
        <t>1.5</t>
      </is>
    </nc>
  </rcc>
  <rcc rId="9358" sId="1">
    <oc r="C230">
      <f>IF(B230="","",TEXT(B230,"0.0"))</f>
    </oc>
    <nc r="C230" t="inlineStr">
      <is>
        <t>1.4</t>
      </is>
    </nc>
  </rcc>
  <rcc rId="9359" sId="1">
    <oc r="C231">
      <f>IF(B231="","",TEXT(B231,"0.0"))</f>
    </oc>
    <nc r="C231" t="inlineStr">
      <is>
        <t>1.5</t>
      </is>
    </nc>
  </rcc>
  <rcc rId="9360" sId="1">
    <oc r="C232">
      <f>IF(B232="","",TEXT(B232,"0.0"))</f>
    </oc>
    <nc r="C232" t="inlineStr">
      <is>
        <t>1.4</t>
      </is>
    </nc>
  </rcc>
  <rcc rId="9361" sId="1">
    <oc r="C233">
      <f>IF(B233="","",TEXT(B233,"0.0"))</f>
    </oc>
    <nc r="C233" t="inlineStr">
      <is>
        <t>1.5</t>
      </is>
    </nc>
  </rcc>
  <rcc rId="9362" sId="1">
    <oc r="C234">
      <f>IF(B234="","",TEXT(B234,"0.0"))</f>
    </oc>
    <nc r="C234" t="inlineStr">
      <is>
        <t>1.4</t>
      </is>
    </nc>
  </rcc>
  <rcc rId="9363" sId="1">
    <oc r="C235">
      <f>IF(B235="","",TEXT(B235,"0.0"))</f>
    </oc>
    <nc r="C235" t="inlineStr">
      <is>
        <t>1.5</t>
      </is>
    </nc>
  </rcc>
  <rcc rId="9364" sId="1">
    <oc r="C236">
      <f>IF(B236="","",TEXT(B236,"0.0"))</f>
    </oc>
    <nc r="C236" t="inlineStr">
      <is>
        <t>1.5</t>
      </is>
    </nc>
  </rcc>
  <rcc rId="9365" sId="1">
    <oc r="C237">
      <f>IF(B237="","",TEXT(B237,"0.0"))</f>
    </oc>
    <nc r="C237" t="inlineStr">
      <is>
        <t>1.4</t>
      </is>
    </nc>
  </rcc>
  <rcc rId="9366" sId="1">
    <oc r="C238">
      <f>IF(B238="","",TEXT(B238,"0.0"))</f>
    </oc>
    <nc r="C238" t="inlineStr">
      <is>
        <t>1.4</t>
      </is>
    </nc>
  </rcc>
  <rcc rId="9367" sId="1">
    <oc r="C239">
      <f>IF(B239="","",TEXT(B239,"0.0"))</f>
    </oc>
    <nc r="C239" t="inlineStr">
      <is>
        <t>1.5</t>
      </is>
    </nc>
  </rcc>
  <rcc rId="9368" sId="1">
    <oc r="C240">
      <f>IF(B240="","",TEXT(B240,"0.0"))</f>
    </oc>
    <nc r="C240" t="inlineStr">
      <is>
        <t>1.4</t>
      </is>
    </nc>
  </rcc>
  <rcc rId="9369" sId="1">
    <oc r="C241">
      <f>IF(B241="","",TEXT(B241,"0.0"))</f>
    </oc>
    <nc r="C241" t="inlineStr">
      <is>
        <t>1.5</t>
      </is>
    </nc>
  </rcc>
  <rcc rId="9370" sId="1">
    <oc r="C242">
      <f>IF(B242="","",TEXT(B242,"0.0"))</f>
    </oc>
    <nc r="C242" t="inlineStr">
      <is>
        <t>1.4</t>
      </is>
    </nc>
  </rcc>
  <rcc rId="9371" sId="1">
    <oc r="C243">
      <f>IF(B243="","",TEXT(B243,"0.0"))</f>
    </oc>
    <nc r="C243" t="inlineStr">
      <is>
        <t>1.4</t>
      </is>
    </nc>
  </rcc>
  <rcc rId="9372" sId="1">
    <oc r="C244">
      <f>IF(B244="","",TEXT(B244,"0.0"))</f>
    </oc>
    <nc r="C244" t="inlineStr">
      <is>
        <t>1.4</t>
      </is>
    </nc>
  </rcc>
  <rcc rId="9373" sId="1">
    <oc r="C245">
      <f>IF(B245="","",TEXT(B245,"0.0"))</f>
    </oc>
    <nc r="C245" t="inlineStr">
      <is>
        <t>1.4</t>
      </is>
    </nc>
  </rcc>
  <rcc rId="9374" sId="1">
    <oc r="C246">
      <f>IF(B246="","",TEXT(B246,"0.0"))</f>
    </oc>
    <nc r="C246" t="inlineStr">
      <is>
        <t>1.4</t>
      </is>
    </nc>
  </rcc>
  <rcc rId="9375" sId="1">
    <oc r="C247">
      <f>IF(B247="","",TEXT(B247,"0.0"))</f>
    </oc>
    <nc r="C247" t="inlineStr">
      <is>
        <t>1.4</t>
      </is>
    </nc>
  </rcc>
  <rcc rId="9376" sId="1">
    <oc r="C248">
      <f>IF(B248="","",TEXT(B248,"0.0"))</f>
    </oc>
    <nc r="C248" t="inlineStr">
      <is>
        <t>1.4</t>
      </is>
    </nc>
  </rcc>
  <rcc rId="9377" sId="1">
    <oc r="C249">
      <f>IF(B249="","",TEXT(B249,"0.0"))</f>
    </oc>
    <nc r="C249" t="inlineStr">
      <is>
        <t>1.4</t>
      </is>
    </nc>
  </rcc>
  <rcc rId="9378" sId="1">
    <oc r="C250">
      <f>IF(B250="","",TEXT(B250,"0.0"))</f>
    </oc>
    <nc r="C250" t="inlineStr">
      <is>
        <t>1.4</t>
      </is>
    </nc>
  </rcc>
  <rcc rId="9379" sId="1">
    <oc r="C251">
      <f>IF(B251="","",TEXT(B251,"0.0"))</f>
    </oc>
    <nc r="C251" t="inlineStr">
      <is>
        <t>1.4</t>
      </is>
    </nc>
  </rcc>
  <rcc rId="9380" sId="1">
    <oc r="C252">
      <f>IF(B252="","",TEXT(B252,"0.0"))</f>
    </oc>
    <nc r="C252" t="inlineStr">
      <is>
        <t>1.4</t>
      </is>
    </nc>
  </rcc>
  <rcc rId="9381" sId="1">
    <oc r="C253">
      <f>IF(B253="","",TEXT(B253,"0.0"))</f>
    </oc>
    <nc r="C253" t="inlineStr">
      <is>
        <t>1.4</t>
      </is>
    </nc>
  </rcc>
  <rcc rId="9382" sId="1">
    <oc r="C254">
      <f>IF(B254="","",TEXT(B254,"0.0"))</f>
    </oc>
    <nc r="C254" t="inlineStr">
      <is>
        <t>1.4</t>
      </is>
    </nc>
  </rcc>
  <rcc rId="9383" sId="1">
    <oc r="C255">
      <f>IF(B255="","",TEXT(B255,"0.0"))</f>
    </oc>
    <nc r="C255" t="inlineStr">
      <is>
        <t>1.4</t>
      </is>
    </nc>
  </rcc>
  <rcc rId="9384" sId="1">
    <oc r="C256">
      <f>IF(B256="","",TEXT(B256,"0.0"))</f>
    </oc>
    <nc r="C256" t="inlineStr">
      <is>
        <t>1.4</t>
      </is>
    </nc>
  </rcc>
  <rcc rId="9385" sId="1">
    <oc r="C257">
      <f>IF(B257="","",TEXT(B257,"0.0"))</f>
    </oc>
    <nc r="C257" t="inlineStr">
      <is>
        <t>1.4</t>
      </is>
    </nc>
  </rcc>
  <rcc rId="9386" sId="1">
    <oc r="C258">
      <f>IF(B258="","",TEXT(B258,"0.0"))</f>
    </oc>
    <nc r="C258" t="inlineStr">
      <is>
        <t>1.4</t>
      </is>
    </nc>
  </rcc>
  <rcc rId="9387" sId="1">
    <oc r="C259">
      <f>IF(B259="","",TEXT(B259,"0.0"))</f>
    </oc>
    <nc r="C259" t="inlineStr">
      <is>
        <t>1.4</t>
      </is>
    </nc>
  </rcc>
  <rcc rId="9388" sId="1">
    <oc r="C260">
      <f>IF(B260="","",TEXT(B260,"0.0"))</f>
    </oc>
    <nc r="C260" t="inlineStr">
      <is>
        <t>1.4</t>
      </is>
    </nc>
  </rcc>
  <rcc rId="9389" sId="1">
    <oc r="C261">
      <f>IF(B261="","",TEXT(B261,"0.0"))</f>
    </oc>
    <nc r="C261" t="inlineStr">
      <is>
        <t>1.4</t>
      </is>
    </nc>
  </rcc>
  <rcc rId="9390" sId="1">
    <oc r="C262">
      <f>IF(B262="","",TEXT(B262,"0.0"))</f>
    </oc>
    <nc r="C262" t="inlineStr">
      <is>
        <t>1.4</t>
      </is>
    </nc>
  </rcc>
  <rcc rId="9391" sId="1">
    <oc r="C263">
      <f>IF(B263="","",TEXT(B263,"0.0"))</f>
    </oc>
    <nc r="C263" t="inlineStr">
      <is>
        <t>1.4</t>
      </is>
    </nc>
  </rcc>
  <rcc rId="9392" sId="1">
    <oc r="C264">
      <f>IF(B264="","",TEXT(B264,"0.0"))</f>
    </oc>
    <nc r="C264" t="inlineStr">
      <is>
        <t>1.4</t>
      </is>
    </nc>
  </rcc>
  <rcc rId="9393" sId="1">
    <oc r="C265">
      <f>IF(B265="","",TEXT(B265,"0.0"))</f>
    </oc>
    <nc r="C265" t="inlineStr">
      <is>
        <t>1.4</t>
      </is>
    </nc>
  </rcc>
  <rcc rId="9394" sId="1">
    <oc r="C266">
      <f>IF(B266="","",TEXT(B266,"0.0"))</f>
    </oc>
    <nc r="C266" t="inlineStr">
      <is>
        <t>1.4</t>
      </is>
    </nc>
  </rcc>
  <rcc rId="9395" sId="1">
    <oc r="C267">
      <f>IF(B267="","",TEXT(B267,"0.0"))</f>
    </oc>
    <nc r="C267" t="inlineStr">
      <is>
        <t>1.4</t>
      </is>
    </nc>
  </rcc>
  <rcc rId="9396" sId="1">
    <oc r="C268">
      <f>IF(B268="","",TEXT(B268,"0.0"))</f>
    </oc>
    <nc r="C268" t="inlineStr">
      <is>
        <t>1.4</t>
      </is>
    </nc>
  </rcc>
  <rcc rId="9397" sId="1">
    <oc r="C269">
      <f>IF(B269="","",TEXT(B269,"0.0"))</f>
    </oc>
    <nc r="C269" t="inlineStr">
      <is>
        <t>1.4</t>
      </is>
    </nc>
  </rcc>
  <rcc rId="9398" sId="1">
    <oc r="C270">
      <f>IF(B270="","",TEXT(B270,"0.0"))</f>
    </oc>
    <nc r="C270" t="inlineStr">
      <is>
        <t>1.4</t>
      </is>
    </nc>
  </rcc>
  <rcc rId="9399" sId="1">
    <oc r="C271">
      <f>IF(B271="","",TEXT(B271,"0.0"))</f>
    </oc>
    <nc r="C271" t="inlineStr">
      <is>
        <t>1.4</t>
      </is>
    </nc>
  </rcc>
  <rcc rId="9400" sId="1">
    <oc r="C272">
      <f>IF(B272="","",TEXT(B272,"0.0"))</f>
    </oc>
    <nc r="C272" t="inlineStr">
      <is>
        <t>1.4</t>
      </is>
    </nc>
  </rcc>
  <rcc rId="9401" sId="1">
    <oc r="C273">
      <f>IF(B273="","",TEXT(B273,"0.0"))</f>
    </oc>
    <nc r="C273" t="inlineStr">
      <is>
        <t>1.4</t>
      </is>
    </nc>
  </rcc>
  <rcc rId="9402" sId="1">
    <oc r="C274">
      <f>IF(B274="","",TEXT(B274,"0.0"))</f>
    </oc>
    <nc r="C274" t="inlineStr">
      <is>
        <t>1.4</t>
      </is>
    </nc>
  </rcc>
  <rcc rId="9403" sId="1">
    <oc r="C275">
      <f>IF(B275="","",TEXT(B275,"0.0"))</f>
    </oc>
    <nc r="C275" t="inlineStr">
      <is>
        <t>1.4</t>
      </is>
    </nc>
  </rcc>
  <rcc rId="9404" sId="1">
    <oc r="C276">
      <f>IF(B276="","",TEXT(B276,"0.0"))</f>
    </oc>
    <nc r="C276" t="inlineStr">
      <is>
        <t>1.4</t>
      </is>
    </nc>
  </rcc>
  <rcc rId="9405" sId="1">
    <oc r="C277">
      <f>IF(B277="","",TEXT(B277,"0.0"))</f>
    </oc>
    <nc r="C277" t="inlineStr">
      <is>
        <t>1.4</t>
      </is>
    </nc>
  </rcc>
  <rcc rId="9406" sId="1">
    <oc r="C278">
      <f>IF(B278="","",TEXT(B278,"0.0"))</f>
    </oc>
    <nc r="C278" t="inlineStr">
      <is>
        <t>1.4</t>
      </is>
    </nc>
  </rcc>
  <rcc rId="9407" sId="1">
    <oc r="C279">
      <f>IF(B279="","",TEXT(B279,"0.0"))</f>
    </oc>
    <nc r="C279" t="inlineStr">
      <is>
        <t>1.4</t>
      </is>
    </nc>
  </rcc>
  <rcc rId="9408" sId="1">
    <oc r="C280">
      <f>IF(B280="","",TEXT(B280,"0.0"))</f>
    </oc>
    <nc r="C280" t="inlineStr">
      <is>
        <t>1.4</t>
      </is>
    </nc>
  </rcc>
  <rcc rId="9409" sId="1">
    <oc r="C281">
      <f>IF(B281="","",TEXT(B281,"0.0"))</f>
    </oc>
    <nc r="C281" t="inlineStr">
      <is>
        <t>1.4</t>
      </is>
    </nc>
  </rcc>
  <rcc rId="9410" sId="1">
    <oc r="C282">
      <f>IF(B282="","",TEXT(B282,"0.0"))</f>
    </oc>
    <nc r="C282" t="inlineStr">
      <is>
        <t>1.4</t>
      </is>
    </nc>
  </rcc>
  <rcc rId="9411" sId="1">
    <oc r="C283">
      <f>IF(B283="","",TEXT(B283,"0.0"))</f>
    </oc>
    <nc r="C283" t="inlineStr">
      <is>
        <t>1.4</t>
      </is>
    </nc>
  </rcc>
  <rcc rId="9412" sId="1">
    <oc r="C284">
      <f>IF(B284="","",TEXT(B284,"0.0"))</f>
    </oc>
    <nc r="C284" t="inlineStr">
      <is>
        <t>1.4</t>
      </is>
    </nc>
  </rcc>
  <rcc rId="9413" sId="1">
    <oc r="C285">
      <f>IF(B285="","",TEXT(B285,"0.0"))</f>
    </oc>
    <nc r="C285" t="inlineStr">
      <is>
        <t>1.4</t>
      </is>
    </nc>
  </rcc>
  <rcc rId="9414" sId="1">
    <oc r="C286">
      <f>IF(B286="","",TEXT(B286,"0.0"))</f>
    </oc>
    <nc r="C286" t="inlineStr">
      <is>
        <t>1.4</t>
      </is>
    </nc>
  </rcc>
  <rcc rId="9415" sId="1">
    <oc r="C287">
      <f>IF(B287="","",TEXT(B287,"0.0"))</f>
    </oc>
    <nc r="C287" t="inlineStr">
      <is>
        <t>1.4</t>
      </is>
    </nc>
  </rcc>
  <rcc rId="9416" sId="1">
    <oc r="C288">
      <f>IF(B288="","",TEXT(B288,"0.0"))</f>
    </oc>
    <nc r="C288" t="inlineStr">
      <is>
        <t>1.4</t>
      </is>
    </nc>
  </rcc>
  <rcc rId="9417" sId="1">
    <oc r="C289">
      <f>IF(B289="","",TEXT(B289,"0.0"))</f>
    </oc>
    <nc r="C289" t="inlineStr">
      <is>
        <t>1.4</t>
      </is>
    </nc>
  </rcc>
  <rcc rId="9418" sId="1">
    <oc r="C290">
      <f>IF(B290="","",TEXT(B290,"0.0"))</f>
    </oc>
    <nc r="C290" t="inlineStr">
      <is>
        <t>1.4</t>
      </is>
    </nc>
  </rcc>
  <rcc rId="9419" sId="1">
    <oc r="C291">
      <f>IF(B291="","",TEXT(B291,"0.0"))</f>
    </oc>
    <nc r="C291" t="inlineStr">
      <is>
        <t>1.4</t>
      </is>
    </nc>
  </rcc>
  <rcc rId="9420" sId="1">
    <oc r="C292">
      <f>IF(B292="","",TEXT(B292,"0.0"))</f>
    </oc>
    <nc r="C292" t="inlineStr">
      <is>
        <t>1.4</t>
      </is>
    </nc>
  </rcc>
  <rcc rId="9421" sId="1">
    <oc r="C293">
      <f>IF(B293="","",TEXT(B293,"0.0"))</f>
    </oc>
    <nc r="C293" t="inlineStr">
      <is>
        <t>1.4</t>
      </is>
    </nc>
  </rcc>
  <rcc rId="9422" sId="1">
    <oc r="C294">
      <f>IF(B294="","",TEXT(B294,"0.0"))</f>
    </oc>
    <nc r="C294" t="inlineStr">
      <is>
        <t>1.4</t>
      </is>
    </nc>
  </rcc>
  <rcc rId="9423" sId="1">
    <oc r="C295">
      <f>IF(B295="","",TEXT(B295,"0.0"))</f>
    </oc>
    <nc r="C295" t="inlineStr">
      <is>
        <t>1.4</t>
      </is>
    </nc>
  </rcc>
  <rcc rId="9424" sId="1">
    <oc r="C296">
      <f>IF(B296="","",TEXT(B296,"0.0"))</f>
    </oc>
    <nc r="C296" t="inlineStr">
      <is>
        <t>1.4</t>
      </is>
    </nc>
  </rcc>
  <rcc rId="9425" sId="1">
    <oc r="C297">
      <f>IF(B297="","",TEXT(B297,"0.0"))</f>
    </oc>
    <nc r="C297" t="inlineStr">
      <is>
        <t>1.4</t>
      </is>
    </nc>
  </rcc>
  <rcc rId="9426" sId="1">
    <oc r="C298">
      <f>IF(B298="","",TEXT(B298,"0.0"))</f>
    </oc>
    <nc r="C298" t="inlineStr">
      <is>
        <t>1.4</t>
      </is>
    </nc>
  </rcc>
  <rcc rId="9427" sId="1">
    <oc r="C299">
      <f>IF(B299="","",TEXT(B299,"0.0"))</f>
    </oc>
    <nc r="C299" t="inlineStr">
      <is>
        <t>1.4</t>
      </is>
    </nc>
  </rcc>
  <rcc rId="9428" sId="1">
    <oc r="C300">
      <f>IF(B300="","",TEXT(B300,"0.0"))</f>
    </oc>
    <nc r="C300" t="inlineStr">
      <is>
        <t>1.4</t>
      </is>
    </nc>
  </rcc>
  <rcc rId="9429" sId="1">
    <oc r="C301">
      <f>IF(B301="","",TEXT(B301,"0.0"))</f>
    </oc>
    <nc r="C301" t="inlineStr">
      <is>
        <t>1.4</t>
      </is>
    </nc>
  </rcc>
  <rcc rId="9430" sId="1">
    <oc r="C302">
      <f>IF(B302="","",TEXT(B302,"0.0"))</f>
    </oc>
    <nc r="C302" t="inlineStr">
      <is>
        <t>1.4</t>
      </is>
    </nc>
  </rcc>
  <rcc rId="9431" sId="1">
    <oc r="C303">
      <f>IF(B303="","",TEXT(B303,"0.0"))</f>
    </oc>
    <nc r="C303" t="inlineStr">
      <is>
        <t>1.4</t>
      </is>
    </nc>
  </rcc>
  <rcc rId="9432" sId="1">
    <oc r="C304">
      <f>IF(B304="","",TEXT(B304,"0.0"))</f>
    </oc>
    <nc r="C304" t="inlineStr">
      <is>
        <t>1.4</t>
      </is>
    </nc>
  </rcc>
  <rcc rId="9433" sId="1">
    <oc r="C305">
      <f>IF(B305="","",TEXT(B305,"0.0"))</f>
    </oc>
    <nc r="C305" t="inlineStr">
      <is>
        <t>1.4</t>
      </is>
    </nc>
  </rcc>
  <rcc rId="9434" sId="1">
    <oc r="C306">
      <f>IF(B306="","",TEXT(B306,"0.0"))</f>
    </oc>
    <nc r="C306" t="inlineStr">
      <is>
        <t>1.4</t>
      </is>
    </nc>
  </rcc>
  <rcc rId="9435" sId="1">
    <oc r="C307">
      <f>IF(B307="","",TEXT(B307,"0.0"))</f>
    </oc>
    <nc r="C307" t="inlineStr">
      <is>
        <t>1.4</t>
      </is>
    </nc>
  </rcc>
  <rcc rId="9436" sId="1">
    <oc r="C308">
      <f>IF(B308="","",TEXT(B308,"0.0"))</f>
    </oc>
    <nc r="C308" t="inlineStr">
      <is>
        <t>1.4</t>
      </is>
    </nc>
  </rcc>
  <rcc rId="9437" sId="1">
    <oc r="C309">
      <f>IF(B309="","",TEXT(B309,"0.0"))</f>
    </oc>
    <nc r="C309" t="inlineStr">
      <is>
        <t>1.4</t>
      </is>
    </nc>
  </rcc>
  <rcc rId="9438" sId="1">
    <oc r="C310">
      <f>IF(B310="","",TEXT(B310,"0.0"))</f>
    </oc>
    <nc r="C310" t="inlineStr">
      <is>
        <t>1.4</t>
      </is>
    </nc>
  </rcc>
  <rcc rId="9439" sId="1">
    <oc r="C311">
      <f>IF(B311="","",TEXT(B311,"0.0"))</f>
    </oc>
    <nc r="C311" t="inlineStr">
      <is>
        <t>1.4</t>
      </is>
    </nc>
  </rcc>
  <rcc rId="9440" sId="1">
    <oc r="C312">
      <f>IF(B312="","",TEXT(B312,"0.0"))</f>
    </oc>
    <nc r="C312" t="inlineStr">
      <is>
        <t>1.4</t>
      </is>
    </nc>
  </rcc>
  <rcc rId="9441" sId="1">
    <oc r="C313">
      <f>IF(B313="","",TEXT(B313,"0.0"))</f>
    </oc>
    <nc r="C313" t="inlineStr">
      <is>
        <t>1.4</t>
      </is>
    </nc>
  </rcc>
  <rcc rId="9442" sId="1">
    <oc r="C314">
      <f>IF(B314="","",TEXT(B314,"0.0"))</f>
    </oc>
    <nc r="C314" t="inlineStr">
      <is>
        <t>1.4</t>
      </is>
    </nc>
  </rcc>
  <rcc rId="9443" sId="1">
    <oc r="C315">
      <f>IF(B315="","",TEXT(B315,"0.0"))</f>
    </oc>
    <nc r="C315" t="inlineStr">
      <is>
        <t>1.4</t>
      </is>
    </nc>
  </rcc>
  <rcc rId="9444" sId="1">
    <oc r="C316">
      <f>IF(B316="","",TEXT(B316,"0.0"))</f>
    </oc>
    <nc r="C316" t="inlineStr">
      <is>
        <t>1.4</t>
      </is>
    </nc>
  </rcc>
  <rcc rId="9445" sId="1">
    <oc r="C317">
      <f>IF(B317="","",TEXT(B317,"0.0"))</f>
    </oc>
    <nc r="C317" t="inlineStr">
      <is>
        <t>1.4</t>
      </is>
    </nc>
  </rcc>
  <rcc rId="9446" sId="1">
    <oc r="C318">
      <f>IF(B318="","",TEXT(B318,"0.0"))</f>
    </oc>
    <nc r="C318" t="inlineStr">
      <is>
        <t>1.4</t>
      </is>
    </nc>
  </rcc>
  <rcc rId="9447" sId="1">
    <oc r="C319">
      <f>IF(B319="","",TEXT(B319,"0.0"))</f>
    </oc>
    <nc r="C319" t="inlineStr">
      <is>
        <t>1.4</t>
      </is>
    </nc>
  </rcc>
  <rcc rId="9448" sId="1">
    <oc r="C320">
      <f>IF(B320="","",TEXT(B320,"0.0"))</f>
    </oc>
    <nc r="C320" t="inlineStr">
      <is>
        <t>1.4</t>
      </is>
    </nc>
  </rcc>
  <rcc rId="9449" sId="1">
    <oc r="C321">
      <f>IF(B321="","",TEXT(B321,"0.0"))</f>
    </oc>
    <nc r="C321" t="inlineStr">
      <is>
        <t>1.4</t>
      </is>
    </nc>
  </rcc>
  <rcc rId="9450" sId="1">
    <oc r="C322">
      <f>IF(B322="","",TEXT(B322,"0.0"))</f>
    </oc>
    <nc r="C322" t="inlineStr">
      <is>
        <t>1.4</t>
      </is>
    </nc>
  </rcc>
  <rcc rId="9451" sId="1">
    <oc r="C323">
      <f>IF(B323="","",TEXT(B323,"0.0"))</f>
    </oc>
    <nc r="C323" t="inlineStr">
      <is>
        <t>1.4</t>
      </is>
    </nc>
  </rcc>
  <rcc rId="9452" sId="1">
    <oc r="C324">
      <f>IF(B324="","",TEXT(B324,"0.0"))</f>
    </oc>
    <nc r="C324" t="inlineStr">
      <is>
        <t>1.4</t>
      </is>
    </nc>
  </rcc>
  <rcc rId="9453" sId="1">
    <oc r="C325">
      <f>IF(B325="","",TEXT(B325,"0.0"))</f>
    </oc>
    <nc r="C325" t="inlineStr">
      <is>
        <t>1.4</t>
      </is>
    </nc>
  </rcc>
  <rcc rId="9454" sId="1">
    <oc r="C326">
      <f>IF(B326="","",TEXT(B326,"0.0"))</f>
    </oc>
    <nc r="C326" t="inlineStr">
      <is>
        <t>1.4</t>
      </is>
    </nc>
  </rcc>
  <rcc rId="9455" sId="1">
    <oc r="C327">
      <f>IF(B327="","",TEXT(B327,"0.0"))</f>
    </oc>
    <nc r="C327" t="inlineStr">
      <is>
        <t/>
      </is>
    </nc>
  </rcc>
  <rcc rId="9456" sId="1">
    <oc r="C328">
      <f>IF(B328="","",TEXT(B328,"0.0"))</f>
    </oc>
    <nc r="C328" t="inlineStr">
      <is>
        <t>1.4</t>
      </is>
    </nc>
  </rcc>
  <rcc rId="9457" sId="1">
    <oc r="C329">
      <f>IF(B329="","",TEXT(B329,"0.0"))</f>
    </oc>
    <nc r="C329" t="inlineStr">
      <is>
        <t>1.4</t>
      </is>
    </nc>
  </rcc>
  <rcc rId="9458" sId="1">
    <oc r="C330">
      <f>IF(B330="","",TEXT(B330,"0.0"))</f>
    </oc>
    <nc r="C330" t="inlineStr">
      <is>
        <t>1.4</t>
      </is>
    </nc>
  </rcc>
  <rcc rId="9459" sId="1">
    <oc r="C331">
      <f>IF(B331="","",TEXT(B331,"0.0"))</f>
    </oc>
    <nc r="C331" t="inlineStr">
      <is>
        <t>1.4</t>
      </is>
    </nc>
  </rcc>
  <rcc rId="9460" sId="1">
    <oc r="C332">
      <f>IF(B332="","",TEXT(B332,"0.0"))</f>
    </oc>
    <nc r="C332" t="inlineStr">
      <is>
        <t>1.4</t>
      </is>
    </nc>
  </rcc>
  <rcc rId="9461" sId="1">
    <oc r="C333">
      <f>IF(B333="","",TEXT(B333,"0.0"))</f>
    </oc>
    <nc r="C333" t="inlineStr">
      <is>
        <t>1.4</t>
      </is>
    </nc>
  </rcc>
  <rcc rId="9462" sId="1">
    <oc r="C334">
      <f>IF(B334="","",TEXT(B334,"0.0"))</f>
    </oc>
    <nc r="C334" t="inlineStr">
      <is>
        <t>1.4</t>
      </is>
    </nc>
  </rcc>
  <rcc rId="9463" sId="1">
    <oc r="C335">
      <f>IF(B335="","",TEXT(B335,"0.0"))</f>
    </oc>
    <nc r="C335" t="inlineStr">
      <is>
        <t>1.4</t>
      </is>
    </nc>
  </rcc>
  <rcc rId="9464" sId="1">
    <oc r="C336">
      <f>IF(B336="","",TEXT(B336,"0.0"))</f>
    </oc>
    <nc r="C336" t="inlineStr">
      <is>
        <t>1.4</t>
      </is>
    </nc>
  </rcc>
  <rcc rId="9465" sId="1">
    <oc r="C337">
      <f>IF(B337="","",TEXT(B337,"0.0"))</f>
    </oc>
    <nc r="C337" t="inlineStr">
      <is>
        <t>1.4</t>
      </is>
    </nc>
  </rcc>
  <rcc rId="9466" sId="1">
    <oc r="C338">
      <f>IF(B338="","",TEXT(B338,"0.0"))</f>
    </oc>
    <nc r="C338" t="inlineStr">
      <is>
        <t>1.4</t>
      </is>
    </nc>
  </rcc>
  <rrc rId="9467"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t>
        </is>
      </nc>
    </rcc>
    <rcc rId="0" sId="1">
      <nc r="B136" t="inlineStr">
        <is>
          <t>1.5</t>
        </is>
      </nc>
    </rcc>
    <rcc rId="0" sId="1">
      <nc r="B137" t="inlineStr">
        <is>
          <t>1.4</t>
        </is>
      </nc>
    </rcc>
    <rcc rId="0" sId="1">
      <nc r="B138" t="inlineStr">
        <is>
          <t>1.5</t>
        </is>
      </nc>
    </rcc>
    <rcc rId="0" sId="1">
      <nc r="B139" t="inlineStr">
        <is>
          <t>1.4</t>
        </is>
      </nc>
    </rcc>
    <rcc rId="0" sId="1">
      <nc r="B140" t="inlineStr">
        <is>
          <t>1.5</t>
        </is>
      </nc>
    </rcc>
    <rcc rId="0" sId="1">
      <nc r="B141" t="inlineStr">
        <is>
          <t>1.4</t>
        </is>
      </nc>
    </rcc>
    <rcc rId="0" sId="1">
      <nc r="B142" t="inlineStr">
        <is>
          <t>1.4</t>
        </is>
      </nc>
    </rcc>
    <rcc rId="0" sId="1">
      <nc r="B143" t="inlineStr">
        <is>
          <t>1.5</t>
        </is>
      </nc>
    </rcc>
    <rcc rId="0" sId="1">
      <nc r="B144" t="inlineStr">
        <is>
          <t>1.4</t>
        </is>
      </nc>
    </rcc>
    <rcc rId="0" sId="1">
      <nc r="B145" t="inlineStr">
        <is>
          <t>1.5</t>
        </is>
      </nc>
    </rcc>
    <rcc rId="0" sId="1">
      <nc r="B146" t="inlineStr">
        <is>
          <t>1.5</t>
        </is>
      </nc>
    </rcc>
    <rcc rId="0" sId="1">
      <nc r="B147" t="inlineStr">
        <is>
          <t>1.4</t>
        </is>
      </nc>
    </rcc>
    <rcc rId="0" sId="1">
      <nc r="B148" t="inlineStr">
        <is>
          <t>1.5</t>
        </is>
      </nc>
    </rcc>
    <rcc rId="0" sId="1">
      <nc r="B149" t="inlineStr">
        <is>
          <t>1.5</t>
        </is>
      </nc>
    </rcc>
    <rcc rId="0" sId="1">
      <nc r="B150" t="inlineStr">
        <is>
          <t>1.4</t>
        </is>
      </nc>
    </rcc>
    <rcc rId="0" sId="1">
      <nc r="B151" t="inlineStr">
        <is>
          <t>1.5</t>
        </is>
      </nc>
    </rcc>
    <rcc rId="0" sId="1">
      <nc r="B152" t="inlineStr">
        <is>
          <t>1.4</t>
        </is>
      </nc>
    </rcc>
    <rcc rId="0" sId="1">
      <nc r="B153" t="inlineStr">
        <is>
          <t>1.5</t>
        </is>
      </nc>
    </rcc>
    <rcc rId="0" sId="1">
      <nc r="B154" t="inlineStr">
        <is>
          <t>1.5</t>
        </is>
      </nc>
    </rcc>
    <rcc rId="0" sId="1">
      <nc r="B155" t="inlineStr">
        <is>
          <t>1.5</t>
        </is>
      </nc>
    </rcc>
    <rcc rId="0" sId="1">
      <nc r="B156" t="inlineStr">
        <is>
          <t>1.4</t>
        </is>
      </nc>
    </rcc>
    <rcc rId="0" sId="1">
      <nc r="B157" t="inlineStr">
        <is>
          <t>1.5</t>
        </is>
      </nc>
    </rcc>
    <rcc rId="0" sId="1">
      <nc r="B158" t="inlineStr">
        <is>
          <t>1.4</t>
        </is>
      </nc>
    </rcc>
    <rcc rId="0" sId="1">
      <nc r="B159" t="inlineStr">
        <is>
          <t>1.5</t>
        </is>
      </nc>
    </rcc>
    <rcc rId="0" sId="1">
      <nc r="B160" t="inlineStr">
        <is>
          <t>1.5</t>
        </is>
      </nc>
    </rcc>
    <rcc rId="0" sId="1">
      <nc r="B161" t="inlineStr">
        <is>
          <t>1.4</t>
        </is>
      </nc>
    </rcc>
    <rcc rId="0" sId="1">
      <nc r="B162" t="inlineStr">
        <is>
          <t>1.5</t>
        </is>
      </nc>
    </rcc>
    <rcc rId="0" sId="1">
      <nc r="B163" t="inlineStr">
        <is>
          <t>1.5</t>
        </is>
      </nc>
    </rcc>
    <rcc rId="0" sId="1">
      <nc r="B164" t="inlineStr">
        <is>
          <t>1.4</t>
        </is>
      </nc>
    </rcc>
    <rcc rId="0" sId="1">
      <nc r="B165" t="inlineStr">
        <is>
          <t>1.5</t>
        </is>
      </nc>
    </rcc>
    <rcc rId="0" sId="1">
      <nc r="B166" t="inlineStr">
        <is>
          <t>1.5</t>
        </is>
      </nc>
    </rcc>
    <rcc rId="0" sId="1">
      <nc r="B167" t="inlineStr">
        <is>
          <t>1.4</t>
        </is>
      </nc>
    </rcc>
    <rcc rId="0" sId="1">
      <nc r="B168" t="inlineStr">
        <is>
          <t>1.4</t>
        </is>
      </nc>
    </rcc>
    <rcc rId="0" sId="1">
      <nc r="B169" t="inlineStr">
        <is>
          <t>1.5</t>
        </is>
      </nc>
    </rcc>
    <rcc rId="0" sId="1">
      <nc r="B170" t="inlineStr">
        <is>
          <t>1.4</t>
        </is>
      </nc>
    </rcc>
    <rcc rId="0" sId="1">
      <nc r="B171" t="inlineStr">
        <is>
          <t>1.5</t>
        </is>
      </nc>
    </rcc>
    <rcc rId="0" sId="1">
      <nc r="B172" t="inlineStr">
        <is>
          <t>1.5</t>
        </is>
      </nc>
    </rcc>
    <rcc rId="0" sId="1">
      <nc r="B173" t="inlineStr">
        <is>
          <t>1.4</t>
        </is>
      </nc>
    </rcc>
    <rcc rId="0" sId="1">
      <nc r="B174" t="inlineStr">
        <is>
          <t>1.4</t>
        </is>
      </nc>
    </rcc>
    <rcc rId="0" sId="1">
      <nc r="B175" t="inlineStr">
        <is>
          <t>1.5</t>
        </is>
      </nc>
    </rcc>
    <rcc rId="0" sId="1">
      <nc r="B176" t="inlineStr">
        <is>
          <t>1.5</t>
        </is>
      </nc>
    </rcc>
    <rcc rId="0" sId="1">
      <nc r="B177" t="inlineStr">
        <is>
          <t>1.4</t>
        </is>
      </nc>
    </rcc>
    <rcc rId="0" sId="1">
      <nc r="B178" t="inlineStr">
        <is>
          <t>1.5</t>
        </is>
      </nc>
    </rcc>
    <rcc rId="0" sId="1">
      <nc r="B179" t="inlineStr">
        <is>
          <t>1.4</t>
        </is>
      </nc>
    </rcc>
    <rcc rId="0" sId="1">
      <nc r="B180" t="inlineStr">
        <is>
          <t>1.5</t>
        </is>
      </nc>
    </rcc>
    <rcc rId="0" sId="1">
      <nc r="B181" t="inlineStr">
        <is>
          <t>1.4</t>
        </is>
      </nc>
    </rcc>
    <rcc rId="0" sId="1">
      <nc r="B182" t="inlineStr">
        <is>
          <t>1.4</t>
        </is>
      </nc>
    </rcc>
    <rcc rId="0" sId="1">
      <nc r="B183" t="inlineStr">
        <is>
          <t>1.5</t>
        </is>
      </nc>
    </rcc>
    <rcc rId="0" sId="1">
      <nc r="B184" t="inlineStr">
        <is>
          <t>1.4</t>
        </is>
      </nc>
    </rcc>
    <rcc rId="0" sId="1">
      <nc r="B185" t="inlineStr">
        <is>
          <t>1.5</t>
        </is>
      </nc>
    </rcc>
    <rcc rId="0" sId="1">
      <nc r="B186" t="inlineStr">
        <is>
          <t>1.5</t>
        </is>
      </nc>
    </rcc>
    <rcc rId="0" sId="1">
      <nc r="B187" t="inlineStr">
        <is>
          <t>1.4</t>
        </is>
      </nc>
    </rcc>
    <rcc rId="0" sId="1">
      <nc r="B188" t="inlineStr">
        <is>
          <t>1.4</t>
        </is>
      </nc>
    </rcc>
    <rcc rId="0" sId="1">
      <nc r="B189" t="inlineStr">
        <is>
          <t>1.5</t>
        </is>
      </nc>
    </rcc>
    <rcc rId="0" sId="1">
      <nc r="B190" t="inlineStr">
        <is>
          <t>1.5</t>
        </is>
      </nc>
    </rcc>
    <rcc rId="0" sId="1">
      <nc r="B191" t="inlineStr">
        <is>
          <t>1.5</t>
        </is>
      </nc>
    </rcc>
    <rcc rId="0" sId="1">
      <nc r="B192" t="inlineStr">
        <is>
          <t>1.4</t>
        </is>
      </nc>
    </rcc>
    <rcc rId="0" sId="1">
      <nc r="B193" t="inlineStr">
        <is>
          <t>1.4</t>
        </is>
      </nc>
    </rcc>
    <rcc rId="0" sId="1">
      <nc r="B194" t="inlineStr">
        <is>
          <t>1.5</t>
        </is>
      </nc>
    </rcc>
    <rcc rId="0" sId="1">
      <nc r="B195" t="inlineStr">
        <is>
          <t>1.4</t>
        </is>
      </nc>
    </rcc>
    <rcc rId="0" sId="1">
      <nc r="B196" t="inlineStr">
        <is>
          <t>1.5</t>
        </is>
      </nc>
    </rcc>
    <rcc rId="0" sId="1">
      <nc r="B197" t="inlineStr">
        <is>
          <t>1.5</t>
        </is>
      </nc>
    </rcc>
    <rcc rId="0" sId="1">
      <nc r="B198" t="inlineStr">
        <is>
          <t>1.4</t>
        </is>
      </nc>
    </rcc>
    <rcc rId="0" sId="1">
      <nc r="B199" t="inlineStr">
        <is>
          <t>1.4</t>
        </is>
      </nc>
    </rcc>
    <rcc rId="0" sId="1">
      <nc r="B200" t="inlineStr">
        <is>
          <t>1.5</t>
        </is>
      </nc>
    </rcc>
    <rcc rId="0" sId="1">
      <nc r="B201" t="inlineStr">
        <is>
          <t>1.4</t>
        </is>
      </nc>
    </rcc>
    <rcc rId="0" sId="1">
      <nc r="B202" t="inlineStr">
        <is>
          <t>1.4</t>
        </is>
      </nc>
    </rcc>
    <rcc rId="0" sId="1">
      <nc r="B203" t="inlineStr">
        <is>
          <t>1.5</t>
        </is>
      </nc>
    </rcc>
    <rcc rId="0" sId="1" dxf="1">
      <nc r="B204" t="inlineStr">
        <is>
          <t>NA</t>
        </is>
      </nc>
      <ndxf>
        <alignment horizontal="general" vertical="bottom"/>
      </ndxf>
    </rcc>
    <rcc rId="0" sId="1">
      <nc r="B205" t="inlineStr">
        <is>
          <t>1.5</t>
        </is>
      </nc>
    </rcc>
    <rcc rId="0" sId="1">
      <nc r="B206" t="inlineStr">
        <is>
          <t>1.4</t>
        </is>
      </nc>
    </rcc>
    <rcc rId="0" sId="1">
      <nc r="B207" t="inlineStr">
        <is>
          <t>1.5</t>
        </is>
      </nc>
    </rcc>
    <rcc rId="0" sId="1">
      <nc r="B208" t="inlineStr">
        <is>
          <t>1.4</t>
        </is>
      </nc>
    </rcc>
    <rcc rId="0" sId="1">
      <nc r="B209" t="inlineStr">
        <is>
          <t>1.5</t>
        </is>
      </nc>
    </rcc>
    <rcc rId="0" sId="1">
      <nc r="B210" t="inlineStr">
        <is>
          <t>1.4</t>
        </is>
      </nc>
    </rcc>
    <rcc rId="0" sId="1">
      <nc r="B211" t="inlineStr">
        <is>
          <t>1.4</t>
        </is>
      </nc>
    </rcc>
    <rcc rId="0" sId="1">
      <nc r="B212" t="inlineStr">
        <is>
          <t>1.5</t>
        </is>
      </nc>
    </rcc>
    <rcc rId="0" sId="1">
      <nc r="B213" t="inlineStr">
        <is>
          <t>1.4</t>
        </is>
      </nc>
    </rcc>
    <rcc rId="0" sId="1">
      <nc r="B214" t="inlineStr">
        <is>
          <t>1.4</t>
        </is>
      </nc>
    </rcc>
    <rcc rId="0" sId="1">
      <nc r="B215" t="inlineStr">
        <is>
          <t>1.5</t>
        </is>
      </nc>
    </rcc>
    <rcc rId="0" sId="1">
      <nc r="B216" t="inlineStr">
        <is>
          <t>1.5</t>
        </is>
      </nc>
    </rcc>
    <rcc rId="0" sId="1">
      <nc r="B217" t="inlineStr">
        <is>
          <t>1.5</t>
        </is>
      </nc>
    </rcc>
    <rcc rId="0" sId="1">
      <nc r="B218" t="inlineStr">
        <is>
          <t>1.4</t>
        </is>
      </nc>
    </rcc>
    <rcc rId="0" sId="1">
      <nc r="B219" t="inlineStr">
        <is>
          <t>1.5</t>
        </is>
      </nc>
    </rcc>
    <rcc rId="0" sId="1">
      <nc r="B220" t="inlineStr">
        <is>
          <t>1.4</t>
        </is>
      </nc>
    </rcc>
    <rcc rId="0" sId="1">
      <nc r="B221" t="inlineStr">
        <is>
          <t>1.5</t>
        </is>
      </nc>
    </rcc>
    <rcc rId="0" sId="1">
      <nc r="B222" t="inlineStr">
        <is>
          <t>1.4</t>
        </is>
      </nc>
    </rcc>
    <rcc rId="0" sId="1">
      <nc r="B223" t="inlineStr">
        <is>
          <t>1.5</t>
        </is>
      </nc>
    </rcc>
    <rcc rId="0" sId="1">
      <nc r="B224" t="inlineStr">
        <is>
          <t>1.5</t>
        </is>
      </nc>
    </rcc>
    <rcc rId="0" sId="1">
      <nc r="B225" t="inlineStr">
        <is>
          <t>1.4</t>
        </is>
      </nc>
    </rcc>
    <rcc rId="0" sId="1">
      <nc r="B226" t="inlineStr">
        <is>
          <t>NA</t>
        </is>
      </nc>
    </rcc>
    <rcc rId="0" sId="1">
      <nc r="B227" t="inlineStr">
        <is>
          <t>1.5</t>
        </is>
      </nc>
    </rcc>
    <rcc rId="0" sId="1">
      <nc r="B228" t="inlineStr">
        <is>
          <t>1.4</t>
        </is>
      </nc>
    </rcc>
    <rcc rId="0" sId="1">
      <nc r="B229" t="inlineStr">
        <is>
          <t>1.5</t>
        </is>
      </nc>
    </rcc>
    <rcc rId="0" sId="1">
      <nc r="B230" t="inlineStr">
        <is>
          <t>1.4</t>
        </is>
      </nc>
    </rcc>
    <rcc rId="0" sId="1">
      <nc r="B231" t="inlineStr">
        <is>
          <t>1.5</t>
        </is>
      </nc>
    </rcc>
    <rcc rId="0" sId="1">
      <nc r="B232" t="inlineStr">
        <is>
          <t>1.4</t>
        </is>
      </nc>
    </rcc>
    <rcc rId="0" sId="1">
      <nc r="B233" t="inlineStr">
        <is>
          <t>1.5</t>
        </is>
      </nc>
    </rcc>
    <rcc rId="0" sId="1">
      <nc r="B234" t="inlineStr">
        <is>
          <t>1.4</t>
        </is>
      </nc>
    </rcc>
    <rcc rId="0" sId="1">
      <nc r="B235" t="inlineStr">
        <is>
          <t>1.5</t>
        </is>
      </nc>
    </rcc>
    <rcc rId="0" sId="1">
      <nc r="B236" t="inlineStr">
        <is>
          <t>1.5</t>
        </is>
      </nc>
    </rcc>
    <rcc rId="0" sId="1">
      <nc r="B237" t="inlineStr">
        <is>
          <t>1.4</t>
        </is>
      </nc>
    </rcc>
    <rcc rId="0" sId="1">
      <nc r="B238" t="inlineStr">
        <is>
          <t>1.4</t>
        </is>
      </nc>
    </rcc>
    <rcc rId="0" sId="1">
      <nc r="B239" t="inlineStr">
        <is>
          <t>1.5</t>
        </is>
      </nc>
    </rcc>
    <rcc rId="0" sId="1">
      <nc r="B240" t="inlineStr">
        <is>
          <t>1.4</t>
        </is>
      </nc>
    </rcc>
    <rcc rId="0" sId="1">
      <nc r="B241" t="inlineStr">
        <is>
          <t>1.5</t>
        </is>
      </nc>
    </rcc>
    <rcc rId="0" sId="1">
      <nc r="B242" t="inlineStr">
        <is>
          <t>1.4</t>
        </is>
      </nc>
    </rcc>
    <rcc rId="0" sId="1">
      <nc r="B243" t="inlineStr">
        <is>
          <t>1.4</t>
        </is>
      </nc>
    </rcc>
    <rcc rId="0" sId="1">
      <nc r="B244" t="inlineStr">
        <is>
          <t>1.4</t>
        </is>
      </nc>
    </rcc>
    <rcc rId="0" sId="1">
      <nc r="B245" t="inlineStr">
        <is>
          <t>1.4</t>
        </is>
      </nc>
    </rcc>
    <rcc rId="0" sId="1">
      <nc r="B246" t="inlineStr">
        <is>
          <t>1.4</t>
        </is>
      </nc>
    </rcc>
    <rcc rId="0" sId="1">
      <nc r="B247" t="inlineStr">
        <is>
          <t>1.4</t>
        </is>
      </nc>
    </rcc>
    <rcc rId="0" sId="1">
      <nc r="B248" t="inlineStr">
        <is>
          <t>1.4</t>
        </is>
      </nc>
    </rcc>
    <rcc rId="0" sId="1">
      <nc r="B249" t="inlineStr">
        <is>
          <t>1.4</t>
        </is>
      </nc>
    </rcc>
    <rcc rId="0" sId="1">
      <nc r="B250" t="inlineStr">
        <is>
          <t>1.4</t>
        </is>
      </nc>
    </rcc>
    <rcc rId="0" sId="1">
      <nc r="B251" t="inlineStr">
        <is>
          <t>1.4</t>
        </is>
      </nc>
    </rcc>
    <rcc rId="0" sId="1">
      <nc r="B252" t="inlineStr">
        <is>
          <t>1.4</t>
        </is>
      </nc>
    </rcc>
    <rcc rId="0" sId="1">
      <nc r="B253" t="inlineStr">
        <is>
          <t>1.4</t>
        </is>
      </nc>
    </rcc>
    <rcc rId="0" sId="1">
      <nc r="B254" t="inlineStr">
        <is>
          <t>1.4</t>
        </is>
      </nc>
    </rcc>
    <rcc rId="0" sId="1">
      <nc r="B255" t="inlineStr">
        <is>
          <t>1.4</t>
        </is>
      </nc>
    </rcc>
    <rcc rId="0" sId="1">
      <nc r="B256" t="inlineStr">
        <is>
          <t>1.4</t>
        </is>
      </nc>
    </rcc>
    <rcc rId="0" sId="1">
      <nc r="B257" t="inlineStr">
        <is>
          <t>1.4</t>
        </is>
      </nc>
    </rcc>
    <rcc rId="0" sId="1">
      <nc r="B258" t="inlineStr">
        <is>
          <t>1.4</t>
        </is>
      </nc>
    </rcc>
    <rcc rId="0" sId="1">
      <nc r="B259" t="inlineStr">
        <is>
          <t>1.4</t>
        </is>
      </nc>
    </rcc>
    <rcc rId="0" sId="1">
      <nc r="B260" t="inlineStr">
        <is>
          <t>1.4</t>
        </is>
      </nc>
    </rcc>
    <rcc rId="0" sId="1">
      <nc r="B261" t="inlineStr">
        <is>
          <t>1.4</t>
        </is>
      </nc>
    </rcc>
    <rcc rId="0" sId="1">
      <nc r="B262" t="inlineStr">
        <is>
          <t>1.4</t>
        </is>
      </nc>
    </rcc>
    <rcc rId="0" sId="1">
      <nc r="B263" t="inlineStr">
        <is>
          <t>1.4</t>
        </is>
      </nc>
    </rcc>
    <rcc rId="0" sId="1">
      <nc r="B264" t="inlineStr">
        <is>
          <t>1.4</t>
        </is>
      </nc>
    </rcc>
    <rcc rId="0" sId="1">
      <nc r="B265" t="inlineStr">
        <is>
          <t>1.4</t>
        </is>
      </nc>
    </rcc>
    <rcc rId="0" sId="1">
      <nc r="B266" t="inlineStr">
        <is>
          <t>1.4</t>
        </is>
      </nc>
    </rcc>
    <rcc rId="0" sId="1">
      <nc r="B267" t="inlineStr">
        <is>
          <t>1.4</t>
        </is>
      </nc>
    </rcc>
    <rcc rId="0" sId="1">
      <nc r="B268" t="inlineStr">
        <is>
          <t>1.4</t>
        </is>
      </nc>
    </rcc>
    <rcc rId="0" sId="1">
      <nc r="B269" t="inlineStr">
        <is>
          <t>1.4</t>
        </is>
      </nc>
    </rcc>
    <rcc rId="0" sId="1">
      <nc r="B270" t="inlineStr">
        <is>
          <t>1.4</t>
        </is>
      </nc>
    </rcc>
    <rcc rId="0" sId="1">
      <nc r="B271" t="inlineStr">
        <is>
          <t>1.4</t>
        </is>
      </nc>
    </rcc>
    <rcc rId="0" sId="1">
      <nc r="B272" t="inlineStr">
        <is>
          <t>1.4</t>
        </is>
      </nc>
    </rcc>
    <rcc rId="0" sId="1">
      <nc r="B273" t="inlineStr">
        <is>
          <t>1.4</t>
        </is>
      </nc>
    </rcc>
    <rcc rId="0" sId="1">
      <nc r="B274" t="inlineStr">
        <is>
          <t>1.4</t>
        </is>
      </nc>
    </rcc>
    <rcc rId="0" sId="1">
      <nc r="B275" t="inlineStr">
        <is>
          <t>1.4</t>
        </is>
      </nc>
    </rcc>
    <rcc rId="0" sId="1">
      <nc r="B276" t="inlineStr">
        <is>
          <t>1.4</t>
        </is>
      </nc>
    </rcc>
    <rcc rId="0" sId="1">
      <nc r="B277" t="inlineStr">
        <is>
          <t>1.4</t>
        </is>
      </nc>
    </rcc>
    <rcc rId="0" sId="1">
      <nc r="B278" t="inlineStr">
        <is>
          <t>1.4</t>
        </is>
      </nc>
    </rcc>
    <rcc rId="0" sId="1">
      <nc r="B279" t="inlineStr">
        <is>
          <t>1.4</t>
        </is>
      </nc>
    </rcc>
    <rcc rId="0" sId="1">
      <nc r="B280" t="inlineStr">
        <is>
          <t>1.4</t>
        </is>
      </nc>
    </rcc>
    <rcc rId="0" sId="1">
      <nc r="B281" t="inlineStr">
        <is>
          <t>1.4</t>
        </is>
      </nc>
    </rcc>
    <rcc rId="0" sId="1">
      <nc r="B282" t="inlineStr">
        <is>
          <t>1.4</t>
        </is>
      </nc>
    </rcc>
    <rcc rId="0" sId="1">
      <nc r="B283" t="inlineStr">
        <is>
          <t>1.4</t>
        </is>
      </nc>
    </rcc>
    <rcc rId="0" sId="1">
      <nc r="B284" t="inlineStr">
        <is>
          <t>1.4</t>
        </is>
      </nc>
    </rcc>
    <rcc rId="0" sId="1">
      <nc r="B285" t="inlineStr">
        <is>
          <t>1.4</t>
        </is>
      </nc>
    </rcc>
    <rcc rId="0" sId="1">
      <nc r="B286" t="inlineStr">
        <is>
          <t>1.4</t>
        </is>
      </nc>
    </rcc>
    <rcc rId="0" sId="1">
      <nc r="B287" t="inlineStr">
        <is>
          <t>1.4</t>
        </is>
      </nc>
    </rcc>
    <rcc rId="0" sId="1">
      <nc r="B288" t="inlineStr">
        <is>
          <t>1.4</t>
        </is>
      </nc>
    </rcc>
    <rcc rId="0" sId="1">
      <nc r="B289" t="inlineStr">
        <is>
          <t>1.4</t>
        </is>
      </nc>
    </rcc>
    <rcc rId="0" sId="1">
      <nc r="B290" t="inlineStr">
        <is>
          <t>1.4</t>
        </is>
      </nc>
    </rcc>
    <rcc rId="0" sId="1">
      <nc r="B291" t="inlineStr">
        <is>
          <t>1.4</t>
        </is>
      </nc>
    </rcc>
    <rcc rId="0" sId="1">
      <nc r="B292" t="inlineStr">
        <is>
          <t>1.4</t>
        </is>
      </nc>
    </rcc>
    <rcc rId="0" sId="1">
      <nc r="B293" t="inlineStr">
        <is>
          <t>1.4</t>
        </is>
      </nc>
    </rcc>
    <rcc rId="0" sId="1">
      <nc r="B294" t="inlineStr">
        <is>
          <t>1.4</t>
        </is>
      </nc>
    </rcc>
    <rcc rId="0" sId="1">
      <nc r="B295" t="inlineStr">
        <is>
          <t>1.4</t>
        </is>
      </nc>
    </rcc>
    <rcc rId="0" sId="1">
      <nc r="B296" t="inlineStr">
        <is>
          <t>1.4</t>
        </is>
      </nc>
    </rcc>
    <rcc rId="0" sId="1">
      <nc r="B297" t="inlineStr">
        <is>
          <t>1.4</t>
        </is>
      </nc>
    </rcc>
    <rcc rId="0" sId="1">
      <nc r="B298" t="inlineStr">
        <is>
          <t>1.4</t>
        </is>
      </nc>
    </rcc>
    <rcc rId="0" sId="1">
      <nc r="B299" t="inlineStr">
        <is>
          <t>1.4</t>
        </is>
      </nc>
    </rcc>
    <rcc rId="0" sId="1">
      <nc r="B300" t="inlineStr">
        <is>
          <t>1.4</t>
        </is>
      </nc>
    </rcc>
    <rcc rId="0" sId="1">
      <nc r="B301" t="inlineStr">
        <is>
          <t>1.4</t>
        </is>
      </nc>
    </rcc>
    <rcc rId="0" sId="1">
      <nc r="B302" t="inlineStr">
        <is>
          <t>1.4</t>
        </is>
      </nc>
    </rcc>
    <rcc rId="0" sId="1">
      <nc r="B303" t="inlineStr">
        <is>
          <t>1.4</t>
        </is>
      </nc>
    </rcc>
    <rcc rId="0" sId="1">
      <nc r="B304" t="inlineStr">
        <is>
          <t>1.4</t>
        </is>
      </nc>
    </rcc>
    <rcc rId="0" sId="1">
      <nc r="B305" t="inlineStr">
        <is>
          <t>1.4</t>
        </is>
      </nc>
    </rcc>
    <rcc rId="0" sId="1">
      <nc r="B306" t="inlineStr">
        <is>
          <t>1.4</t>
        </is>
      </nc>
    </rcc>
    <rcc rId="0" sId="1">
      <nc r="B307" t="inlineStr">
        <is>
          <t>1.4</t>
        </is>
      </nc>
    </rcc>
    <rcc rId="0" sId="1">
      <nc r="B308" t="inlineStr">
        <is>
          <t>1.4</t>
        </is>
      </nc>
    </rcc>
    <rcc rId="0" sId="1">
      <nc r="B309" t="inlineStr">
        <is>
          <t>1.4</t>
        </is>
      </nc>
    </rcc>
    <rcc rId="0" sId="1">
      <nc r="B310" t="inlineStr">
        <is>
          <t>1.4</t>
        </is>
      </nc>
    </rcc>
    <rcc rId="0" sId="1">
      <nc r="B311" t="inlineStr">
        <is>
          <t>1.4</t>
        </is>
      </nc>
    </rcc>
    <rcc rId="0" sId="1">
      <nc r="B312" t="inlineStr">
        <is>
          <t>1.4</t>
        </is>
      </nc>
    </rcc>
    <rcc rId="0" sId="1">
      <nc r="B313" t="inlineStr">
        <is>
          <t>1.4</t>
        </is>
      </nc>
    </rcc>
    <rcc rId="0" sId="1">
      <nc r="B314" t="inlineStr">
        <is>
          <t>1.4</t>
        </is>
      </nc>
    </rcc>
    <rcc rId="0" sId="1">
      <nc r="B315" t="inlineStr">
        <is>
          <t>1.4</t>
        </is>
      </nc>
    </rcc>
    <rcc rId="0" sId="1">
      <nc r="B316" t="inlineStr">
        <is>
          <t>1.4</t>
        </is>
      </nc>
    </rcc>
    <rcc rId="0" sId="1">
      <nc r="B317" t="inlineStr">
        <is>
          <t>1.4</t>
        </is>
      </nc>
    </rcc>
    <rcc rId="0" sId="1">
      <nc r="B318" t="inlineStr">
        <is>
          <t>1.4</t>
        </is>
      </nc>
    </rcc>
    <rcc rId="0" sId="1">
      <nc r="B319" t="inlineStr">
        <is>
          <t>1.4</t>
        </is>
      </nc>
    </rcc>
    <rcc rId="0" sId="1">
      <nc r="B320" t="inlineStr">
        <is>
          <t>1.4</t>
        </is>
      </nc>
    </rcc>
    <rcc rId="0" sId="1">
      <nc r="B321" t="inlineStr">
        <is>
          <t>1.4</t>
        </is>
      </nc>
    </rcc>
    <rcc rId="0" sId="1">
      <nc r="B322" t="inlineStr">
        <is>
          <t>1.4</t>
        </is>
      </nc>
    </rcc>
    <rcc rId="0" sId="1">
      <nc r="B323" t="inlineStr">
        <is>
          <t>1.4</t>
        </is>
      </nc>
    </rcc>
    <rcc rId="0" sId="1">
      <nc r="B324" t="inlineStr">
        <is>
          <t>1.4</t>
        </is>
      </nc>
    </rcc>
    <rcc rId="0" sId="1">
      <nc r="B325" t="inlineStr">
        <is>
          <t>1.4</t>
        </is>
      </nc>
    </rcc>
    <rcc rId="0" sId="1">
      <nc r="B326" t="inlineStr">
        <is>
          <t>1.4</t>
        </is>
      </nc>
    </rcc>
    <rcc rId="0" sId="1">
      <nc r="B328" t="inlineStr">
        <is>
          <t>1.4</t>
        </is>
      </nc>
    </rcc>
    <rcc rId="0" sId="1">
      <nc r="B329" t="inlineStr">
        <is>
          <t>1.4</t>
        </is>
      </nc>
    </rcc>
    <rcc rId="0" sId="1">
      <nc r="B330" t="inlineStr">
        <is>
          <t>1.4</t>
        </is>
      </nc>
    </rcc>
    <rcc rId="0" sId="1">
      <nc r="B331" t="inlineStr">
        <is>
          <t>1.4</t>
        </is>
      </nc>
    </rcc>
    <rcc rId="0" sId="1">
      <nc r="B332" t="inlineStr">
        <is>
          <t>1.4</t>
        </is>
      </nc>
    </rcc>
    <rcc rId="0" sId="1">
      <nc r="B333" t="inlineStr">
        <is>
          <t>1.4</t>
        </is>
      </nc>
    </rcc>
    <rcc rId="0" sId="1">
      <nc r="B334" t="inlineStr">
        <is>
          <t>1.4</t>
        </is>
      </nc>
    </rcc>
    <rcc rId="0" sId="1">
      <nc r="B335" t="inlineStr">
        <is>
          <t>1.4</t>
        </is>
      </nc>
    </rcc>
    <rcc rId="0" sId="1">
      <nc r="B336" t="inlineStr">
        <is>
          <t>1.4</t>
        </is>
      </nc>
    </rcc>
    <rcc rId="0" sId="1">
      <nc r="B337" t="inlineStr">
        <is>
          <t>1.4</t>
        </is>
      </nc>
    </rcc>
    <rcc rId="0" sId="1">
      <nc r="B338" t="inlineStr">
        <is>
          <t>1.4</t>
        </is>
      </nc>
    </rcc>
  </rrc>
  <rcc rId="9468" sId="1">
    <nc r="B1" t="inlineStr">
      <is>
        <t>nest</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69" sId="1">
    <oc r="B2" t="inlineStr">
      <is>
        <t>1.2</t>
      </is>
    </oc>
    <nc r="B2"/>
  </rcc>
  <rrc rId="9470" sId="2" ref="C1:C1048576" action="insertCol"/>
  <rcc rId="9471" sId="2">
    <nc r="C2">
      <f>IF(B2="","",TEXT(B2,"0.0"))</f>
    </nc>
  </rcc>
  <rcc rId="9472" sId="2" odxf="1" dxf="1">
    <nc r="C3">
      <f>IF(B3="","",TEXT(B3,"0.0"))</f>
    </nc>
    <odxf>
      <font>
        <color rgb="FFFF0000"/>
      </font>
    </odxf>
    <ndxf>
      <font>
        <sz val="12"/>
        <color theme="1"/>
        <name val="Calibri"/>
        <family val="2"/>
        <scheme val="minor"/>
      </font>
    </ndxf>
  </rcc>
  <rcc rId="9473" sId="2">
    <nc r="C4">
      <f>IF(B4="","",TEXT(B4,"0.0"))</f>
    </nc>
  </rcc>
  <rcc rId="9474" sId="2">
    <nc r="C5">
      <f>IF(B5="","",TEXT(B5,"0.0"))</f>
    </nc>
  </rcc>
  <rcc rId="9475" sId="2">
    <nc r="C6">
      <f>IF(B6="","",TEXT(B6,"0.0"))</f>
    </nc>
  </rcc>
  <rcc rId="9476" sId="2">
    <nc r="C7">
      <f>IF(B7="","",TEXT(B7,"0.0"))</f>
    </nc>
  </rcc>
  <rcc rId="9477" sId="2">
    <nc r="C8">
      <f>IF(B8="","",TEXT(B8,"0.0"))</f>
    </nc>
  </rcc>
  <rcc rId="9478" sId="2">
    <nc r="C9">
      <f>IF(B9="","",TEXT(B9,"0.0"))</f>
    </nc>
  </rcc>
  <rcc rId="9479" sId="2">
    <nc r="C10">
      <f>IF(B10="","",TEXT(B10,"0.0"))</f>
    </nc>
  </rcc>
  <rcc rId="9480" sId="2">
    <nc r="C11">
      <f>IF(B11="","",TEXT(B11,"0.0"))</f>
    </nc>
  </rcc>
  <rcc rId="9481" sId="2">
    <nc r="C12">
      <f>IF(B12="","",TEXT(B12,"0.0"))</f>
    </nc>
  </rcc>
  <rcc rId="9482" sId="2" odxf="1" dxf="1">
    <nc r="C13">
      <f>IF(B13="","",TEXT(B13,"0.0"))</f>
    </nc>
    <odxf>
      <font>
        <color rgb="FFFF0000"/>
      </font>
    </odxf>
    <ndxf>
      <font>
        <sz val="12"/>
        <color theme="1"/>
        <name val="Calibri"/>
        <family val="2"/>
        <scheme val="minor"/>
      </font>
    </ndxf>
  </rcc>
  <rcc rId="9483" sId="2" odxf="1" dxf="1">
    <nc r="C14">
      <f>IF(B14="","",TEXT(B14,"0.0"))</f>
    </nc>
    <odxf>
      <font>
        <color rgb="FFFF0000"/>
      </font>
    </odxf>
    <ndxf>
      <font>
        <sz val="12"/>
        <color theme="1"/>
        <name val="Calibri"/>
        <family val="2"/>
        <scheme val="minor"/>
      </font>
    </ndxf>
  </rcc>
  <rcc rId="9484" sId="2">
    <nc r="C15">
      <f>IF(B15="","",TEXT(B15,"0.0"))</f>
    </nc>
  </rcc>
  <rcc rId="9485" sId="2">
    <nc r="C16">
      <f>IF(B16="","",TEXT(B16,"0.0"))</f>
    </nc>
  </rcc>
  <rcc rId="9486" sId="2">
    <nc r="C17">
      <f>IF(B17="","",TEXT(B17,"0.0"))</f>
    </nc>
  </rcc>
  <rcc rId="9487" sId="2">
    <nc r="C18">
      <f>IF(B18="","",TEXT(B18,"0.0"))</f>
    </nc>
  </rcc>
  <rcc rId="9488" sId="2">
    <nc r="C19">
      <f>IF(B19="","",TEXT(B19,"0.0"))</f>
    </nc>
  </rcc>
  <rcc rId="9489" sId="2">
    <nc r="C20">
      <f>IF(B20="","",TEXT(B20,"0.0"))</f>
    </nc>
  </rcc>
  <rcc rId="9490" sId="2">
    <nc r="C21">
      <f>IF(B21="","",TEXT(B21,"0.0"))</f>
    </nc>
  </rcc>
  <rcc rId="9491" sId="2">
    <nc r="C22">
      <f>IF(B22="","",TEXT(B22,"0.0"))</f>
    </nc>
  </rcc>
  <rcc rId="9492" sId="2">
    <nc r="C23">
      <f>IF(B23="","",TEXT(B23,"0.0"))</f>
    </nc>
  </rcc>
  <rcc rId="9493" sId="2">
    <nc r="C24">
      <f>IF(B24="","",TEXT(B24,"0.0"))</f>
    </nc>
  </rcc>
  <rcc rId="9494" sId="2">
    <nc r="C25">
      <f>IF(B25="","",TEXT(B25,"0.0"))</f>
    </nc>
  </rcc>
  <rcc rId="9495" sId="2">
    <nc r="C26">
      <f>IF(B26="","",TEXT(B26,"0.0"))</f>
    </nc>
  </rcc>
  <rcc rId="9496" sId="2">
    <nc r="C27">
      <f>IF(B27="","",TEXT(B27,"0.0"))</f>
    </nc>
  </rcc>
  <rcc rId="9497" sId="2">
    <nc r="C28">
      <f>IF(B28="","",TEXT(B28,"0.0"))</f>
    </nc>
  </rcc>
  <rcc rId="9498" sId="2">
    <nc r="C29">
      <f>IF(B29="","",TEXT(B29,"0.0"))</f>
    </nc>
  </rcc>
  <rcc rId="9499" sId="2">
    <nc r="C30">
      <f>IF(B30="","",TEXT(B30,"0.0"))</f>
    </nc>
  </rcc>
  <rcc rId="9500" sId="2">
    <nc r="C31">
      <f>IF(B31="","",TEXT(B31,"0.0"))</f>
    </nc>
  </rcc>
  <rcc rId="9501" sId="2">
    <nc r="C32">
      <f>IF(B32="","",TEXT(B32,"0.0"))</f>
    </nc>
  </rcc>
  <rcc rId="9502" sId="2">
    <nc r="C33">
      <f>IF(B33="","",TEXT(B33,"0.0"))</f>
    </nc>
  </rcc>
  <rcc rId="9503" sId="2">
    <nc r="C34">
      <f>IF(B34="","",TEXT(B34,"0.0"))</f>
    </nc>
  </rcc>
  <rcc rId="9504" sId="2">
    <nc r="C35">
      <f>IF(B35="","",TEXT(B35,"0.0"))</f>
    </nc>
  </rcc>
  <rcc rId="9505" sId="2">
    <nc r="C36">
      <f>IF(B36="","",TEXT(B36,"0.0"))</f>
    </nc>
  </rcc>
  <rcc rId="9506" sId="2">
    <nc r="C37">
      <f>IF(B37="","",TEXT(B37,"0.0"))</f>
    </nc>
  </rcc>
  <rcc rId="9507" sId="2">
    <nc r="C38">
      <f>IF(B38="","",TEXT(B38,"0.0"))</f>
    </nc>
  </rcc>
  <rcc rId="9508" sId="2">
    <nc r="C39">
      <f>IF(B39="","",TEXT(B39,"0.0"))</f>
    </nc>
  </rcc>
  <rcc rId="9509" sId="2">
    <nc r="C40">
      <f>IF(B40="","",TEXT(B40,"0.0"))</f>
    </nc>
  </rcc>
  <rcc rId="9510" sId="2">
    <nc r="C41">
      <f>IF(B41="","",TEXT(B41,"0.0"))</f>
    </nc>
  </rcc>
  <rcc rId="9511" sId="2">
    <nc r="C42">
      <f>IF(B42="","",TEXT(B42,"0.0"))</f>
    </nc>
  </rcc>
  <rcc rId="9512" sId="2">
    <nc r="C43">
      <f>IF(B43="","",TEXT(B43,"0.0"))</f>
    </nc>
  </rcc>
  <rcc rId="9513" sId="2">
    <nc r="C44">
      <f>IF(B44="","",TEXT(B44,"0.0"))</f>
    </nc>
  </rcc>
  <rcc rId="9514" sId="2">
    <nc r="C45">
      <f>IF(B45="","",TEXT(B45,"0.0"))</f>
    </nc>
  </rcc>
  <rcc rId="9515" sId="2">
    <nc r="C46">
      <f>IF(B46="","",TEXT(B46,"0.0"))</f>
    </nc>
  </rcc>
  <rcc rId="9516" sId="2">
    <nc r="C47">
      <f>IF(B47="","",TEXT(B47,"0.0"))</f>
    </nc>
  </rcc>
  <rcc rId="9517" sId="2">
    <nc r="C48">
      <f>IF(B48="","",TEXT(B48,"0.0"))</f>
    </nc>
  </rcc>
  <rcc rId="9518" sId="2">
    <nc r="C49">
      <f>IF(B49="","",TEXT(B49,"0.0"))</f>
    </nc>
  </rcc>
  <rcc rId="9519" sId="2">
    <nc r="C50">
      <f>IF(B50="","",TEXT(B50,"0.0"))</f>
    </nc>
  </rcc>
  <rcc rId="9520" sId="2">
    <nc r="C51">
      <f>IF(B51="","",TEXT(B51,"0.0"))</f>
    </nc>
  </rcc>
  <rcc rId="9521" sId="2">
    <nc r="C52">
      <f>IF(B52="","",TEXT(B52,"0.0"))</f>
    </nc>
  </rcc>
  <rcc rId="9522" sId="2">
    <nc r="C53">
      <f>IF(B53="","",TEXT(B53,"0.0"))</f>
    </nc>
  </rcc>
  <rcc rId="9523" sId="2">
    <nc r="C54">
      <f>IF(B54="","",TEXT(B54,"0.0"))</f>
    </nc>
  </rcc>
  <rcc rId="9524" sId="2">
    <nc r="C55">
      <f>IF(B55="","",TEXT(B55,"0.0"))</f>
    </nc>
  </rcc>
  <rcc rId="9525" sId="2">
    <nc r="C56">
      <f>IF(B56="","",TEXT(B56,"0.0"))</f>
    </nc>
  </rcc>
  <rcc rId="9526" sId="2">
    <nc r="C57">
      <f>IF(B57="","",TEXT(B57,"0.0"))</f>
    </nc>
  </rcc>
  <rcc rId="9527" sId="2">
    <nc r="C58">
      <f>IF(B58="","",TEXT(B58,"0.0"))</f>
    </nc>
  </rcc>
  <rcc rId="9528" sId="2">
    <nc r="C59">
      <f>IF(B59="","",TEXT(B59,"0.0"))</f>
    </nc>
  </rcc>
  <rcc rId="9529" sId="2">
    <nc r="C60">
      <f>IF(B60="","",TEXT(B60,"0.0"))</f>
    </nc>
  </rcc>
  <rcc rId="9530" sId="2">
    <nc r="C61">
      <f>IF(B61="","",TEXT(B61,"0.0"))</f>
    </nc>
  </rcc>
  <rcc rId="9531" sId="2">
    <nc r="C62">
      <f>IF(B62="","",TEXT(B62,"0.0"))</f>
    </nc>
  </rcc>
  <rcc rId="9532" sId="2">
    <nc r="C63">
      <f>IF(B63="","",TEXT(B63,"0.0"))</f>
    </nc>
  </rcc>
  <rcc rId="9533" sId="2">
    <nc r="C64">
      <f>IF(B64="","",TEXT(B64,"0.0"))</f>
    </nc>
  </rcc>
  <rcc rId="9534" sId="2">
    <nc r="C65">
      <f>IF(B65="","",TEXT(B65,"0.0"))</f>
    </nc>
  </rcc>
  <rcc rId="9535" sId="2">
    <nc r="C66">
      <f>IF(B66="","",TEXT(B66,"0.0"))</f>
    </nc>
  </rcc>
  <rcc rId="9536" sId="2">
    <nc r="C67">
      <f>IF(B67="","",TEXT(B67,"0.0"))</f>
    </nc>
  </rcc>
  <rcc rId="9537" sId="2">
    <nc r="C68">
      <f>IF(B68="","",TEXT(B68,"0.0"))</f>
    </nc>
  </rcc>
  <rcc rId="9538" sId="2">
    <nc r="C69">
      <f>IF(B69="","",TEXT(B69,"0.0"))</f>
    </nc>
  </rcc>
  <rcc rId="9539" sId="2">
    <nc r="C70">
      <f>IF(B70="","",TEXT(B70,"0.0"))</f>
    </nc>
  </rcc>
  <rcc rId="9540" sId="2">
    <nc r="C71">
      <f>IF(B71="","",TEXT(B71,"0.0"))</f>
    </nc>
  </rcc>
  <rcc rId="9541" sId="2">
    <nc r="C72">
      <f>IF(B72="","",TEXT(B72,"0.0"))</f>
    </nc>
  </rcc>
  <rcc rId="9542" sId="2">
    <nc r="C73">
      <f>IF(B73="","",TEXT(B73,"0.0"))</f>
    </nc>
  </rcc>
  <rcc rId="9543" sId="2">
    <nc r="C74">
      <f>IF(B74="","",TEXT(B74,"0.0"))</f>
    </nc>
  </rcc>
  <rcc rId="9544" sId="2">
    <nc r="C75">
      <f>IF(B75="","",TEXT(B75,"0.0"))</f>
    </nc>
  </rcc>
  <rcc rId="9545" sId="2">
    <nc r="C76">
      <f>IF(B76="","",TEXT(B76,"0.0"))</f>
    </nc>
  </rcc>
  <rcc rId="9546" sId="2">
    <nc r="C77">
      <f>IF(B77="","",TEXT(B77,"0.0"))</f>
    </nc>
  </rcc>
  <rcc rId="9547" sId="2" odxf="1" dxf="1">
    <nc r="C78">
      <f>IF(B78="","",TEXT(B78,"0.0"))</f>
    </nc>
    <odxf>
      <alignment horizontal="general" vertical="bottom"/>
    </odxf>
    <ndxf>
      <alignment horizontal="left" vertical="top"/>
    </ndxf>
  </rcc>
  <rcc rId="9548" sId="2" odxf="1" dxf="1">
    <nc r="C79">
      <f>IF(B79="","",TEXT(B79,"0.0"))</f>
    </nc>
    <odxf>
      <alignment horizontal="general" vertical="bottom"/>
    </odxf>
    <ndxf>
      <alignment horizontal="left" vertical="top"/>
    </ndxf>
  </rcc>
  <rcc rId="9549" sId="2" odxf="1" dxf="1">
    <nc r="C80">
      <f>IF(B80="","",TEXT(B80,"0.0"))</f>
    </nc>
    <odxf>
      <alignment horizontal="general" vertical="bottom"/>
    </odxf>
    <ndxf>
      <alignment horizontal="left" vertical="top"/>
    </ndxf>
  </rcc>
  <rcc rId="9550" sId="2" odxf="1" dxf="1">
    <nc r="C81">
      <f>IF(B81="","",TEXT(B81,"0.0"))</f>
    </nc>
    <odxf>
      <alignment horizontal="general" vertical="bottom"/>
    </odxf>
    <ndxf>
      <alignment horizontal="left" vertical="top"/>
    </ndxf>
  </rcc>
  <rcc rId="9551" sId="2" odxf="1" dxf="1">
    <nc r="C82">
      <f>IF(B82="","",TEXT(B82,"0.0"))</f>
    </nc>
    <odxf>
      <alignment horizontal="general" vertical="bottom"/>
    </odxf>
    <ndxf>
      <alignment horizontal="left" vertical="top"/>
    </ndxf>
  </rcc>
  <rcc rId="9552" sId="2" odxf="1" dxf="1">
    <nc r="C83">
      <f>IF(B83="","",TEXT(B83,"0.0"))</f>
    </nc>
    <odxf>
      <alignment horizontal="general" vertical="bottom"/>
    </odxf>
    <ndxf>
      <alignment horizontal="left" vertical="top"/>
    </ndxf>
  </rcc>
  <rcc rId="9553" sId="2" odxf="1" dxf="1">
    <nc r="C84">
      <f>IF(B84="","",TEXT(B84,"0.0"))</f>
    </nc>
    <odxf>
      <alignment horizontal="general" vertical="bottom"/>
    </odxf>
    <ndxf>
      <alignment horizontal="left" vertical="top"/>
    </ndxf>
  </rcc>
  <rcc rId="9554" sId="2" odxf="1" dxf="1">
    <nc r="C85">
      <f>IF(B85="","",TEXT(B85,"0.0"))</f>
    </nc>
    <odxf>
      <alignment horizontal="general" vertical="bottom"/>
    </odxf>
    <ndxf>
      <alignment horizontal="left" vertical="top"/>
    </ndxf>
  </rcc>
  <rcc rId="9555" sId="2" odxf="1" dxf="1">
    <nc r="C86">
      <f>IF(B86="","",TEXT(B86,"0.0"))</f>
    </nc>
    <odxf>
      <alignment horizontal="general" vertical="bottom"/>
    </odxf>
    <ndxf>
      <alignment horizontal="left" vertical="top"/>
    </ndxf>
  </rcc>
  <rcc rId="9556" sId="2" odxf="1" dxf="1">
    <nc r="C87">
      <f>IF(B87="","",TEXT(B87,"0.0"))</f>
    </nc>
    <odxf>
      <alignment horizontal="general" vertical="bottom"/>
    </odxf>
    <ndxf>
      <alignment horizontal="left" vertical="top"/>
    </ndxf>
  </rcc>
  <rcc rId="9557" sId="2" odxf="1" dxf="1">
    <nc r="C88">
      <f>IF(B88="","",TEXT(B88,"0.0"))</f>
    </nc>
    <odxf>
      <alignment horizontal="general" vertical="bottom"/>
    </odxf>
    <ndxf>
      <alignment horizontal="left" vertical="top"/>
    </ndxf>
  </rcc>
  <rcc rId="9558" sId="2" odxf="1" dxf="1">
    <nc r="C89">
      <f>IF(B89="","",TEXT(B89,"0.0"))</f>
    </nc>
    <odxf>
      <alignment horizontal="general" vertical="bottom"/>
    </odxf>
    <ndxf>
      <alignment horizontal="left" vertical="top"/>
    </ndxf>
  </rcc>
  <rcc rId="9559" sId="2" odxf="1" dxf="1">
    <nc r="C90">
      <f>IF(B90="","",TEXT(B90,"0.0"))</f>
    </nc>
    <odxf>
      <alignment horizontal="general" vertical="bottom"/>
    </odxf>
    <ndxf>
      <alignment horizontal="left" vertical="top"/>
    </ndxf>
  </rcc>
  <rcc rId="9560" sId="2" odxf="1" dxf="1">
    <nc r="C91">
      <f>IF(B91="","",TEXT(B91,"0.0"))</f>
    </nc>
    <odxf>
      <alignment horizontal="general" vertical="bottom"/>
    </odxf>
    <ndxf>
      <alignment horizontal="left" vertical="top"/>
    </ndxf>
  </rcc>
  <rcc rId="9561" sId="2" odxf="1" dxf="1">
    <nc r="C92">
      <f>IF(B92="","",TEXT(B92,"0.0"))</f>
    </nc>
    <odxf>
      <alignment horizontal="general" vertical="bottom"/>
    </odxf>
    <ndxf>
      <alignment horizontal="left" vertical="top"/>
    </ndxf>
  </rcc>
  <rcc rId="9562" sId="2" odxf="1" dxf="1">
    <nc r="C93">
      <f>IF(B93="","",TEXT(B93,"0.0"))</f>
    </nc>
    <odxf>
      <alignment horizontal="general" vertical="bottom"/>
    </odxf>
    <ndxf>
      <alignment horizontal="left" vertical="top"/>
    </ndxf>
  </rcc>
  <rcc rId="9563" sId="2" odxf="1" dxf="1">
    <nc r="C94">
      <f>IF(B94="","",TEXT(B94,"0.0"))</f>
    </nc>
    <odxf>
      <alignment horizontal="general" vertical="bottom"/>
    </odxf>
    <ndxf>
      <alignment horizontal="left" vertical="top"/>
    </ndxf>
  </rcc>
  <rcc rId="9564" sId="2" odxf="1" dxf="1">
    <nc r="C95">
      <f>IF(B95="","",TEXT(B95,"0.0"))</f>
    </nc>
    <odxf>
      <alignment horizontal="general" vertical="bottom"/>
    </odxf>
    <ndxf>
      <alignment horizontal="left" vertical="top"/>
    </ndxf>
  </rcc>
  <rcc rId="9565" sId="2" odxf="1" dxf="1">
    <nc r="C96">
      <f>IF(B96="","",TEXT(B96,"0.0"))</f>
    </nc>
    <odxf>
      <alignment horizontal="general" vertical="bottom"/>
    </odxf>
    <ndxf>
      <alignment horizontal="left" vertical="top"/>
    </ndxf>
  </rcc>
  <rcc rId="9566" sId="2" odxf="1" dxf="1">
    <nc r="C97">
      <f>IF(B97="","",TEXT(B97,"0.0"))</f>
    </nc>
    <odxf>
      <alignment horizontal="general" vertical="bottom"/>
    </odxf>
    <ndxf>
      <alignment horizontal="left" vertical="top"/>
    </ndxf>
  </rcc>
  <rcc rId="9567" sId="2" odxf="1" dxf="1">
    <nc r="C98">
      <f>IF(B98="","",TEXT(B98,"0.0"))</f>
    </nc>
    <odxf>
      <alignment horizontal="general" vertical="bottom"/>
    </odxf>
    <ndxf>
      <alignment horizontal="left" vertical="top"/>
    </ndxf>
  </rcc>
  <rcc rId="9568" sId="2" odxf="1" dxf="1">
    <nc r="C99">
      <f>IF(B99="","",TEXT(B99,"0.0"))</f>
    </nc>
    <odxf>
      <alignment horizontal="general" vertical="bottom"/>
    </odxf>
    <ndxf>
      <alignment horizontal="left" vertical="top"/>
    </ndxf>
  </rcc>
  <rcc rId="9569" sId="2" odxf="1" dxf="1">
    <nc r="C100">
      <f>IF(B100="","",TEXT(B100,"0.0"))</f>
    </nc>
    <odxf>
      <alignment horizontal="general" vertical="bottom"/>
    </odxf>
    <ndxf>
      <alignment horizontal="left" vertical="top"/>
    </ndxf>
  </rcc>
  <rcc rId="9570" sId="2" odxf="1" dxf="1">
    <nc r="C101">
      <f>IF(B101="","",TEXT(B101,"0.0"))</f>
    </nc>
    <odxf>
      <alignment horizontal="general" vertical="bottom"/>
    </odxf>
    <ndxf>
      <alignment horizontal="left" vertical="top"/>
    </ndxf>
  </rcc>
  <rcc rId="9571" sId="2" odxf="1" dxf="1">
    <nc r="C102">
      <f>IF(B102="","",TEXT(B102,"0.0"))</f>
    </nc>
    <odxf>
      <alignment horizontal="general" vertical="bottom"/>
    </odxf>
    <ndxf>
      <alignment horizontal="left" vertical="top"/>
    </ndxf>
  </rcc>
  <rcc rId="9572" sId="2" odxf="1" dxf="1">
    <nc r="C103">
      <f>IF(B103="","",TEXT(B103,"0.0"))</f>
    </nc>
    <odxf>
      <alignment horizontal="general" vertical="bottom"/>
    </odxf>
    <ndxf>
      <alignment horizontal="left" vertical="top"/>
    </ndxf>
  </rcc>
  <rcc rId="9573" sId="2" odxf="1" dxf="1">
    <nc r="C104">
      <f>IF(B104="","",TEXT(B104,"0.0"))</f>
    </nc>
    <odxf>
      <alignment horizontal="general" vertical="bottom"/>
    </odxf>
    <ndxf>
      <alignment horizontal="left" vertical="top"/>
    </ndxf>
  </rcc>
  <rcc rId="9574" sId="2" odxf="1" dxf="1">
    <nc r="C105">
      <f>IF(B105="","",TEXT(B105,"0.0"))</f>
    </nc>
    <odxf>
      <alignment horizontal="general" vertical="bottom"/>
    </odxf>
    <ndxf>
      <alignment horizontal="left" vertical="top"/>
    </ndxf>
  </rcc>
  <rcc rId="9575" sId="2" odxf="1" dxf="1">
    <nc r="C106">
      <f>IF(B106="","",TEXT(B106,"0.0"))</f>
    </nc>
    <odxf>
      <alignment horizontal="general" vertical="bottom"/>
    </odxf>
    <ndxf>
      <alignment horizontal="left" vertical="top"/>
    </ndxf>
  </rcc>
  <rcc rId="9576" sId="2" odxf="1" dxf="1">
    <nc r="C107">
      <f>IF(B107="","",TEXT(B107,"0.0"))</f>
    </nc>
    <odxf>
      <alignment horizontal="general" vertical="bottom"/>
    </odxf>
    <ndxf>
      <alignment horizontal="left" vertical="top"/>
    </ndxf>
  </rcc>
  <rcc rId="9577" sId="2" odxf="1" dxf="1">
    <nc r="C108">
      <f>IF(B108="","",TEXT(B108,"0.0"))</f>
    </nc>
    <odxf>
      <alignment horizontal="general" vertical="bottom"/>
    </odxf>
    <ndxf>
      <alignment horizontal="left" vertical="top"/>
    </ndxf>
  </rcc>
  <rcc rId="9578" sId="2" odxf="1" dxf="1">
    <nc r="C109">
      <f>IF(B109="","",TEXT(B109,"0.0"))</f>
    </nc>
    <odxf>
      <alignment horizontal="general" vertical="bottom"/>
    </odxf>
    <ndxf>
      <alignment horizontal="left" vertical="top"/>
    </ndxf>
  </rcc>
  <rcc rId="9579" sId="2" odxf="1" dxf="1">
    <nc r="C110">
      <f>IF(B110="","",TEXT(B110,"0.0"))</f>
    </nc>
    <odxf>
      <alignment horizontal="general" vertical="bottom"/>
    </odxf>
    <ndxf>
      <alignment horizontal="left" vertical="top"/>
    </ndxf>
  </rcc>
  <rcc rId="9580" sId="2" odxf="1" dxf="1">
    <nc r="C111">
      <f>IF(B111="","",TEXT(B111,"0.0"))</f>
    </nc>
    <odxf>
      <alignment horizontal="general" vertical="bottom"/>
    </odxf>
    <ndxf>
      <alignment horizontal="left" vertical="top"/>
    </ndxf>
  </rcc>
  <rcc rId="9581" sId="2" odxf="1" dxf="1">
    <nc r="C112">
      <f>IF(B112="","",TEXT(B112,"0.0"))</f>
    </nc>
    <odxf>
      <alignment horizontal="general" vertical="bottom"/>
    </odxf>
    <ndxf>
      <alignment horizontal="left" vertical="top"/>
    </ndxf>
  </rcc>
  <rcc rId="9582" sId="2" odxf="1" dxf="1">
    <nc r="C113">
      <f>IF(B113="","",TEXT(B113,"0.0"))</f>
    </nc>
    <odxf>
      <alignment horizontal="general" vertical="bottom"/>
    </odxf>
    <ndxf>
      <alignment horizontal="left" vertical="top"/>
    </ndxf>
  </rcc>
  <rcc rId="9583" sId="2" odxf="1" dxf="1">
    <nc r="C114">
      <f>IF(B114="","",TEXT(B114,"0.0"))</f>
    </nc>
    <odxf>
      <alignment horizontal="general" vertical="bottom"/>
    </odxf>
    <ndxf>
      <alignment horizontal="left" vertical="top"/>
    </ndxf>
  </rcc>
  <rcc rId="9584" sId="2" odxf="1" dxf="1">
    <nc r="C115">
      <f>IF(B115="","",TEXT(B115,"0.0"))</f>
    </nc>
    <odxf>
      <alignment horizontal="general" vertical="bottom"/>
    </odxf>
    <ndxf>
      <alignment horizontal="left" vertical="top"/>
    </ndxf>
  </rcc>
  <rcc rId="9585" sId="2" odxf="1" dxf="1">
    <nc r="C116">
      <f>IF(B116="","",TEXT(B116,"0.0"))</f>
    </nc>
    <odxf>
      <alignment horizontal="general" vertical="bottom"/>
    </odxf>
    <ndxf>
      <alignment horizontal="left" vertical="top"/>
    </ndxf>
  </rcc>
  <rcc rId="9586" sId="2" odxf="1" dxf="1">
    <nc r="C117">
      <f>IF(B117="","",TEXT(B117,"0.0"))</f>
    </nc>
    <odxf>
      <alignment horizontal="general" vertical="bottom"/>
    </odxf>
    <ndxf>
      <alignment horizontal="left" vertical="top"/>
    </ndxf>
  </rcc>
  <rcc rId="9587" sId="2" odxf="1" dxf="1">
    <nc r="C118">
      <f>IF(B118="","",TEXT(B118,"0.0"))</f>
    </nc>
    <odxf>
      <alignment horizontal="general" vertical="bottom"/>
    </odxf>
    <ndxf>
      <alignment horizontal="left" vertical="top"/>
    </ndxf>
  </rcc>
  <rcc rId="9588" sId="2" odxf="1" dxf="1">
    <nc r="C119">
      <f>IF(B119="","",TEXT(B119,"0.0"))</f>
    </nc>
    <odxf>
      <alignment horizontal="general" vertical="bottom"/>
    </odxf>
    <ndxf>
      <alignment horizontal="left" vertical="top"/>
    </ndxf>
  </rcc>
  <rcc rId="9589" sId="2" odxf="1" dxf="1">
    <nc r="C120">
      <f>IF(B120="","",TEXT(B120,"0.0"))</f>
    </nc>
    <odxf>
      <alignment horizontal="general" vertical="bottom"/>
    </odxf>
    <ndxf>
      <alignment horizontal="left" vertical="top"/>
    </ndxf>
  </rcc>
  <rcc rId="9590" sId="2" odxf="1" dxf="1">
    <nc r="C121">
      <f>IF(B121="","",TEXT(B121,"0.0"))</f>
    </nc>
    <odxf>
      <alignment horizontal="general" vertical="bottom"/>
    </odxf>
    <ndxf>
      <alignment horizontal="left" vertical="top"/>
    </ndxf>
  </rcc>
  <rcc rId="9591" sId="2" odxf="1" dxf="1">
    <nc r="C122">
      <f>IF(B122="","",TEXT(B122,"0.0"))</f>
    </nc>
    <odxf>
      <alignment horizontal="general" vertical="bottom"/>
    </odxf>
    <ndxf>
      <alignment horizontal="left" vertical="top"/>
    </ndxf>
  </rcc>
  <rcc rId="9592" sId="2" odxf="1" dxf="1">
    <nc r="C123">
      <f>IF(B123="","",TEXT(B123,"0.0"))</f>
    </nc>
    <odxf>
      <alignment horizontal="general" vertical="bottom"/>
    </odxf>
    <ndxf>
      <alignment horizontal="left" vertical="top"/>
    </ndxf>
  </rcc>
  <rcc rId="9593" sId="2" odxf="1" dxf="1">
    <nc r="C124">
      <f>IF(B124="","",TEXT(B124,"0.0"))</f>
    </nc>
    <odxf>
      <alignment horizontal="general" vertical="bottom"/>
    </odxf>
    <ndxf>
      <alignment horizontal="left" vertical="top"/>
    </ndxf>
  </rcc>
  <rcc rId="9594" sId="2" odxf="1" dxf="1">
    <nc r="C125">
      <f>IF(B125="","",TEXT(B125,"0.0"))</f>
    </nc>
    <odxf>
      <alignment horizontal="general" vertical="bottom"/>
    </odxf>
    <ndxf>
      <alignment horizontal="left" vertical="top"/>
    </ndxf>
  </rcc>
  <rcc rId="9595" sId="2" odxf="1" dxf="1">
    <nc r="C126">
      <f>IF(B126="","",TEXT(B126,"0.0"))</f>
    </nc>
    <odxf>
      <alignment horizontal="general" vertical="bottom"/>
    </odxf>
    <ndxf>
      <alignment horizontal="left" vertical="top"/>
    </ndxf>
  </rcc>
  <rcc rId="9596" sId="2" odxf="1" dxf="1">
    <nc r="C127">
      <f>IF(B127="","",TEXT(B127,"0.0"))</f>
    </nc>
    <odxf>
      <alignment horizontal="general" vertical="bottom"/>
    </odxf>
    <ndxf>
      <alignment horizontal="left" vertical="top"/>
    </ndxf>
  </rcc>
  <rcc rId="9597" sId="2" odxf="1" dxf="1">
    <nc r="C128">
      <f>IF(B128="","",TEXT(B128,"0.0"))</f>
    </nc>
    <odxf>
      <alignment horizontal="general" vertical="bottom"/>
    </odxf>
    <ndxf>
      <alignment horizontal="left" vertical="top"/>
    </ndxf>
  </rcc>
  <rcc rId="9598" sId="2" odxf="1" dxf="1">
    <nc r="C129">
      <f>IF(B129="","",TEXT(B129,"0.0"))</f>
    </nc>
    <odxf>
      <alignment horizontal="general" vertical="bottom"/>
    </odxf>
    <ndxf>
      <alignment horizontal="left" vertical="top"/>
    </ndxf>
  </rcc>
  <rcc rId="9599" sId="2" odxf="1" dxf="1">
    <nc r="C130">
      <f>IF(B130="","",TEXT(B130,"0.0"))</f>
    </nc>
    <odxf>
      <alignment horizontal="general" vertical="bottom"/>
    </odxf>
    <ndxf>
      <alignment horizontal="left" vertical="top"/>
    </ndxf>
  </rcc>
  <rcc rId="9600" sId="2" odxf="1" dxf="1">
    <nc r="C131">
      <f>IF(B131="","",TEXT(B131,"0.0"))</f>
    </nc>
    <odxf>
      <alignment horizontal="general" vertical="bottom"/>
    </odxf>
    <ndxf>
      <alignment horizontal="left" vertical="top"/>
    </ndxf>
  </rcc>
  <rcc rId="9601" sId="2" odxf="1" dxf="1">
    <nc r="C132">
      <f>IF(B132="","",TEXT(B132,"0.0"))</f>
    </nc>
    <odxf>
      <alignment horizontal="general" vertical="bottom"/>
    </odxf>
    <ndxf>
      <alignment horizontal="left" vertical="top"/>
    </ndxf>
  </rcc>
  <rcc rId="9602" sId="2" odxf="1" dxf="1">
    <nc r="C133">
      <f>IF(B133="","",TEXT(B133,"0.0"))</f>
    </nc>
    <odxf>
      <alignment horizontal="general" vertical="bottom"/>
    </odxf>
    <ndxf>
      <alignment horizontal="left" vertical="top"/>
    </ndxf>
  </rcc>
  <rcc rId="9603" sId="2" odxf="1" dxf="1">
    <nc r="C134">
      <f>IF(B134="","",TEXT(B134,"0.0"))</f>
    </nc>
    <odxf>
      <alignment horizontal="general" vertical="bottom"/>
    </odxf>
    <ndxf>
      <alignment horizontal="left" vertical="top"/>
    </ndxf>
  </rcc>
  <rcc rId="9604" sId="2" odxf="1" dxf="1">
    <nc r="C135">
      <f>IF(B135="","",TEXT(B135,"0.0"))</f>
    </nc>
    <odxf>
      <alignment horizontal="general" vertical="bottom"/>
    </odxf>
    <ndxf>
      <alignment horizontal="left" vertical="top"/>
    </ndxf>
  </rcc>
  <rcc rId="9605" sId="2" odxf="1" dxf="1">
    <nc r="C136">
      <f>IF(B136="","",TEXT(B136,"0.0"))</f>
    </nc>
    <odxf>
      <alignment horizontal="general" vertical="bottom"/>
    </odxf>
    <ndxf>
      <alignment horizontal="left" vertical="top"/>
    </ndxf>
  </rcc>
  <rcc rId="9606" sId="2" odxf="1" dxf="1">
    <nc r="C137">
      <f>IF(B137="","",TEXT(B137,"0.0"))</f>
    </nc>
    <odxf>
      <alignment horizontal="general" vertical="bottom"/>
    </odxf>
    <ndxf>
      <alignment horizontal="left" vertical="top"/>
    </ndxf>
  </rcc>
  <rcc rId="9607" sId="2" odxf="1" dxf="1">
    <nc r="C138">
      <f>IF(B138="","",TEXT(B138,"0.0"))</f>
    </nc>
    <odxf>
      <alignment horizontal="general" vertical="bottom"/>
    </odxf>
    <ndxf>
      <alignment horizontal="left" vertical="top"/>
    </ndxf>
  </rcc>
  <rcc rId="9608" sId="2" odxf="1" dxf="1">
    <nc r="C139">
      <f>IF(B139="","",TEXT(B139,"0.0"))</f>
    </nc>
    <odxf>
      <alignment horizontal="general" vertical="bottom"/>
    </odxf>
    <ndxf>
      <alignment horizontal="left" vertical="top"/>
    </ndxf>
  </rcc>
  <rcc rId="9609" sId="2" odxf="1" dxf="1">
    <nc r="C140">
      <f>IF(B140="","",TEXT(B140,"0.0"))</f>
    </nc>
    <odxf>
      <alignment horizontal="general" vertical="bottom"/>
    </odxf>
    <ndxf>
      <alignment horizontal="left" vertical="top"/>
    </ndxf>
  </rcc>
  <rcc rId="9610" sId="2" odxf="1" dxf="1">
    <nc r="C141">
      <f>IF(B141="","",TEXT(B141,"0.0"))</f>
    </nc>
    <odxf>
      <alignment horizontal="general" vertical="bottom"/>
    </odxf>
    <ndxf>
      <alignment horizontal="left" vertical="top"/>
    </ndxf>
  </rcc>
  <rcc rId="9611" sId="2" odxf="1" dxf="1">
    <nc r="C142">
      <f>IF(B142="","",TEXT(B142,"0.0"))</f>
    </nc>
    <odxf>
      <alignment horizontal="general" vertical="bottom"/>
    </odxf>
    <ndxf>
      <alignment horizontal="left" vertical="top"/>
    </ndxf>
  </rcc>
  <rcc rId="9612" sId="2" odxf="1" dxf="1">
    <nc r="C143">
      <f>IF(B143="","",TEXT(B143,"0.0"))</f>
    </nc>
    <odxf>
      <alignment horizontal="general" vertical="bottom"/>
    </odxf>
    <ndxf>
      <alignment horizontal="left" vertical="top"/>
    </ndxf>
  </rcc>
  <rcc rId="9613" sId="2" odxf="1" dxf="1">
    <nc r="C144">
      <f>IF(B144="","",TEXT(B144,"0.0"))</f>
    </nc>
    <odxf>
      <alignment horizontal="general" vertical="bottom"/>
    </odxf>
    <ndxf>
      <alignment horizontal="left" vertical="top"/>
    </ndxf>
  </rcc>
  <rcc rId="9614" sId="2" odxf="1" dxf="1">
    <nc r="C145">
      <f>IF(B145="","",TEXT(B145,"0.0"))</f>
    </nc>
    <odxf>
      <alignment horizontal="general" vertical="bottom"/>
    </odxf>
    <ndxf>
      <alignment horizontal="left" vertical="top"/>
    </ndxf>
  </rcc>
  <rcc rId="9615" sId="2" odxf="1" dxf="1">
    <nc r="C146">
      <f>IF(B146="","",TEXT(B146,"0.0"))</f>
    </nc>
    <odxf>
      <alignment horizontal="general" vertical="bottom"/>
    </odxf>
    <ndxf>
      <alignment horizontal="left" vertical="top"/>
    </ndxf>
  </rcc>
  <rcc rId="9616" sId="2" odxf="1" dxf="1">
    <nc r="C147">
      <f>IF(B147="","",TEXT(B147,"0.0"))</f>
    </nc>
    <odxf>
      <alignment horizontal="general" vertical="bottom"/>
    </odxf>
    <ndxf>
      <alignment horizontal="left" vertical="top"/>
    </ndxf>
  </rcc>
  <rcc rId="9617" sId="2" odxf="1" dxf="1">
    <nc r="C148">
      <f>IF(B148="","",TEXT(B148,"0.0"))</f>
    </nc>
    <odxf>
      <alignment horizontal="general" vertical="bottom"/>
    </odxf>
    <ndxf>
      <alignment horizontal="left" vertical="top"/>
    </ndxf>
  </rcc>
  <rcc rId="9618" sId="2" odxf="1" dxf="1">
    <nc r="C149">
      <f>IF(B149="","",TEXT(B149,"0.0"))</f>
    </nc>
    <odxf>
      <alignment horizontal="general" vertical="bottom"/>
    </odxf>
    <ndxf>
      <alignment horizontal="left" vertical="top"/>
    </ndxf>
  </rcc>
  <rcc rId="9619" sId="2" odxf="1" dxf="1">
    <nc r="C150">
      <f>IF(B150="","",TEXT(B150,"0.0"))</f>
    </nc>
    <odxf>
      <alignment horizontal="general" vertical="bottom"/>
    </odxf>
    <ndxf>
      <alignment horizontal="left" vertical="top"/>
    </ndxf>
  </rcc>
  <rcc rId="9620" sId="2" odxf="1" dxf="1">
    <nc r="C151">
      <f>IF(B151="","",TEXT(B151,"0.0"))</f>
    </nc>
    <odxf>
      <alignment horizontal="general" vertical="bottom"/>
    </odxf>
    <ndxf>
      <alignment horizontal="left" vertical="top"/>
    </ndxf>
  </rcc>
  <rcc rId="9621" sId="2" odxf="1" dxf="1">
    <nc r="C152">
      <f>IF(B152="","",TEXT(B152,"0.0"))</f>
    </nc>
    <odxf>
      <alignment horizontal="general" vertical="bottom"/>
    </odxf>
    <ndxf>
      <alignment horizontal="left" vertical="top"/>
    </ndxf>
  </rcc>
  <rcc rId="9622" sId="2" odxf="1" dxf="1">
    <nc r="C153">
      <f>IF(B153="","",TEXT(B153,"0.0"))</f>
    </nc>
    <odxf>
      <alignment horizontal="general" vertical="bottom"/>
    </odxf>
    <ndxf>
      <alignment horizontal="left" vertical="top"/>
    </ndxf>
  </rcc>
  <rcc rId="9623" sId="2" odxf="1" dxf="1">
    <nc r="C154">
      <f>IF(B154="","",TEXT(B154,"0.0"))</f>
    </nc>
    <odxf>
      <alignment horizontal="general" vertical="bottom"/>
    </odxf>
    <ndxf>
      <alignment horizontal="left" vertical="top"/>
    </ndxf>
  </rcc>
  <rcc rId="9624" sId="2" odxf="1" dxf="1">
    <nc r="C155">
      <f>IF(B155="","",TEXT(B155,"0.0"))</f>
    </nc>
    <odxf>
      <alignment horizontal="general" vertical="bottom"/>
    </odxf>
    <ndxf>
      <alignment horizontal="left" vertical="top"/>
    </ndxf>
  </rcc>
  <rcc rId="9625" sId="2" odxf="1" dxf="1">
    <nc r="C156">
      <f>IF(B156="","",TEXT(B156,"0.0"))</f>
    </nc>
    <odxf>
      <alignment horizontal="general" vertical="bottom"/>
    </odxf>
    <ndxf>
      <alignment horizontal="left" vertical="top"/>
    </ndxf>
  </rcc>
  <rcc rId="9626" sId="2" odxf="1" dxf="1">
    <nc r="C157">
      <f>IF(B157="","",TEXT(B157,"0.0"))</f>
    </nc>
    <odxf>
      <alignment horizontal="general" vertical="bottom"/>
    </odxf>
    <ndxf>
      <alignment horizontal="left" vertical="top"/>
    </ndxf>
  </rcc>
  <rcc rId="9627" sId="2" odxf="1" dxf="1">
    <nc r="C158">
      <f>IF(B158="","",TEXT(B158,"0.0"))</f>
    </nc>
    <odxf>
      <alignment horizontal="general" vertical="bottom"/>
    </odxf>
    <ndxf>
      <alignment horizontal="left" vertical="top"/>
    </ndxf>
  </rcc>
  <rcc rId="9628" sId="2" odxf="1" dxf="1">
    <nc r="C159">
      <f>IF(B159="","",TEXT(B159,"0.0"))</f>
    </nc>
    <odxf>
      <alignment horizontal="general" vertical="bottom"/>
    </odxf>
    <ndxf>
      <alignment horizontal="left" vertical="top"/>
    </ndxf>
  </rcc>
  <rcc rId="9629" sId="2" odxf="1" dxf="1">
    <nc r="C160">
      <f>IF(B160="","",TEXT(B160,"0.0"))</f>
    </nc>
    <odxf>
      <alignment horizontal="general" vertical="bottom"/>
    </odxf>
    <ndxf>
      <alignment horizontal="left" vertical="top"/>
    </ndxf>
  </rcc>
  <rcc rId="9630" sId="2" odxf="1" dxf="1">
    <nc r="C161">
      <f>IF(B161="","",TEXT(B161,"0.0"))</f>
    </nc>
    <odxf>
      <alignment horizontal="general" vertical="bottom"/>
    </odxf>
    <ndxf>
      <alignment horizontal="left" vertical="top"/>
    </ndxf>
  </rcc>
  <rcc rId="9631" sId="2" odxf="1" dxf="1">
    <nc r="C162">
      <f>IF(B162="","",TEXT(B162,"0.0"))</f>
    </nc>
    <odxf>
      <alignment horizontal="general" vertical="bottom"/>
    </odxf>
    <ndxf>
      <alignment horizontal="left" vertical="top"/>
    </ndxf>
  </rcc>
  <rcc rId="9632" sId="2" odxf="1" dxf="1">
    <nc r="C163">
      <f>IF(B163="","",TEXT(B163,"0.0"))</f>
    </nc>
    <odxf>
      <alignment horizontal="general" vertical="bottom"/>
    </odxf>
    <ndxf>
      <alignment horizontal="left" vertical="top"/>
    </ndxf>
  </rcc>
  <rcc rId="9633" sId="2" odxf="1" dxf="1">
    <nc r="C164">
      <f>IF(B164="","",TEXT(B164,"0.0"))</f>
    </nc>
    <odxf>
      <alignment horizontal="general" vertical="bottom"/>
    </odxf>
    <ndxf>
      <alignment horizontal="left" vertical="top"/>
    </ndxf>
  </rcc>
  <rcc rId="9634" sId="2" odxf="1" dxf="1">
    <nc r="C165">
      <f>IF(B165="","",TEXT(B165,"0.0"))</f>
    </nc>
    <odxf>
      <alignment horizontal="general" vertical="bottom"/>
    </odxf>
    <ndxf>
      <alignment horizontal="left" vertical="top"/>
    </ndxf>
  </rcc>
  <rcc rId="9635" sId="2" odxf="1" dxf="1">
    <nc r="C166">
      <f>IF(B166="","",TEXT(B166,"0.0"))</f>
    </nc>
    <odxf>
      <alignment horizontal="general" vertical="bottom"/>
    </odxf>
    <ndxf>
      <alignment horizontal="left" vertical="top"/>
    </ndxf>
  </rcc>
  <rcc rId="9636" sId="2" odxf="1" dxf="1">
    <nc r="C167">
      <f>IF(B167="","",TEXT(B167,"0.0"))</f>
    </nc>
    <odxf>
      <alignment horizontal="general" vertical="bottom"/>
    </odxf>
    <ndxf>
      <alignment horizontal="left" vertical="top"/>
    </ndxf>
  </rcc>
  <rcc rId="9637" sId="2" odxf="1" dxf="1">
    <nc r="C168">
      <f>IF(B168="","",TEXT(B168,"0.0"))</f>
    </nc>
    <odxf>
      <alignment horizontal="general" vertical="bottom"/>
    </odxf>
    <ndxf>
      <alignment horizontal="left" vertical="top"/>
    </ndxf>
  </rcc>
  <rcc rId="9638" sId="2" odxf="1" dxf="1">
    <nc r="C169">
      <f>IF(B169="","",TEXT(B169,"0.0"))</f>
    </nc>
    <odxf>
      <alignment horizontal="general" vertical="bottom"/>
    </odxf>
    <ndxf>
      <alignment horizontal="left" vertical="top"/>
    </ndxf>
  </rcc>
  <rcc rId="9639" sId="2" odxf="1" dxf="1">
    <nc r="C170">
      <f>IF(B170="","",TEXT(B170,"0.0"))</f>
    </nc>
    <odxf>
      <alignment horizontal="general" vertical="bottom"/>
    </odxf>
    <ndxf>
      <alignment horizontal="left" vertical="top"/>
    </ndxf>
  </rcc>
  <rcc rId="9640" sId="2" odxf="1" dxf="1">
    <nc r="C171">
      <f>IF(B171="","",TEXT(B171,"0.0"))</f>
    </nc>
    <odxf>
      <alignment horizontal="general" vertical="bottom"/>
    </odxf>
    <ndxf>
      <alignment horizontal="left" vertical="top"/>
    </ndxf>
  </rcc>
  <rcc rId="9641" sId="2" odxf="1" dxf="1">
    <nc r="C172">
      <f>IF(B172="","",TEXT(B172,"0.0"))</f>
    </nc>
    <odxf>
      <alignment horizontal="general" vertical="bottom"/>
    </odxf>
    <ndxf>
      <alignment horizontal="left" vertical="top"/>
    </ndxf>
  </rcc>
  <rcc rId="9642" sId="2" odxf="1" dxf="1">
    <nc r="C173">
      <f>IF(B173="","",TEXT(B173,"0.0"))</f>
    </nc>
    <odxf>
      <alignment horizontal="general" vertical="bottom"/>
    </odxf>
    <ndxf>
      <alignment horizontal="left" vertical="top"/>
    </ndxf>
  </rcc>
  <rcc rId="9643" sId="2" odxf="1" dxf="1">
    <nc r="C174">
      <f>IF(B174="","",TEXT(B174,"0.0"))</f>
    </nc>
    <odxf>
      <alignment horizontal="general" vertical="bottom"/>
    </odxf>
    <ndxf>
      <alignment horizontal="left" vertical="top"/>
    </ndxf>
  </rcc>
  <rcc rId="9644" sId="2" odxf="1" dxf="1">
    <nc r="C175">
      <f>IF(B175="","",TEXT(B175,"0.0"))</f>
    </nc>
    <odxf>
      <alignment horizontal="general" vertical="bottom"/>
    </odxf>
    <ndxf>
      <alignment horizontal="left" vertical="top"/>
    </ndxf>
  </rcc>
  <rcc rId="9645" sId="2" odxf="1" dxf="1">
    <nc r="C176">
      <f>IF(B176="","",TEXT(B176,"0.0"))</f>
    </nc>
    <odxf>
      <alignment horizontal="general" vertical="bottom"/>
    </odxf>
    <ndxf>
      <alignment horizontal="left" vertical="top"/>
    </ndxf>
  </rcc>
  <rcc rId="9646" sId="2" odxf="1" dxf="1">
    <nc r="C177">
      <f>IF(B177="","",TEXT(B177,"0.0"))</f>
    </nc>
    <odxf>
      <alignment horizontal="general" vertical="bottom"/>
    </odxf>
    <ndxf>
      <alignment horizontal="left" vertical="top"/>
    </ndxf>
  </rcc>
  <rcc rId="9647" sId="2" odxf="1" dxf="1">
    <nc r="C178">
      <f>IF(B178="","",TEXT(B178,"0.0"))</f>
    </nc>
    <odxf>
      <alignment horizontal="general" vertical="bottom"/>
    </odxf>
    <ndxf>
      <alignment horizontal="left" vertical="top"/>
    </ndxf>
  </rcc>
  <rcc rId="9648" sId="2" odxf="1" dxf="1">
    <nc r="C179">
      <f>IF(B179="","",TEXT(B179,"0.0"))</f>
    </nc>
    <odxf>
      <alignment horizontal="general" vertical="bottom"/>
    </odxf>
    <ndxf>
      <alignment horizontal="left" vertical="top"/>
    </ndxf>
  </rcc>
  <rcc rId="9649" sId="2" odxf="1" dxf="1">
    <nc r="C180">
      <f>IF(B180="","",TEXT(B180,"0.0"))</f>
    </nc>
    <odxf>
      <alignment horizontal="general" vertical="bottom"/>
    </odxf>
    <ndxf>
      <alignment horizontal="left" vertical="top"/>
    </ndxf>
  </rcc>
  <rcc rId="9650" sId="2" odxf="1" dxf="1">
    <nc r="C181">
      <f>IF(B181="","",TEXT(B181,"0.0"))</f>
    </nc>
    <odxf>
      <alignment horizontal="general" vertical="bottom"/>
    </odxf>
    <ndxf>
      <alignment horizontal="left" vertical="top"/>
    </ndxf>
  </rcc>
  <rcc rId="9651" sId="2" odxf="1" dxf="1">
    <nc r="C182">
      <f>IF(B182="","",TEXT(B182,"0.0"))</f>
    </nc>
    <odxf>
      <alignment horizontal="general" vertical="bottom"/>
    </odxf>
    <ndxf>
      <alignment horizontal="left" vertical="top"/>
    </ndxf>
  </rcc>
  <rcc rId="9652" sId="2" odxf="1" dxf="1">
    <nc r="C183">
      <f>IF(B183="","",TEXT(B183,"0.0"))</f>
    </nc>
    <odxf>
      <alignment horizontal="general" vertical="bottom"/>
    </odxf>
    <ndxf>
      <alignment horizontal="left" vertical="top"/>
    </ndxf>
  </rcc>
  <rcc rId="9653" sId="2" odxf="1" dxf="1">
    <nc r="C184">
      <f>IF(B184="","",TEXT(B184,"0.0"))</f>
    </nc>
    <odxf>
      <alignment horizontal="general" vertical="bottom"/>
    </odxf>
    <ndxf>
      <alignment horizontal="left" vertical="top"/>
    </ndxf>
  </rcc>
  <rcc rId="9654" sId="2" odxf="1" dxf="1">
    <nc r="C185">
      <f>IF(B185="","",TEXT(B185,"0.0"))</f>
    </nc>
    <odxf>
      <alignment horizontal="general" vertical="bottom"/>
    </odxf>
    <ndxf>
      <alignment horizontal="left" vertical="top"/>
    </ndxf>
  </rcc>
  <rcc rId="9655" sId="2" odxf="1" dxf="1">
    <nc r="C186">
      <f>IF(B186="","",TEXT(B186,"0.0"))</f>
    </nc>
    <odxf>
      <alignment horizontal="general" vertical="bottom"/>
    </odxf>
    <ndxf>
      <alignment horizontal="left" vertical="top"/>
    </ndxf>
  </rcc>
  <rcc rId="9656" sId="2" odxf="1" dxf="1">
    <nc r="C187">
      <f>IF(B187="","",TEXT(B187,"0.0"))</f>
    </nc>
    <odxf>
      <alignment horizontal="general" vertical="bottom"/>
    </odxf>
    <ndxf>
      <alignment horizontal="left" vertical="top"/>
    </ndxf>
  </rcc>
  <rcc rId="9657" sId="2" odxf="1" dxf="1">
    <nc r="C188">
      <f>IF(B188="","",TEXT(B188,"0.0"))</f>
    </nc>
    <odxf>
      <alignment horizontal="general" vertical="bottom"/>
    </odxf>
    <ndxf>
      <alignment horizontal="left" vertical="top"/>
    </ndxf>
  </rcc>
  <rcc rId="9658" sId="2" odxf="1" dxf="1">
    <nc r="C189">
      <f>IF(B189="","",TEXT(B189,"0.0"))</f>
    </nc>
    <odxf>
      <alignment horizontal="general" vertical="bottom"/>
    </odxf>
    <ndxf>
      <alignment horizontal="left" vertical="top"/>
    </ndxf>
  </rcc>
  <rcc rId="9659" sId="2" odxf="1" dxf="1">
    <nc r="C190">
      <f>IF(B190="","",TEXT(B190,"0.0"))</f>
    </nc>
    <odxf>
      <alignment horizontal="general" vertical="bottom"/>
    </odxf>
    <ndxf>
      <alignment horizontal="left" vertical="top"/>
    </ndxf>
  </rcc>
  <rcc rId="9660" sId="2" odxf="1" dxf="1">
    <nc r="C191">
      <f>IF(B191="","",TEXT(B191,"0.0"))</f>
    </nc>
    <odxf>
      <alignment horizontal="general" vertical="bottom"/>
    </odxf>
    <ndxf>
      <alignment horizontal="left" vertical="top"/>
    </ndxf>
  </rcc>
  <rcc rId="9661" sId="2" odxf="1" dxf="1">
    <nc r="C192">
      <f>IF(B192="","",TEXT(B192,"0.0"))</f>
    </nc>
    <odxf>
      <alignment horizontal="general" vertical="bottom"/>
    </odxf>
    <ndxf>
      <alignment horizontal="left" vertical="top"/>
    </ndxf>
  </rcc>
  <rcc rId="9662" sId="2" odxf="1" dxf="1">
    <nc r="C193">
      <f>IF(B193="","",TEXT(B193,"0.0"))</f>
    </nc>
    <odxf>
      <alignment horizontal="general" vertical="bottom"/>
    </odxf>
    <ndxf>
      <alignment horizontal="left" vertical="top"/>
    </ndxf>
  </rcc>
  <rcc rId="9663" sId="2" odxf="1" dxf="1">
    <nc r="C194">
      <f>IF(B194="","",TEXT(B194,"0.0"))</f>
    </nc>
    <odxf>
      <alignment horizontal="general" vertical="bottom"/>
    </odxf>
    <ndxf>
      <alignment horizontal="left" vertical="top"/>
    </ndxf>
  </rcc>
  <rcc rId="9664" sId="2" odxf="1" dxf="1">
    <nc r="C195">
      <f>IF(B195="","",TEXT(B195,"0.0"))</f>
    </nc>
    <odxf>
      <alignment horizontal="general" vertical="bottom"/>
    </odxf>
    <ndxf>
      <alignment horizontal="left" vertical="top"/>
    </ndxf>
  </rcc>
  <rcc rId="9665" sId="2" odxf="1" dxf="1">
    <nc r="C196">
      <f>IF(B196="","",TEXT(B196,"0.0"))</f>
    </nc>
    <odxf>
      <alignment horizontal="general" vertical="bottom"/>
    </odxf>
    <ndxf>
      <alignment horizontal="left" vertical="top"/>
    </ndxf>
  </rcc>
  <rcc rId="9666" sId="2" odxf="1" dxf="1">
    <nc r="C197">
      <f>IF(B197="","",TEXT(B197,"0.0"))</f>
    </nc>
    <odxf>
      <alignment horizontal="general" vertical="bottom"/>
    </odxf>
    <ndxf>
      <alignment horizontal="left" vertical="top"/>
    </ndxf>
  </rcc>
  <rcc rId="9667" sId="2" odxf="1" dxf="1">
    <nc r="C198">
      <f>IF(B198="","",TEXT(B198,"0.0"))</f>
    </nc>
    <odxf>
      <alignment horizontal="general" vertical="bottom"/>
    </odxf>
    <ndxf>
      <alignment horizontal="left" vertical="top"/>
    </ndxf>
  </rcc>
  <rcc rId="9668" sId="2" odxf="1" dxf="1">
    <nc r="C199">
      <f>IF(B199="","",TEXT(B199,"0.0"))</f>
    </nc>
    <odxf>
      <alignment horizontal="general" vertical="bottom"/>
    </odxf>
    <ndxf>
      <alignment horizontal="left" vertical="top"/>
    </ndxf>
  </rcc>
  <rcc rId="9669" sId="2" odxf="1" dxf="1">
    <nc r="C200">
      <f>IF(B200="","",TEXT(B200,"0.0"))</f>
    </nc>
    <odxf>
      <alignment horizontal="general" vertical="bottom"/>
    </odxf>
    <ndxf>
      <alignment horizontal="left" vertical="top"/>
    </ndxf>
  </rcc>
  <rcc rId="9670" sId="2" odxf="1" dxf="1">
    <nc r="C201">
      <f>IF(B201="","",TEXT(B201,"0.0"))</f>
    </nc>
    <odxf>
      <alignment horizontal="general" vertical="bottom"/>
    </odxf>
    <ndxf>
      <alignment horizontal="left" vertical="top"/>
    </ndxf>
  </rcc>
  <rcc rId="9671" sId="2" odxf="1" dxf="1">
    <nc r="C202">
      <f>IF(B202="","",TEXT(B202,"0.0"))</f>
    </nc>
    <odxf>
      <alignment horizontal="general" vertical="bottom"/>
    </odxf>
    <ndxf>
      <alignment horizontal="left" vertical="top"/>
    </ndxf>
  </rcc>
  <rcc rId="9672" sId="2" odxf="1" dxf="1">
    <nc r="C203">
      <f>IF(B203="","",TEXT(B203,"0.0"))</f>
    </nc>
    <odxf>
      <alignment horizontal="general" vertical="bottom"/>
    </odxf>
    <ndxf>
      <alignment horizontal="left" vertical="top"/>
    </ndxf>
  </rcc>
  <rcc rId="9673" sId="2" odxf="1" dxf="1">
    <nc r="C204">
      <f>IF(B204="","",TEXT(B204,"0.0"))</f>
    </nc>
    <odxf>
      <alignment horizontal="general" vertical="bottom"/>
    </odxf>
    <ndxf>
      <alignment horizontal="left" vertical="top"/>
    </ndxf>
  </rcc>
  <rcc rId="9674" sId="2" odxf="1" dxf="1">
    <nc r="C205">
      <f>IF(B205="","",TEXT(B205,"0.0"))</f>
    </nc>
    <odxf>
      <alignment horizontal="general" vertical="bottom"/>
    </odxf>
    <ndxf>
      <alignment horizontal="left" vertical="top"/>
    </ndxf>
  </rcc>
  <rcc rId="9675" sId="2" odxf="1" dxf="1">
    <nc r="C206">
      <f>IF(B206="","",TEXT(B206,"0.0"))</f>
    </nc>
    <odxf>
      <alignment horizontal="general" vertical="bottom"/>
    </odxf>
    <ndxf>
      <alignment horizontal="left" vertical="top"/>
    </ndxf>
  </rcc>
  <rcc rId="9676" sId="2" odxf="1" dxf="1">
    <nc r="C207">
      <f>IF(B207="","",TEXT(B207,"0.0"))</f>
    </nc>
    <odxf>
      <alignment horizontal="general" vertical="bottom"/>
    </odxf>
    <ndxf>
      <alignment horizontal="left" vertical="top"/>
    </ndxf>
  </rcc>
  <rcc rId="9677" sId="2" odxf="1" dxf="1">
    <nc r="C208">
      <f>IF(B208="","",TEXT(B208,"0.0"))</f>
    </nc>
    <odxf>
      <alignment horizontal="general" vertical="bottom"/>
    </odxf>
    <ndxf>
      <alignment horizontal="left" vertical="top"/>
    </ndxf>
  </rcc>
  <rcc rId="9678" sId="2" odxf="1" dxf="1">
    <nc r="C209">
      <f>IF(B209="","",TEXT(B209,"0.0"))</f>
    </nc>
    <odxf>
      <alignment horizontal="general" vertical="bottom"/>
    </odxf>
    <ndxf>
      <alignment horizontal="left" vertical="top"/>
    </ndxf>
  </rcc>
  <rcc rId="9679" sId="2" odxf="1" dxf="1">
    <nc r="C210">
      <f>IF(B210="","",TEXT(B210,"0.0"))</f>
    </nc>
    <odxf>
      <alignment horizontal="general" vertical="bottom"/>
    </odxf>
    <ndxf>
      <alignment horizontal="left" vertical="top"/>
    </ndxf>
  </rcc>
  <rcc rId="9680" sId="2" odxf="1" dxf="1">
    <nc r="C211">
      <f>IF(B211="","",TEXT(B211,"0.0"))</f>
    </nc>
    <odxf>
      <alignment horizontal="general" vertical="bottom"/>
    </odxf>
    <ndxf>
      <alignment horizontal="left" vertical="top"/>
    </ndxf>
  </rcc>
  <rcc rId="9681" sId="2" odxf="1" dxf="1">
    <nc r="C212">
      <f>IF(B212="","",TEXT(B212,"0.0"))</f>
    </nc>
    <odxf>
      <alignment horizontal="general" vertical="bottom"/>
    </odxf>
    <ndxf>
      <alignment horizontal="left" vertical="top"/>
    </ndxf>
  </rcc>
  <rcc rId="9682" sId="2" odxf="1" dxf="1">
    <nc r="C213">
      <f>IF(B213="","",TEXT(B213,"0.0"))</f>
    </nc>
    <odxf>
      <alignment horizontal="general" vertical="bottom"/>
    </odxf>
    <ndxf>
      <alignment horizontal="left" vertical="top"/>
    </ndxf>
  </rcc>
  <rcc rId="9683" sId="2" odxf="1" dxf="1">
    <nc r="C214">
      <f>IF(B214="","",TEXT(B214,"0.0"))</f>
    </nc>
    <odxf>
      <alignment horizontal="general" vertical="bottom"/>
    </odxf>
    <ndxf>
      <alignment horizontal="left" vertical="top"/>
    </ndxf>
  </rcc>
  <rcc rId="9684" sId="2" odxf="1" dxf="1">
    <nc r="C215">
      <f>IF(B215="","",TEXT(B215,"0.0"))</f>
    </nc>
    <odxf>
      <alignment horizontal="general" vertical="bottom"/>
    </odxf>
    <ndxf>
      <alignment horizontal="left" vertical="top"/>
    </ndxf>
  </rcc>
  <rcc rId="9685" sId="2" odxf="1" dxf="1">
    <nc r="C216">
      <f>IF(B216="","",TEXT(B216,"0.0"))</f>
    </nc>
    <odxf>
      <alignment horizontal="general" vertical="bottom"/>
    </odxf>
    <ndxf>
      <alignment horizontal="left" vertical="top"/>
    </ndxf>
  </rcc>
  <rcc rId="9686" sId="2" odxf="1" dxf="1">
    <nc r="C217">
      <f>IF(B217="","",TEXT(B217,"0.0"))</f>
    </nc>
    <odxf>
      <alignment horizontal="general" vertical="bottom"/>
    </odxf>
    <ndxf>
      <alignment horizontal="left" vertical="top"/>
    </ndxf>
  </rcc>
  <rcc rId="9687" sId="2" odxf="1" dxf="1">
    <nc r="C218">
      <f>IF(B218="","",TEXT(B218,"0.0"))</f>
    </nc>
    <odxf>
      <alignment horizontal="general" vertical="bottom"/>
    </odxf>
    <ndxf>
      <alignment horizontal="left" vertical="top"/>
    </ndxf>
  </rcc>
  <rcc rId="9688" sId="2" odxf="1" dxf="1">
    <nc r="C219">
      <f>IF(B219="","",TEXT(B219,"0.0"))</f>
    </nc>
    <odxf>
      <alignment horizontal="general" vertical="bottom"/>
    </odxf>
    <ndxf>
      <alignment horizontal="left" vertical="top"/>
    </ndxf>
  </rcc>
  <rcc rId="9689" sId="2" odxf="1" dxf="1">
    <nc r="C220">
      <f>IF(B220="","",TEXT(B220,"0.0"))</f>
    </nc>
    <odxf>
      <alignment horizontal="general" vertical="bottom"/>
    </odxf>
    <ndxf>
      <alignment horizontal="left" vertical="top"/>
    </ndxf>
  </rcc>
  <rcc rId="9690" sId="2" odxf="1" dxf="1">
    <nc r="C221">
      <f>IF(B221="","",TEXT(B221,"0.0"))</f>
    </nc>
    <odxf>
      <alignment horizontal="general" vertical="bottom"/>
    </odxf>
    <ndxf>
      <alignment horizontal="left" vertical="top"/>
    </ndxf>
  </rcc>
  <rcc rId="9691" sId="2" odxf="1" dxf="1">
    <nc r="C222">
      <f>IF(B222="","",TEXT(B222,"0.0"))</f>
    </nc>
    <odxf>
      <alignment horizontal="general" vertical="bottom"/>
    </odxf>
    <ndxf>
      <alignment horizontal="left" vertical="top"/>
    </ndxf>
  </rcc>
  <rcc rId="9692" sId="2" odxf="1" dxf="1">
    <nc r="C223">
      <f>IF(B223="","",TEXT(B223,"0.0"))</f>
    </nc>
    <odxf>
      <alignment horizontal="general" vertical="bottom"/>
    </odxf>
    <ndxf>
      <alignment horizontal="left" vertical="top"/>
    </ndxf>
  </rcc>
  <rcc rId="9693" sId="2" odxf="1" dxf="1">
    <nc r="C224">
      <f>IF(B224="","",TEXT(B224,"0.0"))</f>
    </nc>
    <odxf>
      <alignment horizontal="general" vertical="bottom"/>
    </odxf>
    <ndxf>
      <alignment horizontal="left" vertical="top"/>
    </ndxf>
  </rcc>
  <rcc rId="9694" sId="2" odxf="1" dxf="1">
    <nc r="C225">
      <f>IF(B225="","",TEXT(B225,"0.0"))</f>
    </nc>
    <odxf>
      <alignment horizontal="general" vertical="bottom"/>
    </odxf>
    <ndxf>
      <alignment horizontal="left" vertical="top"/>
    </ndxf>
  </rcc>
  <rcc rId="9695" sId="2" odxf="1" dxf="1">
    <nc r="C226">
      <f>IF(B226="","",TEXT(B226,"0.0"))</f>
    </nc>
    <odxf>
      <alignment horizontal="general" vertical="bottom"/>
    </odxf>
    <ndxf>
      <alignment horizontal="left" vertical="top"/>
    </ndxf>
  </rcc>
  <rcc rId="9696" sId="2" odxf="1" dxf="1">
    <nc r="C227">
      <f>IF(B227="","",TEXT(B227,"0.0"))</f>
    </nc>
    <odxf>
      <alignment horizontal="general" vertical="bottom"/>
    </odxf>
    <ndxf>
      <alignment horizontal="left" vertical="top"/>
    </ndxf>
  </rcc>
  <rcc rId="9697" sId="2" odxf="1" dxf="1">
    <nc r="C228">
      <f>IF(B228="","",TEXT(B228,"0.0"))</f>
    </nc>
    <odxf>
      <alignment horizontal="general" vertical="bottom"/>
    </odxf>
    <ndxf>
      <alignment horizontal="left" vertical="top"/>
    </ndxf>
  </rcc>
  <rcc rId="9698" sId="2" odxf="1" dxf="1">
    <nc r="C229">
      <f>IF(B229="","",TEXT(B229,"0.0"))</f>
    </nc>
    <odxf>
      <alignment horizontal="general" vertical="bottom"/>
    </odxf>
    <ndxf>
      <alignment horizontal="left" vertical="top"/>
    </ndxf>
  </rcc>
  <rcc rId="9699" sId="2" odxf="1" dxf="1">
    <nc r="C230">
      <f>IF(B230="","",TEXT(B230,"0.0"))</f>
    </nc>
    <odxf>
      <alignment horizontal="general" vertical="bottom"/>
    </odxf>
    <ndxf>
      <alignment horizontal="left" vertical="top"/>
    </ndxf>
  </rcc>
  <rcc rId="9700" sId="2" odxf="1" dxf="1">
    <nc r="C231">
      <f>IF(B231="","",TEXT(B231,"0.0"))</f>
    </nc>
    <odxf>
      <alignment horizontal="general" vertical="bottom"/>
    </odxf>
    <ndxf>
      <alignment horizontal="left" vertical="top"/>
    </ndxf>
  </rcc>
  <rcc rId="9701" sId="2" odxf="1" dxf="1">
    <nc r="C232">
      <f>IF(B232="","",TEXT(B232,"0.0"))</f>
    </nc>
    <odxf>
      <alignment horizontal="general" vertical="bottom"/>
    </odxf>
    <ndxf>
      <alignment horizontal="left" vertical="top"/>
    </ndxf>
  </rcc>
  <rcc rId="9702" sId="2" odxf="1" dxf="1">
    <nc r="C233">
      <f>IF(B233="","",TEXT(B233,"0.0"))</f>
    </nc>
    <odxf>
      <alignment horizontal="general" vertical="bottom"/>
    </odxf>
    <ndxf>
      <alignment horizontal="left" vertical="top"/>
    </ndxf>
  </rcc>
  <rcc rId="9703" sId="2" odxf="1" dxf="1">
    <nc r="C234">
      <f>IF(B234="","",TEXT(B234,"0.0"))</f>
    </nc>
    <odxf>
      <alignment horizontal="general" vertical="bottom"/>
    </odxf>
    <ndxf>
      <alignment horizontal="left" vertical="top"/>
    </ndxf>
  </rcc>
  <rcc rId="9704" sId="2" odxf="1" dxf="1">
    <nc r="C235">
      <f>IF(B235="","",TEXT(B235,"0.0"))</f>
    </nc>
    <odxf>
      <alignment horizontal="general" vertical="bottom"/>
    </odxf>
    <ndxf>
      <alignment horizontal="left" vertical="top"/>
    </ndxf>
  </rcc>
  <rcc rId="9705" sId="2" odxf="1" dxf="1">
    <nc r="C236">
      <f>IF(B236="","",TEXT(B236,"0.0"))</f>
    </nc>
    <odxf>
      <alignment horizontal="general" vertical="bottom"/>
    </odxf>
    <ndxf>
      <alignment horizontal="left" vertical="top"/>
    </ndxf>
  </rcc>
  <rcc rId="9706" sId="2" odxf="1" dxf="1">
    <nc r="C237">
      <f>IF(B237="","",TEXT(B237,"0.0"))</f>
    </nc>
    <odxf>
      <alignment horizontal="general" vertical="bottom"/>
    </odxf>
    <ndxf>
      <alignment horizontal="left" vertical="top"/>
    </ndxf>
  </rcc>
  <rcc rId="9707" sId="2" odxf="1" dxf="1">
    <nc r="C238">
      <f>IF(B238="","",TEXT(B238,"0.0"))</f>
    </nc>
    <odxf>
      <alignment horizontal="general" vertical="bottom"/>
    </odxf>
    <ndxf>
      <alignment horizontal="left" vertical="top"/>
    </ndxf>
  </rcc>
  <rcc rId="9708" sId="2" odxf="1" dxf="1">
    <nc r="C239">
      <f>IF(B239="","",TEXT(B239,"0.0"))</f>
    </nc>
    <odxf>
      <alignment horizontal="general" vertical="bottom"/>
    </odxf>
    <ndxf>
      <alignment horizontal="left" vertical="top"/>
    </ndxf>
  </rcc>
  <rcc rId="9709" sId="2" odxf="1" dxf="1">
    <nc r="C240">
      <f>IF(B240="","",TEXT(B240,"0.0"))</f>
    </nc>
    <odxf>
      <alignment horizontal="general" vertical="bottom"/>
    </odxf>
    <ndxf>
      <alignment horizontal="left" vertical="top"/>
    </ndxf>
  </rcc>
  <rcc rId="9710" sId="2" odxf="1" dxf="1">
    <nc r="C241">
      <f>IF(B241="","",TEXT(B241,"0.0"))</f>
    </nc>
    <odxf>
      <alignment horizontal="general" vertical="bottom"/>
    </odxf>
    <ndxf>
      <alignment horizontal="left" vertical="top"/>
    </ndxf>
  </rcc>
  <rcc rId="9711" sId="2" odxf="1" dxf="1">
    <nc r="C242">
      <f>IF(B242="","",TEXT(B242,"0.0"))</f>
    </nc>
    <odxf>
      <alignment horizontal="general" vertical="bottom"/>
    </odxf>
    <ndxf>
      <alignment horizontal="left" vertical="top"/>
    </ndxf>
  </rcc>
  <rcc rId="9712" sId="2" odxf="1" dxf="1">
    <nc r="C243">
      <f>IF(B243="","",TEXT(B243,"0.0"))</f>
    </nc>
    <odxf>
      <alignment horizontal="general" vertical="bottom"/>
    </odxf>
    <ndxf>
      <alignment horizontal="left" vertical="top"/>
    </ndxf>
  </rcc>
  <rcc rId="9713" sId="2" odxf="1" dxf="1">
    <nc r="C244">
      <f>IF(B244="","",TEXT(B244,"0.0"))</f>
    </nc>
    <odxf>
      <alignment horizontal="general" vertical="bottom"/>
    </odxf>
    <ndxf>
      <alignment horizontal="left" vertical="top"/>
    </ndxf>
  </rcc>
  <rcc rId="9714" sId="2" odxf="1" dxf="1">
    <nc r="C245">
      <f>IF(B245="","",TEXT(B245,"0.0"))</f>
    </nc>
    <odxf>
      <alignment horizontal="general" vertical="bottom"/>
    </odxf>
    <ndxf>
      <alignment horizontal="left" vertical="top"/>
    </ndxf>
  </rcc>
  <rcc rId="9715" sId="2" odxf="1" dxf="1">
    <nc r="C246">
      <f>IF(B246="","",TEXT(B246,"0.0"))</f>
    </nc>
    <odxf>
      <alignment horizontal="general" vertical="bottom"/>
    </odxf>
    <ndxf>
      <alignment horizontal="left" vertical="top"/>
    </ndxf>
  </rcc>
  <rcc rId="9716" sId="2" odxf="1" dxf="1">
    <nc r="C247">
      <f>IF(B247="","",TEXT(B247,"0.0"))</f>
    </nc>
    <odxf>
      <alignment horizontal="general" vertical="bottom"/>
    </odxf>
    <ndxf>
      <alignment horizontal="left" vertical="top"/>
    </ndxf>
  </rcc>
  <rcc rId="9717" sId="2" odxf="1" dxf="1">
    <nc r="C248">
      <f>IF(B248="","",TEXT(B248,"0.0"))</f>
    </nc>
    <odxf>
      <alignment horizontal="general" vertical="bottom"/>
    </odxf>
    <ndxf>
      <alignment horizontal="left" vertical="top"/>
    </ndxf>
  </rcc>
  <rcc rId="9718" sId="2" odxf="1" dxf="1">
    <nc r="C249">
      <f>IF(B249="","",TEXT(B249,"0.0"))</f>
    </nc>
    <odxf>
      <alignment horizontal="general" vertical="bottom"/>
    </odxf>
    <ndxf>
      <alignment horizontal="left" vertical="top"/>
    </ndxf>
  </rcc>
  <rcc rId="9719" sId="2" odxf="1" dxf="1">
    <nc r="C250">
      <f>IF(B250="","",TEXT(B250,"0.0"))</f>
    </nc>
    <odxf>
      <alignment horizontal="general" vertical="bottom"/>
    </odxf>
    <ndxf>
      <alignment horizontal="left" vertical="top"/>
    </ndxf>
  </rcc>
  <rcc rId="9720" sId="2" odxf="1" dxf="1">
    <nc r="C251">
      <f>IF(B251="","",TEXT(B251,"0.0"))</f>
    </nc>
    <odxf>
      <alignment horizontal="general" vertical="bottom"/>
    </odxf>
    <ndxf>
      <alignment horizontal="left" vertical="top"/>
    </ndxf>
  </rcc>
  <rcc rId="9721" sId="2" odxf="1" dxf="1">
    <nc r="C252">
      <f>IF(B252="","",TEXT(B252,"0.0"))</f>
    </nc>
    <odxf>
      <alignment horizontal="general" vertical="bottom"/>
    </odxf>
    <ndxf>
      <alignment horizontal="left" vertical="top"/>
    </ndxf>
  </rcc>
  <rcc rId="9722" sId="2" odxf="1" dxf="1">
    <nc r="C253">
      <f>IF(B253="","",TEXT(B253,"0.0"))</f>
    </nc>
    <odxf>
      <alignment horizontal="general" vertical="bottom"/>
    </odxf>
    <ndxf>
      <alignment horizontal="left" vertical="top"/>
    </ndxf>
  </rcc>
  <rcc rId="9723" sId="2" odxf="1" dxf="1">
    <nc r="C254">
      <f>IF(B254="","",TEXT(B254,"0.0"))</f>
    </nc>
    <odxf>
      <alignment horizontal="general" vertical="bottom"/>
    </odxf>
    <ndxf>
      <alignment horizontal="left" vertical="top"/>
    </ndxf>
  </rcc>
  <rcc rId="9724" sId="2" odxf="1" dxf="1">
    <nc r="C255">
      <f>IF(B255="","",TEXT(B255,"0.0"))</f>
    </nc>
    <odxf>
      <alignment horizontal="general" vertical="bottom"/>
    </odxf>
    <ndxf>
      <alignment horizontal="left" vertical="top"/>
    </ndxf>
  </rcc>
  <rcc rId="9725" sId="2" odxf="1" dxf="1">
    <nc r="C256">
      <f>IF(B256="","",TEXT(B256,"0.0"))</f>
    </nc>
    <odxf>
      <alignment horizontal="general" vertical="bottom"/>
    </odxf>
    <ndxf>
      <alignment horizontal="left" vertical="top"/>
    </ndxf>
  </rcc>
  <rcc rId="9726" sId="2" odxf="1" dxf="1">
    <nc r="C257">
      <f>IF(B257="","",TEXT(B257,"0.0"))</f>
    </nc>
    <odxf>
      <alignment horizontal="general" vertical="bottom"/>
    </odxf>
    <ndxf>
      <alignment horizontal="left" vertical="top"/>
    </ndxf>
  </rcc>
  <rcc rId="9727" sId="2" odxf="1" dxf="1">
    <nc r="C258">
      <f>IF(B258="","",TEXT(B258,"0.0"))</f>
    </nc>
    <odxf>
      <alignment horizontal="general" vertical="bottom"/>
    </odxf>
    <ndxf>
      <alignment horizontal="left" vertical="top"/>
    </ndxf>
  </rcc>
  <rcc rId="9728" sId="2" odxf="1" dxf="1">
    <nc r="C259">
      <f>IF(B259="","",TEXT(B259,"0.0"))</f>
    </nc>
    <odxf>
      <alignment horizontal="general" vertical="bottom"/>
    </odxf>
    <ndxf>
      <alignment horizontal="left" vertical="top"/>
    </ndxf>
  </rcc>
  <rcc rId="9729" sId="2" odxf="1" dxf="1">
    <nc r="C260">
      <f>IF(B260="","",TEXT(B260,"0.0"))</f>
    </nc>
    <odxf>
      <alignment horizontal="general" vertical="bottom"/>
    </odxf>
    <ndxf>
      <alignment horizontal="left" vertical="top"/>
    </ndxf>
  </rcc>
  <rcc rId="9730" sId="2" odxf="1" dxf="1">
    <nc r="C261">
      <f>IF(B261="","",TEXT(B261,"0.0"))</f>
    </nc>
    <odxf>
      <alignment horizontal="general" vertical="bottom"/>
    </odxf>
    <ndxf>
      <alignment horizontal="left" vertical="top"/>
    </ndxf>
  </rcc>
  <rcc rId="9731" sId="2" odxf="1" dxf="1">
    <nc r="C262">
      <f>IF(B262="","",TEXT(B262,"0.0"))</f>
    </nc>
    <odxf>
      <alignment horizontal="general" vertical="bottom"/>
    </odxf>
    <ndxf>
      <alignment horizontal="left" vertical="top"/>
    </ndxf>
  </rcc>
  <rcc rId="9732" sId="2" odxf="1" dxf="1">
    <nc r="C263">
      <f>IF(B263="","",TEXT(B263,"0.0"))</f>
    </nc>
    <odxf>
      <alignment horizontal="general" vertical="bottom"/>
    </odxf>
    <ndxf>
      <alignment horizontal="left" vertical="top"/>
    </ndxf>
  </rcc>
  <rcc rId="9733" sId="2">
    <nc r="C1" t="inlineStr">
      <is>
        <t>nest2</t>
      </is>
    </nc>
  </rcc>
  <rcc rId="9734" sId="2">
    <oc r="C2">
      <f>IF(B2="","",TEXT(B2,"0.0"))</f>
    </oc>
    <nc r="C2" t="inlineStr">
      <is>
        <t>2.1</t>
      </is>
    </nc>
  </rcc>
  <rcc rId="9735" sId="2">
    <oc r="C3">
      <f>IF(B3="","",TEXT(B3,"0.0"))</f>
    </oc>
    <nc r="C3" t="inlineStr">
      <is>
        <t>2.6</t>
      </is>
    </nc>
  </rcc>
  <rcc rId="9736" sId="2">
    <oc r="C4">
      <f>IF(B4="","",TEXT(B4,"0.0"))</f>
    </oc>
    <nc r="C4" t="inlineStr">
      <is>
        <t>2.1</t>
      </is>
    </nc>
  </rcc>
  <rcc rId="9737" sId="2">
    <oc r="C5">
      <f>IF(B5="","",TEXT(B5,"0.0"))</f>
    </oc>
    <nc r="C5" t="inlineStr">
      <is>
        <t>2.1</t>
      </is>
    </nc>
  </rcc>
  <rcc rId="9738" sId="2">
    <oc r="C6">
      <f>IF(B6="","",TEXT(B6,"0.0"))</f>
    </oc>
    <nc r="C6" t="inlineStr">
      <is>
        <t>2.1</t>
      </is>
    </nc>
  </rcc>
  <rcc rId="9739" sId="2">
    <oc r="C7">
      <f>IF(B7="","",TEXT(B7,"0.0"))</f>
    </oc>
    <nc r="C7" t="inlineStr">
      <is>
        <t>2.1</t>
      </is>
    </nc>
  </rcc>
  <rcc rId="9740" sId="2">
    <oc r="C8">
      <f>IF(B8="","",TEXT(B8,"0.0"))</f>
    </oc>
    <nc r="C8" t="inlineStr">
      <is>
        <t>2.1</t>
      </is>
    </nc>
  </rcc>
  <rcc rId="9741" sId="2">
    <oc r="C9">
      <f>IF(B9="","",TEXT(B9,"0.0"))</f>
    </oc>
    <nc r="C9" t="inlineStr">
      <is>
        <t>2.2</t>
      </is>
    </nc>
  </rcc>
  <rcc rId="9742" sId="2">
    <oc r="C10">
      <f>IF(B10="","",TEXT(B10,"0.0"))</f>
    </oc>
    <nc r="C10" t="inlineStr">
      <is>
        <t>2.2</t>
      </is>
    </nc>
  </rcc>
  <rcc rId="9743" sId="2">
    <oc r="C11">
      <f>IF(B11="","",TEXT(B11,"0.0"))</f>
    </oc>
    <nc r="C11" t="inlineStr">
      <is>
        <t>2.2</t>
      </is>
    </nc>
  </rcc>
  <rcc rId="9744" sId="2">
    <oc r="C12">
      <f>IF(B12="","",TEXT(B12,"0.0"))</f>
    </oc>
    <nc r="C12" t="inlineStr">
      <is>
        <t>2.2</t>
      </is>
    </nc>
  </rcc>
  <rcc rId="9745" sId="2">
    <oc r="C13">
      <f>IF(B13="","",TEXT(B13,"0.0"))</f>
    </oc>
    <nc r="C13" t="inlineStr">
      <is>
        <t>2.1</t>
      </is>
    </nc>
  </rcc>
  <rcc rId="9746" sId="2">
    <oc r="C14">
      <f>IF(B14="","",TEXT(B14,"0.0"))</f>
    </oc>
    <nc r="C14" t="inlineStr">
      <is>
        <t>2.1</t>
      </is>
    </nc>
  </rcc>
  <rcc rId="9747" sId="2">
    <oc r="C15">
      <f>IF(B15="","",TEXT(B15,"0.0"))</f>
    </oc>
    <nc r="C15" t="inlineStr">
      <is>
        <t>2.1</t>
      </is>
    </nc>
  </rcc>
  <rcc rId="9748" sId="2">
    <oc r="C16">
      <f>IF(B16="","",TEXT(B16,"0.0"))</f>
    </oc>
    <nc r="C16" t="inlineStr">
      <is>
        <t>2.1</t>
      </is>
    </nc>
  </rcc>
  <rcc rId="9749" sId="2">
    <oc r="C17">
      <f>IF(B17="","",TEXT(B17,"0.0"))</f>
    </oc>
    <nc r="C17" t="inlineStr">
      <is>
        <t>2.1</t>
      </is>
    </nc>
  </rcc>
  <rcc rId="9750" sId="2">
    <oc r="C18">
      <f>IF(B18="","",TEXT(B18,"0.0"))</f>
    </oc>
    <nc r="C18" t="inlineStr">
      <is>
        <t>2.1</t>
      </is>
    </nc>
  </rcc>
  <rcc rId="9751" sId="2">
    <oc r="C19">
      <f>IF(B19="","",TEXT(B19,"0.0"))</f>
    </oc>
    <nc r="C19" t="inlineStr">
      <is>
        <t>2.1</t>
      </is>
    </nc>
  </rcc>
  <rcc rId="9752" sId="2">
    <oc r="C20">
      <f>IF(B20="","",TEXT(B20,"0.0"))</f>
    </oc>
    <nc r="C20" t="inlineStr">
      <is>
        <t>2.1</t>
      </is>
    </nc>
  </rcc>
  <rcc rId="9753" sId="2">
    <oc r="C21">
      <f>IF(B21="","",TEXT(B21,"0.0"))</f>
    </oc>
    <nc r="C21" t="inlineStr">
      <is>
        <t>2.1</t>
      </is>
    </nc>
  </rcc>
  <rcc rId="9754" sId="2">
    <oc r="C22">
      <f>IF(B22="","",TEXT(B22,"0.0"))</f>
    </oc>
    <nc r="C22" t="inlineStr">
      <is>
        <t>2.1</t>
      </is>
    </nc>
  </rcc>
  <rcc rId="9755" sId="2">
    <oc r="C23">
      <f>IF(B23="","",TEXT(B23,"0.0"))</f>
    </oc>
    <nc r="C23" t="inlineStr">
      <is>
        <t>2.2</t>
      </is>
    </nc>
  </rcc>
  <rcc rId="9756" sId="2">
    <oc r="C24">
      <f>IF(B24="","",TEXT(B24,"0.0"))</f>
    </oc>
    <nc r="C24" t="inlineStr">
      <is>
        <t>2.3</t>
      </is>
    </nc>
  </rcc>
  <rcc rId="9757" sId="2">
    <oc r="C25">
      <f>IF(B25="","",TEXT(B25,"0.0"))</f>
    </oc>
    <nc r="C25" t="inlineStr">
      <is>
        <t>2.2</t>
      </is>
    </nc>
  </rcc>
  <rcc rId="9758" sId="2">
    <oc r="C26">
      <f>IF(B26="","",TEXT(B26,"0.0"))</f>
    </oc>
    <nc r="C26" t="inlineStr">
      <is>
        <t>2.2</t>
      </is>
    </nc>
  </rcc>
  <rcc rId="9759" sId="2">
    <oc r="C27">
      <f>IF(B27="","",TEXT(B27,"0.0"))</f>
    </oc>
    <nc r="C27" t="inlineStr">
      <is>
        <t>2.3</t>
      </is>
    </nc>
  </rcc>
  <rcc rId="9760" sId="2">
    <oc r="C28">
      <f>IF(B28="","",TEXT(B28,"0.0"))</f>
    </oc>
    <nc r="C28" t="inlineStr">
      <is>
        <t>2.3</t>
      </is>
    </nc>
  </rcc>
  <rcc rId="9761" sId="2">
    <oc r="C29">
      <f>IF(B29="","",TEXT(B29,"0.0"))</f>
    </oc>
    <nc r="C29" t="inlineStr">
      <is>
        <t>2.4</t>
      </is>
    </nc>
  </rcc>
  <rcc rId="9762" sId="2">
    <oc r="C30">
      <f>IF(B30="","",TEXT(B30,"0.0"))</f>
    </oc>
    <nc r="C30" t="inlineStr">
      <is>
        <t>2.5</t>
      </is>
    </nc>
  </rcc>
  <rcc rId="9763" sId="2">
    <oc r="C31">
      <f>IF(B31="","",TEXT(B31,"0.0"))</f>
    </oc>
    <nc r="C31" t="inlineStr">
      <is>
        <t>2.6</t>
      </is>
    </nc>
  </rcc>
  <rcc rId="9764" sId="2">
    <oc r="C32">
      <f>IF(B32="","",TEXT(B32,"0.0"))</f>
    </oc>
    <nc r="C32" t="inlineStr">
      <is>
        <t>2.6</t>
      </is>
    </nc>
  </rcc>
  <rcc rId="9765" sId="2">
    <oc r="C33">
      <f>IF(B33="","",TEXT(B33,"0.0"))</f>
    </oc>
    <nc r="C33" t="inlineStr">
      <is>
        <t>2.6</t>
      </is>
    </nc>
  </rcc>
  <rcc rId="9766" sId="2">
    <oc r="C34">
      <f>IF(B34="","",TEXT(B34,"0.0"))</f>
    </oc>
    <nc r="C34" t="inlineStr">
      <is>
        <t>2.6</t>
      </is>
    </nc>
  </rcc>
  <rcc rId="9767" sId="2">
    <oc r="C35">
      <f>IF(B35="","",TEXT(B35,"0.0"))</f>
    </oc>
    <nc r="C35" t="inlineStr">
      <is>
        <t>2.6</t>
      </is>
    </nc>
  </rcc>
  <rcc rId="9768" sId="2">
    <oc r="C36">
      <f>IF(B36="","",TEXT(B36,"0.0"))</f>
    </oc>
    <nc r="C36" t="inlineStr">
      <is>
        <t>2.6</t>
      </is>
    </nc>
  </rcc>
  <rcc rId="9769" sId="2">
    <oc r="C37">
      <f>IF(B37="","",TEXT(B37,"0.0"))</f>
    </oc>
    <nc r="C37" t="inlineStr">
      <is>
        <t>2.6</t>
      </is>
    </nc>
  </rcc>
  <rcc rId="9770" sId="2">
    <oc r="C38">
      <f>IF(B38="","",TEXT(B38,"0.0"))</f>
    </oc>
    <nc r="C38" t="inlineStr">
      <is>
        <t>2.6</t>
      </is>
    </nc>
  </rcc>
  <rcc rId="9771" sId="2">
    <oc r="C39">
      <f>IF(B39="","",TEXT(B39,"0.0"))</f>
    </oc>
    <nc r="C39" t="inlineStr">
      <is>
        <t>2.6</t>
      </is>
    </nc>
  </rcc>
  <rcc rId="9772" sId="2">
    <oc r="C40">
      <f>IF(B40="","",TEXT(B40,"0.0"))</f>
    </oc>
    <nc r="C40" t="inlineStr">
      <is>
        <t>2.6</t>
      </is>
    </nc>
  </rcc>
  <rcc rId="9773" sId="2">
    <oc r="C41">
      <f>IF(B41="","",TEXT(B41,"0.0"))</f>
    </oc>
    <nc r="C41" t="inlineStr">
      <is>
        <t>2.6</t>
      </is>
    </nc>
  </rcc>
  <rcc rId="9774" sId="2">
    <oc r="C42">
      <f>IF(B42="","",TEXT(B42,"0.0"))</f>
    </oc>
    <nc r="C42" t="inlineStr">
      <is>
        <t>2.6</t>
      </is>
    </nc>
  </rcc>
  <rcc rId="9775" sId="2">
    <oc r="C43">
      <f>IF(B43="","",TEXT(B43,"0.0"))</f>
    </oc>
    <nc r="C43" t="inlineStr">
      <is>
        <t>2.6</t>
      </is>
    </nc>
  </rcc>
  <rcc rId="9776" sId="2">
    <oc r="C44">
      <f>IF(B44="","",TEXT(B44,"0.0"))</f>
    </oc>
    <nc r="C44" t="inlineStr">
      <is>
        <t>2.6</t>
      </is>
    </nc>
  </rcc>
  <rcc rId="9777" sId="2">
    <oc r="C45">
      <f>IF(B45="","",TEXT(B45,"0.0"))</f>
    </oc>
    <nc r="C45" t="inlineStr">
      <is>
        <t>2.6</t>
      </is>
    </nc>
  </rcc>
  <rcc rId="9778" sId="2">
    <oc r="C46">
      <f>IF(B46="","",TEXT(B46,"0.0"))</f>
    </oc>
    <nc r="C46" t="inlineStr">
      <is>
        <t>2.6</t>
      </is>
    </nc>
  </rcc>
  <rcc rId="9779" sId="2">
    <oc r="C47">
      <f>IF(B47="","",TEXT(B47,"0.0"))</f>
    </oc>
    <nc r="C47" t="inlineStr">
      <is>
        <t>2.6</t>
      </is>
    </nc>
  </rcc>
  <rcc rId="9780" sId="2">
    <oc r="C48">
      <f>IF(B48="","",TEXT(B48,"0.0"))</f>
    </oc>
    <nc r="C48" t="inlineStr">
      <is>
        <t>2.6</t>
      </is>
    </nc>
  </rcc>
  <rcc rId="9781" sId="2">
    <oc r="C49">
      <f>IF(B49="","",TEXT(B49,"0.0"))</f>
    </oc>
    <nc r="C49" t="inlineStr">
      <is>
        <t>2.6</t>
      </is>
    </nc>
  </rcc>
  <rcc rId="9782" sId="2">
    <oc r="C50">
      <f>IF(B50="","",TEXT(B50,"0.0"))</f>
    </oc>
    <nc r="C50" t="inlineStr">
      <is>
        <t>2.6</t>
      </is>
    </nc>
  </rcc>
  <rcc rId="9783" sId="2">
    <oc r="C51">
      <f>IF(B51="","",TEXT(B51,"0.0"))</f>
    </oc>
    <nc r="C51" t="inlineStr">
      <is>
        <t>2.6</t>
      </is>
    </nc>
  </rcc>
  <rcc rId="9784" sId="2">
    <oc r="C52">
      <f>IF(B52="","",TEXT(B52,"0.0"))</f>
    </oc>
    <nc r="C52" t="inlineStr">
      <is>
        <t>2.6</t>
      </is>
    </nc>
  </rcc>
  <rcc rId="9785" sId="2">
    <oc r="C53">
      <f>IF(B53="","",TEXT(B53,"0.0"))</f>
    </oc>
    <nc r="C53" t="inlineStr">
      <is>
        <t>2.6</t>
      </is>
    </nc>
  </rcc>
  <rcc rId="9786" sId="2">
    <oc r="C54">
      <f>IF(B54="","",TEXT(B54,"0.0"))</f>
    </oc>
    <nc r="C54" t="inlineStr">
      <is>
        <t>2.6</t>
      </is>
    </nc>
  </rcc>
  <rcc rId="9787" sId="2">
    <oc r="C55">
      <f>IF(B55="","",TEXT(B55,"0.0"))</f>
    </oc>
    <nc r="C55" t="inlineStr">
      <is>
        <t>2.6</t>
      </is>
    </nc>
  </rcc>
  <rcc rId="9788" sId="2">
    <oc r="C56">
      <f>IF(B56="","",TEXT(B56,"0.0"))</f>
    </oc>
    <nc r="C56" t="inlineStr">
      <is>
        <t>2.6</t>
      </is>
    </nc>
  </rcc>
  <rcc rId="9789" sId="2">
    <oc r="C57">
      <f>IF(B57="","",TEXT(B57,"0.0"))</f>
    </oc>
    <nc r="C57" t="inlineStr">
      <is>
        <t>2.6</t>
      </is>
    </nc>
  </rcc>
  <rcc rId="9790" sId="2">
    <oc r="C58">
      <f>IF(B58="","",TEXT(B58,"0.0"))</f>
    </oc>
    <nc r="C58" t="inlineStr">
      <is>
        <t>2.6</t>
      </is>
    </nc>
  </rcc>
  <rcc rId="9791" sId="2">
    <oc r="C59">
      <f>IF(B59="","",TEXT(B59,"0.0"))</f>
    </oc>
    <nc r="C59" t="inlineStr">
      <is>
        <t>2.6</t>
      </is>
    </nc>
  </rcc>
  <rcc rId="9792" sId="2">
    <oc r="C60">
      <f>IF(B60="","",TEXT(B60,"0.0"))</f>
    </oc>
    <nc r="C60" t="inlineStr">
      <is>
        <t>2.6</t>
      </is>
    </nc>
  </rcc>
  <rcc rId="9793" sId="2">
    <oc r="C61">
      <f>IF(B61="","",TEXT(B61,"0.0"))</f>
    </oc>
    <nc r="C61" t="inlineStr">
      <is>
        <t>2.6</t>
      </is>
    </nc>
  </rcc>
  <rcc rId="9794" sId="2">
    <oc r="C62">
      <f>IF(B62="","",TEXT(B62,"0.0"))</f>
    </oc>
    <nc r="C62" t="inlineStr">
      <is>
        <t>2.6</t>
      </is>
    </nc>
  </rcc>
  <rcc rId="9795" sId="2">
    <oc r="C63">
      <f>IF(B63="","",TEXT(B63,"0.0"))</f>
    </oc>
    <nc r="C63" t="inlineStr">
      <is>
        <t>2.6</t>
      </is>
    </nc>
  </rcc>
  <rcc rId="9796" sId="2">
    <oc r="C64">
      <f>IF(B64="","",TEXT(B64,"0.0"))</f>
    </oc>
    <nc r="C64" t="inlineStr">
      <is>
        <t>2.6</t>
      </is>
    </nc>
  </rcc>
  <rcc rId="9797" sId="2">
    <oc r="C65">
      <f>IF(B65="","",TEXT(B65,"0.0"))</f>
    </oc>
    <nc r="C65" t="inlineStr">
      <is>
        <t>2.6</t>
      </is>
    </nc>
  </rcc>
  <rcc rId="9798" sId="2">
    <oc r="C66">
      <f>IF(B66="","",TEXT(B66,"0.0"))</f>
    </oc>
    <nc r="C66" t="inlineStr">
      <is>
        <t>2.6</t>
      </is>
    </nc>
  </rcc>
  <rcc rId="9799" sId="2">
    <oc r="C67">
      <f>IF(B67="","",TEXT(B67,"0.0"))</f>
    </oc>
    <nc r="C67" t="inlineStr">
      <is>
        <t>2.6</t>
      </is>
    </nc>
  </rcc>
  <rcc rId="9800" sId="2">
    <oc r="C68">
      <f>IF(B68="","",TEXT(B68,"0.0"))</f>
    </oc>
    <nc r="C68" t="inlineStr">
      <is>
        <t>2.6</t>
      </is>
    </nc>
  </rcc>
  <rcc rId="9801" sId="2">
    <oc r="C69">
      <f>IF(B69="","",TEXT(B69,"0.0"))</f>
    </oc>
    <nc r="C69" t="inlineStr">
      <is>
        <t>2.6</t>
      </is>
    </nc>
  </rcc>
  <rcc rId="9802" sId="2">
    <oc r="C70">
      <f>IF(B70="","",TEXT(B70,"0.0"))</f>
    </oc>
    <nc r="C70" t="inlineStr">
      <is>
        <t>2.6</t>
      </is>
    </nc>
  </rcc>
  <rcc rId="9803" sId="2">
    <oc r="C71">
      <f>IF(B71="","",TEXT(B71,"0.0"))</f>
    </oc>
    <nc r="C71" t="inlineStr">
      <is>
        <t>2.6</t>
      </is>
    </nc>
  </rcc>
  <rcc rId="9804" sId="2">
    <oc r="C72">
      <f>IF(B72="","",TEXT(B72,"0.0"))</f>
    </oc>
    <nc r="C72" t="inlineStr">
      <is>
        <t>2.1</t>
      </is>
    </nc>
  </rcc>
  <rcc rId="9805" sId="2">
    <oc r="C73">
      <f>IF(B73="","",TEXT(B73,"0.0"))</f>
    </oc>
    <nc r="C73" t="inlineStr">
      <is>
        <t>2.1</t>
      </is>
    </nc>
  </rcc>
  <rcc rId="9806" sId="2">
    <oc r="C74">
      <f>IF(B74="","",TEXT(B74,"0.0"))</f>
    </oc>
    <nc r="C74" t="inlineStr">
      <is>
        <t>2.1</t>
      </is>
    </nc>
  </rcc>
  <rcc rId="9807" sId="2">
    <oc r="C75">
      <f>IF(B75="","",TEXT(B75,"0.0"))</f>
    </oc>
    <nc r="C75" t="inlineStr">
      <is>
        <t>2.1</t>
      </is>
    </nc>
  </rcc>
  <rcc rId="9808" sId="2">
    <oc r="C76">
      <f>IF(B76="","",TEXT(B76,"0.0"))</f>
    </oc>
    <nc r="C76" t="inlineStr">
      <is>
        <t>2.1</t>
      </is>
    </nc>
  </rcc>
  <rcc rId="9809" sId="2">
    <oc r="C77">
      <f>IF(B77="","",TEXT(B77,"0.0"))</f>
    </oc>
    <nc r="C77" t="inlineStr">
      <is>
        <t>2.1</t>
      </is>
    </nc>
  </rcc>
  <rcc rId="9810" sId="2">
    <oc r="C78">
      <f>IF(B78="","",TEXT(B78,"0.0"))</f>
    </oc>
    <nc r="C78" t="inlineStr">
      <is>
        <t>2.6</t>
      </is>
    </nc>
  </rcc>
  <rcc rId="9811" sId="2">
    <oc r="C79">
      <f>IF(B79="","",TEXT(B79,"0.0"))</f>
    </oc>
    <nc r="C79" t="inlineStr">
      <is>
        <t>2.6</t>
      </is>
    </nc>
  </rcc>
  <rcc rId="9812" sId="2">
    <oc r="C80">
      <f>IF(B80="","",TEXT(B80,"0.0"))</f>
    </oc>
    <nc r="C80" t="inlineStr">
      <is>
        <t>2.6</t>
      </is>
    </nc>
  </rcc>
  <rcc rId="9813" sId="2">
    <oc r="C81">
      <f>IF(B81="","",TEXT(B81,"0.0"))</f>
    </oc>
    <nc r="C81" t="inlineStr">
      <is>
        <t>2.6</t>
      </is>
    </nc>
  </rcc>
  <rcc rId="9814" sId="2">
    <oc r="C82">
      <f>IF(B82="","",TEXT(B82,"0.0"))</f>
    </oc>
    <nc r="C82" t="inlineStr">
      <is>
        <t>2.6</t>
      </is>
    </nc>
  </rcc>
  <rcc rId="9815" sId="2">
    <oc r="C83">
      <f>IF(B83="","",TEXT(B83,"0.0"))</f>
    </oc>
    <nc r="C83" t="inlineStr">
      <is>
        <t>2.6</t>
      </is>
    </nc>
  </rcc>
  <rcc rId="9816" sId="2">
    <oc r="C84">
      <f>IF(B84="","",TEXT(B84,"0.0"))</f>
    </oc>
    <nc r="C84" t="inlineStr">
      <is>
        <t>2.6</t>
      </is>
    </nc>
  </rcc>
  <rcc rId="9817" sId="2">
    <oc r="C85">
      <f>IF(B85="","",TEXT(B85,"0.0"))</f>
    </oc>
    <nc r="C85" t="inlineStr">
      <is>
        <t>2.6</t>
      </is>
    </nc>
  </rcc>
  <rcc rId="9818" sId="2">
    <oc r="C86">
      <f>IF(B86="","",TEXT(B86,"0.0"))</f>
    </oc>
    <nc r="C86" t="inlineStr">
      <is>
        <t>2.6</t>
      </is>
    </nc>
  </rcc>
  <rcc rId="9819" sId="2">
    <oc r="C87">
      <f>IF(B87="","",TEXT(B87,"0.0"))</f>
    </oc>
    <nc r="C87" t="inlineStr">
      <is>
        <t>2.6</t>
      </is>
    </nc>
  </rcc>
  <rcc rId="9820" sId="2">
    <oc r="C88">
      <f>IF(B88="","",TEXT(B88,"0.0"))</f>
    </oc>
    <nc r="C88" t="inlineStr">
      <is>
        <t>2.6</t>
      </is>
    </nc>
  </rcc>
  <rcc rId="9821" sId="2">
    <oc r="C89">
      <f>IF(B89="","",TEXT(B89,"0.0"))</f>
    </oc>
    <nc r="C89" t="inlineStr">
      <is>
        <t>2.6</t>
      </is>
    </nc>
  </rcc>
  <rcc rId="9822" sId="2">
    <oc r="C90">
      <f>IF(B90="","",TEXT(B90,"0.0"))</f>
    </oc>
    <nc r="C90" t="inlineStr">
      <is>
        <t>2.6</t>
      </is>
    </nc>
  </rcc>
  <rcc rId="9823" sId="2">
    <oc r="C91">
      <f>IF(B91="","",TEXT(B91,"0.0"))</f>
    </oc>
    <nc r="C91" t="inlineStr">
      <is>
        <t>2.6</t>
      </is>
    </nc>
  </rcc>
  <rcc rId="9824" sId="2">
    <oc r="C92">
      <f>IF(B92="","",TEXT(B92,"0.0"))</f>
    </oc>
    <nc r="C92" t="inlineStr">
      <is>
        <t>2.6</t>
      </is>
    </nc>
  </rcc>
  <rcc rId="9825" sId="2">
    <oc r="C93">
      <f>IF(B93="","",TEXT(B93,"0.0"))</f>
    </oc>
    <nc r="C93" t="inlineStr">
      <is>
        <t>2.6</t>
      </is>
    </nc>
  </rcc>
  <rcc rId="9826" sId="2">
    <oc r="C94">
      <f>IF(B94="","",TEXT(B94,"0.0"))</f>
    </oc>
    <nc r="C94" t="inlineStr">
      <is>
        <t>2.6</t>
      </is>
    </nc>
  </rcc>
  <rcc rId="9827" sId="2">
    <oc r="C95">
      <f>IF(B95="","",TEXT(B95,"0.0"))</f>
    </oc>
    <nc r="C95" t="inlineStr">
      <is>
        <t>2.6</t>
      </is>
    </nc>
  </rcc>
  <rcc rId="9828" sId="2">
    <oc r="C96">
      <f>IF(B96="","",TEXT(B96,"0.0"))</f>
    </oc>
    <nc r="C96" t="inlineStr">
      <is>
        <t>2.6</t>
      </is>
    </nc>
  </rcc>
  <rcc rId="9829" sId="2">
    <oc r="C97">
      <f>IF(B97="","",TEXT(B97,"0.0"))</f>
    </oc>
    <nc r="C97" t="inlineStr">
      <is>
        <t>2.6</t>
      </is>
    </nc>
  </rcc>
  <rcc rId="9830" sId="2">
    <oc r="C98">
      <f>IF(B98="","",TEXT(B98,"0.0"))</f>
    </oc>
    <nc r="C98" t="inlineStr">
      <is>
        <t>2.6</t>
      </is>
    </nc>
  </rcc>
  <rcc rId="9831" sId="2">
    <oc r="C99">
      <f>IF(B99="","",TEXT(B99,"0.0"))</f>
    </oc>
    <nc r="C99" t="inlineStr">
      <is>
        <t>2.6</t>
      </is>
    </nc>
  </rcc>
  <rcc rId="9832" sId="2">
    <oc r="C100">
      <f>IF(B100="","",TEXT(B100,"0.0"))</f>
    </oc>
    <nc r="C100" t="inlineStr">
      <is>
        <t>2.6</t>
      </is>
    </nc>
  </rcc>
  <rcc rId="9833" sId="2">
    <oc r="C101">
      <f>IF(B101="","",TEXT(B101,"0.0"))</f>
    </oc>
    <nc r="C101" t="inlineStr">
      <is>
        <t>2.6</t>
      </is>
    </nc>
  </rcc>
  <rcc rId="9834" sId="2">
    <oc r="C102">
      <f>IF(B102="","",TEXT(B102,"0.0"))</f>
    </oc>
    <nc r="C102" t="inlineStr">
      <is>
        <t>2.6</t>
      </is>
    </nc>
  </rcc>
  <rcc rId="9835" sId="2">
    <oc r="C103">
      <f>IF(B103="","",TEXT(B103,"0.0"))</f>
    </oc>
    <nc r="C103" t="inlineStr">
      <is>
        <t>2.6</t>
      </is>
    </nc>
  </rcc>
  <rcc rId="9836" sId="2">
    <oc r="C104">
      <f>IF(B104="","",TEXT(B104,"0.0"))</f>
    </oc>
    <nc r="C104" t="inlineStr">
      <is>
        <t>2.6</t>
      </is>
    </nc>
  </rcc>
  <rcc rId="9837" sId="2">
    <oc r="C105">
      <f>IF(B105="","",TEXT(B105,"0.0"))</f>
    </oc>
    <nc r="C105" t="inlineStr">
      <is>
        <t>2.6</t>
      </is>
    </nc>
  </rcc>
  <rcc rId="9838" sId="2">
    <oc r="C106">
      <f>IF(B106="","",TEXT(B106,"0.0"))</f>
    </oc>
    <nc r="C106" t="inlineStr">
      <is>
        <t>2.6</t>
      </is>
    </nc>
  </rcc>
  <rcc rId="9839" sId="2">
    <oc r="C107">
      <f>IF(B107="","",TEXT(B107,"0.0"))</f>
    </oc>
    <nc r="C107" t="inlineStr">
      <is>
        <t>2.6</t>
      </is>
    </nc>
  </rcc>
  <rcc rId="9840" sId="2">
    <oc r="C108">
      <f>IF(B108="","",TEXT(B108,"0.0"))</f>
    </oc>
    <nc r="C108" t="inlineStr">
      <is>
        <t>2.6</t>
      </is>
    </nc>
  </rcc>
  <rcc rId="9841" sId="2">
    <oc r="C109">
      <f>IF(B109="","",TEXT(B109,"0.0"))</f>
    </oc>
    <nc r="C109" t="inlineStr">
      <is>
        <t>2.6</t>
      </is>
    </nc>
  </rcc>
  <rcc rId="9842" sId="2">
    <oc r="C110">
      <f>IF(B110="","",TEXT(B110,"0.0"))</f>
    </oc>
    <nc r="C110" t="inlineStr">
      <is>
        <t>2.6</t>
      </is>
    </nc>
  </rcc>
  <rcc rId="9843" sId="2">
    <oc r="C111">
      <f>IF(B111="","",TEXT(B111,"0.0"))</f>
    </oc>
    <nc r="C111" t="inlineStr">
      <is>
        <t>2.6</t>
      </is>
    </nc>
  </rcc>
  <rcc rId="9844" sId="2">
    <oc r="C112">
      <f>IF(B112="","",TEXT(B112,"0.0"))</f>
    </oc>
    <nc r="C112" t="inlineStr">
      <is>
        <t>2.6</t>
      </is>
    </nc>
  </rcc>
  <rcc rId="9845" sId="2">
    <oc r="C113">
      <f>IF(B113="","",TEXT(B113,"0.0"))</f>
    </oc>
    <nc r="C113" t="inlineStr">
      <is>
        <t>2.6</t>
      </is>
    </nc>
  </rcc>
  <rcc rId="9846" sId="2">
    <oc r="C114">
      <f>IF(B114="","",TEXT(B114,"0.0"))</f>
    </oc>
    <nc r="C114" t="inlineStr">
      <is>
        <t>2.6</t>
      </is>
    </nc>
  </rcc>
  <rcc rId="9847" sId="2">
    <oc r="C115">
      <f>IF(B115="","",TEXT(B115,"0.0"))</f>
    </oc>
    <nc r="C115" t="inlineStr">
      <is>
        <t>2.6</t>
      </is>
    </nc>
  </rcc>
  <rcc rId="9848" sId="2">
    <oc r="C116">
      <f>IF(B116="","",TEXT(B116,"0.0"))</f>
    </oc>
    <nc r="C116" t="inlineStr">
      <is>
        <t>2.6</t>
      </is>
    </nc>
  </rcc>
  <rcc rId="9849" sId="2">
    <oc r="C117">
      <f>IF(B117="","",TEXT(B117,"0.0"))</f>
    </oc>
    <nc r="C117" t="inlineStr">
      <is>
        <t>2.6</t>
      </is>
    </nc>
  </rcc>
  <rcc rId="9850" sId="2">
    <oc r="C118">
      <f>IF(B118="","",TEXT(B118,"0.0"))</f>
    </oc>
    <nc r="C118" t="inlineStr">
      <is>
        <t>2.6</t>
      </is>
    </nc>
  </rcc>
  <rcc rId="9851" sId="2">
    <oc r="C119">
      <f>IF(B119="","",TEXT(B119,"0.0"))</f>
    </oc>
    <nc r="C119" t="inlineStr">
      <is>
        <t>2.6</t>
      </is>
    </nc>
  </rcc>
  <rcc rId="9852" sId="2">
    <oc r="C120">
      <f>IF(B120="","",TEXT(B120,"0.0"))</f>
    </oc>
    <nc r="C120" t="inlineStr">
      <is>
        <t>2.6</t>
      </is>
    </nc>
  </rcc>
  <rcc rId="9853" sId="2">
    <oc r="C121">
      <f>IF(B121="","",TEXT(B121,"0.0"))</f>
    </oc>
    <nc r="C121" t="inlineStr">
      <is>
        <t>2.6</t>
      </is>
    </nc>
  </rcc>
  <rcc rId="9854" sId="2">
    <oc r="C122">
      <f>IF(B122="","",TEXT(B122,"0.0"))</f>
    </oc>
    <nc r="C122" t="inlineStr">
      <is>
        <t>2.6</t>
      </is>
    </nc>
  </rcc>
  <rcc rId="9855" sId="2">
    <oc r="C123">
      <f>IF(B123="","",TEXT(B123,"0.0"))</f>
    </oc>
    <nc r="C123" t="inlineStr">
      <is>
        <t>2.6</t>
      </is>
    </nc>
  </rcc>
  <rcc rId="9856" sId="2">
    <oc r="C124">
      <f>IF(B124="","",TEXT(B124,"0.0"))</f>
    </oc>
    <nc r="C124" t="inlineStr">
      <is>
        <t>2.6</t>
      </is>
    </nc>
  </rcc>
  <rcc rId="9857" sId="2">
    <oc r="C125">
      <f>IF(B125="","",TEXT(B125,"0.0"))</f>
    </oc>
    <nc r="C125" t="inlineStr">
      <is>
        <t>2.6</t>
      </is>
    </nc>
  </rcc>
  <rcc rId="9858" sId="2">
    <oc r="C126">
      <f>IF(B126="","",TEXT(B126,"0.0"))</f>
    </oc>
    <nc r="C126" t="inlineStr">
      <is>
        <t>2.6</t>
      </is>
    </nc>
  </rcc>
  <rcc rId="9859" sId="2">
    <oc r="C127">
      <f>IF(B127="","",TEXT(B127,"0.0"))</f>
    </oc>
    <nc r="C127" t="inlineStr">
      <is>
        <t>2.6</t>
      </is>
    </nc>
  </rcc>
  <rcc rId="9860" sId="2">
    <oc r="C128">
      <f>IF(B128="","",TEXT(B128,"0.0"))</f>
    </oc>
    <nc r="C128" t="inlineStr">
      <is>
        <t>2.6</t>
      </is>
    </nc>
  </rcc>
  <rcc rId="9861" sId="2">
    <oc r="C129">
      <f>IF(B129="","",TEXT(B129,"0.0"))</f>
    </oc>
    <nc r="C129" t="inlineStr">
      <is>
        <t>2.6</t>
      </is>
    </nc>
  </rcc>
  <rcc rId="9862" sId="2">
    <oc r="C130">
      <f>IF(B130="","",TEXT(B130,"0.0"))</f>
    </oc>
    <nc r="C130" t="inlineStr">
      <is>
        <t>2.6</t>
      </is>
    </nc>
  </rcc>
  <rcc rId="9863" sId="2">
    <oc r="C131">
      <f>IF(B131="","",TEXT(B131,"0.0"))</f>
    </oc>
    <nc r="C131" t="inlineStr">
      <is>
        <t>2.6</t>
      </is>
    </nc>
  </rcc>
  <rcc rId="9864" sId="2">
    <oc r="C132">
      <f>IF(B132="","",TEXT(B132,"0.0"))</f>
    </oc>
    <nc r="C132" t="inlineStr">
      <is>
        <t>2.7</t>
      </is>
    </nc>
  </rcc>
  <rcc rId="9865" sId="2">
    <oc r="C133">
      <f>IF(B133="","",TEXT(B133,"0.0"))</f>
    </oc>
    <nc r="C133" t="inlineStr">
      <is>
        <t>2.6</t>
      </is>
    </nc>
  </rcc>
  <rcc rId="9866" sId="2">
    <oc r="C134">
      <f>IF(B134="","",TEXT(B134,"0.0"))</f>
    </oc>
    <nc r="C134" t="inlineStr">
      <is>
        <t>2.7</t>
      </is>
    </nc>
  </rcc>
  <rcc rId="9867" sId="2">
    <oc r="C135">
      <f>IF(B135="","",TEXT(B135,"0.0"))</f>
    </oc>
    <nc r="C135" t="inlineStr">
      <is>
        <t>2.6</t>
      </is>
    </nc>
  </rcc>
  <rcc rId="9868" sId="2">
    <oc r="C136">
      <f>IF(B136="","",TEXT(B136,"0.0"))</f>
    </oc>
    <nc r="C136" t="inlineStr">
      <is>
        <t>2.6</t>
      </is>
    </nc>
  </rcc>
  <rcc rId="9869" sId="2">
    <oc r="C137">
      <f>IF(B137="","",TEXT(B137,"0.0"))</f>
    </oc>
    <nc r="C137" t="inlineStr">
      <is>
        <t>2.6</t>
      </is>
    </nc>
  </rcc>
  <rcc rId="9870" sId="2">
    <oc r="C138">
      <f>IF(B138="","",TEXT(B138,"0.0"))</f>
    </oc>
    <nc r="C138" t="inlineStr">
      <is>
        <t>2.7</t>
      </is>
    </nc>
  </rcc>
  <rcc rId="9871" sId="2">
    <oc r="C139">
      <f>IF(B139="","",TEXT(B139,"0.0"))</f>
    </oc>
    <nc r="C139" t="inlineStr">
      <is>
        <t>2.7</t>
      </is>
    </nc>
  </rcc>
  <rcc rId="9872" sId="2">
    <oc r="C140">
      <f>IF(B140="","",TEXT(B140,"0.0"))</f>
    </oc>
    <nc r="C140" t="inlineStr">
      <is>
        <t>2.6</t>
      </is>
    </nc>
  </rcc>
  <rcc rId="9873" sId="2">
    <oc r="C141">
      <f>IF(B141="","",TEXT(B141,"0.0"))</f>
    </oc>
    <nc r="C141" t="inlineStr">
      <is>
        <t>2.7</t>
      </is>
    </nc>
  </rcc>
  <rcc rId="9874" sId="2">
    <oc r="C142">
      <f>IF(B142="","",TEXT(B142,"0.0"))</f>
    </oc>
    <nc r="C142" t="inlineStr">
      <is>
        <t>2.6</t>
      </is>
    </nc>
  </rcc>
  <rcc rId="9875" sId="2">
    <oc r="C143">
      <f>IF(B143="","",TEXT(B143,"0.0"))</f>
    </oc>
    <nc r="C143" t="inlineStr">
      <is>
        <t>2.8</t>
      </is>
    </nc>
  </rcc>
  <rcc rId="9876" sId="2">
    <oc r="C144">
      <f>IF(B144="","",TEXT(B144,"0.0"))</f>
    </oc>
    <nc r="C144" t="inlineStr">
      <is>
        <t>2.9</t>
      </is>
    </nc>
  </rcc>
  <rcc rId="9877" sId="2">
    <oc r="C145">
      <f>IF(B145="","",TEXT(B145,"0.0"))</f>
    </oc>
    <nc r="C145" t="inlineStr">
      <is>
        <t>2.8</t>
      </is>
    </nc>
  </rcc>
  <rcc rId="9878" sId="2">
    <oc r="C146">
      <f>IF(B146="","",TEXT(B146,"0.0"))</f>
    </oc>
    <nc r="C146" t="inlineStr">
      <is>
        <t>2.9</t>
      </is>
    </nc>
  </rcc>
  <rcc rId="9879" sId="2">
    <oc r="C147">
      <f>IF(B147="","",TEXT(B147,"0.0"))</f>
    </oc>
    <nc r="C147" t="inlineStr">
      <is>
        <t>2.6</t>
      </is>
    </nc>
  </rcc>
  <rcc rId="9880" sId="2">
    <oc r="C148">
      <f>IF(B148="","",TEXT(B148,"0.0"))</f>
    </oc>
    <nc r="C148" t="inlineStr">
      <is>
        <t>2.6</t>
      </is>
    </nc>
  </rcc>
  <rcc rId="9881" sId="2">
    <oc r="C149">
      <f>IF(B149="","",TEXT(B149,"0.0"))</f>
    </oc>
    <nc r="C149" t="inlineStr">
      <is>
        <t>2.8</t>
      </is>
    </nc>
  </rcc>
  <rcc rId="9882" sId="2">
    <oc r="C150">
      <f>IF(B150="","",TEXT(B150,"0.0"))</f>
    </oc>
    <nc r="C150" t="inlineStr">
      <is>
        <t>2.8</t>
      </is>
    </nc>
  </rcc>
  <rcc rId="9883" sId="2">
    <oc r="C151">
      <f>IF(B151="","",TEXT(B151,"0.0"))</f>
    </oc>
    <nc r="C151" t="inlineStr">
      <is>
        <t>2.8</t>
      </is>
    </nc>
  </rcc>
  <rcc rId="9884" sId="2">
    <oc r="C152">
      <f>IF(B152="","",TEXT(B152,"0.0"))</f>
    </oc>
    <nc r="C152" t="inlineStr">
      <is>
        <t>2.6</t>
      </is>
    </nc>
  </rcc>
  <rcc rId="9885" sId="2">
    <oc r="C153">
      <f>IF(B153="","",TEXT(B153,"0.0"))</f>
    </oc>
    <nc r="C153" t="inlineStr">
      <is>
        <t>2.8</t>
      </is>
    </nc>
  </rcc>
  <rcc rId="9886" sId="2">
    <oc r="C154">
      <f>IF(B154="","",TEXT(B154,"0.0"))</f>
    </oc>
    <nc r="C154" t="inlineStr">
      <is>
        <t>2.6</t>
      </is>
    </nc>
  </rcc>
  <rcc rId="9887" sId="2">
    <oc r="C155">
      <f>IF(B155="","",TEXT(B155,"0.0"))</f>
    </oc>
    <nc r="C155" t="inlineStr">
      <is>
        <t>2.6</t>
      </is>
    </nc>
  </rcc>
  <rcc rId="9888" sId="2">
    <oc r="C156">
      <f>IF(B156="","",TEXT(B156,"0.0"))</f>
    </oc>
    <nc r="C156" t="inlineStr">
      <is>
        <t>2.8</t>
      </is>
    </nc>
  </rcc>
  <rcc rId="9889" sId="2">
    <oc r="C157">
      <f>IF(B157="","",TEXT(B157,"0.0"))</f>
    </oc>
    <nc r="C157" t="inlineStr">
      <is>
        <t>2.8</t>
      </is>
    </nc>
  </rcc>
  <rcc rId="9890" sId="2">
    <oc r="C158">
      <f>IF(B158="","",TEXT(B158,"0.0"))</f>
    </oc>
    <nc r="C158" t="inlineStr">
      <is>
        <t>2.8</t>
      </is>
    </nc>
  </rcc>
  <rcc rId="9891" sId="2">
    <oc r="C159">
      <f>IF(B159="","",TEXT(B159,"0.0"))</f>
    </oc>
    <nc r="C159" t="inlineStr">
      <is>
        <t>2.8</t>
      </is>
    </nc>
  </rcc>
  <rcc rId="9892" sId="2">
    <oc r="C160">
      <f>IF(B160="","",TEXT(B160,"0.0"))</f>
    </oc>
    <nc r="C160" t="inlineStr">
      <is>
        <t>2.8</t>
      </is>
    </nc>
  </rcc>
  <rcc rId="9893" sId="2">
    <oc r="C161">
      <f>IF(B161="","",TEXT(B161,"0.0"))</f>
    </oc>
    <nc r="C161" t="inlineStr">
      <is>
        <t>2.6</t>
      </is>
    </nc>
  </rcc>
  <rcc rId="9894" sId="2">
    <oc r="C162">
      <f>IF(B162="","",TEXT(B162,"0.0"))</f>
    </oc>
    <nc r="C162" t="inlineStr">
      <is>
        <t>2.6</t>
      </is>
    </nc>
  </rcc>
  <rcc rId="9895" sId="2">
    <oc r="C163">
      <f>IF(B163="","",TEXT(B163,"0.0"))</f>
    </oc>
    <nc r="C163" t="inlineStr">
      <is>
        <t>2.8</t>
      </is>
    </nc>
  </rcc>
  <rcc rId="9896" sId="2">
    <oc r="C164">
      <f>IF(B164="","",TEXT(B164,"0.0"))</f>
    </oc>
    <nc r="C164" t="inlineStr">
      <is>
        <t>2.8</t>
      </is>
    </nc>
  </rcc>
  <rcc rId="9897" sId="2">
    <oc r="C165">
      <f>IF(B165="","",TEXT(B165,"0.0"))</f>
    </oc>
    <nc r="C165" t="inlineStr">
      <is>
        <t>2.6</t>
      </is>
    </nc>
  </rcc>
  <rcc rId="9898" sId="2">
    <oc r="C166">
      <f>IF(B166="","",TEXT(B166,"0.0"))</f>
    </oc>
    <nc r="C166" t="inlineStr">
      <is>
        <t>2.6</t>
      </is>
    </nc>
  </rcc>
  <rcc rId="9899" sId="2">
    <oc r="C167">
      <f>IF(B167="","",TEXT(B167,"0.0"))</f>
    </oc>
    <nc r="C167" t="inlineStr">
      <is>
        <t>2.8</t>
      </is>
    </nc>
  </rcc>
  <rcc rId="9900" sId="2">
    <oc r="C168">
      <f>IF(B168="","",TEXT(B168,"0.0"))</f>
    </oc>
    <nc r="C168" t="inlineStr">
      <is>
        <t>2.6</t>
      </is>
    </nc>
  </rcc>
  <rcc rId="9901" sId="2">
    <oc r="C169">
      <f>IF(B169="","",TEXT(B169,"0.0"))</f>
    </oc>
    <nc r="C169" t="inlineStr">
      <is>
        <t>2.8</t>
      </is>
    </nc>
  </rcc>
  <rcc rId="9902" sId="2">
    <oc r="C170">
      <f>IF(B170="","",TEXT(B170,"0.0"))</f>
    </oc>
    <nc r="C170" t="inlineStr">
      <is>
        <t>2.6</t>
      </is>
    </nc>
  </rcc>
  <rcc rId="9903" sId="2">
    <oc r="C171">
      <f>IF(B171="","",TEXT(B171,"0.0"))</f>
    </oc>
    <nc r="C171" t="inlineStr">
      <is>
        <t>2.8</t>
      </is>
    </nc>
  </rcc>
  <rcc rId="9904" sId="2">
    <oc r="C172">
      <f>IF(B172="","",TEXT(B172,"0.0"))</f>
    </oc>
    <nc r="C172" t="inlineStr">
      <is>
        <t>2.6</t>
      </is>
    </nc>
  </rcc>
  <rcc rId="9905" sId="2">
    <oc r="C173">
      <f>IF(B173="","",TEXT(B173,"0.0"))</f>
    </oc>
    <nc r="C173" t="inlineStr">
      <is>
        <t>2.8</t>
      </is>
    </nc>
  </rcc>
  <rcc rId="9906" sId="2">
    <oc r="C174">
      <f>IF(B174="","",TEXT(B174,"0.0"))</f>
    </oc>
    <nc r="C174" t="inlineStr">
      <is>
        <t>2.8</t>
      </is>
    </nc>
  </rcc>
  <rcc rId="9907" sId="2">
    <oc r="C175">
      <f>IF(B175="","",TEXT(B175,"0.0"))</f>
    </oc>
    <nc r="C175" t="inlineStr">
      <is>
        <t>2.8</t>
      </is>
    </nc>
  </rcc>
  <rcc rId="9908" sId="2">
    <oc r="C176">
      <f>IF(B176="","",TEXT(B176,"0.0"))</f>
    </oc>
    <nc r="C176" t="inlineStr">
      <is>
        <t>2.6</t>
      </is>
    </nc>
  </rcc>
  <rcc rId="9909" sId="2">
    <oc r="C177">
      <f>IF(B177="","",TEXT(B177,"0.0"))</f>
    </oc>
    <nc r="C177" t="inlineStr">
      <is>
        <t>2.6</t>
      </is>
    </nc>
  </rcc>
  <rcc rId="9910" sId="2">
    <oc r="C178">
      <f>IF(B178="","",TEXT(B178,"0.0"))</f>
    </oc>
    <nc r="C178" t="inlineStr">
      <is>
        <t>2.8</t>
      </is>
    </nc>
  </rcc>
  <rcc rId="9911" sId="2">
    <oc r="C179">
      <f>IF(B179="","",TEXT(B179,"0.0"))</f>
    </oc>
    <nc r="C179" t="inlineStr">
      <is>
        <t>2.6</t>
      </is>
    </nc>
  </rcc>
  <rcc rId="9912" sId="2">
    <oc r="C180">
      <f>IF(B180="","",TEXT(B180,"0.0"))</f>
    </oc>
    <nc r="C180" t="inlineStr">
      <is>
        <t>2.6</t>
      </is>
    </nc>
  </rcc>
  <rcc rId="9913" sId="2">
    <oc r="C181">
      <f>IF(B181="","",TEXT(B181,"0.0"))</f>
    </oc>
    <nc r="C181" t="inlineStr">
      <is>
        <t>2.8</t>
      </is>
    </nc>
  </rcc>
  <rcc rId="9914" sId="2">
    <oc r="C182">
      <f>IF(B182="","",TEXT(B182,"0.0"))</f>
    </oc>
    <nc r="C182" t="inlineStr">
      <is>
        <t>2.8</t>
      </is>
    </nc>
  </rcc>
  <rcc rId="9915" sId="2">
    <oc r="C183">
      <f>IF(B183="","",TEXT(B183,"0.0"))</f>
    </oc>
    <nc r="C183" t="inlineStr">
      <is>
        <t>2.9</t>
      </is>
    </nc>
  </rcc>
  <rcc rId="9916" sId="2">
    <oc r="C184">
      <f>IF(B184="","",TEXT(B184,"0.0"))</f>
    </oc>
    <nc r="C184" t="inlineStr">
      <is>
        <t>2.8</t>
      </is>
    </nc>
  </rcc>
  <rcc rId="9917" sId="2">
    <oc r="C185">
      <f>IF(B185="","",TEXT(B185,"0.0"))</f>
    </oc>
    <nc r="C185" t="inlineStr">
      <is>
        <t>2.9</t>
      </is>
    </nc>
  </rcc>
  <rcc rId="9918" sId="2">
    <oc r="C186">
      <f>IF(B186="","",TEXT(B186,"0.0"))</f>
    </oc>
    <nc r="C186" t="inlineStr">
      <is>
        <t>2.8</t>
      </is>
    </nc>
  </rcc>
  <rcc rId="9919" sId="2">
    <oc r="C187">
      <f>IF(B187="","",TEXT(B187,"0.0"))</f>
    </oc>
    <nc r="C187" t="inlineStr">
      <is>
        <t>2.9</t>
      </is>
    </nc>
  </rcc>
  <rcc rId="9920" sId="2">
    <oc r="C188">
      <f>IF(B188="","",TEXT(B188,"0.0"))</f>
    </oc>
    <nc r="C188" t="inlineStr">
      <is>
        <t>2.8</t>
      </is>
    </nc>
  </rcc>
  <rcc rId="9921" sId="2">
    <oc r="C189">
      <f>IF(B189="","",TEXT(B189,"0.0"))</f>
    </oc>
    <nc r="C189" t="inlineStr">
      <is>
        <t>2.8</t>
      </is>
    </nc>
  </rcc>
  <rcc rId="9922" sId="2">
    <oc r="C190">
      <f>IF(B190="","",TEXT(B190,"0.0"))</f>
    </oc>
    <nc r="C190" t="inlineStr">
      <is>
        <t>2.9</t>
      </is>
    </nc>
  </rcc>
  <rcc rId="9923" sId="2">
    <oc r="C191">
      <f>IF(B191="","",TEXT(B191,"0.0"))</f>
    </oc>
    <nc r="C191" t="inlineStr">
      <is>
        <t>2.9</t>
      </is>
    </nc>
  </rcc>
  <rcc rId="9924" sId="2">
    <oc r="C192">
      <f>IF(B192="","",TEXT(B192,"0.0"))</f>
    </oc>
    <nc r="C192" t="inlineStr">
      <is>
        <t>2.8</t>
      </is>
    </nc>
  </rcc>
  <rcc rId="9925" sId="2">
    <oc r="C193">
      <f>IF(B193="","",TEXT(B193,"0.0"))</f>
    </oc>
    <nc r="C193" t="inlineStr">
      <is>
        <t>2.9</t>
      </is>
    </nc>
  </rcc>
  <rcc rId="9926" sId="2">
    <oc r="C194">
      <f>IF(B194="","",TEXT(B194,"0.0"))</f>
    </oc>
    <nc r="C194" t="inlineStr">
      <is>
        <t>2.8</t>
      </is>
    </nc>
  </rcc>
  <rcc rId="9927" sId="2">
    <oc r="C195">
      <f>IF(B195="","",TEXT(B195,"0.0"))</f>
    </oc>
    <nc r="C195" t="inlineStr">
      <is>
        <t>2.9</t>
      </is>
    </nc>
  </rcc>
  <rcc rId="9928" sId="2">
    <oc r="C196">
      <f>IF(B196="","",TEXT(B196,"0.0"))</f>
    </oc>
    <nc r="C196" t="inlineStr">
      <is>
        <t>2.8</t>
      </is>
    </nc>
  </rcc>
  <rcc rId="9929" sId="2">
    <oc r="C197">
      <f>IF(B197="","",TEXT(B197,"0.0"))</f>
    </oc>
    <nc r="C197" t="inlineStr">
      <is>
        <t>2.9</t>
      </is>
    </nc>
  </rcc>
  <rcc rId="9930" sId="2">
    <oc r="C198">
      <f>IF(B198="","",TEXT(B198,"0.0"))</f>
    </oc>
    <nc r="C198" t="inlineStr">
      <is>
        <t>2.8</t>
      </is>
    </nc>
  </rcc>
  <rcc rId="9931" sId="2">
    <oc r="C199">
      <f>IF(B199="","",TEXT(B199,"0.0"))</f>
    </oc>
    <nc r="C199" t="inlineStr">
      <is>
        <t>2.9</t>
      </is>
    </nc>
  </rcc>
  <rcc rId="9932" sId="2">
    <oc r="C200">
      <f>IF(B200="","",TEXT(B200,"0.0"))</f>
    </oc>
    <nc r="C200" t="inlineStr">
      <is>
        <t>2.8</t>
      </is>
    </nc>
  </rcc>
  <rcc rId="9933" sId="2">
    <oc r="C201">
      <f>IF(B201="","",TEXT(B201,"0.0"))</f>
    </oc>
    <nc r="C201" t="inlineStr">
      <is>
        <t>NA</t>
      </is>
    </nc>
  </rcc>
  <rcc rId="9934" sId="2">
    <oc r="C202">
      <f>IF(B202="","",TEXT(B202,"0.0"))</f>
    </oc>
    <nc r="C202" t="inlineStr">
      <is>
        <t>2.9</t>
      </is>
    </nc>
  </rcc>
  <rcc rId="9935" sId="2">
    <oc r="C203">
      <f>IF(B203="","",TEXT(B203,"0.0"))</f>
    </oc>
    <nc r="C203" t="inlineStr">
      <is>
        <t>2.9</t>
      </is>
    </nc>
  </rcc>
  <rcc rId="9936" sId="2">
    <oc r="C204">
      <f>IF(B204="","",TEXT(B204,"0.0"))</f>
    </oc>
    <nc r="C204" t="inlineStr">
      <is>
        <t>2.8</t>
      </is>
    </nc>
  </rcc>
  <rcc rId="9937" sId="2">
    <oc r="C205">
      <f>IF(B205="","",TEXT(B205,"0.0"))</f>
    </oc>
    <nc r="C205" t="inlineStr">
      <is>
        <t>2.9</t>
      </is>
    </nc>
  </rcc>
  <rcc rId="9938" sId="2">
    <oc r="C206">
      <f>IF(B206="","",TEXT(B206,"0.0"))</f>
    </oc>
    <nc r="C206" t="inlineStr">
      <is>
        <t>2.9</t>
      </is>
    </nc>
  </rcc>
  <rcc rId="9939" sId="2">
    <oc r="C207">
      <f>IF(B207="","",TEXT(B207,"0.0"))</f>
    </oc>
    <nc r="C207" t="inlineStr">
      <is>
        <t>2.8</t>
      </is>
    </nc>
  </rcc>
  <rcc rId="9940" sId="2">
    <oc r="C208">
      <f>IF(B208="","",TEXT(B208,"0.0"))</f>
    </oc>
    <nc r="C208" t="inlineStr">
      <is>
        <t>2.8</t>
      </is>
    </nc>
  </rcc>
  <rcc rId="9941" sId="2">
    <oc r="C209">
      <f>IF(B209="","",TEXT(B209,"0.0"))</f>
    </oc>
    <nc r="C209" t="inlineStr">
      <is>
        <t>2.8</t>
      </is>
    </nc>
  </rcc>
  <rcc rId="9942" sId="2">
    <oc r="C210">
      <f>IF(B210="","",TEXT(B210,"0.0"))</f>
    </oc>
    <nc r="C210" t="inlineStr">
      <is>
        <t>2.8</t>
      </is>
    </nc>
  </rcc>
  <rcc rId="9943" sId="2">
    <oc r="C211">
      <f>IF(B211="","",TEXT(B211,"0.0"))</f>
    </oc>
    <nc r="C211" t="inlineStr">
      <is>
        <t>2.9</t>
      </is>
    </nc>
  </rcc>
  <rcc rId="9944" sId="2">
    <oc r="C212">
      <f>IF(B212="","",TEXT(B212,"0.0"))</f>
    </oc>
    <nc r="C212" t="inlineStr">
      <is>
        <t>2.9</t>
      </is>
    </nc>
  </rcc>
  <rcc rId="9945" sId="2">
    <oc r="C213">
      <f>IF(B213="","",TEXT(B213,"0.0"))</f>
    </oc>
    <nc r="C213" t="inlineStr">
      <is>
        <t>2.8</t>
      </is>
    </nc>
  </rcc>
  <rcc rId="9946" sId="2">
    <oc r="C214">
      <f>IF(B214="","",TEXT(B214,"0.0"))</f>
    </oc>
    <nc r="C214" t="inlineStr">
      <is>
        <t>2.9</t>
      </is>
    </nc>
  </rcc>
  <rcc rId="9947" sId="2">
    <oc r="C215">
      <f>IF(B215="","",TEXT(B215,"0.0"))</f>
    </oc>
    <nc r="C215" t="inlineStr">
      <is>
        <t>2.9</t>
      </is>
    </nc>
  </rcc>
  <rcc rId="9948" sId="2">
    <oc r="C216">
      <f>IF(B216="","",TEXT(B216,"0.0"))</f>
    </oc>
    <nc r="C216" t="inlineStr">
      <is>
        <t>2.9</t>
      </is>
    </nc>
  </rcc>
  <rcc rId="9949" sId="2">
    <oc r="C217">
      <f>IF(B217="","",TEXT(B217,"0.0"))</f>
    </oc>
    <nc r="C217" t="inlineStr">
      <is>
        <t>2.9</t>
      </is>
    </nc>
  </rcc>
  <rcc rId="9950" sId="2">
    <oc r="C218">
      <f>IF(B218="","",TEXT(B218,"0.0"))</f>
    </oc>
    <nc r="C218" t="inlineStr">
      <is>
        <t>2.9</t>
      </is>
    </nc>
  </rcc>
  <rcc rId="9951" sId="2">
    <oc r="C219">
      <f>IF(B219="","",TEXT(B219,"0.0"))</f>
    </oc>
    <nc r="C219" t="inlineStr">
      <is>
        <t>2.9</t>
      </is>
    </nc>
  </rcc>
  <rcc rId="9952" sId="2">
    <oc r="C220">
      <f>IF(B220="","",TEXT(B220,"0.0"))</f>
    </oc>
    <nc r="C220" t="inlineStr">
      <is>
        <t>2.8</t>
      </is>
    </nc>
  </rcc>
  <rcc rId="9953" sId="2">
    <oc r="C221">
      <f>IF(B221="","",TEXT(B221,"0.0"))</f>
    </oc>
    <nc r="C221" t="inlineStr">
      <is>
        <t>2.9</t>
      </is>
    </nc>
  </rcc>
  <rcc rId="9954" sId="2">
    <oc r="C222">
      <f>IF(B222="","",TEXT(B222,"0.0"))</f>
    </oc>
    <nc r="C222" t="inlineStr">
      <is>
        <t>2.9</t>
      </is>
    </nc>
  </rcc>
  <rcc rId="9955" sId="2">
    <oc r="C223">
      <f>IF(B223="","",TEXT(B223,"0.0"))</f>
    </oc>
    <nc r="C223" t="inlineStr">
      <is>
        <t>2.9</t>
      </is>
    </nc>
  </rcc>
  <rcc rId="9956" sId="2">
    <oc r="C224">
      <f>IF(B224="","",TEXT(B224,"0.0"))</f>
    </oc>
    <nc r="C224" t="inlineStr">
      <is>
        <t>2.8</t>
      </is>
    </nc>
  </rcc>
  <rcc rId="9957" sId="2">
    <oc r="C225">
      <f>IF(B225="","",TEXT(B225,"0.0"))</f>
    </oc>
    <nc r="C225" t="inlineStr">
      <is>
        <t>2.9</t>
      </is>
    </nc>
  </rcc>
  <rcc rId="9958" sId="2">
    <oc r="C226">
      <f>IF(B226="","",TEXT(B226,"0.0"))</f>
    </oc>
    <nc r="C226" t="inlineStr">
      <is>
        <t>2.9</t>
      </is>
    </nc>
  </rcc>
  <rcc rId="9959" sId="2">
    <oc r="C227">
      <f>IF(B227="","",TEXT(B227,"0.0"))</f>
    </oc>
    <nc r="C227" t="inlineStr">
      <is>
        <t>2.8</t>
      </is>
    </nc>
  </rcc>
  <rcc rId="9960" sId="2">
    <oc r="C228">
      <f>IF(B228="","",TEXT(B228,"0.0"))</f>
    </oc>
    <nc r="C228" t="inlineStr">
      <is>
        <t>2.8</t>
      </is>
    </nc>
  </rcc>
  <rcc rId="9961" sId="2">
    <oc r="C229">
      <f>IF(B229="","",TEXT(B229,"0.0"))</f>
    </oc>
    <nc r="C229" t="inlineStr">
      <is>
        <t>2.8</t>
      </is>
    </nc>
  </rcc>
  <rcc rId="9962" sId="2">
    <oc r="C230">
      <f>IF(B230="","",TEXT(B230,"0.0"))</f>
    </oc>
    <nc r="C230" t="inlineStr">
      <is>
        <t>2.8</t>
      </is>
    </nc>
  </rcc>
  <rcc rId="9963" sId="2">
    <oc r="C231">
      <f>IF(B231="","",TEXT(B231,"0.0"))</f>
    </oc>
    <nc r="C231" t="inlineStr">
      <is>
        <t>2.9</t>
      </is>
    </nc>
  </rcc>
  <rcc rId="9964" sId="2">
    <oc r="C232">
      <f>IF(B232="","",TEXT(B232,"0.0"))</f>
    </oc>
    <nc r="C232" t="inlineStr">
      <is>
        <t>2.9</t>
      </is>
    </nc>
  </rcc>
  <rcc rId="9965" sId="2">
    <oc r="C233">
      <f>IF(B233="","",TEXT(B233,"0.0"))</f>
    </oc>
    <nc r="C233" t="inlineStr">
      <is>
        <t>2.9</t>
      </is>
    </nc>
  </rcc>
  <rcc rId="9966" sId="2">
    <oc r="C234">
      <f>IF(B234="","",TEXT(B234,"0.0"))</f>
    </oc>
    <nc r="C234" t="inlineStr">
      <is>
        <t>2.9</t>
      </is>
    </nc>
  </rcc>
  <rcc rId="9967" sId="2">
    <oc r="C235">
      <f>IF(B235="","",TEXT(B235,"0.0"))</f>
    </oc>
    <nc r="C235" t="inlineStr">
      <is>
        <t>2.9</t>
      </is>
    </nc>
  </rcc>
  <rcc rId="9968" sId="2">
    <oc r="C236">
      <f>IF(B236="","",TEXT(B236,"0.0"))</f>
    </oc>
    <nc r="C236" t="inlineStr">
      <is>
        <t>2.8</t>
      </is>
    </nc>
  </rcc>
  <rcc rId="9969" sId="2">
    <oc r="C237">
      <f>IF(B237="","",TEXT(B237,"0.0"))</f>
    </oc>
    <nc r="C237" t="inlineStr">
      <is>
        <t>2.8</t>
      </is>
    </nc>
  </rcc>
  <rcc rId="9970" sId="2">
    <oc r="C238">
      <f>IF(B238="","",TEXT(B238,"0.0"))</f>
    </oc>
    <nc r="C238" t="inlineStr">
      <is>
        <t>2.8</t>
      </is>
    </nc>
  </rcc>
  <rcc rId="9971" sId="2">
    <oc r="C239">
      <f>IF(B239="","",TEXT(B239,"0.0"))</f>
    </oc>
    <nc r="C239" t="inlineStr">
      <is>
        <t>2.9</t>
      </is>
    </nc>
  </rcc>
  <rcc rId="9972" sId="2">
    <oc r="C240">
      <f>IF(B240="","",TEXT(B240,"0.0"))</f>
    </oc>
    <nc r="C240" t="inlineStr">
      <is>
        <t>2.8</t>
      </is>
    </nc>
  </rcc>
  <rcc rId="9973" sId="2">
    <oc r="C241">
      <f>IF(B241="","",TEXT(B241,"0.0"))</f>
    </oc>
    <nc r="C241" t="inlineStr">
      <is>
        <t>2.9</t>
      </is>
    </nc>
  </rcc>
  <rcc rId="9974" sId="2">
    <oc r="C242">
      <f>IF(B242="","",TEXT(B242,"0.0"))</f>
    </oc>
    <nc r="C242" t="inlineStr">
      <is>
        <t>2.8</t>
      </is>
    </nc>
  </rcc>
  <rcc rId="9975" sId="2">
    <oc r="C243">
      <f>IF(B243="","",TEXT(B243,"0.0"))</f>
    </oc>
    <nc r="C243" t="inlineStr">
      <is>
        <t>2.8</t>
      </is>
    </nc>
  </rcc>
  <rcc rId="9976" sId="2">
    <oc r="C244">
      <f>IF(B244="","",TEXT(B244,"0.0"))</f>
    </oc>
    <nc r="C244" t="inlineStr">
      <is>
        <t>2.8</t>
      </is>
    </nc>
  </rcc>
  <rcc rId="9977" sId="2">
    <oc r="C245">
      <f>IF(B245="","",TEXT(B245,"0.0"))</f>
    </oc>
    <nc r="C245" t="inlineStr">
      <is>
        <t>2.8</t>
      </is>
    </nc>
  </rcc>
  <rcc rId="9978" sId="2">
    <oc r="C246">
      <f>IF(B246="","",TEXT(B246,"0.0"))</f>
    </oc>
    <nc r="C246" t="inlineStr">
      <is>
        <t>2.9</t>
      </is>
    </nc>
  </rcc>
  <rcc rId="9979" sId="2">
    <oc r="C247">
      <f>IF(B247="","",TEXT(B247,"0.0"))</f>
    </oc>
    <nc r="C247" t="inlineStr">
      <is>
        <t>2.8</t>
      </is>
    </nc>
  </rcc>
  <rcc rId="9980" sId="2">
    <oc r="C248">
      <f>IF(B248="","",TEXT(B248,"0.0"))</f>
    </oc>
    <nc r="C248" t="inlineStr">
      <is>
        <t>2.8</t>
      </is>
    </nc>
  </rcc>
  <rcc rId="9981" sId="2">
    <oc r="C249">
      <f>IF(B249="","",TEXT(B249,"0.0"))</f>
    </oc>
    <nc r="C249" t="inlineStr">
      <is>
        <t>2.8</t>
      </is>
    </nc>
  </rcc>
  <rcc rId="9982" sId="2">
    <oc r="C250">
      <f>IF(B250="","",TEXT(B250,"0.0"))</f>
    </oc>
    <nc r="C250" t="inlineStr">
      <is>
        <t>2.8</t>
      </is>
    </nc>
  </rcc>
  <rcc rId="9983" sId="2">
    <oc r="C251">
      <f>IF(B251="","",TEXT(B251,"0.0"))</f>
    </oc>
    <nc r="C251" t="inlineStr">
      <is>
        <t>2.8</t>
      </is>
    </nc>
  </rcc>
  <rcc rId="9984" sId="2">
    <oc r="C252">
      <f>IF(B252="","",TEXT(B252,"0.0"))</f>
    </oc>
    <nc r="C252" t="inlineStr">
      <is>
        <t>2.8</t>
      </is>
    </nc>
  </rcc>
  <rcc rId="9985" sId="2">
    <oc r="C253">
      <f>IF(B253="","",TEXT(B253,"0.0"))</f>
    </oc>
    <nc r="C253" t="inlineStr">
      <is>
        <t>2.8</t>
      </is>
    </nc>
  </rcc>
  <rcc rId="9986" sId="2">
    <oc r="C254">
      <f>IF(B254="","",TEXT(B254,"0.0"))</f>
    </oc>
    <nc r="C254" t="inlineStr">
      <is>
        <t>2.8</t>
      </is>
    </nc>
  </rcc>
  <rcc rId="9987" sId="2">
    <oc r="C255">
      <f>IF(B255="","",TEXT(B255,"0.0"))</f>
    </oc>
    <nc r="C255" t="inlineStr">
      <is>
        <t>2.8</t>
      </is>
    </nc>
  </rcc>
  <rcc rId="9988" sId="2">
    <oc r="C256">
      <f>IF(B256="","",TEXT(B256,"0.0"))</f>
    </oc>
    <nc r="C256" t="inlineStr">
      <is>
        <t>2.8</t>
      </is>
    </nc>
  </rcc>
  <rcc rId="9989" sId="2">
    <oc r="C257">
      <f>IF(B257="","",TEXT(B257,"0.0"))</f>
    </oc>
    <nc r="C257" t="inlineStr">
      <is>
        <t>2.8</t>
      </is>
    </nc>
  </rcc>
  <rcc rId="9990" sId="2">
    <oc r="C258">
      <f>IF(B258="","",TEXT(B258,"0.0"))</f>
    </oc>
    <nc r="C258" t="inlineStr">
      <is>
        <t>2.8</t>
      </is>
    </nc>
  </rcc>
  <rcc rId="9991" sId="2">
    <oc r="C259">
      <f>IF(B259="","",TEXT(B259,"0.0"))</f>
    </oc>
    <nc r="C259" t="inlineStr">
      <is>
        <t>2.8</t>
      </is>
    </nc>
  </rcc>
  <rcc rId="9992" sId="2">
    <oc r="C260">
      <f>IF(B260="","",TEXT(B260,"0.0"))</f>
    </oc>
    <nc r="C260" t="inlineStr">
      <is>
        <t>2.8</t>
      </is>
    </nc>
  </rcc>
  <rcc rId="9993" sId="2">
    <oc r="C261">
      <f>IF(B261="","",TEXT(B261,"0.0"))</f>
    </oc>
    <nc r="C261" t="inlineStr">
      <is>
        <t>NA</t>
      </is>
    </nc>
  </rcc>
  <rcc rId="9994" sId="2">
    <oc r="C262">
      <f>IF(B262="","",TEXT(B262,"0.0"))</f>
    </oc>
    <nc r="C262" t="inlineStr">
      <is>
        <t/>
      </is>
    </nc>
  </rcc>
  <rcc rId="9995" sId="2">
    <oc r="C263">
      <f>IF(B263="","",TEXT(B263,"0.0"))</f>
    </oc>
    <nc r="C263" t="inlineStr">
      <is>
        <t/>
      </is>
    </nc>
  </rcc>
  <rrc rId="9996"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dxf="1">
      <nc r="B78" t="inlineStr">
        <is>
          <t>2.6</t>
        </is>
      </nc>
      <ndxf>
        <alignment horizontal="general" vertical="bottom"/>
      </ndxf>
    </rcc>
    <rcc rId="0" sId="2" dxf="1">
      <nc r="B79" t="inlineStr">
        <is>
          <t>2.6</t>
        </is>
      </nc>
      <ndxf>
        <alignment horizontal="general" vertical="bottom"/>
      </ndxf>
    </rcc>
    <rcc rId="0" sId="2" dxf="1">
      <nc r="B80" t="inlineStr">
        <is>
          <t>2.6</t>
        </is>
      </nc>
      <ndxf>
        <alignment horizontal="general" vertical="bottom"/>
      </ndxf>
    </rcc>
    <rcc rId="0" sId="2" dxf="1">
      <nc r="B81" t="inlineStr">
        <is>
          <t>2.6</t>
        </is>
      </nc>
      <ndxf>
        <alignment horizontal="general" vertical="bottom"/>
      </ndxf>
    </rcc>
    <rcc rId="0" sId="2" dxf="1">
      <nc r="B82" t="inlineStr">
        <is>
          <t>2.6</t>
        </is>
      </nc>
      <ndxf>
        <alignment horizontal="general" vertical="bottom"/>
      </ndxf>
    </rcc>
    <rcc rId="0" sId="2" dxf="1">
      <nc r="B83" t="inlineStr">
        <is>
          <t>2.6</t>
        </is>
      </nc>
      <ndxf>
        <alignment horizontal="general" vertical="bottom"/>
      </ndxf>
    </rcc>
    <rcc rId="0" sId="2" dxf="1">
      <nc r="B84" t="inlineStr">
        <is>
          <t>2.6</t>
        </is>
      </nc>
      <ndxf>
        <alignment horizontal="general" vertical="bottom"/>
      </ndxf>
    </rcc>
    <rcc rId="0" sId="2" dxf="1">
      <nc r="B85" t="inlineStr">
        <is>
          <t>2.6</t>
        </is>
      </nc>
      <ndxf>
        <alignment horizontal="general" vertical="bottom"/>
      </ndxf>
    </rcc>
    <rcc rId="0" sId="2" dxf="1">
      <nc r="B86" t="inlineStr">
        <is>
          <t>2.6</t>
        </is>
      </nc>
      <ndxf>
        <alignment horizontal="general" vertical="bottom"/>
      </ndxf>
    </rcc>
    <rcc rId="0" sId="2" dxf="1">
      <nc r="B87" t="inlineStr">
        <is>
          <t>2.6</t>
        </is>
      </nc>
      <ndxf>
        <alignment horizontal="general" vertical="bottom"/>
      </ndxf>
    </rcc>
    <rcc rId="0" sId="2" dxf="1">
      <nc r="B88" t="inlineStr">
        <is>
          <t>2.6</t>
        </is>
      </nc>
      <ndxf>
        <alignment horizontal="general" vertical="bottom"/>
      </ndxf>
    </rcc>
    <rcc rId="0" sId="2" dxf="1">
      <nc r="B89" t="inlineStr">
        <is>
          <t>2.6</t>
        </is>
      </nc>
      <ndxf>
        <alignment horizontal="general" vertical="bottom"/>
      </ndxf>
    </rcc>
    <rcc rId="0" sId="2" dxf="1">
      <nc r="B90" t="inlineStr">
        <is>
          <t>2.6</t>
        </is>
      </nc>
      <ndxf>
        <alignment horizontal="general" vertical="bottom"/>
      </ndxf>
    </rcc>
    <rcc rId="0" sId="2" dxf="1">
      <nc r="B91" t="inlineStr">
        <is>
          <t>2.6</t>
        </is>
      </nc>
      <ndxf>
        <alignment horizontal="general" vertical="bottom"/>
      </ndxf>
    </rcc>
    <rcc rId="0" sId="2" dxf="1">
      <nc r="B92" t="inlineStr">
        <is>
          <t>2.6</t>
        </is>
      </nc>
      <ndxf>
        <alignment horizontal="general" vertical="bottom"/>
      </ndxf>
    </rcc>
    <rcc rId="0" sId="2" dxf="1">
      <nc r="B93" t="inlineStr">
        <is>
          <t>2.6</t>
        </is>
      </nc>
      <ndxf>
        <alignment horizontal="general" vertical="bottom"/>
      </ndxf>
    </rcc>
    <rcc rId="0" sId="2" dxf="1">
      <nc r="B94" t="inlineStr">
        <is>
          <t>2.6</t>
        </is>
      </nc>
      <ndxf>
        <alignment horizontal="general" vertical="bottom"/>
      </ndxf>
    </rcc>
    <rcc rId="0" sId="2" dxf="1">
      <nc r="B95" t="inlineStr">
        <is>
          <t>2.6</t>
        </is>
      </nc>
      <ndxf>
        <alignment horizontal="general" vertical="bottom"/>
      </ndxf>
    </rcc>
    <rcc rId="0" sId="2" dxf="1">
      <nc r="B96" t="inlineStr">
        <is>
          <t>2.6</t>
        </is>
      </nc>
      <ndxf>
        <alignment horizontal="general" vertical="bottom"/>
      </ndxf>
    </rcc>
    <rcc rId="0" sId="2" dxf="1">
      <nc r="B97" t="inlineStr">
        <is>
          <t>2.6</t>
        </is>
      </nc>
      <ndxf>
        <alignment horizontal="general" vertical="bottom"/>
      </ndxf>
    </rcc>
    <rcc rId="0" sId="2" dxf="1">
      <nc r="B98" t="inlineStr">
        <is>
          <t>2.6</t>
        </is>
      </nc>
      <ndxf>
        <alignment horizontal="general" vertical="bottom"/>
      </ndxf>
    </rcc>
    <rcc rId="0" sId="2" dxf="1">
      <nc r="B99" t="inlineStr">
        <is>
          <t>2.6</t>
        </is>
      </nc>
      <ndxf>
        <alignment horizontal="general" vertical="bottom"/>
      </ndxf>
    </rcc>
    <rcc rId="0" sId="2" dxf="1">
      <nc r="B100" t="inlineStr">
        <is>
          <t>2.6</t>
        </is>
      </nc>
      <ndxf>
        <alignment horizontal="general" vertical="bottom"/>
      </ndxf>
    </rcc>
    <rcc rId="0" sId="2" dxf="1">
      <nc r="B101" t="inlineStr">
        <is>
          <t>2.6</t>
        </is>
      </nc>
      <ndxf>
        <alignment horizontal="general" vertical="bottom"/>
      </ndxf>
    </rcc>
    <rcc rId="0" sId="2" dxf="1">
      <nc r="B102" t="inlineStr">
        <is>
          <t>2.6</t>
        </is>
      </nc>
      <ndxf>
        <alignment horizontal="general" vertical="bottom"/>
      </ndxf>
    </rcc>
    <rcc rId="0" sId="2" dxf="1">
      <nc r="B103" t="inlineStr">
        <is>
          <t>2.6</t>
        </is>
      </nc>
      <ndxf>
        <alignment horizontal="general" vertical="bottom"/>
      </ndxf>
    </rcc>
    <rcc rId="0" sId="2" dxf="1">
      <nc r="B104" t="inlineStr">
        <is>
          <t>2.6</t>
        </is>
      </nc>
      <ndxf>
        <alignment horizontal="general" vertical="bottom"/>
      </ndxf>
    </rcc>
    <rcc rId="0" sId="2" dxf="1">
      <nc r="B105" t="inlineStr">
        <is>
          <t>2.6</t>
        </is>
      </nc>
      <ndxf>
        <alignment horizontal="general" vertical="bottom"/>
      </ndxf>
    </rcc>
    <rcc rId="0" sId="2" dxf="1">
      <nc r="B106" t="inlineStr">
        <is>
          <t>2.6</t>
        </is>
      </nc>
      <ndxf>
        <alignment horizontal="general" vertical="bottom"/>
      </ndxf>
    </rcc>
    <rcc rId="0" sId="2" dxf="1">
      <nc r="B107" t="inlineStr">
        <is>
          <t>2.6</t>
        </is>
      </nc>
      <ndxf>
        <alignment horizontal="general" vertical="bottom"/>
      </ndxf>
    </rcc>
    <rcc rId="0" sId="2" dxf="1">
      <nc r="B108" t="inlineStr">
        <is>
          <t>2.6</t>
        </is>
      </nc>
      <ndxf>
        <alignment horizontal="general" vertical="bottom"/>
      </ndxf>
    </rcc>
    <rcc rId="0" sId="2" dxf="1">
      <nc r="B109" t="inlineStr">
        <is>
          <t>2.6</t>
        </is>
      </nc>
      <ndxf>
        <alignment horizontal="general" vertical="bottom"/>
      </ndxf>
    </rcc>
    <rcc rId="0" sId="2" dxf="1">
      <nc r="B110" t="inlineStr">
        <is>
          <t>2.6</t>
        </is>
      </nc>
      <ndxf>
        <alignment horizontal="general" vertical="bottom"/>
      </ndxf>
    </rcc>
    <rcc rId="0" sId="2" dxf="1">
      <nc r="B111" t="inlineStr">
        <is>
          <t>2.6</t>
        </is>
      </nc>
      <ndxf>
        <alignment horizontal="general" vertical="bottom"/>
      </ndxf>
    </rcc>
    <rcc rId="0" sId="2" dxf="1">
      <nc r="B112" t="inlineStr">
        <is>
          <t>2.6</t>
        </is>
      </nc>
      <ndxf>
        <alignment horizontal="general" vertical="bottom"/>
      </ndxf>
    </rcc>
    <rcc rId="0" sId="2" dxf="1">
      <nc r="B113" t="inlineStr">
        <is>
          <t>2.6</t>
        </is>
      </nc>
      <ndxf>
        <alignment horizontal="general" vertical="bottom"/>
      </ndxf>
    </rcc>
    <rcc rId="0" sId="2" dxf="1">
      <nc r="B114" t="inlineStr">
        <is>
          <t>2.6</t>
        </is>
      </nc>
      <ndxf>
        <alignment horizontal="general" vertical="bottom"/>
      </ndxf>
    </rcc>
    <rcc rId="0" sId="2" dxf="1">
      <nc r="B115" t="inlineStr">
        <is>
          <t>2.6</t>
        </is>
      </nc>
      <ndxf>
        <alignment horizontal="general" vertical="bottom"/>
      </ndxf>
    </rcc>
    <rcc rId="0" sId="2" dxf="1">
      <nc r="B116" t="inlineStr">
        <is>
          <t>2.6</t>
        </is>
      </nc>
      <ndxf>
        <alignment horizontal="general" vertical="bottom"/>
      </ndxf>
    </rcc>
    <rcc rId="0" sId="2" dxf="1">
      <nc r="B117" t="inlineStr">
        <is>
          <t>2.6</t>
        </is>
      </nc>
      <ndxf>
        <alignment horizontal="general" vertical="bottom"/>
      </ndxf>
    </rcc>
    <rcc rId="0" sId="2" dxf="1">
      <nc r="B118" t="inlineStr">
        <is>
          <t>2.6</t>
        </is>
      </nc>
      <ndxf>
        <alignment horizontal="general" vertical="bottom"/>
      </ndxf>
    </rcc>
    <rcc rId="0" sId="2" dxf="1">
      <nc r="B119" t="inlineStr">
        <is>
          <t>2.6</t>
        </is>
      </nc>
      <ndxf>
        <alignment horizontal="general" vertical="bottom"/>
      </ndxf>
    </rcc>
    <rcc rId="0" sId="2" dxf="1">
      <nc r="B120" t="inlineStr">
        <is>
          <t>2.6</t>
        </is>
      </nc>
      <ndxf>
        <alignment horizontal="general" vertical="bottom"/>
      </ndxf>
    </rcc>
    <rcc rId="0" sId="2" dxf="1">
      <nc r="B121" t="inlineStr">
        <is>
          <t>2.6</t>
        </is>
      </nc>
      <ndxf>
        <alignment horizontal="general" vertical="bottom"/>
      </ndxf>
    </rcc>
    <rcc rId="0" sId="2" dxf="1">
      <nc r="B122" t="inlineStr">
        <is>
          <t>2.6</t>
        </is>
      </nc>
      <ndxf>
        <alignment horizontal="general" vertical="bottom"/>
      </ndxf>
    </rcc>
    <rcc rId="0" sId="2" dxf="1">
      <nc r="B123" t="inlineStr">
        <is>
          <t>2.6</t>
        </is>
      </nc>
      <ndxf>
        <alignment horizontal="general" vertical="bottom"/>
      </ndxf>
    </rcc>
    <rcc rId="0" sId="2" dxf="1">
      <nc r="B124" t="inlineStr">
        <is>
          <t>2.6</t>
        </is>
      </nc>
      <ndxf>
        <alignment horizontal="general" vertical="bottom"/>
      </ndxf>
    </rcc>
    <rcc rId="0" sId="2" dxf="1">
      <nc r="B125" t="inlineStr">
        <is>
          <t>2.6</t>
        </is>
      </nc>
      <ndxf>
        <alignment horizontal="general" vertical="bottom"/>
      </ndxf>
    </rcc>
    <rcc rId="0" sId="2" dxf="1">
      <nc r="B126" t="inlineStr">
        <is>
          <t>2.6</t>
        </is>
      </nc>
      <ndxf>
        <alignment horizontal="general" vertical="bottom"/>
      </ndxf>
    </rcc>
    <rcc rId="0" sId="2" dxf="1">
      <nc r="B127" t="inlineStr">
        <is>
          <t>2.6</t>
        </is>
      </nc>
      <ndxf>
        <alignment horizontal="general" vertical="bottom"/>
      </ndxf>
    </rcc>
    <rcc rId="0" sId="2" dxf="1">
      <nc r="B128" t="inlineStr">
        <is>
          <t>2.6</t>
        </is>
      </nc>
      <ndxf>
        <alignment horizontal="general" vertical="bottom"/>
      </ndxf>
    </rcc>
    <rcc rId="0" sId="2" dxf="1">
      <nc r="B129" t="inlineStr">
        <is>
          <t>2.6</t>
        </is>
      </nc>
      <ndxf>
        <alignment horizontal="general" vertical="bottom"/>
      </ndxf>
    </rcc>
    <rcc rId="0" sId="2" dxf="1">
      <nc r="B130" t="inlineStr">
        <is>
          <t>2.6</t>
        </is>
      </nc>
      <ndxf>
        <alignment horizontal="general" vertical="bottom"/>
      </ndxf>
    </rcc>
    <rcc rId="0" sId="2" dxf="1">
      <nc r="B131" t="inlineStr">
        <is>
          <t>2.6</t>
        </is>
      </nc>
      <ndxf>
        <alignment horizontal="general" vertical="bottom"/>
      </ndxf>
    </rcc>
    <rcc rId="0" sId="2" dxf="1">
      <nc r="B132" t="inlineStr">
        <is>
          <t>2.7</t>
        </is>
      </nc>
      <ndxf>
        <alignment horizontal="general" vertical="bottom"/>
      </ndxf>
    </rcc>
    <rcc rId="0" sId="2" dxf="1">
      <nc r="B133" t="inlineStr">
        <is>
          <t>2.6</t>
        </is>
      </nc>
      <ndxf>
        <alignment horizontal="general" vertical="bottom"/>
      </ndxf>
    </rcc>
    <rcc rId="0" sId="2" dxf="1">
      <nc r="B134" t="inlineStr">
        <is>
          <t>2.7</t>
        </is>
      </nc>
      <ndxf>
        <alignment horizontal="general" vertical="bottom"/>
      </ndxf>
    </rcc>
    <rcc rId="0" sId="2" dxf="1">
      <nc r="B135" t="inlineStr">
        <is>
          <t>2.6</t>
        </is>
      </nc>
      <ndxf>
        <alignment horizontal="general" vertical="bottom"/>
      </ndxf>
    </rcc>
    <rcc rId="0" sId="2" dxf="1">
      <nc r="B136" t="inlineStr">
        <is>
          <t>2.6</t>
        </is>
      </nc>
      <ndxf>
        <alignment horizontal="general" vertical="bottom"/>
      </ndxf>
    </rcc>
    <rcc rId="0" sId="2" dxf="1">
      <nc r="B137" t="inlineStr">
        <is>
          <t>2.6</t>
        </is>
      </nc>
      <ndxf>
        <alignment horizontal="general" vertical="bottom"/>
      </ndxf>
    </rcc>
    <rcc rId="0" sId="2" dxf="1">
      <nc r="B138" t="inlineStr">
        <is>
          <t>2.7</t>
        </is>
      </nc>
      <ndxf>
        <alignment horizontal="general" vertical="bottom"/>
      </ndxf>
    </rcc>
    <rcc rId="0" sId="2" dxf="1">
      <nc r="B139" t="inlineStr">
        <is>
          <t>2.7</t>
        </is>
      </nc>
      <ndxf>
        <alignment horizontal="general" vertical="bottom"/>
      </ndxf>
    </rcc>
    <rcc rId="0" sId="2" dxf="1">
      <nc r="B140" t="inlineStr">
        <is>
          <t>2.6</t>
        </is>
      </nc>
      <ndxf>
        <alignment horizontal="general" vertical="bottom"/>
      </ndxf>
    </rcc>
    <rcc rId="0" sId="2" dxf="1">
      <nc r="B141" t="inlineStr">
        <is>
          <t>2.7</t>
        </is>
      </nc>
      <ndxf>
        <alignment horizontal="general" vertical="bottom"/>
      </ndxf>
    </rcc>
    <rcc rId="0" sId="2" dxf="1">
      <nc r="B142" t="inlineStr">
        <is>
          <t>2.6</t>
        </is>
      </nc>
      <ndxf>
        <alignment horizontal="general" vertical="bottom"/>
      </ndxf>
    </rcc>
    <rcc rId="0" sId="2" dxf="1">
      <nc r="B143" t="inlineStr">
        <is>
          <t>2.8</t>
        </is>
      </nc>
      <ndxf>
        <alignment horizontal="general" vertical="bottom"/>
      </ndxf>
    </rcc>
    <rcc rId="0" sId="2" dxf="1">
      <nc r="B144" t="inlineStr">
        <is>
          <t>2.9</t>
        </is>
      </nc>
      <ndxf>
        <alignment horizontal="general" vertical="bottom"/>
      </ndxf>
    </rcc>
    <rcc rId="0" sId="2" dxf="1">
      <nc r="B145" t="inlineStr">
        <is>
          <t>2.8</t>
        </is>
      </nc>
      <ndxf>
        <alignment horizontal="general" vertical="bottom"/>
      </ndxf>
    </rcc>
    <rcc rId="0" sId="2" dxf="1">
      <nc r="B146" t="inlineStr">
        <is>
          <t>2.9</t>
        </is>
      </nc>
      <ndxf>
        <alignment horizontal="general" vertical="bottom"/>
      </ndxf>
    </rcc>
    <rcc rId="0" sId="2" dxf="1">
      <nc r="B147" t="inlineStr">
        <is>
          <t>2.6</t>
        </is>
      </nc>
      <ndxf>
        <alignment horizontal="general" vertical="bottom"/>
      </ndxf>
    </rcc>
    <rcc rId="0" sId="2" dxf="1">
      <nc r="B148" t="inlineStr">
        <is>
          <t>2.6</t>
        </is>
      </nc>
      <ndxf>
        <alignment horizontal="general" vertical="bottom"/>
      </ndxf>
    </rcc>
    <rcc rId="0" sId="2" dxf="1">
      <nc r="B149" t="inlineStr">
        <is>
          <t>2.8</t>
        </is>
      </nc>
      <ndxf>
        <alignment horizontal="general" vertical="bottom"/>
      </ndxf>
    </rcc>
    <rcc rId="0" sId="2" dxf="1">
      <nc r="B150" t="inlineStr">
        <is>
          <t>2.8</t>
        </is>
      </nc>
      <ndxf>
        <alignment horizontal="general" vertical="bottom"/>
      </ndxf>
    </rcc>
    <rcc rId="0" sId="2" dxf="1">
      <nc r="B151" t="inlineStr">
        <is>
          <t>2.8</t>
        </is>
      </nc>
      <ndxf>
        <alignment horizontal="general" vertical="bottom"/>
      </ndxf>
    </rcc>
    <rcc rId="0" sId="2" dxf="1">
      <nc r="B152" t="inlineStr">
        <is>
          <t>2.6</t>
        </is>
      </nc>
      <ndxf>
        <alignment horizontal="general" vertical="bottom"/>
      </ndxf>
    </rcc>
    <rcc rId="0" sId="2" dxf="1">
      <nc r="B153" t="inlineStr">
        <is>
          <t>2.8</t>
        </is>
      </nc>
      <ndxf>
        <alignment horizontal="general" vertical="bottom"/>
      </ndxf>
    </rcc>
    <rcc rId="0" sId="2" dxf="1">
      <nc r="B154" t="inlineStr">
        <is>
          <t>2.6</t>
        </is>
      </nc>
      <ndxf>
        <alignment horizontal="general" vertical="bottom"/>
      </ndxf>
    </rcc>
    <rcc rId="0" sId="2" dxf="1">
      <nc r="B155" t="inlineStr">
        <is>
          <t>2.6</t>
        </is>
      </nc>
      <ndxf>
        <alignment horizontal="general" vertical="bottom"/>
      </ndxf>
    </rcc>
    <rcc rId="0" sId="2" dxf="1">
      <nc r="B156" t="inlineStr">
        <is>
          <t>2.8</t>
        </is>
      </nc>
      <ndxf>
        <alignment horizontal="general" vertical="bottom"/>
      </ndxf>
    </rcc>
    <rcc rId="0" sId="2" dxf="1">
      <nc r="B157" t="inlineStr">
        <is>
          <t>2.8</t>
        </is>
      </nc>
      <ndxf>
        <alignment horizontal="general" vertical="bottom"/>
      </ndxf>
    </rcc>
    <rcc rId="0" sId="2" dxf="1">
      <nc r="B158" t="inlineStr">
        <is>
          <t>2.8</t>
        </is>
      </nc>
      <ndxf>
        <alignment horizontal="general" vertical="bottom"/>
      </ndxf>
    </rcc>
    <rcc rId="0" sId="2" dxf="1">
      <nc r="B159" t="inlineStr">
        <is>
          <t>2.8</t>
        </is>
      </nc>
      <ndxf>
        <alignment horizontal="general" vertical="bottom"/>
      </ndxf>
    </rcc>
    <rcc rId="0" sId="2" dxf="1">
      <nc r="B160" t="inlineStr">
        <is>
          <t>2.8</t>
        </is>
      </nc>
      <ndxf>
        <alignment horizontal="general" vertical="bottom"/>
      </ndxf>
    </rcc>
    <rcc rId="0" sId="2" dxf="1">
      <nc r="B161" t="inlineStr">
        <is>
          <t>2.6</t>
        </is>
      </nc>
      <ndxf>
        <alignment horizontal="general" vertical="bottom"/>
      </ndxf>
    </rcc>
    <rcc rId="0" sId="2" dxf="1">
      <nc r="B162" t="inlineStr">
        <is>
          <t>2.6</t>
        </is>
      </nc>
      <ndxf>
        <alignment horizontal="general" vertical="bottom"/>
      </ndxf>
    </rcc>
    <rcc rId="0" sId="2" dxf="1">
      <nc r="B163" t="inlineStr">
        <is>
          <t>2.8</t>
        </is>
      </nc>
      <ndxf>
        <alignment horizontal="general" vertical="bottom"/>
      </ndxf>
    </rcc>
    <rcc rId="0" sId="2" dxf="1">
      <nc r="B164" t="inlineStr">
        <is>
          <t>2.8</t>
        </is>
      </nc>
      <ndxf>
        <alignment horizontal="general" vertical="bottom"/>
      </ndxf>
    </rcc>
    <rcc rId="0" sId="2" dxf="1">
      <nc r="B165" t="inlineStr">
        <is>
          <t>2.6</t>
        </is>
      </nc>
      <ndxf>
        <alignment horizontal="general" vertical="bottom"/>
      </ndxf>
    </rcc>
    <rcc rId="0" sId="2" dxf="1">
      <nc r="B166" t="inlineStr">
        <is>
          <t>2.6</t>
        </is>
      </nc>
      <ndxf>
        <alignment horizontal="general" vertical="bottom"/>
      </ndxf>
    </rcc>
    <rcc rId="0" sId="2" dxf="1">
      <nc r="B167" t="inlineStr">
        <is>
          <t>2.8</t>
        </is>
      </nc>
      <ndxf>
        <alignment horizontal="general" vertical="bottom"/>
      </ndxf>
    </rcc>
    <rcc rId="0" sId="2" dxf="1">
      <nc r="B168" t="inlineStr">
        <is>
          <t>2.6</t>
        </is>
      </nc>
      <ndxf>
        <alignment horizontal="general" vertical="bottom"/>
      </ndxf>
    </rcc>
    <rcc rId="0" sId="2" dxf="1">
      <nc r="B169" t="inlineStr">
        <is>
          <t>2.8</t>
        </is>
      </nc>
      <ndxf>
        <alignment horizontal="general" vertical="bottom"/>
      </ndxf>
    </rcc>
    <rcc rId="0" sId="2" dxf="1">
      <nc r="B170" t="inlineStr">
        <is>
          <t>2.6</t>
        </is>
      </nc>
      <ndxf>
        <alignment horizontal="general" vertical="bottom"/>
      </ndxf>
    </rcc>
    <rcc rId="0" sId="2" dxf="1">
      <nc r="B171" t="inlineStr">
        <is>
          <t>2.8</t>
        </is>
      </nc>
      <ndxf>
        <alignment horizontal="general" vertical="bottom"/>
      </ndxf>
    </rcc>
    <rcc rId="0" sId="2" dxf="1">
      <nc r="B172" t="inlineStr">
        <is>
          <t>2.6</t>
        </is>
      </nc>
      <ndxf>
        <alignment horizontal="general" vertical="bottom"/>
      </ndxf>
    </rcc>
    <rcc rId="0" sId="2" dxf="1">
      <nc r="B173" t="inlineStr">
        <is>
          <t>2.8</t>
        </is>
      </nc>
      <ndxf>
        <alignment horizontal="general" vertical="bottom"/>
      </ndxf>
    </rcc>
    <rcc rId="0" sId="2" dxf="1">
      <nc r="B174" t="inlineStr">
        <is>
          <t>2.8</t>
        </is>
      </nc>
      <ndxf>
        <alignment horizontal="general" vertical="bottom"/>
      </ndxf>
    </rcc>
    <rcc rId="0" sId="2" dxf="1">
      <nc r="B175" t="inlineStr">
        <is>
          <t>2.8</t>
        </is>
      </nc>
      <ndxf>
        <alignment horizontal="general" vertical="bottom"/>
      </ndxf>
    </rcc>
    <rcc rId="0" sId="2" dxf="1">
      <nc r="B176" t="inlineStr">
        <is>
          <t>2.6</t>
        </is>
      </nc>
      <ndxf>
        <alignment horizontal="general" vertical="bottom"/>
      </ndxf>
    </rcc>
    <rcc rId="0" sId="2" dxf="1">
      <nc r="B177" t="inlineStr">
        <is>
          <t>2.6</t>
        </is>
      </nc>
      <ndxf>
        <alignment horizontal="general" vertical="bottom"/>
      </ndxf>
    </rcc>
    <rcc rId="0" sId="2" dxf="1">
      <nc r="B178" t="inlineStr">
        <is>
          <t>2.8</t>
        </is>
      </nc>
      <ndxf>
        <alignment horizontal="general" vertical="bottom"/>
      </ndxf>
    </rcc>
    <rcc rId="0" sId="2" dxf="1">
      <nc r="B179" t="inlineStr">
        <is>
          <t>2.6</t>
        </is>
      </nc>
      <ndxf>
        <alignment horizontal="general" vertical="bottom"/>
      </ndxf>
    </rcc>
    <rcc rId="0" sId="2" dxf="1">
      <nc r="B180" t="inlineStr">
        <is>
          <t>2.6</t>
        </is>
      </nc>
      <ndxf>
        <alignment horizontal="general" vertical="bottom"/>
      </ndxf>
    </rcc>
    <rcc rId="0" sId="2" dxf="1">
      <nc r="B181" t="inlineStr">
        <is>
          <t>2.8</t>
        </is>
      </nc>
      <ndxf>
        <alignment horizontal="general" vertical="bottom"/>
      </ndxf>
    </rcc>
    <rcc rId="0" sId="2" dxf="1">
      <nc r="B182" t="inlineStr">
        <is>
          <t>2.8</t>
        </is>
      </nc>
      <ndxf>
        <alignment horizontal="general" vertical="bottom"/>
      </ndxf>
    </rcc>
    <rcc rId="0" sId="2" dxf="1">
      <nc r="B183" t="inlineStr">
        <is>
          <t>2.9</t>
        </is>
      </nc>
      <ndxf>
        <alignment horizontal="general" vertical="bottom"/>
      </ndxf>
    </rcc>
    <rcc rId="0" sId="2" dxf="1">
      <nc r="B184" t="inlineStr">
        <is>
          <t>2.8</t>
        </is>
      </nc>
      <ndxf>
        <alignment horizontal="general" vertical="bottom"/>
      </ndxf>
    </rcc>
    <rcc rId="0" sId="2" dxf="1">
      <nc r="B185" t="inlineStr">
        <is>
          <t>2.9</t>
        </is>
      </nc>
      <ndxf>
        <alignment horizontal="general" vertical="bottom"/>
      </ndxf>
    </rcc>
    <rcc rId="0" sId="2" dxf="1">
      <nc r="B186" t="inlineStr">
        <is>
          <t>2.8</t>
        </is>
      </nc>
      <ndxf>
        <alignment horizontal="general" vertical="bottom"/>
      </ndxf>
    </rcc>
    <rcc rId="0" sId="2" dxf="1">
      <nc r="B187" t="inlineStr">
        <is>
          <t>2.9</t>
        </is>
      </nc>
      <ndxf>
        <alignment horizontal="general" vertical="bottom"/>
      </ndxf>
    </rcc>
    <rcc rId="0" sId="2" dxf="1">
      <nc r="B188" t="inlineStr">
        <is>
          <t>2.8</t>
        </is>
      </nc>
      <ndxf>
        <alignment horizontal="general" vertical="bottom"/>
      </ndxf>
    </rcc>
    <rcc rId="0" sId="2" dxf="1">
      <nc r="B189" t="inlineStr">
        <is>
          <t>2.8</t>
        </is>
      </nc>
      <ndxf>
        <alignment horizontal="general" vertical="bottom"/>
      </ndxf>
    </rcc>
    <rcc rId="0" sId="2" dxf="1">
      <nc r="B190" t="inlineStr">
        <is>
          <t>2.9</t>
        </is>
      </nc>
      <ndxf>
        <alignment horizontal="general" vertical="bottom"/>
      </ndxf>
    </rcc>
    <rcc rId="0" sId="2" dxf="1">
      <nc r="B191" t="inlineStr">
        <is>
          <t>2.9</t>
        </is>
      </nc>
      <ndxf>
        <alignment horizontal="general" vertical="bottom"/>
      </ndxf>
    </rcc>
    <rcc rId="0" sId="2" dxf="1">
      <nc r="B192" t="inlineStr">
        <is>
          <t>2.8</t>
        </is>
      </nc>
      <ndxf>
        <alignment horizontal="general" vertical="bottom"/>
      </ndxf>
    </rcc>
    <rcc rId="0" sId="2" dxf="1">
      <nc r="B193" t="inlineStr">
        <is>
          <t>2.9</t>
        </is>
      </nc>
      <ndxf>
        <alignment horizontal="general" vertical="bottom"/>
      </ndxf>
    </rcc>
    <rcc rId="0" sId="2" dxf="1">
      <nc r="B194" t="inlineStr">
        <is>
          <t>2.8</t>
        </is>
      </nc>
      <ndxf>
        <alignment horizontal="general" vertical="bottom"/>
      </ndxf>
    </rcc>
    <rcc rId="0" sId="2" dxf="1">
      <nc r="B195" t="inlineStr">
        <is>
          <t>2.9</t>
        </is>
      </nc>
      <ndxf>
        <alignment horizontal="general" vertical="bottom"/>
      </ndxf>
    </rcc>
    <rcc rId="0" sId="2" dxf="1">
      <nc r="B196" t="inlineStr">
        <is>
          <t>2.8</t>
        </is>
      </nc>
      <ndxf>
        <alignment horizontal="general" vertical="bottom"/>
      </ndxf>
    </rcc>
    <rcc rId="0" sId="2" dxf="1">
      <nc r="B197" t="inlineStr">
        <is>
          <t>2.9</t>
        </is>
      </nc>
      <ndxf>
        <alignment horizontal="general" vertical="bottom"/>
      </ndxf>
    </rcc>
    <rcc rId="0" sId="2" dxf="1">
      <nc r="B198" t="inlineStr">
        <is>
          <t>2.8</t>
        </is>
      </nc>
      <ndxf>
        <alignment horizontal="general" vertical="bottom"/>
      </ndxf>
    </rcc>
    <rcc rId="0" sId="2" dxf="1">
      <nc r="B199" t="inlineStr">
        <is>
          <t>2.9</t>
        </is>
      </nc>
      <ndxf>
        <alignment horizontal="general" vertical="bottom"/>
      </ndxf>
    </rcc>
    <rcc rId="0" sId="2" dxf="1">
      <nc r="B200" t="inlineStr">
        <is>
          <t>2.8</t>
        </is>
      </nc>
      <ndxf>
        <alignment horizontal="general" vertical="bottom"/>
      </ndxf>
    </rcc>
    <rcc rId="0" sId="2" dxf="1">
      <nc r="B201" t="inlineStr">
        <is>
          <t>NA</t>
        </is>
      </nc>
      <ndxf>
        <alignment horizontal="general" vertical="bottom"/>
      </ndxf>
    </rcc>
    <rcc rId="0" sId="2" dxf="1">
      <nc r="B202" t="inlineStr">
        <is>
          <t>2.9</t>
        </is>
      </nc>
      <ndxf>
        <alignment horizontal="general" vertical="bottom"/>
      </ndxf>
    </rcc>
    <rcc rId="0" sId="2" dxf="1">
      <nc r="B203" t="inlineStr">
        <is>
          <t>2.9</t>
        </is>
      </nc>
      <ndxf>
        <alignment horizontal="general" vertical="bottom"/>
      </ndxf>
    </rcc>
    <rcc rId="0" sId="2" dxf="1">
      <nc r="B204" t="inlineStr">
        <is>
          <t>2.8</t>
        </is>
      </nc>
      <ndxf>
        <alignment horizontal="general" vertical="bottom"/>
      </ndxf>
    </rcc>
    <rcc rId="0" sId="2" dxf="1">
      <nc r="B205" t="inlineStr">
        <is>
          <t>2.9</t>
        </is>
      </nc>
      <ndxf>
        <alignment horizontal="general" vertical="bottom"/>
      </ndxf>
    </rcc>
    <rcc rId="0" sId="2" dxf="1">
      <nc r="B206" t="inlineStr">
        <is>
          <t>2.9</t>
        </is>
      </nc>
      <ndxf>
        <alignment horizontal="general" vertical="bottom"/>
      </ndxf>
    </rcc>
    <rcc rId="0" sId="2" dxf="1">
      <nc r="B207" t="inlineStr">
        <is>
          <t>2.8</t>
        </is>
      </nc>
      <ndxf>
        <alignment horizontal="general" vertical="bottom"/>
      </ndxf>
    </rcc>
    <rcc rId="0" sId="2" dxf="1">
      <nc r="B208" t="inlineStr">
        <is>
          <t>2.8</t>
        </is>
      </nc>
      <ndxf>
        <alignment horizontal="general" vertical="bottom"/>
      </ndxf>
    </rcc>
    <rcc rId="0" sId="2" dxf="1">
      <nc r="B209" t="inlineStr">
        <is>
          <t>2.8</t>
        </is>
      </nc>
      <ndxf>
        <alignment horizontal="general" vertical="bottom"/>
      </ndxf>
    </rcc>
    <rcc rId="0" sId="2" dxf="1">
      <nc r="B210" t="inlineStr">
        <is>
          <t>2.8</t>
        </is>
      </nc>
      <ndxf>
        <alignment horizontal="general" vertical="bottom"/>
      </ndxf>
    </rcc>
    <rcc rId="0" sId="2" dxf="1">
      <nc r="B211" t="inlineStr">
        <is>
          <t>2.9</t>
        </is>
      </nc>
      <ndxf>
        <alignment horizontal="general" vertical="bottom"/>
      </ndxf>
    </rcc>
    <rcc rId="0" sId="2" dxf="1">
      <nc r="B212" t="inlineStr">
        <is>
          <t>2.9</t>
        </is>
      </nc>
      <ndxf>
        <alignment horizontal="general" vertical="bottom"/>
      </ndxf>
    </rcc>
    <rcc rId="0" sId="2" dxf="1">
      <nc r="B213" t="inlineStr">
        <is>
          <t>2.8</t>
        </is>
      </nc>
      <ndxf>
        <alignment horizontal="general" vertical="bottom"/>
      </ndxf>
    </rcc>
    <rcc rId="0" sId="2" dxf="1">
      <nc r="B214" t="inlineStr">
        <is>
          <t>2.9</t>
        </is>
      </nc>
      <ndxf>
        <alignment horizontal="general" vertical="bottom"/>
      </ndxf>
    </rcc>
    <rcc rId="0" sId="2" dxf="1">
      <nc r="B215" t="inlineStr">
        <is>
          <t>2.9</t>
        </is>
      </nc>
      <ndxf>
        <alignment horizontal="general" vertical="bottom"/>
      </ndxf>
    </rcc>
    <rcc rId="0" sId="2" dxf="1">
      <nc r="B216" t="inlineStr">
        <is>
          <t>2.9</t>
        </is>
      </nc>
      <ndxf>
        <alignment horizontal="general" vertical="bottom"/>
      </ndxf>
    </rcc>
    <rcc rId="0" sId="2" dxf="1">
      <nc r="B217" t="inlineStr">
        <is>
          <t>2.9</t>
        </is>
      </nc>
      <ndxf>
        <alignment horizontal="general" vertical="bottom"/>
      </ndxf>
    </rcc>
    <rcc rId="0" sId="2" dxf="1">
      <nc r="B218" t="inlineStr">
        <is>
          <t>2.9</t>
        </is>
      </nc>
      <ndxf>
        <alignment horizontal="general" vertical="bottom"/>
      </ndxf>
    </rcc>
    <rcc rId="0" sId="2" dxf="1">
      <nc r="B219" t="inlineStr">
        <is>
          <t>2.9</t>
        </is>
      </nc>
      <ndxf>
        <alignment horizontal="general" vertical="bottom"/>
      </ndxf>
    </rcc>
    <rcc rId="0" sId="2" dxf="1">
      <nc r="B220" t="inlineStr">
        <is>
          <t>2.8</t>
        </is>
      </nc>
      <ndxf>
        <alignment horizontal="general" vertical="bottom"/>
      </ndxf>
    </rcc>
    <rcc rId="0" sId="2" dxf="1">
      <nc r="B221" t="inlineStr">
        <is>
          <t>2.9</t>
        </is>
      </nc>
      <ndxf>
        <alignment horizontal="general" vertical="bottom"/>
      </ndxf>
    </rcc>
    <rcc rId="0" sId="2" dxf="1">
      <nc r="B222" t="inlineStr">
        <is>
          <t>2.9</t>
        </is>
      </nc>
      <ndxf>
        <alignment horizontal="general" vertical="bottom"/>
      </ndxf>
    </rcc>
    <rcc rId="0" sId="2" dxf="1">
      <nc r="B223" t="inlineStr">
        <is>
          <t>2.9</t>
        </is>
      </nc>
      <ndxf>
        <alignment horizontal="general" vertical="bottom"/>
      </ndxf>
    </rcc>
    <rcc rId="0" sId="2" dxf="1">
      <nc r="B224" t="inlineStr">
        <is>
          <t>2.8</t>
        </is>
      </nc>
      <ndxf>
        <alignment horizontal="general" vertical="bottom"/>
      </ndxf>
    </rcc>
    <rcc rId="0" sId="2" dxf="1">
      <nc r="B225" t="inlineStr">
        <is>
          <t>2.9</t>
        </is>
      </nc>
      <ndxf>
        <alignment horizontal="general" vertical="bottom"/>
      </ndxf>
    </rcc>
    <rcc rId="0" sId="2" dxf="1">
      <nc r="B226" t="inlineStr">
        <is>
          <t>2.9</t>
        </is>
      </nc>
      <ndxf>
        <alignment horizontal="general" vertical="bottom"/>
      </ndxf>
    </rcc>
    <rcc rId="0" sId="2" dxf="1">
      <nc r="B227" t="inlineStr">
        <is>
          <t>2.8</t>
        </is>
      </nc>
      <ndxf>
        <alignment horizontal="general" vertical="bottom"/>
      </ndxf>
    </rcc>
    <rcc rId="0" sId="2" dxf="1">
      <nc r="B228" t="inlineStr">
        <is>
          <t>2.8</t>
        </is>
      </nc>
      <ndxf>
        <alignment horizontal="general" vertical="bottom"/>
      </ndxf>
    </rcc>
    <rcc rId="0" sId="2" dxf="1">
      <nc r="B229" t="inlineStr">
        <is>
          <t>2.8</t>
        </is>
      </nc>
      <ndxf>
        <alignment horizontal="general" vertical="bottom"/>
      </ndxf>
    </rcc>
    <rcc rId="0" sId="2" dxf="1">
      <nc r="B230" t="inlineStr">
        <is>
          <t>2.8</t>
        </is>
      </nc>
      <ndxf>
        <alignment horizontal="general" vertical="bottom"/>
      </ndxf>
    </rcc>
    <rcc rId="0" sId="2" dxf="1">
      <nc r="B231" t="inlineStr">
        <is>
          <t>2.9</t>
        </is>
      </nc>
      <ndxf>
        <alignment horizontal="general" vertical="bottom"/>
      </ndxf>
    </rcc>
    <rcc rId="0" sId="2" dxf="1">
      <nc r="B232" t="inlineStr">
        <is>
          <t>2.9</t>
        </is>
      </nc>
      <ndxf>
        <alignment horizontal="general" vertical="bottom"/>
      </ndxf>
    </rcc>
    <rcc rId="0" sId="2" dxf="1">
      <nc r="B233" t="inlineStr">
        <is>
          <t>2.9</t>
        </is>
      </nc>
      <ndxf>
        <alignment horizontal="general" vertical="bottom"/>
      </ndxf>
    </rcc>
    <rcc rId="0" sId="2" dxf="1">
      <nc r="B234" t="inlineStr">
        <is>
          <t>2.9</t>
        </is>
      </nc>
      <ndxf>
        <alignment horizontal="general" vertical="bottom"/>
      </ndxf>
    </rcc>
    <rcc rId="0" sId="2" dxf="1">
      <nc r="B235" t="inlineStr">
        <is>
          <t>2.9</t>
        </is>
      </nc>
      <ndxf>
        <alignment horizontal="general" vertical="bottom"/>
      </ndxf>
    </rcc>
    <rcc rId="0" sId="2" dxf="1">
      <nc r="B236" t="inlineStr">
        <is>
          <t>2.8</t>
        </is>
      </nc>
      <ndxf>
        <alignment horizontal="general" vertical="bottom"/>
      </ndxf>
    </rcc>
    <rcc rId="0" sId="2" dxf="1">
      <nc r="B237" t="inlineStr">
        <is>
          <t>2.8</t>
        </is>
      </nc>
      <ndxf>
        <alignment horizontal="general" vertical="bottom"/>
      </ndxf>
    </rcc>
    <rcc rId="0" sId="2" dxf="1">
      <nc r="B238" t="inlineStr">
        <is>
          <t>2.8</t>
        </is>
      </nc>
      <ndxf>
        <alignment horizontal="general" vertical="bottom"/>
      </ndxf>
    </rcc>
    <rcc rId="0" sId="2" dxf="1">
      <nc r="B239" t="inlineStr">
        <is>
          <t>2.9</t>
        </is>
      </nc>
      <ndxf>
        <alignment horizontal="general" vertical="bottom"/>
      </ndxf>
    </rcc>
    <rcc rId="0" sId="2" dxf="1">
      <nc r="B240" t="inlineStr">
        <is>
          <t>2.8</t>
        </is>
      </nc>
      <ndxf>
        <alignment horizontal="general" vertical="bottom"/>
      </ndxf>
    </rcc>
    <rcc rId="0" sId="2" dxf="1">
      <nc r="B241" t="inlineStr">
        <is>
          <t>2.9</t>
        </is>
      </nc>
      <ndxf>
        <alignment horizontal="general" vertical="bottom"/>
      </ndxf>
    </rcc>
    <rcc rId="0" sId="2" dxf="1">
      <nc r="B242" t="inlineStr">
        <is>
          <t>2.8</t>
        </is>
      </nc>
      <ndxf>
        <alignment horizontal="general" vertical="bottom"/>
      </ndxf>
    </rcc>
    <rcc rId="0" sId="2" dxf="1">
      <nc r="B243" t="inlineStr">
        <is>
          <t>2.8</t>
        </is>
      </nc>
      <ndxf>
        <alignment horizontal="general" vertical="bottom"/>
      </ndxf>
    </rcc>
    <rcc rId="0" sId="2" dxf="1">
      <nc r="B244" t="inlineStr">
        <is>
          <t>2.8</t>
        </is>
      </nc>
      <ndxf>
        <alignment horizontal="general" vertical="bottom"/>
      </ndxf>
    </rcc>
    <rcc rId="0" sId="2" dxf="1">
      <nc r="B245" t="inlineStr">
        <is>
          <t>2.8</t>
        </is>
      </nc>
      <ndxf>
        <alignment horizontal="general" vertical="bottom"/>
      </ndxf>
    </rcc>
    <rcc rId="0" sId="2" dxf="1">
      <nc r="B246" t="inlineStr">
        <is>
          <t>2.9</t>
        </is>
      </nc>
      <ndxf>
        <alignment horizontal="general" vertical="bottom"/>
      </ndxf>
    </rcc>
    <rcc rId="0" sId="2" dxf="1">
      <nc r="B247" t="inlineStr">
        <is>
          <t>2.8</t>
        </is>
      </nc>
      <ndxf>
        <alignment horizontal="general" vertical="bottom"/>
      </ndxf>
    </rcc>
    <rcc rId="0" sId="2" dxf="1">
      <nc r="B248" t="inlineStr">
        <is>
          <t>2.8</t>
        </is>
      </nc>
      <ndxf>
        <alignment horizontal="general" vertical="bottom"/>
      </ndxf>
    </rcc>
    <rcc rId="0" sId="2" dxf="1">
      <nc r="B249" t="inlineStr">
        <is>
          <t>2.8</t>
        </is>
      </nc>
      <ndxf>
        <alignment horizontal="general" vertical="bottom"/>
      </ndxf>
    </rcc>
    <rcc rId="0" sId="2" dxf="1">
      <nc r="B250" t="inlineStr">
        <is>
          <t>2.8</t>
        </is>
      </nc>
      <ndxf>
        <alignment horizontal="general" vertical="bottom"/>
      </ndxf>
    </rcc>
    <rcc rId="0" sId="2" dxf="1">
      <nc r="B251" t="inlineStr">
        <is>
          <t>2.8</t>
        </is>
      </nc>
      <ndxf>
        <alignment horizontal="general" vertical="bottom"/>
      </ndxf>
    </rcc>
    <rcc rId="0" sId="2" dxf="1">
      <nc r="B252" t="inlineStr">
        <is>
          <t>2.8</t>
        </is>
      </nc>
      <ndxf>
        <alignment horizontal="general" vertical="bottom"/>
      </ndxf>
    </rcc>
    <rcc rId="0" sId="2" dxf="1">
      <nc r="B253" t="inlineStr">
        <is>
          <t>2.8</t>
        </is>
      </nc>
      <ndxf>
        <alignment horizontal="general" vertical="bottom"/>
      </ndxf>
    </rcc>
    <rcc rId="0" sId="2" dxf="1">
      <nc r="B254" t="inlineStr">
        <is>
          <t>2.8</t>
        </is>
      </nc>
      <ndxf>
        <alignment horizontal="general" vertical="bottom"/>
      </ndxf>
    </rcc>
    <rcc rId="0" sId="2" dxf="1">
      <nc r="B255" t="inlineStr">
        <is>
          <t>2.8</t>
        </is>
      </nc>
      <ndxf>
        <alignment horizontal="general" vertical="bottom"/>
      </ndxf>
    </rcc>
    <rcc rId="0" sId="2" dxf="1">
      <nc r="B256" t="inlineStr">
        <is>
          <t>2.8</t>
        </is>
      </nc>
      <ndxf>
        <alignment horizontal="general" vertical="bottom"/>
      </ndxf>
    </rcc>
    <rcc rId="0" sId="2" dxf="1">
      <nc r="B257" t="inlineStr">
        <is>
          <t>2.8</t>
        </is>
      </nc>
      <ndxf>
        <alignment horizontal="general" vertical="bottom"/>
      </ndxf>
    </rcc>
    <rcc rId="0" sId="2" dxf="1">
      <nc r="B258" t="inlineStr">
        <is>
          <t>2.8</t>
        </is>
      </nc>
      <ndxf>
        <alignment horizontal="general" vertical="bottom"/>
      </ndxf>
    </rcc>
    <rcc rId="0" sId="2" dxf="1">
      <nc r="B259" t="inlineStr">
        <is>
          <t>2.8</t>
        </is>
      </nc>
      <ndxf>
        <alignment horizontal="general" vertical="bottom"/>
      </ndxf>
    </rcc>
    <rcc rId="0" sId="2" dxf="1">
      <nc r="B260" t="inlineStr">
        <is>
          <t>2.8</t>
        </is>
      </nc>
      <ndxf>
        <alignment horizontal="general" vertical="bottom"/>
      </ndxf>
    </rcc>
    <rcc rId="0" sId="2" dxf="1">
      <nc r="B261" t="inlineStr">
        <is>
          <t>NA</t>
        </is>
      </nc>
      <ndxf>
        <alignment horizontal="general" vertical="bottom"/>
      </ndxf>
    </rcc>
    <rfmt sheetId="2" sqref="B262" start="0" length="0">
      <dxf>
        <alignment horizontal="general" vertical="bottom"/>
      </dxf>
    </rfmt>
    <rfmt sheetId="2" sqref="B263" start="0" length="0">
      <dxf>
        <alignment horizontal="general" vertical="bottom"/>
      </dxf>
    </rfmt>
  </rr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7" sId="1">
    <nc r="B2">
      <v>1.2</v>
    </nc>
  </rcc>
</revisions>
</file>

<file path=xl/revisions/userNames1.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8">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47CABE0-EF07-FE42-9DA0-E8F7BFBE8C36}" name="Andre Scheepers" id="-922230544" dateTime="2026-09-28T18:52:2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tabSelected="1" zoomScale="75" zoomScaleNormal="90" workbookViewId="0">
      <pane ySplit="1" topLeftCell="A2" activePane="bottomLeft" state="frozen"/>
      <selection activeCell="J1" sqref="J1"/>
      <selection pane="bottomLeft" activeCell="B3" sqref="B3"/>
    </sheetView>
  </sheetViews>
  <sheetFormatPr baseColWidth="10" defaultRowHeight="16" x14ac:dyDescent="0.2"/>
  <cols>
    <col min="1" max="1" width="10.83203125" style="1"/>
    <col min="2" max="2" width="10.83203125" style="35"/>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35"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x14ac:dyDescent="0.2">
      <c r="A1" s="1" t="s">
        <v>0</v>
      </c>
      <c r="B1" s="35" t="s">
        <v>1</v>
      </c>
      <c r="C1" s="1" t="s">
        <v>793</v>
      </c>
      <c r="D1" s="1" t="s">
        <v>775</v>
      </c>
      <c r="E1" s="1" t="s">
        <v>2</v>
      </c>
      <c r="F1" s="4" t="s">
        <v>31</v>
      </c>
      <c r="G1" s="1" t="s">
        <v>4</v>
      </c>
      <c r="H1" s="6" t="s">
        <v>5</v>
      </c>
      <c r="I1" s="1" t="s">
        <v>785</v>
      </c>
      <c r="J1" s="6" t="s">
        <v>786</v>
      </c>
      <c r="K1" s="1" t="s">
        <v>6</v>
      </c>
      <c r="L1" s="1" t="s">
        <v>790</v>
      </c>
      <c r="M1" s="1" t="s">
        <v>789</v>
      </c>
      <c r="N1" s="1" t="s">
        <v>792</v>
      </c>
      <c r="O1" s="35" t="s">
        <v>791</v>
      </c>
      <c r="P1" s="35" t="s">
        <v>795</v>
      </c>
      <c r="Q1" s="35" t="s">
        <v>794</v>
      </c>
      <c r="R1" s="2" t="s">
        <v>787</v>
      </c>
      <c r="S1" s="2" t="s">
        <v>788</v>
      </c>
      <c r="T1" s="1" t="s">
        <v>329</v>
      </c>
      <c r="U1" s="1" t="s">
        <v>15</v>
      </c>
      <c r="V1" s="2" t="s">
        <v>659</v>
      </c>
      <c r="W1" s="4" t="s">
        <v>640</v>
      </c>
    </row>
    <row r="2" spans="1:23" x14ac:dyDescent="0.2">
      <c r="A2" s="1">
        <v>1</v>
      </c>
      <c r="B2" s="35">
        <v>1.2</v>
      </c>
      <c r="C2" s="1" t="s">
        <v>778</v>
      </c>
      <c r="E2" s="1" t="s">
        <v>19</v>
      </c>
      <c r="F2" s="4">
        <v>45340</v>
      </c>
      <c r="P2" s="35">
        <v>90</v>
      </c>
      <c r="Q2" s="35">
        <v>90</v>
      </c>
      <c r="R2" s="1">
        <v>57.4</v>
      </c>
      <c r="U2" s="1" t="s">
        <v>20</v>
      </c>
    </row>
    <row r="3" spans="1:23" x14ac:dyDescent="0.2">
      <c r="A3" s="1">
        <v>1</v>
      </c>
      <c r="B3" s="35" t="s">
        <v>799</v>
      </c>
      <c r="C3" s="1" t="s">
        <v>778</v>
      </c>
      <c r="D3" s="1">
        <v>1</v>
      </c>
      <c r="E3" s="1" t="s">
        <v>17</v>
      </c>
      <c r="F3" s="4">
        <v>45342</v>
      </c>
      <c r="K3" s="3">
        <v>0.22586805555555556</v>
      </c>
      <c r="P3" s="35">
        <v>90</v>
      </c>
      <c r="Q3" s="35">
        <v>90</v>
      </c>
      <c r="R3" s="1">
        <v>57.4</v>
      </c>
      <c r="T3" s="1">
        <v>0</v>
      </c>
      <c r="U3" s="1" t="s">
        <v>18</v>
      </c>
    </row>
    <row r="4" spans="1:23" x14ac:dyDescent="0.2">
      <c r="A4" s="1">
        <v>1</v>
      </c>
      <c r="B4" s="35" t="s">
        <v>798</v>
      </c>
      <c r="C4" s="1" t="s">
        <v>778</v>
      </c>
      <c r="D4" s="1">
        <v>1</v>
      </c>
      <c r="E4" s="1" t="s">
        <v>25</v>
      </c>
      <c r="F4" s="4">
        <v>45346</v>
      </c>
      <c r="I4" s="3">
        <v>8.4722222222222213E-3</v>
      </c>
      <c r="K4" s="3">
        <v>0.75783564814814808</v>
      </c>
      <c r="P4" s="35">
        <v>90</v>
      </c>
      <c r="Q4" s="35">
        <v>90</v>
      </c>
      <c r="U4" s="1" t="s">
        <v>26</v>
      </c>
    </row>
    <row r="5" spans="1:23" x14ac:dyDescent="0.2">
      <c r="A5" s="1">
        <v>1</v>
      </c>
      <c r="B5" s="35" t="s">
        <v>798</v>
      </c>
      <c r="C5" s="1" t="s">
        <v>778</v>
      </c>
      <c r="D5" s="1">
        <v>2</v>
      </c>
      <c r="E5" s="1" t="s">
        <v>25</v>
      </c>
      <c r="F5" s="4">
        <v>45346</v>
      </c>
      <c r="I5" s="3">
        <v>1.5740740740740743E-2</v>
      </c>
      <c r="J5" s="6">
        <v>1.7187499999999998E-2</v>
      </c>
      <c r="K5" s="3">
        <v>0.75783564814814808</v>
      </c>
      <c r="P5" s="35">
        <v>90</v>
      </c>
      <c r="Q5" s="35">
        <v>90</v>
      </c>
      <c r="U5" s="1" t="s">
        <v>27</v>
      </c>
    </row>
    <row r="6" spans="1:23" x14ac:dyDescent="0.2">
      <c r="A6" s="1">
        <v>1</v>
      </c>
      <c r="B6" s="35" t="s">
        <v>798</v>
      </c>
      <c r="C6" s="1" t="s">
        <v>778</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35">
        <v>1</v>
      </c>
      <c r="P6" s="35">
        <v>90</v>
      </c>
      <c r="Q6" s="35">
        <v>90</v>
      </c>
      <c r="T6" s="1">
        <v>0</v>
      </c>
      <c r="U6" s="1" t="s">
        <v>35</v>
      </c>
    </row>
    <row r="7" spans="1:23" x14ac:dyDescent="0.2">
      <c r="A7" s="1">
        <v>1</v>
      </c>
      <c r="B7" s="35" t="s">
        <v>798</v>
      </c>
      <c r="C7" s="1" t="s">
        <v>778</v>
      </c>
      <c r="D7" s="1" t="s">
        <v>21</v>
      </c>
      <c r="E7" s="1" t="s">
        <v>21</v>
      </c>
      <c r="F7" s="4">
        <v>45347</v>
      </c>
      <c r="G7" s="1" t="s">
        <v>21</v>
      </c>
      <c r="H7" s="6" t="s">
        <v>21</v>
      </c>
      <c r="I7" s="1" t="s">
        <v>21</v>
      </c>
      <c r="J7" s="6" t="s">
        <v>21</v>
      </c>
      <c r="K7" s="1" t="s">
        <v>21</v>
      </c>
      <c r="L7" s="1" t="s">
        <v>21</v>
      </c>
      <c r="M7" s="1" t="s">
        <v>21</v>
      </c>
      <c r="N7" s="1" t="s">
        <v>21</v>
      </c>
      <c r="O7" s="35" t="s">
        <v>21</v>
      </c>
      <c r="P7" s="35">
        <v>90</v>
      </c>
      <c r="Q7" s="35">
        <v>90</v>
      </c>
      <c r="R7" s="1">
        <v>57.4</v>
      </c>
      <c r="T7" s="1" t="s">
        <v>21</v>
      </c>
      <c r="U7" s="1" t="s">
        <v>36</v>
      </c>
    </row>
    <row r="8" spans="1:23" x14ac:dyDescent="0.2">
      <c r="A8" s="1">
        <v>1</v>
      </c>
      <c r="B8" s="35" t="s">
        <v>798</v>
      </c>
      <c r="C8" s="1" t="s">
        <v>778</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35">
        <v>1</v>
      </c>
      <c r="P8" s="35">
        <v>90</v>
      </c>
      <c r="Q8" s="35">
        <v>90</v>
      </c>
      <c r="T8" s="1">
        <v>0</v>
      </c>
      <c r="U8" s="1" t="s">
        <v>34</v>
      </c>
    </row>
    <row r="9" spans="1:23" x14ac:dyDescent="0.2">
      <c r="A9" s="1">
        <v>1</v>
      </c>
      <c r="B9" s="35" t="s">
        <v>798</v>
      </c>
      <c r="C9" s="1" t="s">
        <v>778</v>
      </c>
      <c r="D9" s="1">
        <v>1</v>
      </c>
      <c r="E9" s="1" t="s">
        <v>45</v>
      </c>
      <c r="F9" s="4">
        <v>45348</v>
      </c>
      <c r="G9" s="3">
        <f t="shared" si="0"/>
        <v>0.77690972222222221</v>
      </c>
      <c r="H9" s="6" t="s">
        <v>21</v>
      </c>
      <c r="I9" s="3">
        <v>2.1898148148148149E-2</v>
      </c>
      <c r="J9" s="6" t="s">
        <v>21</v>
      </c>
      <c r="K9" s="3">
        <v>0.75501157407407404</v>
      </c>
      <c r="L9" s="1" t="s">
        <v>8</v>
      </c>
      <c r="M9" s="1" t="s">
        <v>21</v>
      </c>
      <c r="N9" s="1">
        <v>1</v>
      </c>
      <c r="O9" s="35" t="s">
        <v>21</v>
      </c>
      <c r="P9" s="35">
        <v>90</v>
      </c>
      <c r="Q9" s="35">
        <v>90</v>
      </c>
      <c r="R9" s="1">
        <v>57.4</v>
      </c>
      <c r="T9" s="1" t="s">
        <v>21</v>
      </c>
      <c r="U9" s="1" t="s">
        <v>46</v>
      </c>
    </row>
    <row r="10" spans="1:23" x14ac:dyDescent="0.2">
      <c r="A10" s="1">
        <v>1</v>
      </c>
      <c r="B10" s="35" t="s">
        <v>798</v>
      </c>
      <c r="C10" s="1" t="s">
        <v>778</v>
      </c>
      <c r="D10" s="1">
        <v>1</v>
      </c>
      <c r="E10" s="1" t="s">
        <v>39</v>
      </c>
      <c r="F10" s="4">
        <v>45349</v>
      </c>
      <c r="G10" s="3">
        <f t="shared" si="0"/>
        <v>0.77561342592592586</v>
      </c>
      <c r="H10" s="6" t="s">
        <v>21</v>
      </c>
      <c r="I10" s="3">
        <v>1.9212962962962963E-2</v>
      </c>
      <c r="J10" s="6" t="s">
        <v>21</v>
      </c>
      <c r="K10" s="3">
        <v>0.75640046296296293</v>
      </c>
      <c r="L10" s="1" t="s">
        <v>7</v>
      </c>
      <c r="M10" s="1" t="s">
        <v>21</v>
      </c>
      <c r="N10" s="1">
        <v>1</v>
      </c>
      <c r="O10" s="35" t="s">
        <v>21</v>
      </c>
      <c r="P10" s="35">
        <v>90</v>
      </c>
      <c r="Q10" s="35">
        <v>90</v>
      </c>
      <c r="R10" s="1">
        <v>57.4</v>
      </c>
      <c r="T10" s="1" t="s">
        <v>21</v>
      </c>
      <c r="U10" s="1" t="s">
        <v>40</v>
      </c>
    </row>
    <row r="11" spans="1:23" x14ac:dyDescent="0.2">
      <c r="A11" s="1">
        <v>1</v>
      </c>
      <c r="B11" s="35" t="s">
        <v>798</v>
      </c>
      <c r="C11" s="1" t="s">
        <v>778</v>
      </c>
      <c r="D11" s="1">
        <v>1</v>
      </c>
      <c r="E11" s="1" t="s">
        <v>43</v>
      </c>
      <c r="F11" s="4">
        <v>45349</v>
      </c>
      <c r="G11" s="3">
        <f t="shared" si="0"/>
        <v>0.25958333333333333</v>
      </c>
      <c r="H11" s="6">
        <f>J11+K11</f>
        <v>0.2727546296296296</v>
      </c>
      <c r="I11" s="3">
        <v>3.4212962962962966E-2</v>
      </c>
      <c r="J11" s="6">
        <v>4.7384259259259258E-2</v>
      </c>
      <c r="K11" s="3">
        <v>0.22537037037037036</v>
      </c>
      <c r="L11" s="1" t="s">
        <v>7</v>
      </c>
      <c r="M11" s="1" t="s">
        <v>7</v>
      </c>
      <c r="N11" s="1">
        <v>1</v>
      </c>
      <c r="O11" s="35">
        <v>1</v>
      </c>
      <c r="P11" s="35">
        <v>90</v>
      </c>
      <c r="Q11" s="35">
        <v>90</v>
      </c>
      <c r="R11" s="1">
        <v>57.4</v>
      </c>
      <c r="T11" s="1">
        <v>1</v>
      </c>
      <c r="U11" s="1" t="s">
        <v>44</v>
      </c>
    </row>
    <row r="12" spans="1:23" x14ac:dyDescent="0.2">
      <c r="A12" s="1">
        <v>1</v>
      </c>
      <c r="B12" s="35" t="s">
        <v>798</v>
      </c>
      <c r="C12" s="1" t="s">
        <v>778</v>
      </c>
      <c r="D12" s="1">
        <v>1</v>
      </c>
      <c r="E12" s="1" t="s">
        <v>41</v>
      </c>
      <c r="F12" s="4">
        <v>45350</v>
      </c>
      <c r="G12" s="3">
        <f t="shared" si="0"/>
        <v>0.25112268518518521</v>
      </c>
      <c r="H12" s="6">
        <f>J12+K12</f>
        <v>0.26076388888888891</v>
      </c>
      <c r="I12" s="3">
        <v>1.5069444444444443E-2</v>
      </c>
      <c r="J12" s="6">
        <v>2.4710648148148148E-2</v>
      </c>
      <c r="K12" s="3">
        <v>0.23605324074074074</v>
      </c>
      <c r="L12" s="1" t="s">
        <v>7</v>
      </c>
      <c r="M12" s="1" t="s">
        <v>8</v>
      </c>
      <c r="N12" s="1">
        <v>1</v>
      </c>
      <c r="O12" s="35">
        <v>1</v>
      </c>
      <c r="P12" s="35">
        <v>90</v>
      </c>
      <c r="Q12" s="35">
        <v>90</v>
      </c>
      <c r="R12" s="1">
        <v>57.4</v>
      </c>
      <c r="T12" s="1">
        <v>1</v>
      </c>
      <c r="U12" s="1" t="s">
        <v>42</v>
      </c>
    </row>
    <row r="13" spans="1:23" x14ac:dyDescent="0.2">
      <c r="A13" s="1">
        <v>1</v>
      </c>
      <c r="B13" s="35" t="s">
        <v>798</v>
      </c>
      <c r="C13" s="1" t="s">
        <v>778</v>
      </c>
      <c r="D13" s="1">
        <v>1</v>
      </c>
      <c r="E13" s="1" t="s">
        <v>55</v>
      </c>
      <c r="F13" s="4">
        <v>45350</v>
      </c>
      <c r="G13" s="3">
        <f t="shared" si="0"/>
        <v>0.77673611111111096</v>
      </c>
      <c r="H13" s="6">
        <f>J13+K13</f>
        <v>0.77898148148148139</v>
      </c>
      <c r="I13" s="3">
        <v>1.2719907407407407E-2</v>
      </c>
      <c r="J13" s="6">
        <v>1.4965277777777779E-2</v>
      </c>
      <c r="K13" s="3">
        <v>0.7640162037037036</v>
      </c>
      <c r="L13" s="1" t="s">
        <v>54</v>
      </c>
      <c r="M13" s="1" t="s">
        <v>54</v>
      </c>
      <c r="N13" s="1">
        <v>3</v>
      </c>
      <c r="O13" s="35">
        <v>3</v>
      </c>
      <c r="P13" s="35">
        <v>90</v>
      </c>
      <c r="Q13" s="35">
        <v>90</v>
      </c>
      <c r="R13" s="1">
        <v>57.4</v>
      </c>
      <c r="T13" s="1">
        <v>1</v>
      </c>
      <c r="U13" s="1" t="s">
        <v>56</v>
      </c>
    </row>
    <row r="14" spans="1:23" x14ac:dyDescent="0.2">
      <c r="A14" s="1">
        <v>1</v>
      </c>
      <c r="B14" s="35" t="s">
        <v>798</v>
      </c>
      <c r="C14" s="1" t="s">
        <v>778</v>
      </c>
      <c r="D14" s="1">
        <v>1</v>
      </c>
      <c r="E14" s="1" t="s">
        <v>53</v>
      </c>
      <c r="F14" s="4">
        <v>45351</v>
      </c>
      <c r="G14" s="3">
        <f t="shared" si="0"/>
        <v>0.77805555555555561</v>
      </c>
      <c r="H14" s="6">
        <f>J14+K14</f>
        <v>0.78778935185185184</v>
      </c>
      <c r="I14" s="3">
        <v>2.7071759259259257E-2</v>
      </c>
      <c r="J14" s="6">
        <v>3.6805555555555557E-2</v>
      </c>
      <c r="K14" s="3">
        <v>0.7509837962962963</v>
      </c>
      <c r="L14" s="1" t="s">
        <v>54</v>
      </c>
      <c r="M14" s="1" t="s">
        <v>54</v>
      </c>
      <c r="N14" s="1">
        <v>3</v>
      </c>
      <c r="O14" s="35">
        <v>3</v>
      </c>
      <c r="P14" s="35">
        <v>90</v>
      </c>
      <c r="Q14" s="35">
        <v>90</v>
      </c>
      <c r="R14" s="1">
        <v>57.4</v>
      </c>
      <c r="T14" s="1">
        <v>1</v>
      </c>
    </row>
    <row r="15" spans="1:23" x14ac:dyDescent="0.2">
      <c r="A15" s="1">
        <v>1</v>
      </c>
      <c r="B15" s="35" t="s">
        <v>798</v>
      </c>
      <c r="C15" s="1" t="s">
        <v>778</v>
      </c>
      <c r="D15" s="1" t="s">
        <v>21</v>
      </c>
      <c r="E15" s="1" t="s">
        <v>21</v>
      </c>
      <c r="F15" s="4">
        <v>45351</v>
      </c>
      <c r="G15" s="1" t="s">
        <v>21</v>
      </c>
      <c r="H15" s="6" t="s">
        <v>21</v>
      </c>
      <c r="I15" s="1" t="s">
        <v>21</v>
      </c>
      <c r="J15" s="6" t="s">
        <v>21</v>
      </c>
      <c r="K15" s="1" t="s">
        <v>21</v>
      </c>
      <c r="L15" s="1" t="s">
        <v>54</v>
      </c>
      <c r="M15" s="1" t="s">
        <v>54</v>
      </c>
      <c r="N15" s="1" t="s">
        <v>21</v>
      </c>
      <c r="O15" s="35" t="s">
        <v>21</v>
      </c>
      <c r="P15" s="35">
        <v>90</v>
      </c>
      <c r="Q15" s="35">
        <v>90</v>
      </c>
      <c r="R15" s="1">
        <v>57.4</v>
      </c>
      <c r="T15" s="1" t="s">
        <v>21</v>
      </c>
      <c r="U15" s="1" t="s">
        <v>202</v>
      </c>
    </row>
    <row r="16" spans="1:23" x14ac:dyDescent="0.2">
      <c r="A16" s="1">
        <v>1</v>
      </c>
      <c r="B16" s="35" t="s">
        <v>798</v>
      </c>
      <c r="C16" s="1" t="s">
        <v>778</v>
      </c>
      <c r="D16" s="1">
        <v>1</v>
      </c>
      <c r="E16" s="1" t="s">
        <v>57</v>
      </c>
      <c r="F16" s="4">
        <v>45352</v>
      </c>
      <c r="G16" s="3">
        <f>I16+K16</f>
        <v>0.22674768518518518</v>
      </c>
      <c r="H16" s="6">
        <f>J16+K16</f>
        <v>0.24906249999999999</v>
      </c>
      <c r="I16" s="3">
        <v>6.6782407407407415E-3</v>
      </c>
      <c r="J16" s="6">
        <v>2.8993055555555553E-2</v>
      </c>
      <c r="K16" s="3">
        <v>0.22006944444444443</v>
      </c>
      <c r="L16" s="1" t="s">
        <v>54</v>
      </c>
      <c r="M16" s="1" t="s">
        <v>54</v>
      </c>
      <c r="N16" s="1">
        <v>3</v>
      </c>
      <c r="O16" s="35">
        <v>3</v>
      </c>
      <c r="P16" s="35">
        <v>90</v>
      </c>
      <c r="Q16" s="35">
        <v>90</v>
      </c>
      <c r="R16" s="1">
        <v>57.4</v>
      </c>
      <c r="T16" s="1">
        <v>0</v>
      </c>
    </row>
    <row r="17" spans="1:23" x14ac:dyDescent="0.2">
      <c r="A17" s="1">
        <v>1</v>
      </c>
      <c r="B17" s="35" t="s">
        <v>798</v>
      </c>
      <c r="C17" s="1" t="s">
        <v>778</v>
      </c>
      <c r="D17" s="1">
        <v>2</v>
      </c>
      <c r="E17" s="1" t="s">
        <v>57</v>
      </c>
      <c r="F17" s="4">
        <v>45352</v>
      </c>
      <c r="G17" s="3">
        <f>I17+K17</f>
        <v>0.2519675925925926</v>
      </c>
      <c r="H17" s="6">
        <f>J17+K17</f>
        <v>0.27140046296296294</v>
      </c>
      <c r="I17" s="3">
        <v>3.1898148148148148E-2</v>
      </c>
      <c r="J17" s="6">
        <v>5.1331018518518519E-2</v>
      </c>
      <c r="K17" s="3">
        <v>0.22006944444444443</v>
      </c>
      <c r="L17" s="1" t="s">
        <v>54</v>
      </c>
      <c r="M17" s="1" t="s">
        <v>54</v>
      </c>
      <c r="N17" s="1">
        <v>3</v>
      </c>
      <c r="O17" s="35">
        <v>3</v>
      </c>
      <c r="P17" s="35">
        <v>90</v>
      </c>
      <c r="Q17" s="35">
        <v>90</v>
      </c>
      <c r="R17" s="1">
        <v>57.4</v>
      </c>
      <c r="T17" s="1">
        <v>0</v>
      </c>
      <c r="U17" s="1" t="s">
        <v>58</v>
      </c>
    </row>
    <row r="18" spans="1:23" x14ac:dyDescent="0.2">
      <c r="A18" s="1">
        <v>1</v>
      </c>
      <c r="B18" s="35" t="s">
        <v>798</v>
      </c>
      <c r="C18" s="1" t="s">
        <v>778</v>
      </c>
      <c r="D18" s="1">
        <v>1</v>
      </c>
      <c r="E18" s="1" t="s">
        <v>68</v>
      </c>
      <c r="F18" s="4">
        <v>45352</v>
      </c>
      <c r="G18" s="3">
        <f>I18+K18</f>
        <v>0.77428240740740728</v>
      </c>
      <c r="H18" s="6" t="s">
        <v>21</v>
      </c>
      <c r="I18" s="3">
        <v>2.4259259259259258E-2</v>
      </c>
      <c r="J18" s="6" t="s">
        <v>21</v>
      </c>
      <c r="K18" s="3">
        <v>0.75002314814814808</v>
      </c>
      <c r="L18" s="1" t="s">
        <v>8</v>
      </c>
      <c r="M18" s="1" t="s">
        <v>21</v>
      </c>
      <c r="N18" s="1">
        <v>3</v>
      </c>
      <c r="O18" s="35" t="s">
        <v>21</v>
      </c>
      <c r="P18" s="35">
        <v>90</v>
      </c>
      <c r="Q18" s="35">
        <v>90</v>
      </c>
      <c r="R18" s="1">
        <v>57.4</v>
      </c>
      <c r="S18" s="2" t="s">
        <v>21</v>
      </c>
      <c r="T18" s="1" t="s">
        <v>21</v>
      </c>
      <c r="U18" s="1" t="s">
        <v>69</v>
      </c>
    </row>
    <row r="19" spans="1:23" x14ac:dyDescent="0.2">
      <c r="A19" s="1">
        <v>1</v>
      </c>
      <c r="B19" s="35" t="s">
        <v>798</v>
      </c>
      <c r="C19" s="1" t="s">
        <v>778</v>
      </c>
      <c r="D19" s="1">
        <v>1</v>
      </c>
      <c r="E19" s="1" t="s">
        <v>103</v>
      </c>
      <c r="F19" s="4">
        <v>45353</v>
      </c>
      <c r="G19" s="3">
        <f>I19+K19</f>
        <v>0.24302083333333335</v>
      </c>
      <c r="H19" s="6">
        <f>J19+K19</f>
        <v>0.25237268518518519</v>
      </c>
      <c r="I19" s="3">
        <v>2.3009259259259257E-2</v>
      </c>
      <c r="J19" s="6">
        <v>3.2361111111111111E-2</v>
      </c>
      <c r="K19" s="3">
        <v>0.2200115740740741</v>
      </c>
      <c r="L19" s="1" t="s">
        <v>8</v>
      </c>
      <c r="M19" s="1" t="s">
        <v>7</v>
      </c>
      <c r="N19" s="1">
        <v>3</v>
      </c>
      <c r="O19" s="35">
        <v>3</v>
      </c>
      <c r="P19" s="35">
        <v>90</v>
      </c>
      <c r="Q19" s="35">
        <v>90</v>
      </c>
      <c r="R19" s="1">
        <v>57.4</v>
      </c>
      <c r="S19" s="1">
        <v>115.17</v>
      </c>
      <c r="T19" s="1">
        <v>1</v>
      </c>
      <c r="V19" s="1"/>
    </row>
    <row r="20" spans="1:23" x14ac:dyDescent="0.2">
      <c r="A20" s="1">
        <v>1</v>
      </c>
      <c r="B20" s="35" t="s">
        <v>798</v>
      </c>
      <c r="C20" s="1" t="s">
        <v>778</v>
      </c>
      <c r="D20" s="1" t="s">
        <v>21</v>
      </c>
      <c r="E20" s="1" t="s">
        <v>75</v>
      </c>
      <c r="F20" s="4">
        <v>45353</v>
      </c>
      <c r="G20" s="1" t="s">
        <v>21</v>
      </c>
      <c r="H20" s="6" t="s">
        <v>21</v>
      </c>
      <c r="I20" s="1" t="s">
        <v>21</v>
      </c>
      <c r="J20" s="6" t="s">
        <v>21</v>
      </c>
      <c r="K20" s="3">
        <v>0.74763888888888896</v>
      </c>
      <c r="L20" s="1" t="s">
        <v>7</v>
      </c>
      <c r="M20" s="1" t="s">
        <v>21</v>
      </c>
      <c r="N20" s="1">
        <v>3</v>
      </c>
      <c r="O20" s="35" t="s">
        <v>21</v>
      </c>
      <c r="P20" s="35">
        <v>90</v>
      </c>
      <c r="Q20" s="35">
        <v>90</v>
      </c>
      <c r="R20" s="1">
        <v>57.4</v>
      </c>
      <c r="S20" s="2" t="s">
        <v>21</v>
      </c>
      <c r="T20" s="1" t="s">
        <v>21</v>
      </c>
      <c r="U20" s="1" t="s">
        <v>59</v>
      </c>
    </row>
    <row r="21" spans="1:23" x14ac:dyDescent="0.2">
      <c r="A21" s="1">
        <v>1</v>
      </c>
      <c r="B21" s="35" t="s">
        <v>798</v>
      </c>
      <c r="C21" s="1" t="s">
        <v>778</v>
      </c>
      <c r="D21" s="1">
        <v>1</v>
      </c>
      <c r="E21" s="1" t="s">
        <v>105</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35">
        <v>3</v>
      </c>
      <c r="P21" s="35">
        <v>90</v>
      </c>
      <c r="Q21" s="35">
        <v>90</v>
      </c>
      <c r="R21" s="1">
        <v>57.4</v>
      </c>
      <c r="S21" s="1">
        <v>38.4</v>
      </c>
      <c r="T21" s="1">
        <v>0</v>
      </c>
      <c r="U21" s="1" t="s">
        <v>74</v>
      </c>
      <c r="V21" s="1"/>
    </row>
    <row r="22" spans="1:23" x14ac:dyDescent="0.2">
      <c r="A22" s="1">
        <v>1</v>
      </c>
      <c r="B22" s="35" t="s">
        <v>798</v>
      </c>
      <c r="C22" s="1" t="s">
        <v>778</v>
      </c>
      <c r="D22" s="1" t="s">
        <v>21</v>
      </c>
      <c r="E22" s="1" t="s">
        <v>82</v>
      </c>
      <c r="F22" s="4">
        <v>45354</v>
      </c>
      <c r="G22" s="3">
        <f t="shared" si="1"/>
        <v>0.77482638888888888</v>
      </c>
      <c r="H22" s="6" t="s">
        <v>21</v>
      </c>
      <c r="I22" s="3">
        <v>2.3090277777777779E-2</v>
      </c>
      <c r="J22" s="6" t="s">
        <v>21</v>
      </c>
      <c r="K22" s="3">
        <v>0.75173611111111116</v>
      </c>
      <c r="L22" s="1" t="s">
        <v>8</v>
      </c>
      <c r="M22" s="1" t="s">
        <v>21</v>
      </c>
      <c r="N22" s="1">
        <v>3</v>
      </c>
      <c r="O22" s="35" t="s">
        <v>21</v>
      </c>
      <c r="P22" s="35">
        <v>90</v>
      </c>
      <c r="Q22" s="35">
        <v>90</v>
      </c>
      <c r="R22" s="1">
        <v>57.4</v>
      </c>
      <c r="S22" s="2" t="s">
        <v>21</v>
      </c>
      <c r="T22" s="1" t="s">
        <v>21</v>
      </c>
      <c r="U22" s="1" t="s">
        <v>83</v>
      </c>
    </row>
    <row r="23" spans="1:23" x14ac:dyDescent="0.2">
      <c r="A23" s="1">
        <v>1</v>
      </c>
      <c r="B23" s="35" t="s">
        <v>798</v>
      </c>
      <c r="C23" s="1" t="s">
        <v>778</v>
      </c>
      <c r="D23" s="1">
        <v>1</v>
      </c>
      <c r="E23" s="1" t="s">
        <v>81</v>
      </c>
      <c r="F23" s="4">
        <v>45355</v>
      </c>
      <c r="G23" s="3">
        <f t="shared" si="1"/>
        <v>0.24915509259259261</v>
      </c>
      <c r="H23" s="6">
        <f>J23+K23</f>
        <v>0.25762731481481482</v>
      </c>
      <c r="I23" s="3">
        <v>2.3506944444444445E-2</v>
      </c>
      <c r="J23" s="6">
        <v>3.1979166666666663E-2</v>
      </c>
      <c r="K23" s="3">
        <v>0.22564814814814815</v>
      </c>
      <c r="L23" s="1" t="s">
        <v>8</v>
      </c>
      <c r="M23" s="1" t="s">
        <v>7</v>
      </c>
      <c r="N23" s="1">
        <v>3</v>
      </c>
      <c r="O23" s="35">
        <v>3</v>
      </c>
      <c r="P23" s="35">
        <v>90</v>
      </c>
      <c r="Q23" s="35">
        <v>90</v>
      </c>
      <c r="R23" s="1">
        <v>57.4</v>
      </c>
      <c r="S23" s="1">
        <v>115.17</v>
      </c>
      <c r="T23" s="1">
        <v>1</v>
      </c>
      <c r="V23" s="1"/>
    </row>
    <row r="24" spans="1:23" x14ac:dyDescent="0.2">
      <c r="A24" s="1">
        <v>1</v>
      </c>
      <c r="B24" s="35" t="s">
        <v>798</v>
      </c>
      <c r="C24" s="1" t="s">
        <v>778</v>
      </c>
      <c r="D24" s="1">
        <v>1</v>
      </c>
      <c r="E24" s="1" t="s">
        <v>93</v>
      </c>
      <c r="F24" s="4">
        <v>45355</v>
      </c>
      <c r="G24" s="3">
        <f t="shared" si="1"/>
        <v>0.77473379629629624</v>
      </c>
      <c r="H24" s="6">
        <f>J24+K24</f>
        <v>0.78077546296296285</v>
      </c>
      <c r="I24" s="3">
        <v>2.9641203703703701E-2</v>
      </c>
      <c r="J24" s="6">
        <v>3.5682870370370372E-2</v>
      </c>
      <c r="K24" s="3">
        <v>0.74509259259259253</v>
      </c>
      <c r="L24" s="1" t="s">
        <v>8</v>
      </c>
      <c r="M24" s="1" t="s">
        <v>7</v>
      </c>
      <c r="N24" s="1">
        <v>1</v>
      </c>
      <c r="O24" s="35">
        <v>3</v>
      </c>
      <c r="P24" s="35">
        <v>90</v>
      </c>
      <c r="Q24" s="35">
        <v>90</v>
      </c>
      <c r="R24" s="1">
        <v>57.4</v>
      </c>
      <c r="S24" s="1">
        <v>57.4</v>
      </c>
      <c r="T24" s="1" t="s">
        <v>21</v>
      </c>
      <c r="U24" s="1" t="s">
        <v>94</v>
      </c>
      <c r="V24" s="1"/>
    </row>
    <row r="25" spans="1:23" x14ac:dyDescent="0.2">
      <c r="A25" s="1">
        <v>1</v>
      </c>
      <c r="B25" s="35" t="s">
        <v>798</v>
      </c>
      <c r="C25" s="1" t="s">
        <v>778</v>
      </c>
      <c r="D25" s="1">
        <v>1</v>
      </c>
      <c r="E25" s="1" t="s">
        <v>90</v>
      </c>
      <c r="F25" s="4">
        <v>45356</v>
      </c>
      <c r="G25" s="3">
        <f t="shared" si="1"/>
        <v>0.2457523148148148</v>
      </c>
      <c r="H25" s="6">
        <f>J25+K25</f>
        <v>0.25917824074074075</v>
      </c>
      <c r="I25" s="3">
        <v>2.0208333333333335E-2</v>
      </c>
      <c r="J25" s="6">
        <v>3.363425925925926E-2</v>
      </c>
      <c r="K25" s="3">
        <v>0.22554398148148147</v>
      </c>
      <c r="L25" s="1" t="s">
        <v>7</v>
      </c>
      <c r="M25" s="1" t="s">
        <v>8</v>
      </c>
      <c r="N25" s="1">
        <v>3</v>
      </c>
      <c r="O25" s="35">
        <v>3</v>
      </c>
      <c r="P25" s="35">
        <v>90</v>
      </c>
      <c r="Q25" s="35">
        <v>90</v>
      </c>
      <c r="R25" s="1">
        <v>57.4</v>
      </c>
      <c r="S25" s="1">
        <v>38.4</v>
      </c>
      <c r="T25" s="1">
        <v>0</v>
      </c>
      <c r="U25" s="1" t="s">
        <v>91</v>
      </c>
      <c r="V25" s="1"/>
    </row>
    <row r="26" spans="1:23" x14ac:dyDescent="0.2">
      <c r="A26" s="1">
        <v>1</v>
      </c>
      <c r="B26" s="35" t="s">
        <v>798</v>
      </c>
      <c r="C26" s="1" t="s">
        <v>778</v>
      </c>
      <c r="D26" s="1" t="s">
        <v>21</v>
      </c>
      <c r="E26" s="1" t="s">
        <v>96</v>
      </c>
      <c r="F26" s="4">
        <v>45356</v>
      </c>
      <c r="G26" s="3">
        <f t="shared" si="1"/>
        <v>0.77171296296296288</v>
      </c>
      <c r="H26" s="6" t="s">
        <v>21</v>
      </c>
      <c r="I26" s="3">
        <v>1.6296296296296295E-2</v>
      </c>
      <c r="J26" s="6" t="s">
        <v>21</v>
      </c>
      <c r="K26" s="3">
        <v>0.75541666666666663</v>
      </c>
      <c r="L26" s="1" t="s">
        <v>8</v>
      </c>
      <c r="M26" s="1" t="s">
        <v>21</v>
      </c>
      <c r="N26" s="1">
        <v>3</v>
      </c>
      <c r="O26" s="35" t="s">
        <v>21</v>
      </c>
      <c r="P26" s="35">
        <v>90</v>
      </c>
      <c r="Q26" s="35">
        <v>90</v>
      </c>
      <c r="R26" s="1">
        <v>57.4</v>
      </c>
      <c r="S26" s="2" t="s">
        <v>21</v>
      </c>
      <c r="T26" s="1" t="s">
        <v>21</v>
      </c>
      <c r="U26" s="1" t="s">
        <v>98</v>
      </c>
    </row>
    <row r="27" spans="1:23" x14ac:dyDescent="0.2">
      <c r="A27" s="1">
        <v>1</v>
      </c>
      <c r="B27" s="35" t="s">
        <v>798</v>
      </c>
      <c r="C27" s="1" t="s">
        <v>778</v>
      </c>
      <c r="D27" s="1" t="s">
        <v>21</v>
      </c>
      <c r="E27" s="1" t="s">
        <v>99</v>
      </c>
      <c r="F27" s="4">
        <v>45357</v>
      </c>
      <c r="G27" s="1" t="s">
        <v>21</v>
      </c>
      <c r="H27" s="6" t="s">
        <v>21</v>
      </c>
      <c r="I27" s="1" t="s">
        <v>21</v>
      </c>
      <c r="J27" s="6" t="s">
        <v>21</v>
      </c>
      <c r="K27" s="3">
        <v>0.22777777777777777</v>
      </c>
      <c r="L27" s="1" t="s">
        <v>7</v>
      </c>
      <c r="M27" s="1" t="s">
        <v>21</v>
      </c>
      <c r="N27" s="1">
        <v>3</v>
      </c>
      <c r="O27" s="35" t="s">
        <v>21</v>
      </c>
      <c r="P27" s="35">
        <v>90</v>
      </c>
      <c r="Q27" s="35">
        <v>90</v>
      </c>
      <c r="R27" s="1">
        <v>57.4</v>
      </c>
      <c r="S27" s="2" t="s">
        <v>21</v>
      </c>
      <c r="T27" s="1" t="s">
        <v>21</v>
      </c>
      <c r="U27" s="16" t="s">
        <v>201</v>
      </c>
    </row>
    <row r="28" spans="1:23" s="7" customFormat="1" x14ac:dyDescent="0.2">
      <c r="A28" s="1">
        <v>1</v>
      </c>
      <c r="B28" s="35" t="s">
        <v>798</v>
      </c>
      <c r="C28" s="1" t="s">
        <v>778</v>
      </c>
      <c r="D28" s="1" t="s">
        <v>21</v>
      </c>
      <c r="E28" s="1" t="s">
        <v>107</v>
      </c>
      <c r="F28" s="4">
        <v>45357</v>
      </c>
      <c r="G28" s="1" t="s">
        <v>21</v>
      </c>
      <c r="H28" s="6" t="s">
        <v>21</v>
      </c>
      <c r="I28" s="1" t="s">
        <v>21</v>
      </c>
      <c r="J28" s="6" t="s">
        <v>21</v>
      </c>
      <c r="K28" s="3">
        <v>0.74667824074074074</v>
      </c>
      <c r="L28" s="1" t="s">
        <v>8</v>
      </c>
      <c r="M28" s="1" t="s">
        <v>21</v>
      </c>
      <c r="N28" s="1">
        <v>3</v>
      </c>
      <c r="O28" s="35" t="s">
        <v>21</v>
      </c>
      <c r="P28" s="35">
        <v>90</v>
      </c>
      <c r="Q28" s="35">
        <v>90</v>
      </c>
      <c r="R28" s="1">
        <v>57.4</v>
      </c>
      <c r="S28" s="2" t="s">
        <v>21</v>
      </c>
      <c r="T28" s="1" t="s">
        <v>21</v>
      </c>
      <c r="U28" s="1" t="s">
        <v>108</v>
      </c>
      <c r="V28" s="2"/>
      <c r="W28" s="4"/>
    </row>
    <row r="29" spans="1:23" x14ac:dyDescent="0.2">
      <c r="A29" s="1">
        <v>1</v>
      </c>
      <c r="B29" s="35" t="s">
        <v>798</v>
      </c>
      <c r="C29" s="1" t="s">
        <v>778</v>
      </c>
      <c r="D29" s="1">
        <v>1</v>
      </c>
      <c r="E29" s="1" t="s">
        <v>106</v>
      </c>
      <c r="F29" s="4">
        <v>45358</v>
      </c>
      <c r="G29" s="3">
        <f>I29+K29</f>
        <v>0.24783564814814815</v>
      </c>
      <c r="H29" s="6" t="s">
        <v>21</v>
      </c>
      <c r="I29" s="3">
        <v>2.476851851851852E-2</v>
      </c>
      <c r="J29" s="6" t="s">
        <v>21</v>
      </c>
      <c r="K29" s="3">
        <v>0.22306712962962963</v>
      </c>
      <c r="L29" s="1" t="s">
        <v>8</v>
      </c>
      <c r="M29" s="1" t="s">
        <v>7</v>
      </c>
      <c r="N29" s="1">
        <v>3</v>
      </c>
      <c r="O29" s="35">
        <v>3</v>
      </c>
      <c r="P29" s="35">
        <v>90</v>
      </c>
      <c r="Q29" s="35">
        <v>90</v>
      </c>
      <c r="R29" s="1">
        <v>57.4</v>
      </c>
      <c r="S29" s="1">
        <v>38.4</v>
      </c>
      <c r="T29" s="1" t="s">
        <v>21</v>
      </c>
      <c r="U29" s="1" t="s">
        <v>203</v>
      </c>
      <c r="V29" s="1"/>
    </row>
    <row r="30" spans="1:23" x14ac:dyDescent="0.2">
      <c r="A30" s="1">
        <v>1</v>
      </c>
      <c r="B30" s="35" t="s">
        <v>798</v>
      </c>
      <c r="C30" s="1" t="s">
        <v>778</v>
      </c>
      <c r="D30" s="1">
        <v>1</v>
      </c>
      <c r="E30" s="1" t="s">
        <v>116</v>
      </c>
      <c r="F30" s="4">
        <v>45358</v>
      </c>
      <c r="G30" s="3">
        <f>I30+K30</f>
        <v>0.77120370370370372</v>
      </c>
      <c r="H30" s="6">
        <f>J30+K30</f>
        <v>0.78069444444444447</v>
      </c>
      <c r="I30" s="3">
        <v>1.554398148148148E-2</v>
      </c>
      <c r="J30" s="6">
        <v>2.5034722222222222E-2</v>
      </c>
      <c r="K30" s="3">
        <v>0.75565972222222222</v>
      </c>
      <c r="L30" s="1" t="s">
        <v>7</v>
      </c>
      <c r="M30" s="1" t="s">
        <v>8</v>
      </c>
      <c r="N30" s="1">
        <v>1</v>
      </c>
      <c r="O30" s="35">
        <v>3</v>
      </c>
      <c r="P30" s="35">
        <v>90</v>
      </c>
      <c r="Q30" s="35">
        <v>90</v>
      </c>
      <c r="R30" s="1">
        <v>57.4</v>
      </c>
      <c r="S30" s="1">
        <v>57.4</v>
      </c>
      <c r="T30" s="1">
        <v>1</v>
      </c>
      <c r="U30" s="1" t="s">
        <v>117</v>
      </c>
      <c r="V30" s="1"/>
    </row>
    <row r="31" spans="1:23" x14ac:dyDescent="0.2">
      <c r="A31" s="1">
        <v>1</v>
      </c>
      <c r="B31" s="35" t="s">
        <v>798</v>
      </c>
      <c r="C31" s="1" t="s">
        <v>778</v>
      </c>
      <c r="D31" s="1">
        <v>1</v>
      </c>
      <c r="E31" s="1" t="s">
        <v>114</v>
      </c>
      <c r="F31" s="4">
        <v>45359</v>
      </c>
      <c r="G31" s="3">
        <f>I31+K31</f>
        <v>0.24938657407407405</v>
      </c>
      <c r="H31" s="6" t="s">
        <v>21</v>
      </c>
      <c r="I31" s="3">
        <v>2.2847222222222224E-2</v>
      </c>
      <c r="J31" s="6" t="s">
        <v>21</v>
      </c>
      <c r="K31" s="3">
        <v>0.22653935185185184</v>
      </c>
      <c r="L31" s="1" t="s">
        <v>8</v>
      </c>
      <c r="M31" s="1" t="s">
        <v>21</v>
      </c>
      <c r="N31" s="1">
        <v>3</v>
      </c>
      <c r="O31" s="35" t="s">
        <v>21</v>
      </c>
      <c r="P31" s="35">
        <v>90</v>
      </c>
      <c r="Q31" s="35">
        <v>90</v>
      </c>
      <c r="R31" s="1">
        <v>57.4</v>
      </c>
      <c r="S31" s="2" t="s">
        <v>21</v>
      </c>
      <c r="T31" s="1" t="s">
        <v>21</v>
      </c>
      <c r="U31" s="1" t="s">
        <v>115</v>
      </c>
    </row>
    <row r="32" spans="1:23" x14ac:dyDescent="0.2">
      <c r="A32" s="1">
        <v>1</v>
      </c>
      <c r="B32" s="35" t="s">
        <v>798</v>
      </c>
      <c r="C32" s="1" t="s">
        <v>778</v>
      </c>
      <c r="D32" s="1">
        <v>2</v>
      </c>
      <c r="E32" s="1" t="s">
        <v>114</v>
      </c>
      <c r="F32" s="4">
        <v>45359</v>
      </c>
      <c r="G32" s="3">
        <f>I32+K32</f>
        <v>0.25890046296296293</v>
      </c>
      <c r="H32" s="6">
        <f>J32+K32</f>
        <v>0.27071759259259259</v>
      </c>
      <c r="I32" s="3">
        <v>3.2361111111111111E-2</v>
      </c>
      <c r="J32" s="6">
        <v>4.4178240740740747E-2</v>
      </c>
      <c r="K32" s="3">
        <v>0.22653935185185184</v>
      </c>
      <c r="L32" s="1" t="s">
        <v>7</v>
      </c>
      <c r="M32" s="1" t="s">
        <v>7</v>
      </c>
      <c r="N32" s="1">
        <v>3</v>
      </c>
      <c r="O32" s="35">
        <v>3</v>
      </c>
      <c r="P32" s="35">
        <v>90</v>
      </c>
      <c r="Q32" s="35">
        <v>90</v>
      </c>
      <c r="R32" s="1">
        <v>115.17</v>
      </c>
      <c r="S32" s="1">
        <v>115.17</v>
      </c>
      <c r="T32" s="1">
        <v>0</v>
      </c>
      <c r="U32" s="1" t="s">
        <v>796</v>
      </c>
      <c r="V32" s="1"/>
    </row>
    <row r="33" spans="1:23" x14ac:dyDescent="0.2">
      <c r="A33" s="1">
        <v>1</v>
      </c>
      <c r="B33" s="35" t="s">
        <v>798</v>
      </c>
      <c r="C33" s="1" t="s">
        <v>778</v>
      </c>
      <c r="D33" s="1">
        <v>1</v>
      </c>
      <c r="E33" s="1" t="s">
        <v>133</v>
      </c>
      <c r="F33" s="4">
        <v>45359</v>
      </c>
      <c r="G33" s="3">
        <f>I33+K33</f>
        <v>0.77031250000000007</v>
      </c>
      <c r="H33" s="6">
        <f>J33+K33</f>
        <v>0.78964120370370372</v>
      </c>
      <c r="I33" s="3">
        <v>3.2881944444444443E-2</v>
      </c>
      <c r="J33" s="6">
        <v>5.2210648148148152E-2</v>
      </c>
      <c r="K33" s="3">
        <v>0.73743055555555559</v>
      </c>
      <c r="L33" s="1" t="s">
        <v>7</v>
      </c>
      <c r="M33" s="1" t="s">
        <v>8</v>
      </c>
      <c r="N33" s="1">
        <v>1</v>
      </c>
      <c r="O33" s="35">
        <v>3</v>
      </c>
      <c r="P33" s="35">
        <v>90</v>
      </c>
      <c r="Q33" s="35">
        <v>90</v>
      </c>
      <c r="R33" s="1">
        <v>57.4</v>
      </c>
      <c r="S33" s="1">
        <v>57.4</v>
      </c>
      <c r="T33" s="1">
        <v>1</v>
      </c>
      <c r="V33" s="1"/>
    </row>
    <row r="34" spans="1:23" x14ac:dyDescent="0.2">
      <c r="A34" s="1">
        <v>1</v>
      </c>
      <c r="B34" s="35" t="s">
        <v>798</v>
      </c>
      <c r="C34" s="1" t="s">
        <v>778</v>
      </c>
      <c r="D34" s="1" t="s">
        <v>21</v>
      </c>
      <c r="E34" s="1" t="s">
        <v>21</v>
      </c>
      <c r="F34" s="4">
        <v>45360</v>
      </c>
      <c r="G34" s="1" t="s">
        <v>21</v>
      </c>
      <c r="H34" s="6" t="s">
        <v>21</v>
      </c>
      <c r="I34" s="1" t="s">
        <v>21</v>
      </c>
      <c r="J34" s="6" t="s">
        <v>21</v>
      </c>
      <c r="K34" s="1" t="s">
        <v>21</v>
      </c>
      <c r="N34" s="1" t="s">
        <v>21</v>
      </c>
      <c r="P34" s="35">
        <v>90</v>
      </c>
      <c r="Q34" s="35">
        <v>90</v>
      </c>
      <c r="T34" s="1" t="s">
        <v>21</v>
      </c>
      <c r="U34" s="1" t="s">
        <v>131</v>
      </c>
    </row>
    <row r="35" spans="1:23" x14ac:dyDescent="0.2">
      <c r="A35" s="1">
        <v>1</v>
      </c>
      <c r="B35" s="35" t="s">
        <v>798</v>
      </c>
      <c r="C35" s="1" t="s">
        <v>778</v>
      </c>
      <c r="D35" s="1" t="s">
        <v>21</v>
      </c>
      <c r="E35" s="1" t="s">
        <v>21</v>
      </c>
      <c r="F35" s="4">
        <v>45361</v>
      </c>
      <c r="G35" s="1" t="s">
        <v>21</v>
      </c>
      <c r="H35" s="6" t="s">
        <v>21</v>
      </c>
      <c r="I35" s="1" t="s">
        <v>21</v>
      </c>
      <c r="J35" s="6" t="s">
        <v>21</v>
      </c>
      <c r="K35" s="1" t="s">
        <v>21</v>
      </c>
      <c r="N35" s="1" t="s">
        <v>21</v>
      </c>
      <c r="P35" s="35">
        <v>90</v>
      </c>
      <c r="Q35" s="35">
        <v>90</v>
      </c>
      <c r="T35" s="1" t="s">
        <v>21</v>
      </c>
      <c r="U35" s="1" t="s">
        <v>131</v>
      </c>
    </row>
    <row r="36" spans="1:23" x14ac:dyDescent="0.2">
      <c r="A36" s="1">
        <v>1</v>
      </c>
      <c r="B36" s="35" t="s">
        <v>798</v>
      </c>
      <c r="C36" s="1" t="s">
        <v>778</v>
      </c>
      <c r="D36" s="1">
        <v>1</v>
      </c>
      <c r="E36" s="1" t="s">
        <v>129</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35">
        <v>3</v>
      </c>
      <c r="P36" s="35">
        <v>90</v>
      </c>
      <c r="Q36" s="35">
        <v>90</v>
      </c>
      <c r="R36" s="1">
        <v>57.4</v>
      </c>
      <c r="S36" s="1">
        <v>115.17</v>
      </c>
      <c r="T36" s="1">
        <v>1</v>
      </c>
      <c r="V36" s="1"/>
    </row>
    <row r="37" spans="1:23" x14ac:dyDescent="0.2">
      <c r="A37" s="1">
        <v>1</v>
      </c>
      <c r="B37" s="35" t="s">
        <v>798</v>
      </c>
      <c r="C37" s="1" t="s">
        <v>778</v>
      </c>
      <c r="D37" s="1">
        <v>1</v>
      </c>
      <c r="E37" s="1" t="s">
        <v>130</v>
      </c>
      <c r="F37" s="4">
        <v>45362</v>
      </c>
      <c r="G37" s="1" t="s">
        <v>21</v>
      </c>
      <c r="H37" s="6">
        <f t="shared" si="2"/>
        <v>0.25252314814814814</v>
      </c>
      <c r="I37" s="1" t="s">
        <v>21</v>
      </c>
      <c r="J37" s="6">
        <v>2.5150462962962961E-2</v>
      </c>
      <c r="K37" s="3">
        <v>0.22737268518518519</v>
      </c>
      <c r="L37" s="1" t="s">
        <v>8</v>
      </c>
      <c r="M37" s="1" t="s">
        <v>8</v>
      </c>
      <c r="N37" s="1">
        <v>3</v>
      </c>
      <c r="O37" s="35">
        <v>3</v>
      </c>
      <c r="P37" s="35">
        <v>90</v>
      </c>
      <c r="Q37" s="35">
        <v>90</v>
      </c>
      <c r="R37" s="1">
        <v>57.4</v>
      </c>
      <c r="S37" s="1">
        <v>57.4</v>
      </c>
      <c r="T37" s="1">
        <v>1</v>
      </c>
      <c r="U37" s="1" t="s">
        <v>132</v>
      </c>
      <c r="V37" s="1"/>
    </row>
    <row r="38" spans="1:23" x14ac:dyDescent="0.2">
      <c r="A38" s="1">
        <v>1</v>
      </c>
      <c r="B38" s="35" t="s">
        <v>798</v>
      </c>
      <c r="C38" s="1" t="s">
        <v>778</v>
      </c>
      <c r="D38" s="1">
        <v>2</v>
      </c>
      <c r="E38" s="1" t="s">
        <v>130</v>
      </c>
      <c r="F38" s="4">
        <v>45362</v>
      </c>
      <c r="G38" s="3">
        <f>I38+K38</f>
        <v>0.25458333333333333</v>
      </c>
      <c r="H38" s="6">
        <f t="shared" si="2"/>
        <v>0.26149305555555558</v>
      </c>
      <c r="I38" s="3">
        <v>2.7210648148148147E-2</v>
      </c>
      <c r="J38" s="6">
        <v>3.412037037037037E-2</v>
      </c>
      <c r="K38" s="3">
        <v>0.22737268518518519</v>
      </c>
      <c r="L38" s="1" t="s">
        <v>8</v>
      </c>
      <c r="M38" s="1" t="s">
        <v>7</v>
      </c>
      <c r="N38" s="1">
        <v>3</v>
      </c>
      <c r="O38" s="35">
        <v>3</v>
      </c>
      <c r="P38" s="35">
        <v>90</v>
      </c>
      <c r="Q38" s="35">
        <v>90</v>
      </c>
      <c r="R38" s="1">
        <v>57.4</v>
      </c>
      <c r="S38" s="1">
        <v>38.4</v>
      </c>
      <c r="T38" s="1">
        <v>0</v>
      </c>
      <c r="V38" s="1"/>
    </row>
    <row r="39" spans="1:23" x14ac:dyDescent="0.2">
      <c r="A39" s="1">
        <v>1</v>
      </c>
      <c r="B39" s="35" t="s">
        <v>798</v>
      </c>
      <c r="C39" s="1" t="s">
        <v>778</v>
      </c>
      <c r="D39" s="1">
        <v>1</v>
      </c>
      <c r="E39" s="1" t="s">
        <v>121</v>
      </c>
      <c r="F39" s="4">
        <v>45363</v>
      </c>
      <c r="G39" s="3">
        <f>I39+K39</f>
        <v>0.24520833333333333</v>
      </c>
      <c r="H39" s="6">
        <f t="shared" si="2"/>
        <v>0.25710648148148146</v>
      </c>
      <c r="I39" s="3">
        <v>2.4004629629629629E-2</v>
      </c>
      <c r="J39" s="6">
        <v>3.5902777777777777E-2</v>
      </c>
      <c r="K39" s="3">
        <v>0.22120370370370371</v>
      </c>
      <c r="L39" s="1" t="s">
        <v>8</v>
      </c>
      <c r="M39" s="1" t="s">
        <v>7</v>
      </c>
      <c r="N39" s="1">
        <v>3</v>
      </c>
      <c r="O39" s="35">
        <v>3</v>
      </c>
      <c r="P39" s="35">
        <v>90</v>
      </c>
      <c r="Q39" s="35">
        <v>90</v>
      </c>
      <c r="R39" s="1">
        <v>57.4</v>
      </c>
      <c r="S39" s="1">
        <v>57.4</v>
      </c>
      <c r="T39" s="1">
        <v>0</v>
      </c>
      <c r="V39" s="1"/>
    </row>
    <row r="40" spans="1:23" x14ac:dyDescent="0.2">
      <c r="A40" s="1">
        <v>1</v>
      </c>
      <c r="B40" s="35" t="s">
        <v>798</v>
      </c>
      <c r="C40" s="1" t="s">
        <v>778</v>
      </c>
      <c r="D40" s="1">
        <v>2</v>
      </c>
      <c r="E40" s="1" t="s">
        <v>121</v>
      </c>
      <c r="F40" s="4">
        <v>45363</v>
      </c>
      <c r="G40" s="3">
        <f>I40+K40</f>
        <v>0.25848379629629631</v>
      </c>
      <c r="H40" s="6">
        <f t="shared" si="2"/>
        <v>0.2658449074074074</v>
      </c>
      <c r="I40" s="3">
        <v>3.7280092592592594E-2</v>
      </c>
      <c r="J40" s="6">
        <v>4.4641203703703704E-2</v>
      </c>
      <c r="K40" s="3">
        <v>0.22120370370370371</v>
      </c>
      <c r="L40" s="1" t="s">
        <v>7</v>
      </c>
      <c r="M40" s="1" t="s">
        <v>7</v>
      </c>
      <c r="N40" s="1">
        <v>3</v>
      </c>
      <c r="O40" s="35">
        <v>3</v>
      </c>
      <c r="P40" s="35">
        <v>90</v>
      </c>
      <c r="Q40" s="35">
        <v>90</v>
      </c>
      <c r="R40" s="1">
        <v>57.4</v>
      </c>
      <c r="S40" s="1">
        <v>57.4</v>
      </c>
      <c r="T40" s="1">
        <v>0</v>
      </c>
      <c r="U40" s="1" t="s">
        <v>122</v>
      </c>
      <c r="V40" s="1"/>
    </row>
    <row r="41" spans="1:23" x14ac:dyDescent="0.2">
      <c r="A41" s="1">
        <v>1</v>
      </c>
      <c r="B41" s="35" t="s">
        <v>798</v>
      </c>
      <c r="C41" s="1" t="s">
        <v>778</v>
      </c>
      <c r="D41" s="1">
        <v>1</v>
      </c>
      <c r="E41" s="1" t="s">
        <v>127</v>
      </c>
      <c r="F41" s="4">
        <v>45363</v>
      </c>
      <c r="G41" s="3">
        <f>I41+K41</f>
        <v>0.77039351851851856</v>
      </c>
      <c r="H41" s="6">
        <f t="shared" si="2"/>
        <v>0.77847222222222223</v>
      </c>
      <c r="I41" s="3">
        <v>1.9594907407407405E-2</v>
      </c>
      <c r="J41" s="6">
        <v>2.7673611111111111E-2</v>
      </c>
      <c r="K41" s="3">
        <v>0.75079861111111112</v>
      </c>
      <c r="L41" s="1" t="s">
        <v>7</v>
      </c>
      <c r="M41" s="1" t="s">
        <v>8</v>
      </c>
      <c r="N41" s="1">
        <v>3</v>
      </c>
      <c r="O41" s="35">
        <v>3</v>
      </c>
      <c r="P41" s="35">
        <v>90</v>
      </c>
      <c r="Q41" s="35">
        <v>90</v>
      </c>
      <c r="R41" s="1">
        <v>57.4</v>
      </c>
      <c r="S41" s="1">
        <v>57.4</v>
      </c>
      <c r="T41" s="1">
        <v>1</v>
      </c>
      <c r="V41" s="1"/>
    </row>
    <row r="42" spans="1:23" x14ac:dyDescent="0.2">
      <c r="A42" s="1">
        <v>1</v>
      </c>
      <c r="B42" s="35" t="s">
        <v>798</v>
      </c>
      <c r="C42" s="1" t="s">
        <v>778</v>
      </c>
      <c r="D42" s="1">
        <v>2</v>
      </c>
      <c r="E42" s="1" t="s">
        <v>127</v>
      </c>
      <c r="F42" s="4">
        <v>45363</v>
      </c>
      <c r="G42" s="3">
        <f>I42+K42</f>
        <v>0.77925925925925932</v>
      </c>
      <c r="H42" s="6">
        <f t="shared" si="2"/>
        <v>0.7882986111111111</v>
      </c>
      <c r="I42" s="3">
        <v>2.8460648148148148E-2</v>
      </c>
      <c r="J42" s="6">
        <v>3.7499999999999999E-2</v>
      </c>
      <c r="K42" s="3">
        <v>0.75079861111111112</v>
      </c>
      <c r="L42" s="1" t="s">
        <v>8</v>
      </c>
      <c r="M42" s="1" t="s">
        <v>7</v>
      </c>
      <c r="N42" s="1">
        <v>3</v>
      </c>
      <c r="O42" s="35">
        <v>3</v>
      </c>
      <c r="P42" s="35">
        <v>90</v>
      </c>
      <c r="Q42" s="35">
        <v>90</v>
      </c>
      <c r="R42" s="1">
        <v>57.4</v>
      </c>
      <c r="S42" s="1">
        <v>115.17</v>
      </c>
      <c r="T42" s="1">
        <v>0</v>
      </c>
      <c r="U42" s="1" t="s">
        <v>128</v>
      </c>
      <c r="V42" s="1"/>
    </row>
    <row r="43" spans="1:23" s="7" customFormat="1" x14ac:dyDescent="0.2">
      <c r="A43" s="1">
        <v>1</v>
      </c>
      <c r="B43" s="35" t="s">
        <v>798</v>
      </c>
      <c r="C43" s="1" t="s">
        <v>778</v>
      </c>
      <c r="D43" s="1">
        <v>1</v>
      </c>
      <c r="E43" s="1" t="s">
        <v>138</v>
      </c>
      <c r="F43" s="4">
        <v>45364</v>
      </c>
      <c r="G43" s="1" t="s">
        <v>21</v>
      </c>
      <c r="H43" s="6">
        <f t="shared" si="2"/>
        <v>0.25965277777777779</v>
      </c>
      <c r="I43" s="1" t="s">
        <v>21</v>
      </c>
      <c r="J43" s="6">
        <v>3.0324074074074073E-2</v>
      </c>
      <c r="K43" s="3">
        <v>0.2293287037037037</v>
      </c>
      <c r="L43" s="1" t="s">
        <v>7</v>
      </c>
      <c r="M43" s="1" t="s">
        <v>8</v>
      </c>
      <c r="N43" s="1">
        <v>3</v>
      </c>
      <c r="O43" s="35">
        <v>3</v>
      </c>
      <c r="P43" s="35">
        <v>90</v>
      </c>
      <c r="Q43" s="35">
        <v>90</v>
      </c>
      <c r="R43" s="1">
        <v>115.17</v>
      </c>
      <c r="S43" s="1">
        <v>115.17</v>
      </c>
      <c r="T43" s="1">
        <v>1</v>
      </c>
      <c r="U43" s="1" t="s">
        <v>139</v>
      </c>
      <c r="V43" s="1"/>
      <c r="W43" s="4"/>
    </row>
    <row r="44" spans="1:23" x14ac:dyDescent="0.2">
      <c r="A44" s="1">
        <v>1</v>
      </c>
      <c r="B44" s="35" t="s">
        <v>798</v>
      </c>
      <c r="C44" s="1" t="s">
        <v>778</v>
      </c>
      <c r="D44" s="1">
        <v>1</v>
      </c>
      <c r="E44" s="1" t="s">
        <v>143</v>
      </c>
      <c r="F44" s="4">
        <v>45364</v>
      </c>
      <c r="G44" s="1" t="s">
        <v>21</v>
      </c>
      <c r="H44" s="6">
        <f t="shared" si="2"/>
        <v>0.75667824074074075</v>
      </c>
      <c r="I44" s="1" t="s">
        <v>21</v>
      </c>
      <c r="J44" s="6">
        <v>8.1597222222222227E-3</v>
      </c>
      <c r="K44" s="3">
        <v>0.74851851851851847</v>
      </c>
      <c r="L44" s="1" t="s">
        <v>8</v>
      </c>
      <c r="M44" s="1" t="s">
        <v>8</v>
      </c>
      <c r="N44" s="1">
        <v>3</v>
      </c>
      <c r="O44" s="35">
        <v>3</v>
      </c>
      <c r="P44" s="35">
        <v>90</v>
      </c>
      <c r="Q44" s="35">
        <v>90</v>
      </c>
      <c r="R44" s="1">
        <v>115.17</v>
      </c>
      <c r="S44" s="1">
        <v>115.17</v>
      </c>
      <c r="T44" s="1">
        <v>1</v>
      </c>
      <c r="U44" s="1" t="s">
        <v>144</v>
      </c>
      <c r="V44" s="1"/>
    </row>
    <row r="45" spans="1:23" x14ac:dyDescent="0.2">
      <c r="A45" s="1">
        <v>1</v>
      </c>
      <c r="B45" s="35" t="s">
        <v>798</v>
      </c>
      <c r="C45" s="1" t="s">
        <v>778</v>
      </c>
      <c r="D45" s="1">
        <v>2</v>
      </c>
      <c r="E45" s="1" t="s">
        <v>143</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35">
        <v>3</v>
      </c>
      <c r="P45" s="35">
        <v>90</v>
      </c>
      <c r="Q45" s="35">
        <v>90</v>
      </c>
      <c r="R45" s="1">
        <v>115.17</v>
      </c>
      <c r="S45" s="1">
        <v>115.17</v>
      </c>
      <c r="T45" s="1">
        <v>0</v>
      </c>
      <c r="V45" s="1"/>
    </row>
    <row r="46" spans="1:23" x14ac:dyDescent="0.2">
      <c r="A46" s="1">
        <v>1</v>
      </c>
      <c r="B46" s="35" t="s">
        <v>798</v>
      </c>
      <c r="C46" s="1" t="s">
        <v>778</v>
      </c>
      <c r="D46" s="1">
        <v>1</v>
      </c>
      <c r="E46" s="1" t="s">
        <v>140</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35">
        <v>3</v>
      </c>
      <c r="P46" s="35">
        <v>90</v>
      </c>
      <c r="Q46" s="35">
        <v>90</v>
      </c>
      <c r="R46" s="1">
        <v>115.17</v>
      </c>
      <c r="S46" s="1">
        <v>115.17</v>
      </c>
      <c r="T46" s="1">
        <v>1</v>
      </c>
      <c r="V46" s="1"/>
    </row>
    <row r="47" spans="1:23" x14ac:dyDescent="0.2">
      <c r="A47" s="1">
        <v>1</v>
      </c>
      <c r="B47" s="35" t="s">
        <v>798</v>
      </c>
      <c r="C47" s="1" t="s">
        <v>778</v>
      </c>
      <c r="D47" s="1">
        <v>2</v>
      </c>
      <c r="E47" s="1" t="s">
        <v>140</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35">
        <v>3</v>
      </c>
      <c r="P47" s="35">
        <v>90</v>
      </c>
      <c r="Q47" s="35">
        <v>90</v>
      </c>
      <c r="R47" s="1">
        <v>115.17</v>
      </c>
      <c r="S47" s="1">
        <v>115.17</v>
      </c>
      <c r="T47" s="1">
        <v>0</v>
      </c>
      <c r="U47" s="7" t="s">
        <v>141</v>
      </c>
      <c r="V47" s="1"/>
    </row>
    <row r="48" spans="1:23" x14ac:dyDescent="0.2">
      <c r="A48" s="1">
        <v>1</v>
      </c>
      <c r="B48" s="35" t="s">
        <v>798</v>
      </c>
      <c r="C48" s="1" t="s">
        <v>778</v>
      </c>
      <c r="D48" s="1">
        <v>1</v>
      </c>
      <c r="E48" s="1" t="s">
        <v>142</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35">
        <v>3</v>
      </c>
      <c r="P48" s="35">
        <v>90</v>
      </c>
      <c r="Q48" s="35">
        <v>90</v>
      </c>
      <c r="R48" s="1">
        <v>115.17</v>
      </c>
      <c r="S48" s="1">
        <v>115.17</v>
      </c>
      <c r="T48" s="1">
        <v>0</v>
      </c>
      <c r="V48" s="1"/>
    </row>
    <row r="49" spans="1:22" x14ac:dyDescent="0.2">
      <c r="A49" s="1">
        <v>1</v>
      </c>
      <c r="B49" s="35" t="s">
        <v>798</v>
      </c>
      <c r="C49" s="1" t="s">
        <v>778</v>
      </c>
      <c r="D49" s="1">
        <v>1</v>
      </c>
      <c r="E49" s="1" t="s">
        <v>146</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35">
        <v>3</v>
      </c>
      <c r="P49" s="35">
        <v>90</v>
      </c>
      <c r="Q49" s="35">
        <v>90</v>
      </c>
      <c r="R49" s="1">
        <v>115.17</v>
      </c>
      <c r="S49" s="1">
        <v>115.17</v>
      </c>
      <c r="T49" s="1">
        <v>0</v>
      </c>
      <c r="V49" s="1"/>
    </row>
    <row r="50" spans="1:22" x14ac:dyDescent="0.2">
      <c r="A50" s="1">
        <v>1</v>
      </c>
      <c r="B50" s="35" t="s">
        <v>798</v>
      </c>
      <c r="C50" s="1" t="s">
        <v>778</v>
      </c>
      <c r="D50" s="1">
        <v>2</v>
      </c>
      <c r="E50" s="1" t="s">
        <v>146</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35">
        <v>3</v>
      </c>
      <c r="P50" s="35">
        <v>90</v>
      </c>
      <c r="Q50" s="35">
        <v>90</v>
      </c>
      <c r="R50" s="1">
        <v>115.17</v>
      </c>
      <c r="S50" s="1">
        <v>115.17</v>
      </c>
      <c r="T50" s="1">
        <v>1</v>
      </c>
      <c r="V50" s="1"/>
    </row>
    <row r="51" spans="1:22" x14ac:dyDescent="0.2">
      <c r="A51" s="1">
        <v>1</v>
      </c>
      <c r="B51" s="35" t="s">
        <v>798</v>
      </c>
      <c r="C51" s="1" t="s">
        <v>778</v>
      </c>
      <c r="D51" s="1">
        <v>1</v>
      </c>
      <c r="E51" s="1" t="s">
        <v>147</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35">
        <v>3</v>
      </c>
      <c r="P51" s="35">
        <v>90</v>
      </c>
      <c r="Q51" s="35">
        <v>90</v>
      </c>
      <c r="R51" s="1">
        <v>115.17</v>
      </c>
      <c r="S51" s="1">
        <v>115.17</v>
      </c>
      <c r="T51" s="1">
        <v>0</v>
      </c>
      <c r="V51" s="1"/>
    </row>
    <row r="52" spans="1:22" x14ac:dyDescent="0.2">
      <c r="A52" s="1">
        <v>1</v>
      </c>
      <c r="B52" s="35" t="s">
        <v>798</v>
      </c>
      <c r="C52" s="1" t="s">
        <v>778</v>
      </c>
      <c r="D52" s="1">
        <v>1</v>
      </c>
      <c r="E52" s="1" t="s">
        <v>149</v>
      </c>
      <c r="F52" s="4">
        <v>45367</v>
      </c>
      <c r="G52" s="1" t="s">
        <v>21</v>
      </c>
      <c r="H52" s="6" t="s">
        <v>21</v>
      </c>
      <c r="I52" s="3" t="s">
        <v>21</v>
      </c>
      <c r="J52" s="6" t="s">
        <v>21</v>
      </c>
      <c r="K52" s="3">
        <v>0.24211805555555554</v>
      </c>
      <c r="L52" s="1" t="s">
        <v>7</v>
      </c>
      <c r="M52" s="1" t="s">
        <v>7</v>
      </c>
      <c r="N52" s="1">
        <v>3</v>
      </c>
      <c r="O52" s="35">
        <v>3</v>
      </c>
      <c r="P52" s="35">
        <v>90</v>
      </c>
      <c r="Q52" s="35">
        <v>90</v>
      </c>
      <c r="R52" s="1">
        <v>115.17</v>
      </c>
      <c r="S52" s="1">
        <v>115.17</v>
      </c>
      <c r="T52" s="1" t="s">
        <v>21</v>
      </c>
      <c r="U52" s="1" t="s">
        <v>204</v>
      </c>
      <c r="V52" s="1"/>
    </row>
    <row r="53" spans="1:22" x14ac:dyDescent="0.2">
      <c r="A53" s="1">
        <v>1</v>
      </c>
      <c r="B53" s="35" t="s">
        <v>798</v>
      </c>
      <c r="C53" s="1" t="s">
        <v>778</v>
      </c>
      <c r="D53" s="1">
        <v>2</v>
      </c>
      <c r="E53" s="1" t="s">
        <v>149</v>
      </c>
      <c r="F53" s="4">
        <v>45367</v>
      </c>
      <c r="G53" s="3">
        <f>I53+K53</f>
        <v>0.24408564814814815</v>
      </c>
      <c r="H53" s="6">
        <f>J53+K53</f>
        <v>0.25092592592592594</v>
      </c>
      <c r="I53" s="3">
        <v>1.9675925925925924E-3</v>
      </c>
      <c r="J53" s="6">
        <v>8.8078703703703704E-3</v>
      </c>
      <c r="K53" s="3">
        <v>0.24211805555555554</v>
      </c>
      <c r="L53" s="1" t="s">
        <v>7</v>
      </c>
      <c r="M53" s="1" t="s">
        <v>8</v>
      </c>
      <c r="N53" s="1">
        <v>3</v>
      </c>
      <c r="O53" s="35">
        <v>3</v>
      </c>
      <c r="P53" s="35">
        <v>90</v>
      </c>
      <c r="Q53" s="35">
        <v>90</v>
      </c>
      <c r="R53" s="1">
        <v>115.17</v>
      </c>
      <c r="S53" s="1">
        <v>115.17</v>
      </c>
      <c r="T53" s="1">
        <v>1</v>
      </c>
      <c r="U53" s="1" t="s">
        <v>150</v>
      </c>
      <c r="V53" s="1"/>
    </row>
    <row r="54" spans="1:22" x14ac:dyDescent="0.2">
      <c r="A54" s="1">
        <v>1</v>
      </c>
      <c r="B54" s="35" t="s">
        <v>798</v>
      </c>
      <c r="C54" s="1" t="s">
        <v>778</v>
      </c>
      <c r="D54" s="1">
        <v>3</v>
      </c>
      <c r="E54" s="1" t="s">
        <v>149</v>
      </c>
      <c r="F54" s="4">
        <v>45367</v>
      </c>
      <c r="G54" s="3">
        <f>I54+K54</f>
        <v>0.25238425925925922</v>
      </c>
      <c r="H54" s="6" t="s">
        <v>21</v>
      </c>
      <c r="I54" s="6">
        <v>1.0266203703703704E-2</v>
      </c>
      <c r="J54" s="6" t="s">
        <v>21</v>
      </c>
      <c r="K54" s="3">
        <v>0.24211805555555554</v>
      </c>
      <c r="L54" s="1" t="s">
        <v>8</v>
      </c>
      <c r="M54" s="1" t="s">
        <v>7</v>
      </c>
      <c r="N54" s="1">
        <v>3</v>
      </c>
      <c r="O54" s="35">
        <v>3</v>
      </c>
      <c r="P54" s="35">
        <v>90</v>
      </c>
      <c r="Q54" s="35">
        <v>90</v>
      </c>
      <c r="R54" s="1">
        <v>115.17</v>
      </c>
      <c r="S54" s="1">
        <v>115.17</v>
      </c>
      <c r="T54" s="1" t="s">
        <v>21</v>
      </c>
      <c r="U54" s="1" t="s">
        <v>206</v>
      </c>
      <c r="V54" s="1"/>
    </row>
    <row r="55" spans="1:22" x14ac:dyDescent="0.2">
      <c r="A55" s="1">
        <v>1</v>
      </c>
      <c r="B55" s="35" t="s">
        <v>798</v>
      </c>
      <c r="C55" s="1" t="s">
        <v>778</v>
      </c>
      <c r="D55" s="1">
        <v>1</v>
      </c>
      <c r="E55" s="1" t="s">
        <v>151</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35">
        <v>2</v>
      </c>
      <c r="P55" s="35">
        <v>90</v>
      </c>
      <c r="Q55" s="35">
        <v>90</v>
      </c>
      <c r="R55" s="1">
        <v>115.17</v>
      </c>
      <c r="S55" s="1">
        <v>115.17</v>
      </c>
      <c r="T55" s="1">
        <v>1</v>
      </c>
      <c r="V55" s="1"/>
    </row>
    <row r="56" spans="1:22" x14ac:dyDescent="0.2">
      <c r="A56" s="1">
        <v>1</v>
      </c>
      <c r="B56" s="35" t="s">
        <v>798</v>
      </c>
      <c r="C56" s="1" t="s">
        <v>778</v>
      </c>
      <c r="D56" s="1">
        <v>1</v>
      </c>
      <c r="E56" s="1" t="s">
        <v>156</v>
      </c>
      <c r="F56" s="4">
        <v>45368</v>
      </c>
      <c r="G56" s="1" t="s">
        <v>21</v>
      </c>
      <c r="H56" s="6">
        <f t="shared" si="4"/>
        <v>0.25017361111111114</v>
      </c>
      <c r="I56" s="3" t="s">
        <v>21</v>
      </c>
      <c r="J56" s="6">
        <v>1.982638888888889E-2</v>
      </c>
      <c r="K56" s="3">
        <v>0.23034722222222223</v>
      </c>
      <c r="L56" s="1" t="s">
        <v>8</v>
      </c>
      <c r="M56" s="1" t="s">
        <v>8</v>
      </c>
      <c r="N56" s="1">
        <v>3</v>
      </c>
      <c r="O56" s="35">
        <v>3</v>
      </c>
      <c r="P56" s="35">
        <v>90</v>
      </c>
      <c r="Q56" s="35">
        <v>90</v>
      </c>
      <c r="R56" s="1">
        <v>115.17</v>
      </c>
      <c r="S56" s="1">
        <v>115.17</v>
      </c>
      <c r="T56" s="1">
        <v>1</v>
      </c>
      <c r="U56" s="1" t="s">
        <v>205</v>
      </c>
      <c r="V56" s="1"/>
    </row>
    <row r="57" spans="1:22" x14ac:dyDescent="0.2">
      <c r="A57" s="1">
        <v>1</v>
      </c>
      <c r="B57" s="35" t="s">
        <v>798</v>
      </c>
      <c r="C57" s="1" t="s">
        <v>778</v>
      </c>
      <c r="D57" s="1">
        <v>2</v>
      </c>
      <c r="E57" s="1" t="s">
        <v>156</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35">
        <v>3</v>
      </c>
      <c r="P57" s="35">
        <v>90</v>
      </c>
      <c r="Q57" s="35">
        <v>90</v>
      </c>
      <c r="R57" s="1">
        <v>115.17</v>
      </c>
      <c r="S57" s="1">
        <v>115.17</v>
      </c>
      <c r="T57" s="1">
        <v>0</v>
      </c>
      <c r="U57" s="1" t="s">
        <v>164</v>
      </c>
      <c r="V57" s="1"/>
    </row>
    <row r="58" spans="1:22" x14ac:dyDescent="0.2">
      <c r="A58" s="1">
        <v>1</v>
      </c>
      <c r="B58" s="35" t="s">
        <v>798</v>
      </c>
      <c r="C58" s="1" t="s">
        <v>778</v>
      </c>
      <c r="D58" s="1">
        <v>1</v>
      </c>
      <c r="E58" s="1" t="s">
        <v>162</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35">
        <v>3</v>
      </c>
      <c r="P58" s="35">
        <v>90</v>
      </c>
      <c r="Q58" s="35">
        <v>90</v>
      </c>
      <c r="R58" s="1">
        <v>115.17</v>
      </c>
      <c r="S58" s="1">
        <v>115.17</v>
      </c>
      <c r="T58" s="1">
        <v>1</v>
      </c>
      <c r="V58" s="1"/>
    </row>
    <row r="59" spans="1:22" x14ac:dyDescent="0.2">
      <c r="A59" s="1">
        <v>1</v>
      </c>
      <c r="B59" s="35" t="s">
        <v>798</v>
      </c>
      <c r="C59" s="1" t="s">
        <v>778</v>
      </c>
      <c r="D59" s="1">
        <v>1</v>
      </c>
      <c r="E59" s="1" t="s">
        <v>159</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35">
        <v>3</v>
      </c>
      <c r="P59" s="35">
        <v>90</v>
      </c>
      <c r="Q59" s="35">
        <v>90</v>
      </c>
      <c r="R59" s="1">
        <v>115.17</v>
      </c>
      <c r="S59" s="1">
        <v>115.17</v>
      </c>
      <c r="T59" s="1">
        <v>0</v>
      </c>
      <c r="U59" s="1" t="s">
        <v>160</v>
      </c>
      <c r="V59" s="1"/>
    </row>
    <row r="60" spans="1:22" x14ac:dyDescent="0.2">
      <c r="A60" s="1">
        <v>1</v>
      </c>
      <c r="B60" s="35" t="s">
        <v>798</v>
      </c>
      <c r="C60" s="1" t="s">
        <v>778</v>
      </c>
      <c r="D60" s="1">
        <v>1</v>
      </c>
      <c r="E60" s="1" t="s">
        <v>161</v>
      </c>
      <c r="F60" s="4">
        <v>45369</v>
      </c>
      <c r="G60" s="3">
        <f t="shared" si="5"/>
        <v>0.24137731481481481</v>
      </c>
      <c r="H60" s="6">
        <f t="shared" si="4"/>
        <v>0.24724537037037037</v>
      </c>
      <c r="I60" s="3">
        <v>1.15625E-2</v>
      </c>
      <c r="J60" s="6">
        <v>1.7430555555555557E-2</v>
      </c>
      <c r="K60" s="3">
        <v>0.22981481481481481</v>
      </c>
      <c r="L60" s="1" t="s">
        <v>8</v>
      </c>
      <c r="M60" s="1" t="s">
        <v>7</v>
      </c>
      <c r="N60" s="1">
        <v>3</v>
      </c>
      <c r="O60" s="35">
        <v>3</v>
      </c>
      <c r="P60" s="35">
        <v>90</v>
      </c>
      <c r="Q60" s="35">
        <v>90</v>
      </c>
      <c r="R60" s="1">
        <v>115.17</v>
      </c>
      <c r="S60" s="1">
        <v>115.17</v>
      </c>
      <c r="T60" s="1">
        <v>0</v>
      </c>
      <c r="V60" s="1"/>
    </row>
    <row r="61" spans="1:22" x14ac:dyDescent="0.2">
      <c r="A61" s="1">
        <v>1</v>
      </c>
      <c r="B61" s="35" t="s">
        <v>798</v>
      </c>
      <c r="C61" s="1" t="s">
        <v>778</v>
      </c>
      <c r="D61" s="1">
        <v>2</v>
      </c>
      <c r="E61" s="1" t="s">
        <v>161</v>
      </c>
      <c r="F61" s="4">
        <v>45369</v>
      </c>
      <c r="G61" s="3">
        <f t="shared" si="5"/>
        <v>0.24887731481481482</v>
      </c>
      <c r="H61" s="6">
        <f t="shared" si="4"/>
        <v>0.25831018518518517</v>
      </c>
      <c r="I61" s="3">
        <v>1.90625E-2</v>
      </c>
      <c r="J61" s="6">
        <v>2.8495370370370369E-2</v>
      </c>
      <c r="K61" s="3">
        <v>0.22981481481481481</v>
      </c>
      <c r="L61" s="1" t="s">
        <v>7</v>
      </c>
      <c r="M61" s="1" t="s">
        <v>7</v>
      </c>
      <c r="N61" s="1">
        <v>3</v>
      </c>
      <c r="O61" s="35">
        <v>3</v>
      </c>
      <c r="P61" s="35">
        <v>90</v>
      </c>
      <c r="Q61" s="35">
        <v>90</v>
      </c>
      <c r="R61" s="1">
        <v>115.17</v>
      </c>
      <c r="S61" s="1">
        <v>115.17</v>
      </c>
      <c r="T61" s="1">
        <v>0</v>
      </c>
      <c r="V61" s="1"/>
    </row>
    <row r="62" spans="1:22" x14ac:dyDescent="0.2">
      <c r="A62" s="1">
        <v>1</v>
      </c>
      <c r="B62" s="35" t="s">
        <v>798</v>
      </c>
      <c r="C62" s="1" t="s">
        <v>778</v>
      </c>
      <c r="D62" s="1">
        <v>1</v>
      </c>
      <c r="E62" s="1" t="s">
        <v>157</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35">
        <v>3</v>
      </c>
      <c r="P62" s="35">
        <v>90</v>
      </c>
      <c r="Q62" s="35">
        <v>90</v>
      </c>
      <c r="R62" s="1">
        <v>115.17</v>
      </c>
      <c r="S62" s="1">
        <v>115.17</v>
      </c>
      <c r="T62" s="1">
        <v>1</v>
      </c>
      <c r="U62" s="1" t="s">
        <v>158</v>
      </c>
      <c r="V62" s="1"/>
    </row>
    <row r="63" spans="1:22" x14ac:dyDescent="0.2">
      <c r="A63" s="1">
        <v>1</v>
      </c>
      <c r="B63" s="35" t="s">
        <v>798</v>
      </c>
      <c r="C63" s="1" t="s">
        <v>778</v>
      </c>
      <c r="D63" s="1">
        <v>1</v>
      </c>
      <c r="E63" s="1" t="s">
        <v>188</v>
      </c>
      <c r="F63" s="4">
        <v>45370</v>
      </c>
      <c r="G63" s="3">
        <f t="shared" si="5"/>
        <v>0.77493055555555557</v>
      </c>
      <c r="H63" s="6" t="s">
        <v>21</v>
      </c>
      <c r="I63" s="3">
        <v>1.457175925925926E-2</v>
      </c>
      <c r="J63" s="6" t="s">
        <v>21</v>
      </c>
      <c r="K63" s="3">
        <v>0.76035879629629632</v>
      </c>
      <c r="L63" s="1" t="s">
        <v>7</v>
      </c>
      <c r="M63" s="1" t="s">
        <v>7</v>
      </c>
      <c r="N63" s="1">
        <v>3</v>
      </c>
      <c r="O63" s="35">
        <v>3</v>
      </c>
      <c r="P63" s="35">
        <v>90</v>
      </c>
      <c r="Q63" s="35">
        <v>90</v>
      </c>
      <c r="R63" s="1">
        <v>115.17</v>
      </c>
      <c r="S63" s="1">
        <v>115.17</v>
      </c>
      <c r="T63" s="1" t="s">
        <v>21</v>
      </c>
      <c r="U63" s="1" t="s">
        <v>189</v>
      </c>
      <c r="V63" s="1"/>
    </row>
    <row r="64" spans="1:22" x14ac:dyDescent="0.2">
      <c r="A64" s="1">
        <v>1</v>
      </c>
      <c r="B64" s="35" t="s">
        <v>798</v>
      </c>
      <c r="C64" s="1" t="s">
        <v>778</v>
      </c>
      <c r="D64" s="1" t="s">
        <v>21</v>
      </c>
      <c r="E64" s="1" t="s">
        <v>21</v>
      </c>
      <c r="F64" s="4">
        <v>45371</v>
      </c>
      <c r="G64" s="1" t="s">
        <v>21</v>
      </c>
      <c r="H64" s="6" t="s">
        <v>21</v>
      </c>
      <c r="I64" s="1" t="s">
        <v>21</v>
      </c>
      <c r="J64" s="6" t="s">
        <v>21</v>
      </c>
      <c r="K64" s="1" t="s">
        <v>21</v>
      </c>
      <c r="P64" s="35">
        <v>90</v>
      </c>
      <c r="Q64" s="35">
        <v>90</v>
      </c>
      <c r="U64" s="1" t="s">
        <v>195</v>
      </c>
    </row>
    <row r="65" spans="1:22" x14ac:dyDescent="0.2">
      <c r="A65" s="1">
        <v>1</v>
      </c>
      <c r="B65" s="35" t="s">
        <v>798</v>
      </c>
      <c r="C65" s="1" t="s">
        <v>778</v>
      </c>
      <c r="D65" s="1" t="s">
        <v>21</v>
      </c>
      <c r="E65" s="1" t="s">
        <v>21</v>
      </c>
      <c r="F65" s="4">
        <v>45371</v>
      </c>
      <c r="G65" s="1" t="s">
        <v>21</v>
      </c>
      <c r="H65" s="6" t="s">
        <v>21</v>
      </c>
      <c r="I65" s="1" t="s">
        <v>21</v>
      </c>
      <c r="J65" s="6" t="s">
        <v>21</v>
      </c>
      <c r="K65" s="1" t="s">
        <v>21</v>
      </c>
      <c r="P65" s="35">
        <v>90</v>
      </c>
      <c r="Q65" s="35">
        <v>90</v>
      </c>
      <c r="U65" s="1" t="s">
        <v>198</v>
      </c>
    </row>
    <row r="66" spans="1:22" x14ac:dyDescent="0.2">
      <c r="A66" s="1">
        <v>1</v>
      </c>
      <c r="B66" s="35" t="s">
        <v>798</v>
      </c>
      <c r="C66" s="1" t="s">
        <v>778</v>
      </c>
      <c r="D66" s="1">
        <v>1</v>
      </c>
      <c r="E66" s="1" t="s">
        <v>200</v>
      </c>
      <c r="F66" s="4">
        <v>45372</v>
      </c>
      <c r="G66" s="1" t="s">
        <v>21</v>
      </c>
      <c r="H66" s="6">
        <f>J66+K66</f>
        <v>0.26060185185185186</v>
      </c>
      <c r="I66" s="1" t="s">
        <v>21</v>
      </c>
      <c r="J66" s="6">
        <v>3.425925925925926E-2</v>
      </c>
      <c r="K66" s="3">
        <v>0.2263425925925926</v>
      </c>
      <c r="L66" s="1" t="s">
        <v>7</v>
      </c>
      <c r="M66" s="1" t="s">
        <v>8</v>
      </c>
      <c r="N66" s="1">
        <v>3</v>
      </c>
      <c r="O66" s="35">
        <v>3</v>
      </c>
      <c r="P66" s="35">
        <v>90</v>
      </c>
      <c r="Q66" s="35">
        <v>90</v>
      </c>
      <c r="R66" s="1">
        <v>115.17</v>
      </c>
      <c r="S66" s="1">
        <v>57.4</v>
      </c>
      <c r="T66" s="1" t="s">
        <v>21</v>
      </c>
      <c r="U66" s="1" t="s">
        <v>230</v>
      </c>
      <c r="V66" s="1"/>
    </row>
    <row r="67" spans="1:22" x14ac:dyDescent="0.2">
      <c r="A67" s="1">
        <v>1</v>
      </c>
      <c r="B67" s="35" t="s">
        <v>798</v>
      </c>
      <c r="C67" s="1" t="s">
        <v>778</v>
      </c>
      <c r="D67" s="1">
        <v>1</v>
      </c>
      <c r="E67" s="1" t="s">
        <v>214</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35">
        <v>3</v>
      </c>
      <c r="P67" s="35">
        <v>90</v>
      </c>
      <c r="Q67" s="35">
        <v>90</v>
      </c>
      <c r="R67" s="1">
        <v>115.17</v>
      </c>
      <c r="S67" s="1">
        <v>115.17</v>
      </c>
      <c r="T67" s="1">
        <v>0</v>
      </c>
      <c r="U67" s="1" t="s">
        <v>215</v>
      </c>
      <c r="V67" s="1"/>
    </row>
    <row r="68" spans="1:22" x14ac:dyDescent="0.2">
      <c r="A68" s="1">
        <v>1</v>
      </c>
      <c r="B68" s="35" t="s">
        <v>798</v>
      </c>
      <c r="C68" s="1" t="s">
        <v>778</v>
      </c>
      <c r="D68" s="1">
        <v>2</v>
      </c>
      <c r="E68" s="1" t="s">
        <v>214</v>
      </c>
      <c r="F68" s="4">
        <v>45372</v>
      </c>
      <c r="G68" s="3">
        <f t="shared" si="6"/>
        <v>0.77567129629629628</v>
      </c>
      <c r="H68" s="6" t="s">
        <v>21</v>
      </c>
      <c r="I68" s="3">
        <v>1.1076388888888889E-2</v>
      </c>
      <c r="J68" s="6" t="s">
        <v>21</v>
      </c>
      <c r="K68" s="3">
        <v>0.76459490740740743</v>
      </c>
      <c r="L68" s="1" t="s">
        <v>7</v>
      </c>
      <c r="M68" s="1" t="s">
        <v>7</v>
      </c>
      <c r="N68" s="1">
        <v>3</v>
      </c>
      <c r="O68" s="35">
        <v>3</v>
      </c>
      <c r="P68" s="35">
        <v>90</v>
      </c>
      <c r="Q68" s="35">
        <v>90</v>
      </c>
      <c r="R68" s="1">
        <v>115.17</v>
      </c>
      <c r="S68" s="1">
        <v>115.17</v>
      </c>
      <c r="T68" s="1" t="s">
        <v>21</v>
      </c>
      <c r="U68" s="1" t="s">
        <v>217</v>
      </c>
      <c r="V68" s="1"/>
    </row>
    <row r="69" spans="1:22" x14ac:dyDescent="0.2">
      <c r="A69" s="1">
        <v>1</v>
      </c>
      <c r="B69" s="35" t="s">
        <v>798</v>
      </c>
      <c r="C69" s="1" t="s">
        <v>778</v>
      </c>
      <c r="D69" s="1">
        <v>1</v>
      </c>
      <c r="E69" s="1" t="s">
        <v>218</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35">
        <v>3</v>
      </c>
      <c r="P69" s="35">
        <v>90</v>
      </c>
      <c r="Q69" s="35">
        <v>90</v>
      </c>
      <c r="R69" s="1">
        <v>115.17</v>
      </c>
      <c r="S69" s="1">
        <v>38.4</v>
      </c>
      <c r="T69" s="1">
        <v>1</v>
      </c>
      <c r="V69" s="1"/>
    </row>
    <row r="70" spans="1:22" x14ac:dyDescent="0.2">
      <c r="A70" s="1">
        <v>1</v>
      </c>
      <c r="B70" s="35" t="s">
        <v>798</v>
      </c>
      <c r="C70" s="1" t="s">
        <v>778</v>
      </c>
      <c r="D70" s="1">
        <v>1</v>
      </c>
      <c r="E70" s="1" t="s">
        <v>219</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35">
        <v>3</v>
      </c>
      <c r="P70" s="35">
        <v>90</v>
      </c>
      <c r="Q70" s="35">
        <v>90</v>
      </c>
      <c r="R70" s="1">
        <v>115.17</v>
      </c>
      <c r="S70" s="1">
        <v>115.17</v>
      </c>
      <c r="T70" s="1">
        <v>1</v>
      </c>
      <c r="U70" s="1" t="s">
        <v>220</v>
      </c>
      <c r="V70" s="1"/>
    </row>
    <row r="71" spans="1:22" x14ac:dyDescent="0.2">
      <c r="A71" s="1">
        <v>1</v>
      </c>
      <c r="B71" s="35" t="s">
        <v>798</v>
      </c>
      <c r="C71" s="1" t="s">
        <v>778</v>
      </c>
      <c r="D71" s="1">
        <v>1</v>
      </c>
      <c r="E71" s="1" t="s">
        <v>221</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35">
        <v>3</v>
      </c>
      <c r="P71" s="35">
        <v>90</v>
      </c>
      <c r="Q71" s="35">
        <v>90</v>
      </c>
      <c r="R71" s="1">
        <v>115.17</v>
      </c>
      <c r="S71" s="1">
        <v>38.4</v>
      </c>
      <c r="T71" s="1">
        <v>0</v>
      </c>
      <c r="U71" s="1" t="s">
        <v>222</v>
      </c>
      <c r="V71" s="1"/>
    </row>
    <row r="72" spans="1:22" x14ac:dyDescent="0.2">
      <c r="A72" s="1">
        <v>1</v>
      </c>
      <c r="B72" s="35" t="s">
        <v>798</v>
      </c>
      <c r="C72" s="1" t="s">
        <v>778</v>
      </c>
      <c r="D72" s="1">
        <v>2</v>
      </c>
      <c r="E72" s="1" t="s">
        <v>221</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35">
        <v>3</v>
      </c>
      <c r="P72" s="35">
        <v>90</v>
      </c>
      <c r="Q72" s="35">
        <v>90</v>
      </c>
      <c r="R72" s="1">
        <v>38.4</v>
      </c>
      <c r="S72" s="1">
        <v>38.4</v>
      </c>
      <c r="T72" s="1">
        <v>0</v>
      </c>
      <c r="U72" s="1" t="s">
        <v>223</v>
      </c>
      <c r="V72" s="1"/>
    </row>
    <row r="73" spans="1:22" x14ac:dyDescent="0.2">
      <c r="A73" s="1">
        <v>1</v>
      </c>
      <c r="B73" s="35" t="s">
        <v>798</v>
      </c>
      <c r="C73" s="1" t="s">
        <v>778</v>
      </c>
      <c r="D73" s="1">
        <v>1</v>
      </c>
      <c r="E73" s="1" t="s">
        <v>224</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35">
        <v>3</v>
      </c>
      <c r="P73" s="35">
        <v>90</v>
      </c>
      <c r="Q73" s="35">
        <v>90</v>
      </c>
      <c r="R73" s="1">
        <v>115.17</v>
      </c>
      <c r="S73" s="1">
        <v>115.17</v>
      </c>
      <c r="T73" s="1">
        <v>1</v>
      </c>
      <c r="U73" s="1" t="s">
        <v>225</v>
      </c>
      <c r="V73" s="1"/>
    </row>
    <row r="74" spans="1:22" x14ac:dyDescent="0.2">
      <c r="A74" s="1">
        <v>1</v>
      </c>
      <c r="B74" s="35" t="s">
        <v>798</v>
      </c>
      <c r="C74" s="1" t="s">
        <v>778</v>
      </c>
      <c r="D74" s="1">
        <v>2</v>
      </c>
      <c r="E74" s="1" t="s">
        <v>224</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35">
        <v>3</v>
      </c>
      <c r="P74" s="35">
        <v>90</v>
      </c>
      <c r="Q74" s="35">
        <v>90</v>
      </c>
      <c r="R74" s="1">
        <v>115.17</v>
      </c>
      <c r="S74" s="7">
        <v>115.17</v>
      </c>
      <c r="T74" s="1">
        <v>1</v>
      </c>
      <c r="U74" s="1" t="s">
        <v>226</v>
      </c>
      <c r="V74" s="7"/>
    </row>
    <row r="75" spans="1:22" x14ac:dyDescent="0.2">
      <c r="A75" s="1">
        <v>1</v>
      </c>
      <c r="B75" s="35" t="s">
        <v>798</v>
      </c>
      <c r="C75" s="1" t="s">
        <v>778</v>
      </c>
      <c r="D75" s="1">
        <v>1</v>
      </c>
      <c r="E75" s="1" t="s">
        <v>227</v>
      </c>
      <c r="F75" s="4">
        <v>45375</v>
      </c>
      <c r="G75" s="1" t="s">
        <v>21</v>
      </c>
      <c r="H75" s="6">
        <f t="shared" si="7"/>
        <v>0.26059027777777777</v>
      </c>
      <c r="I75" s="1" t="s">
        <v>21</v>
      </c>
      <c r="J75" s="6">
        <v>3.1377314814814816E-2</v>
      </c>
      <c r="K75" s="3">
        <v>0.22921296296296295</v>
      </c>
      <c r="L75" s="1" t="s">
        <v>8</v>
      </c>
      <c r="M75" s="1" t="s">
        <v>7</v>
      </c>
      <c r="N75" s="1">
        <v>3</v>
      </c>
      <c r="O75" s="35">
        <v>3</v>
      </c>
      <c r="P75" s="35">
        <v>90</v>
      </c>
      <c r="Q75" s="35">
        <v>90</v>
      </c>
      <c r="R75" s="1">
        <v>115.17</v>
      </c>
      <c r="S75" s="7">
        <v>115.17</v>
      </c>
      <c r="T75" s="1">
        <v>0</v>
      </c>
      <c r="U75" s="1" t="s">
        <v>228</v>
      </c>
      <c r="V75" s="7"/>
    </row>
    <row r="76" spans="1:22" x14ac:dyDescent="0.2">
      <c r="A76" s="1">
        <v>1</v>
      </c>
      <c r="B76" s="35" t="s">
        <v>798</v>
      </c>
      <c r="C76" s="1" t="s">
        <v>778</v>
      </c>
      <c r="D76" s="1">
        <v>2</v>
      </c>
      <c r="E76" s="1" t="s">
        <v>227</v>
      </c>
      <c r="F76" s="4">
        <v>45375</v>
      </c>
      <c r="G76" s="3">
        <f>I76+K76</f>
        <v>0.2612962962962963</v>
      </c>
      <c r="H76" s="6" t="s">
        <v>21</v>
      </c>
      <c r="I76" s="3">
        <v>3.2083333333333332E-2</v>
      </c>
      <c r="J76" s="6" t="s">
        <v>21</v>
      </c>
      <c r="K76" s="3">
        <v>0.22921296296296295</v>
      </c>
      <c r="L76" s="1" t="s">
        <v>7</v>
      </c>
      <c r="M76" s="1" t="s">
        <v>7</v>
      </c>
      <c r="N76" s="1">
        <v>3</v>
      </c>
      <c r="O76" s="35">
        <v>3</v>
      </c>
      <c r="P76" s="35">
        <v>90</v>
      </c>
      <c r="Q76" s="35">
        <v>90</v>
      </c>
      <c r="R76" s="1">
        <v>115.17</v>
      </c>
      <c r="S76" s="7">
        <v>115.17</v>
      </c>
      <c r="T76" s="1" t="s">
        <v>21</v>
      </c>
      <c r="U76" s="1" t="s">
        <v>229</v>
      </c>
      <c r="V76" s="7"/>
    </row>
    <row r="77" spans="1:22" x14ac:dyDescent="0.2">
      <c r="A77" s="1">
        <v>1</v>
      </c>
      <c r="B77" s="35" t="s">
        <v>798</v>
      </c>
      <c r="C77" s="1" t="s">
        <v>778</v>
      </c>
      <c r="D77" s="1">
        <v>1</v>
      </c>
      <c r="E77" s="1" t="s">
        <v>238</v>
      </c>
      <c r="F77" s="4">
        <v>45375</v>
      </c>
      <c r="G77" s="3">
        <f>I77+K77</f>
        <v>0.77292824074074074</v>
      </c>
      <c r="H77" s="6">
        <f>J77+K77</f>
        <v>0.7900462962962963</v>
      </c>
      <c r="I77" s="3">
        <v>1.4409722222222223E-2</v>
      </c>
      <c r="J77" s="6">
        <v>3.152777777777778E-2</v>
      </c>
      <c r="K77" s="3">
        <v>0.75851851851851848</v>
      </c>
      <c r="L77" s="1" t="s">
        <v>7</v>
      </c>
      <c r="M77" s="1" t="s">
        <v>8</v>
      </c>
      <c r="N77" s="1">
        <v>3</v>
      </c>
      <c r="O77" s="35">
        <v>3</v>
      </c>
      <c r="P77" s="35">
        <v>90</v>
      </c>
      <c r="Q77" s="35">
        <v>90</v>
      </c>
      <c r="R77" s="1">
        <v>115.17</v>
      </c>
      <c r="S77" s="1">
        <v>57.4</v>
      </c>
      <c r="T77" s="1">
        <v>1</v>
      </c>
      <c r="V77" s="1"/>
    </row>
    <row r="78" spans="1:22" x14ac:dyDescent="0.2">
      <c r="A78" s="1">
        <v>1</v>
      </c>
      <c r="B78" s="35" t="s">
        <v>798</v>
      </c>
      <c r="C78" s="1" t="s">
        <v>778</v>
      </c>
      <c r="D78" s="1">
        <v>1</v>
      </c>
      <c r="E78" s="1" t="s">
        <v>345</v>
      </c>
      <c r="F78" s="4">
        <v>45376</v>
      </c>
      <c r="G78" s="3">
        <f>I78+K78</f>
        <v>0.76637731481481475</v>
      </c>
      <c r="H78" s="6">
        <f>J78+K78</f>
        <v>0.78878472222222218</v>
      </c>
      <c r="I78" s="3">
        <v>1.1284722222222222E-2</v>
      </c>
      <c r="J78" s="6">
        <v>3.3692129629629627E-2</v>
      </c>
      <c r="K78" s="3">
        <v>0.75509259259259254</v>
      </c>
      <c r="L78" s="1" t="s">
        <v>7</v>
      </c>
      <c r="M78" s="1" t="s">
        <v>7</v>
      </c>
      <c r="N78" s="1">
        <v>3</v>
      </c>
      <c r="O78" s="35">
        <v>3</v>
      </c>
      <c r="P78" s="35">
        <v>90</v>
      </c>
      <c r="Q78" s="35">
        <v>90</v>
      </c>
      <c r="R78" s="1">
        <v>115.17</v>
      </c>
      <c r="S78" s="7">
        <v>115.17</v>
      </c>
      <c r="T78" s="1">
        <v>1</v>
      </c>
      <c r="V78" s="7"/>
    </row>
    <row r="79" spans="1:22" x14ac:dyDescent="0.2">
      <c r="A79" s="1">
        <v>1</v>
      </c>
      <c r="B79" s="35" t="s">
        <v>798</v>
      </c>
      <c r="C79" s="1" t="s">
        <v>778</v>
      </c>
      <c r="D79" s="1">
        <v>1</v>
      </c>
      <c r="E79" s="1" t="s">
        <v>239</v>
      </c>
      <c r="F79" s="4">
        <v>45376</v>
      </c>
      <c r="G79" s="3">
        <f>I79+K79</f>
        <v>0.24019675925925926</v>
      </c>
      <c r="H79" s="6">
        <f>J79+K79</f>
        <v>0.2697222222222222</v>
      </c>
      <c r="I79" s="3">
        <v>1.724537037037037E-3</v>
      </c>
      <c r="J79" s="6">
        <v>3.125E-2</v>
      </c>
      <c r="K79" s="3">
        <v>0.23847222222222222</v>
      </c>
      <c r="L79" s="1" t="s">
        <v>8</v>
      </c>
      <c r="M79" s="1" t="s">
        <v>7</v>
      </c>
      <c r="N79" s="1">
        <v>3</v>
      </c>
      <c r="O79" s="35">
        <v>3</v>
      </c>
      <c r="P79" s="35">
        <v>90</v>
      </c>
      <c r="Q79" s="35">
        <v>90</v>
      </c>
      <c r="R79" s="1">
        <v>115.17</v>
      </c>
      <c r="S79" s="1">
        <v>38.4</v>
      </c>
      <c r="T79" s="1">
        <v>0</v>
      </c>
      <c r="V79" s="1"/>
    </row>
    <row r="80" spans="1:22" x14ac:dyDescent="0.2">
      <c r="A80" s="1">
        <v>1</v>
      </c>
      <c r="B80" s="35" t="s">
        <v>798</v>
      </c>
      <c r="C80" s="1" t="s">
        <v>778</v>
      </c>
      <c r="D80" s="1" t="s">
        <v>21</v>
      </c>
      <c r="E80" s="1" t="s">
        <v>21</v>
      </c>
      <c r="F80" s="4">
        <v>45377</v>
      </c>
      <c r="G80" s="1" t="s">
        <v>21</v>
      </c>
      <c r="H80" s="6" t="s">
        <v>21</v>
      </c>
      <c r="I80" s="1" t="s">
        <v>21</v>
      </c>
      <c r="J80" s="6" t="s">
        <v>21</v>
      </c>
      <c r="K80" s="1" t="s">
        <v>21</v>
      </c>
      <c r="L80" s="1" t="s">
        <v>7</v>
      </c>
      <c r="M80" s="1" t="s">
        <v>7</v>
      </c>
      <c r="N80" s="1">
        <v>3</v>
      </c>
      <c r="O80" s="35">
        <v>3</v>
      </c>
      <c r="P80" s="35">
        <v>90</v>
      </c>
      <c r="Q80" s="35">
        <v>90</v>
      </c>
      <c r="R80" s="1">
        <v>115.17</v>
      </c>
      <c r="S80" s="1">
        <v>115.17</v>
      </c>
      <c r="T80" s="1" t="s">
        <v>21</v>
      </c>
      <c r="U80" s="1" t="s">
        <v>240</v>
      </c>
      <c r="V80" s="1"/>
    </row>
    <row r="81" spans="1:22" x14ac:dyDescent="0.2">
      <c r="A81" s="1">
        <v>1</v>
      </c>
      <c r="B81" s="35" t="s">
        <v>798</v>
      </c>
      <c r="C81" s="1" t="s">
        <v>778</v>
      </c>
      <c r="D81" s="1">
        <v>1</v>
      </c>
      <c r="E81" s="1" t="s">
        <v>243</v>
      </c>
      <c r="F81" s="4">
        <v>45377</v>
      </c>
      <c r="G81" s="1" t="s">
        <v>21</v>
      </c>
      <c r="H81" s="6">
        <f t="shared" ref="H81:H93" si="8">J81+K81</f>
        <v>0.25787037037037036</v>
      </c>
      <c r="I81" s="1" t="s">
        <v>21</v>
      </c>
      <c r="J81" s="6">
        <v>2.0104166666666666E-2</v>
      </c>
      <c r="K81" s="3">
        <v>0.23776620370370372</v>
      </c>
      <c r="L81" s="1" t="s">
        <v>8</v>
      </c>
      <c r="M81" s="1" t="s">
        <v>7</v>
      </c>
      <c r="N81" s="1">
        <v>3</v>
      </c>
      <c r="O81" s="35">
        <v>3</v>
      </c>
      <c r="P81" s="35">
        <v>90</v>
      </c>
      <c r="Q81" s="35">
        <v>90</v>
      </c>
      <c r="R81" s="1">
        <v>115.17</v>
      </c>
      <c r="S81" s="1">
        <v>57.4</v>
      </c>
      <c r="T81" s="1">
        <v>1</v>
      </c>
      <c r="U81" s="1" t="s">
        <v>244</v>
      </c>
      <c r="V81" s="1"/>
    </row>
    <row r="82" spans="1:22" x14ac:dyDescent="0.2">
      <c r="A82" s="1">
        <v>1</v>
      </c>
      <c r="B82" s="35" t="s">
        <v>798</v>
      </c>
      <c r="C82" s="1" t="s">
        <v>778</v>
      </c>
      <c r="D82" s="1">
        <v>2</v>
      </c>
      <c r="E82" s="1" t="s">
        <v>243</v>
      </c>
      <c r="F82" s="4">
        <v>45377</v>
      </c>
      <c r="G82" s="3">
        <f>I82+K82</f>
        <v>0.25854166666666667</v>
      </c>
      <c r="H82" s="6">
        <f t="shared" si="8"/>
        <v>0.27064814814814814</v>
      </c>
      <c r="I82" s="3">
        <v>2.0775462962962964E-2</v>
      </c>
      <c r="J82" s="6">
        <v>3.2881944444444443E-2</v>
      </c>
      <c r="K82" s="3">
        <v>0.23776620370370372</v>
      </c>
      <c r="L82" s="1" t="s">
        <v>7</v>
      </c>
      <c r="M82" s="1" t="s">
        <v>7</v>
      </c>
      <c r="N82" s="1">
        <v>3</v>
      </c>
      <c r="O82" s="35">
        <v>3</v>
      </c>
      <c r="P82" s="35">
        <v>90</v>
      </c>
      <c r="Q82" s="35">
        <v>90</v>
      </c>
      <c r="R82" s="1">
        <v>57.4</v>
      </c>
      <c r="S82" s="1">
        <v>57.4</v>
      </c>
      <c r="T82" s="1">
        <v>0</v>
      </c>
      <c r="U82" s="1" t="s">
        <v>245</v>
      </c>
      <c r="V82" s="1"/>
    </row>
    <row r="83" spans="1:22" x14ac:dyDescent="0.2">
      <c r="A83" s="1">
        <v>1</v>
      </c>
      <c r="B83" s="35" t="s">
        <v>798</v>
      </c>
      <c r="C83" s="1" t="s">
        <v>778</v>
      </c>
      <c r="D83" s="1">
        <v>1</v>
      </c>
      <c r="E83" s="1" t="s">
        <v>246</v>
      </c>
      <c r="F83" s="4">
        <v>45378</v>
      </c>
      <c r="G83" s="3">
        <f>I83+K83</f>
        <v>0.24265046296296297</v>
      </c>
      <c r="H83" s="6">
        <f t="shared" si="8"/>
        <v>0.25310185185185186</v>
      </c>
      <c r="I83" s="3">
        <v>1.0231481481481482E-2</v>
      </c>
      <c r="J83" s="6">
        <v>2.0682870370370369E-2</v>
      </c>
      <c r="K83" s="3">
        <v>0.23241898148148149</v>
      </c>
      <c r="L83" s="1" t="s">
        <v>7</v>
      </c>
      <c r="M83" s="1" t="s">
        <v>8</v>
      </c>
      <c r="N83" s="1">
        <v>3</v>
      </c>
      <c r="O83" s="35">
        <v>3</v>
      </c>
      <c r="P83" s="35">
        <v>90</v>
      </c>
      <c r="Q83" s="35">
        <v>90</v>
      </c>
      <c r="R83" s="1">
        <v>115.17</v>
      </c>
      <c r="S83" s="1">
        <v>38.4</v>
      </c>
      <c r="T83" s="1">
        <v>1</v>
      </c>
      <c r="V83" s="1"/>
    </row>
    <row r="84" spans="1:22" x14ac:dyDescent="0.2">
      <c r="A84" s="1">
        <v>1</v>
      </c>
      <c r="B84" s="35" t="s">
        <v>798</v>
      </c>
      <c r="C84" s="1" t="s">
        <v>778</v>
      </c>
      <c r="D84" s="1">
        <v>1</v>
      </c>
      <c r="E84" s="1" t="s">
        <v>288</v>
      </c>
      <c r="F84" s="4">
        <v>45378</v>
      </c>
      <c r="G84" s="3">
        <f>I84+K84</f>
        <v>0.76278935185185193</v>
      </c>
      <c r="H84" s="6">
        <f t="shared" si="8"/>
        <v>0.78462962962962968</v>
      </c>
      <c r="I84" s="3">
        <v>2.4305555555555556E-3</v>
      </c>
      <c r="J84" s="6">
        <v>2.4270833333333332E-2</v>
      </c>
      <c r="K84" s="3">
        <v>0.76035879629629632</v>
      </c>
      <c r="L84" s="1" t="s">
        <v>8</v>
      </c>
      <c r="M84" s="1" t="s">
        <v>7</v>
      </c>
      <c r="N84" s="1">
        <v>3</v>
      </c>
      <c r="O84" s="35">
        <v>3</v>
      </c>
      <c r="P84" s="35">
        <v>90</v>
      </c>
      <c r="Q84" s="35">
        <v>90</v>
      </c>
      <c r="R84" s="1">
        <v>115.17</v>
      </c>
      <c r="S84" s="1">
        <v>115.17</v>
      </c>
      <c r="T84" s="1">
        <v>0</v>
      </c>
      <c r="V84" s="1"/>
    </row>
    <row r="85" spans="1:22" x14ac:dyDescent="0.2">
      <c r="A85" s="1">
        <v>1</v>
      </c>
      <c r="B85" s="35" t="s">
        <v>798</v>
      </c>
      <c r="C85" s="1" t="s">
        <v>778</v>
      </c>
      <c r="D85" s="1">
        <v>1</v>
      </c>
      <c r="E85" s="1" t="s">
        <v>272</v>
      </c>
      <c r="F85" s="4">
        <v>45379</v>
      </c>
      <c r="G85" s="1" t="s">
        <v>21</v>
      </c>
      <c r="H85" s="6">
        <f t="shared" si="8"/>
        <v>0.24640046296296297</v>
      </c>
      <c r="I85" s="1" t="s">
        <v>21</v>
      </c>
      <c r="J85" s="6">
        <v>1.238425925925926E-2</v>
      </c>
      <c r="K85" s="3">
        <v>0.23401620370370371</v>
      </c>
      <c r="L85" s="1" t="s">
        <v>7</v>
      </c>
      <c r="M85" s="1" t="s">
        <v>7</v>
      </c>
      <c r="N85" s="1">
        <v>3</v>
      </c>
      <c r="O85" s="35">
        <v>3</v>
      </c>
      <c r="P85" s="35">
        <v>90</v>
      </c>
      <c r="Q85" s="35">
        <v>90</v>
      </c>
      <c r="R85" s="1">
        <v>115.17</v>
      </c>
      <c r="S85" s="1">
        <v>115.17</v>
      </c>
      <c r="T85" s="1">
        <v>0</v>
      </c>
      <c r="U85" s="1" t="s">
        <v>273</v>
      </c>
      <c r="V85" s="1"/>
    </row>
    <row r="86" spans="1:22" x14ac:dyDescent="0.2">
      <c r="A86" s="1">
        <v>1</v>
      </c>
      <c r="B86" s="35" t="s">
        <v>798</v>
      </c>
      <c r="C86" s="1" t="s">
        <v>778</v>
      </c>
      <c r="D86" s="1">
        <v>2</v>
      </c>
      <c r="E86" s="1" t="s">
        <v>272</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35">
        <v>3</v>
      </c>
      <c r="P86" s="35">
        <v>90</v>
      </c>
      <c r="Q86" s="35">
        <v>90</v>
      </c>
      <c r="R86" s="1">
        <v>115.17</v>
      </c>
      <c r="S86" s="2">
        <v>57.4</v>
      </c>
      <c r="T86" s="1">
        <v>1</v>
      </c>
      <c r="U86" s="1" t="s">
        <v>280</v>
      </c>
    </row>
    <row r="87" spans="1:22" x14ac:dyDescent="0.2">
      <c r="A87" s="1">
        <v>1</v>
      </c>
      <c r="B87" s="35" t="s">
        <v>798</v>
      </c>
      <c r="C87" s="1" t="s">
        <v>778</v>
      </c>
      <c r="D87" s="1">
        <v>3</v>
      </c>
      <c r="E87" s="1" t="s">
        <v>272</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35">
        <v>3</v>
      </c>
      <c r="P87" s="35">
        <v>90</v>
      </c>
      <c r="Q87" s="35">
        <v>90</v>
      </c>
      <c r="R87" s="1">
        <v>115.17</v>
      </c>
      <c r="S87" s="2">
        <v>57.4</v>
      </c>
      <c r="T87" s="1">
        <v>1</v>
      </c>
    </row>
    <row r="88" spans="1:22" x14ac:dyDescent="0.2">
      <c r="A88" s="1">
        <v>1</v>
      </c>
      <c r="B88" s="35" t="s">
        <v>798</v>
      </c>
      <c r="C88" s="1" t="s">
        <v>778</v>
      </c>
      <c r="D88" s="1">
        <v>1</v>
      </c>
      <c r="E88" s="1" t="s">
        <v>283</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35">
        <v>3</v>
      </c>
      <c r="P88" s="35">
        <v>90</v>
      </c>
      <c r="Q88" s="35">
        <v>90</v>
      </c>
      <c r="R88" s="1">
        <v>115.17</v>
      </c>
      <c r="S88" s="1">
        <v>38.4</v>
      </c>
      <c r="T88" s="1">
        <v>0</v>
      </c>
    </row>
    <row r="89" spans="1:22" x14ac:dyDescent="0.2">
      <c r="A89" s="1">
        <v>1</v>
      </c>
      <c r="B89" s="35" t="s">
        <v>798</v>
      </c>
      <c r="C89" s="1" t="s">
        <v>778</v>
      </c>
      <c r="D89" s="1">
        <v>1</v>
      </c>
      <c r="E89" s="1" t="s">
        <v>287</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35">
        <v>3</v>
      </c>
      <c r="P89" s="35">
        <v>90</v>
      </c>
      <c r="Q89" s="35">
        <v>90</v>
      </c>
      <c r="R89" s="1">
        <v>115.17</v>
      </c>
      <c r="S89" s="1">
        <v>115.17</v>
      </c>
      <c r="T89" s="1">
        <v>0</v>
      </c>
      <c r="V89" s="1"/>
    </row>
    <row r="90" spans="1:22" x14ac:dyDescent="0.2">
      <c r="A90" s="1">
        <v>1</v>
      </c>
      <c r="B90" s="35" t="s">
        <v>798</v>
      </c>
      <c r="C90" s="1" t="s">
        <v>778</v>
      </c>
      <c r="D90" s="1">
        <v>2</v>
      </c>
      <c r="E90" s="1" t="s">
        <v>287</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35">
        <v>3</v>
      </c>
      <c r="P90" s="35">
        <v>90</v>
      </c>
      <c r="Q90" s="35">
        <v>90</v>
      </c>
      <c r="R90" s="1">
        <v>115.17</v>
      </c>
      <c r="S90" s="1">
        <v>115.17</v>
      </c>
      <c r="T90" s="1">
        <v>1</v>
      </c>
      <c r="U90" s="1" t="s">
        <v>292</v>
      </c>
      <c r="V90" s="1"/>
    </row>
    <row r="91" spans="1:22" x14ac:dyDescent="0.2">
      <c r="A91" s="1">
        <v>1</v>
      </c>
      <c r="B91" s="35" t="s">
        <v>798</v>
      </c>
      <c r="C91" s="1" t="s">
        <v>778</v>
      </c>
      <c r="D91" s="1">
        <v>1</v>
      </c>
      <c r="E91" s="1" t="s">
        <v>295</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35">
        <v>3</v>
      </c>
      <c r="P91" s="35">
        <v>90</v>
      </c>
      <c r="Q91" s="35">
        <v>90</v>
      </c>
      <c r="R91" s="1">
        <v>115.17</v>
      </c>
      <c r="S91" s="2">
        <v>57.4</v>
      </c>
      <c r="T91" s="1">
        <v>0</v>
      </c>
    </row>
    <row r="92" spans="1:22" x14ac:dyDescent="0.2">
      <c r="A92" s="1">
        <v>1</v>
      </c>
      <c r="B92" s="35" t="s">
        <v>798</v>
      </c>
      <c r="C92" s="1" t="s">
        <v>778</v>
      </c>
      <c r="D92" s="1">
        <v>1</v>
      </c>
      <c r="E92" s="1" t="s">
        <v>297</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35">
        <v>3</v>
      </c>
      <c r="P92" s="35">
        <v>90</v>
      </c>
      <c r="Q92" s="35">
        <v>90</v>
      </c>
      <c r="R92" s="1">
        <v>115.17</v>
      </c>
      <c r="S92" s="1">
        <v>38.4</v>
      </c>
      <c r="T92" s="1">
        <v>0</v>
      </c>
    </row>
    <row r="93" spans="1:22" ht="17" customHeight="1" x14ac:dyDescent="0.2">
      <c r="A93" s="1">
        <v>1</v>
      </c>
      <c r="B93" s="35" t="s">
        <v>798</v>
      </c>
      <c r="C93" s="1" t="s">
        <v>778</v>
      </c>
      <c r="D93" s="1">
        <v>1</v>
      </c>
      <c r="E93" s="1" t="s">
        <v>298</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35">
        <v>3</v>
      </c>
      <c r="P93" s="35">
        <v>90</v>
      </c>
      <c r="Q93" s="35">
        <v>90</v>
      </c>
      <c r="R93" s="1">
        <v>115.17</v>
      </c>
      <c r="S93" s="1">
        <v>115.17</v>
      </c>
      <c r="T93" s="1">
        <v>1</v>
      </c>
      <c r="V93" s="1"/>
    </row>
    <row r="94" spans="1:22" x14ac:dyDescent="0.2">
      <c r="A94" s="1">
        <v>1</v>
      </c>
      <c r="B94" s="35" t="s">
        <v>798</v>
      </c>
      <c r="C94" s="1" t="s">
        <v>778</v>
      </c>
      <c r="D94" s="1" t="s">
        <v>21</v>
      </c>
      <c r="E94" s="1" t="s">
        <v>21</v>
      </c>
      <c r="F94" s="4">
        <v>45382</v>
      </c>
      <c r="G94" s="1" t="s">
        <v>21</v>
      </c>
      <c r="H94" s="6" t="s">
        <v>21</v>
      </c>
      <c r="I94" s="1" t="s">
        <v>21</v>
      </c>
      <c r="J94" s="6" t="s">
        <v>21</v>
      </c>
      <c r="K94" s="1" t="s">
        <v>21</v>
      </c>
      <c r="L94" s="1" t="s">
        <v>8</v>
      </c>
      <c r="M94" s="1" t="s">
        <v>8</v>
      </c>
      <c r="N94" s="1">
        <v>3</v>
      </c>
      <c r="O94" s="35">
        <v>3</v>
      </c>
      <c r="P94" s="35">
        <v>90</v>
      </c>
      <c r="Q94" s="35">
        <v>90</v>
      </c>
      <c r="R94" s="1">
        <v>115.17</v>
      </c>
      <c r="S94" s="1">
        <v>115.17</v>
      </c>
      <c r="T94" s="1" t="s">
        <v>21</v>
      </c>
      <c r="U94" s="1" t="s">
        <v>294</v>
      </c>
      <c r="V94" s="1"/>
    </row>
    <row r="95" spans="1:22" x14ac:dyDescent="0.2">
      <c r="A95" s="1">
        <v>1</v>
      </c>
      <c r="B95" s="35" t="s">
        <v>798</v>
      </c>
      <c r="C95" s="1" t="s">
        <v>778</v>
      </c>
      <c r="D95" s="1">
        <v>1</v>
      </c>
      <c r="E95" s="1" t="s">
        <v>317</v>
      </c>
      <c r="F95" s="4">
        <v>45382</v>
      </c>
      <c r="G95" s="3">
        <f>I95+K95</f>
        <v>0.77482638888888888</v>
      </c>
      <c r="H95" s="6">
        <f>J95+K95</f>
        <v>0.79083333333333328</v>
      </c>
      <c r="I95" s="3">
        <v>1.8761574074074073E-2</v>
      </c>
      <c r="J95" s="6">
        <v>3.4768518518518518E-2</v>
      </c>
      <c r="K95" s="3">
        <v>0.7560648148148148</v>
      </c>
      <c r="L95" s="1" t="s">
        <v>8</v>
      </c>
      <c r="M95" s="1" t="s">
        <v>7</v>
      </c>
      <c r="N95" s="1">
        <v>3</v>
      </c>
      <c r="O95" s="35">
        <v>3</v>
      </c>
      <c r="P95" s="35">
        <v>90</v>
      </c>
      <c r="Q95" s="35">
        <v>90</v>
      </c>
      <c r="R95" s="2">
        <v>115.17</v>
      </c>
      <c r="S95" s="2">
        <v>57.4</v>
      </c>
      <c r="T95" s="1">
        <v>0</v>
      </c>
    </row>
    <row r="96" spans="1:22" x14ac:dyDescent="0.2">
      <c r="A96" s="1">
        <v>1</v>
      </c>
      <c r="B96" s="35" t="s">
        <v>798</v>
      </c>
      <c r="C96" s="1" t="s">
        <v>778</v>
      </c>
      <c r="D96" s="1">
        <v>1</v>
      </c>
      <c r="E96" s="1" t="s">
        <v>316</v>
      </c>
      <c r="F96" s="4">
        <v>45383</v>
      </c>
      <c r="G96" s="3">
        <f>I96+K96</f>
        <v>0.2379398148148148</v>
      </c>
      <c r="H96" s="6" t="s">
        <v>21</v>
      </c>
      <c r="I96" s="3">
        <v>9.6874999999999999E-3</v>
      </c>
      <c r="J96" s="6" t="s">
        <v>21</v>
      </c>
      <c r="K96" s="3">
        <v>0.22825231481481481</v>
      </c>
      <c r="L96" s="1" t="s">
        <v>7</v>
      </c>
      <c r="M96" s="1" t="s">
        <v>7</v>
      </c>
      <c r="N96" s="1">
        <v>3</v>
      </c>
      <c r="O96" s="35">
        <v>3</v>
      </c>
      <c r="P96" s="35">
        <v>90</v>
      </c>
      <c r="Q96" s="35">
        <v>90</v>
      </c>
      <c r="R96" s="1">
        <v>115.17</v>
      </c>
      <c r="S96" s="1">
        <v>115.17</v>
      </c>
      <c r="T96" s="1" t="s">
        <v>21</v>
      </c>
      <c r="U96" s="1" t="s">
        <v>318</v>
      </c>
      <c r="V96" s="1"/>
    </row>
    <row r="97" spans="1:22" x14ac:dyDescent="0.2">
      <c r="A97" s="1">
        <v>1</v>
      </c>
      <c r="B97" s="35" t="s">
        <v>798</v>
      </c>
      <c r="C97" s="1" t="s">
        <v>778</v>
      </c>
      <c r="D97" s="1">
        <v>2</v>
      </c>
      <c r="E97" s="1" t="s">
        <v>316</v>
      </c>
      <c r="F97" s="4">
        <v>45383</v>
      </c>
      <c r="G97" s="3">
        <f>I97+K97</f>
        <v>0.2459837962962963</v>
      </c>
      <c r="H97" s="6">
        <f>J97+K97</f>
        <v>0.26740740740740743</v>
      </c>
      <c r="I97" s="3">
        <v>1.773148148148148E-2</v>
      </c>
      <c r="J97" s="6">
        <v>3.9155092592592596E-2</v>
      </c>
      <c r="K97" s="3">
        <v>0.22825231481481481</v>
      </c>
      <c r="L97" s="1" t="s">
        <v>7</v>
      </c>
      <c r="M97" s="1" t="s">
        <v>8</v>
      </c>
      <c r="N97" s="1">
        <v>3</v>
      </c>
      <c r="O97" s="35">
        <v>3</v>
      </c>
      <c r="P97" s="35">
        <v>90</v>
      </c>
      <c r="Q97" s="35">
        <v>90</v>
      </c>
      <c r="R97" s="2">
        <v>115.17</v>
      </c>
      <c r="S97" s="1">
        <v>38.4</v>
      </c>
      <c r="T97" s="1">
        <v>1</v>
      </c>
    </row>
    <row r="98" spans="1:22" x14ac:dyDescent="0.2">
      <c r="A98" s="1">
        <v>1</v>
      </c>
      <c r="B98" s="35" t="s">
        <v>798</v>
      </c>
      <c r="C98" s="1" t="s">
        <v>778</v>
      </c>
      <c r="D98" s="1" t="s">
        <v>21</v>
      </c>
      <c r="E98" s="1" t="s">
        <v>21</v>
      </c>
      <c r="F98" s="4">
        <v>45383</v>
      </c>
      <c r="G98" s="1" t="s">
        <v>21</v>
      </c>
      <c r="H98" s="6" t="s">
        <v>21</v>
      </c>
      <c r="I98" s="1" t="s">
        <v>21</v>
      </c>
      <c r="J98" s="6" t="s">
        <v>21</v>
      </c>
      <c r="K98" s="1" t="s">
        <v>21</v>
      </c>
      <c r="P98" s="35">
        <v>90</v>
      </c>
      <c r="Q98" s="35">
        <v>90</v>
      </c>
      <c r="T98" s="1" t="s">
        <v>21</v>
      </c>
      <c r="U98" s="1" t="s">
        <v>331</v>
      </c>
    </row>
    <row r="99" spans="1:22" x14ac:dyDescent="0.2">
      <c r="A99" s="1">
        <v>1</v>
      </c>
      <c r="B99" s="35" t="s">
        <v>798</v>
      </c>
      <c r="C99" s="1" t="s">
        <v>778</v>
      </c>
      <c r="D99" s="1" t="s">
        <v>21</v>
      </c>
      <c r="E99" s="1" t="s">
        <v>21</v>
      </c>
      <c r="F99" s="4">
        <v>45384</v>
      </c>
      <c r="G99" s="1" t="s">
        <v>21</v>
      </c>
      <c r="H99" s="6" t="s">
        <v>21</v>
      </c>
      <c r="I99" s="1" t="s">
        <v>21</v>
      </c>
      <c r="J99" s="6" t="s">
        <v>21</v>
      </c>
      <c r="K99" s="1" t="s">
        <v>21</v>
      </c>
      <c r="P99" s="35">
        <v>90</v>
      </c>
      <c r="Q99" s="35">
        <v>90</v>
      </c>
      <c r="T99" s="1" t="s">
        <v>21</v>
      </c>
      <c r="U99" s="1" t="s">
        <v>330</v>
      </c>
    </row>
    <row r="100" spans="1:22" x14ac:dyDescent="0.2">
      <c r="A100" s="1">
        <v>1</v>
      </c>
      <c r="B100" s="35" t="s">
        <v>798</v>
      </c>
      <c r="C100" s="1" t="s">
        <v>778</v>
      </c>
      <c r="D100" s="1" t="s">
        <v>21</v>
      </c>
      <c r="E100" s="1" t="s">
        <v>21</v>
      </c>
      <c r="F100" s="4">
        <v>45384</v>
      </c>
      <c r="G100" s="1" t="s">
        <v>21</v>
      </c>
      <c r="H100" s="1" t="s">
        <v>21</v>
      </c>
      <c r="I100" s="1" t="s">
        <v>21</v>
      </c>
      <c r="K100" s="1" t="s">
        <v>21</v>
      </c>
      <c r="P100" s="35">
        <v>90</v>
      </c>
      <c r="Q100" s="35">
        <v>90</v>
      </c>
      <c r="T100" s="1" t="s">
        <v>21</v>
      </c>
    </row>
    <row r="101" spans="1:22" x14ac:dyDescent="0.2">
      <c r="A101" s="1">
        <v>1</v>
      </c>
      <c r="B101" s="35" t="s">
        <v>798</v>
      </c>
      <c r="C101" s="1" t="s">
        <v>778</v>
      </c>
      <c r="D101" s="1" t="s">
        <v>21</v>
      </c>
      <c r="E101" s="1" t="s">
        <v>21</v>
      </c>
      <c r="F101" s="4">
        <v>45385</v>
      </c>
      <c r="G101" s="1" t="s">
        <v>21</v>
      </c>
      <c r="H101" s="1" t="s">
        <v>21</v>
      </c>
      <c r="I101" s="1" t="s">
        <v>21</v>
      </c>
      <c r="K101" s="1" t="s">
        <v>21</v>
      </c>
      <c r="P101" s="35">
        <v>90</v>
      </c>
      <c r="Q101" s="35">
        <v>90</v>
      </c>
      <c r="T101" s="1" t="s">
        <v>21</v>
      </c>
    </row>
    <row r="102" spans="1:22" x14ac:dyDescent="0.2">
      <c r="A102" s="1">
        <v>1</v>
      </c>
      <c r="B102" s="35" t="s">
        <v>798</v>
      </c>
      <c r="C102" s="1" t="s">
        <v>778</v>
      </c>
      <c r="D102" s="1">
        <v>1</v>
      </c>
      <c r="E102" s="1" t="s">
        <v>355</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35">
        <v>3</v>
      </c>
      <c r="P102" s="35">
        <v>90</v>
      </c>
      <c r="Q102" s="35">
        <v>90</v>
      </c>
      <c r="R102" s="1">
        <v>115.17</v>
      </c>
      <c r="S102" s="1">
        <v>115.17</v>
      </c>
      <c r="T102" s="1">
        <v>1</v>
      </c>
      <c r="V102" s="1"/>
    </row>
    <row r="103" spans="1:22" x14ac:dyDescent="0.2">
      <c r="A103" s="1">
        <v>1</v>
      </c>
      <c r="B103" s="35" t="s">
        <v>798</v>
      </c>
      <c r="C103" s="1" t="s">
        <v>778</v>
      </c>
      <c r="D103" s="1" t="s">
        <v>21</v>
      </c>
      <c r="E103" s="1" t="s">
        <v>21</v>
      </c>
      <c r="F103" s="4">
        <v>45386</v>
      </c>
      <c r="G103" s="3" t="s">
        <v>21</v>
      </c>
      <c r="H103" s="6" t="s">
        <v>21</v>
      </c>
      <c r="I103" s="3" t="s">
        <v>21</v>
      </c>
      <c r="J103" s="6" t="s">
        <v>21</v>
      </c>
      <c r="K103" s="3" t="s">
        <v>21</v>
      </c>
      <c r="N103" s="1">
        <v>3</v>
      </c>
      <c r="O103" s="35">
        <v>3</v>
      </c>
      <c r="P103" s="35">
        <v>90</v>
      </c>
      <c r="Q103" s="35">
        <v>90</v>
      </c>
      <c r="R103" s="1"/>
      <c r="S103" s="1"/>
      <c r="T103" s="1" t="s">
        <v>21</v>
      </c>
      <c r="U103" s="1" t="s">
        <v>377</v>
      </c>
      <c r="V103" s="1"/>
    </row>
    <row r="104" spans="1:22" x14ac:dyDescent="0.2">
      <c r="A104" s="1">
        <v>1</v>
      </c>
      <c r="B104" s="35" t="s">
        <v>798</v>
      </c>
      <c r="C104" s="1" t="s">
        <v>778</v>
      </c>
      <c r="D104" s="1">
        <v>1</v>
      </c>
      <c r="E104" s="1" t="s">
        <v>382</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35">
        <v>3</v>
      </c>
      <c r="P104" s="35">
        <v>90</v>
      </c>
      <c r="Q104" s="35">
        <v>90</v>
      </c>
      <c r="R104" s="1">
        <v>115.17</v>
      </c>
      <c r="S104" s="1">
        <v>115.17</v>
      </c>
      <c r="T104" s="2">
        <v>0</v>
      </c>
      <c r="U104" s="1" t="s">
        <v>383</v>
      </c>
      <c r="V104" s="1"/>
    </row>
    <row r="105" spans="1:22" x14ac:dyDescent="0.2">
      <c r="A105" s="1">
        <v>1</v>
      </c>
      <c r="B105" s="35" t="s">
        <v>798</v>
      </c>
      <c r="C105" s="1" t="s">
        <v>778</v>
      </c>
      <c r="D105" s="1" t="s">
        <v>21</v>
      </c>
      <c r="E105" s="1" t="s">
        <v>21</v>
      </c>
      <c r="F105" s="4">
        <v>45387</v>
      </c>
      <c r="G105" s="1" t="s">
        <v>21</v>
      </c>
      <c r="H105" s="6" t="s">
        <v>21</v>
      </c>
      <c r="I105" s="1" t="s">
        <v>21</v>
      </c>
      <c r="J105" s="6" t="s">
        <v>21</v>
      </c>
      <c r="K105" s="1" t="s">
        <v>21</v>
      </c>
      <c r="N105" s="1">
        <v>3</v>
      </c>
      <c r="O105" s="35">
        <v>3</v>
      </c>
      <c r="P105" s="35">
        <v>90</v>
      </c>
      <c r="Q105" s="35">
        <v>90</v>
      </c>
      <c r="T105" s="1" t="s">
        <v>21</v>
      </c>
    </row>
    <row r="106" spans="1:22" x14ac:dyDescent="0.2">
      <c r="A106" s="1">
        <v>1</v>
      </c>
      <c r="B106" s="35" t="s">
        <v>798</v>
      </c>
      <c r="C106" s="1" t="s">
        <v>778</v>
      </c>
      <c r="D106" s="1">
        <v>1</v>
      </c>
      <c r="E106" s="1" t="s">
        <v>468</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35">
        <v>3</v>
      </c>
      <c r="P106" s="35">
        <v>90</v>
      </c>
      <c r="Q106" s="35">
        <v>90</v>
      </c>
      <c r="R106" s="1">
        <v>115.17</v>
      </c>
      <c r="S106" s="2">
        <v>57.4</v>
      </c>
      <c r="T106" s="1">
        <v>1</v>
      </c>
    </row>
    <row r="107" spans="1:22" x14ac:dyDescent="0.2">
      <c r="A107" s="1">
        <v>1</v>
      </c>
      <c r="B107" s="35" t="s">
        <v>798</v>
      </c>
      <c r="C107" s="1" t="s">
        <v>778</v>
      </c>
      <c r="D107" s="1">
        <v>1</v>
      </c>
      <c r="E107" s="1" t="s">
        <v>467</v>
      </c>
      <c r="F107" s="4">
        <v>45388</v>
      </c>
      <c r="G107" s="1" t="s">
        <v>21</v>
      </c>
      <c r="H107" s="6">
        <f>J107+K107</f>
        <v>0.78626157407407415</v>
      </c>
      <c r="I107" s="1" t="s">
        <v>21</v>
      </c>
      <c r="J107" s="6">
        <v>1.9814814814814816E-2</v>
      </c>
      <c r="K107" s="3">
        <v>0.76644675925925931</v>
      </c>
      <c r="L107" s="1" t="s">
        <v>8</v>
      </c>
      <c r="M107" s="1" t="s">
        <v>8</v>
      </c>
      <c r="N107" s="1">
        <v>3</v>
      </c>
      <c r="O107" s="35">
        <v>3</v>
      </c>
      <c r="P107" s="35">
        <v>90</v>
      </c>
      <c r="Q107" s="35">
        <v>90</v>
      </c>
      <c r="R107" s="1">
        <v>115.17</v>
      </c>
      <c r="S107" s="1">
        <v>115.17</v>
      </c>
      <c r="T107" s="1">
        <v>1</v>
      </c>
      <c r="U107" s="1" t="s">
        <v>144</v>
      </c>
      <c r="V107" s="1"/>
    </row>
    <row r="108" spans="1:22" x14ac:dyDescent="0.2">
      <c r="A108" s="1">
        <v>1</v>
      </c>
      <c r="B108" s="35" t="s">
        <v>798</v>
      </c>
      <c r="C108" s="1" t="s">
        <v>778</v>
      </c>
      <c r="D108" s="1" t="s">
        <v>21</v>
      </c>
      <c r="E108" s="1" t="s">
        <v>21</v>
      </c>
      <c r="F108" s="4">
        <v>45388</v>
      </c>
      <c r="G108" s="1" t="s">
        <v>21</v>
      </c>
      <c r="H108" s="6" t="s">
        <v>21</v>
      </c>
      <c r="I108" s="1" t="s">
        <v>21</v>
      </c>
      <c r="J108" s="6" t="s">
        <v>21</v>
      </c>
      <c r="K108" s="1" t="s">
        <v>21</v>
      </c>
      <c r="P108" s="35">
        <v>90</v>
      </c>
      <c r="Q108" s="35">
        <v>90</v>
      </c>
      <c r="T108" s="1" t="s">
        <v>21</v>
      </c>
    </row>
    <row r="109" spans="1:22" x14ac:dyDescent="0.2">
      <c r="A109" s="1">
        <v>1</v>
      </c>
      <c r="B109" s="35" t="s">
        <v>798</v>
      </c>
      <c r="C109" s="1" t="s">
        <v>778</v>
      </c>
      <c r="D109" s="1">
        <v>1</v>
      </c>
      <c r="E109" s="1" t="s">
        <v>466</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35">
        <v>3</v>
      </c>
      <c r="P109" s="35">
        <v>90</v>
      </c>
      <c r="Q109" s="35">
        <v>90</v>
      </c>
      <c r="R109" s="1">
        <v>115.17</v>
      </c>
      <c r="S109" s="1">
        <v>115.17</v>
      </c>
      <c r="T109" s="1">
        <v>0</v>
      </c>
      <c r="U109" s="1" t="s">
        <v>474</v>
      </c>
      <c r="V109" s="1"/>
    </row>
    <row r="110" spans="1:22" x14ac:dyDescent="0.2">
      <c r="A110" s="1">
        <v>1</v>
      </c>
      <c r="B110" s="35" t="s">
        <v>798</v>
      </c>
      <c r="C110" s="1" t="s">
        <v>778</v>
      </c>
      <c r="D110" s="1">
        <v>1</v>
      </c>
      <c r="E110" s="1" t="s">
        <v>459</v>
      </c>
      <c r="F110" s="4">
        <v>45390</v>
      </c>
      <c r="G110" s="1" t="s">
        <v>21</v>
      </c>
      <c r="H110" s="6">
        <f t="shared" si="10"/>
        <v>0.79108796296296291</v>
      </c>
      <c r="I110" s="1" t="s">
        <v>21</v>
      </c>
      <c r="J110" s="6">
        <v>2.5300925925925925E-2</v>
      </c>
      <c r="K110" s="3">
        <v>0.76578703703703699</v>
      </c>
      <c r="L110" s="1" t="s">
        <v>8</v>
      </c>
      <c r="M110" s="1" t="s">
        <v>7</v>
      </c>
      <c r="N110" s="1">
        <v>3</v>
      </c>
      <c r="O110" s="35">
        <v>3</v>
      </c>
      <c r="P110" s="35">
        <v>90</v>
      </c>
      <c r="Q110" s="35">
        <v>90</v>
      </c>
      <c r="R110" s="1">
        <v>115.17</v>
      </c>
      <c r="S110" s="2">
        <v>57.4</v>
      </c>
      <c r="T110" s="1">
        <v>0</v>
      </c>
      <c r="U110" s="1" t="s">
        <v>461</v>
      </c>
    </row>
    <row r="111" spans="1:22" x14ac:dyDescent="0.2">
      <c r="A111" s="1">
        <v>1</v>
      </c>
      <c r="B111" s="35" t="s">
        <v>798</v>
      </c>
      <c r="C111" s="1" t="s">
        <v>778</v>
      </c>
      <c r="D111" s="1">
        <v>1</v>
      </c>
      <c r="E111" s="1" t="s">
        <v>465</v>
      </c>
      <c r="F111" s="4">
        <v>45390</v>
      </c>
      <c r="G111" s="1" t="s">
        <v>21</v>
      </c>
      <c r="H111" s="6">
        <f t="shared" si="10"/>
        <v>0.24300925925925926</v>
      </c>
      <c r="I111" s="1" t="s">
        <v>21</v>
      </c>
      <c r="J111" s="6">
        <v>1.0937499999999999E-2</v>
      </c>
      <c r="K111" s="3">
        <v>0.23207175925925927</v>
      </c>
      <c r="L111" s="1" t="s">
        <v>7</v>
      </c>
      <c r="M111" s="1" t="s">
        <v>7</v>
      </c>
      <c r="N111" s="1">
        <v>3</v>
      </c>
      <c r="O111" s="35">
        <v>3</v>
      </c>
      <c r="P111" s="35">
        <v>90</v>
      </c>
      <c r="Q111" s="35">
        <v>90</v>
      </c>
      <c r="R111" s="1">
        <v>115.17</v>
      </c>
      <c r="S111" s="1">
        <v>115.17</v>
      </c>
      <c r="T111" s="1">
        <v>0</v>
      </c>
      <c r="U111" s="1" t="s">
        <v>273</v>
      </c>
      <c r="V111" s="1"/>
    </row>
    <row r="112" spans="1:22" x14ac:dyDescent="0.2">
      <c r="A112" s="1">
        <v>1</v>
      </c>
      <c r="B112" s="35" t="s">
        <v>798</v>
      </c>
      <c r="C112" s="1" t="s">
        <v>778</v>
      </c>
      <c r="D112" s="1">
        <v>2</v>
      </c>
      <c r="E112" s="1" t="s">
        <v>465</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35">
        <v>3</v>
      </c>
      <c r="P112" s="35">
        <v>90</v>
      </c>
      <c r="Q112" s="35">
        <v>90</v>
      </c>
      <c r="R112" s="1">
        <v>115.17</v>
      </c>
      <c r="S112" s="2">
        <v>57.4</v>
      </c>
      <c r="T112" s="1">
        <v>1</v>
      </c>
    </row>
    <row r="113" spans="1:23" x14ac:dyDescent="0.2">
      <c r="A113" s="1">
        <v>1</v>
      </c>
      <c r="B113" s="35" t="s">
        <v>798</v>
      </c>
      <c r="C113" s="1" t="s">
        <v>778</v>
      </c>
      <c r="D113" s="1">
        <v>1</v>
      </c>
      <c r="E113" s="1" t="s">
        <v>456</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35">
        <v>3</v>
      </c>
      <c r="P113" s="35">
        <v>90</v>
      </c>
      <c r="Q113" s="35">
        <v>90</v>
      </c>
      <c r="R113" s="1">
        <v>115.17</v>
      </c>
      <c r="S113" s="1">
        <v>38.4</v>
      </c>
      <c r="T113" s="1">
        <v>0</v>
      </c>
    </row>
    <row r="114" spans="1:23" x14ac:dyDescent="0.2">
      <c r="A114" s="1">
        <v>1</v>
      </c>
      <c r="B114" s="35" t="s">
        <v>798</v>
      </c>
      <c r="C114" s="1" t="s">
        <v>778</v>
      </c>
      <c r="D114" s="1">
        <v>1</v>
      </c>
      <c r="E114" s="1" t="s">
        <v>480</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35">
        <v>3</v>
      </c>
      <c r="P114" s="35">
        <v>90</v>
      </c>
      <c r="Q114" s="35">
        <v>90</v>
      </c>
      <c r="R114" s="2">
        <v>115.17</v>
      </c>
      <c r="S114" s="1">
        <v>38.4</v>
      </c>
      <c r="T114" s="1">
        <v>1</v>
      </c>
    </row>
    <row r="115" spans="1:23" x14ac:dyDescent="0.2">
      <c r="A115" s="1">
        <v>1</v>
      </c>
      <c r="B115" s="35" t="s">
        <v>798</v>
      </c>
      <c r="C115" s="1" t="s">
        <v>778</v>
      </c>
      <c r="D115" s="1">
        <v>1</v>
      </c>
      <c r="E115" s="1" t="s">
        <v>66</v>
      </c>
      <c r="F115" s="4">
        <v>45392</v>
      </c>
      <c r="G115" s="1" t="s">
        <v>21</v>
      </c>
      <c r="H115" s="6">
        <f t="shared" si="10"/>
        <v>0.23944444444444443</v>
      </c>
      <c r="I115" s="1" t="s">
        <v>21</v>
      </c>
      <c r="J115" s="6">
        <v>8.564814814814815E-3</v>
      </c>
      <c r="K115" s="3">
        <v>0.23087962962962963</v>
      </c>
      <c r="L115" s="1" t="s">
        <v>8</v>
      </c>
      <c r="M115" s="1" t="s">
        <v>7</v>
      </c>
      <c r="N115" s="1">
        <v>3</v>
      </c>
      <c r="O115" s="35">
        <v>3</v>
      </c>
      <c r="P115" s="35">
        <v>90</v>
      </c>
      <c r="Q115" s="35">
        <v>90</v>
      </c>
      <c r="R115" s="1">
        <v>38.4</v>
      </c>
      <c r="S115" s="1">
        <v>38.4</v>
      </c>
      <c r="T115" s="1">
        <v>0</v>
      </c>
      <c r="U115" s="1" t="s">
        <v>482</v>
      </c>
    </row>
    <row r="116" spans="1:23" x14ac:dyDescent="0.2">
      <c r="A116" s="1">
        <v>1</v>
      </c>
      <c r="B116" s="35" t="s">
        <v>798</v>
      </c>
      <c r="C116" s="1" t="s">
        <v>778</v>
      </c>
      <c r="D116" s="1">
        <v>2</v>
      </c>
      <c r="E116" s="1" t="s">
        <v>66</v>
      </c>
      <c r="F116" s="4">
        <v>45392</v>
      </c>
      <c r="G116" s="3">
        <f>I116+K116</f>
        <v>0.24076388888888889</v>
      </c>
      <c r="H116" s="6" t="s">
        <v>21</v>
      </c>
      <c r="I116" s="3">
        <v>9.8842592592592593E-3</v>
      </c>
      <c r="J116" s="6" t="s">
        <v>21</v>
      </c>
      <c r="K116" s="3">
        <v>0.23087962962962963</v>
      </c>
      <c r="L116" s="1" t="s">
        <v>7</v>
      </c>
      <c r="M116" s="1" t="s">
        <v>7</v>
      </c>
      <c r="N116" s="1">
        <v>3</v>
      </c>
      <c r="O116" s="35">
        <v>3</v>
      </c>
      <c r="P116" s="35">
        <v>90</v>
      </c>
      <c r="Q116" s="35">
        <v>90</v>
      </c>
      <c r="R116" s="1">
        <v>38.4</v>
      </c>
      <c r="S116" s="1">
        <v>38.4</v>
      </c>
      <c r="T116" s="1" t="s">
        <v>21</v>
      </c>
      <c r="U116" s="1" t="s">
        <v>483</v>
      </c>
    </row>
    <row r="117" spans="1:23" x14ac:dyDescent="0.2">
      <c r="A117" s="1">
        <v>1</v>
      </c>
      <c r="B117" s="35" t="s">
        <v>798</v>
      </c>
      <c r="C117" s="1" t="s">
        <v>778</v>
      </c>
      <c r="D117" s="1">
        <v>5</v>
      </c>
      <c r="E117" s="1" t="s">
        <v>65</v>
      </c>
      <c r="F117" s="4">
        <v>45393</v>
      </c>
      <c r="H117" s="6">
        <f t="shared" ref="H117:H126" si="11">J117+K117</f>
        <v>0.27635416666666668</v>
      </c>
      <c r="J117" s="3">
        <v>5.3101851851851851E-2</v>
      </c>
      <c r="K117" s="3">
        <v>0.22325231481481481</v>
      </c>
      <c r="L117" s="1" t="s">
        <v>7</v>
      </c>
      <c r="M117" s="1" t="s">
        <v>7</v>
      </c>
      <c r="N117" s="1">
        <v>3</v>
      </c>
      <c r="O117" s="35">
        <v>3</v>
      </c>
      <c r="P117" s="35">
        <v>90</v>
      </c>
      <c r="Q117" s="35">
        <v>90</v>
      </c>
      <c r="R117" s="1">
        <v>19.2</v>
      </c>
      <c r="S117" s="1">
        <v>19.2</v>
      </c>
      <c r="V117" s="1"/>
    </row>
    <row r="118" spans="1:23" x14ac:dyDescent="0.2">
      <c r="A118" s="1">
        <v>1</v>
      </c>
      <c r="B118" s="35" t="s">
        <v>798</v>
      </c>
      <c r="C118" s="1" t="s">
        <v>778</v>
      </c>
      <c r="D118" s="1">
        <v>4</v>
      </c>
      <c r="E118" s="1" t="s">
        <v>65</v>
      </c>
      <c r="F118" s="4">
        <v>45393</v>
      </c>
      <c r="H118" s="6">
        <f t="shared" si="11"/>
        <v>0.24847222222222221</v>
      </c>
      <c r="J118" s="3">
        <v>2.5219907407407406E-2</v>
      </c>
      <c r="K118" s="3">
        <v>0.22325231481481481</v>
      </c>
      <c r="L118" s="1" t="s">
        <v>7</v>
      </c>
      <c r="M118" s="1" t="s">
        <v>7</v>
      </c>
      <c r="N118" s="1">
        <v>3</v>
      </c>
      <c r="O118" s="35">
        <v>3</v>
      </c>
      <c r="P118" s="35">
        <v>90</v>
      </c>
      <c r="Q118" s="35">
        <v>90</v>
      </c>
      <c r="R118" s="1">
        <v>19.2</v>
      </c>
      <c r="S118" s="1">
        <v>19.2</v>
      </c>
      <c r="V118" s="1"/>
    </row>
    <row r="119" spans="1:23" x14ac:dyDescent="0.2">
      <c r="A119" s="1">
        <v>1</v>
      </c>
      <c r="B119" s="35" t="s">
        <v>798</v>
      </c>
      <c r="C119" s="1" t="s">
        <v>778</v>
      </c>
      <c r="D119" s="1">
        <v>3</v>
      </c>
      <c r="E119" s="1" t="s">
        <v>65</v>
      </c>
      <c r="F119" s="4">
        <v>45393</v>
      </c>
      <c r="H119" s="6">
        <f t="shared" si="11"/>
        <v>0.24243055555555554</v>
      </c>
      <c r="J119" s="3">
        <v>1.9178240740740742E-2</v>
      </c>
      <c r="K119" s="3">
        <v>0.22325231481481481</v>
      </c>
      <c r="L119" s="1" t="s">
        <v>7</v>
      </c>
      <c r="M119" s="1" t="s">
        <v>7</v>
      </c>
      <c r="N119" s="1">
        <v>3</v>
      </c>
      <c r="O119" s="35">
        <v>3</v>
      </c>
      <c r="P119" s="35">
        <v>90</v>
      </c>
      <c r="Q119" s="35">
        <v>90</v>
      </c>
      <c r="R119" s="1">
        <v>19.2</v>
      </c>
      <c r="S119" s="1">
        <v>19.2</v>
      </c>
      <c r="T119" s="1">
        <v>0</v>
      </c>
      <c r="U119" s="1" t="s">
        <v>517</v>
      </c>
      <c r="V119" s="1"/>
    </row>
    <row r="120" spans="1:23" x14ac:dyDescent="0.2">
      <c r="A120" s="1">
        <v>1</v>
      </c>
      <c r="B120" s="35" t="s">
        <v>798</v>
      </c>
      <c r="C120" s="1" t="s">
        <v>778</v>
      </c>
      <c r="D120" s="1">
        <v>2</v>
      </c>
      <c r="E120" s="1" t="s">
        <v>65</v>
      </c>
      <c r="F120" s="4">
        <v>45393</v>
      </c>
      <c r="H120" s="6">
        <f t="shared" si="11"/>
        <v>0.2383912037037037</v>
      </c>
      <c r="J120" s="3">
        <v>1.5138888888888889E-2</v>
      </c>
      <c r="K120" s="3">
        <v>0.22325231481481481</v>
      </c>
      <c r="L120" s="1" t="s">
        <v>7</v>
      </c>
      <c r="M120" s="1" t="s">
        <v>7</v>
      </c>
      <c r="N120" s="1">
        <v>3</v>
      </c>
      <c r="O120" s="35">
        <v>3</v>
      </c>
      <c r="P120" s="35">
        <v>90</v>
      </c>
      <c r="Q120" s="35">
        <v>90</v>
      </c>
      <c r="R120" s="1">
        <v>19.2</v>
      </c>
      <c r="S120" s="1">
        <v>19.2</v>
      </c>
      <c r="T120" s="1">
        <v>0</v>
      </c>
      <c r="V120" s="1"/>
    </row>
    <row r="121" spans="1:23" x14ac:dyDescent="0.2">
      <c r="A121" s="1">
        <v>1</v>
      </c>
      <c r="B121" s="35" t="s">
        <v>798</v>
      </c>
      <c r="C121" s="1" t="s">
        <v>778</v>
      </c>
      <c r="D121" s="1">
        <v>1</v>
      </c>
      <c r="E121" s="1" t="s">
        <v>65</v>
      </c>
      <c r="F121" s="4">
        <v>45393</v>
      </c>
      <c r="H121" s="6">
        <f t="shared" si="11"/>
        <v>0.23265046296296296</v>
      </c>
      <c r="I121" s="3">
        <v>3.8194444444444443E-3</v>
      </c>
      <c r="J121" s="6">
        <v>9.3981481481481485E-3</v>
      </c>
      <c r="K121" s="3">
        <v>0.22325231481481481</v>
      </c>
      <c r="L121" s="1" t="s">
        <v>7</v>
      </c>
      <c r="M121" s="1" t="s">
        <v>7</v>
      </c>
      <c r="N121" s="1">
        <v>3</v>
      </c>
      <c r="O121" s="35">
        <v>3</v>
      </c>
      <c r="P121" s="35">
        <v>90</v>
      </c>
      <c r="Q121" s="35">
        <v>90</v>
      </c>
      <c r="R121" s="1">
        <v>38.4</v>
      </c>
      <c r="S121" s="1">
        <v>38.4</v>
      </c>
      <c r="T121" s="1">
        <v>0</v>
      </c>
      <c r="U121" s="1" t="s">
        <v>516</v>
      </c>
    </row>
    <row r="122" spans="1:23" ht="153" x14ac:dyDescent="0.2">
      <c r="A122" s="1">
        <v>1</v>
      </c>
      <c r="B122" s="35" t="s">
        <v>798</v>
      </c>
      <c r="C122" s="1" t="s">
        <v>778</v>
      </c>
      <c r="D122" s="1">
        <v>1</v>
      </c>
      <c r="E122" s="1" t="s">
        <v>73</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35">
        <v>3</v>
      </c>
      <c r="P122" s="35">
        <v>90</v>
      </c>
      <c r="Q122" s="35">
        <v>90</v>
      </c>
      <c r="R122" s="2">
        <v>19.2</v>
      </c>
      <c r="S122" s="2">
        <v>19.2</v>
      </c>
      <c r="T122" s="1" t="s">
        <v>21</v>
      </c>
      <c r="U122" s="24" t="s">
        <v>513</v>
      </c>
    </row>
    <row r="123" spans="1:23" x14ac:dyDescent="0.2">
      <c r="A123" s="1">
        <v>1</v>
      </c>
      <c r="B123" s="35" t="s">
        <v>798</v>
      </c>
      <c r="C123" s="1" t="s">
        <v>778</v>
      </c>
      <c r="D123" s="1">
        <v>3</v>
      </c>
      <c r="E123" s="1" t="s">
        <v>72</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35">
        <v>3</v>
      </c>
      <c r="P123" s="35">
        <v>90</v>
      </c>
      <c r="Q123" s="35">
        <v>90</v>
      </c>
      <c r="R123" s="2">
        <v>19.2</v>
      </c>
      <c r="S123" s="2">
        <v>19.2</v>
      </c>
      <c r="T123" s="1">
        <v>1</v>
      </c>
      <c r="W123" s="23"/>
    </row>
    <row r="124" spans="1:23" x14ac:dyDescent="0.2">
      <c r="A124" s="1">
        <v>1</v>
      </c>
      <c r="B124" s="35" t="s">
        <v>798</v>
      </c>
      <c r="C124" s="1" t="s">
        <v>778</v>
      </c>
      <c r="D124" s="1">
        <v>2</v>
      </c>
      <c r="E124" s="1" t="s">
        <v>72</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35">
        <v>3</v>
      </c>
      <c r="P124" s="35">
        <v>90</v>
      </c>
      <c r="Q124" s="35">
        <v>90</v>
      </c>
      <c r="R124" s="2">
        <v>19.2</v>
      </c>
      <c r="S124" s="2">
        <v>19.2</v>
      </c>
      <c r="T124" s="1">
        <v>1</v>
      </c>
      <c r="W124" s="23"/>
    </row>
    <row r="125" spans="1:23" x14ac:dyDescent="0.2">
      <c r="A125" s="1">
        <v>1</v>
      </c>
      <c r="B125" s="35" t="s">
        <v>798</v>
      </c>
      <c r="C125" s="1" t="s">
        <v>778</v>
      </c>
      <c r="D125" s="1">
        <v>1</v>
      </c>
      <c r="E125" s="1" t="s">
        <v>72</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35">
        <v>3</v>
      </c>
      <c r="P125" s="35">
        <v>90</v>
      </c>
      <c r="Q125" s="35">
        <v>90</v>
      </c>
      <c r="R125" s="2">
        <v>19.2</v>
      </c>
      <c r="S125" s="2">
        <v>19.2</v>
      </c>
      <c r="T125" s="1">
        <v>1</v>
      </c>
      <c r="U125" s="1" t="s">
        <v>512</v>
      </c>
      <c r="W125" s="23"/>
    </row>
    <row r="126" spans="1:23" x14ac:dyDescent="0.2">
      <c r="A126" s="1">
        <v>1</v>
      </c>
      <c r="B126" s="35" t="s">
        <v>798</v>
      </c>
      <c r="C126" s="1" t="s">
        <v>778</v>
      </c>
      <c r="D126" s="1">
        <v>1</v>
      </c>
      <c r="E126" s="1" t="s">
        <v>79</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35">
        <v>2</v>
      </c>
      <c r="P126" s="35">
        <v>90</v>
      </c>
      <c r="Q126" s="35">
        <v>90</v>
      </c>
      <c r="R126" s="2">
        <v>19.2</v>
      </c>
      <c r="S126" s="2">
        <v>57.4</v>
      </c>
      <c r="T126" s="1">
        <v>0</v>
      </c>
      <c r="W126" s="23"/>
    </row>
    <row r="127" spans="1:23" x14ac:dyDescent="0.2">
      <c r="A127" s="1">
        <v>1</v>
      </c>
      <c r="B127" s="35" t="s">
        <v>798</v>
      </c>
      <c r="C127" s="1" t="s">
        <v>778</v>
      </c>
      <c r="D127" s="1" t="s">
        <v>21</v>
      </c>
      <c r="E127" s="1" t="s">
        <v>21</v>
      </c>
      <c r="F127" s="4">
        <v>45395</v>
      </c>
      <c r="G127" s="1" t="s">
        <v>21</v>
      </c>
      <c r="H127" s="1" t="s">
        <v>21</v>
      </c>
      <c r="I127" s="1" t="s">
        <v>21</v>
      </c>
      <c r="J127" s="1" t="s">
        <v>21</v>
      </c>
      <c r="K127" s="1" t="s">
        <v>21</v>
      </c>
      <c r="P127" s="35">
        <v>90</v>
      </c>
      <c r="Q127" s="35">
        <v>90</v>
      </c>
      <c r="R127" s="1">
        <v>38.4</v>
      </c>
      <c r="S127" s="1">
        <v>38.4</v>
      </c>
      <c r="T127" s="1" t="s">
        <v>21</v>
      </c>
      <c r="U127" s="1" t="s">
        <v>493</v>
      </c>
      <c r="V127" s="1"/>
    </row>
    <row r="128" spans="1:23" x14ac:dyDescent="0.2">
      <c r="A128" s="1">
        <v>1</v>
      </c>
      <c r="B128" s="35" t="s">
        <v>798</v>
      </c>
      <c r="C128" s="1" t="s">
        <v>778</v>
      </c>
      <c r="D128" s="1" t="s">
        <v>21</v>
      </c>
      <c r="E128" s="1" t="s">
        <v>21</v>
      </c>
      <c r="F128" s="4">
        <v>45396</v>
      </c>
      <c r="G128" s="1" t="s">
        <v>21</v>
      </c>
      <c r="H128" s="1" t="s">
        <v>21</v>
      </c>
      <c r="I128" s="1" t="s">
        <v>21</v>
      </c>
      <c r="J128" s="1" t="s">
        <v>21</v>
      </c>
      <c r="K128" s="1" t="s">
        <v>21</v>
      </c>
      <c r="P128" s="35">
        <v>90</v>
      </c>
      <c r="Q128" s="35">
        <v>90</v>
      </c>
      <c r="R128" s="1">
        <v>38.4</v>
      </c>
      <c r="S128" s="1">
        <v>38.4</v>
      </c>
      <c r="T128" s="1" t="s">
        <v>21</v>
      </c>
      <c r="U128" s="1" t="s">
        <v>494</v>
      </c>
      <c r="V128" s="1"/>
    </row>
    <row r="129" spans="1:23" x14ac:dyDescent="0.2">
      <c r="A129" s="1">
        <v>1</v>
      </c>
      <c r="B129" s="35" t="s">
        <v>798</v>
      </c>
      <c r="C129" s="1" t="s">
        <v>778</v>
      </c>
      <c r="D129" s="1" t="s">
        <v>21</v>
      </c>
      <c r="E129" s="1" t="s">
        <v>155</v>
      </c>
      <c r="F129" s="23">
        <v>45396</v>
      </c>
      <c r="G129" s="1" t="s">
        <v>21</v>
      </c>
      <c r="H129" s="6" t="s">
        <v>21</v>
      </c>
      <c r="I129" s="1" t="s">
        <v>21</v>
      </c>
      <c r="J129" s="6" t="s">
        <v>21</v>
      </c>
      <c r="K129" s="1" t="s">
        <v>21</v>
      </c>
      <c r="L129" s="1" t="s">
        <v>8</v>
      </c>
      <c r="M129" s="1" t="s">
        <v>7</v>
      </c>
      <c r="N129" s="1">
        <v>3</v>
      </c>
      <c r="O129" s="35">
        <v>3</v>
      </c>
      <c r="P129" s="35">
        <v>90</v>
      </c>
      <c r="Q129" s="35">
        <v>90</v>
      </c>
      <c r="R129" s="2">
        <v>57.4</v>
      </c>
      <c r="S129" s="2">
        <v>19.2</v>
      </c>
      <c r="T129" s="1" t="s">
        <v>21</v>
      </c>
      <c r="U129" s="1" t="s">
        <v>508</v>
      </c>
      <c r="W129" s="23"/>
    </row>
    <row r="130" spans="1:23" x14ac:dyDescent="0.2">
      <c r="A130" s="1">
        <v>1</v>
      </c>
      <c r="B130" s="35" t="s">
        <v>798</v>
      </c>
      <c r="C130" s="1" t="s">
        <v>778</v>
      </c>
      <c r="D130" s="1" t="s">
        <v>21</v>
      </c>
      <c r="E130" s="1" t="s">
        <v>80</v>
      </c>
      <c r="F130" s="23">
        <v>45397</v>
      </c>
      <c r="G130" s="1" t="s">
        <v>21</v>
      </c>
      <c r="H130" s="6" t="s">
        <v>21</v>
      </c>
      <c r="I130" s="1" t="s">
        <v>21</v>
      </c>
      <c r="J130" s="6" t="s">
        <v>21</v>
      </c>
      <c r="K130" s="1" t="s">
        <v>21</v>
      </c>
      <c r="L130" s="1" t="s">
        <v>7</v>
      </c>
      <c r="M130" s="1" t="s">
        <v>7</v>
      </c>
      <c r="N130" s="1">
        <v>3</v>
      </c>
      <c r="O130" s="35">
        <v>3</v>
      </c>
      <c r="P130" s="35">
        <v>90</v>
      </c>
      <c r="Q130" s="35">
        <v>90</v>
      </c>
      <c r="R130" s="2">
        <v>19.2</v>
      </c>
      <c r="S130" s="2">
        <v>19.2</v>
      </c>
      <c r="T130" s="1" t="s">
        <v>21</v>
      </c>
      <c r="U130" s="1" t="s">
        <v>509</v>
      </c>
      <c r="W130" s="23"/>
    </row>
    <row r="131" spans="1:23" x14ac:dyDescent="0.2">
      <c r="A131" s="1">
        <v>1</v>
      </c>
      <c r="B131" s="35" t="s">
        <v>800</v>
      </c>
      <c r="C131" s="1" t="s">
        <v>778</v>
      </c>
      <c r="D131" s="1" t="s">
        <v>21</v>
      </c>
      <c r="E131" s="1" t="s">
        <v>84</v>
      </c>
      <c r="F131" s="4">
        <v>45397</v>
      </c>
      <c r="G131" s="1" t="s">
        <v>21</v>
      </c>
      <c r="H131" s="6" t="s">
        <v>21</v>
      </c>
      <c r="I131" s="6" t="s">
        <v>21</v>
      </c>
      <c r="J131" s="15" t="s">
        <v>21</v>
      </c>
      <c r="K131" s="3">
        <v>0.76298611111111114</v>
      </c>
      <c r="L131" s="15" t="s">
        <v>7</v>
      </c>
      <c r="M131" s="15" t="s">
        <v>7</v>
      </c>
      <c r="N131" s="15">
        <v>1</v>
      </c>
      <c r="O131" s="39">
        <v>1</v>
      </c>
      <c r="P131" s="35">
        <v>90</v>
      </c>
      <c r="Q131" s="35">
        <v>90</v>
      </c>
      <c r="R131" s="2">
        <v>19.2</v>
      </c>
      <c r="S131" s="2">
        <v>19.2</v>
      </c>
      <c r="T131" s="15" t="s">
        <v>21</v>
      </c>
      <c r="U131" s="1" t="s">
        <v>528</v>
      </c>
    </row>
    <row r="132" spans="1:23" x14ac:dyDescent="0.2">
      <c r="A132" s="1">
        <v>1</v>
      </c>
      <c r="B132" s="35" t="s">
        <v>800</v>
      </c>
      <c r="C132" s="1" t="s">
        <v>778</v>
      </c>
      <c r="D132" s="1" t="s">
        <v>21</v>
      </c>
      <c r="E132" s="1" t="s">
        <v>85</v>
      </c>
      <c r="F132" s="4">
        <v>45398</v>
      </c>
      <c r="G132" s="1" t="s">
        <v>21</v>
      </c>
      <c r="H132" s="6" t="s">
        <v>21</v>
      </c>
      <c r="I132" s="6" t="s">
        <v>21</v>
      </c>
      <c r="J132" s="1" t="s">
        <v>21</v>
      </c>
      <c r="K132" s="3">
        <v>0.22712962962962963</v>
      </c>
      <c r="L132" s="1" t="s">
        <v>7</v>
      </c>
      <c r="M132" s="1" t="s">
        <v>7</v>
      </c>
      <c r="N132" s="1">
        <v>1</v>
      </c>
      <c r="O132" s="35">
        <v>1</v>
      </c>
      <c r="P132" s="35">
        <v>90</v>
      </c>
      <c r="Q132" s="35">
        <v>90</v>
      </c>
      <c r="R132" s="2">
        <v>19.2</v>
      </c>
      <c r="S132" s="2">
        <v>19.2</v>
      </c>
      <c r="T132" s="1" t="s">
        <v>21</v>
      </c>
      <c r="U132" s="1" t="s">
        <v>59</v>
      </c>
    </row>
    <row r="133" spans="1:23" x14ac:dyDescent="0.2">
      <c r="A133" s="1">
        <v>1</v>
      </c>
      <c r="B133" s="35" t="s">
        <v>800</v>
      </c>
      <c r="C133" s="1" t="s">
        <v>778</v>
      </c>
      <c r="D133" s="1" t="s">
        <v>21</v>
      </c>
      <c r="E133" s="1" t="s">
        <v>89</v>
      </c>
      <c r="F133" s="4">
        <v>45398</v>
      </c>
      <c r="G133" s="1" t="s">
        <v>21</v>
      </c>
      <c r="H133" s="6" t="s">
        <v>21</v>
      </c>
      <c r="I133" s="6" t="s">
        <v>21</v>
      </c>
      <c r="J133" s="15" t="s">
        <v>21</v>
      </c>
      <c r="K133" s="3">
        <v>0.75630787037037039</v>
      </c>
      <c r="L133" s="15" t="s">
        <v>7</v>
      </c>
      <c r="M133" s="15" t="s">
        <v>7</v>
      </c>
      <c r="N133" s="15">
        <v>1</v>
      </c>
      <c r="O133" s="39">
        <v>1</v>
      </c>
      <c r="P133" s="35">
        <v>90</v>
      </c>
      <c r="Q133" s="35">
        <v>90</v>
      </c>
      <c r="R133" s="2">
        <v>19.2</v>
      </c>
      <c r="S133" s="2">
        <v>19.2</v>
      </c>
      <c r="T133" s="15" t="s">
        <v>21</v>
      </c>
      <c r="U133" s="1" t="s">
        <v>529</v>
      </c>
    </row>
    <row r="134" spans="1:23" x14ac:dyDescent="0.2">
      <c r="A134" s="1">
        <v>1</v>
      </c>
      <c r="B134" s="35" t="s">
        <v>800</v>
      </c>
      <c r="C134" s="1" t="s">
        <v>778</v>
      </c>
      <c r="D134" s="1" t="s">
        <v>21</v>
      </c>
      <c r="E134" s="1" t="s">
        <v>526</v>
      </c>
      <c r="F134" s="4">
        <v>45399</v>
      </c>
      <c r="G134" s="1" t="s">
        <v>21</v>
      </c>
      <c r="H134" s="6" t="s">
        <v>21</v>
      </c>
      <c r="I134" s="6" t="s">
        <v>21</v>
      </c>
      <c r="J134" s="1" t="s">
        <v>21</v>
      </c>
      <c r="K134" s="6">
        <v>0.22869212962962962</v>
      </c>
      <c r="L134" s="1" t="s">
        <v>7</v>
      </c>
      <c r="M134" s="1" t="s">
        <v>7</v>
      </c>
      <c r="N134" s="1">
        <v>1</v>
      </c>
      <c r="O134" s="35">
        <v>1</v>
      </c>
      <c r="P134" s="35">
        <v>90</v>
      </c>
      <c r="Q134" s="35">
        <v>90</v>
      </c>
      <c r="R134" s="2">
        <v>19.2</v>
      </c>
      <c r="S134" s="2">
        <v>19.2</v>
      </c>
      <c r="T134" s="1" t="s">
        <v>21</v>
      </c>
      <c r="U134" s="1" t="s">
        <v>527</v>
      </c>
    </row>
    <row r="135" spans="1:23" x14ac:dyDescent="0.2">
      <c r="A135" s="1">
        <v>1</v>
      </c>
      <c r="B135" s="35" t="s">
        <v>776</v>
      </c>
      <c r="C135" t="s">
        <v>778</v>
      </c>
      <c r="D135" s="1">
        <v>1</v>
      </c>
      <c r="E135" s="1" t="s">
        <v>530</v>
      </c>
      <c r="F135" s="4">
        <v>45399</v>
      </c>
      <c r="G135" s="3">
        <f>I135+K135</f>
        <v>0.78340277777777778</v>
      </c>
      <c r="H135" s="6">
        <f>J135+K135</f>
        <v>0.78700231481481486</v>
      </c>
      <c r="I135" s="25">
        <v>2.9502314814814815E-2</v>
      </c>
      <c r="J135" s="6">
        <v>3.3101851851851855E-2</v>
      </c>
      <c r="K135" s="3">
        <v>0.75390046296296298</v>
      </c>
      <c r="L135" s="1" t="s">
        <v>7</v>
      </c>
      <c r="M135" s="1" t="s">
        <v>7</v>
      </c>
      <c r="N135" s="1">
        <v>1</v>
      </c>
      <c r="O135" s="35">
        <v>1</v>
      </c>
      <c r="P135" s="35">
        <v>90</v>
      </c>
      <c r="Q135" s="35">
        <v>90</v>
      </c>
      <c r="R135" s="2">
        <v>19.2</v>
      </c>
      <c r="S135" s="2">
        <v>19.2</v>
      </c>
      <c r="T135" s="1">
        <v>1</v>
      </c>
      <c r="U135" s="1" t="s">
        <v>531</v>
      </c>
      <c r="W135" s="4" t="s">
        <v>641</v>
      </c>
    </row>
    <row r="136" spans="1:23" x14ac:dyDescent="0.2">
      <c r="A136" s="1">
        <v>1</v>
      </c>
      <c r="B136" s="35" t="s">
        <v>777</v>
      </c>
      <c r="C136" t="s">
        <v>780</v>
      </c>
      <c r="D136" s="1" t="s">
        <v>21</v>
      </c>
      <c r="E136" s="1" t="s">
        <v>530</v>
      </c>
      <c r="F136" s="4">
        <v>45399</v>
      </c>
      <c r="G136" s="15" t="s">
        <v>21</v>
      </c>
      <c r="H136" s="6" t="s">
        <v>21</v>
      </c>
      <c r="I136" s="15" t="s">
        <v>21</v>
      </c>
      <c r="J136" s="6" t="s">
        <v>21</v>
      </c>
      <c r="K136" s="15" t="s">
        <v>21</v>
      </c>
      <c r="L136" s="1" t="s">
        <v>8</v>
      </c>
      <c r="M136" s="1" t="s">
        <v>8</v>
      </c>
      <c r="N136" s="15">
        <v>1</v>
      </c>
      <c r="O136" s="35">
        <v>1</v>
      </c>
      <c r="P136" s="35">
        <v>90</v>
      </c>
      <c r="Q136" s="35">
        <v>90</v>
      </c>
      <c r="R136" s="22">
        <v>19.2</v>
      </c>
      <c r="S136" s="22">
        <v>19.2</v>
      </c>
      <c r="T136" s="1" t="s">
        <v>21</v>
      </c>
      <c r="U136" s="1" t="s">
        <v>532</v>
      </c>
      <c r="V136" s="22"/>
      <c r="W136" s="4" t="s">
        <v>641</v>
      </c>
    </row>
    <row r="137" spans="1:23" x14ac:dyDescent="0.2">
      <c r="A137" s="1">
        <v>1</v>
      </c>
      <c r="B137" s="35" t="s">
        <v>776</v>
      </c>
      <c r="C137" t="s">
        <v>778</v>
      </c>
      <c r="D137" s="1">
        <v>1</v>
      </c>
      <c r="E137" s="1" t="s">
        <v>112</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35">
        <v>1</v>
      </c>
      <c r="P137" s="35">
        <v>90</v>
      </c>
      <c r="Q137" s="35">
        <v>90</v>
      </c>
      <c r="R137" s="2">
        <v>57.4</v>
      </c>
      <c r="S137" s="2">
        <v>57.4</v>
      </c>
      <c r="T137" s="1">
        <v>1</v>
      </c>
      <c r="W137" s="4" t="s">
        <v>641</v>
      </c>
    </row>
    <row r="138" spans="1:23" x14ac:dyDescent="0.2">
      <c r="A138" s="1">
        <v>1</v>
      </c>
      <c r="B138" s="35" t="s">
        <v>777</v>
      </c>
      <c r="C138" t="s">
        <v>780</v>
      </c>
      <c r="D138" s="1">
        <v>1</v>
      </c>
      <c r="E138" s="1" t="s">
        <v>112</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35">
        <v>1</v>
      </c>
      <c r="P138" s="35">
        <v>90</v>
      </c>
      <c r="Q138" s="35">
        <v>90</v>
      </c>
      <c r="R138" s="2">
        <v>57.4</v>
      </c>
      <c r="S138" s="2">
        <v>57.4</v>
      </c>
      <c r="T138" s="1">
        <v>1</v>
      </c>
      <c r="W138" s="4" t="s">
        <v>641</v>
      </c>
    </row>
    <row r="139" spans="1:23" x14ac:dyDescent="0.2">
      <c r="A139" s="1">
        <v>1</v>
      </c>
      <c r="B139" s="35" t="s">
        <v>776</v>
      </c>
      <c r="C139" t="s">
        <v>778</v>
      </c>
      <c r="D139" s="1">
        <v>1</v>
      </c>
      <c r="E139" s="1" t="s">
        <v>252</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35">
        <v>1</v>
      </c>
      <c r="P139" s="35">
        <v>90</v>
      </c>
      <c r="Q139" s="35">
        <v>90</v>
      </c>
      <c r="R139" s="2">
        <v>115.17</v>
      </c>
      <c r="S139" s="2">
        <v>115.17</v>
      </c>
      <c r="T139" s="1">
        <v>1</v>
      </c>
      <c r="W139" s="4" t="s">
        <v>641</v>
      </c>
    </row>
    <row r="140" spans="1:23" x14ac:dyDescent="0.2">
      <c r="A140" s="1">
        <v>1</v>
      </c>
      <c r="B140" s="35" t="s">
        <v>777</v>
      </c>
      <c r="C140" t="s">
        <v>780</v>
      </c>
      <c r="D140" s="1">
        <v>1</v>
      </c>
      <c r="E140" s="1" t="s">
        <v>252</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35">
        <v>1</v>
      </c>
      <c r="P140" s="35">
        <v>90</v>
      </c>
      <c r="Q140" s="35">
        <v>90</v>
      </c>
      <c r="R140" s="2">
        <v>115.17</v>
      </c>
      <c r="S140" s="2">
        <v>115.17</v>
      </c>
      <c r="T140" s="1">
        <v>1</v>
      </c>
      <c r="W140" s="4" t="s">
        <v>641</v>
      </c>
    </row>
    <row r="141" spans="1:23" x14ac:dyDescent="0.2">
      <c r="A141" s="1">
        <v>1</v>
      </c>
      <c r="B141" s="35" t="s">
        <v>776</v>
      </c>
      <c r="C141" t="s">
        <v>778</v>
      </c>
      <c r="D141" s="1">
        <v>1</v>
      </c>
      <c r="E141" s="1" t="s">
        <v>535</v>
      </c>
      <c r="F141" s="4">
        <v>45401</v>
      </c>
      <c r="G141" s="1" t="s">
        <v>21</v>
      </c>
      <c r="H141" s="6">
        <f t="shared" si="12"/>
        <v>0.23703703703703705</v>
      </c>
      <c r="I141" s="1" t="s">
        <v>21</v>
      </c>
      <c r="J141" s="6">
        <v>1.4849537037037038E-2</v>
      </c>
      <c r="K141" s="3">
        <v>0.22218750000000001</v>
      </c>
      <c r="L141" s="1" t="s">
        <v>8</v>
      </c>
      <c r="M141" s="1" t="s">
        <v>8</v>
      </c>
      <c r="N141" s="1">
        <v>1</v>
      </c>
      <c r="O141" s="35">
        <v>1</v>
      </c>
      <c r="P141" s="35">
        <v>90</v>
      </c>
      <c r="Q141" s="35">
        <v>90</v>
      </c>
      <c r="R141" s="2">
        <v>115.17</v>
      </c>
      <c r="S141" s="2">
        <v>115.17</v>
      </c>
      <c r="T141" s="1">
        <v>1</v>
      </c>
      <c r="U141" s="1" t="s">
        <v>482</v>
      </c>
      <c r="W141" s="4" t="s">
        <v>641</v>
      </c>
    </row>
    <row r="142" spans="1:23" x14ac:dyDescent="0.2">
      <c r="A142" s="1">
        <v>1</v>
      </c>
      <c r="B142" s="35" t="s">
        <v>776</v>
      </c>
      <c r="C142" t="s">
        <v>778</v>
      </c>
      <c r="D142" s="1">
        <v>2</v>
      </c>
      <c r="E142" s="1" t="s">
        <v>535</v>
      </c>
      <c r="F142" s="4">
        <v>45401</v>
      </c>
      <c r="G142" s="3">
        <f>I142+K142</f>
        <v>0.23883101851851854</v>
      </c>
      <c r="H142" s="6">
        <f t="shared" si="12"/>
        <v>0.24986111111111112</v>
      </c>
      <c r="I142" s="3">
        <v>1.6643518518518519E-2</v>
      </c>
      <c r="J142" s="6">
        <v>2.7673611111111111E-2</v>
      </c>
      <c r="K142" s="3">
        <v>0.22218750000000001</v>
      </c>
      <c r="L142" s="1" t="s">
        <v>8</v>
      </c>
      <c r="M142" s="1" t="s">
        <v>8</v>
      </c>
      <c r="N142" s="27">
        <v>1</v>
      </c>
      <c r="O142" s="37">
        <v>1</v>
      </c>
      <c r="P142" s="35">
        <v>90</v>
      </c>
      <c r="Q142" s="35">
        <v>90</v>
      </c>
      <c r="R142" s="2">
        <v>115.17</v>
      </c>
      <c r="S142" s="2">
        <v>115.17</v>
      </c>
      <c r="T142" s="1">
        <v>1</v>
      </c>
      <c r="W142" s="4" t="s">
        <v>641</v>
      </c>
    </row>
    <row r="143" spans="1:23" x14ac:dyDescent="0.2">
      <c r="A143" s="1">
        <v>1</v>
      </c>
      <c r="B143" s="35" t="s">
        <v>777</v>
      </c>
      <c r="C143" t="s">
        <v>780</v>
      </c>
      <c r="D143" s="1">
        <v>1</v>
      </c>
      <c r="E143" s="1" t="s">
        <v>535</v>
      </c>
      <c r="F143" s="4">
        <v>45401</v>
      </c>
      <c r="G143" s="3">
        <f>I143+K143</f>
        <v>0.24135416666666668</v>
      </c>
      <c r="H143" s="6">
        <f t="shared" si="12"/>
        <v>0.25265046296296295</v>
      </c>
      <c r="I143" s="3">
        <v>1.9166666666666665E-2</v>
      </c>
      <c r="J143" s="6">
        <v>3.0462962962962963E-2</v>
      </c>
      <c r="K143" s="3">
        <v>0.22218750000000001</v>
      </c>
      <c r="L143" s="1" t="s">
        <v>7</v>
      </c>
      <c r="M143" s="1" t="s">
        <v>7</v>
      </c>
      <c r="N143" s="27">
        <v>1</v>
      </c>
      <c r="O143" s="37">
        <v>1</v>
      </c>
      <c r="P143" s="35">
        <v>90</v>
      </c>
      <c r="Q143" s="35">
        <v>90</v>
      </c>
      <c r="R143" s="2">
        <v>115.17</v>
      </c>
      <c r="S143" s="2">
        <v>115.17</v>
      </c>
      <c r="T143" s="1">
        <v>1</v>
      </c>
      <c r="W143" s="4" t="s">
        <v>641</v>
      </c>
    </row>
    <row r="144" spans="1:23" x14ac:dyDescent="0.2">
      <c r="A144" s="1">
        <v>1</v>
      </c>
      <c r="B144" s="35" t="s">
        <v>776</v>
      </c>
      <c r="C144" t="s">
        <v>778</v>
      </c>
      <c r="D144" s="1">
        <v>1</v>
      </c>
      <c r="E144" s="1" t="s">
        <v>253</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35">
        <v>2</v>
      </c>
      <c r="P144" s="35">
        <v>90</v>
      </c>
      <c r="Q144" s="35">
        <v>90</v>
      </c>
      <c r="R144" s="2">
        <v>115.17</v>
      </c>
      <c r="S144" s="2">
        <v>115.17</v>
      </c>
      <c r="T144" s="1">
        <v>0</v>
      </c>
      <c r="U144" s="1" t="s">
        <v>537</v>
      </c>
      <c r="W144" s="29" t="s">
        <v>643</v>
      </c>
    </row>
    <row r="145" spans="1:23" x14ac:dyDescent="0.2">
      <c r="A145" s="1">
        <v>1</v>
      </c>
      <c r="B145" s="35" t="s">
        <v>777</v>
      </c>
      <c r="C145" t="s">
        <v>780</v>
      </c>
      <c r="D145" s="1">
        <v>1</v>
      </c>
      <c r="E145" s="1" t="s">
        <v>253</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35">
        <v>2</v>
      </c>
      <c r="P145" s="35">
        <v>90</v>
      </c>
      <c r="Q145" s="35">
        <v>90</v>
      </c>
      <c r="R145" s="2">
        <v>115.17</v>
      </c>
      <c r="S145" s="2">
        <v>115.17</v>
      </c>
      <c r="T145" s="1">
        <v>1</v>
      </c>
      <c r="W145" s="29" t="s">
        <v>641</v>
      </c>
    </row>
    <row r="146" spans="1:23" x14ac:dyDescent="0.2">
      <c r="A146" s="1">
        <v>1</v>
      </c>
      <c r="B146" s="35" t="s">
        <v>777</v>
      </c>
      <c r="C146" t="s">
        <v>780</v>
      </c>
      <c r="D146" s="1">
        <v>1</v>
      </c>
      <c r="E146" s="1" t="s">
        <v>111</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35">
        <v>2</v>
      </c>
      <c r="P146" s="35">
        <v>90</v>
      </c>
      <c r="Q146" s="35">
        <v>90</v>
      </c>
      <c r="R146" s="2">
        <v>115.17</v>
      </c>
      <c r="S146" s="2">
        <v>115.17</v>
      </c>
      <c r="T146" s="1">
        <v>1</v>
      </c>
      <c r="U146" s="1" t="s">
        <v>538</v>
      </c>
      <c r="W146" s="29" t="s">
        <v>641</v>
      </c>
    </row>
    <row r="147" spans="1:23" x14ac:dyDescent="0.2">
      <c r="A147" s="1">
        <v>1</v>
      </c>
      <c r="B147" s="35" t="s">
        <v>776</v>
      </c>
      <c r="C147" t="s">
        <v>778</v>
      </c>
      <c r="D147" s="1">
        <v>1</v>
      </c>
      <c r="E147" s="1" t="s">
        <v>111</v>
      </c>
      <c r="F147" s="4">
        <v>45402</v>
      </c>
      <c r="G147" s="1" t="s">
        <v>21</v>
      </c>
      <c r="H147" s="6">
        <f t="shared" si="12"/>
        <v>0.24439814814814814</v>
      </c>
      <c r="I147" s="1" t="s">
        <v>21</v>
      </c>
      <c r="J147" s="6">
        <v>2.4699074074074075E-2</v>
      </c>
      <c r="K147" s="3">
        <v>0.21969907407407407</v>
      </c>
      <c r="L147" s="1" t="s">
        <v>7</v>
      </c>
      <c r="M147" s="1" t="s">
        <v>7</v>
      </c>
      <c r="N147" s="1">
        <v>2</v>
      </c>
      <c r="O147" s="35">
        <v>2</v>
      </c>
      <c r="P147" s="35">
        <v>90</v>
      </c>
      <c r="Q147" s="35">
        <v>90</v>
      </c>
      <c r="R147" s="2">
        <v>115.17</v>
      </c>
      <c r="S147" s="2">
        <v>115.17</v>
      </c>
      <c r="T147" s="1">
        <v>1</v>
      </c>
      <c r="U147" s="1" t="s">
        <v>482</v>
      </c>
      <c r="W147" s="29" t="s">
        <v>643</v>
      </c>
    </row>
    <row r="148" spans="1:23" x14ac:dyDescent="0.2">
      <c r="A148" s="1">
        <v>1</v>
      </c>
      <c r="B148" s="35" t="s">
        <v>777</v>
      </c>
      <c r="C148" t="s">
        <v>780</v>
      </c>
      <c r="D148" s="1">
        <v>2</v>
      </c>
      <c r="E148" s="1" t="s">
        <v>111</v>
      </c>
      <c r="F148" s="23">
        <v>45402</v>
      </c>
      <c r="G148" s="3">
        <f>I148+K148</f>
        <v>0.24730324074074073</v>
      </c>
      <c r="H148" s="6" t="s">
        <v>21</v>
      </c>
      <c r="I148" s="3">
        <v>2.7604166666666666E-2</v>
      </c>
      <c r="J148" s="6" t="s">
        <v>21</v>
      </c>
      <c r="K148" s="3">
        <v>0.21969907407407407</v>
      </c>
      <c r="L148" s="1" t="s">
        <v>8</v>
      </c>
      <c r="M148" s="1" t="s">
        <v>7</v>
      </c>
      <c r="N148" s="1">
        <v>2</v>
      </c>
      <c r="O148" s="35">
        <v>2</v>
      </c>
      <c r="P148" s="35">
        <v>90</v>
      </c>
      <c r="Q148" s="35">
        <v>90</v>
      </c>
      <c r="R148" s="2">
        <v>115.17</v>
      </c>
      <c r="S148" s="2">
        <v>115.17</v>
      </c>
      <c r="T148" s="1" t="s">
        <v>21</v>
      </c>
      <c r="U148" s="1" t="s">
        <v>539</v>
      </c>
      <c r="W148" s="29" t="s">
        <v>641</v>
      </c>
    </row>
    <row r="149" spans="1:23" x14ac:dyDescent="0.2">
      <c r="A149" s="1">
        <v>1</v>
      </c>
      <c r="B149" s="35" t="s">
        <v>777</v>
      </c>
      <c r="C149" t="s">
        <v>780</v>
      </c>
      <c r="D149" s="1">
        <v>1</v>
      </c>
      <c r="E149" s="1" t="s">
        <v>254</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35">
        <v>2</v>
      </c>
      <c r="P149" s="35">
        <v>90</v>
      </c>
      <c r="Q149" s="35">
        <v>90</v>
      </c>
      <c r="R149" s="2">
        <v>115.17</v>
      </c>
      <c r="S149" s="2">
        <v>115.17</v>
      </c>
      <c r="T149" s="1">
        <v>0</v>
      </c>
      <c r="U149" s="1" t="s">
        <v>541</v>
      </c>
      <c r="W149" s="29" t="s">
        <v>641</v>
      </c>
    </row>
    <row r="150" spans="1:23" x14ac:dyDescent="0.2">
      <c r="A150" s="1">
        <v>1</v>
      </c>
      <c r="B150" s="35" t="s">
        <v>776</v>
      </c>
      <c r="C150" t="s">
        <v>778</v>
      </c>
      <c r="D150" s="1">
        <v>1</v>
      </c>
      <c r="E150" s="1" t="s">
        <v>254</v>
      </c>
      <c r="F150" s="4">
        <v>45402</v>
      </c>
      <c r="G150" s="1" t="s">
        <v>21</v>
      </c>
      <c r="H150" s="6" t="s">
        <v>21</v>
      </c>
      <c r="I150" s="1" t="s">
        <v>21</v>
      </c>
      <c r="J150" s="6" t="s">
        <v>21</v>
      </c>
      <c r="K150" s="3">
        <v>0.75356481481481485</v>
      </c>
      <c r="L150" s="1" t="s">
        <v>8</v>
      </c>
      <c r="M150" s="1" t="s">
        <v>7</v>
      </c>
      <c r="N150" s="1">
        <v>2</v>
      </c>
      <c r="O150" s="35">
        <v>2</v>
      </c>
      <c r="P150" s="35">
        <v>90</v>
      </c>
      <c r="Q150" s="35">
        <v>90</v>
      </c>
      <c r="R150" s="2">
        <v>115.17</v>
      </c>
      <c r="S150" s="2">
        <v>115.17</v>
      </c>
      <c r="T150" s="1" t="s">
        <v>21</v>
      </c>
      <c r="U150" s="1" t="s">
        <v>542</v>
      </c>
      <c r="W150" s="29" t="s">
        <v>643</v>
      </c>
    </row>
    <row r="151" spans="1:23" x14ac:dyDescent="0.2">
      <c r="A151" s="1">
        <v>1</v>
      </c>
      <c r="B151" s="35" t="s">
        <v>777</v>
      </c>
      <c r="C151" t="s">
        <v>780</v>
      </c>
      <c r="D151" s="1">
        <v>1</v>
      </c>
      <c r="E151" s="1" t="s">
        <v>255</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35">
        <v>2</v>
      </c>
      <c r="P151" s="35">
        <v>90</v>
      </c>
      <c r="Q151" s="35">
        <v>90</v>
      </c>
      <c r="R151" s="2">
        <v>115.17</v>
      </c>
      <c r="S151" s="2">
        <v>115.17</v>
      </c>
      <c r="T151" s="1">
        <v>1</v>
      </c>
      <c r="W151" s="29" t="s">
        <v>641</v>
      </c>
    </row>
    <row r="152" spans="1:23" x14ac:dyDescent="0.2">
      <c r="A152" s="1">
        <v>1</v>
      </c>
      <c r="B152" s="35" t="s">
        <v>776</v>
      </c>
      <c r="C152" t="s">
        <v>778</v>
      </c>
      <c r="D152" s="1">
        <v>1</v>
      </c>
      <c r="E152" s="1" t="s">
        <v>255</v>
      </c>
      <c r="F152" s="4">
        <v>45403</v>
      </c>
      <c r="G152" s="1" t="s">
        <v>21</v>
      </c>
      <c r="H152" s="6">
        <f t="shared" si="13"/>
        <v>0.24523148148148147</v>
      </c>
      <c r="I152" s="1" t="s">
        <v>21</v>
      </c>
      <c r="J152" s="6">
        <v>2.3055555555555555E-2</v>
      </c>
      <c r="K152" s="3">
        <v>0.22217592592592592</v>
      </c>
      <c r="L152" s="1" t="s">
        <v>7</v>
      </c>
      <c r="M152" s="1" t="s">
        <v>8</v>
      </c>
      <c r="N152" s="1">
        <v>2</v>
      </c>
      <c r="O152" s="35">
        <v>2</v>
      </c>
      <c r="P152" s="35">
        <v>90</v>
      </c>
      <c r="Q152" s="35">
        <v>90</v>
      </c>
      <c r="R152" s="2">
        <v>115.17</v>
      </c>
      <c r="S152" s="2">
        <v>115.17</v>
      </c>
      <c r="T152" s="1">
        <v>1</v>
      </c>
      <c r="U152" s="1" t="s">
        <v>482</v>
      </c>
      <c r="W152" s="29" t="s">
        <v>643</v>
      </c>
    </row>
    <row r="153" spans="1:23" x14ac:dyDescent="0.2">
      <c r="A153" s="1">
        <v>1</v>
      </c>
      <c r="B153" s="35" t="s">
        <v>777</v>
      </c>
      <c r="C153" t="s">
        <v>780</v>
      </c>
      <c r="D153" s="1">
        <v>1</v>
      </c>
      <c r="E153" s="1" t="s">
        <v>256</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35">
        <v>2</v>
      </c>
      <c r="P153" s="35">
        <v>90</v>
      </c>
      <c r="Q153" s="35">
        <v>90</v>
      </c>
      <c r="R153" s="2">
        <v>115.17</v>
      </c>
      <c r="S153" s="2">
        <v>115.17</v>
      </c>
      <c r="T153" s="1">
        <v>1</v>
      </c>
      <c r="W153" s="29" t="s">
        <v>641</v>
      </c>
    </row>
    <row r="154" spans="1:23" x14ac:dyDescent="0.2">
      <c r="A154" s="1">
        <v>1</v>
      </c>
      <c r="B154" s="35" t="s">
        <v>777</v>
      </c>
      <c r="C154" t="s">
        <v>780</v>
      </c>
      <c r="D154" s="1">
        <v>1</v>
      </c>
      <c r="E154" s="1" t="s">
        <v>119</v>
      </c>
      <c r="F154" s="4">
        <v>45404</v>
      </c>
      <c r="G154" s="1" t="s">
        <v>21</v>
      </c>
      <c r="H154" s="6">
        <f t="shared" si="13"/>
        <v>0.23616898148148149</v>
      </c>
      <c r="I154" s="1" t="s">
        <v>21</v>
      </c>
      <c r="J154" s="3">
        <v>2.0613425925925927E-2</v>
      </c>
      <c r="K154" s="3">
        <v>0.21555555555555556</v>
      </c>
      <c r="L154" s="1" t="s">
        <v>8</v>
      </c>
      <c r="M154" s="1" t="s">
        <v>8</v>
      </c>
      <c r="N154" s="1">
        <v>2</v>
      </c>
      <c r="O154" s="35">
        <v>2</v>
      </c>
      <c r="P154" s="35">
        <v>90</v>
      </c>
      <c r="Q154" s="35">
        <v>90</v>
      </c>
      <c r="R154" s="2">
        <v>115.17</v>
      </c>
      <c r="S154" s="2">
        <v>115.17</v>
      </c>
      <c r="T154" s="1">
        <v>0</v>
      </c>
      <c r="W154" s="29" t="s">
        <v>641</v>
      </c>
    </row>
    <row r="155" spans="1:23" x14ac:dyDescent="0.2">
      <c r="A155" s="1">
        <v>1</v>
      </c>
      <c r="B155" s="35" t="s">
        <v>777</v>
      </c>
      <c r="C155" t="s">
        <v>780</v>
      </c>
      <c r="D155" s="1">
        <v>2</v>
      </c>
      <c r="E155" s="1" t="s">
        <v>119</v>
      </c>
      <c r="F155" s="4">
        <v>45404</v>
      </c>
      <c r="G155" s="3">
        <f>I155+K155</f>
        <v>0.24</v>
      </c>
      <c r="H155" s="6">
        <f t="shared" si="13"/>
        <v>0.24469907407407407</v>
      </c>
      <c r="I155" s="3">
        <v>2.4444444444444446E-2</v>
      </c>
      <c r="J155" s="6">
        <v>2.914351851851852E-2</v>
      </c>
      <c r="K155" s="3">
        <v>0.21555555555555556</v>
      </c>
      <c r="L155" s="1" t="s">
        <v>8</v>
      </c>
      <c r="M155" s="1" t="s">
        <v>8</v>
      </c>
      <c r="N155" s="1">
        <v>2</v>
      </c>
      <c r="O155" s="35">
        <v>2</v>
      </c>
      <c r="P155" s="35">
        <v>90</v>
      </c>
      <c r="Q155" s="35">
        <v>90</v>
      </c>
      <c r="R155" s="2">
        <v>115.17</v>
      </c>
      <c r="S155" s="2">
        <v>115.17</v>
      </c>
      <c r="T155" s="1">
        <v>0</v>
      </c>
      <c r="U155" s="1" t="s">
        <v>543</v>
      </c>
      <c r="W155" s="29" t="s">
        <v>641</v>
      </c>
    </row>
    <row r="156" spans="1:23" x14ac:dyDescent="0.2">
      <c r="A156" s="1">
        <v>1</v>
      </c>
      <c r="B156" s="35" t="s">
        <v>776</v>
      </c>
      <c r="C156" t="s">
        <v>778</v>
      </c>
      <c r="D156" s="1">
        <v>1</v>
      </c>
      <c r="E156" s="1" t="s">
        <v>119</v>
      </c>
      <c r="F156" s="4">
        <v>45404</v>
      </c>
      <c r="G156" s="1" t="s">
        <v>21</v>
      </c>
      <c r="H156" s="6">
        <f t="shared" si="13"/>
        <v>0.24150462962962962</v>
      </c>
      <c r="I156" s="1" t="s">
        <v>21</v>
      </c>
      <c r="J156" s="6">
        <v>2.5949074074074076E-2</v>
      </c>
      <c r="K156" s="3">
        <v>0.21555555555555556</v>
      </c>
      <c r="L156" s="1" t="s">
        <v>7</v>
      </c>
      <c r="M156" s="1" t="s">
        <v>7</v>
      </c>
      <c r="N156" s="1">
        <v>2</v>
      </c>
      <c r="O156" s="35">
        <v>2</v>
      </c>
      <c r="P156" s="35">
        <v>90</v>
      </c>
      <c r="Q156" s="35">
        <v>90</v>
      </c>
      <c r="R156" s="2">
        <v>115.17</v>
      </c>
      <c r="S156" s="2">
        <v>115.17</v>
      </c>
      <c r="T156" s="1">
        <v>0</v>
      </c>
      <c r="W156" s="29" t="s">
        <v>643</v>
      </c>
    </row>
    <row r="157" spans="1:23" x14ac:dyDescent="0.2">
      <c r="A157" s="1">
        <v>1</v>
      </c>
      <c r="B157" s="35" t="s">
        <v>777</v>
      </c>
      <c r="C157" t="s">
        <v>780</v>
      </c>
      <c r="D157" s="1">
        <v>1</v>
      </c>
      <c r="E157" s="1" t="s">
        <v>169</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35">
        <v>2</v>
      </c>
      <c r="P157" s="35">
        <v>90</v>
      </c>
      <c r="Q157" s="35">
        <v>90</v>
      </c>
      <c r="R157" s="2">
        <v>115.17</v>
      </c>
      <c r="S157" s="2">
        <v>115.17</v>
      </c>
      <c r="T157" s="1">
        <v>1</v>
      </c>
      <c r="W157" s="29" t="s">
        <v>641</v>
      </c>
    </row>
    <row r="158" spans="1:23" x14ac:dyDescent="0.2">
      <c r="A158" s="1">
        <v>1</v>
      </c>
      <c r="B158" s="35" t="s">
        <v>776</v>
      </c>
      <c r="C158" t="s">
        <v>778</v>
      </c>
      <c r="D158" s="1" t="s">
        <v>21</v>
      </c>
      <c r="E158" s="1" t="s">
        <v>171</v>
      </c>
      <c r="F158" s="4">
        <v>45405</v>
      </c>
      <c r="G158" s="1" t="s">
        <v>21</v>
      </c>
      <c r="H158" s="6" t="s">
        <v>21</v>
      </c>
      <c r="I158" s="1" t="s">
        <v>21</v>
      </c>
      <c r="J158" s="1" t="s">
        <v>21</v>
      </c>
      <c r="K158" s="3">
        <v>0.76297453703703699</v>
      </c>
      <c r="L158" s="1" t="s">
        <v>8</v>
      </c>
      <c r="M158" s="1" t="s">
        <v>8</v>
      </c>
      <c r="N158" s="1">
        <v>2</v>
      </c>
      <c r="O158" s="35">
        <v>2</v>
      </c>
      <c r="P158" s="35">
        <v>90</v>
      </c>
      <c r="Q158" s="35">
        <v>90</v>
      </c>
      <c r="R158" s="2">
        <v>115.17</v>
      </c>
      <c r="S158" s="2">
        <v>115.17</v>
      </c>
      <c r="T158" s="1" t="s">
        <v>21</v>
      </c>
      <c r="U158" s="1" t="s">
        <v>546</v>
      </c>
      <c r="W158" s="29" t="s">
        <v>643</v>
      </c>
    </row>
    <row r="159" spans="1:23" x14ac:dyDescent="0.2">
      <c r="A159" s="1">
        <v>1</v>
      </c>
      <c r="B159" s="35" t="s">
        <v>777</v>
      </c>
      <c r="C159" t="s">
        <v>780</v>
      </c>
      <c r="D159" s="1" t="s">
        <v>21</v>
      </c>
      <c r="E159" s="1" t="s">
        <v>171</v>
      </c>
      <c r="F159" s="4">
        <v>45405</v>
      </c>
      <c r="G159" s="1" t="s">
        <v>21</v>
      </c>
      <c r="H159" s="6" t="s">
        <v>21</v>
      </c>
      <c r="I159" s="1" t="s">
        <v>21</v>
      </c>
      <c r="J159" s="1" t="s">
        <v>21</v>
      </c>
      <c r="K159" s="3">
        <v>0.76297453703703699</v>
      </c>
      <c r="L159" s="1" t="s">
        <v>7</v>
      </c>
      <c r="M159" s="1" t="s">
        <v>7</v>
      </c>
      <c r="N159" s="1">
        <v>2</v>
      </c>
      <c r="O159" s="35">
        <v>2</v>
      </c>
      <c r="P159" s="35">
        <v>90</v>
      </c>
      <c r="Q159" s="35">
        <v>90</v>
      </c>
      <c r="R159" s="2">
        <v>115.17</v>
      </c>
      <c r="S159" s="2">
        <v>115.17</v>
      </c>
      <c r="T159" s="1" t="s">
        <v>21</v>
      </c>
      <c r="U159" s="1" t="s">
        <v>546</v>
      </c>
      <c r="W159" s="29" t="s">
        <v>641</v>
      </c>
    </row>
    <row r="160" spans="1:23" x14ac:dyDescent="0.2">
      <c r="A160" s="1">
        <v>1</v>
      </c>
      <c r="B160" s="35" t="s">
        <v>777</v>
      </c>
      <c r="C160" t="s">
        <v>780</v>
      </c>
      <c r="D160" s="1">
        <v>1</v>
      </c>
      <c r="E160" s="1" t="s">
        <v>306</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35">
        <v>2</v>
      </c>
      <c r="P160" s="35">
        <v>90</v>
      </c>
      <c r="Q160" s="35">
        <v>90</v>
      </c>
      <c r="R160" s="2">
        <v>115.17</v>
      </c>
      <c r="S160" s="2">
        <v>115.17</v>
      </c>
      <c r="T160" s="1">
        <v>1</v>
      </c>
      <c r="W160" s="29" t="s">
        <v>641</v>
      </c>
    </row>
    <row r="161" spans="1:23" x14ac:dyDescent="0.2">
      <c r="A161" s="1">
        <v>1</v>
      </c>
      <c r="B161" s="35" t="s">
        <v>776</v>
      </c>
      <c r="C161" t="s">
        <v>778</v>
      </c>
      <c r="D161" s="1">
        <v>1</v>
      </c>
      <c r="E161" s="1" t="s">
        <v>306</v>
      </c>
      <c r="F161" s="4">
        <v>45405</v>
      </c>
      <c r="G161" s="1" t="s">
        <v>21</v>
      </c>
      <c r="H161" s="6">
        <f t="shared" si="14"/>
        <v>0.24447916666666666</v>
      </c>
      <c r="I161" s="1" t="s">
        <v>21</v>
      </c>
      <c r="J161" s="6">
        <v>2.1770833333333333E-2</v>
      </c>
      <c r="K161" s="3">
        <v>0.22270833333333334</v>
      </c>
      <c r="L161" s="1" t="s">
        <v>8</v>
      </c>
      <c r="M161" s="1" t="s">
        <v>8</v>
      </c>
      <c r="N161" s="1">
        <v>2</v>
      </c>
      <c r="O161" s="35">
        <v>2</v>
      </c>
      <c r="P161" s="35">
        <v>90</v>
      </c>
      <c r="Q161" s="35">
        <v>90</v>
      </c>
      <c r="R161" s="2">
        <v>115.17</v>
      </c>
      <c r="S161" s="2">
        <v>115.17</v>
      </c>
      <c r="T161" s="1">
        <v>1</v>
      </c>
      <c r="U161" s="1" t="s">
        <v>547</v>
      </c>
      <c r="W161" s="29" t="s">
        <v>643</v>
      </c>
    </row>
    <row r="162" spans="1:23" x14ac:dyDescent="0.2">
      <c r="A162" s="1">
        <v>1</v>
      </c>
      <c r="B162" s="35" t="s">
        <v>777</v>
      </c>
      <c r="C162" t="s">
        <v>780</v>
      </c>
      <c r="D162" s="1">
        <v>2</v>
      </c>
      <c r="E162" s="1" t="s">
        <v>306</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35">
        <v>2</v>
      </c>
      <c r="P162" s="35">
        <v>90</v>
      </c>
      <c r="Q162" s="35">
        <v>90</v>
      </c>
      <c r="R162" s="2">
        <v>115.17</v>
      </c>
      <c r="S162" s="2">
        <v>115.17</v>
      </c>
      <c r="T162" s="1">
        <v>1</v>
      </c>
      <c r="W162" s="29" t="s">
        <v>641</v>
      </c>
    </row>
    <row r="163" spans="1:23" x14ac:dyDescent="0.2">
      <c r="A163" s="1">
        <v>1</v>
      </c>
      <c r="B163" s="35" t="s">
        <v>777</v>
      </c>
      <c r="C163" t="s">
        <v>780</v>
      </c>
      <c r="D163" s="1">
        <v>1</v>
      </c>
      <c r="E163" s="1" t="s">
        <v>289</v>
      </c>
      <c r="F163" s="4">
        <v>45406</v>
      </c>
      <c r="G163" s="1" t="s">
        <v>21</v>
      </c>
      <c r="H163" s="6">
        <f t="shared" si="14"/>
        <v>0.24834490740740739</v>
      </c>
      <c r="I163" s="1" t="s">
        <v>21</v>
      </c>
      <c r="J163" s="6">
        <v>2.7384259259259261E-2</v>
      </c>
      <c r="K163" s="3">
        <v>0.22096064814814814</v>
      </c>
      <c r="L163" s="1" t="s">
        <v>7</v>
      </c>
      <c r="M163" s="1" t="s">
        <v>8</v>
      </c>
      <c r="N163" s="1">
        <v>2</v>
      </c>
      <c r="O163" s="35">
        <v>2</v>
      </c>
      <c r="P163" s="35">
        <v>90</v>
      </c>
      <c r="Q163" s="35">
        <v>90</v>
      </c>
      <c r="R163" s="2">
        <v>115.17</v>
      </c>
      <c r="S163" s="2">
        <v>115.17</v>
      </c>
      <c r="T163" s="1">
        <v>0</v>
      </c>
      <c r="U163" s="1" t="s">
        <v>545</v>
      </c>
      <c r="W163" s="29" t="s">
        <v>641</v>
      </c>
    </row>
    <row r="164" spans="1:23" x14ac:dyDescent="0.2">
      <c r="A164" s="1">
        <v>1</v>
      </c>
      <c r="B164" s="35" t="s">
        <v>776</v>
      </c>
      <c r="C164" t="s">
        <v>778</v>
      </c>
      <c r="D164" s="1">
        <v>1</v>
      </c>
      <c r="E164" s="1" t="s">
        <v>289</v>
      </c>
      <c r="F164" s="4">
        <v>45406</v>
      </c>
      <c r="G164" s="1" t="s">
        <v>21</v>
      </c>
      <c r="H164" s="6">
        <f t="shared" si="14"/>
        <v>0.24840277777777778</v>
      </c>
      <c r="I164" s="1" t="s">
        <v>21</v>
      </c>
      <c r="J164" s="6">
        <v>2.7442129629629629E-2</v>
      </c>
      <c r="K164" s="3">
        <v>0.22096064814814814</v>
      </c>
      <c r="L164" s="1" t="s">
        <v>8</v>
      </c>
      <c r="M164" s="1" t="s">
        <v>7</v>
      </c>
      <c r="N164" s="1">
        <v>2</v>
      </c>
      <c r="O164" s="35">
        <v>2</v>
      </c>
      <c r="P164" s="35">
        <v>90</v>
      </c>
      <c r="Q164" s="35">
        <v>90</v>
      </c>
      <c r="R164" s="2">
        <v>115.17</v>
      </c>
      <c r="S164" s="2">
        <v>115.17</v>
      </c>
      <c r="T164" s="1">
        <v>0</v>
      </c>
      <c r="U164" s="1" t="s">
        <v>482</v>
      </c>
      <c r="W164" s="29" t="s">
        <v>643</v>
      </c>
    </row>
    <row r="165" spans="1:23" x14ac:dyDescent="0.2">
      <c r="A165" s="1">
        <v>1</v>
      </c>
      <c r="B165" s="35" t="s">
        <v>777</v>
      </c>
      <c r="C165" t="s">
        <v>780</v>
      </c>
      <c r="D165" s="1">
        <v>2</v>
      </c>
      <c r="E165" s="1" t="s">
        <v>289</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35">
        <v>2</v>
      </c>
      <c r="P165" s="35">
        <v>90</v>
      </c>
      <c r="Q165" s="35">
        <v>90</v>
      </c>
      <c r="R165" s="2">
        <v>115.17</v>
      </c>
      <c r="S165" s="2">
        <v>115.17</v>
      </c>
      <c r="T165" s="1">
        <v>0</v>
      </c>
      <c r="U165" s="1" t="s">
        <v>544</v>
      </c>
      <c r="W165" s="29" t="s">
        <v>641</v>
      </c>
    </row>
    <row r="166" spans="1:23" x14ac:dyDescent="0.2">
      <c r="A166" s="1">
        <v>1</v>
      </c>
      <c r="B166" s="35" t="s">
        <v>777</v>
      </c>
      <c r="C166" t="s">
        <v>780</v>
      </c>
      <c r="D166" s="1">
        <v>1</v>
      </c>
      <c r="E166" s="1" t="s">
        <v>282</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35">
        <v>3</v>
      </c>
      <c r="P166" s="35">
        <v>90</v>
      </c>
      <c r="Q166" s="35">
        <v>90</v>
      </c>
      <c r="R166" s="2">
        <v>115.17</v>
      </c>
      <c r="S166" s="2">
        <v>57.4</v>
      </c>
      <c r="T166" s="1">
        <v>1</v>
      </c>
      <c r="W166" s="4" t="s">
        <v>643</v>
      </c>
    </row>
    <row r="167" spans="1:23" x14ac:dyDescent="0.2">
      <c r="A167" s="1">
        <v>1</v>
      </c>
      <c r="B167" s="35" t="s">
        <v>776</v>
      </c>
      <c r="C167" t="s">
        <v>778</v>
      </c>
      <c r="D167" s="1" t="s">
        <v>21</v>
      </c>
      <c r="E167" s="1" t="s">
        <v>282</v>
      </c>
      <c r="F167" s="4">
        <v>45406</v>
      </c>
      <c r="G167" s="1" t="s">
        <v>21</v>
      </c>
      <c r="H167" s="6" t="s">
        <v>21</v>
      </c>
      <c r="I167" s="1" t="s">
        <v>21</v>
      </c>
      <c r="J167" s="6" t="s">
        <v>21</v>
      </c>
      <c r="K167" s="3">
        <v>0.76820601851851855</v>
      </c>
      <c r="L167" s="1" t="s">
        <v>7</v>
      </c>
      <c r="M167" s="1" t="s">
        <v>8</v>
      </c>
      <c r="N167" s="1">
        <v>2</v>
      </c>
      <c r="O167" s="35">
        <v>3</v>
      </c>
      <c r="P167" s="35">
        <v>90</v>
      </c>
      <c r="Q167" s="35">
        <v>90</v>
      </c>
      <c r="R167" s="2">
        <v>115.17</v>
      </c>
      <c r="S167" s="2">
        <v>57.4</v>
      </c>
      <c r="T167" s="1" t="s">
        <v>21</v>
      </c>
      <c r="W167" s="4" t="s">
        <v>643</v>
      </c>
    </row>
    <row r="168" spans="1:23" x14ac:dyDescent="0.2">
      <c r="A168" s="1">
        <v>1</v>
      </c>
      <c r="B168" s="35" t="s">
        <v>776</v>
      </c>
      <c r="C168" t="s">
        <v>778</v>
      </c>
      <c r="D168" s="1">
        <v>1</v>
      </c>
      <c r="E168" s="1" t="s">
        <v>281</v>
      </c>
      <c r="F168" s="4">
        <v>45407</v>
      </c>
      <c r="G168" s="1" t="s">
        <v>21</v>
      </c>
      <c r="H168" s="6" t="s">
        <v>21</v>
      </c>
      <c r="I168" s="1" t="s">
        <v>21</v>
      </c>
      <c r="J168" s="6" t="s">
        <v>21</v>
      </c>
      <c r="K168" s="3">
        <v>0.75351851851851848</v>
      </c>
      <c r="L168" s="1" t="s">
        <v>8</v>
      </c>
      <c r="M168" s="1" t="s">
        <v>8</v>
      </c>
      <c r="N168" s="1">
        <v>3</v>
      </c>
      <c r="O168" s="35">
        <v>3</v>
      </c>
      <c r="P168" s="35">
        <v>90</v>
      </c>
      <c r="Q168" s="35">
        <v>90</v>
      </c>
      <c r="R168" s="2">
        <v>57.4</v>
      </c>
      <c r="S168" s="2">
        <v>57.4</v>
      </c>
      <c r="T168" s="1" t="s">
        <v>21</v>
      </c>
      <c r="U168" s="1" t="s">
        <v>561</v>
      </c>
      <c r="W168" s="4" t="s">
        <v>643</v>
      </c>
    </row>
    <row r="169" spans="1:23" x14ac:dyDescent="0.2">
      <c r="A169" s="1">
        <v>1</v>
      </c>
      <c r="B169" s="35" t="s">
        <v>777</v>
      </c>
      <c r="C169" t="s">
        <v>780</v>
      </c>
      <c r="D169" s="1">
        <v>1</v>
      </c>
      <c r="E169" s="1" t="s">
        <v>281</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35">
        <v>3</v>
      </c>
      <c r="P169" s="35">
        <v>90</v>
      </c>
      <c r="Q169" s="35">
        <v>90</v>
      </c>
      <c r="R169" s="2">
        <v>57.4</v>
      </c>
      <c r="S169" s="2">
        <v>57.4</v>
      </c>
      <c r="T169" s="1" t="s">
        <v>21</v>
      </c>
      <c r="U169" s="1" t="s">
        <v>560</v>
      </c>
      <c r="W169" s="4" t="s">
        <v>643</v>
      </c>
    </row>
    <row r="170" spans="1:23" x14ac:dyDescent="0.2">
      <c r="A170" s="1">
        <v>1</v>
      </c>
      <c r="B170" s="35" t="s">
        <v>776</v>
      </c>
      <c r="C170" t="s">
        <v>778</v>
      </c>
      <c r="D170" s="1">
        <v>1</v>
      </c>
      <c r="E170" s="1" t="s">
        <v>559</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35">
        <v>3</v>
      </c>
      <c r="P170" s="35">
        <v>90</v>
      </c>
      <c r="Q170" s="35">
        <v>90</v>
      </c>
      <c r="R170" s="2">
        <v>57.4</v>
      </c>
      <c r="S170" s="2">
        <v>57.4</v>
      </c>
      <c r="T170" s="1">
        <v>1</v>
      </c>
      <c r="W170" s="4" t="s">
        <v>643</v>
      </c>
    </row>
    <row r="171" spans="1:23" x14ac:dyDescent="0.2">
      <c r="A171" s="1">
        <v>1</v>
      </c>
      <c r="B171" s="35" t="s">
        <v>777</v>
      </c>
      <c r="C171" t="s">
        <v>780</v>
      </c>
      <c r="D171" s="1" t="s">
        <v>21</v>
      </c>
      <c r="E171" s="1" t="s">
        <v>559</v>
      </c>
      <c r="F171" s="4">
        <v>45408</v>
      </c>
      <c r="G171" s="1" t="s">
        <v>21</v>
      </c>
      <c r="H171" s="6" t="s">
        <v>21</v>
      </c>
      <c r="I171" s="1" t="s">
        <v>21</v>
      </c>
      <c r="J171" s="6" t="s">
        <v>21</v>
      </c>
      <c r="K171" s="3">
        <v>0.75815972222222228</v>
      </c>
      <c r="L171" s="1" t="s">
        <v>7</v>
      </c>
      <c r="M171" s="1" t="s">
        <v>7</v>
      </c>
      <c r="N171" s="1">
        <v>3</v>
      </c>
      <c r="O171" s="35">
        <v>3</v>
      </c>
      <c r="P171" s="35">
        <v>90</v>
      </c>
      <c r="Q171" s="35">
        <v>90</v>
      </c>
      <c r="R171" s="2">
        <v>57.4</v>
      </c>
      <c r="S171" s="2">
        <v>57.4</v>
      </c>
      <c r="T171" s="1" t="s">
        <v>21</v>
      </c>
      <c r="W171" s="4" t="s">
        <v>643</v>
      </c>
    </row>
    <row r="172" spans="1:23" x14ac:dyDescent="0.2">
      <c r="A172" s="1">
        <v>1</v>
      </c>
      <c r="B172" s="35" t="s">
        <v>777</v>
      </c>
      <c r="C172" t="s">
        <v>780</v>
      </c>
      <c r="D172" s="1">
        <v>1</v>
      </c>
      <c r="E172" s="1" t="s">
        <v>562</v>
      </c>
      <c r="F172" s="4">
        <v>45409</v>
      </c>
      <c r="G172" s="1" t="s">
        <v>21</v>
      </c>
      <c r="H172" s="6">
        <f>J172+K172</f>
        <v>0.78149305555555559</v>
      </c>
      <c r="I172" s="1" t="s">
        <v>21</v>
      </c>
      <c r="J172" s="6">
        <v>7.2685185185185188E-3</v>
      </c>
      <c r="K172" s="3">
        <v>0.77422453703703709</v>
      </c>
      <c r="L172" s="1" t="s">
        <v>8</v>
      </c>
      <c r="M172" s="1" t="s">
        <v>8</v>
      </c>
      <c r="N172" s="1">
        <v>2</v>
      </c>
      <c r="O172" s="35">
        <v>2</v>
      </c>
      <c r="P172" s="35">
        <v>90</v>
      </c>
      <c r="Q172" s="35">
        <v>90</v>
      </c>
      <c r="R172" s="2">
        <v>57.4</v>
      </c>
      <c r="S172" s="2">
        <v>57.4</v>
      </c>
      <c r="T172" s="1">
        <v>0</v>
      </c>
      <c r="U172" s="1" t="s">
        <v>564</v>
      </c>
      <c r="W172" s="4" t="s">
        <v>643</v>
      </c>
    </row>
    <row r="173" spans="1:23" x14ac:dyDescent="0.2">
      <c r="A173" s="1">
        <v>1</v>
      </c>
      <c r="B173" s="35" t="s">
        <v>776</v>
      </c>
      <c r="C173" t="s">
        <v>778</v>
      </c>
      <c r="D173" s="1" t="s">
        <v>21</v>
      </c>
      <c r="E173" s="1" t="s">
        <v>562</v>
      </c>
      <c r="F173" s="4">
        <v>45409</v>
      </c>
      <c r="G173" s="1" t="s">
        <v>21</v>
      </c>
      <c r="H173" s="6" t="s">
        <v>21</v>
      </c>
      <c r="I173" s="1" t="s">
        <v>21</v>
      </c>
      <c r="J173" s="6" t="s">
        <v>21</v>
      </c>
      <c r="K173" s="3">
        <v>0.77422453703703709</v>
      </c>
      <c r="L173" s="1" t="s">
        <v>7</v>
      </c>
      <c r="M173" s="1" t="s">
        <v>7</v>
      </c>
      <c r="N173" s="1">
        <v>2</v>
      </c>
      <c r="O173" s="35">
        <v>2</v>
      </c>
      <c r="P173" s="35">
        <v>90</v>
      </c>
      <c r="Q173" s="35">
        <v>90</v>
      </c>
      <c r="R173" s="2">
        <v>57.4</v>
      </c>
      <c r="S173" s="2">
        <v>57.4</v>
      </c>
      <c r="T173" s="1" t="s">
        <v>21</v>
      </c>
      <c r="U173" s="1" t="s">
        <v>542</v>
      </c>
      <c r="W173" s="4" t="s">
        <v>643</v>
      </c>
    </row>
    <row r="174" spans="1:23" x14ac:dyDescent="0.2">
      <c r="A174" s="1">
        <v>1</v>
      </c>
      <c r="B174" s="35" t="s">
        <v>776</v>
      </c>
      <c r="C174" t="s">
        <v>778</v>
      </c>
      <c r="D174" s="1">
        <v>1</v>
      </c>
      <c r="E174" s="1" t="s">
        <v>563</v>
      </c>
      <c r="F174" s="4">
        <v>45410</v>
      </c>
      <c r="G174" s="1" t="s">
        <v>21</v>
      </c>
      <c r="H174" s="6">
        <f>J174+K174</f>
        <v>0.24263888888888888</v>
      </c>
      <c r="I174" s="1" t="s">
        <v>21</v>
      </c>
      <c r="J174" s="6">
        <v>9.4560185185185181E-3</v>
      </c>
      <c r="K174" s="3">
        <v>0.23318287037037036</v>
      </c>
      <c r="L174" s="1" t="s">
        <v>7</v>
      </c>
      <c r="M174" s="1" t="s">
        <v>7</v>
      </c>
      <c r="N174" s="1">
        <v>2</v>
      </c>
      <c r="O174" s="35">
        <v>2</v>
      </c>
      <c r="P174" s="35">
        <v>90</v>
      </c>
      <c r="Q174" s="35">
        <v>90</v>
      </c>
      <c r="R174" s="2">
        <v>57.4</v>
      </c>
      <c r="S174" s="2">
        <v>57.4</v>
      </c>
      <c r="T174" s="1">
        <v>0</v>
      </c>
      <c r="U174" s="1" t="s">
        <v>566</v>
      </c>
      <c r="W174" s="4" t="s">
        <v>643</v>
      </c>
    </row>
    <row r="175" spans="1:23" x14ac:dyDescent="0.2">
      <c r="A175" s="1">
        <v>1</v>
      </c>
      <c r="B175" s="35" t="s">
        <v>777</v>
      </c>
      <c r="C175" t="s">
        <v>780</v>
      </c>
      <c r="D175" s="1">
        <v>1</v>
      </c>
      <c r="E175" s="1" t="s">
        <v>563</v>
      </c>
      <c r="F175" s="4">
        <v>45410</v>
      </c>
      <c r="G175" s="3">
        <f>I175+K175</f>
        <v>0.2434375</v>
      </c>
      <c r="H175" s="6">
        <f>J175+K175</f>
        <v>0.25074074074074071</v>
      </c>
      <c r="I175" s="3">
        <v>1.0254629629629629E-2</v>
      </c>
      <c r="J175" s="6">
        <v>1.755787037037037E-2</v>
      </c>
      <c r="K175" s="3">
        <v>0.23318287037037036</v>
      </c>
      <c r="L175" s="1" t="s">
        <v>8</v>
      </c>
      <c r="M175" s="1" t="s">
        <v>8</v>
      </c>
      <c r="N175" s="1">
        <v>2</v>
      </c>
      <c r="O175" s="35">
        <v>2</v>
      </c>
      <c r="P175" s="35">
        <v>90</v>
      </c>
      <c r="Q175" s="35">
        <v>90</v>
      </c>
      <c r="R175" s="2">
        <v>57.4</v>
      </c>
      <c r="S175" s="2">
        <v>57.4</v>
      </c>
      <c r="T175" s="1" t="s">
        <v>21</v>
      </c>
      <c r="U175" s="1" t="s">
        <v>565</v>
      </c>
      <c r="W175" s="4" t="s">
        <v>643</v>
      </c>
    </row>
    <row r="176" spans="1:23" x14ac:dyDescent="0.2">
      <c r="A176" s="1">
        <v>1</v>
      </c>
      <c r="B176" s="35" t="s">
        <v>777</v>
      </c>
      <c r="C176" t="s">
        <v>780</v>
      </c>
      <c r="D176" s="1">
        <v>1</v>
      </c>
      <c r="E176" s="1" t="s">
        <v>553</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35">
        <v>2</v>
      </c>
      <c r="P176" s="35">
        <v>90</v>
      </c>
      <c r="Q176" s="35">
        <v>90</v>
      </c>
      <c r="R176" s="2">
        <v>57.4</v>
      </c>
      <c r="S176" s="2">
        <v>57.4</v>
      </c>
      <c r="T176" s="1">
        <v>1</v>
      </c>
      <c r="U176" s="1" t="s">
        <v>555</v>
      </c>
      <c r="W176" s="4" t="s">
        <v>643</v>
      </c>
    </row>
    <row r="177" spans="1:23" x14ac:dyDescent="0.2">
      <c r="A177" s="1">
        <v>1</v>
      </c>
      <c r="B177" s="35" t="s">
        <v>776</v>
      </c>
      <c r="C177" t="s">
        <v>778</v>
      </c>
      <c r="D177" s="1">
        <v>1</v>
      </c>
      <c r="E177" s="1" t="s">
        <v>553</v>
      </c>
      <c r="F177" s="4">
        <v>45411</v>
      </c>
      <c r="G177" s="1" t="s">
        <v>21</v>
      </c>
      <c r="H177" s="6">
        <f>J177+K177</f>
        <v>0.24275462962962963</v>
      </c>
      <c r="I177" s="1" t="s">
        <v>21</v>
      </c>
      <c r="J177" s="6">
        <v>6.6087962962962966E-3</v>
      </c>
      <c r="K177" s="6">
        <v>0.23614583333333333</v>
      </c>
      <c r="L177" s="1" t="s">
        <v>8</v>
      </c>
      <c r="M177" s="1" t="s">
        <v>7</v>
      </c>
      <c r="N177" s="1">
        <v>2</v>
      </c>
      <c r="O177" s="35">
        <v>2</v>
      </c>
      <c r="P177" s="35">
        <v>90</v>
      </c>
      <c r="Q177" s="35">
        <v>90</v>
      </c>
      <c r="R177" s="2">
        <v>57.4</v>
      </c>
      <c r="S177" s="2">
        <v>57.4</v>
      </c>
      <c r="T177" s="1" t="s">
        <v>21</v>
      </c>
      <c r="U177" s="1" t="s">
        <v>554</v>
      </c>
      <c r="W177" s="4" t="s">
        <v>643</v>
      </c>
    </row>
    <row r="178" spans="1:23" x14ac:dyDescent="0.2">
      <c r="A178" s="1">
        <v>1</v>
      </c>
      <c r="B178" s="35" t="s">
        <v>777</v>
      </c>
      <c r="C178" t="s">
        <v>780</v>
      </c>
      <c r="D178" s="1" t="s">
        <v>21</v>
      </c>
      <c r="E178" s="1" t="s">
        <v>296</v>
      </c>
      <c r="F178" s="4">
        <v>45411</v>
      </c>
      <c r="G178" s="1" t="s">
        <v>21</v>
      </c>
      <c r="H178" s="6" t="s">
        <v>21</v>
      </c>
      <c r="I178" s="1" t="s">
        <v>21</v>
      </c>
      <c r="J178" s="6" t="s">
        <v>21</v>
      </c>
      <c r="K178" s="3">
        <v>0.76478009259259261</v>
      </c>
      <c r="L178" s="1" t="s">
        <v>8</v>
      </c>
      <c r="M178" s="1" t="s">
        <v>7</v>
      </c>
      <c r="N178" s="1">
        <v>2</v>
      </c>
      <c r="O178" s="35">
        <v>2</v>
      </c>
      <c r="P178" s="35">
        <v>90</v>
      </c>
      <c r="Q178" s="35">
        <v>90</v>
      </c>
      <c r="R178" s="2">
        <v>57.4</v>
      </c>
      <c r="S178" s="2">
        <v>57.4</v>
      </c>
      <c r="T178" s="1" t="s">
        <v>21</v>
      </c>
      <c r="U178" s="1" t="s">
        <v>568</v>
      </c>
      <c r="W178" s="4" t="s">
        <v>643</v>
      </c>
    </row>
    <row r="179" spans="1:23" x14ac:dyDescent="0.2">
      <c r="A179" s="1">
        <v>1</v>
      </c>
      <c r="B179" s="35" t="s">
        <v>776</v>
      </c>
      <c r="C179" t="s">
        <v>778</v>
      </c>
      <c r="D179" s="1" t="s">
        <v>21</v>
      </c>
      <c r="E179" s="1" t="s">
        <v>296</v>
      </c>
      <c r="F179" s="4">
        <v>45411</v>
      </c>
      <c r="G179" s="1" t="s">
        <v>21</v>
      </c>
      <c r="H179" s="6" t="s">
        <v>21</v>
      </c>
      <c r="I179" s="1" t="s">
        <v>21</v>
      </c>
      <c r="J179" s="6" t="s">
        <v>21</v>
      </c>
      <c r="K179" s="3">
        <v>0.76478009259259261</v>
      </c>
      <c r="L179" s="1" t="s">
        <v>7</v>
      </c>
      <c r="M179" s="1" t="s">
        <v>8</v>
      </c>
      <c r="N179" s="1">
        <v>2</v>
      </c>
      <c r="O179" s="35">
        <v>2</v>
      </c>
      <c r="P179" s="35">
        <v>90</v>
      </c>
      <c r="Q179" s="35">
        <v>90</v>
      </c>
      <c r="R179" s="2">
        <v>57.4</v>
      </c>
      <c r="S179" s="2">
        <v>57.4</v>
      </c>
      <c r="T179" s="1" t="s">
        <v>21</v>
      </c>
      <c r="W179" s="4" t="s">
        <v>643</v>
      </c>
    </row>
    <row r="180" spans="1:23" x14ac:dyDescent="0.2">
      <c r="A180" s="1">
        <v>1</v>
      </c>
      <c r="B180" s="35" t="s">
        <v>777</v>
      </c>
      <c r="C180" t="s">
        <v>780</v>
      </c>
      <c r="D180" s="1">
        <v>1</v>
      </c>
      <c r="E180" s="1" t="s">
        <v>569</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35">
        <v>2</v>
      </c>
      <c r="P180" s="35">
        <v>90</v>
      </c>
      <c r="Q180" s="35">
        <v>90</v>
      </c>
      <c r="R180" s="2">
        <v>57.4</v>
      </c>
      <c r="S180" s="2">
        <v>57.4</v>
      </c>
      <c r="T180" s="1">
        <v>1</v>
      </c>
      <c r="W180" s="4" t="s">
        <v>643</v>
      </c>
    </row>
    <row r="181" spans="1:23" x14ac:dyDescent="0.2">
      <c r="A181" s="1">
        <v>1</v>
      </c>
      <c r="B181" s="35" t="s">
        <v>776</v>
      </c>
      <c r="C181" t="s">
        <v>778</v>
      </c>
      <c r="E181" s="1" t="s">
        <v>569</v>
      </c>
      <c r="F181" s="4">
        <v>45412</v>
      </c>
      <c r="G181" s="1" t="s">
        <v>21</v>
      </c>
      <c r="H181" s="6">
        <f t="shared" si="15"/>
        <v>0.24458333333333335</v>
      </c>
      <c r="I181" s="1" t="s">
        <v>21</v>
      </c>
      <c r="J181" s="3">
        <v>2.3472222222222221E-2</v>
      </c>
      <c r="K181" s="3">
        <v>0.22111111111111112</v>
      </c>
      <c r="L181" s="1" t="s">
        <v>8</v>
      </c>
      <c r="M181" s="1" t="s">
        <v>8</v>
      </c>
      <c r="N181" s="1">
        <v>2</v>
      </c>
      <c r="O181" s="35">
        <v>2</v>
      </c>
      <c r="P181" s="35">
        <v>90</v>
      </c>
      <c r="Q181" s="35">
        <v>90</v>
      </c>
      <c r="R181" s="2">
        <v>57.4</v>
      </c>
      <c r="S181" s="2">
        <v>57.4</v>
      </c>
      <c r="T181" s="1">
        <v>1</v>
      </c>
      <c r="W181" s="4" t="s">
        <v>643</v>
      </c>
    </row>
    <row r="182" spans="1:23" x14ac:dyDescent="0.2">
      <c r="A182" s="1">
        <v>1</v>
      </c>
      <c r="B182" s="35" t="s">
        <v>776</v>
      </c>
      <c r="C182" t="s">
        <v>778</v>
      </c>
      <c r="D182" s="1">
        <v>1</v>
      </c>
      <c r="E182" s="1" t="s">
        <v>299</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35">
        <v>2</v>
      </c>
      <c r="P182" s="35">
        <v>90</v>
      </c>
      <c r="Q182" s="35">
        <v>90</v>
      </c>
      <c r="R182" s="2">
        <v>57.4</v>
      </c>
      <c r="S182" s="2">
        <v>57.4</v>
      </c>
      <c r="T182" s="1">
        <v>1</v>
      </c>
      <c r="W182" s="4" t="s">
        <v>643</v>
      </c>
    </row>
    <row r="183" spans="1:23" x14ac:dyDescent="0.2">
      <c r="A183" s="1">
        <v>1</v>
      </c>
      <c r="B183" s="35" t="s">
        <v>777</v>
      </c>
      <c r="C183" t="s">
        <v>780</v>
      </c>
      <c r="D183" s="1">
        <v>1</v>
      </c>
      <c r="E183" s="1" t="s">
        <v>570</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35">
        <v>2</v>
      </c>
      <c r="P183" s="35">
        <v>90</v>
      </c>
      <c r="Q183" s="35">
        <v>90</v>
      </c>
      <c r="R183" s="2">
        <v>57.4</v>
      </c>
      <c r="S183" s="2">
        <v>57.4</v>
      </c>
      <c r="T183" s="1">
        <v>1</v>
      </c>
      <c r="W183" s="4" t="s">
        <v>643</v>
      </c>
    </row>
    <row r="184" spans="1:23" x14ac:dyDescent="0.2">
      <c r="A184" s="1">
        <v>1</v>
      </c>
      <c r="B184" s="35" t="s">
        <v>776</v>
      </c>
      <c r="C184" t="s">
        <v>778</v>
      </c>
      <c r="D184" s="1">
        <v>1</v>
      </c>
      <c r="E184" s="1" t="s">
        <v>570</v>
      </c>
      <c r="F184" s="4">
        <v>45413</v>
      </c>
      <c r="G184" s="1" t="s">
        <v>21</v>
      </c>
      <c r="H184" s="6">
        <f t="shared" si="15"/>
        <v>0.24356481481481482</v>
      </c>
      <c r="I184" s="1" t="s">
        <v>21</v>
      </c>
      <c r="J184" s="6">
        <v>2.4074074074074074E-2</v>
      </c>
      <c r="K184" s="3">
        <v>0.21949074074074074</v>
      </c>
      <c r="L184" s="1" t="s">
        <v>7</v>
      </c>
      <c r="M184" s="1" t="s">
        <v>8</v>
      </c>
      <c r="N184" s="1">
        <v>2</v>
      </c>
      <c r="O184" s="35">
        <v>2</v>
      </c>
      <c r="P184" s="35">
        <v>90</v>
      </c>
      <c r="Q184" s="35">
        <v>90</v>
      </c>
      <c r="R184" s="2">
        <v>57.4</v>
      </c>
      <c r="S184" s="2">
        <v>57.4</v>
      </c>
      <c r="T184" s="1">
        <v>1</v>
      </c>
      <c r="U184" s="1" t="s">
        <v>580</v>
      </c>
      <c r="W184" s="4" t="s">
        <v>643</v>
      </c>
    </row>
    <row r="185" spans="1:23" x14ac:dyDescent="0.2">
      <c r="A185" s="1">
        <v>1</v>
      </c>
      <c r="B185" s="35" t="s">
        <v>777</v>
      </c>
      <c r="C185" t="s">
        <v>780</v>
      </c>
      <c r="D185" s="1">
        <v>1</v>
      </c>
      <c r="E185" s="1" t="s">
        <v>478</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35">
        <v>2</v>
      </c>
      <c r="P185" s="35">
        <v>90</v>
      </c>
      <c r="Q185" s="35">
        <v>90</v>
      </c>
      <c r="R185" s="2">
        <v>57.4</v>
      </c>
      <c r="S185" s="2">
        <v>57.4</v>
      </c>
      <c r="T185" s="1">
        <v>0</v>
      </c>
      <c r="W185" s="4" t="s">
        <v>643</v>
      </c>
    </row>
    <row r="186" spans="1:23" x14ac:dyDescent="0.2">
      <c r="A186" s="1">
        <v>1</v>
      </c>
      <c r="B186" s="35" t="s">
        <v>777</v>
      </c>
      <c r="C186" t="s">
        <v>780</v>
      </c>
      <c r="D186" s="1">
        <v>2</v>
      </c>
      <c r="E186" s="1" t="s">
        <v>478</v>
      </c>
      <c r="F186" s="4">
        <v>45414</v>
      </c>
      <c r="G186" s="1" t="s">
        <v>21</v>
      </c>
      <c r="H186" s="6">
        <f t="shared" si="15"/>
        <v>0.25666666666666665</v>
      </c>
      <c r="I186" s="1" t="s">
        <v>21</v>
      </c>
      <c r="J186" s="6">
        <v>3.8124999999999999E-2</v>
      </c>
      <c r="K186" s="3">
        <v>0.21854166666666666</v>
      </c>
      <c r="L186" s="1" t="s">
        <v>7</v>
      </c>
      <c r="M186" s="1" t="s">
        <v>8</v>
      </c>
      <c r="N186" s="1">
        <v>3</v>
      </c>
      <c r="O186" s="35">
        <v>2</v>
      </c>
      <c r="P186" s="35">
        <v>90</v>
      </c>
      <c r="Q186" s="35">
        <v>90</v>
      </c>
      <c r="R186" s="2">
        <v>57.4</v>
      </c>
      <c r="S186" s="2">
        <v>57.4</v>
      </c>
      <c r="T186" s="1">
        <v>1</v>
      </c>
      <c r="U186" s="1" t="s">
        <v>581</v>
      </c>
      <c r="W186" s="4" t="s">
        <v>643</v>
      </c>
    </row>
    <row r="187" spans="1:23" x14ac:dyDescent="0.2">
      <c r="A187" s="1">
        <v>1</v>
      </c>
      <c r="B187" s="35" t="s">
        <v>776</v>
      </c>
      <c r="C187" t="s">
        <v>778</v>
      </c>
      <c r="D187" s="1">
        <v>1</v>
      </c>
      <c r="E187" s="1" t="s">
        <v>478</v>
      </c>
      <c r="F187" s="4">
        <v>45414</v>
      </c>
      <c r="G187" s="1" t="s">
        <v>21</v>
      </c>
      <c r="H187" s="6">
        <f t="shared" si="15"/>
        <v>0.25842592592592595</v>
      </c>
      <c r="I187" s="1" t="s">
        <v>21</v>
      </c>
      <c r="J187" s="6">
        <v>3.9884259259259258E-2</v>
      </c>
      <c r="K187" s="3">
        <v>0.21854166666666666</v>
      </c>
      <c r="L187" s="1" t="s">
        <v>8</v>
      </c>
      <c r="M187" s="1" t="s">
        <v>7</v>
      </c>
      <c r="N187" s="1">
        <v>3</v>
      </c>
      <c r="O187" s="35">
        <v>2</v>
      </c>
      <c r="P187" s="35">
        <v>90</v>
      </c>
      <c r="Q187" s="35">
        <v>90</v>
      </c>
      <c r="R187" s="2">
        <v>57.4</v>
      </c>
      <c r="S187" s="2">
        <v>57.4</v>
      </c>
      <c r="T187" s="1">
        <v>0</v>
      </c>
      <c r="U187" s="1" t="s">
        <v>581</v>
      </c>
      <c r="W187" s="4" t="s">
        <v>643</v>
      </c>
    </row>
    <row r="188" spans="1:23" x14ac:dyDescent="0.2">
      <c r="A188" s="1">
        <v>1</v>
      </c>
      <c r="B188" s="35" t="s">
        <v>776</v>
      </c>
      <c r="C188" t="s">
        <v>778</v>
      </c>
      <c r="D188" s="1">
        <v>1</v>
      </c>
      <c r="E188" s="1" t="s">
        <v>477</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35">
        <v>2</v>
      </c>
      <c r="P188" s="35">
        <v>90</v>
      </c>
      <c r="Q188" s="35">
        <v>90</v>
      </c>
      <c r="R188" s="2">
        <v>57.4</v>
      </c>
      <c r="S188" s="2">
        <v>57.4</v>
      </c>
      <c r="T188" s="1">
        <v>1</v>
      </c>
      <c r="W188" s="4" t="s">
        <v>643</v>
      </c>
    </row>
    <row r="189" spans="1:23" x14ac:dyDescent="0.2">
      <c r="A189" s="1">
        <v>1</v>
      </c>
      <c r="B189" s="35" t="s">
        <v>777</v>
      </c>
      <c r="C189" t="s">
        <v>780</v>
      </c>
      <c r="D189" s="1">
        <v>1</v>
      </c>
      <c r="E189" s="1" t="s">
        <v>477</v>
      </c>
      <c r="F189" s="4">
        <v>45414</v>
      </c>
      <c r="G189" s="1" t="s">
        <v>21</v>
      </c>
      <c r="H189" s="6" t="s">
        <v>21</v>
      </c>
      <c r="I189" s="1" t="s">
        <v>21</v>
      </c>
      <c r="J189" s="6" t="s">
        <v>21</v>
      </c>
      <c r="K189" s="3">
        <v>0.76202546296296292</v>
      </c>
      <c r="L189" s="1" t="s">
        <v>8</v>
      </c>
      <c r="M189" s="1" t="s">
        <v>7</v>
      </c>
      <c r="N189" s="1">
        <v>2</v>
      </c>
      <c r="O189" s="35">
        <v>2</v>
      </c>
      <c r="P189" s="35">
        <v>90</v>
      </c>
      <c r="Q189" s="35">
        <v>90</v>
      </c>
      <c r="R189" s="2">
        <v>57.4</v>
      </c>
      <c r="S189" s="2">
        <v>57.4</v>
      </c>
      <c r="T189" s="1" t="s">
        <v>21</v>
      </c>
      <c r="U189" s="1" t="s">
        <v>167</v>
      </c>
      <c r="W189" s="4" t="s">
        <v>643</v>
      </c>
    </row>
    <row r="190" spans="1:23" x14ac:dyDescent="0.2">
      <c r="A190" s="1">
        <v>1</v>
      </c>
      <c r="B190" s="35" t="s">
        <v>777</v>
      </c>
      <c r="C190" t="s">
        <v>780</v>
      </c>
      <c r="D190" s="1">
        <v>1</v>
      </c>
      <c r="E190" s="1" t="s">
        <v>299</v>
      </c>
      <c r="F190" s="4" t="s">
        <v>21</v>
      </c>
      <c r="G190" s="3">
        <f>I190+K190</f>
        <v>0.78900462962962969</v>
      </c>
      <c r="H190" s="6" t="s">
        <v>21</v>
      </c>
      <c r="I190" s="3">
        <v>2.7222222222222221E-2</v>
      </c>
      <c r="J190" s="6" t="s">
        <v>21</v>
      </c>
      <c r="K190" s="3">
        <v>0.76178240740740744</v>
      </c>
      <c r="L190" s="1" t="s">
        <v>8</v>
      </c>
      <c r="M190" s="1" t="s">
        <v>8</v>
      </c>
      <c r="N190" s="1">
        <v>2</v>
      </c>
      <c r="O190" s="35">
        <v>2</v>
      </c>
      <c r="P190" s="35">
        <v>90</v>
      </c>
      <c r="Q190" s="35">
        <v>90</v>
      </c>
      <c r="R190" s="2">
        <v>57.4</v>
      </c>
      <c r="S190" s="2">
        <v>57.4</v>
      </c>
      <c r="T190" s="1" t="s">
        <v>21</v>
      </c>
      <c r="U190" s="1" t="s">
        <v>579</v>
      </c>
      <c r="W190" s="4" t="s">
        <v>643</v>
      </c>
    </row>
    <row r="191" spans="1:23" x14ac:dyDescent="0.2">
      <c r="A191" s="1">
        <v>1</v>
      </c>
      <c r="B191" s="35" t="s">
        <v>777</v>
      </c>
      <c r="C191" t="s">
        <v>780</v>
      </c>
      <c r="D191" s="1">
        <v>1</v>
      </c>
      <c r="E191" s="1" t="s">
        <v>250</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35">
        <v>2</v>
      </c>
      <c r="P191" s="35">
        <v>90</v>
      </c>
      <c r="Q191" s="35">
        <v>90</v>
      </c>
      <c r="R191" s="2">
        <v>57.4</v>
      </c>
      <c r="S191" s="2">
        <v>57.4</v>
      </c>
      <c r="T191" s="1">
        <v>1</v>
      </c>
      <c r="W191" s="4" t="s">
        <v>643</v>
      </c>
    </row>
    <row r="192" spans="1:23" x14ac:dyDescent="0.2">
      <c r="A192" s="1">
        <v>1</v>
      </c>
      <c r="B192" s="35" t="s">
        <v>776</v>
      </c>
      <c r="C192" t="s">
        <v>778</v>
      </c>
      <c r="D192" s="1">
        <v>1</v>
      </c>
      <c r="E192" s="1" t="s">
        <v>250</v>
      </c>
      <c r="F192" s="4">
        <v>45410</v>
      </c>
      <c r="H192" s="6">
        <f>J192+K192</f>
        <v>0.78259259259259262</v>
      </c>
      <c r="J192" s="6">
        <v>1.9224537037037037E-2</v>
      </c>
      <c r="K192" s="3">
        <v>0.76336805555555554</v>
      </c>
      <c r="L192" s="1" t="s">
        <v>7</v>
      </c>
      <c r="M192" s="1" t="s">
        <v>8</v>
      </c>
      <c r="N192" s="1">
        <v>2</v>
      </c>
      <c r="O192" s="35">
        <v>2</v>
      </c>
      <c r="P192" s="35">
        <v>90</v>
      </c>
      <c r="Q192" s="35">
        <v>90</v>
      </c>
      <c r="R192" s="2">
        <v>57.4</v>
      </c>
      <c r="S192" s="2">
        <v>57.4</v>
      </c>
      <c r="T192" s="1">
        <v>0</v>
      </c>
      <c r="U192" s="1" t="s">
        <v>144</v>
      </c>
      <c r="W192" s="4" t="s">
        <v>643</v>
      </c>
    </row>
    <row r="193" spans="1:23" x14ac:dyDescent="0.2">
      <c r="A193" s="1">
        <v>1</v>
      </c>
      <c r="B193" s="35" t="s">
        <v>776</v>
      </c>
      <c r="C193" t="s">
        <v>778</v>
      </c>
      <c r="D193" s="1">
        <v>1</v>
      </c>
      <c r="E193" s="1" t="s">
        <v>571</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35">
        <v>2</v>
      </c>
      <c r="P193" s="35">
        <v>90</v>
      </c>
      <c r="Q193" s="35">
        <v>90</v>
      </c>
      <c r="R193" s="2">
        <v>57.4</v>
      </c>
      <c r="S193" s="2">
        <v>57.4</v>
      </c>
      <c r="T193" s="1">
        <v>1</v>
      </c>
      <c r="W193" s="4" t="s">
        <v>643</v>
      </c>
    </row>
    <row r="194" spans="1:23" x14ac:dyDescent="0.2">
      <c r="A194" s="1">
        <v>1</v>
      </c>
      <c r="B194" s="35" t="s">
        <v>777</v>
      </c>
      <c r="C194" t="s">
        <v>780</v>
      </c>
      <c r="D194" s="1" t="s">
        <v>21</v>
      </c>
      <c r="E194" s="1" t="s">
        <v>571</v>
      </c>
      <c r="F194" s="4">
        <v>45413</v>
      </c>
      <c r="G194" s="1" t="s">
        <v>21</v>
      </c>
      <c r="H194" s="6" t="s">
        <v>21</v>
      </c>
      <c r="I194" s="1" t="s">
        <v>21</v>
      </c>
      <c r="J194" s="6" t="s">
        <v>21</v>
      </c>
      <c r="K194" s="3">
        <v>0.77603009259259259</v>
      </c>
      <c r="L194" s="1" t="s">
        <v>7</v>
      </c>
      <c r="M194" s="1" t="s">
        <v>7</v>
      </c>
      <c r="N194" s="1">
        <v>2</v>
      </c>
      <c r="O194" s="35">
        <v>2</v>
      </c>
      <c r="P194" s="35">
        <v>90</v>
      </c>
      <c r="Q194" s="35">
        <v>90</v>
      </c>
      <c r="R194" s="2">
        <v>57.4</v>
      </c>
      <c r="S194" s="2">
        <v>57.4</v>
      </c>
      <c r="T194" s="1" t="s">
        <v>21</v>
      </c>
      <c r="U194" s="1" t="s">
        <v>167</v>
      </c>
      <c r="W194" s="4" t="s">
        <v>643</v>
      </c>
    </row>
    <row r="195" spans="1:23" x14ac:dyDescent="0.2">
      <c r="A195" s="1">
        <v>1</v>
      </c>
      <c r="B195" s="35" t="s">
        <v>776</v>
      </c>
      <c r="C195" t="s">
        <v>778</v>
      </c>
      <c r="D195" s="1">
        <v>1</v>
      </c>
      <c r="E195" s="1" t="s">
        <v>476</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35">
        <v>2</v>
      </c>
      <c r="P195" s="35">
        <v>90</v>
      </c>
      <c r="Q195" s="35">
        <v>90</v>
      </c>
      <c r="R195" s="2">
        <v>57.4</v>
      </c>
      <c r="S195" s="2">
        <v>57.4</v>
      </c>
      <c r="T195" s="1">
        <v>1</v>
      </c>
      <c r="W195" s="4" t="s">
        <v>643</v>
      </c>
    </row>
    <row r="196" spans="1:23" x14ac:dyDescent="0.2">
      <c r="A196" s="1">
        <v>1</v>
      </c>
      <c r="B196" s="35" t="s">
        <v>777</v>
      </c>
      <c r="C196" t="s">
        <v>780</v>
      </c>
      <c r="D196" s="1">
        <v>1</v>
      </c>
      <c r="E196" s="1" t="s">
        <v>476</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35">
        <v>2</v>
      </c>
      <c r="P196" s="35">
        <v>90</v>
      </c>
      <c r="Q196" s="35">
        <v>90</v>
      </c>
      <c r="R196" s="2">
        <v>57.4</v>
      </c>
      <c r="S196" s="2">
        <v>57.4</v>
      </c>
      <c r="T196" s="1">
        <v>0</v>
      </c>
      <c r="U196" s="1" t="s">
        <v>587</v>
      </c>
      <c r="W196" s="4" t="s">
        <v>643</v>
      </c>
    </row>
    <row r="197" spans="1:23" x14ac:dyDescent="0.2">
      <c r="A197" s="1">
        <v>1</v>
      </c>
      <c r="B197" s="35" t="s">
        <v>777</v>
      </c>
      <c r="C197" t="s">
        <v>780</v>
      </c>
      <c r="D197" s="1">
        <v>1</v>
      </c>
      <c r="E197" s="1" t="s">
        <v>469</v>
      </c>
      <c r="F197" s="4">
        <v>45415</v>
      </c>
      <c r="G197" s="1" t="s">
        <v>21</v>
      </c>
      <c r="H197" s="6" t="s">
        <v>21</v>
      </c>
      <c r="I197" s="1" t="s">
        <v>21</v>
      </c>
      <c r="J197" s="6" t="s">
        <v>21</v>
      </c>
      <c r="K197" s="3">
        <v>0.75718750000000001</v>
      </c>
      <c r="L197" s="1" t="s">
        <v>8</v>
      </c>
      <c r="M197" s="1" t="s">
        <v>7</v>
      </c>
      <c r="N197" s="1">
        <v>2</v>
      </c>
      <c r="O197" s="35">
        <v>2</v>
      </c>
      <c r="P197" s="35">
        <v>90</v>
      </c>
      <c r="Q197" s="35">
        <v>90</v>
      </c>
      <c r="R197" s="2">
        <v>57.4</v>
      </c>
      <c r="S197" s="2">
        <v>57.4</v>
      </c>
      <c r="T197" s="1" t="s">
        <v>21</v>
      </c>
      <c r="U197" s="1" t="s">
        <v>568</v>
      </c>
      <c r="W197" s="4" t="s">
        <v>643</v>
      </c>
    </row>
    <row r="198" spans="1:23" x14ac:dyDescent="0.2">
      <c r="A198" s="1">
        <v>1</v>
      </c>
      <c r="B198" s="35" t="s">
        <v>776</v>
      </c>
      <c r="C198" t="s">
        <v>778</v>
      </c>
      <c r="D198" s="1">
        <v>1</v>
      </c>
      <c r="E198" s="1" t="s">
        <v>469</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35">
        <v>2</v>
      </c>
      <c r="P198" s="35">
        <v>90</v>
      </c>
      <c r="Q198" s="35">
        <v>90</v>
      </c>
      <c r="R198" s="2">
        <v>57.4</v>
      </c>
      <c r="S198" s="2">
        <v>57.4</v>
      </c>
      <c r="T198" s="1">
        <v>1</v>
      </c>
      <c r="W198" s="4" t="s">
        <v>643</v>
      </c>
    </row>
    <row r="199" spans="1:23" x14ac:dyDescent="0.2">
      <c r="A199" s="1">
        <v>1</v>
      </c>
      <c r="B199" s="35" t="s">
        <v>776</v>
      </c>
      <c r="C199" t="s">
        <v>778</v>
      </c>
      <c r="D199" s="1">
        <v>1</v>
      </c>
      <c r="E199" s="1" t="s">
        <v>460</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35">
        <v>2</v>
      </c>
      <c r="P199" s="35">
        <v>90</v>
      </c>
      <c r="Q199" s="35">
        <v>90</v>
      </c>
      <c r="R199" s="2">
        <v>19.2</v>
      </c>
      <c r="S199" s="2">
        <v>19.2</v>
      </c>
      <c r="T199" s="1">
        <v>0</v>
      </c>
      <c r="W199" s="4" t="s">
        <v>643</v>
      </c>
    </row>
    <row r="200" spans="1:23" x14ac:dyDescent="0.2">
      <c r="A200" s="1">
        <v>1</v>
      </c>
      <c r="B200" s="35" t="s">
        <v>777</v>
      </c>
      <c r="C200" t="s">
        <v>780</v>
      </c>
      <c r="D200" s="1">
        <v>1</v>
      </c>
      <c r="E200" s="1" t="s">
        <v>460</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35">
        <v>2</v>
      </c>
      <c r="P200" s="35">
        <v>90</v>
      </c>
      <c r="Q200" s="35">
        <v>90</v>
      </c>
      <c r="R200" s="2">
        <v>19.2</v>
      </c>
      <c r="S200" s="2">
        <v>19.2</v>
      </c>
      <c r="T200" s="1">
        <v>1</v>
      </c>
      <c r="W200" s="4" t="s">
        <v>643</v>
      </c>
    </row>
    <row r="201" spans="1:23" x14ac:dyDescent="0.2">
      <c r="A201" s="1">
        <v>1</v>
      </c>
      <c r="B201" s="35" t="s">
        <v>776</v>
      </c>
      <c r="C201" t="s">
        <v>778</v>
      </c>
      <c r="D201" s="1">
        <v>1</v>
      </c>
      <c r="E201" s="1" t="s">
        <v>481</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35">
        <v>2</v>
      </c>
      <c r="P201" s="35">
        <v>90</v>
      </c>
      <c r="Q201" s="35">
        <v>90</v>
      </c>
      <c r="R201" s="2">
        <v>19.2</v>
      </c>
      <c r="S201" s="2">
        <v>19.2</v>
      </c>
      <c r="T201" s="1">
        <v>0</v>
      </c>
      <c r="W201" s="4" t="s">
        <v>643</v>
      </c>
    </row>
    <row r="202" spans="1:23" x14ac:dyDescent="0.2">
      <c r="A202" s="1">
        <v>1</v>
      </c>
      <c r="B202" s="35" t="s">
        <v>776</v>
      </c>
      <c r="C202" t="s">
        <v>778</v>
      </c>
      <c r="D202" s="1">
        <v>1</v>
      </c>
      <c r="E202" s="1" t="s">
        <v>484</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35">
        <v>2</v>
      </c>
      <c r="P202" s="35">
        <v>90</v>
      </c>
      <c r="Q202" s="35">
        <v>90</v>
      </c>
      <c r="R202" s="2">
        <v>57.4</v>
      </c>
      <c r="S202" s="2">
        <v>57.4</v>
      </c>
      <c r="T202" s="1">
        <v>1</v>
      </c>
      <c r="W202" s="4" t="s">
        <v>643</v>
      </c>
    </row>
    <row r="203" spans="1:23" x14ac:dyDescent="0.2">
      <c r="A203" s="1">
        <v>1</v>
      </c>
      <c r="B203" s="35" t="s">
        <v>777</v>
      </c>
      <c r="C203" t="s">
        <v>780</v>
      </c>
      <c r="D203" s="1">
        <v>1</v>
      </c>
      <c r="E203" s="1" t="s">
        <v>484</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35">
        <v>2</v>
      </c>
      <c r="P203" s="35">
        <v>90</v>
      </c>
      <c r="Q203" s="35">
        <v>90</v>
      </c>
      <c r="R203" s="2">
        <v>57.4</v>
      </c>
      <c r="S203" s="2">
        <v>57.4</v>
      </c>
      <c r="T203" s="1" t="s">
        <v>21</v>
      </c>
      <c r="U203" s="1" t="s">
        <v>600</v>
      </c>
      <c r="W203" s="4" t="s">
        <v>643</v>
      </c>
    </row>
    <row r="204" spans="1:23" x14ac:dyDescent="0.2">
      <c r="A204" s="1">
        <v>1</v>
      </c>
      <c r="B204" s="35" t="s">
        <v>21</v>
      </c>
      <c r="C204" t="s">
        <v>21</v>
      </c>
      <c r="D204" s="1" t="s">
        <v>21</v>
      </c>
      <c r="E204" s="1" t="s">
        <v>21</v>
      </c>
      <c r="F204" s="4">
        <v>45416</v>
      </c>
      <c r="G204" s="1" t="s">
        <v>21</v>
      </c>
      <c r="H204" s="6" t="s">
        <v>21</v>
      </c>
      <c r="I204" s="1" t="s">
        <v>21</v>
      </c>
      <c r="J204" s="1" t="s">
        <v>21</v>
      </c>
      <c r="K204" s="1" t="s">
        <v>21</v>
      </c>
      <c r="L204" s="1" t="s">
        <v>21</v>
      </c>
      <c r="M204" s="1" t="s">
        <v>21</v>
      </c>
      <c r="N204" s="1" t="s">
        <v>21</v>
      </c>
      <c r="O204" s="35" t="s">
        <v>21</v>
      </c>
      <c r="P204" s="35">
        <v>90</v>
      </c>
      <c r="Q204" s="35">
        <v>90</v>
      </c>
      <c r="R204" s="1" t="s">
        <v>21</v>
      </c>
      <c r="S204" s="1" t="s">
        <v>21</v>
      </c>
      <c r="T204" s="1" t="s">
        <v>21</v>
      </c>
      <c r="U204" s="1" t="s">
        <v>601</v>
      </c>
      <c r="V204" s="1"/>
      <c r="W204" s="6" t="s">
        <v>21</v>
      </c>
    </row>
    <row r="205" spans="1:23" x14ac:dyDescent="0.2">
      <c r="A205" s="1">
        <v>1</v>
      </c>
      <c r="B205" s="35" t="s">
        <v>777</v>
      </c>
      <c r="C205" t="s">
        <v>780</v>
      </c>
      <c r="D205" s="1">
        <v>1</v>
      </c>
      <c r="E205" s="1" t="s">
        <v>501</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35">
        <v>2</v>
      </c>
      <c r="P205" s="35">
        <v>90</v>
      </c>
      <c r="Q205" s="35">
        <v>90</v>
      </c>
      <c r="R205" s="2">
        <v>57.4</v>
      </c>
      <c r="S205" s="2">
        <v>57.4</v>
      </c>
      <c r="T205" s="1">
        <v>0</v>
      </c>
      <c r="U205" s="1" t="s">
        <v>603</v>
      </c>
      <c r="W205" s="4" t="s">
        <v>643</v>
      </c>
    </row>
    <row r="206" spans="1:23" x14ac:dyDescent="0.2">
      <c r="A206" s="1">
        <v>1</v>
      </c>
      <c r="B206" s="35" t="s">
        <v>776</v>
      </c>
      <c r="C206" t="s">
        <v>778</v>
      </c>
      <c r="D206" s="1">
        <v>1</v>
      </c>
      <c r="E206" s="1" t="s">
        <v>501</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35">
        <v>2</v>
      </c>
      <c r="P206" s="35">
        <v>90</v>
      </c>
      <c r="Q206" s="35">
        <v>90</v>
      </c>
      <c r="R206" s="2">
        <v>57.4</v>
      </c>
      <c r="S206" s="2">
        <v>57.4</v>
      </c>
      <c r="T206" s="1">
        <v>0</v>
      </c>
      <c r="W206" s="4" t="s">
        <v>643</v>
      </c>
    </row>
    <row r="207" spans="1:23" x14ac:dyDescent="0.2">
      <c r="A207" s="1">
        <v>1</v>
      </c>
      <c r="B207" s="35" t="s">
        <v>777</v>
      </c>
      <c r="C207" t="s">
        <v>780</v>
      </c>
      <c r="D207" s="1">
        <v>1</v>
      </c>
      <c r="E207" s="1" t="s">
        <v>502</v>
      </c>
      <c r="F207" s="4">
        <v>45419</v>
      </c>
      <c r="G207" s="1" t="s">
        <v>21</v>
      </c>
      <c r="H207" s="6" t="s">
        <v>21</v>
      </c>
      <c r="I207" s="1" t="s">
        <v>21</v>
      </c>
      <c r="J207" s="1" t="s">
        <v>21</v>
      </c>
      <c r="K207" s="3">
        <v>0.22409722222222223</v>
      </c>
      <c r="L207" s="1" t="s">
        <v>7</v>
      </c>
      <c r="M207" s="1" t="s">
        <v>7</v>
      </c>
      <c r="N207" s="1">
        <v>2</v>
      </c>
      <c r="O207" s="35">
        <v>2</v>
      </c>
      <c r="P207" s="35">
        <v>90</v>
      </c>
      <c r="Q207" s="35">
        <v>90</v>
      </c>
      <c r="R207" s="2">
        <v>57.4</v>
      </c>
      <c r="S207" s="2">
        <v>57.4</v>
      </c>
      <c r="T207" s="1" t="s">
        <v>21</v>
      </c>
      <c r="U207" s="1" t="s">
        <v>604</v>
      </c>
      <c r="W207" s="4" t="s">
        <v>643</v>
      </c>
    </row>
    <row r="208" spans="1:23" x14ac:dyDescent="0.2">
      <c r="A208" s="1">
        <v>1</v>
      </c>
      <c r="B208" s="35" t="s">
        <v>776</v>
      </c>
      <c r="C208" t="s">
        <v>778</v>
      </c>
      <c r="D208" s="1" t="s">
        <v>21</v>
      </c>
      <c r="E208" s="1" t="s">
        <v>502</v>
      </c>
      <c r="F208" s="4">
        <v>45419</v>
      </c>
      <c r="G208" s="1" t="s">
        <v>21</v>
      </c>
      <c r="H208" s="6" t="s">
        <v>21</v>
      </c>
      <c r="I208" s="1" t="s">
        <v>21</v>
      </c>
      <c r="J208" s="1" t="s">
        <v>21</v>
      </c>
      <c r="K208" s="3">
        <v>0.22409722222222223</v>
      </c>
      <c r="L208" s="1" t="s">
        <v>8</v>
      </c>
      <c r="M208" s="1" t="s">
        <v>8</v>
      </c>
      <c r="N208" s="1">
        <v>2</v>
      </c>
      <c r="O208" s="35">
        <v>2</v>
      </c>
      <c r="P208" s="35">
        <v>90</v>
      </c>
      <c r="Q208" s="35">
        <v>90</v>
      </c>
      <c r="R208" s="2">
        <v>57.4</v>
      </c>
      <c r="S208" s="2">
        <v>57.4</v>
      </c>
      <c r="T208" s="1" t="s">
        <v>21</v>
      </c>
      <c r="U208" s="1" t="s">
        <v>542</v>
      </c>
      <c r="W208" s="4" t="s">
        <v>643</v>
      </c>
    </row>
    <row r="209" spans="1:23" x14ac:dyDescent="0.2">
      <c r="A209" s="1">
        <v>1</v>
      </c>
      <c r="B209" s="35" t="s">
        <v>777</v>
      </c>
      <c r="C209" t="s">
        <v>780</v>
      </c>
      <c r="D209" s="1">
        <v>1</v>
      </c>
      <c r="E209" s="1" t="s">
        <v>610</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35">
        <v>2</v>
      </c>
      <c r="P209" s="35">
        <v>90</v>
      </c>
      <c r="Q209" s="35">
        <v>90</v>
      </c>
      <c r="R209" s="2">
        <v>57.4</v>
      </c>
      <c r="S209" s="2">
        <v>57.4</v>
      </c>
      <c r="T209" s="1">
        <v>0</v>
      </c>
      <c r="U209" s="1" t="s">
        <v>611</v>
      </c>
      <c r="W209" s="4" t="s">
        <v>643</v>
      </c>
    </row>
    <row r="210" spans="1:23" x14ac:dyDescent="0.2">
      <c r="A210" s="1">
        <v>1</v>
      </c>
      <c r="B210" s="35" t="s">
        <v>776</v>
      </c>
      <c r="C210" t="s">
        <v>778</v>
      </c>
      <c r="D210" s="1">
        <v>1</v>
      </c>
      <c r="E210" s="1" t="s">
        <v>610</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35">
        <v>2</v>
      </c>
      <c r="P210" s="35">
        <v>90</v>
      </c>
      <c r="Q210" s="35">
        <v>90</v>
      </c>
      <c r="R210" s="2">
        <v>57.4</v>
      </c>
      <c r="S210" s="2">
        <v>57.4</v>
      </c>
      <c r="T210" s="1">
        <v>1</v>
      </c>
      <c r="U210" s="1" t="s">
        <v>612</v>
      </c>
      <c r="W210" s="4" t="s">
        <v>643</v>
      </c>
    </row>
    <row r="211" spans="1:23" x14ac:dyDescent="0.2">
      <c r="A211" s="1">
        <v>1</v>
      </c>
      <c r="B211" s="35" t="s">
        <v>776</v>
      </c>
      <c r="C211" t="s">
        <v>778</v>
      </c>
      <c r="D211" s="1">
        <v>1</v>
      </c>
      <c r="E211" s="1" t="s">
        <v>500</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35">
        <v>1</v>
      </c>
      <c r="P211" s="35">
        <v>90</v>
      </c>
      <c r="Q211" s="35">
        <v>90</v>
      </c>
      <c r="R211" s="2">
        <v>57.4</v>
      </c>
      <c r="S211" s="2">
        <v>57.4</v>
      </c>
      <c r="T211" s="1">
        <v>1</v>
      </c>
      <c r="W211" s="4" t="s">
        <v>641</v>
      </c>
    </row>
    <row r="212" spans="1:23" x14ac:dyDescent="0.2">
      <c r="A212" s="1">
        <v>1</v>
      </c>
      <c r="B212" s="35" t="s">
        <v>777</v>
      </c>
      <c r="C212" t="s">
        <v>780</v>
      </c>
      <c r="D212" s="1">
        <v>1</v>
      </c>
      <c r="E212" s="1" t="s">
        <v>500</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35">
        <v>1</v>
      </c>
      <c r="P212" s="35">
        <v>90</v>
      </c>
      <c r="Q212" s="35">
        <v>90</v>
      </c>
      <c r="R212" s="2">
        <v>57.4</v>
      </c>
      <c r="S212" s="2">
        <v>57.4</v>
      </c>
      <c r="T212" s="1">
        <v>1</v>
      </c>
      <c r="W212" s="4" t="s">
        <v>641</v>
      </c>
    </row>
    <row r="213" spans="1:23" x14ac:dyDescent="0.2">
      <c r="A213" s="1">
        <v>1</v>
      </c>
      <c r="B213" s="35" t="s">
        <v>776</v>
      </c>
      <c r="C213" t="s">
        <v>778</v>
      </c>
      <c r="D213" s="1">
        <v>1</v>
      </c>
      <c r="E213" s="1" t="s">
        <v>519</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35">
        <v>90</v>
      </c>
      <c r="Q213" s="35">
        <v>90</v>
      </c>
      <c r="R213" s="2">
        <v>57.4</v>
      </c>
      <c r="S213" s="2">
        <v>19.2</v>
      </c>
      <c r="T213" s="1">
        <v>1</v>
      </c>
      <c r="U213" s="1" t="s">
        <v>682</v>
      </c>
      <c r="V213" s="2" t="s">
        <v>683</v>
      </c>
      <c r="W213" s="4" t="s">
        <v>643</v>
      </c>
    </row>
    <row r="214" spans="1:23" x14ac:dyDescent="0.2">
      <c r="A214" s="1">
        <v>1</v>
      </c>
      <c r="B214" s="35" t="s">
        <v>776</v>
      </c>
      <c r="C214" t="s">
        <v>778</v>
      </c>
      <c r="D214" s="1">
        <v>1</v>
      </c>
      <c r="E214" s="1" t="s">
        <v>503</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35">
        <v>2</v>
      </c>
      <c r="P214" s="35">
        <v>90</v>
      </c>
      <c r="Q214" s="35">
        <v>90</v>
      </c>
      <c r="R214" s="2">
        <v>19.2</v>
      </c>
      <c r="S214" s="2">
        <v>19.2</v>
      </c>
      <c r="T214" s="1">
        <v>1</v>
      </c>
      <c r="U214" s="1" t="s">
        <v>677</v>
      </c>
      <c r="W214" s="4" t="s">
        <v>643</v>
      </c>
    </row>
    <row r="215" spans="1:23" x14ac:dyDescent="0.2">
      <c r="A215" s="1">
        <v>1</v>
      </c>
      <c r="B215" s="35" t="s">
        <v>777</v>
      </c>
      <c r="C215" t="s">
        <v>780</v>
      </c>
      <c r="D215" s="1">
        <v>1</v>
      </c>
      <c r="E215" s="1" t="s">
        <v>503</v>
      </c>
      <c r="F215" s="4">
        <v>45421</v>
      </c>
      <c r="G215" s="1" t="s">
        <v>21</v>
      </c>
      <c r="H215" s="6">
        <f t="shared" si="19"/>
        <v>0.25059027777777776</v>
      </c>
      <c r="I215" s="1" t="s">
        <v>21</v>
      </c>
      <c r="J215" s="6">
        <v>2.6018518518518517E-2</v>
      </c>
      <c r="K215" s="3">
        <v>0.22457175925925926</v>
      </c>
      <c r="L215" s="1" t="s">
        <v>8</v>
      </c>
      <c r="M215" s="1" t="s">
        <v>8</v>
      </c>
      <c r="N215" s="1">
        <v>2</v>
      </c>
      <c r="O215" s="35">
        <v>2</v>
      </c>
      <c r="P215" s="35">
        <v>90</v>
      </c>
      <c r="Q215" s="35">
        <v>90</v>
      </c>
      <c r="R215" s="2">
        <v>19.2</v>
      </c>
      <c r="S215" s="2">
        <v>19.2</v>
      </c>
      <c r="T215" s="1">
        <v>0</v>
      </c>
      <c r="U215" s="1" t="s">
        <v>614</v>
      </c>
      <c r="W215" s="4" t="s">
        <v>643</v>
      </c>
    </row>
    <row r="216" spans="1:23" x14ac:dyDescent="0.2">
      <c r="A216" s="1">
        <v>1</v>
      </c>
      <c r="B216" s="35" t="s">
        <v>777</v>
      </c>
      <c r="C216" t="s">
        <v>780</v>
      </c>
      <c r="D216" s="1">
        <v>1</v>
      </c>
      <c r="E216" s="1" t="s">
        <v>616</v>
      </c>
      <c r="F216" s="4">
        <v>45421</v>
      </c>
      <c r="G216" s="3" t="s">
        <v>21</v>
      </c>
      <c r="H216" s="6">
        <f t="shared" si="19"/>
        <v>0.77841435185185182</v>
      </c>
      <c r="I216" s="1" t="s">
        <v>21</v>
      </c>
      <c r="J216" s="6">
        <v>4.8958333333333336E-3</v>
      </c>
      <c r="K216" s="3">
        <v>0.77351851851851849</v>
      </c>
      <c r="L216" s="1" t="s">
        <v>8</v>
      </c>
      <c r="M216" s="1" t="s">
        <v>8</v>
      </c>
      <c r="N216" s="1">
        <v>2</v>
      </c>
      <c r="O216" s="35">
        <v>2</v>
      </c>
      <c r="P216" s="35">
        <v>90</v>
      </c>
      <c r="Q216" s="35">
        <v>90</v>
      </c>
      <c r="R216" s="2">
        <v>19.2</v>
      </c>
      <c r="S216" s="2">
        <v>19.2</v>
      </c>
      <c r="T216" s="1">
        <v>0</v>
      </c>
      <c r="U216" s="1" t="s">
        <v>482</v>
      </c>
      <c r="W216" s="4" t="s">
        <v>643</v>
      </c>
    </row>
    <row r="217" spans="1:23" x14ac:dyDescent="0.2">
      <c r="A217" s="1">
        <v>1</v>
      </c>
      <c r="B217" s="35" t="s">
        <v>777</v>
      </c>
      <c r="C217" t="s">
        <v>780</v>
      </c>
      <c r="D217" s="1">
        <v>2</v>
      </c>
      <c r="E217" s="1" t="s">
        <v>616</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35">
        <v>2</v>
      </c>
      <c r="P217" s="35">
        <v>90</v>
      </c>
      <c r="Q217" s="35">
        <v>90</v>
      </c>
      <c r="R217" s="2">
        <v>19.2</v>
      </c>
      <c r="S217" s="2">
        <v>19.2</v>
      </c>
      <c r="T217" s="1">
        <v>0</v>
      </c>
      <c r="W217" s="4" t="s">
        <v>643</v>
      </c>
    </row>
    <row r="218" spans="1:23" x14ac:dyDescent="0.2">
      <c r="A218" s="1">
        <v>1</v>
      </c>
      <c r="B218" s="35" t="s">
        <v>776</v>
      </c>
      <c r="C218" t="s">
        <v>778</v>
      </c>
      <c r="D218" s="1">
        <v>1</v>
      </c>
      <c r="E218" s="1" t="s">
        <v>616</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35">
        <v>2</v>
      </c>
      <c r="P218" s="35">
        <v>90</v>
      </c>
      <c r="Q218" s="35">
        <v>90</v>
      </c>
      <c r="R218" s="2">
        <v>19.2</v>
      </c>
      <c r="S218" s="2">
        <v>19.2</v>
      </c>
      <c r="T218" s="1">
        <v>1</v>
      </c>
      <c r="W218" s="4" t="s">
        <v>643</v>
      </c>
    </row>
    <row r="219" spans="1:23" x14ac:dyDescent="0.2">
      <c r="A219" s="1">
        <v>1</v>
      </c>
      <c r="B219" s="35" t="s">
        <v>777</v>
      </c>
      <c r="C219" t="s">
        <v>780</v>
      </c>
      <c r="D219" s="1">
        <v>1</v>
      </c>
      <c r="E219" s="1" t="s">
        <v>618</v>
      </c>
      <c r="F219" s="4">
        <v>45422</v>
      </c>
      <c r="G219" s="1" t="s">
        <v>21</v>
      </c>
      <c r="H219" s="6">
        <f t="shared" si="19"/>
        <v>0.24454861111111112</v>
      </c>
      <c r="I219" s="1" t="s">
        <v>21</v>
      </c>
      <c r="J219" s="6">
        <v>2.361111111111111E-2</v>
      </c>
      <c r="K219" s="6">
        <v>0.22093750000000001</v>
      </c>
      <c r="L219" s="1" t="s">
        <v>8</v>
      </c>
      <c r="M219" s="1" t="s">
        <v>7</v>
      </c>
      <c r="N219" s="1">
        <v>2</v>
      </c>
      <c r="O219" s="35">
        <v>2</v>
      </c>
      <c r="P219" s="35">
        <v>90</v>
      </c>
      <c r="Q219" s="35">
        <v>90</v>
      </c>
      <c r="R219" s="2">
        <v>57.4</v>
      </c>
      <c r="S219" s="2">
        <v>57.4</v>
      </c>
      <c r="T219" s="1">
        <v>1</v>
      </c>
      <c r="U219" s="1" t="s">
        <v>482</v>
      </c>
      <c r="W219" s="4" t="s">
        <v>643</v>
      </c>
    </row>
    <row r="220" spans="1:23" x14ac:dyDescent="0.2">
      <c r="A220" s="1">
        <v>1</v>
      </c>
      <c r="B220" s="35" t="s">
        <v>776</v>
      </c>
      <c r="C220" t="s">
        <v>778</v>
      </c>
      <c r="D220" s="1">
        <v>1</v>
      </c>
      <c r="E220" s="1" t="s">
        <v>616</v>
      </c>
      <c r="F220" s="4">
        <v>45422</v>
      </c>
      <c r="G220" s="1" t="s">
        <v>21</v>
      </c>
      <c r="H220" s="6" t="s">
        <v>21</v>
      </c>
      <c r="I220" s="1" t="s">
        <v>21</v>
      </c>
      <c r="J220" s="1" t="s">
        <v>21</v>
      </c>
      <c r="K220" s="6">
        <v>0.22093750000000001</v>
      </c>
      <c r="L220" s="1" t="s">
        <v>7</v>
      </c>
      <c r="M220" s="1" t="s">
        <v>8</v>
      </c>
      <c r="N220" s="1">
        <v>2</v>
      </c>
      <c r="O220" s="35">
        <v>2</v>
      </c>
      <c r="P220" s="35">
        <v>90</v>
      </c>
      <c r="Q220" s="35">
        <v>90</v>
      </c>
      <c r="R220" s="2">
        <v>57.4</v>
      </c>
      <c r="S220" s="2">
        <v>57.4</v>
      </c>
      <c r="T220" s="1" t="s">
        <v>21</v>
      </c>
      <c r="W220" s="4" t="s">
        <v>643</v>
      </c>
    </row>
    <row r="221" spans="1:23" x14ac:dyDescent="0.2">
      <c r="A221" s="1">
        <v>1</v>
      </c>
      <c r="B221" s="35" t="s">
        <v>777</v>
      </c>
      <c r="C221" t="s">
        <v>780</v>
      </c>
      <c r="D221" s="1">
        <v>1</v>
      </c>
      <c r="E221" s="1" t="s">
        <v>622</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35">
        <v>2</v>
      </c>
      <c r="P221" s="35">
        <v>90</v>
      </c>
      <c r="Q221" s="35">
        <v>90</v>
      </c>
      <c r="R221" s="2">
        <v>57.4</v>
      </c>
      <c r="S221" s="2">
        <v>57.4</v>
      </c>
      <c r="T221" s="1">
        <v>0</v>
      </c>
      <c r="W221" s="4" t="s">
        <v>643</v>
      </c>
    </row>
    <row r="222" spans="1:23" x14ac:dyDescent="0.2">
      <c r="A222" s="1">
        <v>1</v>
      </c>
      <c r="B222" s="35" t="s">
        <v>776</v>
      </c>
      <c r="C222" t="s">
        <v>778</v>
      </c>
      <c r="D222" s="1">
        <v>1</v>
      </c>
      <c r="E222" s="1" t="s">
        <v>622</v>
      </c>
      <c r="F222" s="4">
        <v>45422</v>
      </c>
      <c r="G222" s="3">
        <f>I222+K222</f>
        <v>0.78182870370370361</v>
      </c>
      <c r="H222" s="6" t="s">
        <v>21</v>
      </c>
      <c r="I222" s="3">
        <v>2.4363425925925927E-2</v>
      </c>
      <c r="K222" s="3">
        <v>0.75746527777777772</v>
      </c>
      <c r="L222" s="1" t="s">
        <v>7</v>
      </c>
      <c r="M222" s="1" t="s">
        <v>7</v>
      </c>
      <c r="N222" s="1">
        <v>2</v>
      </c>
      <c r="O222" s="35">
        <v>2</v>
      </c>
      <c r="P222" s="35">
        <v>90</v>
      </c>
      <c r="Q222" s="35">
        <v>90</v>
      </c>
      <c r="R222" s="2">
        <v>57.4</v>
      </c>
      <c r="S222" s="2">
        <v>57.4</v>
      </c>
      <c r="T222" s="1" t="s">
        <v>21</v>
      </c>
      <c r="U222" s="1" t="s">
        <v>189</v>
      </c>
      <c r="W222" s="4" t="s">
        <v>643</v>
      </c>
    </row>
    <row r="223" spans="1:23" x14ac:dyDescent="0.2">
      <c r="A223" s="1">
        <v>1</v>
      </c>
      <c r="B223" s="35" t="s">
        <v>777</v>
      </c>
      <c r="C223" t="s">
        <v>780</v>
      </c>
      <c r="D223" s="1">
        <v>1</v>
      </c>
      <c r="E223" s="1" t="s">
        <v>623</v>
      </c>
      <c r="F223" s="4">
        <v>45423</v>
      </c>
      <c r="G223" s="1" t="s">
        <v>21</v>
      </c>
      <c r="H223" s="6">
        <f>J223+K223</f>
        <v>0.23833333333333334</v>
      </c>
      <c r="I223" s="1" t="s">
        <v>21</v>
      </c>
      <c r="J223" s="6">
        <v>1.7256944444444443E-2</v>
      </c>
      <c r="K223" s="3">
        <v>0.22107638888888889</v>
      </c>
      <c r="L223" s="1" t="s">
        <v>8</v>
      </c>
      <c r="M223" s="1" t="s">
        <v>7</v>
      </c>
      <c r="N223" s="1">
        <v>2</v>
      </c>
      <c r="O223" s="35">
        <v>2</v>
      </c>
      <c r="P223" s="35">
        <v>90</v>
      </c>
      <c r="Q223" s="35">
        <v>90</v>
      </c>
      <c r="R223" s="2">
        <v>57.4</v>
      </c>
      <c r="S223" s="2">
        <v>19.2</v>
      </c>
      <c r="T223" s="1">
        <v>1</v>
      </c>
      <c r="U223" s="1" t="s">
        <v>482</v>
      </c>
      <c r="W223" s="4" t="s">
        <v>643</v>
      </c>
    </row>
    <row r="224" spans="1:23" x14ac:dyDescent="0.2">
      <c r="A224" s="1">
        <v>1</v>
      </c>
      <c r="B224" s="35" t="s">
        <v>777</v>
      </c>
      <c r="C224" t="s">
        <v>780</v>
      </c>
      <c r="D224" s="1">
        <v>2</v>
      </c>
      <c r="E224" s="1" t="s">
        <v>623</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35">
        <v>2</v>
      </c>
      <c r="P224" s="35">
        <v>90</v>
      </c>
      <c r="Q224" s="35">
        <v>90</v>
      </c>
      <c r="R224" s="2">
        <v>19.2</v>
      </c>
      <c r="S224" s="2">
        <v>19.2</v>
      </c>
      <c r="T224" s="1">
        <v>1</v>
      </c>
      <c r="W224" s="4" t="s">
        <v>643</v>
      </c>
    </row>
    <row r="225" spans="1:23" x14ac:dyDescent="0.2">
      <c r="A225" s="1">
        <v>1</v>
      </c>
      <c r="B225" s="35" t="s">
        <v>776</v>
      </c>
      <c r="C225" t="s">
        <v>778</v>
      </c>
      <c r="D225" s="1">
        <v>1</v>
      </c>
      <c r="E225" s="1" t="s">
        <v>623</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35">
        <v>2</v>
      </c>
      <c r="P225" s="35">
        <v>90</v>
      </c>
      <c r="Q225" s="35">
        <v>90</v>
      </c>
      <c r="R225" s="2">
        <v>19.2</v>
      </c>
      <c r="S225" s="2">
        <v>19.2</v>
      </c>
      <c r="T225" s="1">
        <v>0</v>
      </c>
      <c r="U225" s="1" t="s">
        <v>624</v>
      </c>
      <c r="W225" s="4" t="s">
        <v>643</v>
      </c>
    </row>
    <row r="226" spans="1:23" x14ac:dyDescent="0.2">
      <c r="A226" s="1">
        <v>1</v>
      </c>
      <c r="B226" s="35" t="s">
        <v>21</v>
      </c>
      <c r="C226" s="1" t="s">
        <v>21</v>
      </c>
      <c r="D226" s="1" t="s">
        <v>21</v>
      </c>
      <c r="E226" s="1" t="s">
        <v>21</v>
      </c>
      <c r="F226" s="4">
        <v>45423</v>
      </c>
      <c r="G226" s="3" t="s">
        <v>21</v>
      </c>
      <c r="H226" s="6" t="s">
        <v>21</v>
      </c>
      <c r="I226" s="3" t="s">
        <v>21</v>
      </c>
      <c r="J226" s="3" t="s">
        <v>21</v>
      </c>
      <c r="K226" s="3" t="s">
        <v>21</v>
      </c>
      <c r="L226" s="3" t="s">
        <v>21</v>
      </c>
      <c r="M226" s="3" t="s">
        <v>21</v>
      </c>
      <c r="N226" s="3" t="s">
        <v>21</v>
      </c>
      <c r="O226" s="35" t="s">
        <v>21</v>
      </c>
      <c r="P226" s="35">
        <v>90</v>
      </c>
      <c r="Q226" s="35">
        <v>90</v>
      </c>
      <c r="R226" s="3" t="s">
        <v>21</v>
      </c>
      <c r="S226" s="3" t="s">
        <v>21</v>
      </c>
      <c r="T226" s="3" t="s">
        <v>21</v>
      </c>
      <c r="U226" s="1" t="s">
        <v>625</v>
      </c>
      <c r="V226" s="3"/>
      <c r="W226" s="4" t="s">
        <v>643</v>
      </c>
    </row>
    <row r="227" spans="1:23" x14ac:dyDescent="0.2">
      <c r="A227" s="1">
        <v>1</v>
      </c>
      <c r="B227" s="35" t="s">
        <v>777</v>
      </c>
      <c r="C227" t="s">
        <v>780</v>
      </c>
      <c r="D227" s="1">
        <v>1</v>
      </c>
      <c r="E227" s="1" t="s">
        <v>676</v>
      </c>
      <c r="F227" s="4">
        <v>45424</v>
      </c>
      <c r="G227" s="3" t="s">
        <v>21</v>
      </c>
      <c r="H227" s="6" t="s">
        <v>21</v>
      </c>
      <c r="I227" s="3" t="s">
        <v>21</v>
      </c>
      <c r="J227" s="3" t="s">
        <v>21</v>
      </c>
      <c r="K227" s="3">
        <v>0.21905092592592593</v>
      </c>
      <c r="L227" s="1" t="s">
        <v>7</v>
      </c>
      <c r="M227" s="1" t="s">
        <v>7</v>
      </c>
      <c r="N227" s="1">
        <v>2</v>
      </c>
      <c r="O227" s="35">
        <v>2</v>
      </c>
      <c r="P227" s="35">
        <v>90</v>
      </c>
      <c r="Q227" s="35">
        <v>90</v>
      </c>
      <c r="R227" s="2">
        <v>57.4</v>
      </c>
      <c r="S227" s="2">
        <v>57.4</v>
      </c>
      <c r="T227" s="1" t="s">
        <v>21</v>
      </c>
      <c r="U227" s="1" t="s">
        <v>632</v>
      </c>
      <c r="W227" s="4" t="s">
        <v>643</v>
      </c>
    </row>
    <row r="228" spans="1:23" x14ac:dyDescent="0.2">
      <c r="A228" s="1">
        <v>1</v>
      </c>
      <c r="B228" s="35" t="s">
        <v>776</v>
      </c>
      <c r="C228" t="s">
        <v>778</v>
      </c>
      <c r="D228" s="1">
        <v>1</v>
      </c>
      <c r="E228" s="1" t="s">
        <v>676</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35">
        <v>2</v>
      </c>
      <c r="P228" s="35">
        <v>90</v>
      </c>
      <c r="Q228" s="35">
        <v>90</v>
      </c>
      <c r="R228" s="2">
        <v>57.4</v>
      </c>
      <c r="S228" s="2">
        <v>57.4</v>
      </c>
      <c r="T228" s="1">
        <v>1</v>
      </c>
      <c r="W228" s="4" t="s">
        <v>643</v>
      </c>
    </row>
    <row r="229" spans="1:23" x14ac:dyDescent="0.2">
      <c r="A229" s="1">
        <v>1</v>
      </c>
      <c r="B229" s="35" t="s">
        <v>777</v>
      </c>
      <c r="C229" t="s">
        <v>780</v>
      </c>
      <c r="D229" s="1">
        <v>1</v>
      </c>
      <c r="E229" s="1" t="s">
        <v>633</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35">
        <v>2</v>
      </c>
      <c r="P229" s="35">
        <v>90</v>
      </c>
      <c r="Q229" s="35">
        <v>90</v>
      </c>
      <c r="R229" s="2">
        <v>57.4</v>
      </c>
      <c r="S229" s="2">
        <v>57.4</v>
      </c>
      <c r="T229" s="1" t="s">
        <v>21</v>
      </c>
      <c r="U229" s="1" t="s">
        <v>635</v>
      </c>
      <c r="W229" s="4" t="s">
        <v>643</v>
      </c>
    </row>
    <row r="230" spans="1:23" x14ac:dyDescent="0.2">
      <c r="A230" s="1">
        <v>1</v>
      </c>
      <c r="B230" s="35" t="s">
        <v>776</v>
      </c>
      <c r="C230" t="s">
        <v>778</v>
      </c>
      <c r="D230" s="1">
        <v>1</v>
      </c>
      <c r="E230" s="1" t="s">
        <v>633</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35">
        <v>2</v>
      </c>
      <c r="P230" s="35">
        <v>90</v>
      </c>
      <c r="Q230" s="35">
        <v>90</v>
      </c>
      <c r="R230" s="2">
        <v>57.4</v>
      </c>
      <c r="S230" s="2">
        <v>19.2</v>
      </c>
      <c r="T230" s="1">
        <v>0</v>
      </c>
      <c r="U230" s="1" t="s">
        <v>634</v>
      </c>
      <c r="W230" s="4" t="s">
        <v>643</v>
      </c>
    </row>
    <row r="231" spans="1:23" x14ac:dyDescent="0.2">
      <c r="A231" s="1">
        <v>1</v>
      </c>
      <c r="B231" s="35" t="s">
        <v>777</v>
      </c>
      <c r="C231" t="s">
        <v>780</v>
      </c>
      <c r="D231" s="1">
        <v>1</v>
      </c>
      <c r="E231" s="1" t="s">
        <v>637</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35">
        <v>2</v>
      </c>
      <c r="P231" s="35">
        <v>90</v>
      </c>
      <c r="Q231" s="35">
        <v>90</v>
      </c>
      <c r="R231" s="2">
        <v>57.4</v>
      </c>
      <c r="S231" s="2">
        <v>57.4</v>
      </c>
      <c r="T231" s="1">
        <v>1</v>
      </c>
      <c r="W231" s="4" t="s">
        <v>643</v>
      </c>
    </row>
    <row r="232" spans="1:23" x14ac:dyDescent="0.2">
      <c r="A232" s="1">
        <v>1</v>
      </c>
      <c r="B232" s="35" t="s">
        <v>776</v>
      </c>
      <c r="C232" t="s">
        <v>778</v>
      </c>
      <c r="D232" s="1">
        <v>1</v>
      </c>
      <c r="E232" s="1" t="s">
        <v>637</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35">
        <v>2</v>
      </c>
      <c r="P232" s="35">
        <v>90</v>
      </c>
      <c r="Q232" s="35">
        <v>90</v>
      </c>
      <c r="R232" s="2">
        <v>57.4</v>
      </c>
      <c r="S232" s="2">
        <v>57.4</v>
      </c>
      <c r="T232" s="1">
        <v>1</v>
      </c>
      <c r="W232" s="4" t="s">
        <v>643</v>
      </c>
    </row>
    <row r="233" spans="1:23" x14ac:dyDescent="0.2">
      <c r="A233" s="1">
        <v>1</v>
      </c>
      <c r="B233" s="35" t="s">
        <v>777</v>
      </c>
      <c r="C233" t="s">
        <v>780</v>
      </c>
      <c r="D233" s="1">
        <v>1</v>
      </c>
      <c r="E233" s="1" t="s">
        <v>644</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35">
        <v>2</v>
      </c>
      <c r="P233" s="35">
        <v>90</v>
      </c>
      <c r="Q233" s="35">
        <v>90</v>
      </c>
      <c r="R233" s="2">
        <v>57.4</v>
      </c>
      <c r="S233" s="2">
        <v>19.2</v>
      </c>
      <c r="T233" s="1">
        <v>0</v>
      </c>
      <c r="U233" s="1" t="s">
        <v>645</v>
      </c>
      <c r="W233" s="4" t="s">
        <v>643</v>
      </c>
    </row>
    <row r="234" spans="1:23" x14ac:dyDescent="0.2">
      <c r="A234" s="1">
        <v>1</v>
      </c>
      <c r="B234" s="35" t="s">
        <v>776</v>
      </c>
      <c r="C234" t="s">
        <v>778</v>
      </c>
      <c r="D234" s="1">
        <v>1</v>
      </c>
      <c r="E234" s="1" t="s">
        <v>644</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35">
        <v>2</v>
      </c>
      <c r="P234" s="35">
        <v>90</v>
      </c>
      <c r="Q234" s="35">
        <v>90</v>
      </c>
      <c r="R234" s="2">
        <v>57.4</v>
      </c>
      <c r="S234" s="2">
        <v>19.2</v>
      </c>
      <c r="T234" s="1">
        <v>1</v>
      </c>
      <c r="W234" s="23" t="s">
        <v>643</v>
      </c>
    </row>
    <row r="235" spans="1:23" x14ac:dyDescent="0.2">
      <c r="A235" s="1">
        <v>1</v>
      </c>
      <c r="B235" s="35" t="s">
        <v>777</v>
      </c>
      <c r="C235" t="s">
        <v>780</v>
      </c>
      <c r="D235" s="1">
        <v>1</v>
      </c>
      <c r="E235" s="1" t="s">
        <v>647</v>
      </c>
      <c r="F235" s="4">
        <v>45426</v>
      </c>
      <c r="G235" s="1" t="s">
        <v>21</v>
      </c>
      <c r="H235" s="6">
        <f t="shared" si="21"/>
        <v>0.24738425925925928</v>
      </c>
      <c r="I235" s="1" t="s">
        <v>21</v>
      </c>
      <c r="J235" s="6">
        <v>2.6226851851851852E-2</v>
      </c>
      <c r="K235" s="3">
        <v>0.22115740740740741</v>
      </c>
      <c r="L235" s="1" t="s">
        <v>7</v>
      </c>
      <c r="M235" s="1" t="s">
        <v>7</v>
      </c>
      <c r="N235" s="1">
        <v>2</v>
      </c>
      <c r="O235" s="35">
        <v>2</v>
      </c>
      <c r="P235" s="35">
        <v>90</v>
      </c>
      <c r="Q235" s="35">
        <v>90</v>
      </c>
      <c r="R235" s="2">
        <v>57.4</v>
      </c>
      <c r="S235" s="2">
        <v>57.4</v>
      </c>
      <c r="T235" s="1">
        <v>1</v>
      </c>
      <c r="U235" s="1" t="s">
        <v>648</v>
      </c>
      <c r="W235" s="23" t="s">
        <v>643</v>
      </c>
    </row>
    <row r="236" spans="1:23" x14ac:dyDescent="0.2">
      <c r="A236" s="1">
        <v>1</v>
      </c>
      <c r="B236" s="35" t="s">
        <v>777</v>
      </c>
      <c r="C236" t="s">
        <v>780</v>
      </c>
      <c r="D236" s="1">
        <v>2</v>
      </c>
      <c r="E236" s="1" t="s">
        <v>647</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35">
        <v>2</v>
      </c>
      <c r="P236" s="35">
        <v>90</v>
      </c>
      <c r="Q236" s="35">
        <v>90</v>
      </c>
      <c r="R236" s="2">
        <v>57.4</v>
      </c>
      <c r="S236" s="2">
        <v>57.4</v>
      </c>
      <c r="T236" s="1">
        <v>1</v>
      </c>
      <c r="W236" s="23" t="s">
        <v>643</v>
      </c>
    </row>
    <row r="237" spans="1:23" x14ac:dyDescent="0.2">
      <c r="A237" s="1">
        <v>1</v>
      </c>
      <c r="B237" s="35" t="s">
        <v>776</v>
      </c>
      <c r="C237" t="s">
        <v>778</v>
      </c>
      <c r="D237" s="1">
        <v>1</v>
      </c>
      <c r="E237" s="1" t="s">
        <v>647</v>
      </c>
      <c r="F237" s="4">
        <v>45426</v>
      </c>
      <c r="G237" s="1" t="s">
        <v>21</v>
      </c>
      <c r="H237" s="6">
        <f t="shared" si="21"/>
        <v>0.24432870370370371</v>
      </c>
      <c r="I237" s="1" t="s">
        <v>21</v>
      </c>
      <c r="J237" s="3">
        <v>2.3171296296296297E-2</v>
      </c>
      <c r="K237" s="3">
        <v>0.22115740740740741</v>
      </c>
      <c r="L237" s="1" t="s">
        <v>7</v>
      </c>
      <c r="M237" s="1" t="s">
        <v>8</v>
      </c>
      <c r="N237" s="1">
        <v>2</v>
      </c>
      <c r="O237" s="35">
        <v>2</v>
      </c>
      <c r="P237" s="35">
        <v>90</v>
      </c>
      <c r="Q237" s="35">
        <v>90</v>
      </c>
      <c r="R237" s="2">
        <v>57.4</v>
      </c>
      <c r="S237" s="2">
        <v>57.4</v>
      </c>
      <c r="T237" s="1">
        <v>1</v>
      </c>
      <c r="U237" s="1" t="s">
        <v>482</v>
      </c>
      <c r="W237" s="23" t="s">
        <v>643</v>
      </c>
    </row>
    <row r="238" spans="1:23" x14ac:dyDescent="0.2">
      <c r="A238" s="1">
        <v>1</v>
      </c>
      <c r="B238" s="35" t="s">
        <v>776</v>
      </c>
      <c r="C238" t="s">
        <v>778</v>
      </c>
      <c r="D238" s="1">
        <v>2</v>
      </c>
      <c r="E238" s="1" t="s">
        <v>647</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35">
        <v>2</v>
      </c>
      <c r="P238" s="35">
        <v>90</v>
      </c>
      <c r="Q238" s="35">
        <v>90</v>
      </c>
      <c r="R238" s="2">
        <v>57.4</v>
      </c>
      <c r="S238" s="2">
        <v>57.4</v>
      </c>
      <c r="T238" s="1">
        <v>1</v>
      </c>
      <c r="W238" s="23" t="s">
        <v>643</v>
      </c>
    </row>
    <row r="239" spans="1:23" x14ac:dyDescent="0.2">
      <c r="A239" s="1">
        <v>1</v>
      </c>
      <c r="B239" s="35" t="s">
        <v>777</v>
      </c>
      <c r="C239" t="s">
        <v>780</v>
      </c>
      <c r="D239" s="1">
        <v>1</v>
      </c>
      <c r="E239" s="1" t="s">
        <v>651</v>
      </c>
      <c r="F239" s="4">
        <v>45426</v>
      </c>
      <c r="G239" s="1" t="s">
        <v>21</v>
      </c>
      <c r="H239" s="6" t="s">
        <v>21</v>
      </c>
      <c r="I239" s="1" t="s">
        <v>21</v>
      </c>
      <c r="J239" s="6" t="s">
        <v>21</v>
      </c>
      <c r="K239" s="3">
        <v>0.76687499999999997</v>
      </c>
      <c r="L239" s="1" t="s">
        <v>7</v>
      </c>
      <c r="M239" s="1" t="s">
        <v>7</v>
      </c>
      <c r="N239" s="1">
        <v>2</v>
      </c>
      <c r="O239" s="35">
        <v>2</v>
      </c>
      <c r="P239" s="35">
        <v>90</v>
      </c>
      <c r="Q239" s="35">
        <v>90</v>
      </c>
      <c r="R239" s="2">
        <v>57.4</v>
      </c>
      <c r="S239" s="2">
        <v>57.4</v>
      </c>
      <c r="T239" s="1" t="s">
        <v>21</v>
      </c>
      <c r="U239" s="1" t="s">
        <v>654</v>
      </c>
      <c r="W239" s="23" t="s">
        <v>643</v>
      </c>
    </row>
    <row r="240" spans="1:23" x14ac:dyDescent="0.2">
      <c r="A240" s="1">
        <v>1</v>
      </c>
      <c r="B240" s="35" t="s">
        <v>776</v>
      </c>
      <c r="C240" t="s">
        <v>778</v>
      </c>
      <c r="D240" s="1">
        <v>1</v>
      </c>
      <c r="E240" s="1" t="s">
        <v>651</v>
      </c>
      <c r="F240" s="4">
        <v>45426</v>
      </c>
      <c r="G240" s="1" t="s">
        <v>21</v>
      </c>
      <c r="H240" s="6" t="s">
        <v>21</v>
      </c>
      <c r="I240" s="3">
        <v>1.6435185185185185E-3</v>
      </c>
      <c r="J240" s="6" t="s">
        <v>21</v>
      </c>
      <c r="K240" s="3">
        <v>0.76687499999999997</v>
      </c>
      <c r="L240" s="1" t="s">
        <v>8</v>
      </c>
      <c r="M240" s="1" t="s">
        <v>8</v>
      </c>
      <c r="N240" s="1">
        <v>2</v>
      </c>
      <c r="O240" s="35">
        <v>2</v>
      </c>
      <c r="P240" s="35">
        <v>90</v>
      </c>
      <c r="Q240" s="35">
        <v>90</v>
      </c>
      <c r="R240" s="2">
        <v>57.4</v>
      </c>
      <c r="S240" s="2">
        <v>57.4</v>
      </c>
      <c r="T240" s="1" t="s">
        <v>21</v>
      </c>
      <c r="U240" s="1" t="s">
        <v>652</v>
      </c>
      <c r="W240" s="23" t="s">
        <v>643</v>
      </c>
    </row>
    <row r="241" spans="1:23" x14ac:dyDescent="0.2">
      <c r="A241" s="1">
        <v>1</v>
      </c>
      <c r="B241" s="35" t="s">
        <v>777</v>
      </c>
      <c r="C241" t="s">
        <v>780</v>
      </c>
      <c r="D241" s="1">
        <v>1</v>
      </c>
      <c r="E241" s="1" t="s">
        <v>655</v>
      </c>
      <c r="F241" s="4">
        <v>45427</v>
      </c>
      <c r="G241" s="1" t="s">
        <v>21</v>
      </c>
      <c r="H241" s="6" t="s">
        <v>21</v>
      </c>
      <c r="I241" s="1" t="s">
        <v>21</v>
      </c>
      <c r="J241" s="6" t="s">
        <v>21</v>
      </c>
      <c r="K241" s="3">
        <v>0.21579861111111112</v>
      </c>
      <c r="L241" s="1" t="s">
        <v>7</v>
      </c>
      <c r="M241" s="1" t="s">
        <v>8</v>
      </c>
      <c r="N241" s="1">
        <v>2</v>
      </c>
      <c r="O241" s="35">
        <v>2</v>
      </c>
      <c r="P241" s="35">
        <v>90</v>
      </c>
      <c r="Q241" s="35">
        <v>90</v>
      </c>
      <c r="R241" s="2">
        <v>57.4</v>
      </c>
      <c r="S241" s="2">
        <v>28.8</v>
      </c>
      <c r="T241" s="1" t="s">
        <v>21</v>
      </c>
      <c r="U241" s="1" t="s">
        <v>568</v>
      </c>
      <c r="W241" s="23" t="s">
        <v>643</v>
      </c>
    </row>
    <row r="242" spans="1:23" x14ac:dyDescent="0.2">
      <c r="A242" s="1">
        <v>1</v>
      </c>
      <c r="B242" s="35" t="s">
        <v>776</v>
      </c>
      <c r="C242" t="s">
        <v>778</v>
      </c>
      <c r="D242" s="1">
        <v>1</v>
      </c>
      <c r="E242" s="1" t="s">
        <v>655</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35">
        <v>2</v>
      </c>
      <c r="P242" s="35">
        <v>90</v>
      </c>
      <c r="Q242" s="35">
        <v>90</v>
      </c>
      <c r="R242" s="2">
        <v>57.4</v>
      </c>
      <c r="S242" s="2">
        <v>28.8</v>
      </c>
      <c r="T242" s="1">
        <v>1</v>
      </c>
      <c r="W242" s="23" t="s">
        <v>643</v>
      </c>
    </row>
    <row r="243" spans="1:23" x14ac:dyDescent="0.2">
      <c r="A243" s="1">
        <v>1</v>
      </c>
      <c r="B243" s="35" t="s">
        <v>776</v>
      </c>
      <c r="C243" t="s">
        <v>778</v>
      </c>
      <c r="D243" s="1">
        <v>2</v>
      </c>
      <c r="E243" s="1" t="s">
        <v>655</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35">
        <v>2</v>
      </c>
      <c r="P243" s="35">
        <v>90</v>
      </c>
      <c r="Q243" s="35">
        <v>90</v>
      </c>
      <c r="R243" s="2">
        <v>28.8</v>
      </c>
      <c r="S243" s="2">
        <v>28.8</v>
      </c>
      <c r="T243" s="1">
        <v>1</v>
      </c>
      <c r="W243" s="23" t="s">
        <v>643</v>
      </c>
    </row>
    <row r="244" spans="1:23" x14ac:dyDescent="0.2">
      <c r="A244" s="1">
        <v>1</v>
      </c>
      <c r="B244" s="35" t="s">
        <v>776</v>
      </c>
      <c r="C244" t="s">
        <v>778</v>
      </c>
      <c r="D244" s="1">
        <v>1</v>
      </c>
      <c r="E244" s="1" t="s">
        <v>667</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35">
        <v>2</v>
      </c>
      <c r="P244" s="35">
        <v>90</v>
      </c>
      <c r="Q244" s="35">
        <v>90</v>
      </c>
      <c r="R244" s="2">
        <v>57.4</v>
      </c>
      <c r="S244" s="2">
        <v>57.4</v>
      </c>
      <c r="T244" s="1">
        <v>0</v>
      </c>
      <c r="U244" s="1" t="s">
        <v>671</v>
      </c>
      <c r="W244" s="29" t="s">
        <v>641</v>
      </c>
    </row>
    <row r="245" spans="1:23" x14ac:dyDescent="0.2">
      <c r="A245" s="1">
        <v>1</v>
      </c>
      <c r="B245" s="35" t="s">
        <v>776</v>
      </c>
      <c r="C245" t="s">
        <v>778</v>
      </c>
      <c r="D245" s="1">
        <v>2</v>
      </c>
      <c r="E245" s="1" t="s">
        <v>667</v>
      </c>
      <c r="F245" s="4">
        <v>45427</v>
      </c>
      <c r="G245" s="3">
        <f>I245+K245</f>
        <v>0.78030092592592593</v>
      </c>
      <c r="H245" s="6" t="s">
        <v>21</v>
      </c>
      <c r="I245" s="3">
        <v>2.3009259259259261E-2</v>
      </c>
      <c r="J245" s="6" t="s">
        <v>21</v>
      </c>
      <c r="K245" s="3">
        <v>0.7572916666666667</v>
      </c>
      <c r="L245" s="1" t="s">
        <v>7</v>
      </c>
      <c r="M245" s="1" t="s">
        <v>8</v>
      </c>
      <c r="N245" s="1">
        <v>2</v>
      </c>
      <c r="O245" s="35">
        <v>2</v>
      </c>
      <c r="P245" s="35">
        <v>90</v>
      </c>
      <c r="Q245" s="35">
        <v>90</v>
      </c>
      <c r="R245" s="2">
        <v>57.4</v>
      </c>
      <c r="S245" s="2">
        <v>57.4</v>
      </c>
      <c r="T245" s="1" t="s">
        <v>21</v>
      </c>
      <c r="W245" s="29" t="s">
        <v>641</v>
      </c>
    </row>
    <row r="246" spans="1:23" x14ac:dyDescent="0.2">
      <c r="A246" s="15">
        <v>1</v>
      </c>
      <c r="B246" s="35" t="s">
        <v>776</v>
      </c>
      <c r="C246" t="s">
        <v>778</v>
      </c>
      <c r="D246" s="15">
        <v>1</v>
      </c>
      <c r="E246" s="1" t="s">
        <v>669</v>
      </c>
      <c r="F246" s="4">
        <v>45428</v>
      </c>
      <c r="G246" s="1" t="s">
        <v>21</v>
      </c>
      <c r="H246" s="6">
        <f t="shared" ref="H246:H271" si="22">J246+K246</f>
        <v>0.23916666666666664</v>
      </c>
      <c r="I246" s="1" t="s">
        <v>21</v>
      </c>
      <c r="J246" s="6">
        <v>1.8368055555555554E-2</v>
      </c>
      <c r="K246" s="3">
        <v>0.2207986111111111</v>
      </c>
      <c r="L246" s="1" t="s">
        <v>8</v>
      </c>
      <c r="M246" s="1" t="s">
        <v>8</v>
      </c>
      <c r="N246" s="1">
        <v>2</v>
      </c>
      <c r="O246" s="35">
        <v>2</v>
      </c>
      <c r="P246" s="35">
        <v>90</v>
      </c>
      <c r="Q246" s="35">
        <v>90</v>
      </c>
      <c r="R246" s="2">
        <v>57.4</v>
      </c>
      <c r="S246" s="2">
        <v>28.8</v>
      </c>
      <c r="T246" s="1">
        <v>0</v>
      </c>
      <c r="W246" s="29" t="s">
        <v>641</v>
      </c>
    </row>
    <row r="247" spans="1:23" x14ac:dyDescent="0.2">
      <c r="A247" s="15">
        <v>1</v>
      </c>
      <c r="B247" s="35" t="s">
        <v>776</v>
      </c>
      <c r="C247" t="s">
        <v>778</v>
      </c>
      <c r="D247" s="15">
        <v>2</v>
      </c>
      <c r="E247" s="1" t="s">
        <v>669</v>
      </c>
      <c r="F247" s="4">
        <v>45428</v>
      </c>
      <c r="G247" s="1" t="s">
        <v>21</v>
      </c>
      <c r="H247" s="6">
        <f t="shared" si="22"/>
        <v>0.23951388888888889</v>
      </c>
      <c r="I247" s="1" t="s">
        <v>21</v>
      </c>
      <c r="J247" s="6">
        <v>1.8715277777777779E-2</v>
      </c>
      <c r="K247" s="3">
        <v>0.2207986111111111</v>
      </c>
      <c r="L247" s="1" t="s">
        <v>8</v>
      </c>
      <c r="M247" s="1" t="s">
        <v>8</v>
      </c>
      <c r="N247" s="1">
        <v>2</v>
      </c>
      <c r="O247" s="35">
        <v>2</v>
      </c>
      <c r="P247" s="35">
        <v>90</v>
      </c>
      <c r="Q247" s="35">
        <v>90</v>
      </c>
      <c r="R247" s="2">
        <v>57.4</v>
      </c>
      <c r="S247" s="2">
        <v>28.8</v>
      </c>
      <c r="T247" s="1">
        <v>1</v>
      </c>
      <c r="W247" s="29" t="s">
        <v>641</v>
      </c>
    </row>
    <row r="248" spans="1:23" x14ac:dyDescent="0.2">
      <c r="A248" s="15">
        <v>1</v>
      </c>
      <c r="B248" s="35" t="s">
        <v>776</v>
      </c>
      <c r="C248" t="s">
        <v>778</v>
      </c>
      <c r="D248" s="1">
        <v>3</v>
      </c>
      <c r="E248" s="1" t="s">
        <v>669</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35">
        <v>2</v>
      </c>
      <c r="P248" s="35">
        <v>90</v>
      </c>
      <c r="Q248" s="35">
        <v>90</v>
      </c>
      <c r="R248" s="2">
        <v>28.8</v>
      </c>
      <c r="S248" s="2">
        <v>57.4</v>
      </c>
      <c r="T248" s="1">
        <v>0</v>
      </c>
      <c r="U248" s="1" t="s">
        <v>670</v>
      </c>
      <c r="W248" s="29" t="s">
        <v>641</v>
      </c>
    </row>
    <row r="249" spans="1:23" x14ac:dyDescent="0.2">
      <c r="A249" s="15">
        <v>1</v>
      </c>
      <c r="B249" s="35" t="s">
        <v>776</v>
      </c>
      <c r="C249" t="s">
        <v>778</v>
      </c>
      <c r="D249" s="15">
        <v>1</v>
      </c>
      <c r="E249" s="1" t="s">
        <v>678</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35">
        <v>2</v>
      </c>
      <c r="P249" s="35">
        <v>90</v>
      </c>
      <c r="Q249" s="35">
        <v>90</v>
      </c>
      <c r="R249" s="2">
        <v>57.4</v>
      </c>
      <c r="S249" s="2">
        <v>57.4</v>
      </c>
      <c r="T249" s="1">
        <v>1</v>
      </c>
      <c r="W249" s="29" t="s">
        <v>641</v>
      </c>
    </row>
    <row r="250" spans="1:23" x14ac:dyDescent="0.2">
      <c r="A250" s="15">
        <v>1</v>
      </c>
      <c r="B250" s="35" t="s">
        <v>776</v>
      </c>
      <c r="C250" t="s">
        <v>778</v>
      </c>
      <c r="D250" s="1">
        <v>2</v>
      </c>
      <c r="E250" s="1" t="s">
        <v>678</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35">
        <v>2</v>
      </c>
      <c r="P250" s="35">
        <v>90</v>
      </c>
      <c r="Q250" s="35">
        <v>90</v>
      </c>
      <c r="R250" s="2">
        <v>57.4</v>
      </c>
      <c r="S250" s="2">
        <v>57.4</v>
      </c>
      <c r="T250" s="1">
        <v>0</v>
      </c>
      <c r="U250" s="1" t="s">
        <v>679</v>
      </c>
      <c r="V250" s="2" t="s">
        <v>668</v>
      </c>
      <c r="W250" s="29" t="s">
        <v>641</v>
      </c>
    </row>
    <row r="251" spans="1:23" x14ac:dyDescent="0.2">
      <c r="A251" s="15">
        <v>1</v>
      </c>
      <c r="B251" s="35" t="s">
        <v>776</v>
      </c>
      <c r="C251" t="s">
        <v>778</v>
      </c>
      <c r="D251" s="15">
        <v>1</v>
      </c>
      <c r="E251" s="1" t="s">
        <v>680</v>
      </c>
      <c r="F251" s="4">
        <v>45429</v>
      </c>
      <c r="G251" s="1" t="s">
        <v>21</v>
      </c>
      <c r="H251" s="6">
        <f t="shared" si="22"/>
        <v>0.24296296296296296</v>
      </c>
      <c r="I251" s="1" t="s">
        <v>21</v>
      </c>
      <c r="J251" s="6">
        <v>2.4282407407407409E-2</v>
      </c>
      <c r="K251" s="3">
        <v>0.21868055555555554</v>
      </c>
      <c r="L251" s="1" t="s">
        <v>7</v>
      </c>
      <c r="M251" s="1" t="s">
        <v>7</v>
      </c>
      <c r="N251" s="1">
        <v>2</v>
      </c>
      <c r="O251" s="35">
        <v>2</v>
      </c>
      <c r="P251" s="35">
        <v>90</v>
      </c>
      <c r="Q251" s="35">
        <v>90</v>
      </c>
      <c r="R251" s="2">
        <v>57.4</v>
      </c>
      <c r="S251" s="2">
        <v>28.8</v>
      </c>
      <c r="T251" s="1">
        <v>1</v>
      </c>
      <c r="W251" s="29" t="s">
        <v>641</v>
      </c>
    </row>
    <row r="252" spans="1:23" x14ac:dyDescent="0.2">
      <c r="A252" s="15">
        <v>1</v>
      </c>
      <c r="B252" s="35" t="s">
        <v>776</v>
      </c>
      <c r="C252" t="s">
        <v>778</v>
      </c>
      <c r="D252" s="1">
        <v>2</v>
      </c>
      <c r="E252" s="1" t="s">
        <v>680</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35">
        <v>2</v>
      </c>
      <c r="P252" s="35">
        <v>90</v>
      </c>
      <c r="Q252" s="35">
        <v>90</v>
      </c>
      <c r="R252" s="2">
        <v>57.4</v>
      </c>
      <c r="S252" s="2">
        <v>28.8</v>
      </c>
      <c r="T252" s="1">
        <v>1</v>
      </c>
      <c r="U252" s="1" t="s">
        <v>681</v>
      </c>
      <c r="W252" s="29" t="s">
        <v>641</v>
      </c>
    </row>
    <row r="253" spans="1:23" x14ac:dyDescent="0.2">
      <c r="A253" s="15">
        <v>1</v>
      </c>
      <c r="B253" s="35" t="s">
        <v>776</v>
      </c>
      <c r="C253" t="s">
        <v>778</v>
      </c>
      <c r="D253" s="15">
        <v>1</v>
      </c>
      <c r="E253" s="1" t="s">
        <v>684</v>
      </c>
      <c r="F253" s="4">
        <v>45429</v>
      </c>
      <c r="G253" s="3">
        <f>I253+K253</f>
        <v>0.77342592592592596</v>
      </c>
      <c r="H253" s="6">
        <f t="shared" si="22"/>
        <v>0.77601851851851855</v>
      </c>
      <c r="I253" s="3">
        <v>1.2800925925925926E-2</v>
      </c>
      <c r="J253" s="6">
        <v>1.5393518518518518E-2</v>
      </c>
      <c r="K253" s="3">
        <v>0.760625</v>
      </c>
      <c r="L253" s="1" t="s">
        <v>7</v>
      </c>
      <c r="M253" s="1" t="s">
        <v>7</v>
      </c>
      <c r="N253" s="1">
        <v>2</v>
      </c>
      <c r="O253" s="35">
        <v>2</v>
      </c>
      <c r="P253" s="35">
        <v>90</v>
      </c>
      <c r="Q253" s="35">
        <v>90</v>
      </c>
      <c r="R253" s="2">
        <v>28.8</v>
      </c>
      <c r="S253" s="2">
        <v>28.8</v>
      </c>
      <c r="T253" s="1">
        <v>1</v>
      </c>
      <c r="W253" s="29" t="s">
        <v>641</v>
      </c>
    </row>
    <row r="254" spans="1:23" x14ac:dyDescent="0.2">
      <c r="A254" s="15">
        <v>1</v>
      </c>
      <c r="B254" s="35" t="s">
        <v>776</v>
      </c>
      <c r="C254" t="s">
        <v>778</v>
      </c>
      <c r="D254" s="15">
        <v>1</v>
      </c>
      <c r="E254" s="1" t="s">
        <v>688</v>
      </c>
      <c r="F254" s="4">
        <v>45430</v>
      </c>
      <c r="H254" s="6">
        <f t="shared" si="22"/>
        <v>0.22422453703703704</v>
      </c>
      <c r="J254" s="6">
        <v>2.6041666666666665E-3</v>
      </c>
      <c r="K254" s="3">
        <v>0.22162037037037038</v>
      </c>
      <c r="L254" s="1" t="s">
        <v>8</v>
      </c>
      <c r="M254" s="1" t="s">
        <v>8</v>
      </c>
      <c r="N254" s="1">
        <v>2</v>
      </c>
      <c r="O254" s="35">
        <v>2</v>
      </c>
      <c r="P254" s="35">
        <v>90</v>
      </c>
      <c r="Q254" s="35">
        <v>90</v>
      </c>
      <c r="R254" s="2">
        <v>57.4</v>
      </c>
      <c r="S254" s="2">
        <v>57.4</v>
      </c>
      <c r="T254" s="1">
        <v>0</v>
      </c>
      <c r="U254" s="1" t="s">
        <v>686</v>
      </c>
      <c r="V254" s="2">
        <v>1</v>
      </c>
      <c r="W254" s="29" t="s">
        <v>641</v>
      </c>
    </row>
    <row r="255" spans="1:23" x14ac:dyDescent="0.2">
      <c r="A255" s="15">
        <v>1</v>
      </c>
      <c r="B255" s="35" t="s">
        <v>776</v>
      </c>
      <c r="C255" t="s">
        <v>778</v>
      </c>
      <c r="D255" s="1">
        <v>2</v>
      </c>
      <c r="E255" s="1" t="s">
        <v>688</v>
      </c>
      <c r="F255" s="4">
        <v>45430</v>
      </c>
      <c r="H255" s="6">
        <f t="shared" si="22"/>
        <v>0.23569444444444446</v>
      </c>
      <c r="J255" s="6">
        <v>1.4074074074074074E-2</v>
      </c>
      <c r="K255" s="3">
        <v>0.22162037037037038</v>
      </c>
      <c r="L255" s="1" t="s">
        <v>8</v>
      </c>
      <c r="M255" s="1" t="s">
        <v>7</v>
      </c>
      <c r="N255" s="1">
        <v>2</v>
      </c>
      <c r="O255" s="35">
        <v>2</v>
      </c>
      <c r="P255" s="35">
        <v>90</v>
      </c>
      <c r="Q255" s="35">
        <v>90</v>
      </c>
      <c r="R255" s="2">
        <v>57.4</v>
      </c>
      <c r="S255" s="2">
        <v>28.8</v>
      </c>
      <c r="T255" s="1">
        <v>1</v>
      </c>
      <c r="W255" s="29" t="s">
        <v>641</v>
      </c>
    </row>
    <row r="256" spans="1:23" x14ac:dyDescent="0.2">
      <c r="A256" s="15">
        <v>1</v>
      </c>
      <c r="B256" s="35" t="s">
        <v>776</v>
      </c>
      <c r="C256" t="s">
        <v>778</v>
      </c>
      <c r="D256" s="1">
        <v>3</v>
      </c>
      <c r="E256" s="1" t="s">
        <v>688</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35">
        <v>2</v>
      </c>
      <c r="P256" s="35">
        <v>90</v>
      </c>
      <c r="Q256" s="35">
        <v>90</v>
      </c>
      <c r="R256" s="2">
        <v>28.8</v>
      </c>
      <c r="S256" s="2">
        <v>28.8</v>
      </c>
      <c r="T256" s="1">
        <v>1</v>
      </c>
      <c r="W256" s="29" t="s">
        <v>641</v>
      </c>
    </row>
    <row r="257" spans="1:23" x14ac:dyDescent="0.2">
      <c r="A257" s="15">
        <v>1</v>
      </c>
      <c r="B257" s="35" t="s">
        <v>776</v>
      </c>
      <c r="C257" t="s">
        <v>778</v>
      </c>
      <c r="D257" s="1">
        <v>4</v>
      </c>
      <c r="E257" s="1" t="s">
        <v>688</v>
      </c>
      <c r="F257" s="4">
        <v>45430</v>
      </c>
      <c r="G257" s="3">
        <f>I257+K257</f>
        <v>0.23893518518518519</v>
      </c>
      <c r="H257" s="6">
        <f t="shared" si="22"/>
        <v>0.24533564814814815</v>
      </c>
      <c r="I257" s="3">
        <v>1.7314814814814814E-2</v>
      </c>
      <c r="J257" s="6">
        <v>2.3715277777777776E-2</v>
      </c>
      <c r="K257" s="3">
        <v>0.22162037037037038</v>
      </c>
      <c r="L257" s="1" t="s">
        <v>300</v>
      </c>
      <c r="M257" s="1" t="s">
        <v>7</v>
      </c>
      <c r="N257" s="1">
        <v>2</v>
      </c>
      <c r="O257" s="35">
        <v>2</v>
      </c>
      <c r="P257" s="35">
        <v>90</v>
      </c>
      <c r="Q257" s="35">
        <v>90</v>
      </c>
      <c r="R257" s="2">
        <v>28.8</v>
      </c>
      <c r="S257" s="2">
        <v>28.8</v>
      </c>
      <c r="T257" s="1">
        <v>1</v>
      </c>
      <c r="W257" s="29" t="s">
        <v>641</v>
      </c>
    </row>
    <row r="258" spans="1:23" x14ac:dyDescent="0.2">
      <c r="A258" s="15">
        <v>1</v>
      </c>
      <c r="B258" s="35" t="s">
        <v>776</v>
      </c>
      <c r="C258" t="s">
        <v>778</v>
      </c>
      <c r="D258" s="1">
        <v>1</v>
      </c>
      <c r="E258" s="1" t="s">
        <v>690</v>
      </c>
      <c r="F258" s="4">
        <v>45436</v>
      </c>
      <c r="G258" s="1" t="s">
        <v>21</v>
      </c>
      <c r="H258" s="6">
        <f t="shared" si="22"/>
        <v>0.24412037037037038</v>
      </c>
      <c r="I258" s="1" t="s">
        <v>21</v>
      </c>
      <c r="J258" s="6">
        <v>1.7048611111111112E-2</v>
      </c>
      <c r="K258" s="3">
        <v>0.22707175925925926</v>
      </c>
      <c r="L258" s="1" t="s">
        <v>8</v>
      </c>
      <c r="M258" s="1" t="s">
        <v>7</v>
      </c>
      <c r="N258" s="1">
        <v>2</v>
      </c>
      <c r="O258" s="35">
        <v>2</v>
      </c>
      <c r="P258" s="35">
        <v>90</v>
      </c>
      <c r="Q258" s="35">
        <v>90</v>
      </c>
      <c r="R258" s="2">
        <v>57.4</v>
      </c>
      <c r="S258" s="2">
        <v>28.8</v>
      </c>
      <c r="T258" s="1">
        <v>1</v>
      </c>
      <c r="W258" s="29" t="s">
        <v>643</v>
      </c>
    </row>
    <row r="259" spans="1:23" x14ac:dyDescent="0.2">
      <c r="A259" s="15">
        <v>1</v>
      </c>
      <c r="B259" s="35" t="s">
        <v>776</v>
      </c>
      <c r="C259" t="s">
        <v>778</v>
      </c>
      <c r="D259" s="1">
        <v>2</v>
      </c>
      <c r="E259" s="1" t="s">
        <v>690</v>
      </c>
      <c r="F259" s="4">
        <v>45436</v>
      </c>
      <c r="G259" s="1" t="s">
        <v>21</v>
      </c>
      <c r="H259" s="6">
        <f t="shared" si="22"/>
        <v>0.24869212962962964</v>
      </c>
      <c r="I259" s="1" t="s">
        <v>21</v>
      </c>
      <c r="J259" s="6">
        <v>2.162037037037037E-2</v>
      </c>
      <c r="K259" s="3">
        <v>0.22707175925925926</v>
      </c>
      <c r="L259" s="1" t="s">
        <v>8</v>
      </c>
      <c r="M259" s="1" t="s">
        <v>7</v>
      </c>
      <c r="N259" s="1">
        <v>2</v>
      </c>
      <c r="O259" s="35">
        <v>2</v>
      </c>
      <c r="P259" s="35">
        <v>90</v>
      </c>
      <c r="Q259" s="35">
        <v>90</v>
      </c>
      <c r="R259" s="2">
        <v>57.4</v>
      </c>
      <c r="S259" s="2">
        <v>28.8</v>
      </c>
      <c r="T259" s="1">
        <v>1</v>
      </c>
      <c r="W259" s="29" t="s">
        <v>643</v>
      </c>
    </row>
    <row r="260" spans="1:23" x14ac:dyDescent="0.2">
      <c r="A260" s="15">
        <v>1</v>
      </c>
      <c r="B260" s="35" t="s">
        <v>776</v>
      </c>
      <c r="C260" t="s">
        <v>778</v>
      </c>
      <c r="D260" s="1">
        <v>1</v>
      </c>
      <c r="E260" s="1" t="s">
        <v>691</v>
      </c>
      <c r="F260" s="4">
        <v>45435</v>
      </c>
      <c r="H260" s="6">
        <f t="shared" si="22"/>
        <v>0.24349537037037039</v>
      </c>
      <c r="J260" s="6">
        <v>2.5196759259259259E-2</v>
      </c>
      <c r="K260" s="3">
        <v>0.21829861111111112</v>
      </c>
      <c r="L260" s="1" t="s">
        <v>8</v>
      </c>
      <c r="M260" s="1" t="s">
        <v>8</v>
      </c>
      <c r="N260" s="1">
        <v>2</v>
      </c>
      <c r="O260" s="35">
        <v>2</v>
      </c>
      <c r="P260" s="35">
        <v>90</v>
      </c>
      <c r="Q260" s="35">
        <v>90</v>
      </c>
      <c r="R260" s="2">
        <v>57.4</v>
      </c>
      <c r="S260" s="2">
        <v>28.8</v>
      </c>
      <c r="T260" s="1" t="s">
        <v>21</v>
      </c>
      <c r="U260" s="1" t="s">
        <v>693</v>
      </c>
      <c r="W260" s="29" t="s">
        <v>643</v>
      </c>
    </row>
    <row r="261" spans="1:23" x14ac:dyDescent="0.2">
      <c r="A261" s="15">
        <v>1</v>
      </c>
      <c r="B261" s="35" t="s">
        <v>776</v>
      </c>
      <c r="C261" t="s">
        <v>778</v>
      </c>
      <c r="D261" s="1">
        <v>2</v>
      </c>
      <c r="E261" s="1" t="s">
        <v>691</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35">
        <v>2</v>
      </c>
      <c r="P261" s="35">
        <v>90</v>
      </c>
      <c r="Q261" s="35">
        <v>90</v>
      </c>
      <c r="R261" s="2">
        <v>57.4</v>
      </c>
      <c r="S261" s="2">
        <v>28.8</v>
      </c>
      <c r="T261" s="1" t="s">
        <v>21</v>
      </c>
      <c r="U261" s="1" t="s">
        <v>694</v>
      </c>
      <c r="W261" s="29" t="s">
        <v>643</v>
      </c>
    </row>
    <row r="262" spans="1:23" x14ac:dyDescent="0.2">
      <c r="A262" s="15">
        <v>1</v>
      </c>
      <c r="B262" s="35" t="s">
        <v>776</v>
      </c>
      <c r="C262" t="s">
        <v>778</v>
      </c>
      <c r="D262" s="1">
        <v>1</v>
      </c>
      <c r="E262" s="1" t="s">
        <v>692</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35">
        <v>2</v>
      </c>
      <c r="P262" s="35">
        <v>90</v>
      </c>
      <c r="Q262" s="35">
        <v>90</v>
      </c>
      <c r="R262" s="2">
        <v>28.8</v>
      </c>
      <c r="S262" s="2">
        <v>57.4</v>
      </c>
      <c r="T262" s="1">
        <v>1</v>
      </c>
      <c r="V262" s="2" t="s">
        <v>695</v>
      </c>
      <c r="W262" s="29" t="s">
        <v>643</v>
      </c>
    </row>
    <row r="263" spans="1:23" x14ac:dyDescent="0.2">
      <c r="A263" s="15">
        <v>1</v>
      </c>
      <c r="B263" s="35" t="s">
        <v>776</v>
      </c>
      <c r="C263" t="s">
        <v>778</v>
      </c>
      <c r="D263" s="1">
        <v>1</v>
      </c>
      <c r="E263" s="1" t="s">
        <v>628</v>
      </c>
      <c r="F263" s="4">
        <v>45434</v>
      </c>
      <c r="H263" s="6">
        <f t="shared" si="22"/>
        <v>0.24187500000000001</v>
      </c>
      <c r="J263" s="6">
        <v>2.2476851851851852E-2</v>
      </c>
      <c r="K263" s="3">
        <v>0.21939814814814815</v>
      </c>
      <c r="L263" s="1" t="s">
        <v>8</v>
      </c>
      <c r="M263" s="1" t="s">
        <v>7</v>
      </c>
      <c r="N263" s="1">
        <v>2</v>
      </c>
      <c r="O263" s="35">
        <v>2</v>
      </c>
      <c r="P263" s="35">
        <v>90</v>
      </c>
      <c r="Q263" s="35">
        <v>90</v>
      </c>
      <c r="R263" s="2">
        <v>57.4</v>
      </c>
      <c r="S263" s="2">
        <v>28.8</v>
      </c>
      <c r="T263" s="1">
        <v>1</v>
      </c>
      <c r="W263" s="29" t="s">
        <v>643</v>
      </c>
    </row>
    <row r="264" spans="1:23" x14ac:dyDescent="0.2">
      <c r="A264" s="15">
        <v>1</v>
      </c>
      <c r="B264" s="35" t="s">
        <v>776</v>
      </c>
      <c r="C264" t="s">
        <v>778</v>
      </c>
      <c r="D264" s="1">
        <v>2</v>
      </c>
      <c r="E264" s="1" t="s">
        <v>628</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35">
        <v>2</v>
      </c>
      <c r="P264" s="35">
        <v>90</v>
      </c>
      <c r="Q264" s="35">
        <v>90</v>
      </c>
      <c r="R264" s="2">
        <v>57.4</v>
      </c>
      <c r="S264" s="2">
        <v>28.8</v>
      </c>
      <c r="T264" s="1">
        <v>0</v>
      </c>
      <c r="V264" s="2">
        <v>1</v>
      </c>
      <c r="W264" s="29" t="s">
        <v>643</v>
      </c>
    </row>
    <row r="265" spans="1:23" x14ac:dyDescent="0.2">
      <c r="A265" s="15">
        <v>1</v>
      </c>
      <c r="B265" s="35" t="s">
        <v>776</v>
      </c>
      <c r="C265" t="s">
        <v>778</v>
      </c>
      <c r="D265" s="1">
        <v>1</v>
      </c>
      <c r="E265" s="1" t="s">
        <v>696</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35">
        <v>2</v>
      </c>
      <c r="P265" s="35">
        <v>90</v>
      </c>
      <c r="Q265" s="35">
        <v>90</v>
      </c>
      <c r="R265" s="2">
        <v>57.4</v>
      </c>
      <c r="S265" s="2">
        <v>57.4</v>
      </c>
      <c r="T265" s="1">
        <v>1</v>
      </c>
      <c r="W265" s="29" t="s">
        <v>643</v>
      </c>
    </row>
    <row r="266" spans="1:23" x14ac:dyDescent="0.2">
      <c r="A266" s="15">
        <v>1</v>
      </c>
      <c r="B266" s="35" t="s">
        <v>776</v>
      </c>
      <c r="C266" t="s">
        <v>778</v>
      </c>
      <c r="D266" s="1">
        <v>1</v>
      </c>
      <c r="E266" s="1" t="s">
        <v>234</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35">
        <v>2</v>
      </c>
      <c r="P266" s="35">
        <v>90</v>
      </c>
      <c r="Q266" s="35">
        <v>90</v>
      </c>
      <c r="R266" s="2">
        <v>57.4</v>
      </c>
      <c r="S266" s="2">
        <v>28.8</v>
      </c>
      <c r="T266" s="1">
        <v>0</v>
      </c>
      <c r="V266" s="2">
        <v>1</v>
      </c>
      <c r="W266" s="29" t="s">
        <v>643</v>
      </c>
    </row>
    <row r="267" spans="1:23" x14ac:dyDescent="0.2">
      <c r="A267" s="15">
        <v>1</v>
      </c>
      <c r="B267" s="35" t="s">
        <v>776</v>
      </c>
      <c r="C267" t="s">
        <v>778</v>
      </c>
      <c r="D267" s="1">
        <v>2</v>
      </c>
      <c r="E267" s="1" t="s">
        <v>234</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35">
        <v>2</v>
      </c>
      <c r="P267" s="35">
        <v>90</v>
      </c>
      <c r="Q267" s="35">
        <v>90</v>
      </c>
      <c r="R267" s="2">
        <v>57.4</v>
      </c>
      <c r="S267" s="2">
        <v>28.8</v>
      </c>
      <c r="T267" s="1">
        <v>0</v>
      </c>
      <c r="W267" s="29" t="s">
        <v>643</v>
      </c>
    </row>
    <row r="268" spans="1:23" x14ac:dyDescent="0.2">
      <c r="A268" s="15">
        <v>1</v>
      </c>
      <c r="B268" s="35" t="s">
        <v>776</v>
      </c>
      <c r="C268" t="s">
        <v>778</v>
      </c>
      <c r="D268" s="1">
        <v>1</v>
      </c>
      <c r="E268" s="1" t="s">
        <v>232</v>
      </c>
      <c r="F268" s="4">
        <v>45432</v>
      </c>
      <c r="H268" s="6">
        <f t="shared" si="22"/>
        <v>0.24289351851851851</v>
      </c>
      <c r="J268" s="6">
        <v>2.1886574074074076E-2</v>
      </c>
      <c r="K268" s="3">
        <v>0.22100694444444444</v>
      </c>
      <c r="L268" s="1" t="s">
        <v>8</v>
      </c>
      <c r="M268" s="1" t="s">
        <v>8</v>
      </c>
      <c r="N268" s="1">
        <v>2</v>
      </c>
      <c r="O268" s="35">
        <v>2</v>
      </c>
      <c r="P268" s="35">
        <v>90</v>
      </c>
      <c r="Q268" s="35">
        <v>90</v>
      </c>
      <c r="R268" s="2">
        <v>28.8</v>
      </c>
      <c r="S268" s="2">
        <v>28.8</v>
      </c>
      <c r="T268" s="1">
        <v>0</v>
      </c>
      <c r="U268" s="1" t="s">
        <v>720</v>
      </c>
      <c r="V268" s="2" t="s">
        <v>697</v>
      </c>
      <c r="W268" s="29" t="s">
        <v>641</v>
      </c>
    </row>
    <row r="269" spans="1:23" x14ac:dyDescent="0.2">
      <c r="A269" s="15">
        <v>1</v>
      </c>
      <c r="B269" s="35" t="s">
        <v>776</v>
      </c>
      <c r="C269" t="s">
        <v>778</v>
      </c>
      <c r="D269" s="1">
        <v>2</v>
      </c>
      <c r="E269" s="1" t="s">
        <v>232</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35">
        <v>2</v>
      </c>
      <c r="P269" s="35">
        <v>90</v>
      </c>
      <c r="Q269" s="35">
        <v>90</v>
      </c>
      <c r="R269" s="2">
        <v>28.8</v>
      </c>
      <c r="S269" s="2">
        <v>28.8</v>
      </c>
      <c r="T269" s="1">
        <v>0</v>
      </c>
      <c r="U269" s="2" t="s">
        <v>698</v>
      </c>
      <c r="W269" s="29" t="s">
        <v>641</v>
      </c>
    </row>
    <row r="270" spans="1:23" x14ac:dyDescent="0.2">
      <c r="A270" s="15">
        <v>1</v>
      </c>
      <c r="B270" s="35" t="s">
        <v>776</v>
      </c>
      <c r="C270" t="s">
        <v>778</v>
      </c>
      <c r="D270" s="1">
        <v>1</v>
      </c>
      <c r="E270" s="1" t="s">
        <v>699</v>
      </c>
      <c r="F270" s="4">
        <v>45431</v>
      </c>
      <c r="G270" s="3"/>
      <c r="H270" s="6">
        <f t="shared" si="22"/>
        <v>0.24283564814814815</v>
      </c>
      <c r="J270" s="6">
        <v>2.2488425925925926E-2</v>
      </c>
      <c r="K270" s="3">
        <v>0.22034722222222222</v>
      </c>
      <c r="L270" s="1" t="s">
        <v>8</v>
      </c>
      <c r="M270" s="1" t="s">
        <v>8</v>
      </c>
      <c r="N270" s="1">
        <v>2</v>
      </c>
      <c r="O270" s="35">
        <v>2</v>
      </c>
      <c r="P270" s="35">
        <v>90</v>
      </c>
      <c r="Q270" s="35">
        <v>90</v>
      </c>
      <c r="R270" s="2">
        <v>28.8</v>
      </c>
      <c r="S270" s="2">
        <v>28.8</v>
      </c>
      <c r="T270" s="1">
        <v>0</v>
      </c>
      <c r="U270" s="2" t="s">
        <v>698</v>
      </c>
      <c r="W270" s="29" t="s">
        <v>641</v>
      </c>
    </row>
    <row r="271" spans="1:23" x14ac:dyDescent="0.2">
      <c r="A271" s="15">
        <v>1</v>
      </c>
      <c r="B271" s="35" t="s">
        <v>776</v>
      </c>
      <c r="C271" t="s">
        <v>778</v>
      </c>
      <c r="D271" s="1">
        <v>2</v>
      </c>
      <c r="E271" s="1" t="s">
        <v>699</v>
      </c>
      <c r="F271" s="4">
        <v>45431</v>
      </c>
      <c r="H271" s="6">
        <f t="shared" si="22"/>
        <v>0.26648148148148149</v>
      </c>
      <c r="I271" s="3">
        <v>1.40625E-2</v>
      </c>
      <c r="J271" s="6">
        <v>4.6134259259259257E-2</v>
      </c>
      <c r="K271" s="3">
        <v>0.22034722222222222</v>
      </c>
      <c r="L271" s="1" t="s">
        <v>8</v>
      </c>
      <c r="M271" s="1" t="s">
        <v>8</v>
      </c>
      <c r="N271" s="1">
        <v>2</v>
      </c>
      <c r="O271" s="35">
        <v>2</v>
      </c>
      <c r="P271" s="35">
        <v>90</v>
      </c>
      <c r="Q271" s="35">
        <v>90</v>
      </c>
      <c r="R271" s="2">
        <v>28.8</v>
      </c>
      <c r="S271" s="2">
        <v>28.8</v>
      </c>
      <c r="T271" s="1">
        <v>0</v>
      </c>
      <c r="U271" s="2" t="s">
        <v>700</v>
      </c>
      <c r="W271" s="29" t="s">
        <v>641</v>
      </c>
    </row>
    <row r="272" spans="1:23" x14ac:dyDescent="0.2">
      <c r="A272" s="15">
        <v>1</v>
      </c>
      <c r="B272" s="35" t="s">
        <v>776</v>
      </c>
      <c r="C272" t="s">
        <v>778</v>
      </c>
      <c r="D272" s="1">
        <v>1</v>
      </c>
      <c r="E272" s="1" t="s">
        <v>728</v>
      </c>
      <c r="F272" s="4">
        <v>45430</v>
      </c>
      <c r="G272" s="1" t="s">
        <v>21</v>
      </c>
      <c r="H272" s="6" t="s">
        <v>21</v>
      </c>
      <c r="I272" s="1" t="s">
        <v>21</v>
      </c>
      <c r="J272" s="1" t="s">
        <v>21</v>
      </c>
      <c r="K272" s="1" t="s">
        <v>21</v>
      </c>
      <c r="L272" s="1" t="s">
        <v>7</v>
      </c>
      <c r="M272" s="1" t="s">
        <v>8</v>
      </c>
      <c r="N272" s="1">
        <v>2</v>
      </c>
      <c r="O272" s="35">
        <v>2</v>
      </c>
      <c r="P272" s="35">
        <v>90</v>
      </c>
      <c r="Q272" s="35">
        <v>90</v>
      </c>
      <c r="R272" s="2">
        <v>28.8</v>
      </c>
      <c r="S272" s="2">
        <v>57.4</v>
      </c>
      <c r="T272" s="1" t="s">
        <v>21</v>
      </c>
      <c r="U272" s="2" t="s">
        <v>546</v>
      </c>
      <c r="W272" s="4" t="s">
        <v>21</v>
      </c>
    </row>
    <row r="273" spans="1:23" x14ac:dyDescent="0.2">
      <c r="A273" s="15">
        <v>1</v>
      </c>
      <c r="B273" s="35" t="s">
        <v>776</v>
      </c>
      <c r="C273" t="s">
        <v>778</v>
      </c>
      <c r="D273" s="1">
        <v>1</v>
      </c>
      <c r="E273" s="1" t="s">
        <v>713</v>
      </c>
      <c r="F273" s="4">
        <v>45437</v>
      </c>
      <c r="G273" s="1" t="s">
        <v>21</v>
      </c>
      <c r="H273" s="6">
        <f>J273+K273</f>
        <v>0.78964120370370372</v>
      </c>
      <c r="I273" s="1" t="s">
        <v>21</v>
      </c>
      <c r="J273" s="6">
        <v>3.833333333333333E-2</v>
      </c>
      <c r="K273" s="3">
        <v>0.75130787037037039</v>
      </c>
      <c r="L273" s="1" t="s">
        <v>7</v>
      </c>
      <c r="M273" s="1" t="s">
        <v>7</v>
      </c>
      <c r="N273" s="1">
        <v>2</v>
      </c>
      <c r="O273" s="35">
        <v>2</v>
      </c>
      <c r="P273" s="35">
        <v>90</v>
      </c>
      <c r="Q273" s="35">
        <v>90</v>
      </c>
      <c r="R273" s="2">
        <v>28.8</v>
      </c>
      <c r="S273" s="2">
        <v>28.8</v>
      </c>
      <c r="T273" s="1">
        <v>0</v>
      </c>
      <c r="V273" s="2" t="s">
        <v>714</v>
      </c>
      <c r="W273" s="4" t="s">
        <v>643</v>
      </c>
    </row>
    <row r="274" spans="1:23" x14ac:dyDescent="0.2">
      <c r="A274" s="15">
        <v>1</v>
      </c>
      <c r="B274" s="35" t="s">
        <v>776</v>
      </c>
      <c r="C274" t="s">
        <v>778</v>
      </c>
      <c r="D274" s="1">
        <v>1</v>
      </c>
      <c r="E274" s="1" t="s">
        <v>650</v>
      </c>
      <c r="F274" s="4">
        <v>45438</v>
      </c>
      <c r="G274" s="1" t="s">
        <v>21</v>
      </c>
      <c r="H274" s="6">
        <f>J274+K274</f>
        <v>0.2408912037037037</v>
      </c>
      <c r="I274" s="1" t="s">
        <v>21</v>
      </c>
      <c r="J274" s="6">
        <v>1.8831018518518518E-2</v>
      </c>
      <c r="K274" s="3">
        <v>0.22206018518518519</v>
      </c>
      <c r="L274" s="1" t="s">
        <v>7</v>
      </c>
      <c r="M274" s="1" t="s">
        <v>8</v>
      </c>
      <c r="N274" s="1">
        <v>2</v>
      </c>
      <c r="O274" s="35">
        <v>2</v>
      </c>
      <c r="P274" s="35">
        <v>90</v>
      </c>
      <c r="Q274" s="35">
        <v>90</v>
      </c>
      <c r="R274" s="2">
        <v>28.8</v>
      </c>
      <c r="S274" s="2">
        <v>28.8</v>
      </c>
      <c r="T274" s="1">
        <v>0</v>
      </c>
      <c r="V274" s="2">
        <v>1</v>
      </c>
      <c r="W274" s="4" t="s">
        <v>643</v>
      </c>
    </row>
    <row r="275" spans="1:23" x14ac:dyDescent="0.2">
      <c r="A275" s="15">
        <v>1</v>
      </c>
      <c r="B275" s="35" t="s">
        <v>776</v>
      </c>
      <c r="C275" t="s">
        <v>778</v>
      </c>
      <c r="D275" s="1">
        <v>2</v>
      </c>
      <c r="E275" s="1" t="s">
        <v>650</v>
      </c>
      <c r="F275" s="4">
        <v>45438</v>
      </c>
      <c r="G275" s="1" t="s">
        <v>21</v>
      </c>
      <c r="H275" s="6">
        <f>J275+K275</f>
        <v>0.24142361111111113</v>
      </c>
      <c r="I275" s="1" t="s">
        <v>21</v>
      </c>
      <c r="J275" s="6">
        <v>1.9363425925925926E-2</v>
      </c>
      <c r="K275" s="3">
        <v>0.22206018518518519</v>
      </c>
      <c r="L275" s="1" t="s">
        <v>7</v>
      </c>
      <c r="M275" s="1" t="s">
        <v>8</v>
      </c>
      <c r="N275" s="1">
        <v>2</v>
      </c>
      <c r="O275" s="35">
        <v>2</v>
      </c>
      <c r="P275" s="35">
        <v>90</v>
      </c>
      <c r="Q275" s="35">
        <v>90</v>
      </c>
      <c r="R275" s="2">
        <v>28.8</v>
      </c>
      <c r="S275" s="2">
        <v>28.8</v>
      </c>
      <c r="T275" s="1">
        <v>0</v>
      </c>
      <c r="V275" s="2">
        <v>1</v>
      </c>
      <c r="W275" s="4" t="s">
        <v>643</v>
      </c>
    </row>
    <row r="276" spans="1:23" x14ac:dyDescent="0.2">
      <c r="A276" s="15">
        <v>1</v>
      </c>
      <c r="B276" s="35" t="s">
        <v>776</v>
      </c>
      <c r="C276" t="s">
        <v>778</v>
      </c>
      <c r="D276" s="1" t="s">
        <v>21</v>
      </c>
      <c r="E276" s="1" t="s">
        <v>721</v>
      </c>
      <c r="F276" s="4">
        <v>45438</v>
      </c>
      <c r="G276" s="1" t="s">
        <v>21</v>
      </c>
      <c r="H276" s="6" t="s">
        <v>21</v>
      </c>
      <c r="I276" s="1" t="s">
        <v>21</v>
      </c>
      <c r="J276" s="6" t="s">
        <v>21</v>
      </c>
      <c r="K276" s="3">
        <v>0.75784722222222223</v>
      </c>
      <c r="N276" s="1">
        <v>2</v>
      </c>
      <c r="O276" s="35">
        <v>2</v>
      </c>
      <c r="P276" s="35">
        <v>90</v>
      </c>
      <c r="Q276" s="35">
        <v>90</v>
      </c>
      <c r="R276" s="2">
        <v>57.4</v>
      </c>
      <c r="S276" s="2">
        <v>57.4</v>
      </c>
      <c r="T276" s="1" t="s">
        <v>21</v>
      </c>
      <c r="U276" s="1" t="s">
        <v>59</v>
      </c>
      <c r="W276" s="4" t="s">
        <v>643</v>
      </c>
    </row>
    <row r="277" spans="1:23" x14ac:dyDescent="0.2">
      <c r="A277" s="15">
        <v>1</v>
      </c>
      <c r="B277" s="35" t="s">
        <v>776</v>
      </c>
      <c r="C277" t="s">
        <v>778</v>
      </c>
      <c r="D277" s="1">
        <v>1</v>
      </c>
      <c r="E277" s="1" t="s">
        <v>722</v>
      </c>
      <c r="F277" s="4">
        <v>45439</v>
      </c>
      <c r="G277" s="1" t="s">
        <v>21</v>
      </c>
      <c r="H277" s="6">
        <f t="shared" ref="H277:H297" si="23">J277+K277</f>
        <v>0.23730324074074075</v>
      </c>
      <c r="I277" s="1" t="s">
        <v>21</v>
      </c>
      <c r="J277" s="6">
        <v>2.2280092592592591E-2</v>
      </c>
      <c r="K277" s="3">
        <v>0.21502314814814816</v>
      </c>
      <c r="L277" s="1" t="s">
        <v>7</v>
      </c>
      <c r="M277" s="1" t="s">
        <v>7</v>
      </c>
      <c r="N277" s="1">
        <v>2</v>
      </c>
      <c r="O277" s="35">
        <v>2</v>
      </c>
      <c r="P277" s="35">
        <v>90</v>
      </c>
      <c r="Q277" s="35">
        <v>90</v>
      </c>
      <c r="R277" s="2">
        <v>28.8</v>
      </c>
      <c r="S277" s="2">
        <v>28.8</v>
      </c>
      <c r="T277" s="1">
        <v>1</v>
      </c>
      <c r="W277" s="4" t="s">
        <v>643</v>
      </c>
    </row>
    <row r="278" spans="1:23" x14ac:dyDescent="0.2">
      <c r="A278" s="15">
        <v>1</v>
      </c>
      <c r="B278" s="35" t="s">
        <v>776</v>
      </c>
      <c r="C278" t="s">
        <v>778</v>
      </c>
      <c r="D278" s="1">
        <v>2</v>
      </c>
      <c r="E278" s="1" t="s">
        <v>722</v>
      </c>
      <c r="F278" s="4">
        <v>45439</v>
      </c>
      <c r="G278" s="1" t="s">
        <v>21</v>
      </c>
      <c r="H278" s="6">
        <f t="shared" si="23"/>
        <v>0.23995370370370372</v>
      </c>
      <c r="I278" s="1" t="s">
        <v>21</v>
      </c>
      <c r="J278" s="6">
        <v>2.4930555555555556E-2</v>
      </c>
      <c r="K278" s="3">
        <v>0.21502314814814816</v>
      </c>
      <c r="L278" s="1" t="s">
        <v>7</v>
      </c>
      <c r="M278" s="1" t="s">
        <v>7</v>
      </c>
      <c r="N278" s="1">
        <v>2</v>
      </c>
      <c r="O278" s="35">
        <v>2</v>
      </c>
      <c r="P278" s="35">
        <v>90</v>
      </c>
      <c r="Q278" s="35">
        <v>90</v>
      </c>
      <c r="R278" s="2">
        <v>28.8</v>
      </c>
      <c r="S278" s="2">
        <v>28.8</v>
      </c>
      <c r="T278" s="1">
        <v>1</v>
      </c>
      <c r="W278" s="4" t="s">
        <v>643</v>
      </c>
    </row>
    <row r="279" spans="1:23" x14ac:dyDescent="0.2">
      <c r="A279" s="15">
        <v>1</v>
      </c>
      <c r="B279" s="35" t="s">
        <v>776</v>
      </c>
      <c r="C279" t="s">
        <v>778</v>
      </c>
      <c r="D279" s="1">
        <v>1</v>
      </c>
      <c r="E279" s="1" t="s">
        <v>723</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35">
        <v>2</v>
      </c>
      <c r="P279" s="35">
        <v>90</v>
      </c>
      <c r="Q279" s="35">
        <v>90</v>
      </c>
      <c r="R279" s="2">
        <v>57.4</v>
      </c>
      <c r="S279" s="1">
        <v>38.4</v>
      </c>
      <c r="T279" s="1">
        <v>0</v>
      </c>
      <c r="W279" s="4" t="s">
        <v>643</v>
      </c>
    </row>
    <row r="280" spans="1:23" x14ac:dyDescent="0.2">
      <c r="A280" s="15">
        <v>1</v>
      </c>
      <c r="B280" s="35" t="s">
        <v>776</v>
      </c>
      <c r="C280" t="s">
        <v>778</v>
      </c>
      <c r="D280" s="1">
        <v>1</v>
      </c>
      <c r="E280" s="1" t="s">
        <v>729</v>
      </c>
      <c r="F280" s="4">
        <v>45447</v>
      </c>
      <c r="H280" s="6">
        <f t="shared" si="23"/>
        <v>0.23099537037037038</v>
      </c>
      <c r="I280" s="1" t="s">
        <v>21</v>
      </c>
      <c r="J280" s="6">
        <v>1.2337962962962964E-2</v>
      </c>
      <c r="K280" s="3">
        <v>0.21865740740740741</v>
      </c>
      <c r="L280" s="1" t="s">
        <v>8</v>
      </c>
      <c r="M280" s="1" t="s">
        <v>7</v>
      </c>
      <c r="N280" s="1">
        <v>2</v>
      </c>
      <c r="O280" s="35">
        <v>2</v>
      </c>
      <c r="P280" s="35">
        <v>90</v>
      </c>
      <c r="Q280" s="35">
        <v>90</v>
      </c>
      <c r="R280" s="1">
        <v>38.4</v>
      </c>
      <c r="S280" s="1">
        <v>38.4</v>
      </c>
      <c r="T280" s="1">
        <v>1</v>
      </c>
      <c r="W280" s="4" t="s">
        <v>643</v>
      </c>
    </row>
    <row r="281" spans="1:23" x14ac:dyDescent="0.2">
      <c r="A281" s="15">
        <v>1</v>
      </c>
      <c r="B281" s="35" t="s">
        <v>776</v>
      </c>
      <c r="C281" t="s">
        <v>778</v>
      </c>
      <c r="D281" s="1">
        <v>2</v>
      </c>
      <c r="E281" s="1" t="s">
        <v>729</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35">
        <v>2</v>
      </c>
      <c r="P281" s="35">
        <v>90</v>
      </c>
      <c r="Q281" s="35">
        <v>90</v>
      </c>
      <c r="R281" s="1">
        <v>38.4</v>
      </c>
      <c r="S281" s="1">
        <v>38.4</v>
      </c>
      <c r="T281" s="1">
        <v>1</v>
      </c>
      <c r="W281" s="4" t="s">
        <v>643</v>
      </c>
    </row>
    <row r="282" spans="1:23" x14ac:dyDescent="0.2">
      <c r="A282" s="15">
        <v>1</v>
      </c>
      <c r="B282" s="35" t="s">
        <v>776</v>
      </c>
      <c r="C282" t="s">
        <v>778</v>
      </c>
      <c r="D282" s="1">
        <v>1</v>
      </c>
      <c r="E282" s="1" t="s">
        <v>730</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35">
        <v>2</v>
      </c>
      <c r="P282" s="35">
        <v>90</v>
      </c>
      <c r="Q282" s="35">
        <v>90</v>
      </c>
      <c r="R282" s="1">
        <v>38.4</v>
      </c>
      <c r="S282" s="1">
        <v>38.4</v>
      </c>
      <c r="T282" s="1">
        <v>0</v>
      </c>
      <c r="W282" s="4" t="s">
        <v>643</v>
      </c>
    </row>
    <row r="283" spans="1:23" x14ac:dyDescent="0.2">
      <c r="A283" s="15">
        <v>1</v>
      </c>
      <c r="B283" s="35" t="s">
        <v>776</v>
      </c>
      <c r="C283" t="s">
        <v>778</v>
      </c>
      <c r="D283" s="1">
        <v>1</v>
      </c>
      <c r="E283" s="1" t="s">
        <v>724</v>
      </c>
      <c r="F283" s="4">
        <v>45446</v>
      </c>
      <c r="H283" s="6">
        <f t="shared" si="23"/>
        <v>0.23542824074074073</v>
      </c>
      <c r="J283" s="6">
        <v>1.6851851851851851E-2</v>
      </c>
      <c r="K283" s="3">
        <v>0.21857638888888889</v>
      </c>
      <c r="L283" s="1" t="s">
        <v>7</v>
      </c>
      <c r="M283" s="1" t="s">
        <v>8</v>
      </c>
      <c r="N283" s="1">
        <v>2</v>
      </c>
      <c r="O283" s="35">
        <v>2</v>
      </c>
      <c r="P283" s="35">
        <v>90</v>
      </c>
      <c r="Q283" s="35">
        <v>90</v>
      </c>
      <c r="R283" s="1">
        <v>38.4</v>
      </c>
      <c r="S283" s="1">
        <v>38.4</v>
      </c>
      <c r="T283" s="1">
        <v>0</v>
      </c>
      <c r="W283" s="4" t="s">
        <v>643</v>
      </c>
    </row>
    <row r="284" spans="1:23" x14ac:dyDescent="0.2">
      <c r="A284" s="15">
        <v>1</v>
      </c>
      <c r="B284" s="35" t="s">
        <v>776</v>
      </c>
      <c r="C284" t="s">
        <v>778</v>
      </c>
      <c r="D284" s="1">
        <v>2</v>
      </c>
      <c r="E284" s="1" t="s">
        <v>724</v>
      </c>
      <c r="F284" s="4">
        <v>45446</v>
      </c>
      <c r="H284" s="6">
        <f t="shared" si="23"/>
        <v>0.24730324074074073</v>
      </c>
      <c r="J284" s="6">
        <v>2.8726851851851851E-2</v>
      </c>
      <c r="K284" s="3">
        <v>0.21857638888888889</v>
      </c>
      <c r="L284" s="1" t="s">
        <v>7</v>
      </c>
      <c r="M284" s="1" t="s">
        <v>8</v>
      </c>
      <c r="N284" s="1">
        <v>2</v>
      </c>
      <c r="O284" s="35">
        <v>2</v>
      </c>
      <c r="P284" s="35">
        <v>90</v>
      </c>
      <c r="Q284" s="35">
        <v>90</v>
      </c>
      <c r="R284" s="1">
        <v>38.4</v>
      </c>
      <c r="S284" s="1">
        <v>38.4</v>
      </c>
      <c r="T284" s="1">
        <v>0</v>
      </c>
      <c r="W284" s="4" t="s">
        <v>643</v>
      </c>
    </row>
    <row r="285" spans="1:23" x14ac:dyDescent="0.2">
      <c r="A285" s="15">
        <v>1</v>
      </c>
      <c r="B285" s="35" t="s">
        <v>776</v>
      </c>
      <c r="C285" t="s">
        <v>778</v>
      </c>
      <c r="D285" s="1">
        <v>1</v>
      </c>
      <c r="E285" s="1" t="s">
        <v>725</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35">
        <v>2</v>
      </c>
      <c r="P285" s="35">
        <v>90</v>
      </c>
      <c r="Q285" s="35">
        <v>90</v>
      </c>
      <c r="R285" s="1">
        <v>38.4</v>
      </c>
      <c r="S285" s="1">
        <v>38.4</v>
      </c>
      <c r="T285" s="1">
        <v>1</v>
      </c>
      <c r="W285" s="4" t="s">
        <v>643</v>
      </c>
    </row>
    <row r="286" spans="1:23" x14ac:dyDescent="0.2">
      <c r="A286" s="15">
        <v>1</v>
      </c>
      <c r="B286" s="35" t="s">
        <v>776</v>
      </c>
      <c r="C286" t="s">
        <v>778</v>
      </c>
      <c r="D286" s="1">
        <v>2</v>
      </c>
      <c r="E286" s="1" t="s">
        <v>725</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35">
        <v>2</v>
      </c>
      <c r="P286" s="35">
        <v>90</v>
      </c>
      <c r="Q286" s="35">
        <v>90</v>
      </c>
      <c r="R286" s="1">
        <v>38.4</v>
      </c>
      <c r="S286" s="1">
        <v>38.4</v>
      </c>
      <c r="T286" s="1">
        <v>1</v>
      </c>
      <c r="W286" s="4" t="s">
        <v>643</v>
      </c>
    </row>
    <row r="287" spans="1:23" x14ac:dyDescent="0.2">
      <c r="A287" s="15">
        <v>1</v>
      </c>
      <c r="B287" s="35" t="s">
        <v>776</v>
      </c>
      <c r="C287" t="s">
        <v>778</v>
      </c>
      <c r="D287" s="1">
        <v>1</v>
      </c>
      <c r="E287" s="1" t="s">
        <v>726</v>
      </c>
      <c r="F287" s="4">
        <v>45445</v>
      </c>
      <c r="H287" s="6">
        <f t="shared" si="23"/>
        <v>0.23479166666666668</v>
      </c>
      <c r="J287" s="6">
        <v>5.1736111111111115E-3</v>
      </c>
      <c r="K287" s="3">
        <v>0.22961805555555556</v>
      </c>
      <c r="L287" s="1" t="s">
        <v>8</v>
      </c>
      <c r="M287" s="1" t="s">
        <v>7</v>
      </c>
      <c r="N287" s="1">
        <v>2</v>
      </c>
      <c r="O287" s="35">
        <v>2</v>
      </c>
      <c r="P287" s="35">
        <v>90</v>
      </c>
      <c r="Q287" s="35">
        <v>90</v>
      </c>
      <c r="R287" s="1">
        <v>38.4</v>
      </c>
      <c r="S287" s="1">
        <v>38.4</v>
      </c>
      <c r="T287" s="1">
        <v>1</v>
      </c>
      <c r="W287" s="4" t="s">
        <v>643</v>
      </c>
    </row>
    <row r="288" spans="1:23" x14ac:dyDescent="0.2">
      <c r="A288" s="15">
        <v>1</v>
      </c>
      <c r="B288" s="35" t="s">
        <v>776</v>
      </c>
      <c r="C288" t="s">
        <v>778</v>
      </c>
      <c r="D288" s="1">
        <v>2</v>
      </c>
      <c r="E288" s="1" t="s">
        <v>726</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35">
        <v>2</v>
      </c>
      <c r="P288" s="35">
        <v>90</v>
      </c>
      <c r="Q288" s="35">
        <v>90</v>
      </c>
      <c r="R288" s="1">
        <v>38.4</v>
      </c>
      <c r="S288" s="1">
        <v>38.4</v>
      </c>
      <c r="T288" s="1">
        <v>1</v>
      </c>
      <c r="W288" s="4" t="s">
        <v>643</v>
      </c>
    </row>
    <row r="289" spans="1:23" x14ac:dyDescent="0.2">
      <c r="A289" s="15">
        <v>1</v>
      </c>
      <c r="B289" s="35" t="s">
        <v>776</v>
      </c>
      <c r="C289" t="s">
        <v>778</v>
      </c>
      <c r="D289" s="1">
        <v>3</v>
      </c>
      <c r="E289" s="1" t="s">
        <v>726</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35">
        <v>2</v>
      </c>
      <c r="P289" s="35">
        <v>90</v>
      </c>
      <c r="Q289" s="35">
        <v>90</v>
      </c>
      <c r="R289" s="1">
        <v>38.4</v>
      </c>
      <c r="S289" s="1">
        <v>38.4</v>
      </c>
      <c r="T289" s="1">
        <v>1</v>
      </c>
      <c r="W289" s="4" t="s">
        <v>643</v>
      </c>
    </row>
    <row r="290" spans="1:23" x14ac:dyDescent="0.2">
      <c r="A290" s="15">
        <v>1</v>
      </c>
      <c r="B290" s="35" t="s">
        <v>776</v>
      </c>
      <c r="C290" t="s">
        <v>778</v>
      </c>
      <c r="D290" s="1">
        <v>1</v>
      </c>
      <c r="E290" s="4" t="s">
        <v>727</v>
      </c>
      <c r="F290" s="4">
        <v>45444</v>
      </c>
      <c r="H290" s="6">
        <f t="shared" si="23"/>
        <v>0.22990740740740739</v>
      </c>
      <c r="J290" s="6">
        <v>7.1296296296296299E-3</v>
      </c>
      <c r="K290" s="6">
        <v>0.22277777777777777</v>
      </c>
      <c r="L290" s="1" t="s">
        <v>8</v>
      </c>
      <c r="M290" s="1" t="s">
        <v>8</v>
      </c>
      <c r="N290" s="1">
        <v>2</v>
      </c>
      <c r="O290" s="35">
        <v>2</v>
      </c>
      <c r="P290" s="35">
        <v>90</v>
      </c>
      <c r="Q290" s="35">
        <v>90</v>
      </c>
      <c r="R290" s="1">
        <v>38.4</v>
      </c>
      <c r="S290" s="1">
        <v>38.4</v>
      </c>
      <c r="T290" s="1">
        <v>0</v>
      </c>
      <c r="W290" s="4" t="s">
        <v>643</v>
      </c>
    </row>
    <row r="291" spans="1:23" x14ac:dyDescent="0.2">
      <c r="A291" s="15">
        <v>1</v>
      </c>
      <c r="B291" s="35" t="s">
        <v>776</v>
      </c>
      <c r="C291" t="s">
        <v>778</v>
      </c>
      <c r="D291" s="1">
        <v>2</v>
      </c>
      <c r="E291" s="4" t="s">
        <v>727</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35">
        <v>2</v>
      </c>
      <c r="P291" s="35">
        <v>90</v>
      </c>
      <c r="Q291" s="35">
        <v>90</v>
      </c>
      <c r="R291" s="1">
        <v>38.4</v>
      </c>
      <c r="S291" s="1">
        <v>38.4</v>
      </c>
      <c r="T291" s="1">
        <v>0</v>
      </c>
      <c r="W291" s="4" t="s">
        <v>643</v>
      </c>
    </row>
    <row r="292" spans="1:23" x14ac:dyDescent="0.2">
      <c r="A292" s="15">
        <v>1</v>
      </c>
      <c r="B292" s="35" t="s">
        <v>776</v>
      </c>
      <c r="C292" t="s">
        <v>778</v>
      </c>
      <c r="D292" s="1">
        <v>1</v>
      </c>
      <c r="E292" s="1" t="s">
        <v>731</v>
      </c>
      <c r="F292" s="4">
        <v>45448</v>
      </c>
      <c r="H292" s="6">
        <f t="shared" si="23"/>
        <v>0.23193287037037039</v>
      </c>
      <c r="J292" s="6">
        <v>1.4317129629629629E-2</v>
      </c>
      <c r="K292" s="6">
        <v>0.21761574074074075</v>
      </c>
      <c r="L292" s="1" t="s">
        <v>7</v>
      </c>
      <c r="M292" s="1" t="s">
        <v>8</v>
      </c>
      <c r="N292" s="1">
        <v>2</v>
      </c>
      <c r="O292" s="35">
        <v>2</v>
      </c>
      <c r="P292" s="35">
        <v>90</v>
      </c>
      <c r="Q292" s="35">
        <v>90</v>
      </c>
      <c r="R292" s="1">
        <v>38.4</v>
      </c>
      <c r="S292" s="1">
        <v>38.4</v>
      </c>
      <c r="T292" s="1">
        <v>0</v>
      </c>
      <c r="W292" s="4" t="s">
        <v>643</v>
      </c>
    </row>
    <row r="293" spans="1:23" x14ac:dyDescent="0.2">
      <c r="A293" s="15">
        <v>1</v>
      </c>
      <c r="B293" s="35" t="s">
        <v>776</v>
      </c>
      <c r="C293" t="s">
        <v>778</v>
      </c>
      <c r="D293" s="1">
        <v>2</v>
      </c>
      <c r="E293" s="1" t="s">
        <v>731</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35">
        <v>2</v>
      </c>
      <c r="P293" s="35">
        <v>90</v>
      </c>
      <c r="Q293" s="35">
        <v>90</v>
      </c>
      <c r="R293" s="1">
        <v>38.4</v>
      </c>
      <c r="S293" s="1">
        <v>38.4</v>
      </c>
      <c r="T293" s="1">
        <v>0</v>
      </c>
      <c r="W293" s="4" t="s">
        <v>643</v>
      </c>
    </row>
    <row r="294" spans="1:23" x14ac:dyDescent="0.2">
      <c r="A294" s="15">
        <v>1</v>
      </c>
      <c r="B294" s="35" t="s">
        <v>776</v>
      </c>
      <c r="C294" t="s">
        <v>778</v>
      </c>
      <c r="D294" s="1">
        <v>1</v>
      </c>
      <c r="E294" s="1" t="s">
        <v>732</v>
      </c>
      <c r="F294" s="4">
        <v>45449</v>
      </c>
      <c r="H294" s="6">
        <f t="shared" si="23"/>
        <v>0.22938657407407409</v>
      </c>
      <c r="J294" s="6">
        <v>8.2291666666666659E-3</v>
      </c>
      <c r="K294" s="3">
        <v>0.22115740740740741</v>
      </c>
      <c r="L294" s="1" t="s">
        <v>8</v>
      </c>
      <c r="M294" s="1" t="s">
        <v>8</v>
      </c>
      <c r="N294" s="1">
        <v>2</v>
      </c>
      <c r="O294" s="35">
        <v>2</v>
      </c>
      <c r="P294" s="35">
        <v>90</v>
      </c>
      <c r="Q294" s="35">
        <v>90</v>
      </c>
      <c r="R294" s="1">
        <v>38.4</v>
      </c>
      <c r="S294" s="1">
        <v>38.4</v>
      </c>
      <c r="T294" s="1">
        <v>0</v>
      </c>
      <c r="W294" s="4" t="s">
        <v>643</v>
      </c>
    </row>
    <row r="295" spans="1:23" x14ac:dyDescent="0.2">
      <c r="A295" s="15">
        <v>1</v>
      </c>
      <c r="B295" s="35" t="s">
        <v>776</v>
      </c>
      <c r="C295" t="s">
        <v>778</v>
      </c>
      <c r="D295" s="1">
        <v>2</v>
      </c>
      <c r="E295" s="1" t="s">
        <v>732</v>
      </c>
      <c r="F295" s="4">
        <v>45449</v>
      </c>
      <c r="H295" s="6">
        <f t="shared" si="23"/>
        <v>0.24318287037037037</v>
      </c>
      <c r="J295" s="6">
        <v>2.2025462962962962E-2</v>
      </c>
      <c r="K295" s="3">
        <v>0.22115740740740741</v>
      </c>
      <c r="L295" s="1" t="s">
        <v>8</v>
      </c>
      <c r="M295" s="1" t="s">
        <v>8</v>
      </c>
      <c r="N295" s="1">
        <v>2</v>
      </c>
      <c r="O295" s="35">
        <v>2</v>
      </c>
      <c r="P295" s="35">
        <v>90</v>
      </c>
      <c r="Q295" s="35">
        <v>90</v>
      </c>
      <c r="R295" s="1">
        <v>38.4</v>
      </c>
      <c r="S295" s="1">
        <v>38.4</v>
      </c>
      <c r="T295" s="1">
        <v>0</v>
      </c>
      <c r="W295" s="4" t="s">
        <v>643</v>
      </c>
    </row>
    <row r="296" spans="1:23" x14ac:dyDescent="0.2">
      <c r="A296" s="15">
        <v>1</v>
      </c>
      <c r="B296" s="35" t="s">
        <v>776</v>
      </c>
      <c r="C296" t="s">
        <v>778</v>
      </c>
      <c r="D296" s="1">
        <v>3</v>
      </c>
      <c r="E296" s="1" t="s">
        <v>732</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35">
        <v>2</v>
      </c>
      <c r="P296" s="35">
        <v>90</v>
      </c>
      <c r="Q296" s="35">
        <v>90</v>
      </c>
      <c r="R296" s="1">
        <v>38.4</v>
      </c>
      <c r="S296" s="1">
        <v>38.4</v>
      </c>
      <c r="T296" s="1">
        <v>0</v>
      </c>
      <c r="W296" s="4" t="s">
        <v>643</v>
      </c>
    </row>
    <row r="297" spans="1:23" x14ac:dyDescent="0.2">
      <c r="A297" s="15">
        <v>1</v>
      </c>
      <c r="B297" s="35" t="s">
        <v>776</v>
      </c>
      <c r="C297" t="s">
        <v>778</v>
      </c>
      <c r="D297" s="1">
        <v>4</v>
      </c>
      <c r="E297" s="1" t="s">
        <v>732</v>
      </c>
      <c r="F297" s="4">
        <v>45449</v>
      </c>
      <c r="G297" s="3">
        <f>I297+K297</f>
        <v>0.25015046296296295</v>
      </c>
      <c r="H297" s="6">
        <f t="shared" si="23"/>
        <v>0.2553125</v>
      </c>
      <c r="I297" s="3">
        <v>2.8993055555555557E-2</v>
      </c>
      <c r="J297" s="6">
        <v>3.4155092592592591E-2</v>
      </c>
      <c r="K297" s="3">
        <v>0.22115740740740741</v>
      </c>
      <c r="L297" s="1" t="s">
        <v>8</v>
      </c>
      <c r="M297" s="1" t="s">
        <v>8</v>
      </c>
      <c r="N297" s="1">
        <v>2</v>
      </c>
      <c r="O297" s="35">
        <v>2</v>
      </c>
      <c r="P297" s="35">
        <v>90</v>
      </c>
      <c r="Q297" s="35">
        <v>90</v>
      </c>
      <c r="R297" s="1">
        <v>38.4</v>
      </c>
      <c r="S297" s="1">
        <v>38.4</v>
      </c>
      <c r="T297" s="1">
        <v>1</v>
      </c>
      <c r="W297" s="4" t="s">
        <v>643</v>
      </c>
    </row>
    <row r="298" spans="1:23" x14ac:dyDescent="0.2">
      <c r="A298" s="15">
        <v>1</v>
      </c>
      <c r="B298" s="35" t="s">
        <v>776</v>
      </c>
      <c r="C298" t="s">
        <v>778</v>
      </c>
      <c r="D298" s="1">
        <v>1</v>
      </c>
      <c r="E298" s="1" t="s">
        <v>733</v>
      </c>
      <c r="F298" s="4">
        <v>45448</v>
      </c>
      <c r="G298" s="3"/>
      <c r="H298" s="6" t="s">
        <v>21</v>
      </c>
      <c r="I298" s="3">
        <v>0.22115740740740741</v>
      </c>
      <c r="J298" s="6" t="s">
        <v>21</v>
      </c>
      <c r="K298" s="3">
        <v>0.76388888888888884</v>
      </c>
      <c r="L298" s="1" t="s">
        <v>8</v>
      </c>
      <c r="M298" s="1" t="s">
        <v>8</v>
      </c>
      <c r="N298" s="1">
        <v>2</v>
      </c>
      <c r="O298" s="35">
        <v>2</v>
      </c>
      <c r="P298" s="35">
        <v>90</v>
      </c>
      <c r="Q298" s="35">
        <v>90</v>
      </c>
      <c r="R298" s="1">
        <v>38.4</v>
      </c>
      <c r="S298" s="1">
        <v>38.4</v>
      </c>
      <c r="T298" s="1" t="s">
        <v>21</v>
      </c>
      <c r="U298" s="1" t="s">
        <v>734</v>
      </c>
      <c r="W298" s="4" t="s">
        <v>643</v>
      </c>
    </row>
    <row r="299" spans="1:23" x14ac:dyDescent="0.2">
      <c r="A299" s="15">
        <v>1</v>
      </c>
      <c r="B299" s="35" t="s">
        <v>776</v>
      </c>
      <c r="C299" t="s">
        <v>778</v>
      </c>
      <c r="D299" s="1">
        <v>2</v>
      </c>
      <c r="E299" s="1" t="s">
        <v>733</v>
      </c>
      <c r="F299" s="4">
        <v>45448</v>
      </c>
      <c r="G299" s="3">
        <f>I299+K299</f>
        <v>0.78267361111111111</v>
      </c>
      <c r="H299" s="6" t="s">
        <v>21</v>
      </c>
      <c r="I299" s="3">
        <v>1.8784722222222223E-2</v>
      </c>
      <c r="J299" s="6" t="s">
        <v>21</v>
      </c>
      <c r="K299" s="3">
        <v>0.76388888888888884</v>
      </c>
      <c r="L299" s="1" t="s">
        <v>8</v>
      </c>
      <c r="M299" s="1" t="s">
        <v>8</v>
      </c>
      <c r="N299" s="1">
        <v>2</v>
      </c>
      <c r="O299" s="35">
        <v>2</v>
      </c>
      <c r="P299" s="35">
        <v>90</v>
      </c>
      <c r="Q299" s="35">
        <v>90</v>
      </c>
      <c r="R299" s="1">
        <v>38.4</v>
      </c>
      <c r="S299" s="1">
        <v>38.4</v>
      </c>
      <c r="T299" s="1" t="s">
        <v>21</v>
      </c>
      <c r="W299" s="4" t="s">
        <v>643</v>
      </c>
    </row>
    <row r="300" spans="1:23" x14ac:dyDescent="0.2">
      <c r="A300" s="15">
        <v>1</v>
      </c>
      <c r="B300" s="35" t="s">
        <v>776</v>
      </c>
      <c r="C300" t="s">
        <v>778</v>
      </c>
      <c r="D300" s="1">
        <v>1</v>
      </c>
      <c r="E300" s="1" t="s">
        <v>735</v>
      </c>
      <c r="F300" s="4">
        <v>45450</v>
      </c>
      <c r="H300" s="6">
        <f t="shared" ref="H300:H324" si="24">J300+K300</f>
        <v>0.23401620370370371</v>
      </c>
      <c r="J300" s="6">
        <v>1.2685185185185185E-2</v>
      </c>
      <c r="K300" s="3">
        <v>0.22133101851851852</v>
      </c>
      <c r="L300" s="1" t="s">
        <v>7</v>
      </c>
      <c r="M300" s="1" t="s">
        <v>7</v>
      </c>
      <c r="N300" s="1">
        <v>2</v>
      </c>
      <c r="O300" s="35">
        <v>2</v>
      </c>
      <c r="P300" s="35">
        <v>90</v>
      </c>
      <c r="Q300" s="35">
        <v>90</v>
      </c>
      <c r="R300" s="1">
        <v>38.4</v>
      </c>
      <c r="S300" s="1">
        <v>38.4</v>
      </c>
      <c r="T300" s="1">
        <v>1</v>
      </c>
      <c r="V300" s="2" t="s">
        <v>668</v>
      </c>
      <c r="W300" s="4" t="s">
        <v>643</v>
      </c>
    </row>
    <row r="301" spans="1:23" x14ac:dyDescent="0.2">
      <c r="A301" s="15">
        <v>1</v>
      </c>
      <c r="B301" s="35" t="s">
        <v>776</v>
      </c>
      <c r="C301" t="s">
        <v>778</v>
      </c>
      <c r="D301" s="1">
        <v>2</v>
      </c>
      <c r="E301" s="1" t="s">
        <v>735</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35">
        <v>2</v>
      </c>
      <c r="P301" s="35">
        <v>90</v>
      </c>
      <c r="Q301" s="35">
        <v>90</v>
      </c>
      <c r="R301" s="1">
        <v>38.4</v>
      </c>
      <c r="S301" s="1">
        <v>38.4</v>
      </c>
      <c r="T301" s="1">
        <v>1</v>
      </c>
      <c r="W301" s="4" t="s">
        <v>643</v>
      </c>
    </row>
    <row r="302" spans="1:23" x14ac:dyDescent="0.2">
      <c r="A302" s="15">
        <v>1</v>
      </c>
      <c r="B302" s="35" t="s">
        <v>776</v>
      </c>
      <c r="C302" t="s">
        <v>778</v>
      </c>
      <c r="D302" s="1">
        <v>1</v>
      </c>
      <c r="E302" s="1" t="s">
        <v>736</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35">
        <v>2</v>
      </c>
      <c r="P302" s="35">
        <v>90</v>
      </c>
      <c r="Q302" s="35">
        <v>90</v>
      </c>
      <c r="R302" s="1">
        <v>38.4</v>
      </c>
      <c r="S302" s="1">
        <v>38.4</v>
      </c>
      <c r="T302" s="1">
        <v>1</v>
      </c>
      <c r="W302" s="4" t="s">
        <v>643</v>
      </c>
    </row>
    <row r="303" spans="1:23" x14ac:dyDescent="0.2">
      <c r="A303" s="15">
        <v>1</v>
      </c>
      <c r="B303" s="35" t="s">
        <v>776</v>
      </c>
      <c r="C303" t="s">
        <v>778</v>
      </c>
      <c r="D303" s="1">
        <v>2</v>
      </c>
      <c r="E303" s="1" t="s">
        <v>736</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35">
        <v>2</v>
      </c>
      <c r="P303" s="35">
        <v>90</v>
      </c>
      <c r="Q303" s="35">
        <v>90</v>
      </c>
      <c r="R303" s="1">
        <v>38.4</v>
      </c>
      <c r="S303" s="1">
        <v>38.4</v>
      </c>
      <c r="T303" s="1">
        <v>1</v>
      </c>
      <c r="V303" s="2" t="s">
        <v>737</v>
      </c>
      <c r="W303" s="4" t="s">
        <v>643</v>
      </c>
    </row>
    <row r="304" spans="1:23" x14ac:dyDescent="0.2">
      <c r="A304" s="15">
        <v>1</v>
      </c>
      <c r="B304" s="35" t="s">
        <v>776</v>
      </c>
      <c r="C304" t="s">
        <v>778</v>
      </c>
      <c r="D304" s="1">
        <v>1</v>
      </c>
      <c r="E304" s="1" t="s">
        <v>738</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35">
        <v>2</v>
      </c>
      <c r="P304" s="35">
        <v>90</v>
      </c>
      <c r="Q304" s="35">
        <v>90</v>
      </c>
      <c r="R304" s="1">
        <v>38.4</v>
      </c>
      <c r="S304" s="1">
        <v>38.4</v>
      </c>
      <c r="T304" s="1">
        <v>0</v>
      </c>
      <c r="W304" s="4" t="s">
        <v>643</v>
      </c>
    </row>
    <row r="305" spans="1:23" x14ac:dyDescent="0.2">
      <c r="A305" s="15">
        <v>1</v>
      </c>
      <c r="B305" s="35" t="s">
        <v>776</v>
      </c>
      <c r="C305" t="s">
        <v>778</v>
      </c>
      <c r="D305" s="1">
        <v>1</v>
      </c>
      <c r="E305" s="1" t="s">
        <v>739</v>
      </c>
      <c r="F305" s="4">
        <v>45451</v>
      </c>
      <c r="G305" s="1" t="s">
        <v>21</v>
      </c>
      <c r="H305" s="6">
        <f t="shared" si="24"/>
        <v>0.229375</v>
      </c>
      <c r="I305" s="1" t="s">
        <v>21</v>
      </c>
      <c r="J305" s="6">
        <v>1.1793981481481482E-2</v>
      </c>
      <c r="K305" s="3">
        <v>0.21758101851851852</v>
      </c>
      <c r="L305" s="1" t="s">
        <v>8</v>
      </c>
      <c r="M305" s="1" t="s">
        <v>8</v>
      </c>
      <c r="N305" s="1">
        <v>2</v>
      </c>
      <c r="O305" s="35">
        <v>2</v>
      </c>
      <c r="P305" s="35">
        <v>90</v>
      </c>
      <c r="Q305" s="35">
        <v>90</v>
      </c>
      <c r="R305" s="1">
        <v>38.4</v>
      </c>
      <c r="S305" s="1">
        <v>38.4</v>
      </c>
      <c r="T305" s="1">
        <v>0</v>
      </c>
      <c r="V305" s="2" t="s">
        <v>740</v>
      </c>
      <c r="W305" s="4" t="s">
        <v>643</v>
      </c>
    </row>
    <row r="306" spans="1:23" x14ac:dyDescent="0.2">
      <c r="A306" s="15">
        <v>1</v>
      </c>
      <c r="B306" s="35" t="s">
        <v>776</v>
      </c>
      <c r="C306" t="s">
        <v>778</v>
      </c>
      <c r="D306" s="1">
        <v>2</v>
      </c>
      <c r="E306" s="1" t="s">
        <v>739</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35">
        <v>2</v>
      </c>
      <c r="P306" s="35">
        <v>90</v>
      </c>
      <c r="Q306" s="35">
        <v>90</v>
      </c>
      <c r="R306" s="1">
        <v>38.4</v>
      </c>
      <c r="S306" s="1">
        <v>38.4</v>
      </c>
      <c r="T306" s="1">
        <v>0</v>
      </c>
      <c r="W306" s="4" t="s">
        <v>643</v>
      </c>
    </row>
    <row r="307" spans="1:23" x14ac:dyDescent="0.2">
      <c r="A307" s="15">
        <v>1</v>
      </c>
      <c r="B307" s="35" t="s">
        <v>776</v>
      </c>
      <c r="C307" t="s">
        <v>778</v>
      </c>
      <c r="D307" s="1">
        <v>3</v>
      </c>
      <c r="E307" s="1" t="s">
        <v>739</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35">
        <v>2</v>
      </c>
      <c r="P307" s="35">
        <v>90</v>
      </c>
      <c r="Q307" s="35">
        <v>90</v>
      </c>
      <c r="R307" s="1">
        <v>38.4</v>
      </c>
      <c r="S307" s="1">
        <v>38.4</v>
      </c>
      <c r="T307" s="1">
        <v>1</v>
      </c>
      <c r="W307" s="4" t="s">
        <v>643</v>
      </c>
    </row>
    <row r="308" spans="1:23" x14ac:dyDescent="0.2">
      <c r="A308" s="15">
        <v>1</v>
      </c>
      <c r="B308" s="35" t="s">
        <v>776</v>
      </c>
      <c r="C308" t="s">
        <v>778</v>
      </c>
      <c r="D308" s="1">
        <v>1</v>
      </c>
      <c r="E308" s="1" t="s">
        <v>741</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35">
        <v>2</v>
      </c>
      <c r="P308" s="35">
        <v>90</v>
      </c>
      <c r="Q308" s="35">
        <v>90</v>
      </c>
      <c r="R308" s="1">
        <v>38.4</v>
      </c>
      <c r="S308" s="2">
        <v>115.17</v>
      </c>
      <c r="T308" s="1">
        <v>1</v>
      </c>
      <c r="W308" s="4" t="s">
        <v>643</v>
      </c>
    </row>
    <row r="309" spans="1:23" x14ac:dyDescent="0.2">
      <c r="A309" s="15">
        <v>1</v>
      </c>
      <c r="B309" s="35" t="s">
        <v>776</v>
      </c>
      <c r="C309" t="s">
        <v>778</v>
      </c>
      <c r="D309" s="1">
        <v>1</v>
      </c>
      <c r="E309" s="1" t="s">
        <v>743</v>
      </c>
      <c r="F309" s="4">
        <v>45452</v>
      </c>
      <c r="H309" s="6">
        <f t="shared" si="24"/>
        <v>0.22699074074074074</v>
      </c>
      <c r="J309" s="6">
        <v>1.0949074074074075E-2</v>
      </c>
      <c r="K309" s="3">
        <v>0.21604166666666666</v>
      </c>
      <c r="L309" s="1" t="s">
        <v>8</v>
      </c>
      <c r="M309" s="1" t="s">
        <v>8</v>
      </c>
      <c r="N309" s="1">
        <v>2</v>
      </c>
      <c r="O309" s="35">
        <v>2</v>
      </c>
      <c r="P309" s="35">
        <v>90</v>
      </c>
      <c r="Q309" s="35">
        <v>90</v>
      </c>
      <c r="R309" s="2">
        <v>115.17</v>
      </c>
      <c r="S309" s="2">
        <v>115.17</v>
      </c>
      <c r="T309" s="1">
        <v>1</v>
      </c>
      <c r="U309" s="1" t="s">
        <v>742</v>
      </c>
      <c r="W309" s="4" t="s">
        <v>643</v>
      </c>
    </row>
    <row r="310" spans="1:23" x14ac:dyDescent="0.2">
      <c r="A310" s="15">
        <v>1</v>
      </c>
      <c r="B310" s="35" t="s">
        <v>776</v>
      </c>
      <c r="C310" t="s">
        <v>778</v>
      </c>
      <c r="D310" s="1">
        <v>2</v>
      </c>
      <c r="E310" s="1" t="s">
        <v>743</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35">
        <v>2</v>
      </c>
      <c r="P310" s="35">
        <v>90</v>
      </c>
      <c r="Q310" s="35">
        <v>90</v>
      </c>
      <c r="R310" s="2">
        <v>115.17</v>
      </c>
      <c r="S310" s="2">
        <v>115.17</v>
      </c>
      <c r="T310" s="1">
        <v>1</v>
      </c>
      <c r="W310" s="4" t="s">
        <v>643</v>
      </c>
    </row>
    <row r="311" spans="1:23" x14ac:dyDescent="0.2">
      <c r="A311" s="15">
        <v>1</v>
      </c>
      <c r="B311" s="35" t="s">
        <v>776</v>
      </c>
      <c r="C311" t="s">
        <v>778</v>
      </c>
      <c r="D311" s="1">
        <v>1</v>
      </c>
      <c r="E311" s="1" t="s">
        <v>744</v>
      </c>
      <c r="F311" s="4">
        <v>45454</v>
      </c>
      <c r="H311" s="6">
        <f t="shared" si="24"/>
        <v>0.79517361111111118</v>
      </c>
      <c r="J311" s="6">
        <v>1.8576388888888889E-2</v>
      </c>
      <c r="K311" s="3">
        <v>0.77659722222222227</v>
      </c>
      <c r="L311" s="1" t="s">
        <v>8</v>
      </c>
      <c r="M311" s="1" t="s">
        <v>7</v>
      </c>
      <c r="N311" s="1">
        <v>2</v>
      </c>
      <c r="O311" s="35">
        <v>2</v>
      </c>
      <c r="P311" s="35">
        <v>90</v>
      </c>
      <c r="Q311" s="35">
        <v>90</v>
      </c>
      <c r="R311" s="2">
        <v>115.17</v>
      </c>
      <c r="S311" s="2">
        <v>115.17</v>
      </c>
      <c r="T311" s="1">
        <v>1</v>
      </c>
      <c r="W311" s="4" t="s">
        <v>643</v>
      </c>
    </row>
    <row r="312" spans="1:23" x14ac:dyDescent="0.2">
      <c r="A312" s="15">
        <v>1</v>
      </c>
      <c r="B312" s="35" t="s">
        <v>776</v>
      </c>
      <c r="C312" t="s">
        <v>778</v>
      </c>
      <c r="D312" s="1">
        <v>1</v>
      </c>
      <c r="E312" s="1" t="s">
        <v>745</v>
      </c>
      <c r="F312" s="4">
        <v>45453</v>
      </c>
      <c r="H312" s="6">
        <f t="shared" si="24"/>
        <v>0.77613425925925927</v>
      </c>
      <c r="J312" s="6">
        <v>1.7592592592592592E-3</v>
      </c>
      <c r="K312" s="3">
        <v>0.77437500000000004</v>
      </c>
      <c r="L312" s="1" t="s">
        <v>8</v>
      </c>
      <c r="M312" s="1" t="s">
        <v>8</v>
      </c>
      <c r="N312" s="1">
        <v>2</v>
      </c>
      <c r="O312" s="35">
        <v>2</v>
      </c>
      <c r="P312" s="35">
        <v>90</v>
      </c>
      <c r="Q312" s="35">
        <v>90</v>
      </c>
      <c r="R312" s="2">
        <v>115.17</v>
      </c>
      <c r="S312" s="2">
        <v>115.17</v>
      </c>
      <c r="T312" s="1">
        <v>1</v>
      </c>
      <c r="W312" s="4" t="s">
        <v>643</v>
      </c>
    </row>
    <row r="313" spans="1:23" x14ac:dyDescent="0.2">
      <c r="A313" s="15">
        <v>1</v>
      </c>
      <c r="B313" s="35" t="s">
        <v>776</v>
      </c>
      <c r="C313" t="s">
        <v>778</v>
      </c>
      <c r="D313" s="1">
        <v>1</v>
      </c>
      <c r="E313" s="1" t="s">
        <v>746</v>
      </c>
      <c r="F313" s="4">
        <v>45455</v>
      </c>
      <c r="H313" s="6">
        <f t="shared" si="24"/>
        <v>0.22692129629629629</v>
      </c>
      <c r="J313" s="6">
        <v>6.1342592592592594E-3</v>
      </c>
      <c r="K313" s="3">
        <v>0.22078703703703703</v>
      </c>
      <c r="L313" s="1" t="s">
        <v>7</v>
      </c>
      <c r="M313" s="1" t="s">
        <v>8</v>
      </c>
      <c r="N313" s="1">
        <v>2</v>
      </c>
      <c r="O313" s="35">
        <v>2</v>
      </c>
      <c r="P313" s="35">
        <v>90</v>
      </c>
      <c r="Q313" s="35">
        <v>90</v>
      </c>
      <c r="R313" s="2">
        <v>115.17</v>
      </c>
      <c r="S313" s="2">
        <v>115.17</v>
      </c>
      <c r="T313" s="1">
        <v>1</v>
      </c>
      <c r="W313" s="4" t="s">
        <v>643</v>
      </c>
    </row>
    <row r="314" spans="1:23" x14ac:dyDescent="0.2">
      <c r="A314" s="15">
        <v>1</v>
      </c>
      <c r="B314" s="35" t="s">
        <v>776</v>
      </c>
      <c r="C314" t="s">
        <v>778</v>
      </c>
      <c r="D314" s="1">
        <v>2</v>
      </c>
      <c r="E314" s="1" t="s">
        <v>746</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35">
        <v>2</v>
      </c>
      <c r="P314" s="35">
        <v>90</v>
      </c>
      <c r="Q314" s="35">
        <v>90</v>
      </c>
      <c r="R314" s="2">
        <v>115.17</v>
      </c>
      <c r="S314" s="2">
        <v>115.17</v>
      </c>
      <c r="T314" s="1">
        <v>1</v>
      </c>
      <c r="W314" s="4" t="s">
        <v>643</v>
      </c>
    </row>
    <row r="315" spans="1:23" x14ac:dyDescent="0.2">
      <c r="A315" s="15">
        <v>1</v>
      </c>
      <c r="B315" s="35" t="s">
        <v>776</v>
      </c>
      <c r="C315" t="s">
        <v>778</v>
      </c>
      <c r="D315" s="1">
        <v>1</v>
      </c>
      <c r="E315" s="1" t="s">
        <v>747</v>
      </c>
      <c r="F315" s="4">
        <v>45455</v>
      </c>
      <c r="H315" s="6">
        <f t="shared" si="24"/>
        <v>0.79962962962962958</v>
      </c>
      <c r="J315" s="6">
        <v>1.818287037037037E-2</v>
      </c>
      <c r="K315" s="3">
        <v>0.78144675925925922</v>
      </c>
      <c r="L315" s="1" t="s">
        <v>8</v>
      </c>
      <c r="M315" s="1" t="s">
        <v>7</v>
      </c>
      <c r="N315" s="1">
        <v>2</v>
      </c>
      <c r="O315" s="35">
        <v>2</v>
      </c>
      <c r="P315" s="35">
        <v>90</v>
      </c>
      <c r="Q315" s="35">
        <v>90</v>
      </c>
      <c r="R315" s="2">
        <v>115.17</v>
      </c>
      <c r="S315" s="2">
        <v>115.17</v>
      </c>
      <c r="T315" s="1">
        <v>0</v>
      </c>
      <c r="W315" s="4" t="s">
        <v>643</v>
      </c>
    </row>
    <row r="316" spans="1:23" x14ac:dyDescent="0.2">
      <c r="A316" s="15">
        <v>1</v>
      </c>
      <c r="B316" s="35" t="s">
        <v>776</v>
      </c>
      <c r="C316" t="s">
        <v>778</v>
      </c>
      <c r="D316" s="1">
        <v>1</v>
      </c>
      <c r="E316" s="1" t="s">
        <v>748</v>
      </c>
      <c r="F316" s="4">
        <v>45456</v>
      </c>
      <c r="H316" s="6">
        <f t="shared" si="24"/>
        <v>0.23859953703703704</v>
      </c>
      <c r="J316" s="6">
        <v>1.7037037037037038E-2</v>
      </c>
      <c r="K316" s="3">
        <v>0.2215625</v>
      </c>
      <c r="L316" s="1" t="s">
        <v>7</v>
      </c>
      <c r="M316" s="1" t="s">
        <v>7</v>
      </c>
      <c r="N316" s="1">
        <v>2</v>
      </c>
      <c r="O316" s="35">
        <v>2</v>
      </c>
      <c r="P316" s="35">
        <v>90</v>
      </c>
      <c r="Q316" s="35">
        <v>90</v>
      </c>
      <c r="R316" s="2">
        <v>115.17</v>
      </c>
      <c r="S316" s="2">
        <v>115.17</v>
      </c>
      <c r="T316" s="1">
        <v>1</v>
      </c>
      <c r="W316" s="4" t="s">
        <v>643</v>
      </c>
    </row>
    <row r="317" spans="1:23" x14ac:dyDescent="0.2">
      <c r="A317" s="15">
        <v>1</v>
      </c>
      <c r="B317" s="35" t="s">
        <v>776</v>
      </c>
      <c r="C317" t="s">
        <v>778</v>
      </c>
      <c r="D317" s="1">
        <v>2</v>
      </c>
      <c r="E317" s="1" t="s">
        <v>748</v>
      </c>
      <c r="F317" s="4">
        <v>45456</v>
      </c>
      <c r="G317" s="3">
        <f>I317+K317</f>
        <v>0.23773148148148149</v>
      </c>
      <c r="H317" s="6">
        <f t="shared" si="24"/>
        <v>0.24581018518518519</v>
      </c>
      <c r="I317" s="3">
        <v>1.6168981481481482E-2</v>
      </c>
      <c r="J317" s="6">
        <v>2.4247685185185185E-2</v>
      </c>
      <c r="K317" s="3">
        <v>0.2215625</v>
      </c>
      <c r="L317" s="1" t="s">
        <v>7</v>
      </c>
      <c r="M317" s="1" t="s">
        <v>7</v>
      </c>
      <c r="N317" s="1">
        <v>2</v>
      </c>
      <c r="O317" s="35">
        <v>2</v>
      </c>
      <c r="P317" s="35">
        <v>90</v>
      </c>
      <c r="Q317" s="35">
        <v>90</v>
      </c>
      <c r="R317" s="2">
        <v>115.17</v>
      </c>
      <c r="S317" s="2">
        <v>115.17</v>
      </c>
      <c r="T317" s="1">
        <v>1</v>
      </c>
      <c r="W317" s="4" t="s">
        <v>643</v>
      </c>
    </row>
    <row r="318" spans="1:23" x14ac:dyDescent="0.2">
      <c r="A318" s="15">
        <v>1</v>
      </c>
      <c r="B318" s="35" t="s">
        <v>776</v>
      </c>
      <c r="C318" t="s">
        <v>778</v>
      </c>
      <c r="D318" s="1">
        <v>3</v>
      </c>
      <c r="E318" s="1" t="s">
        <v>748</v>
      </c>
      <c r="F318" s="4">
        <v>45456</v>
      </c>
      <c r="G318" s="3">
        <f>I318+K318</f>
        <v>0.2399074074074074</v>
      </c>
      <c r="H318" s="6">
        <f t="shared" si="24"/>
        <v>0.25364583333333335</v>
      </c>
      <c r="I318" s="3">
        <v>1.8344907407407407E-2</v>
      </c>
      <c r="J318" s="6">
        <v>3.2083333333333332E-2</v>
      </c>
      <c r="K318" s="3">
        <v>0.2215625</v>
      </c>
      <c r="L318" s="1" t="s">
        <v>7</v>
      </c>
      <c r="M318" s="1" t="s">
        <v>7</v>
      </c>
      <c r="N318" s="1">
        <v>2</v>
      </c>
      <c r="O318" s="35">
        <v>2</v>
      </c>
      <c r="P318" s="35">
        <v>90</v>
      </c>
      <c r="Q318" s="35">
        <v>90</v>
      </c>
      <c r="R318" s="2">
        <v>115.17</v>
      </c>
      <c r="S318" s="2">
        <v>115.17</v>
      </c>
      <c r="T318" s="1">
        <v>1</v>
      </c>
      <c r="W318" s="4" t="s">
        <v>643</v>
      </c>
    </row>
    <row r="319" spans="1:23" x14ac:dyDescent="0.2">
      <c r="A319" s="15">
        <v>1</v>
      </c>
      <c r="B319" s="35" t="s">
        <v>776</v>
      </c>
      <c r="C319" t="s">
        <v>778</v>
      </c>
      <c r="D319" s="1">
        <v>1</v>
      </c>
      <c r="E319" s="1" t="s">
        <v>749</v>
      </c>
      <c r="F319" s="4">
        <v>45456</v>
      </c>
      <c r="H319" s="6">
        <f t="shared" si="24"/>
        <v>0.77089120370370379</v>
      </c>
      <c r="J319" s="6">
        <v>2.0833333333333335E-4</v>
      </c>
      <c r="K319" s="3">
        <v>0.77068287037037042</v>
      </c>
      <c r="L319" s="1" t="s">
        <v>7</v>
      </c>
      <c r="M319" s="1" t="s">
        <v>7</v>
      </c>
      <c r="N319" s="1">
        <v>2</v>
      </c>
      <c r="O319" s="35">
        <v>2</v>
      </c>
      <c r="P319" s="35">
        <v>90</v>
      </c>
      <c r="Q319" s="35">
        <v>90</v>
      </c>
      <c r="R319" s="2">
        <v>115.17</v>
      </c>
      <c r="S319" s="2">
        <v>115.17</v>
      </c>
      <c r="T319" s="1">
        <v>1</v>
      </c>
      <c r="W319" s="4" t="s">
        <v>643</v>
      </c>
    </row>
    <row r="320" spans="1:23" x14ac:dyDescent="0.2">
      <c r="A320" s="15">
        <v>1</v>
      </c>
      <c r="B320" s="35" t="s">
        <v>776</v>
      </c>
      <c r="C320" t="s">
        <v>778</v>
      </c>
      <c r="D320" s="1">
        <v>2</v>
      </c>
      <c r="E320" s="1" t="s">
        <v>749</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35">
        <v>2</v>
      </c>
      <c r="P320" s="35">
        <v>90</v>
      </c>
      <c r="Q320" s="35">
        <v>90</v>
      </c>
      <c r="R320" s="2">
        <v>115.17</v>
      </c>
      <c r="S320" s="2">
        <v>115.17</v>
      </c>
      <c r="T320" s="1">
        <v>1</v>
      </c>
      <c r="W320" s="4" t="s">
        <v>643</v>
      </c>
    </row>
    <row r="321" spans="1:23" x14ac:dyDescent="0.2">
      <c r="A321" s="15">
        <v>1</v>
      </c>
      <c r="B321" s="35" t="s">
        <v>776</v>
      </c>
      <c r="C321" t="s">
        <v>778</v>
      </c>
      <c r="D321" s="1">
        <v>3</v>
      </c>
      <c r="E321" s="1" t="s">
        <v>749</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35">
        <v>2</v>
      </c>
      <c r="P321" s="35">
        <v>90</v>
      </c>
      <c r="Q321" s="35">
        <v>90</v>
      </c>
      <c r="R321" s="2">
        <v>115.17</v>
      </c>
      <c r="S321" s="2">
        <v>115.17</v>
      </c>
      <c r="T321" s="1">
        <v>1</v>
      </c>
      <c r="W321" s="4" t="s">
        <v>643</v>
      </c>
    </row>
    <row r="322" spans="1:23" x14ac:dyDescent="0.2">
      <c r="A322" s="15">
        <v>1</v>
      </c>
      <c r="B322" s="35" t="s">
        <v>776</v>
      </c>
      <c r="C322" t="s">
        <v>778</v>
      </c>
      <c r="D322" s="1">
        <v>1</v>
      </c>
      <c r="E322" s="1" t="s">
        <v>750</v>
      </c>
      <c r="F322" s="4">
        <v>45457</v>
      </c>
      <c r="H322" s="6">
        <f t="shared" si="24"/>
        <v>0.23956018518518518</v>
      </c>
      <c r="J322" s="6">
        <v>2.0081018518518519E-2</v>
      </c>
      <c r="K322" s="3">
        <v>0.21947916666666667</v>
      </c>
      <c r="L322" s="1" t="s">
        <v>8</v>
      </c>
      <c r="M322" s="1" t="s">
        <v>8</v>
      </c>
      <c r="N322" s="1">
        <v>2</v>
      </c>
      <c r="O322" s="35">
        <v>2</v>
      </c>
      <c r="P322" s="35">
        <v>90</v>
      </c>
      <c r="Q322" s="35">
        <v>90</v>
      </c>
      <c r="R322" s="2">
        <v>115.17</v>
      </c>
      <c r="S322" s="2">
        <v>115.17</v>
      </c>
      <c r="T322" s="1">
        <v>1</v>
      </c>
      <c r="W322" s="4" t="s">
        <v>643</v>
      </c>
    </row>
    <row r="323" spans="1:23" x14ac:dyDescent="0.2">
      <c r="A323" s="15">
        <v>1</v>
      </c>
      <c r="B323" s="35" t="s">
        <v>776</v>
      </c>
      <c r="C323" t="s">
        <v>778</v>
      </c>
      <c r="D323" s="1">
        <v>2</v>
      </c>
      <c r="E323" s="1" t="s">
        <v>750</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35">
        <v>2</v>
      </c>
      <c r="P323" s="35">
        <v>90</v>
      </c>
      <c r="Q323" s="35">
        <v>90</v>
      </c>
      <c r="R323" s="2">
        <v>115.17</v>
      </c>
      <c r="S323" s="2">
        <v>115.17</v>
      </c>
      <c r="T323" s="1">
        <v>1</v>
      </c>
      <c r="W323" s="4" t="s">
        <v>643</v>
      </c>
    </row>
    <row r="324" spans="1:23" x14ac:dyDescent="0.2">
      <c r="A324" s="15">
        <v>1</v>
      </c>
      <c r="B324" s="35" t="s">
        <v>776</v>
      </c>
      <c r="C324" t="s">
        <v>778</v>
      </c>
      <c r="D324" s="1">
        <v>1</v>
      </c>
      <c r="E324" s="1" t="s">
        <v>721</v>
      </c>
      <c r="F324" s="4">
        <v>45457</v>
      </c>
      <c r="H324" s="6">
        <f t="shared" si="24"/>
        <v>0.79148148148148156</v>
      </c>
      <c r="J324" s="6">
        <v>2.4849537037037038E-2</v>
      </c>
      <c r="K324" s="6">
        <v>0.76663194444444449</v>
      </c>
      <c r="L324" s="1" t="s">
        <v>8</v>
      </c>
      <c r="M324" s="1" t="s">
        <v>7</v>
      </c>
      <c r="N324" s="1">
        <v>2</v>
      </c>
      <c r="O324" s="35">
        <v>2</v>
      </c>
      <c r="P324" s="35">
        <v>90</v>
      </c>
      <c r="Q324" s="35">
        <v>90</v>
      </c>
      <c r="R324" s="2">
        <v>115.17</v>
      </c>
      <c r="S324" s="2">
        <v>115.17</v>
      </c>
      <c r="T324" s="1">
        <v>0</v>
      </c>
      <c r="W324" s="4" t="s">
        <v>643</v>
      </c>
    </row>
    <row r="325" spans="1:23" x14ac:dyDescent="0.2">
      <c r="A325" s="15">
        <v>1</v>
      </c>
      <c r="B325" s="35" t="s">
        <v>776</v>
      </c>
      <c r="C325" t="s">
        <v>778</v>
      </c>
      <c r="D325" s="1">
        <v>1</v>
      </c>
      <c r="E325" t="s">
        <v>722</v>
      </c>
      <c r="P325" s="35">
        <v>90</v>
      </c>
      <c r="Q325" s="35">
        <v>90</v>
      </c>
      <c r="T325" s="1" t="s">
        <v>21</v>
      </c>
      <c r="U325" s="1" t="s">
        <v>167</v>
      </c>
    </row>
    <row r="326" spans="1:23" x14ac:dyDescent="0.2">
      <c r="A326" s="15">
        <v>1</v>
      </c>
      <c r="B326" s="35" t="s">
        <v>776</v>
      </c>
      <c r="C326" t="s">
        <v>778</v>
      </c>
      <c r="D326" s="1">
        <v>1</v>
      </c>
      <c r="E326" s="1" t="s">
        <v>751</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35">
        <v>2</v>
      </c>
      <c r="P326" s="35">
        <v>90</v>
      </c>
      <c r="Q326" s="35">
        <v>90</v>
      </c>
      <c r="R326" s="2">
        <v>115.17</v>
      </c>
      <c r="S326" s="2">
        <v>115.17</v>
      </c>
      <c r="T326" s="1">
        <v>1</v>
      </c>
      <c r="W326" s="4" t="s">
        <v>643</v>
      </c>
    </row>
    <row r="327" spans="1:23" x14ac:dyDescent="0.2">
      <c r="B327" s="35" t="s">
        <v>779</v>
      </c>
      <c r="C327" t="s">
        <v>779</v>
      </c>
      <c r="J327" s="6">
        <v>4.8379629629629632E-3</v>
      </c>
      <c r="L327" s="1" t="s">
        <v>8</v>
      </c>
      <c r="M327" s="1" t="s">
        <v>8</v>
      </c>
      <c r="N327" s="1">
        <v>2</v>
      </c>
      <c r="O327" s="35">
        <v>2</v>
      </c>
      <c r="P327" s="35">
        <v>90</v>
      </c>
      <c r="Q327" s="35">
        <v>90</v>
      </c>
      <c r="R327" s="2">
        <v>115.17</v>
      </c>
      <c r="S327" s="2">
        <v>115.17</v>
      </c>
      <c r="T327" s="1">
        <v>1</v>
      </c>
    </row>
    <row r="328" spans="1:23" x14ac:dyDescent="0.2">
      <c r="A328" s="15">
        <v>1</v>
      </c>
      <c r="B328" s="35" t="s">
        <v>776</v>
      </c>
      <c r="C328" t="s">
        <v>778</v>
      </c>
      <c r="D328" s="1">
        <v>1</v>
      </c>
      <c r="E328" s="1" t="s">
        <v>753</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35">
        <v>2</v>
      </c>
      <c r="P328" s="35">
        <v>90</v>
      </c>
      <c r="Q328" s="35">
        <v>90</v>
      </c>
      <c r="R328" s="2">
        <v>115.17</v>
      </c>
      <c r="S328" s="2">
        <v>115.17</v>
      </c>
      <c r="T328" s="1">
        <v>1</v>
      </c>
    </row>
    <row r="329" spans="1:23" x14ac:dyDescent="0.2">
      <c r="A329" s="15">
        <v>1</v>
      </c>
      <c r="B329" s="35" t="s">
        <v>776</v>
      </c>
      <c r="C329" t="s">
        <v>778</v>
      </c>
      <c r="D329" s="1">
        <v>1</v>
      </c>
      <c r="E329" s="1" t="s">
        <v>754</v>
      </c>
      <c r="F329" s="4">
        <v>45465</v>
      </c>
      <c r="H329" s="6">
        <f t="shared" si="25"/>
        <v>0.2260763888888889</v>
      </c>
      <c r="J329" s="6">
        <v>7.2106481481481483E-3</v>
      </c>
      <c r="K329" s="6">
        <v>0.21886574074074075</v>
      </c>
      <c r="L329" s="1" t="s">
        <v>8</v>
      </c>
      <c r="M329" s="1" t="s">
        <v>7</v>
      </c>
      <c r="N329" s="1">
        <v>2</v>
      </c>
      <c r="O329" s="35">
        <v>2</v>
      </c>
      <c r="P329" s="35">
        <v>90</v>
      </c>
      <c r="Q329" s="35">
        <v>90</v>
      </c>
      <c r="R329" s="2">
        <v>115.17</v>
      </c>
      <c r="S329" s="2">
        <v>115.17</v>
      </c>
      <c r="T329" s="1">
        <v>1</v>
      </c>
    </row>
    <row r="330" spans="1:23" x14ac:dyDescent="0.2">
      <c r="A330" s="15">
        <v>1</v>
      </c>
      <c r="B330" s="35" t="s">
        <v>776</v>
      </c>
      <c r="C330" t="s">
        <v>778</v>
      </c>
      <c r="D330" s="1">
        <v>2</v>
      </c>
      <c r="E330" s="1" t="s">
        <v>754</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35">
        <v>3</v>
      </c>
      <c r="P330" s="35">
        <v>90</v>
      </c>
      <c r="Q330" s="35">
        <v>90</v>
      </c>
      <c r="R330" s="2">
        <v>115.17</v>
      </c>
      <c r="S330" s="2">
        <v>115.17</v>
      </c>
      <c r="T330" s="1">
        <v>0</v>
      </c>
    </row>
    <row r="331" spans="1:23" x14ac:dyDescent="0.2">
      <c r="A331" s="15">
        <v>1</v>
      </c>
      <c r="B331" s="35" t="s">
        <v>776</v>
      </c>
      <c r="C331" t="s">
        <v>778</v>
      </c>
      <c r="D331" s="1">
        <v>3</v>
      </c>
      <c r="E331" s="1" t="s">
        <v>754</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35">
        <v>3</v>
      </c>
      <c r="P331" s="35">
        <v>90</v>
      </c>
      <c r="Q331" s="35">
        <v>90</v>
      </c>
      <c r="R331" s="2">
        <v>115.17</v>
      </c>
      <c r="S331" s="2">
        <v>115.17</v>
      </c>
      <c r="T331" s="1">
        <v>1</v>
      </c>
    </row>
    <row r="332" spans="1:23" x14ac:dyDescent="0.2">
      <c r="A332" s="15">
        <v>1</v>
      </c>
      <c r="B332" s="35" t="s">
        <v>776</v>
      </c>
      <c r="C332" t="s">
        <v>778</v>
      </c>
      <c r="D332" s="1">
        <v>1</v>
      </c>
      <c r="E332" s="1" t="s">
        <v>755</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35">
        <v>2</v>
      </c>
      <c r="P332" s="35">
        <v>90</v>
      </c>
      <c r="Q332" s="35">
        <v>90</v>
      </c>
      <c r="R332" s="2">
        <v>115.17</v>
      </c>
      <c r="S332" s="2">
        <v>115.17</v>
      </c>
      <c r="T332" s="1">
        <v>1</v>
      </c>
    </row>
    <row r="333" spans="1:23" x14ac:dyDescent="0.2">
      <c r="A333" s="15">
        <v>1</v>
      </c>
      <c r="B333" s="35" t="s">
        <v>776</v>
      </c>
      <c r="C333" t="s">
        <v>778</v>
      </c>
      <c r="D333" s="1">
        <v>1</v>
      </c>
      <c r="E333" s="1" t="s">
        <v>756</v>
      </c>
      <c r="F333" s="4">
        <v>45467</v>
      </c>
      <c r="H333" s="6">
        <f t="shared" si="25"/>
        <v>0.79091435185185188</v>
      </c>
      <c r="J333" s="6">
        <v>3.9814814814814817E-3</v>
      </c>
      <c r="K333" s="3">
        <v>0.78693287037037041</v>
      </c>
      <c r="L333" s="1" t="s">
        <v>7</v>
      </c>
      <c r="M333" s="1" t="s">
        <v>8</v>
      </c>
      <c r="N333" s="1">
        <v>2</v>
      </c>
      <c r="O333" s="35">
        <v>2</v>
      </c>
      <c r="P333" s="35">
        <v>90</v>
      </c>
      <c r="Q333" s="35">
        <v>90</v>
      </c>
      <c r="R333" s="2">
        <v>115.17</v>
      </c>
      <c r="S333" s="2">
        <v>115.17</v>
      </c>
      <c r="T333" s="1">
        <v>0</v>
      </c>
    </row>
    <row r="334" spans="1:23" x14ac:dyDescent="0.2">
      <c r="A334" s="15">
        <v>1</v>
      </c>
      <c r="B334" s="35" t="s">
        <v>776</v>
      </c>
      <c r="C334" t="s">
        <v>778</v>
      </c>
      <c r="D334" s="1">
        <v>1</v>
      </c>
      <c r="E334" s="1" t="s">
        <v>757</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35">
        <v>2</v>
      </c>
      <c r="P334" s="35">
        <v>90</v>
      </c>
      <c r="Q334" s="35">
        <v>90</v>
      </c>
      <c r="R334" s="2">
        <v>115.17</v>
      </c>
      <c r="S334" s="2">
        <v>115.17</v>
      </c>
      <c r="T334" s="1">
        <v>1</v>
      </c>
    </row>
    <row r="335" spans="1:23" x14ac:dyDescent="0.2">
      <c r="A335" s="15">
        <v>1</v>
      </c>
      <c r="B335" s="35" t="s">
        <v>776</v>
      </c>
      <c r="C335" t="s">
        <v>778</v>
      </c>
      <c r="D335" s="1">
        <v>1</v>
      </c>
      <c r="E335" s="1" t="s">
        <v>758</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35">
        <v>2</v>
      </c>
      <c r="P335" s="35">
        <v>90</v>
      </c>
      <c r="Q335" s="35">
        <v>90</v>
      </c>
      <c r="R335" s="2">
        <v>115.17</v>
      </c>
      <c r="S335" s="2">
        <v>115.17</v>
      </c>
      <c r="T335" s="1">
        <v>1</v>
      </c>
    </row>
    <row r="336" spans="1:23" x14ac:dyDescent="0.2">
      <c r="A336" s="15">
        <v>1</v>
      </c>
      <c r="B336" s="35" t="s">
        <v>776</v>
      </c>
      <c r="C336" t="s">
        <v>778</v>
      </c>
      <c r="D336" s="1">
        <v>1</v>
      </c>
      <c r="E336" s="1" t="s">
        <v>759</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35">
        <v>2</v>
      </c>
      <c r="P336" s="35">
        <v>90</v>
      </c>
      <c r="Q336" s="35">
        <v>90</v>
      </c>
      <c r="R336" s="2">
        <v>115.17</v>
      </c>
      <c r="S336" s="2">
        <v>115.17</v>
      </c>
      <c r="T336" s="1">
        <v>0</v>
      </c>
    </row>
    <row r="337" spans="1:21" x14ac:dyDescent="0.2">
      <c r="A337" s="15">
        <v>1</v>
      </c>
      <c r="B337" s="35" t="s">
        <v>776</v>
      </c>
      <c r="C337" t="s">
        <v>778</v>
      </c>
      <c r="D337" s="1">
        <v>1</v>
      </c>
      <c r="E337" s="1" t="s">
        <v>760</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35">
        <v>2</v>
      </c>
      <c r="P337" s="35">
        <v>90</v>
      </c>
      <c r="Q337" s="35">
        <v>90</v>
      </c>
      <c r="R337" s="2">
        <v>115.17</v>
      </c>
      <c r="S337" s="2">
        <v>115.17</v>
      </c>
      <c r="T337" s="1">
        <v>1</v>
      </c>
    </row>
    <row r="338" spans="1:21" x14ac:dyDescent="0.2">
      <c r="A338" s="15">
        <v>1</v>
      </c>
      <c r="B338" s="35" t="s">
        <v>776</v>
      </c>
      <c r="C338" t="s">
        <v>778</v>
      </c>
      <c r="D338" s="1">
        <v>1</v>
      </c>
      <c r="E338" s="1" t="s">
        <v>761</v>
      </c>
      <c r="F338" s="4">
        <v>45472</v>
      </c>
      <c r="K338" s="3">
        <v>0.77797453703703701</v>
      </c>
      <c r="P338" s="35">
        <v>90</v>
      </c>
      <c r="Q338" s="35">
        <v>90</v>
      </c>
      <c r="T338" s="1" t="s">
        <v>21</v>
      </c>
      <c r="U338" s="1" t="s">
        <v>762</v>
      </c>
    </row>
  </sheetData>
  <sortState xmlns:xlrd2="http://schemas.microsoft.com/office/spreadsheetml/2017/richdata2" ref="A2:U194">
    <sortCondition ref="F2:F194"/>
  </sortState>
  <customSheetViews>
    <customSheetView guid="{8A75D892-44B4-104C-BB94-8EB0D0E43396}" scale="75"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U338" xr:uid="{135A4D8A-3837-C04D-9096-B7E58473E238}"/>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zoomScale="75" zoomScaleNormal="90" workbookViewId="0">
      <pane ySplit="1" topLeftCell="A2" activePane="bottomLeft" state="frozen"/>
      <selection pane="bottomLeft" activeCell="J8" sqref="J8"/>
    </sheetView>
  </sheetViews>
  <sheetFormatPr baseColWidth="10" defaultRowHeight="16" x14ac:dyDescent="0.2"/>
  <cols>
    <col min="1" max="1" width="8.83203125" style="1" customWidth="1"/>
    <col min="2" max="2" width="8.83203125" style="35" customWidth="1"/>
    <col min="3"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35" customWidth="1"/>
    <col min="16" max="17" width="13.6640625" style="35"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35" t="s">
        <v>797</v>
      </c>
      <c r="C1" s="1" t="s">
        <v>793</v>
      </c>
      <c r="D1" s="1" t="s">
        <v>775</v>
      </c>
      <c r="E1" s="1" t="s">
        <v>2</v>
      </c>
      <c r="F1" s="4" t="s">
        <v>31</v>
      </c>
      <c r="G1" s="1" t="s">
        <v>4</v>
      </c>
      <c r="H1" s="1" t="s">
        <v>5</v>
      </c>
      <c r="I1" s="1" t="s">
        <v>785</v>
      </c>
      <c r="J1" s="1" t="s">
        <v>786</v>
      </c>
      <c r="K1" s="1" t="s">
        <v>6</v>
      </c>
      <c r="L1" s="1" t="s">
        <v>790</v>
      </c>
      <c r="M1" s="1" t="s">
        <v>789</v>
      </c>
      <c r="N1" s="1" t="s">
        <v>792</v>
      </c>
      <c r="O1" s="35" t="s">
        <v>791</v>
      </c>
      <c r="P1" s="35" t="s">
        <v>795</v>
      </c>
      <c r="Q1" s="35" t="s">
        <v>794</v>
      </c>
      <c r="R1" s="1" t="s">
        <v>787</v>
      </c>
      <c r="S1" s="1" t="s">
        <v>788</v>
      </c>
      <c r="T1" s="1" t="s">
        <v>329</v>
      </c>
      <c r="U1" s="1" t="s">
        <v>659</v>
      </c>
      <c r="V1" s="1" t="s">
        <v>15</v>
      </c>
      <c r="W1" s="1" t="s">
        <v>640</v>
      </c>
    </row>
    <row r="2" spans="1:23" x14ac:dyDescent="0.2">
      <c r="A2" s="1">
        <v>2</v>
      </c>
      <c r="B2" s="35" t="s">
        <v>801</v>
      </c>
      <c r="C2" s="1" t="s">
        <v>778</v>
      </c>
      <c r="D2" s="1" t="s">
        <v>21</v>
      </c>
      <c r="E2" s="1" t="s">
        <v>21</v>
      </c>
      <c r="F2" s="4">
        <v>36526</v>
      </c>
      <c r="G2" s="1" t="s">
        <v>21</v>
      </c>
      <c r="H2" s="1" t="s">
        <v>21</v>
      </c>
      <c r="I2" s="1" t="s">
        <v>21</v>
      </c>
      <c r="J2" s="1" t="s">
        <v>21</v>
      </c>
      <c r="K2" s="1" t="s">
        <v>21</v>
      </c>
      <c r="L2" s="1" t="s">
        <v>21</v>
      </c>
      <c r="M2" s="1" t="s">
        <v>21</v>
      </c>
      <c r="N2" s="1" t="s">
        <v>21</v>
      </c>
      <c r="O2" s="35" t="s">
        <v>21</v>
      </c>
      <c r="P2" s="35">
        <v>90</v>
      </c>
      <c r="Q2" s="35">
        <v>90</v>
      </c>
      <c r="T2" s="1" t="s">
        <v>21</v>
      </c>
      <c r="V2" s="1" t="s">
        <v>22</v>
      </c>
    </row>
    <row r="3" spans="1:23" x14ac:dyDescent="0.2">
      <c r="A3" s="7">
        <v>2</v>
      </c>
      <c r="B3" s="35" t="s">
        <v>781</v>
      </c>
      <c r="C3" s="1" t="s">
        <v>778</v>
      </c>
      <c r="D3" s="7" t="s">
        <v>21</v>
      </c>
      <c r="E3" s="7" t="s">
        <v>21</v>
      </c>
      <c r="F3" s="9">
        <v>44995</v>
      </c>
      <c r="G3" s="8" t="s">
        <v>21</v>
      </c>
      <c r="H3" s="8" t="s">
        <v>21</v>
      </c>
      <c r="I3" s="8" t="s">
        <v>21</v>
      </c>
      <c r="J3" s="8" t="s">
        <v>21</v>
      </c>
      <c r="K3" s="8" t="s">
        <v>21</v>
      </c>
      <c r="L3" s="7"/>
      <c r="M3" s="7"/>
      <c r="N3" s="7"/>
      <c r="O3" s="36"/>
      <c r="P3" s="35">
        <v>90</v>
      </c>
      <c r="Q3" s="35">
        <v>90</v>
      </c>
      <c r="R3" s="7"/>
      <c r="S3" s="7"/>
      <c r="T3" s="7" t="s">
        <v>21</v>
      </c>
      <c r="U3" s="7"/>
      <c r="V3" s="7" t="s">
        <v>131</v>
      </c>
      <c r="W3" s="7"/>
    </row>
    <row r="4" spans="1:23" x14ac:dyDescent="0.2">
      <c r="A4" s="1">
        <v>2</v>
      </c>
      <c r="B4" s="35" t="s">
        <v>801</v>
      </c>
      <c r="C4" s="1" t="s">
        <v>778</v>
      </c>
      <c r="D4" s="1" t="s">
        <v>21</v>
      </c>
      <c r="E4" s="1" t="s">
        <v>14</v>
      </c>
      <c r="F4" s="4">
        <v>45343</v>
      </c>
      <c r="G4" s="1" t="s">
        <v>21</v>
      </c>
      <c r="H4" s="1" t="s">
        <v>21</v>
      </c>
      <c r="I4" s="1" t="s">
        <v>21</v>
      </c>
      <c r="J4" s="1" t="s">
        <v>21</v>
      </c>
      <c r="K4" s="1" t="s">
        <v>21</v>
      </c>
      <c r="L4" s="1" t="s">
        <v>21</v>
      </c>
      <c r="M4" s="1" t="s">
        <v>21</v>
      </c>
      <c r="N4" s="1" t="s">
        <v>21</v>
      </c>
      <c r="O4" s="35" t="s">
        <v>21</v>
      </c>
      <c r="P4" s="35">
        <v>90</v>
      </c>
      <c r="Q4" s="35">
        <v>90</v>
      </c>
      <c r="R4" s="1">
        <v>57.4</v>
      </c>
      <c r="T4" s="1" t="s">
        <v>21</v>
      </c>
      <c r="V4" s="1" t="s">
        <v>16</v>
      </c>
    </row>
    <row r="5" spans="1:23" x14ac:dyDescent="0.2">
      <c r="A5" s="1">
        <v>2</v>
      </c>
      <c r="B5" s="35" t="s">
        <v>801</v>
      </c>
      <c r="C5" s="1" t="s">
        <v>778</v>
      </c>
      <c r="D5" s="1">
        <v>1</v>
      </c>
      <c r="E5" s="1" t="s">
        <v>11</v>
      </c>
      <c r="F5" s="4">
        <v>45344</v>
      </c>
      <c r="G5" s="3">
        <f t="shared" ref="G5:G16" si="0">$K5 + $I5</f>
        <v>0.7716898148148148</v>
      </c>
      <c r="H5" s="3">
        <f t="shared" ref="H5:H11" si="1">K5 + J5</f>
        <v>0.79226851851851854</v>
      </c>
      <c r="I5" s="3">
        <v>2.0254629629629629E-2</v>
      </c>
      <c r="J5" s="3">
        <v>4.0833333333333333E-2</v>
      </c>
      <c r="K5" s="3">
        <v>0.75143518518518515</v>
      </c>
      <c r="L5" s="1" t="s">
        <v>8</v>
      </c>
      <c r="M5" s="1" t="s">
        <v>7</v>
      </c>
      <c r="N5" s="1">
        <v>1</v>
      </c>
      <c r="O5" s="35">
        <v>1</v>
      </c>
      <c r="P5" s="35">
        <v>90</v>
      </c>
      <c r="Q5" s="35">
        <v>90</v>
      </c>
      <c r="R5" s="1">
        <v>57.4</v>
      </c>
      <c r="T5" s="1">
        <v>1</v>
      </c>
    </row>
    <row r="6" spans="1:23" x14ac:dyDescent="0.2">
      <c r="A6" s="1">
        <v>2</v>
      </c>
      <c r="B6" s="35" t="s">
        <v>801</v>
      </c>
      <c r="C6" s="1" t="s">
        <v>778</v>
      </c>
      <c r="D6" s="1">
        <v>1</v>
      </c>
      <c r="E6" s="1" t="s">
        <v>12</v>
      </c>
      <c r="F6" s="4">
        <v>45344</v>
      </c>
      <c r="G6" s="3">
        <f t="shared" si="0"/>
        <v>0.24612268518518518</v>
      </c>
      <c r="H6" s="3">
        <f t="shared" si="1"/>
        <v>0.26064814814814813</v>
      </c>
      <c r="I6" s="3">
        <v>1.9988425925925927E-2</v>
      </c>
      <c r="J6" s="3">
        <v>3.4513888888888893E-2</v>
      </c>
      <c r="K6" s="3">
        <v>0.22613425925925926</v>
      </c>
      <c r="L6" s="1" t="s">
        <v>8</v>
      </c>
      <c r="M6" s="1" t="s">
        <v>8</v>
      </c>
      <c r="N6" s="1">
        <v>1</v>
      </c>
      <c r="O6" s="35">
        <v>1</v>
      </c>
      <c r="P6" s="35">
        <v>90</v>
      </c>
      <c r="Q6" s="35">
        <v>90</v>
      </c>
      <c r="R6" s="1">
        <v>57.4</v>
      </c>
      <c r="T6" s="1">
        <v>1</v>
      </c>
    </row>
    <row r="7" spans="1:23" x14ac:dyDescent="0.2">
      <c r="A7" s="1">
        <v>2</v>
      </c>
      <c r="B7" s="35" t="s">
        <v>801</v>
      </c>
      <c r="C7" s="1" t="s">
        <v>778</v>
      </c>
      <c r="D7" s="1">
        <v>2</v>
      </c>
      <c r="E7" s="1" t="s">
        <v>12</v>
      </c>
      <c r="F7" s="4">
        <v>45344</v>
      </c>
      <c r="G7" s="3">
        <f t="shared" si="0"/>
        <v>0.25628472222222221</v>
      </c>
      <c r="H7" s="3">
        <f t="shared" si="1"/>
        <v>0.26922453703703703</v>
      </c>
      <c r="I7" s="3">
        <v>3.0150462962962962E-2</v>
      </c>
      <c r="J7" s="3">
        <v>4.3090277777777776E-2</v>
      </c>
      <c r="K7" s="3">
        <v>0.22613425925925926</v>
      </c>
      <c r="L7" s="1" t="s">
        <v>8</v>
      </c>
      <c r="M7" s="1" t="s">
        <v>8</v>
      </c>
      <c r="N7" s="1">
        <v>1</v>
      </c>
      <c r="O7" s="35">
        <v>1</v>
      </c>
      <c r="P7" s="35">
        <v>90</v>
      </c>
      <c r="Q7" s="35">
        <v>90</v>
      </c>
      <c r="R7" s="1">
        <v>57.4</v>
      </c>
      <c r="T7" s="1">
        <v>0</v>
      </c>
    </row>
    <row r="8" spans="1:23" x14ac:dyDescent="0.2">
      <c r="A8" s="1">
        <v>2</v>
      </c>
      <c r="B8" s="35" t="s">
        <v>801</v>
      </c>
      <c r="C8" s="1" t="s">
        <v>778</v>
      </c>
      <c r="D8" s="1">
        <v>3</v>
      </c>
      <c r="E8" s="1" t="s">
        <v>12</v>
      </c>
      <c r="F8" s="4">
        <v>45344</v>
      </c>
      <c r="G8" s="3">
        <f t="shared" si="0"/>
        <v>0.2628240740740741</v>
      </c>
      <c r="H8" s="3">
        <f t="shared" si="1"/>
        <v>0.27217592592592593</v>
      </c>
      <c r="I8" s="3">
        <v>3.6689814814814821E-2</v>
      </c>
      <c r="J8" s="3">
        <v>4.6041666666666668E-2</v>
      </c>
      <c r="K8" s="3">
        <v>0.22613425925925926</v>
      </c>
      <c r="L8" s="1" t="s">
        <v>8</v>
      </c>
      <c r="M8" s="1" t="s">
        <v>8</v>
      </c>
      <c r="N8" s="1">
        <v>1</v>
      </c>
      <c r="O8" s="35">
        <v>1</v>
      </c>
      <c r="P8" s="35">
        <v>90</v>
      </c>
      <c r="Q8" s="35">
        <v>90</v>
      </c>
      <c r="R8" s="1">
        <v>57.4</v>
      </c>
      <c r="T8" s="1">
        <v>1</v>
      </c>
    </row>
    <row r="9" spans="1:23" x14ac:dyDescent="0.2">
      <c r="A9" s="1">
        <v>2</v>
      </c>
      <c r="B9" s="35" t="s">
        <v>802</v>
      </c>
      <c r="C9" s="1" t="s">
        <v>778</v>
      </c>
      <c r="D9" s="1">
        <v>1</v>
      </c>
      <c r="E9" s="1" t="s">
        <v>43</v>
      </c>
      <c r="F9" s="4">
        <v>45345</v>
      </c>
      <c r="G9" s="3">
        <f t="shared" si="0"/>
        <v>0.77940972222222216</v>
      </c>
      <c r="H9" s="3">
        <f t="shared" si="1"/>
        <v>0.78445601851851843</v>
      </c>
      <c r="I9" s="3">
        <v>2.6331018518518517E-2</v>
      </c>
      <c r="J9" s="3">
        <v>3.1377314814814809E-2</v>
      </c>
      <c r="K9" s="3">
        <v>0.75307870370370367</v>
      </c>
      <c r="L9" s="1" t="s">
        <v>7</v>
      </c>
      <c r="M9" s="1" t="s">
        <v>7</v>
      </c>
      <c r="N9" s="1">
        <v>1</v>
      </c>
      <c r="O9" s="35">
        <v>1</v>
      </c>
      <c r="P9" s="35">
        <v>90</v>
      </c>
      <c r="Q9" s="35">
        <v>90</v>
      </c>
      <c r="R9" s="1">
        <v>57.4</v>
      </c>
      <c r="T9" s="1">
        <v>1</v>
      </c>
    </row>
    <row r="10" spans="1:23" x14ac:dyDescent="0.2">
      <c r="A10" s="1">
        <v>2</v>
      </c>
      <c r="B10" s="35" t="s">
        <v>802</v>
      </c>
      <c r="C10" s="1" t="s">
        <v>778</v>
      </c>
      <c r="D10" s="1">
        <v>1</v>
      </c>
      <c r="E10" s="1" t="s">
        <v>9</v>
      </c>
      <c r="F10" s="4">
        <v>45345</v>
      </c>
      <c r="G10" s="3">
        <f t="shared" si="0"/>
        <v>0.24466435185185187</v>
      </c>
      <c r="H10" s="3">
        <f t="shared" si="1"/>
        <v>0.25920138888888888</v>
      </c>
      <c r="I10" s="3">
        <v>2.165509259259259E-2</v>
      </c>
      <c r="J10" s="3">
        <v>3.619212962962963E-2</v>
      </c>
      <c r="K10" s="3">
        <v>0.22300925925925927</v>
      </c>
      <c r="L10" s="1" t="s">
        <v>8</v>
      </c>
      <c r="M10" s="1" t="s">
        <v>7</v>
      </c>
      <c r="N10" s="1">
        <v>1</v>
      </c>
      <c r="O10" s="35">
        <v>2</v>
      </c>
      <c r="P10" s="35">
        <v>90</v>
      </c>
      <c r="Q10" s="35">
        <v>90</v>
      </c>
      <c r="R10" s="1">
        <v>57.4</v>
      </c>
      <c r="T10" s="1">
        <v>1</v>
      </c>
    </row>
    <row r="11" spans="1:23" x14ac:dyDescent="0.2">
      <c r="A11" s="1">
        <v>2</v>
      </c>
      <c r="B11" s="35" t="s">
        <v>802</v>
      </c>
      <c r="C11" s="1" t="s">
        <v>778</v>
      </c>
      <c r="D11" s="1">
        <v>2</v>
      </c>
      <c r="E11" s="1" t="s">
        <v>9</v>
      </c>
      <c r="F11" s="4">
        <v>45345</v>
      </c>
      <c r="G11" s="3">
        <f t="shared" si="0"/>
        <v>0.25004629629629632</v>
      </c>
      <c r="H11" s="3">
        <f t="shared" si="1"/>
        <v>0.26920138888888889</v>
      </c>
      <c r="I11" s="3">
        <v>2.7037037037037037E-2</v>
      </c>
      <c r="J11" s="3">
        <v>4.6192129629629632E-2</v>
      </c>
      <c r="K11" s="3">
        <v>0.22300925925925927</v>
      </c>
      <c r="L11" s="1" t="s">
        <v>8</v>
      </c>
      <c r="M11" s="1" t="s">
        <v>7</v>
      </c>
      <c r="N11" s="1">
        <v>1</v>
      </c>
      <c r="O11" s="35">
        <v>2</v>
      </c>
      <c r="P11" s="35">
        <v>90</v>
      </c>
      <c r="Q11" s="35">
        <v>90</v>
      </c>
      <c r="R11" s="1">
        <v>57.4</v>
      </c>
      <c r="T11" s="1">
        <v>1</v>
      </c>
    </row>
    <row r="12" spans="1:23" x14ac:dyDescent="0.2">
      <c r="A12" s="1">
        <v>2</v>
      </c>
      <c r="B12" s="35" t="s">
        <v>802</v>
      </c>
      <c r="C12" s="1" t="s">
        <v>778</v>
      </c>
      <c r="D12" s="1">
        <v>3</v>
      </c>
      <c r="E12" s="1" t="s">
        <v>9</v>
      </c>
      <c r="F12" s="4">
        <v>45345</v>
      </c>
      <c r="G12" s="3">
        <f t="shared" si="0"/>
        <v>0.26063657407407409</v>
      </c>
      <c r="H12" s="3" t="s">
        <v>21</v>
      </c>
      <c r="I12" s="3">
        <v>3.7627314814814815E-2</v>
      </c>
      <c r="J12" s="3" t="s">
        <v>21</v>
      </c>
      <c r="K12" s="3">
        <v>0.22300925925925927</v>
      </c>
      <c r="L12" s="1" t="s">
        <v>7</v>
      </c>
      <c r="M12" s="1" t="s">
        <v>21</v>
      </c>
      <c r="N12" s="1">
        <v>2</v>
      </c>
      <c r="O12" s="35" t="s">
        <v>21</v>
      </c>
      <c r="P12" s="35">
        <v>90</v>
      </c>
      <c r="Q12" s="35">
        <v>90</v>
      </c>
      <c r="R12" s="1">
        <v>57.4</v>
      </c>
      <c r="T12" s="1" t="s">
        <v>21</v>
      </c>
      <c r="V12" s="1" t="s">
        <v>52</v>
      </c>
    </row>
    <row r="13" spans="1:23" x14ac:dyDescent="0.2">
      <c r="A13" s="7">
        <v>2</v>
      </c>
      <c r="B13" s="35" t="s">
        <v>801</v>
      </c>
      <c r="C13" s="1" t="s">
        <v>778</v>
      </c>
      <c r="D13" s="7">
        <v>1</v>
      </c>
      <c r="E13" s="7" t="s">
        <v>9</v>
      </c>
      <c r="F13" s="9">
        <v>45345</v>
      </c>
      <c r="G13" s="8">
        <f t="shared" si="0"/>
        <v>0.24474537037037039</v>
      </c>
      <c r="H13" s="8">
        <f>K13 + J13</f>
        <v>0.25920138888888888</v>
      </c>
      <c r="I13" s="8">
        <v>2.1736111111111112E-2</v>
      </c>
      <c r="J13" s="8">
        <v>3.619212962962963E-2</v>
      </c>
      <c r="K13" s="8">
        <v>0.22300925925925927</v>
      </c>
      <c r="L13" s="7" t="s">
        <v>7</v>
      </c>
      <c r="M13" s="7" t="s">
        <v>8</v>
      </c>
      <c r="N13" s="7">
        <v>1</v>
      </c>
      <c r="O13" s="36">
        <v>2</v>
      </c>
      <c r="P13" s="35">
        <v>90</v>
      </c>
      <c r="Q13" s="35">
        <v>90</v>
      </c>
      <c r="R13" s="7">
        <v>57.4</v>
      </c>
      <c r="S13" s="7"/>
      <c r="T13" s="7">
        <v>1</v>
      </c>
      <c r="U13" s="7"/>
      <c r="V13" s="7"/>
      <c r="W13" s="7"/>
    </row>
    <row r="14" spans="1:23" x14ac:dyDescent="0.2">
      <c r="A14" s="7">
        <v>2</v>
      </c>
      <c r="B14" s="35" t="s">
        <v>801</v>
      </c>
      <c r="C14" s="1" t="s">
        <v>778</v>
      </c>
      <c r="D14" s="7">
        <v>2</v>
      </c>
      <c r="E14" s="7" t="s">
        <v>9</v>
      </c>
      <c r="F14" s="9">
        <v>45345</v>
      </c>
      <c r="G14" s="8">
        <f t="shared" si="0"/>
        <v>0.26063657407407409</v>
      </c>
      <c r="H14" s="8">
        <f>K14 + J14</f>
        <v>0.26922453703703703</v>
      </c>
      <c r="I14" s="8">
        <v>3.7627314814814815E-2</v>
      </c>
      <c r="J14" s="8">
        <v>4.6215277777777779E-2</v>
      </c>
      <c r="K14" s="8">
        <v>0.22300925925925927</v>
      </c>
      <c r="L14" s="7" t="s">
        <v>8</v>
      </c>
      <c r="M14" s="7" t="s">
        <v>8</v>
      </c>
      <c r="N14" s="7">
        <v>2</v>
      </c>
      <c r="O14" s="36">
        <v>2</v>
      </c>
      <c r="P14" s="35">
        <v>90</v>
      </c>
      <c r="Q14" s="35">
        <v>90</v>
      </c>
      <c r="R14" s="7">
        <v>57.4</v>
      </c>
      <c r="S14" s="7"/>
      <c r="T14" s="7">
        <v>1</v>
      </c>
      <c r="U14" s="7"/>
      <c r="V14" s="7"/>
      <c r="W14" s="7"/>
    </row>
    <row r="15" spans="1:23" x14ac:dyDescent="0.2">
      <c r="A15" s="1">
        <v>2</v>
      </c>
      <c r="B15" s="35" t="s">
        <v>801</v>
      </c>
      <c r="C15" s="1" t="s">
        <v>778</v>
      </c>
      <c r="D15" s="1">
        <v>1</v>
      </c>
      <c r="E15" s="1" t="s">
        <v>47</v>
      </c>
      <c r="F15" s="4">
        <v>45346</v>
      </c>
      <c r="G15" s="3">
        <f t="shared" si="0"/>
        <v>0.7836805555555556</v>
      </c>
      <c r="H15" s="3">
        <f>K15 + J15</f>
        <v>0.78956018518518523</v>
      </c>
      <c r="I15" s="3">
        <v>2.7627314814814813E-2</v>
      </c>
      <c r="J15" s="3">
        <v>3.3506944444444443E-2</v>
      </c>
      <c r="K15" s="3">
        <v>0.75605324074074076</v>
      </c>
      <c r="L15" s="1" t="s">
        <v>8</v>
      </c>
      <c r="M15" s="1" t="s">
        <v>7</v>
      </c>
      <c r="N15" s="1">
        <v>1</v>
      </c>
      <c r="O15" s="35">
        <v>3</v>
      </c>
      <c r="P15" s="35">
        <v>90</v>
      </c>
      <c r="Q15" s="35">
        <v>90</v>
      </c>
      <c r="R15" s="1">
        <v>57.4</v>
      </c>
      <c r="T15" s="1">
        <v>0</v>
      </c>
      <c r="V15" s="1" t="s">
        <v>24</v>
      </c>
    </row>
    <row r="16" spans="1:23" x14ac:dyDescent="0.2">
      <c r="A16" s="1">
        <v>2</v>
      </c>
      <c r="B16" s="35" t="s">
        <v>801</v>
      </c>
      <c r="C16" s="1" t="s">
        <v>778</v>
      </c>
      <c r="D16" s="1">
        <v>2</v>
      </c>
      <c r="E16" s="1" t="s">
        <v>47</v>
      </c>
      <c r="F16" s="4">
        <v>45346</v>
      </c>
      <c r="G16" s="3">
        <f t="shared" si="0"/>
        <v>0.7839814814814815</v>
      </c>
      <c r="H16" s="3">
        <f>K16 + J16</f>
        <v>0.78997685185185185</v>
      </c>
      <c r="I16" s="3">
        <v>2.7928240740740743E-2</v>
      </c>
      <c r="J16" s="3">
        <v>3.3923611111111113E-2</v>
      </c>
      <c r="K16" s="3">
        <v>0.75605324074074076</v>
      </c>
      <c r="L16" s="1" t="s">
        <v>8</v>
      </c>
      <c r="M16" s="1" t="s">
        <v>7</v>
      </c>
      <c r="N16" s="1">
        <v>1</v>
      </c>
      <c r="O16" s="35">
        <v>3</v>
      </c>
      <c r="P16" s="35">
        <v>90</v>
      </c>
      <c r="Q16" s="35">
        <v>90</v>
      </c>
      <c r="R16" s="1">
        <v>57.4</v>
      </c>
      <c r="T16" s="1">
        <v>0</v>
      </c>
    </row>
    <row r="17" spans="1:22" x14ac:dyDescent="0.2">
      <c r="A17" s="1">
        <v>2</v>
      </c>
      <c r="B17" s="35" t="s">
        <v>801</v>
      </c>
      <c r="C17" s="1" t="s">
        <v>778</v>
      </c>
      <c r="D17" s="1" t="s">
        <v>21</v>
      </c>
      <c r="E17" s="1" t="s">
        <v>21</v>
      </c>
      <c r="F17" s="4">
        <v>45346</v>
      </c>
      <c r="G17" s="1" t="s">
        <v>21</v>
      </c>
      <c r="H17" s="1" t="s">
        <v>21</v>
      </c>
      <c r="I17" s="1" t="s">
        <v>21</v>
      </c>
      <c r="J17" s="1" t="s">
        <v>21</v>
      </c>
      <c r="K17" s="1" t="s">
        <v>21</v>
      </c>
      <c r="L17" s="1" t="s">
        <v>21</v>
      </c>
      <c r="M17" s="1" t="s">
        <v>21</v>
      </c>
      <c r="N17" s="1" t="s">
        <v>21</v>
      </c>
      <c r="O17" s="35" t="s">
        <v>21</v>
      </c>
      <c r="P17" s="35">
        <v>90</v>
      </c>
      <c r="Q17" s="35">
        <v>90</v>
      </c>
      <c r="T17" s="1" t="s">
        <v>21</v>
      </c>
      <c r="V17" s="1" t="s">
        <v>23</v>
      </c>
    </row>
    <row r="18" spans="1:22" x14ac:dyDescent="0.2">
      <c r="A18" s="1">
        <v>2</v>
      </c>
      <c r="B18" s="35" t="s">
        <v>801</v>
      </c>
      <c r="C18" s="1" t="s">
        <v>778</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35">
        <v>2</v>
      </c>
      <c r="P18" s="35">
        <v>90</v>
      </c>
      <c r="Q18" s="35">
        <v>90</v>
      </c>
      <c r="R18" s="1">
        <v>57.4</v>
      </c>
      <c r="T18" s="1">
        <v>0</v>
      </c>
      <c r="V18" s="1" t="s">
        <v>29</v>
      </c>
    </row>
    <row r="19" spans="1:22" x14ac:dyDescent="0.2">
      <c r="A19" s="1">
        <v>2</v>
      </c>
      <c r="B19" s="35" t="s">
        <v>801</v>
      </c>
      <c r="C19" s="1" t="s">
        <v>778</v>
      </c>
      <c r="D19" s="1" t="s">
        <v>21</v>
      </c>
      <c r="E19" s="1" t="s">
        <v>21</v>
      </c>
      <c r="F19" s="4">
        <v>45347</v>
      </c>
      <c r="G19" s="1" t="s">
        <v>21</v>
      </c>
      <c r="H19" s="1" t="s">
        <v>21</v>
      </c>
      <c r="I19" s="1" t="s">
        <v>21</v>
      </c>
      <c r="J19" s="1" t="s">
        <v>21</v>
      </c>
      <c r="K19" s="1" t="s">
        <v>21</v>
      </c>
      <c r="L19" s="1" t="s">
        <v>21</v>
      </c>
      <c r="M19" s="1" t="s">
        <v>21</v>
      </c>
      <c r="N19" s="1" t="s">
        <v>21</v>
      </c>
      <c r="O19" s="35" t="s">
        <v>21</v>
      </c>
      <c r="P19" s="35">
        <v>90</v>
      </c>
      <c r="Q19" s="35">
        <v>90</v>
      </c>
      <c r="R19" s="1">
        <v>57.4</v>
      </c>
      <c r="T19" s="1" t="s">
        <v>21</v>
      </c>
      <c r="V19" s="1" t="s">
        <v>210</v>
      </c>
    </row>
    <row r="20" spans="1:22" x14ac:dyDescent="0.2">
      <c r="A20" s="1">
        <v>2</v>
      </c>
      <c r="B20" s="35" t="s">
        <v>801</v>
      </c>
      <c r="C20" s="1" t="s">
        <v>778</v>
      </c>
      <c r="D20" s="1">
        <v>1</v>
      </c>
      <c r="E20" s="1" t="s">
        <v>48</v>
      </c>
      <c r="F20" s="4">
        <v>45348</v>
      </c>
      <c r="G20" s="1" t="s">
        <v>21</v>
      </c>
      <c r="H20" s="3">
        <f>K20 + J20</f>
        <v>0.25278935185185186</v>
      </c>
      <c r="I20" s="1" t="s">
        <v>21</v>
      </c>
      <c r="J20" s="3">
        <v>2.3796296296296298E-2</v>
      </c>
      <c r="K20" s="3">
        <v>0.22899305555555557</v>
      </c>
      <c r="L20" s="1" t="s">
        <v>8</v>
      </c>
      <c r="M20" s="1" t="s">
        <v>7</v>
      </c>
      <c r="N20" s="1">
        <v>1</v>
      </c>
      <c r="O20" s="35">
        <v>3</v>
      </c>
      <c r="P20" s="35">
        <v>90</v>
      </c>
      <c r="Q20" s="35">
        <v>90</v>
      </c>
      <c r="R20" s="1">
        <v>57.4</v>
      </c>
      <c r="T20" s="1">
        <v>1</v>
      </c>
      <c r="V20" s="1" t="s">
        <v>28</v>
      </c>
    </row>
    <row r="21" spans="1:22" x14ac:dyDescent="0.2">
      <c r="A21" s="1">
        <v>2</v>
      </c>
      <c r="B21" s="35" t="s">
        <v>801</v>
      </c>
      <c r="C21" s="1" t="s">
        <v>778</v>
      </c>
      <c r="D21" s="1">
        <v>2</v>
      </c>
      <c r="E21" s="1" t="s">
        <v>48</v>
      </c>
      <c r="F21" s="4">
        <v>45348</v>
      </c>
      <c r="G21" s="3">
        <f t="shared" ref="G21:G27" si="2">$K21 + $I21</f>
        <v>0.25950231481481484</v>
      </c>
      <c r="H21" s="3">
        <f>K21 + J21</f>
        <v>0.26979166666666671</v>
      </c>
      <c r="I21" s="3">
        <v>3.050925925925926E-2</v>
      </c>
      <c r="J21" s="3">
        <v>4.0798611111111112E-2</v>
      </c>
      <c r="K21" s="3">
        <v>0.22899305555555557</v>
      </c>
      <c r="L21" s="1" t="s">
        <v>7</v>
      </c>
      <c r="M21" s="1" t="s">
        <v>7</v>
      </c>
      <c r="N21" s="1">
        <v>3</v>
      </c>
      <c r="O21" s="35">
        <v>3</v>
      </c>
      <c r="P21" s="35">
        <v>90</v>
      </c>
      <c r="Q21" s="35">
        <v>90</v>
      </c>
      <c r="R21" s="1">
        <v>57.4</v>
      </c>
      <c r="T21" s="1">
        <v>0</v>
      </c>
      <c r="V21" s="1" t="s">
        <v>30</v>
      </c>
    </row>
    <row r="22" spans="1:22" x14ac:dyDescent="0.2">
      <c r="A22" s="1">
        <v>2</v>
      </c>
      <c r="B22" s="35" t="s">
        <v>801</v>
      </c>
      <c r="C22" s="1" t="s">
        <v>778</v>
      </c>
      <c r="D22" s="1">
        <v>3</v>
      </c>
      <c r="E22" s="1" t="s">
        <v>48</v>
      </c>
      <c r="F22" s="4">
        <v>45348</v>
      </c>
      <c r="G22" s="3">
        <f t="shared" si="2"/>
        <v>0.27209490740740744</v>
      </c>
      <c r="H22" s="3"/>
      <c r="I22" s="3">
        <v>4.3101851851851856E-2</v>
      </c>
      <c r="K22" s="3">
        <v>0.22899305555555557</v>
      </c>
      <c r="L22" s="1" t="s">
        <v>7</v>
      </c>
      <c r="M22" s="1" t="s">
        <v>7</v>
      </c>
      <c r="N22" s="1">
        <v>3</v>
      </c>
      <c r="O22" s="35">
        <v>3</v>
      </c>
      <c r="P22" s="35">
        <v>90</v>
      </c>
      <c r="Q22" s="35">
        <v>90</v>
      </c>
      <c r="R22" s="1">
        <v>57.4</v>
      </c>
      <c r="T22" s="1">
        <v>0</v>
      </c>
      <c r="V22" s="1" t="s">
        <v>29</v>
      </c>
    </row>
    <row r="23" spans="1:22" x14ac:dyDescent="0.2">
      <c r="A23" s="1">
        <v>2</v>
      </c>
      <c r="B23" s="35" t="s">
        <v>802</v>
      </c>
      <c r="C23" s="1" t="s">
        <v>778</v>
      </c>
      <c r="D23" s="1">
        <v>1</v>
      </c>
      <c r="E23" s="1" t="s">
        <v>49</v>
      </c>
      <c r="F23" s="4">
        <v>45348</v>
      </c>
      <c r="G23" s="3">
        <f t="shared" si="2"/>
        <v>0.77689814814814817</v>
      </c>
      <c r="H23" s="3">
        <f>K23 + J23</f>
        <v>0.7869560185185186</v>
      </c>
      <c r="I23" s="3">
        <v>1.9652777777777779E-2</v>
      </c>
      <c r="J23" s="3">
        <v>2.9710648148148149E-2</v>
      </c>
      <c r="K23" s="3">
        <v>0.75724537037037043</v>
      </c>
      <c r="L23" s="1" t="s">
        <v>7</v>
      </c>
      <c r="M23" s="1" t="s">
        <v>8</v>
      </c>
      <c r="N23" s="1">
        <v>1</v>
      </c>
      <c r="O23" s="35">
        <v>1</v>
      </c>
      <c r="P23" s="35">
        <v>90</v>
      </c>
      <c r="Q23" s="35">
        <v>90</v>
      </c>
      <c r="R23" s="1">
        <v>57.4</v>
      </c>
      <c r="T23" s="1">
        <v>1</v>
      </c>
    </row>
    <row r="24" spans="1:22" x14ac:dyDescent="0.2">
      <c r="A24" s="1">
        <v>2</v>
      </c>
      <c r="B24" s="35" t="s">
        <v>803</v>
      </c>
      <c r="C24" s="1" t="s">
        <v>778</v>
      </c>
      <c r="D24" s="1">
        <v>1</v>
      </c>
      <c r="E24" s="1" t="s">
        <v>25</v>
      </c>
      <c r="F24" s="4">
        <v>45349</v>
      </c>
      <c r="G24" s="3">
        <f t="shared" si="2"/>
        <v>0.78194444444444444</v>
      </c>
      <c r="H24" s="3">
        <f>K24 + J24</f>
        <v>0.78376157407407399</v>
      </c>
      <c r="I24" s="3">
        <v>2.3530092592592592E-2</v>
      </c>
      <c r="J24" s="3">
        <v>2.5347222222222219E-2</v>
      </c>
      <c r="K24" s="3">
        <v>0.7584143518518518</v>
      </c>
      <c r="L24" s="1" t="s">
        <v>8</v>
      </c>
      <c r="M24" s="1" t="s">
        <v>8</v>
      </c>
      <c r="N24" s="1">
        <v>1</v>
      </c>
      <c r="O24" s="35">
        <v>1</v>
      </c>
      <c r="P24" s="35">
        <v>90</v>
      </c>
      <c r="Q24" s="35">
        <v>90</v>
      </c>
      <c r="R24" s="1">
        <v>57.4</v>
      </c>
      <c r="T24" s="1">
        <v>1</v>
      </c>
      <c r="V24" s="1" t="s">
        <v>50</v>
      </c>
    </row>
    <row r="25" spans="1:22" x14ac:dyDescent="0.2">
      <c r="A25" s="1">
        <v>2</v>
      </c>
      <c r="B25" s="35" t="s">
        <v>802</v>
      </c>
      <c r="C25" s="1" t="s">
        <v>778</v>
      </c>
      <c r="D25" s="1">
        <v>1</v>
      </c>
      <c r="E25" s="1" t="s">
        <v>51</v>
      </c>
      <c r="F25" s="4">
        <v>45349</v>
      </c>
      <c r="G25" s="3">
        <f t="shared" si="2"/>
        <v>0.24712962962962962</v>
      </c>
      <c r="H25" s="3">
        <f>K25 + J25</f>
        <v>0.2646412037037037</v>
      </c>
      <c r="I25" s="3">
        <v>2.4398148148148145E-2</v>
      </c>
      <c r="J25" s="3">
        <v>4.1909722222222223E-2</v>
      </c>
      <c r="K25" s="3">
        <v>0.22273148148148147</v>
      </c>
      <c r="L25" s="1" t="s">
        <v>8</v>
      </c>
      <c r="M25" s="1" t="s">
        <v>7</v>
      </c>
      <c r="N25" s="1">
        <v>1</v>
      </c>
      <c r="O25" s="35">
        <v>2</v>
      </c>
      <c r="P25" s="35">
        <v>90</v>
      </c>
      <c r="Q25" s="35">
        <v>90</v>
      </c>
      <c r="R25" s="1">
        <v>57.4</v>
      </c>
      <c r="T25" s="1">
        <v>1</v>
      </c>
    </row>
    <row r="26" spans="1:22" x14ac:dyDescent="0.2">
      <c r="A26" s="1">
        <v>2</v>
      </c>
      <c r="B26" s="35" t="s">
        <v>802</v>
      </c>
      <c r="C26" s="1" t="s">
        <v>778</v>
      </c>
      <c r="D26" s="1">
        <v>2</v>
      </c>
      <c r="E26" s="1" t="s">
        <v>51</v>
      </c>
      <c r="F26" s="4">
        <v>45349</v>
      </c>
      <c r="G26" s="3">
        <f t="shared" si="2"/>
        <v>0.26</v>
      </c>
      <c r="H26" s="3">
        <f>K26 + J26</f>
        <v>0.26913194444444444</v>
      </c>
      <c r="I26" s="3">
        <v>3.7268518518518513E-2</v>
      </c>
      <c r="J26" s="3">
        <v>4.6400462962962963E-2</v>
      </c>
      <c r="K26" s="3">
        <v>0.22273148148148147</v>
      </c>
      <c r="L26" s="1" t="s">
        <v>7</v>
      </c>
      <c r="M26" s="1" t="s">
        <v>8</v>
      </c>
      <c r="N26" s="1">
        <v>2</v>
      </c>
      <c r="O26" s="35">
        <v>2</v>
      </c>
      <c r="P26" s="35">
        <v>90</v>
      </c>
      <c r="Q26" s="35">
        <v>90</v>
      </c>
      <c r="R26" s="1">
        <v>57.4</v>
      </c>
      <c r="T26" s="1">
        <v>0</v>
      </c>
    </row>
    <row r="27" spans="1:22" x14ac:dyDescent="0.2">
      <c r="A27" s="1">
        <v>2</v>
      </c>
      <c r="B27" s="35" t="s">
        <v>803</v>
      </c>
      <c r="C27" s="1" t="s">
        <v>778</v>
      </c>
      <c r="D27" s="1">
        <v>1</v>
      </c>
      <c r="E27" s="1" t="s">
        <v>37</v>
      </c>
      <c r="F27" s="4">
        <v>45350</v>
      </c>
      <c r="G27" s="3">
        <f t="shared" si="2"/>
        <v>0.24881944444444443</v>
      </c>
      <c r="H27" s="3">
        <f>K27 + J27</f>
        <v>0.25624999999999998</v>
      </c>
      <c r="I27" s="3">
        <v>1.3611111111111114E-2</v>
      </c>
      <c r="J27" s="3">
        <v>2.1041666666666667E-2</v>
      </c>
      <c r="K27" s="3">
        <v>0.23520833333333332</v>
      </c>
      <c r="L27" s="1" t="s">
        <v>8</v>
      </c>
      <c r="M27" s="1" t="s">
        <v>8</v>
      </c>
      <c r="N27" s="1">
        <v>1</v>
      </c>
      <c r="O27" s="35">
        <v>1</v>
      </c>
      <c r="P27" s="35">
        <v>90</v>
      </c>
      <c r="Q27" s="35">
        <v>90</v>
      </c>
      <c r="R27" s="1">
        <v>57.4</v>
      </c>
      <c r="T27" s="1">
        <v>1</v>
      </c>
      <c r="V27" s="1" t="s">
        <v>38</v>
      </c>
    </row>
    <row r="28" spans="1:22" x14ac:dyDescent="0.2">
      <c r="A28" s="1">
        <v>2</v>
      </c>
      <c r="B28" s="35" t="s">
        <v>803</v>
      </c>
      <c r="C28" s="1" t="s">
        <v>778</v>
      </c>
      <c r="D28" s="1" t="s">
        <v>21</v>
      </c>
      <c r="E28" s="1" t="s">
        <v>33</v>
      </c>
      <c r="F28" s="4">
        <v>45350</v>
      </c>
      <c r="G28" s="1" t="s">
        <v>21</v>
      </c>
      <c r="H28" s="1" t="s">
        <v>21</v>
      </c>
      <c r="I28" s="1" t="s">
        <v>21</v>
      </c>
      <c r="J28" s="1" t="s">
        <v>21</v>
      </c>
      <c r="K28" s="3">
        <v>0.76768518518518514</v>
      </c>
      <c r="L28" s="1" t="s">
        <v>21</v>
      </c>
      <c r="M28" s="1" t="s">
        <v>21</v>
      </c>
      <c r="N28" s="1" t="s">
        <v>21</v>
      </c>
      <c r="O28" s="35" t="s">
        <v>21</v>
      </c>
      <c r="P28" s="35">
        <v>90</v>
      </c>
      <c r="Q28" s="35">
        <v>90</v>
      </c>
      <c r="R28" s="1">
        <v>57.4</v>
      </c>
      <c r="T28" s="1" t="s">
        <v>21</v>
      </c>
      <c r="V28" s="1" t="s">
        <v>59</v>
      </c>
    </row>
    <row r="29" spans="1:22" x14ac:dyDescent="0.2">
      <c r="A29" s="1">
        <v>2</v>
      </c>
      <c r="B29" s="35" t="s">
        <v>804</v>
      </c>
      <c r="C29" s="1" t="s">
        <v>778</v>
      </c>
      <c r="D29" s="1" t="s">
        <v>21</v>
      </c>
      <c r="E29" s="1" t="s">
        <v>21</v>
      </c>
      <c r="F29" s="4">
        <v>45351</v>
      </c>
      <c r="G29" s="1" t="s">
        <v>21</v>
      </c>
      <c r="H29" s="1" t="s">
        <v>21</v>
      </c>
      <c r="I29" s="1" t="s">
        <v>209</v>
      </c>
      <c r="J29" s="1" t="s">
        <v>21</v>
      </c>
      <c r="K29" s="1" t="s">
        <v>21</v>
      </c>
      <c r="L29" s="1" t="s">
        <v>21</v>
      </c>
      <c r="M29" s="1" t="s">
        <v>21</v>
      </c>
      <c r="N29" s="1" t="s">
        <v>21</v>
      </c>
      <c r="O29" s="35" t="s">
        <v>21</v>
      </c>
      <c r="P29" s="35">
        <v>90</v>
      </c>
      <c r="Q29" s="35">
        <v>90</v>
      </c>
      <c r="R29" s="1">
        <v>57.4</v>
      </c>
      <c r="T29" s="1" t="s">
        <v>21</v>
      </c>
      <c r="V29" s="1" t="s">
        <v>208</v>
      </c>
    </row>
    <row r="30" spans="1:22" x14ac:dyDescent="0.2">
      <c r="A30" s="1">
        <v>2</v>
      </c>
      <c r="B30" s="35" t="s">
        <v>805</v>
      </c>
      <c r="C30" s="1" t="s">
        <v>778</v>
      </c>
      <c r="D30" s="1">
        <v>1</v>
      </c>
      <c r="E30" s="1" t="s">
        <v>45</v>
      </c>
      <c r="F30" s="4">
        <v>45351</v>
      </c>
      <c r="G30" s="3">
        <f>$K30 + $I30</f>
        <v>0.76180555555555551</v>
      </c>
      <c r="H30" s="1" t="s">
        <v>21</v>
      </c>
      <c r="I30" s="3">
        <v>9.8263888888888897E-3</v>
      </c>
      <c r="J30" s="1" t="s">
        <v>21</v>
      </c>
      <c r="K30" s="3">
        <v>0.75197916666666664</v>
      </c>
      <c r="L30" s="1" t="s">
        <v>54</v>
      </c>
      <c r="M30" s="1" t="s">
        <v>54</v>
      </c>
      <c r="N30" s="1">
        <v>1</v>
      </c>
      <c r="O30" s="35">
        <v>1</v>
      </c>
      <c r="P30" s="35">
        <v>90</v>
      </c>
      <c r="Q30" s="35">
        <v>90</v>
      </c>
      <c r="R30" s="1">
        <v>57.4</v>
      </c>
      <c r="T30" s="1" t="s">
        <v>21</v>
      </c>
      <c r="V30" s="1" t="s">
        <v>61</v>
      </c>
    </row>
    <row r="31" spans="1:22" x14ac:dyDescent="0.2">
      <c r="A31" s="1">
        <v>2</v>
      </c>
      <c r="B31" s="35" t="s">
        <v>781</v>
      </c>
      <c r="C31" s="1" t="s">
        <v>778</v>
      </c>
      <c r="D31" s="1">
        <v>1</v>
      </c>
      <c r="E31" s="1" t="s">
        <v>60</v>
      </c>
      <c r="F31" s="4">
        <v>45352</v>
      </c>
      <c r="G31" s="1" t="s">
        <v>21</v>
      </c>
      <c r="H31" s="1" t="s">
        <v>21</v>
      </c>
      <c r="I31" s="3">
        <v>3.7627314814814815E-2</v>
      </c>
      <c r="J31" s="1" t="s">
        <v>21</v>
      </c>
      <c r="K31" s="3">
        <v>3.3032407407407406E-2</v>
      </c>
      <c r="L31" s="1" t="s">
        <v>54</v>
      </c>
      <c r="M31" s="1" t="s">
        <v>54</v>
      </c>
      <c r="N31" s="1">
        <v>1</v>
      </c>
      <c r="O31" s="35">
        <v>1</v>
      </c>
      <c r="P31" s="35">
        <v>90</v>
      </c>
      <c r="Q31" s="35">
        <v>90</v>
      </c>
      <c r="R31" s="1">
        <v>57.4</v>
      </c>
      <c r="T31" s="1" t="s">
        <v>21</v>
      </c>
      <c r="V31" s="1" t="s">
        <v>62</v>
      </c>
    </row>
    <row r="32" spans="1:22" x14ac:dyDescent="0.2">
      <c r="A32" s="1">
        <v>2</v>
      </c>
      <c r="B32" s="35" t="s">
        <v>781</v>
      </c>
      <c r="C32" s="1" t="s">
        <v>778</v>
      </c>
      <c r="D32" s="1">
        <v>1</v>
      </c>
      <c r="E32" s="1" t="s">
        <v>39</v>
      </c>
      <c r="F32" s="4">
        <v>45352</v>
      </c>
      <c r="G32" s="3">
        <f>$K32 + $I32</f>
        <v>0.77500000000000002</v>
      </c>
      <c r="H32" s="3">
        <f>K32 + J32</f>
        <v>0.78471064814814817</v>
      </c>
      <c r="I32" s="3">
        <v>2.6944444444444441E-2</v>
      </c>
      <c r="J32" s="3">
        <v>3.6655092592592593E-2</v>
      </c>
      <c r="K32" s="3">
        <v>0.74805555555555558</v>
      </c>
      <c r="L32" s="1" t="s">
        <v>7</v>
      </c>
      <c r="M32" s="1" t="s">
        <v>7</v>
      </c>
      <c r="N32" s="1">
        <v>1</v>
      </c>
      <c r="O32" s="35">
        <v>1</v>
      </c>
      <c r="P32" s="35">
        <v>90</v>
      </c>
      <c r="Q32" s="35">
        <v>90</v>
      </c>
      <c r="R32" s="1">
        <v>57.4</v>
      </c>
      <c r="S32" s="1">
        <v>57.4</v>
      </c>
      <c r="T32" s="1">
        <v>1</v>
      </c>
      <c r="V32" s="1" t="s">
        <v>67</v>
      </c>
    </row>
    <row r="33" spans="1:22" x14ac:dyDescent="0.2">
      <c r="A33" s="1">
        <v>2</v>
      </c>
      <c r="B33" s="35" t="s">
        <v>781</v>
      </c>
      <c r="C33" s="1" t="s">
        <v>778</v>
      </c>
      <c r="D33" s="1" t="s">
        <v>21</v>
      </c>
      <c r="E33" s="1" t="s">
        <v>21</v>
      </c>
      <c r="F33" s="4">
        <v>45352</v>
      </c>
      <c r="G33" s="3" t="s">
        <v>21</v>
      </c>
      <c r="H33" s="3" t="s">
        <v>21</v>
      </c>
      <c r="I33" s="3" t="s">
        <v>21</v>
      </c>
      <c r="J33" s="3" t="s">
        <v>21</v>
      </c>
      <c r="K33" s="3" t="s">
        <v>21</v>
      </c>
      <c r="L33" s="1" t="s">
        <v>21</v>
      </c>
      <c r="M33" s="1" t="s">
        <v>21</v>
      </c>
      <c r="N33" s="1" t="s">
        <v>21</v>
      </c>
      <c r="O33" s="35" t="s">
        <v>21</v>
      </c>
      <c r="P33" s="35">
        <v>90</v>
      </c>
      <c r="Q33" s="35">
        <v>90</v>
      </c>
      <c r="R33" s="1" t="s">
        <v>21</v>
      </c>
      <c r="S33" s="1" t="s">
        <v>21</v>
      </c>
      <c r="T33" s="1" t="s">
        <v>21</v>
      </c>
      <c r="V33" s="1" t="s">
        <v>363</v>
      </c>
    </row>
    <row r="34" spans="1:22" x14ac:dyDescent="0.2">
      <c r="A34" s="1">
        <v>2</v>
      </c>
      <c r="B34" s="35" t="s">
        <v>781</v>
      </c>
      <c r="C34" s="1" t="s">
        <v>778</v>
      </c>
      <c r="D34" s="1">
        <v>1</v>
      </c>
      <c r="E34" s="1" t="s">
        <v>104</v>
      </c>
      <c r="F34" s="4">
        <v>45353</v>
      </c>
      <c r="G34" s="3">
        <f>$K34 + $I34</f>
        <v>0.25483796296296296</v>
      </c>
      <c r="H34" s="1" t="s">
        <v>21</v>
      </c>
      <c r="I34" s="3">
        <v>3.425925925925926E-2</v>
      </c>
      <c r="J34" s="1" t="s">
        <v>21</v>
      </c>
      <c r="K34" s="3">
        <v>0.22057870370370369</v>
      </c>
      <c r="L34" s="1" t="s">
        <v>8</v>
      </c>
      <c r="M34" s="1" t="s">
        <v>8</v>
      </c>
      <c r="N34" s="1">
        <v>1</v>
      </c>
      <c r="O34" s="35">
        <v>1</v>
      </c>
      <c r="P34" s="35">
        <v>90</v>
      </c>
      <c r="Q34" s="35">
        <v>90</v>
      </c>
      <c r="R34" s="1">
        <v>57.4</v>
      </c>
      <c r="S34" s="1">
        <v>57.4</v>
      </c>
      <c r="T34" s="1" t="s">
        <v>21</v>
      </c>
      <c r="V34" s="1" t="s">
        <v>71</v>
      </c>
    </row>
    <row r="35" spans="1:22" x14ac:dyDescent="0.2">
      <c r="A35" s="1">
        <v>2</v>
      </c>
      <c r="B35" s="35" t="s">
        <v>781</v>
      </c>
      <c r="C35" s="1" t="s">
        <v>778</v>
      </c>
      <c r="D35" s="1">
        <v>1</v>
      </c>
      <c r="E35" s="1" t="s">
        <v>55</v>
      </c>
      <c r="F35" s="4">
        <v>45353</v>
      </c>
      <c r="G35" s="3">
        <f>$K35 + $I35</f>
        <v>0.7750462962962964</v>
      </c>
      <c r="H35" s="1" t="s">
        <v>21</v>
      </c>
      <c r="I35" s="3">
        <v>2.630787037037037E-2</v>
      </c>
      <c r="J35" s="1" t="s">
        <v>21</v>
      </c>
      <c r="K35" s="3">
        <v>0.74873842592592599</v>
      </c>
      <c r="L35" s="1" t="s">
        <v>7</v>
      </c>
      <c r="M35" s="1" t="s">
        <v>21</v>
      </c>
      <c r="N35" s="1">
        <v>3</v>
      </c>
      <c r="O35" s="35" t="s">
        <v>21</v>
      </c>
      <c r="P35" s="35">
        <v>90</v>
      </c>
      <c r="Q35" s="35">
        <v>90</v>
      </c>
      <c r="R35" s="1">
        <v>57.4</v>
      </c>
      <c r="S35" s="1" t="s">
        <v>21</v>
      </c>
      <c r="T35" s="1" t="s">
        <v>21</v>
      </c>
      <c r="V35" s="1" t="s">
        <v>358</v>
      </c>
    </row>
    <row r="36" spans="1:22" x14ac:dyDescent="0.2">
      <c r="A36" s="1">
        <v>2</v>
      </c>
      <c r="B36" s="35" t="s">
        <v>781</v>
      </c>
      <c r="C36" s="1" t="s">
        <v>778</v>
      </c>
      <c r="D36" s="1">
        <v>1</v>
      </c>
      <c r="E36" s="1" t="s">
        <v>57</v>
      </c>
      <c r="F36" s="4">
        <v>45354</v>
      </c>
      <c r="G36" s="3">
        <f>$K36 + $I36</f>
        <v>0.25199074074074074</v>
      </c>
      <c r="H36" s="1" t="s">
        <v>21</v>
      </c>
      <c r="I36" s="3">
        <v>3.0856481481481481E-2</v>
      </c>
      <c r="J36" s="1" t="s">
        <v>21</v>
      </c>
      <c r="K36" s="3">
        <v>0.22113425925925925</v>
      </c>
      <c r="L36" s="1" t="s">
        <v>7</v>
      </c>
      <c r="M36" s="1" t="s">
        <v>21</v>
      </c>
      <c r="N36" s="1">
        <v>3</v>
      </c>
      <c r="O36" s="35" t="s">
        <v>21</v>
      </c>
      <c r="P36" s="35">
        <v>90</v>
      </c>
      <c r="Q36" s="35">
        <v>90</v>
      </c>
      <c r="R36" s="1">
        <v>57.4</v>
      </c>
      <c r="S36" s="1" t="s">
        <v>21</v>
      </c>
      <c r="T36" s="1" t="s">
        <v>77</v>
      </c>
      <c r="V36" s="1" t="s">
        <v>76</v>
      </c>
    </row>
    <row r="37" spans="1:22" x14ac:dyDescent="0.2">
      <c r="A37" s="1">
        <v>2</v>
      </c>
      <c r="B37" s="35" t="s">
        <v>781</v>
      </c>
      <c r="C37" s="1" t="s">
        <v>778</v>
      </c>
      <c r="D37" s="1">
        <v>1</v>
      </c>
      <c r="E37" s="1" t="s">
        <v>21</v>
      </c>
      <c r="F37" s="4">
        <v>45354</v>
      </c>
      <c r="G37" s="1" t="s">
        <v>21</v>
      </c>
      <c r="H37" s="1" t="s">
        <v>21</v>
      </c>
      <c r="I37" s="1" t="s">
        <v>21</v>
      </c>
      <c r="J37" s="1" t="s">
        <v>21</v>
      </c>
      <c r="K37" s="3">
        <v>0.75247685185185187</v>
      </c>
      <c r="L37" s="1" t="s">
        <v>21</v>
      </c>
      <c r="M37" s="1" t="s">
        <v>21</v>
      </c>
      <c r="N37" s="1" t="s">
        <v>21</v>
      </c>
      <c r="O37" s="35" t="s">
        <v>21</v>
      </c>
      <c r="P37" s="35">
        <v>90</v>
      </c>
      <c r="Q37" s="35">
        <v>90</v>
      </c>
      <c r="R37" s="1" t="s">
        <v>21</v>
      </c>
      <c r="S37" s="1" t="s">
        <v>21</v>
      </c>
      <c r="T37" s="1" t="s">
        <v>21</v>
      </c>
      <c r="V37" s="1" t="s">
        <v>267</v>
      </c>
    </row>
    <row r="38" spans="1:22" x14ac:dyDescent="0.2">
      <c r="A38" s="1">
        <v>2</v>
      </c>
      <c r="B38" s="35" t="s">
        <v>781</v>
      </c>
      <c r="C38" s="1" t="s">
        <v>778</v>
      </c>
      <c r="D38" s="1">
        <v>1</v>
      </c>
      <c r="E38" s="1" t="s">
        <v>70</v>
      </c>
      <c r="F38" s="4">
        <v>45355</v>
      </c>
      <c r="G38" s="3">
        <f>$K38 + $I38</f>
        <v>0.25550925925925927</v>
      </c>
      <c r="H38" s="3">
        <f>K38 + J38</f>
        <v>0.2673726851851852</v>
      </c>
      <c r="I38" s="3">
        <v>2.7418981481481485E-2</v>
      </c>
      <c r="J38" s="3">
        <v>3.9282407407407412E-2</v>
      </c>
      <c r="K38" s="3">
        <v>0.22809027777777779</v>
      </c>
      <c r="L38" s="1" t="s">
        <v>54</v>
      </c>
      <c r="M38" s="1" t="s">
        <v>54</v>
      </c>
      <c r="N38" s="1">
        <v>1</v>
      </c>
      <c r="O38" s="35">
        <v>1</v>
      </c>
      <c r="P38" s="35">
        <v>90</v>
      </c>
      <c r="Q38" s="35">
        <v>90</v>
      </c>
      <c r="R38" s="1">
        <v>57.4</v>
      </c>
      <c r="S38" s="1">
        <v>57.4</v>
      </c>
      <c r="T38" s="1">
        <v>1</v>
      </c>
      <c r="V38" s="1" t="s">
        <v>59</v>
      </c>
    </row>
    <row r="39" spans="1:22" x14ac:dyDescent="0.2">
      <c r="A39" s="1">
        <v>2</v>
      </c>
      <c r="B39" s="35" t="s">
        <v>781</v>
      </c>
      <c r="C39" s="1" t="s">
        <v>778</v>
      </c>
      <c r="D39" s="1">
        <v>1</v>
      </c>
      <c r="E39" s="1" t="s">
        <v>75</v>
      </c>
      <c r="F39" s="4">
        <v>45355</v>
      </c>
      <c r="G39" s="3">
        <f>$K39 + $I39</f>
        <v>0.77776620370370364</v>
      </c>
      <c r="H39" s="3">
        <f>K39 + J39</f>
        <v>0.78221064814814811</v>
      </c>
      <c r="I39" s="3">
        <v>3.5173611111111107E-2</v>
      </c>
      <c r="J39" s="3">
        <v>3.9618055555555552E-2</v>
      </c>
      <c r="K39" s="3">
        <v>0.74259259259259258</v>
      </c>
      <c r="L39" s="1" t="s">
        <v>7</v>
      </c>
      <c r="M39" s="1" t="s">
        <v>7</v>
      </c>
      <c r="N39" s="1">
        <v>1</v>
      </c>
      <c r="O39" s="35">
        <v>1</v>
      </c>
      <c r="P39" s="35">
        <v>90</v>
      </c>
      <c r="Q39" s="35">
        <v>90</v>
      </c>
      <c r="R39" s="1">
        <v>57.4</v>
      </c>
      <c r="S39" s="1">
        <v>57.4</v>
      </c>
      <c r="T39" s="1">
        <v>1</v>
      </c>
      <c r="V39" s="1" t="s">
        <v>88</v>
      </c>
    </row>
    <row r="40" spans="1:22" x14ac:dyDescent="0.2">
      <c r="A40" s="1">
        <v>2</v>
      </c>
      <c r="B40" s="35" t="s">
        <v>781</v>
      </c>
      <c r="C40" s="1" t="s">
        <v>778</v>
      </c>
      <c r="D40" s="1">
        <v>1</v>
      </c>
      <c r="E40" s="1" t="s">
        <v>86</v>
      </c>
      <c r="F40" s="4">
        <v>45356</v>
      </c>
      <c r="G40" s="3">
        <f>$K40 + $I40</f>
        <v>0.25243055555555555</v>
      </c>
      <c r="H40" s="3">
        <f>K40 + J40</f>
        <v>0.27211805555555557</v>
      </c>
      <c r="I40" s="3">
        <v>2.5289351851851851E-2</v>
      </c>
      <c r="J40" s="3">
        <v>4.4976851851851851E-2</v>
      </c>
      <c r="K40" s="3">
        <v>0.22714120370370372</v>
      </c>
      <c r="L40" s="1" t="s">
        <v>7</v>
      </c>
      <c r="M40" s="1" t="s">
        <v>7</v>
      </c>
      <c r="N40" s="1">
        <v>3</v>
      </c>
      <c r="O40" s="35">
        <v>3</v>
      </c>
      <c r="P40" s="35">
        <v>90</v>
      </c>
      <c r="Q40" s="35">
        <v>90</v>
      </c>
      <c r="R40" s="1">
        <v>57.4</v>
      </c>
      <c r="S40" s="1">
        <v>57.4</v>
      </c>
      <c r="T40" s="1">
        <v>1</v>
      </c>
      <c r="V40" s="1" t="s">
        <v>87</v>
      </c>
    </row>
    <row r="41" spans="1:22" x14ac:dyDescent="0.2">
      <c r="A41" s="1">
        <v>2</v>
      </c>
      <c r="B41" s="35" t="s">
        <v>781</v>
      </c>
      <c r="C41" s="1" t="s">
        <v>778</v>
      </c>
      <c r="D41" s="1">
        <v>1</v>
      </c>
      <c r="E41" s="1" t="s">
        <v>102</v>
      </c>
      <c r="F41" s="4">
        <v>45356</v>
      </c>
      <c r="G41" s="3">
        <f>I41+K41</f>
        <v>0.77293981481481489</v>
      </c>
      <c r="H41" s="3">
        <f>K41 + J41</f>
        <v>0.77976851851851858</v>
      </c>
      <c r="I41" s="3">
        <v>1.5636574074074074E-2</v>
      </c>
      <c r="J41" s="3">
        <v>2.2465277777777778E-2</v>
      </c>
      <c r="K41" s="3">
        <v>0.75730324074074085</v>
      </c>
      <c r="L41" s="1" t="s">
        <v>8</v>
      </c>
      <c r="M41" s="1" t="s">
        <v>8</v>
      </c>
      <c r="N41" s="1">
        <v>3</v>
      </c>
      <c r="O41" s="35">
        <v>3</v>
      </c>
      <c r="P41" s="35">
        <v>90</v>
      </c>
      <c r="Q41" s="35">
        <v>90</v>
      </c>
      <c r="R41" s="1">
        <v>57.4</v>
      </c>
      <c r="S41" s="1">
        <v>57.4</v>
      </c>
      <c r="T41" s="1">
        <v>0</v>
      </c>
    </row>
    <row r="42" spans="1:22" x14ac:dyDescent="0.2">
      <c r="A42" s="1">
        <v>2</v>
      </c>
      <c r="B42" s="35" t="s">
        <v>781</v>
      </c>
      <c r="C42" s="1" t="s">
        <v>778</v>
      </c>
      <c r="D42" s="1">
        <v>1</v>
      </c>
      <c r="E42" s="1" t="s">
        <v>97</v>
      </c>
      <c r="F42" s="4">
        <v>45357</v>
      </c>
      <c r="G42" s="3">
        <f>I42+K42</f>
        <v>0.25534722222222223</v>
      </c>
      <c r="H42" s="3">
        <f>K42 + J42</f>
        <v>0.26189814814814816</v>
      </c>
      <c r="I42" s="3">
        <v>2.5740740740740745E-2</v>
      </c>
      <c r="J42" s="3">
        <v>3.229166666666667E-2</v>
      </c>
      <c r="K42" s="3">
        <v>0.22960648148148147</v>
      </c>
      <c r="L42" s="1" t="s">
        <v>8</v>
      </c>
      <c r="M42" s="1" t="s">
        <v>7</v>
      </c>
      <c r="N42" s="1">
        <v>3</v>
      </c>
      <c r="O42" s="35">
        <v>3</v>
      </c>
      <c r="P42" s="35">
        <v>90</v>
      </c>
      <c r="Q42" s="35">
        <v>90</v>
      </c>
      <c r="R42" s="1">
        <v>57.4</v>
      </c>
      <c r="S42" s="1">
        <v>57.4</v>
      </c>
      <c r="T42" s="1">
        <v>1</v>
      </c>
    </row>
    <row r="43" spans="1:22" x14ac:dyDescent="0.2">
      <c r="A43" s="1">
        <v>2</v>
      </c>
      <c r="B43" s="35" t="s">
        <v>781</v>
      </c>
      <c r="C43" s="1" t="s">
        <v>778</v>
      </c>
      <c r="D43" s="1" t="s">
        <v>21</v>
      </c>
      <c r="E43" s="1" t="s">
        <v>109</v>
      </c>
      <c r="F43" s="4">
        <v>45357</v>
      </c>
      <c r="G43" s="1" t="s">
        <v>21</v>
      </c>
      <c r="H43" s="1" t="s">
        <v>21</v>
      </c>
      <c r="I43" s="1" t="s">
        <v>21</v>
      </c>
      <c r="J43" s="1" t="s">
        <v>21</v>
      </c>
      <c r="K43" s="3">
        <v>0.74971064814814825</v>
      </c>
      <c r="L43" s="1" t="s">
        <v>7</v>
      </c>
      <c r="M43" s="1" t="s">
        <v>21</v>
      </c>
      <c r="N43" s="1">
        <v>3</v>
      </c>
      <c r="O43" s="35" t="s">
        <v>21</v>
      </c>
      <c r="P43" s="35">
        <v>90</v>
      </c>
      <c r="Q43" s="35">
        <v>90</v>
      </c>
      <c r="R43" s="1">
        <v>57.4</v>
      </c>
      <c r="S43" s="1" t="s">
        <v>21</v>
      </c>
      <c r="T43" s="1" t="s">
        <v>21</v>
      </c>
      <c r="V43" s="1" t="s">
        <v>110</v>
      </c>
    </row>
    <row r="44" spans="1:22" x14ac:dyDescent="0.2">
      <c r="A44" s="1">
        <v>2</v>
      </c>
      <c r="B44" s="35" t="s">
        <v>781</v>
      </c>
      <c r="C44" s="1" t="s">
        <v>778</v>
      </c>
      <c r="D44" s="1">
        <v>1</v>
      </c>
      <c r="E44" s="1" t="s">
        <v>82</v>
      </c>
      <c r="F44" s="4">
        <v>45358</v>
      </c>
      <c r="G44" s="3">
        <f>I44+K44</f>
        <v>0.26123842592592594</v>
      </c>
      <c r="H44" s="3">
        <f>K44 + J44</f>
        <v>0.26952546296296298</v>
      </c>
      <c r="I44" s="3">
        <v>4.2939814814814813E-2</v>
      </c>
      <c r="J44" s="3">
        <v>5.122685185185185E-2</v>
      </c>
      <c r="K44" s="3">
        <v>0.21829861111111112</v>
      </c>
      <c r="L44" s="1" t="s">
        <v>7</v>
      </c>
      <c r="M44" s="1" t="s">
        <v>8</v>
      </c>
      <c r="N44" s="1">
        <v>3</v>
      </c>
      <c r="O44" s="35">
        <v>3</v>
      </c>
      <c r="P44" s="35">
        <v>90</v>
      </c>
      <c r="Q44" s="35">
        <v>90</v>
      </c>
      <c r="R44" s="1">
        <v>57.4</v>
      </c>
      <c r="S44" s="1">
        <v>115.17</v>
      </c>
      <c r="T44" s="1">
        <v>0</v>
      </c>
    </row>
    <row r="45" spans="1:22" x14ac:dyDescent="0.2">
      <c r="A45" s="1">
        <v>2</v>
      </c>
      <c r="B45" s="35" t="s">
        <v>781</v>
      </c>
      <c r="C45" s="1" t="s">
        <v>778</v>
      </c>
      <c r="D45" s="1">
        <v>1</v>
      </c>
      <c r="E45" s="1" t="s">
        <v>93</v>
      </c>
      <c r="F45" s="4">
        <v>45358</v>
      </c>
      <c r="G45" s="3">
        <f>I45+K45</f>
        <v>0.77834490740740747</v>
      </c>
      <c r="H45" s="3">
        <f>K45 + J45</f>
        <v>0.78515046296296309</v>
      </c>
      <c r="I45" s="3">
        <v>2.4756944444444443E-2</v>
      </c>
      <c r="J45" s="3">
        <v>3.15625E-2</v>
      </c>
      <c r="K45" s="3">
        <v>0.75358796296296304</v>
      </c>
      <c r="L45" s="1" t="s">
        <v>8</v>
      </c>
      <c r="M45" s="1" t="s">
        <v>7</v>
      </c>
      <c r="N45" s="1">
        <v>3</v>
      </c>
      <c r="O45" s="35">
        <v>3</v>
      </c>
      <c r="P45" s="35">
        <v>90</v>
      </c>
      <c r="Q45" s="35">
        <v>90</v>
      </c>
      <c r="R45" s="1">
        <v>57.4</v>
      </c>
      <c r="S45" s="1">
        <v>57.4</v>
      </c>
      <c r="T45" s="1">
        <v>1</v>
      </c>
    </row>
    <row r="46" spans="1:22" x14ac:dyDescent="0.2">
      <c r="A46" s="1">
        <v>2</v>
      </c>
      <c r="B46" s="35" t="s">
        <v>781</v>
      </c>
      <c r="C46" s="1" t="s">
        <v>778</v>
      </c>
      <c r="D46" s="1">
        <v>1</v>
      </c>
      <c r="E46" s="1" t="s">
        <v>96</v>
      </c>
      <c r="F46" s="4">
        <v>45359</v>
      </c>
      <c r="G46" s="3">
        <f>I46+K46</f>
        <v>0.26239583333333333</v>
      </c>
      <c r="H46" s="3">
        <f>K46 + J46</f>
        <v>0.27240740740740743</v>
      </c>
      <c r="I46" s="3">
        <v>3.4699074074074077E-2</v>
      </c>
      <c r="J46" s="3">
        <v>4.4710648148148152E-2</v>
      </c>
      <c r="K46" s="3">
        <v>0.22769675925925925</v>
      </c>
      <c r="L46" s="1" t="s">
        <v>7</v>
      </c>
      <c r="M46" s="1" t="s">
        <v>8</v>
      </c>
      <c r="N46" s="1">
        <v>3</v>
      </c>
      <c r="O46" s="35">
        <v>3</v>
      </c>
      <c r="P46" s="35">
        <v>90</v>
      </c>
      <c r="Q46" s="35">
        <v>90</v>
      </c>
      <c r="R46" s="1">
        <v>57.4</v>
      </c>
      <c r="S46" s="1">
        <v>38.4</v>
      </c>
      <c r="T46" s="1">
        <v>0</v>
      </c>
    </row>
    <row r="47" spans="1:22" x14ac:dyDescent="0.2">
      <c r="A47" s="1">
        <v>2</v>
      </c>
      <c r="B47" s="35" t="s">
        <v>781</v>
      </c>
      <c r="C47" s="1" t="s">
        <v>778</v>
      </c>
      <c r="D47" s="1">
        <v>1</v>
      </c>
      <c r="E47" s="1" t="s">
        <v>107</v>
      </c>
      <c r="F47" s="4">
        <v>45359</v>
      </c>
      <c r="G47" s="3">
        <f>I47+K47</f>
        <v>0.76785879629629628</v>
      </c>
      <c r="H47" s="3">
        <f>K47 + J47</f>
        <v>0.78239583333333329</v>
      </c>
      <c r="I47" s="3">
        <v>1.5358796296296296E-2</v>
      </c>
      <c r="J47" s="3">
        <v>2.989583333333333E-2</v>
      </c>
      <c r="K47" s="3">
        <v>0.75249999999999995</v>
      </c>
      <c r="L47" s="1" t="s">
        <v>8</v>
      </c>
      <c r="M47" s="1" t="s">
        <v>7</v>
      </c>
      <c r="N47" s="1">
        <v>3</v>
      </c>
      <c r="O47" s="35">
        <v>3</v>
      </c>
      <c r="P47" s="35">
        <v>90</v>
      </c>
      <c r="Q47" s="35">
        <v>90</v>
      </c>
      <c r="R47" s="1">
        <v>57.4</v>
      </c>
      <c r="S47" s="1">
        <v>57.4</v>
      </c>
      <c r="T47" s="1">
        <v>0</v>
      </c>
      <c r="V47" s="1" t="s">
        <v>126</v>
      </c>
    </row>
    <row r="48" spans="1:22" x14ac:dyDescent="0.2">
      <c r="A48" s="1">
        <v>2</v>
      </c>
      <c r="B48" s="35" t="s">
        <v>781</v>
      </c>
      <c r="C48" s="1" t="s">
        <v>778</v>
      </c>
      <c r="D48" s="1" t="s">
        <v>21</v>
      </c>
      <c r="E48" s="1" t="s">
        <v>21</v>
      </c>
      <c r="F48" s="4">
        <v>45360</v>
      </c>
      <c r="G48" s="3" t="s">
        <v>21</v>
      </c>
      <c r="H48" s="3" t="s">
        <v>21</v>
      </c>
      <c r="I48" s="3" t="s">
        <v>21</v>
      </c>
      <c r="J48" s="3" t="s">
        <v>21</v>
      </c>
      <c r="K48" s="3" t="s">
        <v>21</v>
      </c>
      <c r="L48" s="1" t="s">
        <v>7</v>
      </c>
      <c r="M48" s="1" t="s">
        <v>7</v>
      </c>
      <c r="N48" s="1">
        <v>3</v>
      </c>
      <c r="O48" s="35">
        <v>3</v>
      </c>
      <c r="P48" s="35">
        <v>90</v>
      </c>
      <c r="Q48" s="35">
        <v>90</v>
      </c>
      <c r="R48" s="1">
        <v>57.4</v>
      </c>
      <c r="S48" s="1">
        <v>57.4</v>
      </c>
      <c r="T48" s="1" t="s">
        <v>21</v>
      </c>
      <c r="V48" s="1" t="s">
        <v>131</v>
      </c>
    </row>
    <row r="49" spans="1:23" x14ac:dyDescent="0.2">
      <c r="A49" s="1">
        <v>2</v>
      </c>
      <c r="B49" s="35" t="s">
        <v>781</v>
      </c>
      <c r="C49" s="1" t="s">
        <v>778</v>
      </c>
      <c r="D49" s="1">
        <v>1</v>
      </c>
      <c r="E49" s="1" t="s">
        <v>124</v>
      </c>
      <c r="F49" s="4">
        <v>45362</v>
      </c>
      <c r="G49" s="3">
        <f t="shared" ref="G49:G59" si="3">I49+K49</f>
        <v>0.77228009259259256</v>
      </c>
      <c r="H49" s="3">
        <f t="shared" ref="H49:H62" si="4">K49 + J49</f>
        <v>0.77763888888888888</v>
      </c>
      <c r="I49" s="3">
        <v>2.75E-2</v>
      </c>
      <c r="J49" s="3">
        <v>3.2858796296296296E-2</v>
      </c>
      <c r="K49" s="3">
        <v>0.74478009259259259</v>
      </c>
      <c r="L49" s="1" t="s">
        <v>8</v>
      </c>
      <c r="M49" s="1" t="s">
        <v>7</v>
      </c>
      <c r="N49" s="1">
        <v>3</v>
      </c>
      <c r="O49" s="35">
        <v>3</v>
      </c>
      <c r="P49" s="35">
        <v>90</v>
      </c>
      <c r="Q49" s="35">
        <v>90</v>
      </c>
      <c r="R49" s="1">
        <v>57.4</v>
      </c>
      <c r="S49" s="1">
        <v>38.4</v>
      </c>
      <c r="T49" s="1">
        <v>0</v>
      </c>
      <c r="V49" s="1" t="s">
        <v>125</v>
      </c>
    </row>
    <row r="50" spans="1:23" x14ac:dyDescent="0.2">
      <c r="A50" s="1">
        <v>2</v>
      </c>
      <c r="B50" s="35" t="s">
        <v>781</v>
      </c>
      <c r="C50" s="1" t="s">
        <v>778</v>
      </c>
      <c r="D50" s="1">
        <v>1</v>
      </c>
      <c r="E50" s="1" t="s">
        <v>106</v>
      </c>
      <c r="F50" s="4">
        <v>45362</v>
      </c>
      <c r="G50" s="3">
        <f t="shared" si="3"/>
        <v>0.26123842592592594</v>
      </c>
      <c r="H50" s="3">
        <f t="shared" si="4"/>
        <v>0.27355324074074072</v>
      </c>
      <c r="I50" s="3">
        <v>2.9965277777777775E-2</v>
      </c>
      <c r="J50" s="3">
        <v>4.2280092592592591E-2</v>
      </c>
      <c r="K50" s="3">
        <v>0.23127314814814814</v>
      </c>
      <c r="L50" s="1" t="s">
        <v>8</v>
      </c>
      <c r="M50" s="1" t="s">
        <v>7</v>
      </c>
      <c r="N50" s="1">
        <v>3</v>
      </c>
      <c r="O50" s="35">
        <v>3</v>
      </c>
      <c r="P50" s="35">
        <v>90</v>
      </c>
      <c r="Q50" s="35">
        <v>90</v>
      </c>
      <c r="R50" s="1">
        <v>57.4</v>
      </c>
      <c r="S50" s="1">
        <v>115.17</v>
      </c>
      <c r="T50" s="1">
        <v>0</v>
      </c>
      <c r="V50" s="1" t="s">
        <v>134</v>
      </c>
    </row>
    <row r="51" spans="1:23" x14ac:dyDescent="0.2">
      <c r="A51" s="1">
        <v>2</v>
      </c>
      <c r="B51" s="35" t="s">
        <v>781</v>
      </c>
      <c r="C51" s="1" t="s">
        <v>778</v>
      </c>
      <c r="D51" s="1">
        <v>1</v>
      </c>
      <c r="E51" s="1" t="s">
        <v>114</v>
      </c>
      <c r="F51" s="4">
        <v>45363</v>
      </c>
      <c r="G51" s="3">
        <f t="shared" si="3"/>
        <v>0.76762731481481483</v>
      </c>
      <c r="H51" s="3">
        <f t="shared" si="4"/>
        <v>0.77273148148148152</v>
      </c>
      <c r="I51" s="3">
        <v>2.3032407407407407E-3</v>
      </c>
      <c r="J51" s="3">
        <v>7.4074074074074068E-3</v>
      </c>
      <c r="K51" s="3">
        <v>0.7653240740740741</v>
      </c>
      <c r="L51" s="1" t="s">
        <v>8</v>
      </c>
      <c r="M51" s="1" t="s">
        <v>7</v>
      </c>
      <c r="N51" s="1">
        <v>3</v>
      </c>
      <c r="O51" s="35">
        <v>3</v>
      </c>
      <c r="P51" s="35">
        <v>90</v>
      </c>
      <c r="Q51" s="35">
        <v>90</v>
      </c>
      <c r="R51" s="1">
        <v>57.4</v>
      </c>
      <c r="S51" s="1">
        <v>115.17</v>
      </c>
      <c r="T51" s="1">
        <v>0</v>
      </c>
    </row>
    <row r="52" spans="1:23" x14ac:dyDescent="0.2">
      <c r="A52" s="1">
        <v>2</v>
      </c>
      <c r="B52" s="35" t="s">
        <v>781</v>
      </c>
      <c r="C52" s="1" t="s">
        <v>778</v>
      </c>
      <c r="D52" s="1">
        <v>1</v>
      </c>
      <c r="E52" s="1" t="s">
        <v>123</v>
      </c>
      <c r="F52" s="4">
        <v>45363</v>
      </c>
      <c r="G52" s="3">
        <f t="shared" si="3"/>
        <v>0.25883101851851853</v>
      </c>
      <c r="H52" s="3">
        <f t="shared" si="4"/>
        <v>0.26667824074074076</v>
      </c>
      <c r="I52" s="3">
        <v>2.3402777777777783E-2</v>
      </c>
      <c r="J52" s="3">
        <v>3.125E-2</v>
      </c>
      <c r="K52" s="3">
        <v>0.23542824074074073</v>
      </c>
      <c r="L52" s="1" t="s">
        <v>7</v>
      </c>
      <c r="M52" s="1" t="s">
        <v>8</v>
      </c>
      <c r="N52" s="1">
        <v>3</v>
      </c>
      <c r="O52" s="35">
        <v>3</v>
      </c>
      <c r="P52" s="35">
        <v>90</v>
      </c>
      <c r="Q52" s="35">
        <v>90</v>
      </c>
      <c r="R52" s="1">
        <v>57.4</v>
      </c>
      <c r="S52" s="1">
        <v>38.4</v>
      </c>
      <c r="T52" s="1">
        <v>1</v>
      </c>
    </row>
    <row r="53" spans="1:23" x14ac:dyDescent="0.2">
      <c r="A53" s="1">
        <v>2</v>
      </c>
      <c r="B53" s="35" t="s">
        <v>781</v>
      </c>
      <c r="C53" s="1" t="s">
        <v>778</v>
      </c>
      <c r="D53" s="1">
        <v>1</v>
      </c>
      <c r="E53" s="1" t="s">
        <v>137</v>
      </c>
      <c r="F53" s="4">
        <v>45364</v>
      </c>
      <c r="G53" s="3">
        <f t="shared" si="3"/>
        <v>0.7658449074074074</v>
      </c>
      <c r="H53" s="3">
        <f t="shared" si="4"/>
        <v>0.77724537037037034</v>
      </c>
      <c r="I53" s="3">
        <v>1.7395833333333336E-2</v>
      </c>
      <c r="J53" s="3">
        <v>2.8796296296296296E-2</v>
      </c>
      <c r="K53" s="3">
        <v>0.74844907407407402</v>
      </c>
      <c r="L53" s="1" t="s">
        <v>8</v>
      </c>
      <c r="M53" s="1" t="s">
        <v>7</v>
      </c>
      <c r="N53" s="1">
        <v>3</v>
      </c>
      <c r="O53" s="35">
        <v>3</v>
      </c>
      <c r="P53" s="35">
        <v>90</v>
      </c>
      <c r="Q53" s="35">
        <v>90</v>
      </c>
      <c r="R53" s="1">
        <v>115.17</v>
      </c>
      <c r="S53" s="1">
        <v>115.17</v>
      </c>
      <c r="T53" s="1">
        <v>0</v>
      </c>
    </row>
    <row r="54" spans="1:23" x14ac:dyDescent="0.2">
      <c r="A54" s="1">
        <v>2</v>
      </c>
      <c r="B54" s="35" t="s">
        <v>781</v>
      </c>
      <c r="C54" s="1" t="s">
        <v>778</v>
      </c>
      <c r="D54" s="1">
        <v>1</v>
      </c>
      <c r="E54" s="1" t="s">
        <v>407</v>
      </c>
      <c r="F54" s="4">
        <v>45364</v>
      </c>
      <c r="G54" s="3">
        <f t="shared" si="3"/>
        <v>0.2530324074074074</v>
      </c>
      <c r="H54" s="3">
        <f t="shared" si="4"/>
        <v>0.26287037037037037</v>
      </c>
      <c r="I54" s="3">
        <v>2.2407407407407407E-2</v>
      </c>
      <c r="J54" s="3">
        <v>3.2245370370370369E-2</v>
      </c>
      <c r="K54" s="3">
        <v>0.230625</v>
      </c>
      <c r="L54" s="1" t="s">
        <v>7</v>
      </c>
      <c r="M54" s="1" t="s">
        <v>8</v>
      </c>
      <c r="N54" s="1">
        <v>3</v>
      </c>
      <c r="O54" s="35">
        <v>3</v>
      </c>
      <c r="P54" s="35">
        <v>90</v>
      </c>
      <c r="Q54" s="35">
        <v>90</v>
      </c>
      <c r="R54" s="1">
        <v>115.17</v>
      </c>
      <c r="S54" s="1">
        <v>115.17</v>
      </c>
      <c r="T54" s="1">
        <v>1</v>
      </c>
    </row>
    <row r="55" spans="1:23" x14ac:dyDescent="0.2">
      <c r="A55" s="1">
        <v>2</v>
      </c>
      <c r="B55" s="35" t="s">
        <v>781</v>
      </c>
      <c r="C55" s="1" t="s">
        <v>778</v>
      </c>
      <c r="D55" s="1">
        <v>1</v>
      </c>
      <c r="E55" s="1" t="s">
        <v>135</v>
      </c>
      <c r="F55" s="4">
        <v>45365</v>
      </c>
      <c r="G55" s="3">
        <f t="shared" si="3"/>
        <v>0.76836805555555554</v>
      </c>
      <c r="H55" s="3">
        <f t="shared" si="4"/>
        <v>0.78295138888888882</v>
      </c>
      <c r="I55" s="3">
        <v>1.6608796296296299E-2</v>
      </c>
      <c r="J55" s="3">
        <v>3.1192129629629629E-2</v>
      </c>
      <c r="K55" s="3">
        <v>0.75175925925925924</v>
      </c>
      <c r="L55" s="1" t="s">
        <v>8</v>
      </c>
      <c r="M55" s="1" t="s">
        <v>7</v>
      </c>
      <c r="N55" s="1">
        <v>3</v>
      </c>
      <c r="O55" s="35">
        <v>3</v>
      </c>
      <c r="P55" s="35">
        <v>90</v>
      </c>
      <c r="Q55" s="35">
        <v>90</v>
      </c>
      <c r="R55" s="1">
        <v>115.17</v>
      </c>
      <c r="S55" s="1">
        <v>115.17</v>
      </c>
      <c r="T55" s="1">
        <v>1</v>
      </c>
      <c r="V55" s="1" t="s">
        <v>408</v>
      </c>
    </row>
    <row r="56" spans="1:23" x14ac:dyDescent="0.2">
      <c r="A56" s="1">
        <v>2</v>
      </c>
      <c r="B56" s="35" t="s">
        <v>781</v>
      </c>
      <c r="C56" s="1" t="s">
        <v>778</v>
      </c>
      <c r="D56" s="1">
        <v>1</v>
      </c>
      <c r="E56" s="1" t="s">
        <v>130</v>
      </c>
      <c r="F56" s="4">
        <v>45365</v>
      </c>
      <c r="G56" s="3">
        <f t="shared" si="3"/>
        <v>0.25822916666666668</v>
      </c>
      <c r="H56" s="3">
        <f t="shared" si="4"/>
        <v>0.26702546296296298</v>
      </c>
      <c r="I56" s="3">
        <v>3.1932870370370368E-2</v>
      </c>
      <c r="J56" s="3">
        <v>4.0729166666666664E-2</v>
      </c>
      <c r="K56" s="3">
        <v>0.2262962962962963</v>
      </c>
      <c r="L56" s="1" t="s">
        <v>7</v>
      </c>
      <c r="M56" s="1" t="s">
        <v>8</v>
      </c>
      <c r="N56" s="1">
        <v>3</v>
      </c>
      <c r="O56" s="35">
        <v>3</v>
      </c>
      <c r="P56" s="35">
        <v>90</v>
      </c>
      <c r="Q56" s="35">
        <v>90</v>
      </c>
      <c r="R56" s="1">
        <v>115.17</v>
      </c>
      <c r="S56" s="1">
        <v>115.17</v>
      </c>
      <c r="T56" s="1">
        <v>0</v>
      </c>
      <c r="V56" s="1" t="s">
        <v>136</v>
      </c>
    </row>
    <row r="57" spans="1:23" x14ac:dyDescent="0.2">
      <c r="A57" s="1">
        <v>2</v>
      </c>
      <c r="B57" s="35" t="s">
        <v>781</v>
      </c>
      <c r="C57" s="1" t="s">
        <v>778</v>
      </c>
      <c r="D57" s="1">
        <v>1</v>
      </c>
      <c r="E57" s="1" t="s">
        <v>129</v>
      </c>
      <c r="F57" s="4">
        <v>45366</v>
      </c>
      <c r="G57" s="3">
        <f t="shared" si="3"/>
        <v>0.25409722222222225</v>
      </c>
      <c r="H57" s="3">
        <f t="shared" si="4"/>
        <v>0.26596064814814813</v>
      </c>
      <c r="I57" s="3">
        <v>2.6944444444444444E-2</v>
      </c>
      <c r="J57" s="3">
        <v>3.8807870370370368E-2</v>
      </c>
      <c r="K57" s="3">
        <v>0.22715277777777779</v>
      </c>
      <c r="L57" s="1" t="s">
        <v>7</v>
      </c>
      <c r="M57" s="1" t="s">
        <v>8</v>
      </c>
      <c r="N57" s="1">
        <v>3</v>
      </c>
      <c r="O57" s="35">
        <v>3</v>
      </c>
      <c r="P57" s="35">
        <v>90</v>
      </c>
      <c r="Q57" s="35">
        <v>90</v>
      </c>
      <c r="R57" s="1">
        <v>115.17</v>
      </c>
      <c r="S57" s="1">
        <v>115.17</v>
      </c>
      <c r="T57" s="1">
        <v>1</v>
      </c>
    </row>
    <row r="58" spans="1:23" x14ac:dyDescent="0.2">
      <c r="A58" s="1">
        <v>2</v>
      </c>
      <c r="B58" s="35" t="s">
        <v>781</v>
      </c>
      <c r="C58" s="1" t="s">
        <v>778</v>
      </c>
      <c r="D58" s="1">
        <v>1</v>
      </c>
      <c r="E58" s="1" t="s">
        <v>127</v>
      </c>
      <c r="F58" s="4">
        <v>45366</v>
      </c>
      <c r="G58" s="3">
        <f t="shared" si="3"/>
        <v>0.76741898148148147</v>
      </c>
      <c r="H58" s="3">
        <f t="shared" si="4"/>
        <v>0.78123842592592596</v>
      </c>
      <c r="I58" s="3">
        <v>9.7569444444444448E-3</v>
      </c>
      <c r="J58" s="3">
        <v>2.357638888888889E-2</v>
      </c>
      <c r="K58" s="3">
        <v>0.75766203703703705</v>
      </c>
      <c r="L58" s="1" t="s">
        <v>8</v>
      </c>
      <c r="M58" s="1" t="s">
        <v>7</v>
      </c>
      <c r="N58" s="1">
        <v>3</v>
      </c>
      <c r="O58" s="35">
        <v>3</v>
      </c>
      <c r="P58" s="35">
        <v>90</v>
      </c>
      <c r="Q58" s="35">
        <v>90</v>
      </c>
      <c r="R58" s="1">
        <v>115.17</v>
      </c>
      <c r="S58" s="1">
        <v>115.17</v>
      </c>
      <c r="T58" s="1">
        <v>0</v>
      </c>
      <c r="V58" s="1" t="s">
        <v>148</v>
      </c>
    </row>
    <row r="59" spans="1:23" s="7" customFormat="1" x14ac:dyDescent="0.2">
      <c r="A59" s="1">
        <v>2</v>
      </c>
      <c r="B59" s="35" t="s">
        <v>781</v>
      </c>
      <c r="C59" s="1" t="s">
        <v>778</v>
      </c>
      <c r="D59" s="1">
        <v>1</v>
      </c>
      <c r="E59" s="1" t="s">
        <v>145</v>
      </c>
      <c r="F59" s="4">
        <v>45367</v>
      </c>
      <c r="G59" s="3">
        <f t="shared" si="3"/>
        <v>0.25164351851851852</v>
      </c>
      <c r="H59" s="3">
        <f t="shared" si="4"/>
        <v>0.26401620370370371</v>
      </c>
      <c r="I59" s="3">
        <v>5.6134259259259262E-3</v>
      </c>
      <c r="J59" s="3">
        <v>1.7986111111111112E-2</v>
      </c>
      <c r="K59" s="3">
        <v>0.24603009259259259</v>
      </c>
      <c r="L59" s="1" t="s">
        <v>7</v>
      </c>
      <c r="M59" s="1" t="s">
        <v>8</v>
      </c>
      <c r="N59" s="1">
        <v>3</v>
      </c>
      <c r="O59" s="35">
        <v>3</v>
      </c>
      <c r="P59" s="35">
        <v>90</v>
      </c>
      <c r="Q59" s="35">
        <v>90</v>
      </c>
      <c r="R59" s="1">
        <v>115.17</v>
      </c>
      <c r="S59" s="1">
        <v>115.17</v>
      </c>
      <c r="T59" s="1">
        <v>1</v>
      </c>
      <c r="U59" s="1"/>
      <c r="V59" s="1"/>
      <c r="W59" s="1"/>
    </row>
    <row r="60" spans="1:23" x14ac:dyDescent="0.2">
      <c r="A60" s="1">
        <v>2</v>
      </c>
      <c r="B60" s="35" t="s">
        <v>781</v>
      </c>
      <c r="C60" s="1" t="s">
        <v>778</v>
      </c>
      <c r="D60" s="1">
        <v>1</v>
      </c>
      <c r="E60" s="1" t="s">
        <v>142</v>
      </c>
      <c r="F60" s="4">
        <v>45367</v>
      </c>
      <c r="G60" s="1" t="s">
        <v>21</v>
      </c>
      <c r="H60" s="3">
        <f t="shared" si="4"/>
        <v>0.78548611111111111</v>
      </c>
      <c r="I60" s="1" t="s">
        <v>21</v>
      </c>
      <c r="J60" s="3">
        <v>3.394675925925926E-2</v>
      </c>
      <c r="K60" s="3">
        <v>0.75153935185185183</v>
      </c>
      <c r="L60" s="1" t="s">
        <v>8</v>
      </c>
      <c r="M60" s="1" t="s">
        <v>7</v>
      </c>
      <c r="N60" s="1">
        <v>3</v>
      </c>
      <c r="O60" s="35">
        <v>3</v>
      </c>
      <c r="P60" s="35">
        <v>90</v>
      </c>
      <c r="Q60" s="35">
        <v>90</v>
      </c>
      <c r="R60" s="1">
        <v>115.17</v>
      </c>
      <c r="S60" s="1">
        <v>115.17</v>
      </c>
      <c r="T60" s="1">
        <v>0</v>
      </c>
      <c r="V60" s="1" t="s">
        <v>621</v>
      </c>
    </row>
    <row r="61" spans="1:23" x14ac:dyDescent="0.2">
      <c r="A61" s="1">
        <v>2</v>
      </c>
      <c r="B61" s="35" t="s">
        <v>781</v>
      </c>
      <c r="C61" s="1" t="s">
        <v>778</v>
      </c>
      <c r="D61" s="1">
        <v>1</v>
      </c>
      <c r="E61" s="1" t="s">
        <v>140</v>
      </c>
      <c r="F61" s="4">
        <v>45368</v>
      </c>
      <c r="G61" s="3">
        <f>I61+K61</f>
        <v>0.25063657407407408</v>
      </c>
      <c r="H61" s="3">
        <f t="shared" si="4"/>
        <v>0.2610763888888889</v>
      </c>
      <c r="I61" s="3">
        <v>1.7083333333333332E-2</v>
      </c>
      <c r="J61" s="3">
        <v>2.7523148148148147E-2</v>
      </c>
      <c r="K61" s="3">
        <v>0.23355324074074074</v>
      </c>
      <c r="L61" s="1" t="s">
        <v>7</v>
      </c>
      <c r="M61" s="1" t="s">
        <v>8</v>
      </c>
      <c r="N61" s="1">
        <v>3</v>
      </c>
      <c r="O61" s="35">
        <v>2</v>
      </c>
      <c r="P61" s="35">
        <v>90</v>
      </c>
      <c r="Q61" s="35">
        <v>90</v>
      </c>
      <c r="R61" s="1">
        <v>115.17</v>
      </c>
      <c r="S61" s="1">
        <v>38.4</v>
      </c>
      <c r="T61" s="1">
        <v>1</v>
      </c>
    </row>
    <row r="62" spans="1:23" ht="19" customHeight="1" x14ac:dyDescent="0.2">
      <c r="A62" s="1">
        <v>2</v>
      </c>
      <c r="B62" s="35" t="s">
        <v>781</v>
      </c>
      <c r="C62" s="1" t="s">
        <v>778</v>
      </c>
      <c r="D62" s="1">
        <v>2</v>
      </c>
      <c r="E62" s="1" t="s">
        <v>140</v>
      </c>
      <c r="F62" s="4">
        <v>45368</v>
      </c>
      <c r="G62" s="3">
        <f>I62+K62</f>
        <v>0.26203703703703701</v>
      </c>
      <c r="H62" s="3">
        <f t="shared" si="4"/>
        <v>0.26609953703703704</v>
      </c>
      <c r="I62" s="3">
        <v>2.8483796296296295E-2</v>
      </c>
      <c r="J62" s="3">
        <v>3.2546296296296295E-2</v>
      </c>
      <c r="K62" s="3">
        <v>0.23355324074074074</v>
      </c>
      <c r="L62" s="1" t="s">
        <v>8</v>
      </c>
      <c r="M62" s="1" t="s">
        <v>8</v>
      </c>
      <c r="N62" s="1">
        <v>2</v>
      </c>
      <c r="O62" s="35">
        <v>2</v>
      </c>
      <c r="P62" s="35">
        <v>90</v>
      </c>
      <c r="Q62" s="35">
        <v>90</v>
      </c>
      <c r="R62" s="1">
        <v>38.4</v>
      </c>
      <c r="S62" s="1">
        <v>38.4</v>
      </c>
      <c r="T62" s="1">
        <v>1</v>
      </c>
      <c r="V62" s="1" t="s">
        <v>190</v>
      </c>
    </row>
    <row r="63" spans="1:23" s="7" customFormat="1" x14ac:dyDescent="0.2">
      <c r="A63" s="1">
        <v>2</v>
      </c>
      <c r="B63" s="35" t="s">
        <v>781</v>
      </c>
      <c r="C63" s="1" t="s">
        <v>778</v>
      </c>
      <c r="D63" s="1">
        <v>1</v>
      </c>
      <c r="E63" s="1" t="s">
        <v>146</v>
      </c>
      <c r="F63" s="4">
        <v>45368</v>
      </c>
      <c r="G63" s="1" t="s">
        <v>21</v>
      </c>
      <c r="H63" s="3">
        <v>0.77284722222222224</v>
      </c>
      <c r="I63" s="3">
        <v>2.060185185185185E-2</v>
      </c>
      <c r="J63" s="3">
        <v>2.5810185185185186E-2</v>
      </c>
      <c r="K63" s="1" t="s">
        <v>21</v>
      </c>
      <c r="L63" s="1" t="s">
        <v>8</v>
      </c>
      <c r="M63" s="1" t="s">
        <v>8</v>
      </c>
      <c r="N63" s="1">
        <v>3</v>
      </c>
      <c r="O63" s="35">
        <v>3</v>
      </c>
      <c r="P63" s="35">
        <v>90</v>
      </c>
      <c r="Q63" s="35">
        <v>90</v>
      </c>
      <c r="R63" s="1">
        <v>115.17</v>
      </c>
      <c r="S63" s="1">
        <v>115.17</v>
      </c>
      <c r="T63" s="1">
        <v>1</v>
      </c>
      <c r="U63" s="1"/>
      <c r="V63" s="1" t="s">
        <v>211</v>
      </c>
      <c r="W63" s="1"/>
    </row>
    <row r="64" spans="1:23" s="7" customFormat="1" x14ac:dyDescent="0.2">
      <c r="A64" s="1">
        <v>2</v>
      </c>
      <c r="B64" s="35" t="s">
        <v>781</v>
      </c>
      <c r="C64" s="1" t="s">
        <v>778</v>
      </c>
      <c r="D64" s="1">
        <v>2</v>
      </c>
      <c r="E64" s="1" t="s">
        <v>146</v>
      </c>
      <c r="F64" s="4">
        <v>45368</v>
      </c>
      <c r="G64" s="1" t="s">
        <v>21</v>
      </c>
      <c r="H64" s="3">
        <v>0.78359953703703711</v>
      </c>
      <c r="I64" s="1" t="s">
        <v>21</v>
      </c>
      <c r="J64" s="3">
        <v>3.6539351851851851E-2</v>
      </c>
      <c r="K64" s="1" t="s">
        <v>21</v>
      </c>
      <c r="L64" s="1" t="s">
        <v>21</v>
      </c>
      <c r="M64" s="1" t="s">
        <v>7</v>
      </c>
      <c r="N64" s="1" t="s">
        <v>21</v>
      </c>
      <c r="O64" s="35">
        <v>2</v>
      </c>
      <c r="P64" s="35">
        <v>90</v>
      </c>
      <c r="Q64" s="35">
        <v>90</v>
      </c>
      <c r="R64" s="1" t="s">
        <v>21</v>
      </c>
      <c r="S64" s="1">
        <v>38.4</v>
      </c>
      <c r="T64" s="1">
        <v>0</v>
      </c>
      <c r="U64" s="1"/>
      <c r="V64" s="1" t="s">
        <v>212</v>
      </c>
      <c r="W64" s="1"/>
    </row>
    <row r="65" spans="1:23" x14ac:dyDescent="0.2">
      <c r="A65" s="1">
        <v>2</v>
      </c>
      <c r="B65" s="35" t="s">
        <v>781</v>
      </c>
      <c r="C65" s="1" t="s">
        <v>778</v>
      </c>
      <c r="D65" s="1" t="s">
        <v>21</v>
      </c>
      <c r="E65" s="1" t="s">
        <v>166</v>
      </c>
      <c r="F65" s="4">
        <v>45369</v>
      </c>
      <c r="G65" s="1" t="s">
        <v>21</v>
      </c>
      <c r="H65" s="1" t="s">
        <v>21</v>
      </c>
      <c r="I65" s="1" t="s">
        <v>21</v>
      </c>
      <c r="J65" s="1" t="s">
        <v>21</v>
      </c>
      <c r="K65" s="3">
        <v>0.7603240740740741</v>
      </c>
      <c r="L65" s="1" t="s">
        <v>7</v>
      </c>
      <c r="M65" s="1" t="s">
        <v>7</v>
      </c>
      <c r="N65" s="1">
        <v>3</v>
      </c>
      <c r="O65" s="35">
        <v>3</v>
      </c>
      <c r="P65" s="35">
        <v>90</v>
      </c>
      <c r="Q65" s="35">
        <v>90</v>
      </c>
      <c r="R65" s="1">
        <v>115.17</v>
      </c>
      <c r="S65" s="1">
        <v>115.17</v>
      </c>
      <c r="T65" s="1" t="s">
        <v>21</v>
      </c>
      <c r="V65" s="1" t="s">
        <v>340</v>
      </c>
    </row>
    <row r="66" spans="1:23" x14ac:dyDescent="0.2">
      <c r="A66" s="1">
        <v>2</v>
      </c>
      <c r="B66" s="35" t="s">
        <v>781</v>
      </c>
      <c r="C66" s="1" t="s">
        <v>778</v>
      </c>
      <c r="D66" s="1">
        <v>1</v>
      </c>
      <c r="E66" s="1" t="s">
        <v>151</v>
      </c>
      <c r="F66" s="4">
        <v>45369</v>
      </c>
      <c r="G66" s="3">
        <f>I66+K66</f>
        <v>0.23690972222222223</v>
      </c>
      <c r="H66" s="3">
        <f>K66 + J66</f>
        <v>0.25927083333333334</v>
      </c>
      <c r="I66" s="3">
        <v>5.7754629629629631E-3</v>
      </c>
      <c r="J66" s="3">
        <v>2.8136574074074074E-2</v>
      </c>
      <c r="K66" s="3">
        <v>0.23113425925925926</v>
      </c>
      <c r="L66" s="1" t="s">
        <v>7</v>
      </c>
      <c r="M66" s="1" t="s">
        <v>8</v>
      </c>
      <c r="N66" s="1">
        <v>3</v>
      </c>
      <c r="O66" s="35">
        <v>3</v>
      </c>
      <c r="P66" s="35">
        <v>90</v>
      </c>
      <c r="Q66" s="35">
        <v>90</v>
      </c>
      <c r="R66" s="1">
        <v>115.17</v>
      </c>
      <c r="S66" s="1">
        <v>115.17</v>
      </c>
      <c r="T66" s="1">
        <v>1</v>
      </c>
      <c r="V66" s="1" t="s">
        <v>168</v>
      </c>
    </row>
    <row r="67" spans="1:23" x14ac:dyDescent="0.2">
      <c r="A67" s="1">
        <v>2</v>
      </c>
      <c r="B67" s="35" t="s">
        <v>781</v>
      </c>
      <c r="C67" s="1" t="s">
        <v>778</v>
      </c>
      <c r="D67" s="1">
        <v>1</v>
      </c>
      <c r="E67" s="1" t="s">
        <v>156</v>
      </c>
      <c r="F67" s="4">
        <v>45370</v>
      </c>
      <c r="G67" s="3">
        <f>I67+K67</f>
        <v>0.25244212962962964</v>
      </c>
      <c r="H67" s="3">
        <f>K67 + J67</f>
        <v>0.2697222222222222</v>
      </c>
      <c r="I67" s="3">
        <v>2.8761574074074075E-2</v>
      </c>
      <c r="J67" s="3">
        <v>4.6041666666666668E-2</v>
      </c>
      <c r="K67" s="3">
        <v>0.22368055555555555</v>
      </c>
      <c r="L67" s="1" t="s">
        <v>7</v>
      </c>
      <c r="M67" s="1" t="s">
        <v>8</v>
      </c>
      <c r="N67" s="1">
        <v>3</v>
      </c>
      <c r="O67" s="35">
        <v>3</v>
      </c>
      <c r="P67" s="35">
        <v>90</v>
      </c>
      <c r="Q67" s="35">
        <v>90</v>
      </c>
      <c r="R67" s="1">
        <v>115.17</v>
      </c>
      <c r="S67" s="1">
        <v>57.4</v>
      </c>
      <c r="T67" s="1">
        <v>1</v>
      </c>
      <c r="V67" s="1" t="s">
        <v>165</v>
      </c>
    </row>
    <row r="68" spans="1:23" x14ac:dyDescent="0.2">
      <c r="A68" s="1">
        <v>2</v>
      </c>
      <c r="B68" s="35" t="s">
        <v>781</v>
      </c>
      <c r="C68" s="1" t="s">
        <v>778</v>
      </c>
      <c r="D68" s="1">
        <v>1</v>
      </c>
      <c r="E68" s="1" t="s">
        <v>162</v>
      </c>
      <c r="F68" s="4">
        <v>45370</v>
      </c>
      <c r="G68" s="1" t="s">
        <v>21</v>
      </c>
      <c r="H68" s="3">
        <f>K68 + J68</f>
        <v>0.77118055555555554</v>
      </c>
      <c r="I68" s="1" t="s">
        <v>21</v>
      </c>
      <c r="J68" s="3">
        <v>1.0960648148148148E-2</v>
      </c>
      <c r="K68" s="3">
        <v>0.76021990740740741</v>
      </c>
      <c r="L68" s="1" t="s">
        <v>8</v>
      </c>
      <c r="M68" s="1" t="s">
        <v>7</v>
      </c>
      <c r="N68" s="1">
        <v>3</v>
      </c>
      <c r="O68" s="35">
        <v>3</v>
      </c>
      <c r="P68" s="35">
        <v>90</v>
      </c>
      <c r="Q68" s="35">
        <v>90</v>
      </c>
      <c r="R68" s="1">
        <v>115.17</v>
      </c>
      <c r="S68" s="1">
        <v>57.4</v>
      </c>
      <c r="T68" s="1">
        <v>0</v>
      </c>
      <c r="V68" s="1" t="s">
        <v>163</v>
      </c>
    </row>
    <row r="69" spans="1:23" x14ac:dyDescent="0.2">
      <c r="A69" s="1">
        <v>2</v>
      </c>
      <c r="B69" s="35" t="s">
        <v>781</v>
      </c>
      <c r="C69" s="1" t="s">
        <v>778</v>
      </c>
      <c r="D69" s="1">
        <v>2</v>
      </c>
      <c r="E69" s="1" t="s">
        <v>162</v>
      </c>
      <c r="F69" s="4">
        <v>45370</v>
      </c>
      <c r="G69" s="3">
        <f>$K69 + $I69</f>
        <v>0.77386574074074077</v>
      </c>
      <c r="H69" s="3">
        <f>K68 + J69</f>
        <v>0.78053240740740737</v>
      </c>
      <c r="I69" s="3">
        <v>1.3645833333333333E-2</v>
      </c>
      <c r="J69" s="3">
        <v>2.0312500000000001E-2</v>
      </c>
      <c r="K69" s="3">
        <v>0.76021990740740741</v>
      </c>
      <c r="L69" s="1" t="s">
        <v>7</v>
      </c>
      <c r="M69" s="1" t="s">
        <v>7</v>
      </c>
      <c r="N69" s="1">
        <v>3</v>
      </c>
      <c r="O69" s="35">
        <v>3</v>
      </c>
      <c r="P69" s="35">
        <v>90</v>
      </c>
      <c r="Q69" s="35">
        <v>90</v>
      </c>
      <c r="R69" s="1">
        <v>57.4</v>
      </c>
      <c r="S69" s="1">
        <v>57.4</v>
      </c>
      <c r="T69" s="1">
        <v>0</v>
      </c>
      <c r="V69" s="1" t="s">
        <v>187</v>
      </c>
    </row>
    <row r="70" spans="1:23" x14ac:dyDescent="0.2">
      <c r="A70" s="1">
        <v>2</v>
      </c>
      <c r="B70" s="35" t="s">
        <v>781</v>
      </c>
      <c r="C70" s="1" t="s">
        <v>778</v>
      </c>
      <c r="D70" s="1" t="s">
        <v>21</v>
      </c>
      <c r="E70" s="1" t="s">
        <v>21</v>
      </c>
      <c r="F70" s="4">
        <v>45371</v>
      </c>
      <c r="G70" s="1" t="s">
        <v>21</v>
      </c>
      <c r="H70" s="1" t="s">
        <v>21</v>
      </c>
      <c r="I70" s="1" t="s">
        <v>21</v>
      </c>
      <c r="J70" s="1" t="s">
        <v>21</v>
      </c>
      <c r="K70" s="1" t="s">
        <v>21</v>
      </c>
      <c r="L70" s="1" t="s">
        <v>7</v>
      </c>
      <c r="M70" s="1" t="s">
        <v>7</v>
      </c>
      <c r="N70" s="1">
        <v>3</v>
      </c>
      <c r="O70" s="35">
        <v>3</v>
      </c>
      <c r="P70" s="35">
        <v>90</v>
      </c>
      <c r="Q70" s="35">
        <v>90</v>
      </c>
      <c r="T70" s="1" t="s">
        <v>21</v>
      </c>
      <c r="V70" s="1" t="s">
        <v>195</v>
      </c>
    </row>
    <row r="71" spans="1:23" x14ac:dyDescent="0.2">
      <c r="A71" s="1">
        <v>2</v>
      </c>
      <c r="B71" s="35" t="s">
        <v>781</v>
      </c>
      <c r="C71" s="1" t="s">
        <v>778</v>
      </c>
      <c r="D71" s="1" t="s">
        <v>21</v>
      </c>
      <c r="E71" s="1" t="s">
        <v>21</v>
      </c>
      <c r="F71" s="4">
        <v>45371</v>
      </c>
      <c r="G71" s="1" t="s">
        <v>21</v>
      </c>
      <c r="H71" s="1" t="s">
        <v>21</v>
      </c>
      <c r="I71" s="1" t="s">
        <v>21</v>
      </c>
      <c r="J71" s="1" t="s">
        <v>21</v>
      </c>
      <c r="K71" s="1" t="s">
        <v>21</v>
      </c>
      <c r="L71" s="1" t="s">
        <v>7</v>
      </c>
      <c r="M71" s="1" t="s">
        <v>7</v>
      </c>
      <c r="N71" s="1">
        <v>3</v>
      </c>
      <c r="O71" s="35">
        <v>3</v>
      </c>
      <c r="P71" s="35">
        <v>90</v>
      </c>
      <c r="Q71" s="35">
        <v>90</v>
      </c>
      <c r="T71" s="1" t="s">
        <v>21</v>
      </c>
      <c r="V71" s="1" t="s">
        <v>198</v>
      </c>
    </row>
    <row r="72" spans="1:23" x14ac:dyDescent="0.2">
      <c r="A72" s="1">
        <v>2</v>
      </c>
      <c r="B72" s="35" t="s">
        <v>801</v>
      </c>
      <c r="C72" s="1" t="s">
        <v>778</v>
      </c>
      <c r="D72" s="1">
        <v>1</v>
      </c>
      <c r="E72" s="1" t="s">
        <v>161</v>
      </c>
      <c r="F72" s="4">
        <v>45372</v>
      </c>
      <c r="G72" s="1" t="s">
        <v>21</v>
      </c>
      <c r="H72" s="3">
        <f>K72 + J72</f>
        <v>0.27496527777777779</v>
      </c>
      <c r="I72" s="1" t="s">
        <v>21</v>
      </c>
      <c r="J72" s="3">
        <v>4.6203703703703705E-2</v>
      </c>
      <c r="K72" s="3">
        <v>0.22876157407407408</v>
      </c>
      <c r="L72" s="1" t="s">
        <v>7</v>
      </c>
      <c r="M72" s="1" t="s">
        <v>8</v>
      </c>
      <c r="N72" s="1">
        <v>3</v>
      </c>
      <c r="O72" s="35">
        <v>3</v>
      </c>
      <c r="P72" s="35">
        <v>90</v>
      </c>
      <c r="Q72" s="35">
        <v>90</v>
      </c>
      <c r="R72" s="1">
        <v>115.17</v>
      </c>
      <c r="S72" s="1">
        <v>38.4</v>
      </c>
      <c r="T72" s="1">
        <v>1</v>
      </c>
      <c r="V72" s="1" t="s">
        <v>247</v>
      </c>
    </row>
    <row r="73" spans="1:23" x14ac:dyDescent="0.2">
      <c r="A73" s="1">
        <v>2</v>
      </c>
      <c r="B73" s="35" t="s">
        <v>801</v>
      </c>
      <c r="C73" s="1" t="s">
        <v>778</v>
      </c>
      <c r="D73" s="1">
        <v>1</v>
      </c>
      <c r="E73" s="1" t="s">
        <v>159</v>
      </c>
      <c r="F73" s="4">
        <v>45372</v>
      </c>
      <c r="G73" s="3">
        <f>$K73 + $I73</f>
        <v>0.76853009259259253</v>
      </c>
      <c r="H73" s="3">
        <f>K73 + J73</f>
        <v>0.77909722222222222</v>
      </c>
      <c r="I73" s="3">
        <v>3.4837962962962965E-3</v>
      </c>
      <c r="J73" s="3">
        <v>1.4050925925925927E-2</v>
      </c>
      <c r="K73" s="3">
        <v>0.76504629629629628</v>
      </c>
      <c r="L73" s="1" t="s">
        <v>7</v>
      </c>
      <c r="M73" s="1" t="s">
        <v>8</v>
      </c>
      <c r="N73" s="1">
        <v>3</v>
      </c>
      <c r="O73" s="35">
        <v>3</v>
      </c>
      <c r="P73" s="35">
        <v>90</v>
      </c>
      <c r="Q73" s="35">
        <v>90</v>
      </c>
      <c r="R73" s="1">
        <v>115.17</v>
      </c>
      <c r="S73" s="1">
        <v>115.17</v>
      </c>
      <c r="T73" s="1">
        <v>1</v>
      </c>
      <c r="V73" s="1" t="s">
        <v>366</v>
      </c>
    </row>
    <row r="74" spans="1:23" x14ac:dyDescent="0.2">
      <c r="A74" s="1">
        <v>2</v>
      </c>
      <c r="B74" s="35" t="s">
        <v>801</v>
      </c>
      <c r="C74" s="1" t="s">
        <v>778</v>
      </c>
      <c r="D74" s="1">
        <v>1</v>
      </c>
      <c r="E74" s="1" t="s">
        <v>157</v>
      </c>
      <c r="F74" s="4">
        <v>45373</v>
      </c>
      <c r="G74" s="3">
        <f>$K74 + $I74</f>
        <v>0.25270833333333331</v>
      </c>
      <c r="H74" s="3">
        <f>K74 + J74</f>
        <v>0.26319444444444445</v>
      </c>
      <c r="I74" s="3">
        <v>2.9131944444444443E-2</v>
      </c>
      <c r="J74" s="3">
        <v>3.9618055555555552E-2</v>
      </c>
      <c r="K74" s="3">
        <v>0.22357638888888889</v>
      </c>
      <c r="L74" s="1" t="s">
        <v>8</v>
      </c>
      <c r="M74" s="1" t="s">
        <v>7</v>
      </c>
      <c r="N74" s="1">
        <v>3</v>
      </c>
      <c r="O74" s="35">
        <v>3</v>
      </c>
      <c r="P74" s="35">
        <v>90</v>
      </c>
      <c r="Q74" s="35">
        <v>90</v>
      </c>
      <c r="R74" s="1">
        <v>115.17</v>
      </c>
      <c r="S74" s="1">
        <v>57.4</v>
      </c>
      <c r="T74" s="1">
        <v>0</v>
      </c>
      <c r="V74" s="1" t="s">
        <v>248</v>
      </c>
    </row>
    <row r="75" spans="1:23" x14ac:dyDescent="0.2">
      <c r="A75" s="1">
        <v>2</v>
      </c>
      <c r="B75" s="35" t="s">
        <v>801</v>
      </c>
      <c r="C75" s="1" t="s">
        <v>778</v>
      </c>
      <c r="D75" s="1">
        <v>1</v>
      </c>
      <c r="E75" s="1" t="s">
        <v>188</v>
      </c>
      <c r="F75" s="4">
        <v>45373</v>
      </c>
      <c r="G75" s="3">
        <f>$K75 + $I75</f>
        <v>0.77009259259259255</v>
      </c>
      <c r="H75" s="3">
        <f>K75 + J75</f>
        <v>0.77481481481481485</v>
      </c>
      <c r="I75" s="3">
        <v>1.4583333333333334E-2</v>
      </c>
      <c r="J75" s="3">
        <v>1.9305555555555555E-2</v>
      </c>
      <c r="K75" s="3">
        <v>0.75550925925925927</v>
      </c>
      <c r="L75" s="1" t="s">
        <v>7</v>
      </c>
      <c r="M75" s="1" t="s">
        <v>8</v>
      </c>
      <c r="N75" s="1">
        <v>3</v>
      </c>
      <c r="O75" s="35">
        <v>3</v>
      </c>
      <c r="P75" s="35">
        <v>90</v>
      </c>
      <c r="Q75" s="35">
        <v>90</v>
      </c>
      <c r="R75" s="1">
        <v>115.17</v>
      </c>
      <c r="S75" s="1">
        <v>57.4</v>
      </c>
      <c r="T75" s="1">
        <v>0</v>
      </c>
      <c r="V75" s="1" t="s">
        <v>249</v>
      </c>
    </row>
    <row r="76" spans="1:23" x14ac:dyDescent="0.2">
      <c r="A76" s="1">
        <v>2</v>
      </c>
      <c r="B76" s="35" t="s">
        <v>801</v>
      </c>
      <c r="C76" s="1" t="s">
        <v>778</v>
      </c>
      <c r="D76" s="1">
        <v>1</v>
      </c>
      <c r="E76" s="1" t="s">
        <v>250</v>
      </c>
      <c r="F76" s="4">
        <v>45374</v>
      </c>
      <c r="G76" s="3">
        <f>$K76 + $I76</f>
        <v>0.24747685185185186</v>
      </c>
      <c r="H76" s="3">
        <f>K76 + J76</f>
        <v>0.2701041666666667</v>
      </c>
      <c r="I76" s="3">
        <v>3.1018518518518517E-3</v>
      </c>
      <c r="J76" s="3">
        <v>2.5729166666666668E-2</v>
      </c>
      <c r="K76" s="3">
        <v>0.24437500000000001</v>
      </c>
      <c r="L76" s="1" t="s">
        <v>8</v>
      </c>
      <c r="M76" s="1" t="s">
        <v>7</v>
      </c>
      <c r="N76" s="1">
        <v>3</v>
      </c>
      <c r="O76" s="35">
        <v>3</v>
      </c>
      <c r="P76" s="35">
        <v>90</v>
      </c>
      <c r="Q76" s="35">
        <v>90</v>
      </c>
      <c r="R76" s="1">
        <v>115.17</v>
      </c>
      <c r="S76" s="1">
        <v>38.4</v>
      </c>
      <c r="T76" s="1">
        <v>1</v>
      </c>
    </row>
    <row r="77" spans="1:23" s="7" customFormat="1" x14ac:dyDescent="0.2">
      <c r="A77" s="1">
        <v>2</v>
      </c>
      <c r="B77" s="35" t="s">
        <v>801</v>
      </c>
      <c r="C77" s="1" t="s">
        <v>778</v>
      </c>
      <c r="D77" s="1">
        <v>1</v>
      </c>
      <c r="E77" s="1" t="s">
        <v>214</v>
      </c>
      <c r="F77" s="4">
        <v>45374</v>
      </c>
      <c r="G77" s="1" t="s">
        <v>21</v>
      </c>
      <c r="H77" s="1" t="s">
        <v>21</v>
      </c>
      <c r="I77" s="1" t="s">
        <v>21</v>
      </c>
      <c r="J77" s="1" t="s">
        <v>21</v>
      </c>
      <c r="K77" s="3">
        <v>0.76011574074074073</v>
      </c>
      <c r="L77" s="1" t="s">
        <v>7</v>
      </c>
      <c r="M77" s="1" t="s">
        <v>7</v>
      </c>
      <c r="N77" s="1">
        <v>3</v>
      </c>
      <c r="O77" s="35">
        <v>3</v>
      </c>
      <c r="P77" s="35">
        <v>90</v>
      </c>
      <c r="Q77" s="35">
        <v>90</v>
      </c>
      <c r="R77" s="1">
        <v>115.17</v>
      </c>
      <c r="S77" s="1">
        <v>115.17</v>
      </c>
      <c r="T77" s="1" t="s">
        <v>21</v>
      </c>
      <c r="U77" s="1"/>
      <c r="V77" s="1" t="s">
        <v>59</v>
      </c>
      <c r="W77" s="1"/>
    </row>
    <row r="78" spans="1:23" s="7" customFormat="1" x14ac:dyDescent="0.2">
      <c r="A78" s="1">
        <v>2</v>
      </c>
      <c r="B78" s="35" t="s">
        <v>781</v>
      </c>
      <c r="C78" t="s">
        <v>778</v>
      </c>
      <c r="D78" s="1">
        <v>1</v>
      </c>
      <c r="E78" s="1" t="s">
        <v>232</v>
      </c>
      <c r="F78" s="4">
        <v>45375</v>
      </c>
      <c r="G78" s="3">
        <f t="shared" ref="G78:G83" si="5">$K78 + $I78</f>
        <v>0.24465277777777777</v>
      </c>
      <c r="H78" s="3">
        <f>K78+J78</f>
        <v>0.25738425925925923</v>
      </c>
      <c r="I78" s="3">
        <v>7.3842592592592597E-3</v>
      </c>
      <c r="J78" s="3">
        <v>2.011574074074074E-2</v>
      </c>
      <c r="K78" s="3">
        <v>0.23726851851851852</v>
      </c>
      <c r="L78" s="1" t="s">
        <v>7</v>
      </c>
      <c r="M78" s="1" t="s">
        <v>8</v>
      </c>
      <c r="N78" s="1">
        <v>3</v>
      </c>
      <c r="O78" s="35">
        <v>3</v>
      </c>
      <c r="P78" s="35">
        <v>90</v>
      </c>
      <c r="Q78" s="35">
        <v>90</v>
      </c>
      <c r="R78" s="1">
        <v>115.17</v>
      </c>
      <c r="S78" s="1">
        <v>115.17</v>
      </c>
      <c r="T78" s="1">
        <v>0</v>
      </c>
      <c r="U78" s="1"/>
      <c r="V78" s="1" t="s">
        <v>233</v>
      </c>
      <c r="W78" s="1"/>
    </row>
    <row r="79" spans="1:23" s="7" customFormat="1" x14ac:dyDescent="0.2">
      <c r="A79" s="1">
        <v>2</v>
      </c>
      <c r="B79" s="35" t="s">
        <v>781</v>
      </c>
      <c r="C79" t="s">
        <v>778</v>
      </c>
      <c r="D79" s="1">
        <v>2</v>
      </c>
      <c r="E79" s="1" t="s">
        <v>232</v>
      </c>
      <c r="F79" s="4">
        <v>45375</v>
      </c>
      <c r="G79" s="3">
        <f t="shared" si="5"/>
        <v>0.25905092592592593</v>
      </c>
      <c r="H79" s="3">
        <f>K79+J79</f>
        <v>0.26746527777777779</v>
      </c>
      <c r="I79" s="3">
        <v>2.1782407407407407E-2</v>
      </c>
      <c r="J79" s="3">
        <v>3.019675925925926E-2</v>
      </c>
      <c r="K79" s="3">
        <v>0.23726851851851852</v>
      </c>
      <c r="L79" s="1" t="s">
        <v>8</v>
      </c>
      <c r="M79" s="1" t="s">
        <v>8</v>
      </c>
      <c r="N79" s="1">
        <v>3</v>
      </c>
      <c r="O79" s="35">
        <v>3</v>
      </c>
      <c r="P79" s="35">
        <v>90</v>
      </c>
      <c r="Q79" s="35">
        <v>90</v>
      </c>
      <c r="R79" s="1">
        <v>115.17</v>
      </c>
      <c r="S79" s="1">
        <v>115.17</v>
      </c>
      <c r="T79" s="1">
        <v>0</v>
      </c>
      <c r="U79" s="1"/>
      <c r="V79" s="1"/>
      <c r="W79" s="1"/>
    </row>
    <row r="80" spans="1:23" x14ac:dyDescent="0.2">
      <c r="A80" s="1">
        <v>2</v>
      </c>
      <c r="B80" s="35" t="s">
        <v>781</v>
      </c>
      <c r="C80" t="s">
        <v>778</v>
      </c>
      <c r="D80" s="1">
        <v>1</v>
      </c>
      <c r="E80" s="1" t="s">
        <v>234</v>
      </c>
      <c r="F80" s="4">
        <v>45375</v>
      </c>
      <c r="G80" s="3">
        <f t="shared" si="5"/>
        <v>0.76400462962962956</v>
      </c>
      <c r="H80" s="3">
        <f>K80+J80</f>
        <v>0.77380787037037035</v>
      </c>
      <c r="I80" s="3">
        <v>1.6006944444444445E-2</v>
      </c>
      <c r="J80" s="3">
        <v>2.5810185185185186E-2</v>
      </c>
      <c r="K80" s="3">
        <v>0.74799768518518517</v>
      </c>
      <c r="L80" s="1" t="s">
        <v>8</v>
      </c>
      <c r="M80" s="1" t="s">
        <v>7</v>
      </c>
      <c r="N80" s="1">
        <v>3</v>
      </c>
      <c r="O80" s="35">
        <v>3</v>
      </c>
      <c r="P80" s="35">
        <v>90</v>
      </c>
      <c r="Q80" s="35">
        <v>90</v>
      </c>
      <c r="R80" s="1">
        <v>115.17</v>
      </c>
      <c r="S80" s="1">
        <v>57.4</v>
      </c>
      <c r="T80" s="1">
        <v>1</v>
      </c>
      <c r="V80" s="1" t="s">
        <v>235</v>
      </c>
    </row>
    <row r="81" spans="1:22" x14ac:dyDescent="0.2">
      <c r="A81" s="1">
        <v>2</v>
      </c>
      <c r="B81" s="35" t="s">
        <v>781</v>
      </c>
      <c r="C81" t="s">
        <v>778</v>
      </c>
      <c r="D81" s="1">
        <v>1</v>
      </c>
      <c r="E81" s="1" t="s">
        <v>218</v>
      </c>
      <c r="F81" s="4">
        <v>45376</v>
      </c>
      <c r="G81" s="3">
        <f t="shared" si="5"/>
        <v>0.25381944444444443</v>
      </c>
      <c r="H81" s="3" t="s">
        <v>21</v>
      </c>
      <c r="I81" s="3">
        <v>1.4606481481481481E-2</v>
      </c>
      <c r="J81" s="3" t="s">
        <v>21</v>
      </c>
      <c r="K81" s="3">
        <v>0.23921296296296296</v>
      </c>
      <c r="L81" s="1" t="s">
        <v>7</v>
      </c>
      <c r="M81" s="1" t="s">
        <v>7</v>
      </c>
      <c r="N81" s="1">
        <v>3</v>
      </c>
      <c r="O81" s="35">
        <v>3</v>
      </c>
      <c r="P81" s="35">
        <v>90</v>
      </c>
      <c r="Q81" s="35">
        <v>90</v>
      </c>
      <c r="R81" s="1">
        <v>115.17</v>
      </c>
      <c r="S81" s="1">
        <v>115.17</v>
      </c>
      <c r="T81" s="1" t="s">
        <v>21</v>
      </c>
      <c r="V81" s="1" t="s">
        <v>236</v>
      </c>
    </row>
    <row r="82" spans="1:22" x14ac:dyDescent="0.2">
      <c r="A82" s="1">
        <v>2</v>
      </c>
      <c r="B82" s="35" t="s">
        <v>781</v>
      </c>
      <c r="C82" t="s">
        <v>778</v>
      </c>
      <c r="D82" s="1">
        <v>1</v>
      </c>
      <c r="E82" s="1" t="s">
        <v>259</v>
      </c>
      <c r="F82" s="4">
        <v>45376</v>
      </c>
      <c r="G82" s="3">
        <f t="shared" si="5"/>
        <v>0.77129629629629626</v>
      </c>
      <c r="H82" s="3">
        <f>K82+J82</f>
        <v>0.77660879629629631</v>
      </c>
      <c r="I82" s="3">
        <v>1.982638888888889E-2</v>
      </c>
      <c r="J82" s="3">
        <v>2.5138888888888888E-2</v>
      </c>
      <c r="K82" s="3">
        <v>0.75146990740740738</v>
      </c>
      <c r="L82" s="1" t="s">
        <v>7</v>
      </c>
      <c r="M82" s="1" t="s">
        <v>8</v>
      </c>
      <c r="N82" s="1">
        <v>3</v>
      </c>
      <c r="O82" s="35">
        <v>3</v>
      </c>
      <c r="P82" s="35">
        <v>90</v>
      </c>
      <c r="Q82" s="35">
        <v>90</v>
      </c>
      <c r="R82" s="1">
        <v>115.17</v>
      </c>
      <c r="S82" s="1">
        <v>38.4</v>
      </c>
      <c r="T82" s="1">
        <v>0</v>
      </c>
      <c r="V82" s="1" t="s">
        <v>242</v>
      </c>
    </row>
    <row r="83" spans="1:22" x14ac:dyDescent="0.2">
      <c r="A83" s="1">
        <v>2</v>
      </c>
      <c r="B83" s="35" t="s">
        <v>781</v>
      </c>
      <c r="C83" t="s">
        <v>778</v>
      </c>
      <c r="D83" s="1">
        <v>1</v>
      </c>
      <c r="E83" s="1" t="s">
        <v>221</v>
      </c>
      <c r="F83" s="4">
        <v>45377</v>
      </c>
      <c r="G83" s="3">
        <f t="shared" si="5"/>
        <v>0.24853009259259259</v>
      </c>
      <c r="H83" s="3">
        <f>K83+J83</f>
        <v>0.25671296296296298</v>
      </c>
      <c r="I83" s="3">
        <v>5.0578703703703706E-3</v>
      </c>
      <c r="J83" s="3">
        <v>1.324074074074074E-2</v>
      </c>
      <c r="K83" s="3">
        <v>0.24347222222222223</v>
      </c>
      <c r="L83" s="1" t="s">
        <v>8</v>
      </c>
      <c r="M83" s="1" t="s">
        <v>7</v>
      </c>
      <c r="N83" s="1">
        <v>3</v>
      </c>
      <c r="O83" s="35">
        <v>3</v>
      </c>
      <c r="P83" s="35">
        <v>90</v>
      </c>
      <c r="Q83" s="35">
        <v>90</v>
      </c>
      <c r="R83" s="1">
        <v>115.17</v>
      </c>
      <c r="S83" s="1">
        <v>115.17</v>
      </c>
      <c r="T83" s="1">
        <v>0</v>
      </c>
    </row>
    <row r="84" spans="1:22" x14ac:dyDescent="0.2">
      <c r="A84" s="1">
        <v>2</v>
      </c>
      <c r="B84" s="35" t="s">
        <v>781</v>
      </c>
      <c r="C84" t="s">
        <v>778</v>
      </c>
      <c r="D84" s="1" t="s">
        <v>21</v>
      </c>
      <c r="E84" s="1" t="s">
        <v>21</v>
      </c>
      <c r="F84" s="4">
        <v>45377</v>
      </c>
      <c r="G84" s="1" t="s">
        <v>21</v>
      </c>
      <c r="H84" s="6" t="s">
        <v>21</v>
      </c>
      <c r="I84" s="1" t="s">
        <v>21</v>
      </c>
      <c r="J84" s="6" t="s">
        <v>21</v>
      </c>
      <c r="K84" s="1" t="s">
        <v>21</v>
      </c>
      <c r="L84" s="1" t="s">
        <v>7</v>
      </c>
      <c r="M84" s="1" t="s">
        <v>7</v>
      </c>
      <c r="N84" s="1">
        <v>3</v>
      </c>
      <c r="O84" s="35" t="s">
        <v>216</v>
      </c>
      <c r="P84" s="35">
        <v>90</v>
      </c>
      <c r="Q84" s="35">
        <v>90</v>
      </c>
      <c r="R84" s="1">
        <v>115.17</v>
      </c>
      <c r="S84" s="1">
        <v>115.17</v>
      </c>
      <c r="T84" s="1" t="s">
        <v>21</v>
      </c>
      <c r="V84" s="1" t="s">
        <v>240</v>
      </c>
    </row>
    <row r="85" spans="1:22" x14ac:dyDescent="0.2">
      <c r="A85" s="1">
        <v>2</v>
      </c>
      <c r="B85" s="35" t="s">
        <v>781</v>
      </c>
      <c r="C85" t="s">
        <v>778</v>
      </c>
      <c r="D85" s="1">
        <v>1</v>
      </c>
      <c r="E85" s="1" t="s">
        <v>224</v>
      </c>
      <c r="F85" s="4">
        <v>45378</v>
      </c>
      <c r="G85" s="3">
        <f>$K85 + $I85</f>
        <v>0.25328703703703703</v>
      </c>
      <c r="H85" s="3">
        <f>K85+J85</f>
        <v>0.26596064814814813</v>
      </c>
      <c r="I85" s="3">
        <v>1.894675925925926E-2</v>
      </c>
      <c r="J85" s="3">
        <v>3.1620370370370368E-2</v>
      </c>
      <c r="K85" s="3">
        <v>0.23434027777777777</v>
      </c>
      <c r="L85" s="1" t="s">
        <v>7</v>
      </c>
      <c r="M85" s="1" t="s">
        <v>8</v>
      </c>
      <c r="N85" s="1">
        <v>3</v>
      </c>
      <c r="O85" s="35">
        <v>3</v>
      </c>
      <c r="P85" s="35">
        <v>90</v>
      </c>
      <c r="Q85" s="35">
        <v>90</v>
      </c>
      <c r="R85" s="1">
        <v>115.17</v>
      </c>
      <c r="S85" s="1">
        <v>57.4</v>
      </c>
      <c r="T85" s="1">
        <v>0</v>
      </c>
      <c r="V85" s="1" t="s">
        <v>237</v>
      </c>
    </row>
    <row r="86" spans="1:22" x14ac:dyDescent="0.2">
      <c r="A86" s="1">
        <v>2</v>
      </c>
      <c r="B86" s="35" t="s">
        <v>781</v>
      </c>
      <c r="C86" t="s">
        <v>778</v>
      </c>
      <c r="D86" s="1" t="s">
        <v>21</v>
      </c>
      <c r="E86" s="1" t="s">
        <v>227</v>
      </c>
      <c r="F86" s="4">
        <v>45378</v>
      </c>
      <c r="G86" s="1" t="s">
        <v>21</v>
      </c>
      <c r="H86" s="1" t="s">
        <v>21</v>
      </c>
      <c r="I86" s="1" t="s">
        <v>21</v>
      </c>
      <c r="J86" s="1" t="s">
        <v>21</v>
      </c>
      <c r="K86" s="3">
        <v>0.75026620370370367</v>
      </c>
      <c r="L86" s="1" t="s">
        <v>8</v>
      </c>
      <c r="M86" s="1" t="s">
        <v>8</v>
      </c>
      <c r="N86" s="1">
        <v>3</v>
      </c>
      <c r="O86" s="35">
        <v>3</v>
      </c>
      <c r="P86" s="35">
        <v>90</v>
      </c>
      <c r="Q86" s="35">
        <v>90</v>
      </c>
      <c r="R86" s="15">
        <v>115.17</v>
      </c>
      <c r="S86" s="15">
        <v>115.17</v>
      </c>
      <c r="T86" s="1" t="s">
        <v>21</v>
      </c>
      <c r="V86" s="1" t="s">
        <v>59</v>
      </c>
    </row>
    <row r="87" spans="1:22" x14ac:dyDescent="0.2">
      <c r="A87" s="1">
        <v>2</v>
      </c>
      <c r="B87" s="35" t="s">
        <v>781</v>
      </c>
      <c r="C87" t="s">
        <v>778</v>
      </c>
      <c r="D87" s="1">
        <v>1</v>
      </c>
      <c r="E87" s="1" t="s">
        <v>238</v>
      </c>
      <c r="F87" s="4">
        <v>45379</v>
      </c>
      <c r="G87" s="3">
        <f>$K87 + $I87</f>
        <v>0.2502314814814815</v>
      </c>
      <c r="H87" s="3">
        <f>K87 + J87</f>
        <v>0.26277777777777778</v>
      </c>
      <c r="I87" s="3">
        <v>1.4687499999999999E-2</v>
      </c>
      <c r="J87" s="3">
        <v>2.7233796296296298E-2</v>
      </c>
      <c r="K87" s="3">
        <v>0.23554398148148148</v>
      </c>
      <c r="L87" s="1" t="s">
        <v>8</v>
      </c>
      <c r="M87" s="1" t="s">
        <v>7</v>
      </c>
      <c r="N87" s="1">
        <v>3</v>
      </c>
      <c r="O87" s="35">
        <v>3</v>
      </c>
      <c r="P87" s="35">
        <v>90</v>
      </c>
      <c r="Q87" s="35">
        <v>90</v>
      </c>
      <c r="R87" s="1">
        <v>115.17</v>
      </c>
      <c r="S87" s="1">
        <v>38.4</v>
      </c>
      <c r="T87" s="1">
        <v>0</v>
      </c>
      <c r="V87" s="1" t="s">
        <v>370</v>
      </c>
    </row>
    <row r="88" spans="1:22" x14ac:dyDescent="0.2">
      <c r="A88" s="1">
        <v>2</v>
      </c>
      <c r="B88" s="35" t="s">
        <v>781</v>
      </c>
      <c r="C88" t="s">
        <v>778</v>
      </c>
      <c r="D88" s="1">
        <v>1</v>
      </c>
      <c r="E88" s="1" t="s">
        <v>239</v>
      </c>
      <c r="F88" s="4">
        <v>45379</v>
      </c>
      <c r="G88" s="1" t="s">
        <v>21</v>
      </c>
      <c r="H88" s="1" t="s">
        <v>21</v>
      </c>
      <c r="I88" s="1" t="s">
        <v>21</v>
      </c>
      <c r="J88" s="1" t="s">
        <v>21</v>
      </c>
      <c r="K88" s="3">
        <v>0.75245370370370368</v>
      </c>
      <c r="L88" s="1" t="s">
        <v>7</v>
      </c>
      <c r="M88" s="1" t="s">
        <v>7</v>
      </c>
      <c r="N88" s="1">
        <v>3</v>
      </c>
      <c r="O88" s="35">
        <v>3</v>
      </c>
      <c r="P88" s="35">
        <v>90</v>
      </c>
      <c r="Q88" s="35">
        <v>90</v>
      </c>
      <c r="R88" s="1">
        <v>115.17</v>
      </c>
      <c r="S88" s="1">
        <v>115.17</v>
      </c>
      <c r="T88" s="1" t="s">
        <v>21</v>
      </c>
      <c r="V88" s="1" t="s">
        <v>59</v>
      </c>
    </row>
    <row r="89" spans="1:22" x14ac:dyDescent="0.2">
      <c r="A89" s="1">
        <v>2</v>
      </c>
      <c r="B89" s="35" t="s">
        <v>781</v>
      </c>
      <c r="C89" t="s">
        <v>778</v>
      </c>
      <c r="D89" s="1">
        <v>1</v>
      </c>
      <c r="E89" s="1" t="s">
        <v>241</v>
      </c>
      <c r="F89" s="4">
        <v>45380</v>
      </c>
      <c r="G89" s="3">
        <f>$K89 + $I89</f>
        <v>0.25168981481481478</v>
      </c>
      <c r="H89" s="3">
        <f>K89 + J89</f>
        <v>0.26237268518518519</v>
      </c>
      <c r="I89" s="3">
        <v>2.0196759259259258E-2</v>
      </c>
      <c r="J89" s="3">
        <v>3.0879629629629628E-2</v>
      </c>
      <c r="K89" s="3">
        <v>0.23149305555555555</v>
      </c>
      <c r="L89" s="1" t="s">
        <v>7</v>
      </c>
      <c r="M89" s="1" t="s">
        <v>8</v>
      </c>
      <c r="N89" s="1">
        <v>3</v>
      </c>
      <c r="O89" s="35">
        <v>3</v>
      </c>
      <c r="P89" s="35">
        <v>90</v>
      </c>
      <c r="Q89" s="35">
        <v>90</v>
      </c>
      <c r="R89" s="1">
        <v>115.17</v>
      </c>
      <c r="S89" s="1">
        <v>115.17</v>
      </c>
      <c r="T89" s="1">
        <v>1</v>
      </c>
      <c r="V89" s="1" t="s">
        <v>304</v>
      </c>
    </row>
    <row r="90" spans="1:22" x14ac:dyDescent="0.2">
      <c r="A90" s="1">
        <v>2</v>
      </c>
      <c r="B90" s="35" t="s">
        <v>781</v>
      </c>
      <c r="C90" t="s">
        <v>778</v>
      </c>
      <c r="D90" s="1" t="s">
        <v>21</v>
      </c>
      <c r="E90" s="1" t="s">
        <v>243</v>
      </c>
      <c r="F90" s="4">
        <v>45380</v>
      </c>
      <c r="G90" s="1" t="s">
        <v>21</v>
      </c>
      <c r="H90" s="1" t="s">
        <v>21</v>
      </c>
      <c r="I90" s="1" t="s">
        <v>21</v>
      </c>
      <c r="J90" s="1" t="s">
        <v>21</v>
      </c>
      <c r="K90" s="3">
        <v>0.75767361111111109</v>
      </c>
      <c r="L90" s="1" t="s">
        <v>8</v>
      </c>
      <c r="M90" s="1" t="s">
        <v>8</v>
      </c>
      <c r="N90" s="1">
        <v>3</v>
      </c>
      <c r="O90" s="35">
        <v>3</v>
      </c>
      <c r="P90" s="35">
        <v>90</v>
      </c>
      <c r="Q90" s="35">
        <v>90</v>
      </c>
      <c r="R90" s="1">
        <v>115.17</v>
      </c>
      <c r="S90" s="1">
        <v>115.17</v>
      </c>
      <c r="T90" s="1" t="s">
        <v>21</v>
      </c>
      <c r="V90" s="1" t="s">
        <v>59</v>
      </c>
    </row>
    <row r="91" spans="1:22" x14ac:dyDescent="0.2">
      <c r="A91" s="1">
        <v>2</v>
      </c>
      <c r="B91" s="35" t="s">
        <v>781</v>
      </c>
      <c r="C91" t="s">
        <v>778</v>
      </c>
      <c r="D91" s="1">
        <v>1</v>
      </c>
      <c r="E91" s="1" t="s">
        <v>246</v>
      </c>
      <c r="F91" s="4">
        <v>45381</v>
      </c>
      <c r="G91" s="3">
        <f>$K91 + $I91</f>
        <v>0.76784722222222224</v>
      </c>
      <c r="H91" s="1" t="s">
        <v>21</v>
      </c>
      <c r="I91" s="3">
        <v>1.2407407407407407E-2</v>
      </c>
      <c r="J91" s="1" t="s">
        <v>21</v>
      </c>
      <c r="K91" s="3">
        <v>0.75543981481481481</v>
      </c>
      <c r="L91" s="1" t="s">
        <v>7</v>
      </c>
      <c r="M91" s="1" t="s">
        <v>7</v>
      </c>
      <c r="N91" s="1">
        <v>3</v>
      </c>
      <c r="O91" s="35">
        <v>3</v>
      </c>
      <c r="P91" s="35">
        <v>90</v>
      </c>
      <c r="Q91" s="35">
        <v>90</v>
      </c>
      <c r="R91" s="1">
        <v>115.17</v>
      </c>
      <c r="S91" s="1">
        <v>115.17</v>
      </c>
      <c r="T91" s="1" t="s">
        <v>21</v>
      </c>
      <c r="V91" s="1" t="s">
        <v>305</v>
      </c>
    </row>
    <row r="92" spans="1:22" x14ac:dyDescent="0.2">
      <c r="A92" s="1">
        <v>2</v>
      </c>
      <c r="B92" s="35" t="s">
        <v>781</v>
      </c>
      <c r="C92" t="s">
        <v>778</v>
      </c>
      <c r="D92" s="1">
        <v>1</v>
      </c>
      <c r="E92" s="1" t="s">
        <v>306</v>
      </c>
      <c r="F92" s="4">
        <v>45381</v>
      </c>
      <c r="G92" s="3">
        <f>$K92 + $I92</f>
        <v>0.25116898148148148</v>
      </c>
      <c r="H92" s="3">
        <f>K92 + J92</f>
        <v>0.26086805555555553</v>
      </c>
      <c r="I92" s="3">
        <v>1.5752314814814816E-2</v>
      </c>
      <c r="J92" s="3">
        <v>2.5451388888888888E-2</v>
      </c>
      <c r="K92" s="3">
        <v>0.23541666666666666</v>
      </c>
      <c r="L92" s="1" t="s">
        <v>8</v>
      </c>
      <c r="M92" s="1" t="s">
        <v>7</v>
      </c>
      <c r="N92" s="1">
        <v>3</v>
      </c>
      <c r="O92" s="35">
        <v>3</v>
      </c>
      <c r="P92" s="35">
        <v>90</v>
      </c>
      <c r="Q92" s="35">
        <v>90</v>
      </c>
      <c r="R92" s="1">
        <v>115.17</v>
      </c>
      <c r="S92" s="1">
        <v>57.4</v>
      </c>
      <c r="T92" s="1">
        <v>0</v>
      </c>
    </row>
    <row r="93" spans="1:22" x14ac:dyDescent="0.2">
      <c r="A93" s="1">
        <v>2</v>
      </c>
      <c r="B93" s="35" t="s">
        <v>781</v>
      </c>
      <c r="C93" t="s">
        <v>778</v>
      </c>
      <c r="D93" s="1" t="s">
        <v>21</v>
      </c>
      <c r="E93" s="1" t="s">
        <v>21</v>
      </c>
      <c r="F93" s="4">
        <v>45382</v>
      </c>
      <c r="G93" s="1" t="s">
        <v>21</v>
      </c>
      <c r="H93" s="6" t="s">
        <v>21</v>
      </c>
      <c r="I93" s="1" t="s">
        <v>21</v>
      </c>
      <c r="J93" s="6" t="s">
        <v>21</v>
      </c>
      <c r="K93" s="1" t="s">
        <v>21</v>
      </c>
      <c r="L93" s="1" t="s">
        <v>8</v>
      </c>
      <c r="M93" s="1" t="s">
        <v>8</v>
      </c>
      <c r="N93" s="1">
        <v>3</v>
      </c>
      <c r="O93" s="35">
        <v>3</v>
      </c>
      <c r="P93" s="35">
        <v>90</v>
      </c>
      <c r="Q93" s="35">
        <v>90</v>
      </c>
      <c r="R93" s="1">
        <v>115.17</v>
      </c>
      <c r="S93" s="1">
        <v>115.17</v>
      </c>
      <c r="T93" s="1" t="s">
        <v>21</v>
      </c>
      <c r="V93" s="1" t="s">
        <v>294</v>
      </c>
    </row>
    <row r="94" spans="1:22" x14ac:dyDescent="0.2">
      <c r="A94" s="1">
        <v>2</v>
      </c>
      <c r="B94" s="35" t="s">
        <v>781</v>
      </c>
      <c r="C94" t="s">
        <v>778</v>
      </c>
      <c r="D94" s="1">
        <v>1</v>
      </c>
      <c r="E94" s="1" t="s">
        <v>288</v>
      </c>
      <c r="F94" s="4">
        <v>45382</v>
      </c>
      <c r="G94" s="3">
        <f>$K94 + $I94</f>
        <v>0.77393518518518523</v>
      </c>
      <c r="H94" s="3">
        <f>K94 + J94</f>
        <v>0.77803240740740742</v>
      </c>
      <c r="I94" s="3">
        <v>2.2812499999999999E-2</v>
      </c>
      <c r="J94" s="3">
        <v>2.6909722222222224E-2</v>
      </c>
      <c r="K94" s="3">
        <v>0.75112268518518521</v>
      </c>
      <c r="L94" s="1" t="s">
        <v>7</v>
      </c>
      <c r="M94" s="1" t="s">
        <v>8</v>
      </c>
      <c r="N94" s="1">
        <v>3</v>
      </c>
      <c r="O94" s="35">
        <v>3</v>
      </c>
      <c r="P94" s="35">
        <v>90</v>
      </c>
      <c r="Q94" s="35">
        <v>90</v>
      </c>
      <c r="R94" s="1">
        <v>115.17</v>
      </c>
      <c r="S94" s="1">
        <v>38.4</v>
      </c>
      <c r="T94" s="1">
        <v>0</v>
      </c>
      <c r="V94" s="1" t="s">
        <v>308</v>
      </c>
    </row>
    <row r="95" spans="1:22" x14ac:dyDescent="0.2">
      <c r="A95" s="1">
        <v>2</v>
      </c>
      <c r="B95" s="35" t="s">
        <v>781</v>
      </c>
      <c r="C95" t="s">
        <v>778</v>
      </c>
      <c r="D95" s="1">
        <v>1</v>
      </c>
      <c r="E95" s="1" t="s">
        <v>272</v>
      </c>
      <c r="F95" s="4">
        <v>45383</v>
      </c>
      <c r="G95" s="3">
        <f>$K95 + $I95</f>
        <v>0.24664351851851851</v>
      </c>
      <c r="H95" s="3">
        <f>K95 + J95</f>
        <v>0.27090277777777777</v>
      </c>
      <c r="I95" s="3">
        <v>1.5821759259259258E-2</v>
      </c>
      <c r="J95" s="3">
        <v>4.0081018518518516E-2</v>
      </c>
      <c r="K95" s="3">
        <v>0.23082175925925927</v>
      </c>
      <c r="L95" s="1" t="s">
        <v>8</v>
      </c>
      <c r="M95" s="1" t="s">
        <v>7</v>
      </c>
      <c r="N95" s="1">
        <v>3</v>
      </c>
      <c r="O95" s="35">
        <v>3</v>
      </c>
      <c r="P95" s="35">
        <v>90</v>
      </c>
      <c r="Q95" s="35">
        <v>90</v>
      </c>
      <c r="R95" s="1">
        <v>115.17</v>
      </c>
      <c r="S95" s="1">
        <v>115.17</v>
      </c>
      <c r="T95" s="1">
        <v>1</v>
      </c>
    </row>
    <row r="96" spans="1:22" x14ac:dyDescent="0.2">
      <c r="A96" s="1">
        <v>2</v>
      </c>
      <c r="B96" s="35" t="s">
        <v>781</v>
      </c>
      <c r="C96" t="s">
        <v>778</v>
      </c>
      <c r="D96" s="1" t="s">
        <v>21</v>
      </c>
      <c r="E96" s="1" t="s">
        <v>21</v>
      </c>
      <c r="F96" s="4">
        <v>45383</v>
      </c>
      <c r="G96" s="1" t="s">
        <v>21</v>
      </c>
      <c r="H96" s="1" t="s">
        <v>21</v>
      </c>
      <c r="I96" s="1" t="s">
        <v>21</v>
      </c>
      <c r="J96" s="1" t="s">
        <v>21</v>
      </c>
      <c r="K96" s="1" t="s">
        <v>21</v>
      </c>
      <c r="N96" s="1">
        <v>3</v>
      </c>
      <c r="O96" s="35">
        <v>3</v>
      </c>
      <c r="T96" s="1" t="s">
        <v>21</v>
      </c>
      <c r="V96" s="1" t="s">
        <v>331</v>
      </c>
    </row>
    <row r="97" spans="1:22" x14ac:dyDescent="0.2">
      <c r="A97" s="1">
        <v>2</v>
      </c>
      <c r="B97" s="35" t="s">
        <v>781</v>
      </c>
      <c r="C97" t="s">
        <v>778</v>
      </c>
      <c r="D97" s="1" t="s">
        <v>21</v>
      </c>
      <c r="E97" s="1" t="s">
        <v>21</v>
      </c>
      <c r="F97" s="4">
        <v>45384</v>
      </c>
      <c r="G97" s="1" t="s">
        <v>21</v>
      </c>
      <c r="H97" s="1" t="s">
        <v>21</v>
      </c>
      <c r="I97" s="1" t="s">
        <v>21</v>
      </c>
      <c r="J97" s="1" t="s">
        <v>21</v>
      </c>
      <c r="K97" s="1" t="s">
        <v>21</v>
      </c>
      <c r="N97" s="1">
        <v>3</v>
      </c>
      <c r="O97" s="35">
        <v>3</v>
      </c>
      <c r="T97" s="1" t="s">
        <v>21</v>
      </c>
      <c r="V97" s="1" t="s">
        <v>330</v>
      </c>
    </row>
    <row r="98" spans="1:22" x14ac:dyDescent="0.2">
      <c r="A98" s="1">
        <v>2</v>
      </c>
      <c r="B98" s="35" t="s">
        <v>781</v>
      </c>
      <c r="C98" t="s">
        <v>778</v>
      </c>
      <c r="D98" s="1" t="s">
        <v>21</v>
      </c>
      <c r="E98" s="1" t="s">
        <v>21</v>
      </c>
      <c r="F98" s="4">
        <v>45384</v>
      </c>
      <c r="G98" s="1" t="s">
        <v>21</v>
      </c>
      <c r="H98" s="1" t="s">
        <v>21</v>
      </c>
      <c r="I98" s="1" t="s">
        <v>21</v>
      </c>
      <c r="J98" s="1" t="s">
        <v>21</v>
      </c>
      <c r="K98" s="1" t="s">
        <v>21</v>
      </c>
      <c r="N98" s="1">
        <v>3</v>
      </c>
      <c r="O98" s="35">
        <v>3</v>
      </c>
      <c r="T98" s="1" t="s">
        <v>21</v>
      </c>
      <c r="V98" s="1" t="s">
        <v>380</v>
      </c>
    </row>
    <row r="99" spans="1:22" x14ac:dyDescent="0.2">
      <c r="A99" s="1">
        <v>2</v>
      </c>
      <c r="B99" s="35" t="s">
        <v>781</v>
      </c>
      <c r="C99" t="s">
        <v>778</v>
      </c>
      <c r="D99" s="1" t="s">
        <v>21</v>
      </c>
      <c r="E99" s="1" t="s">
        <v>21</v>
      </c>
      <c r="F99" s="4">
        <v>45385</v>
      </c>
      <c r="G99" s="1" t="s">
        <v>21</v>
      </c>
      <c r="H99" s="1" t="s">
        <v>21</v>
      </c>
      <c r="I99" s="1" t="s">
        <v>21</v>
      </c>
      <c r="J99" s="1" t="s">
        <v>21</v>
      </c>
      <c r="K99" s="1" t="s">
        <v>21</v>
      </c>
      <c r="N99" s="1">
        <v>3</v>
      </c>
      <c r="O99" s="35">
        <v>3</v>
      </c>
      <c r="T99" s="1" t="s">
        <v>21</v>
      </c>
    </row>
    <row r="100" spans="1:22" x14ac:dyDescent="0.2">
      <c r="A100" s="1">
        <v>2</v>
      </c>
      <c r="B100" s="35" t="s">
        <v>781</v>
      </c>
      <c r="C100" t="s">
        <v>778</v>
      </c>
      <c r="D100" s="1">
        <v>1</v>
      </c>
      <c r="E100" s="1" t="s">
        <v>283</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35">
        <v>3</v>
      </c>
      <c r="P100" s="35">
        <v>90</v>
      </c>
      <c r="Q100" s="35">
        <v>90</v>
      </c>
      <c r="R100" s="1">
        <v>115.17</v>
      </c>
      <c r="S100" s="1">
        <v>115.17</v>
      </c>
      <c r="T100" s="1">
        <v>0</v>
      </c>
      <c r="V100" s="1" t="s">
        <v>360</v>
      </c>
    </row>
    <row r="101" spans="1:22" x14ac:dyDescent="0.2">
      <c r="A101" s="1">
        <v>2</v>
      </c>
      <c r="B101" s="35" t="s">
        <v>781</v>
      </c>
      <c r="C101" t="s">
        <v>778</v>
      </c>
      <c r="D101" s="1" t="s">
        <v>21</v>
      </c>
      <c r="E101" s="1" t="s">
        <v>21</v>
      </c>
      <c r="F101" s="4">
        <v>45386</v>
      </c>
      <c r="G101" s="1" t="s">
        <v>21</v>
      </c>
      <c r="H101" s="3" t="s">
        <v>21</v>
      </c>
      <c r="I101" s="1" t="s">
        <v>21</v>
      </c>
      <c r="J101" s="3" t="s">
        <v>21</v>
      </c>
      <c r="K101" s="1" t="s">
        <v>21</v>
      </c>
      <c r="N101" s="1">
        <v>3</v>
      </c>
      <c r="O101" s="35">
        <v>3</v>
      </c>
      <c r="P101" s="35">
        <v>90</v>
      </c>
      <c r="Q101" s="35">
        <v>90</v>
      </c>
      <c r="T101" s="1" t="s">
        <v>21</v>
      </c>
      <c r="V101" s="1" t="s">
        <v>379</v>
      </c>
    </row>
    <row r="102" spans="1:22" x14ac:dyDescent="0.2">
      <c r="A102" s="1">
        <v>2</v>
      </c>
      <c r="B102" s="35" t="s">
        <v>781</v>
      </c>
      <c r="C102" t="s">
        <v>778</v>
      </c>
      <c r="D102" s="1">
        <v>1</v>
      </c>
      <c r="E102" s="1" t="s">
        <v>774</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35">
        <v>3</v>
      </c>
      <c r="P102" s="35">
        <v>90</v>
      </c>
      <c r="Q102" s="35">
        <v>90</v>
      </c>
      <c r="R102" s="1">
        <v>115.17</v>
      </c>
      <c r="S102" s="1">
        <v>57.4</v>
      </c>
      <c r="T102" s="1">
        <v>0</v>
      </c>
      <c r="V102" s="1" t="s">
        <v>300</v>
      </c>
    </row>
    <row r="103" spans="1:22" x14ac:dyDescent="0.2">
      <c r="A103" s="1">
        <v>2</v>
      </c>
      <c r="B103" s="35" t="s">
        <v>781</v>
      </c>
      <c r="C103" t="s">
        <v>778</v>
      </c>
      <c r="D103" s="1" t="s">
        <v>21</v>
      </c>
      <c r="E103" s="1" t="s">
        <v>21</v>
      </c>
      <c r="F103" s="4">
        <v>45387</v>
      </c>
      <c r="G103" s="1" t="s">
        <v>21</v>
      </c>
      <c r="H103" s="1" t="s">
        <v>21</v>
      </c>
      <c r="I103" s="1" t="s">
        <v>21</v>
      </c>
      <c r="J103" s="1" t="s">
        <v>21</v>
      </c>
      <c r="K103" s="1" t="s">
        <v>21</v>
      </c>
      <c r="P103" s="35">
        <v>90</v>
      </c>
      <c r="Q103" s="35">
        <v>90</v>
      </c>
      <c r="R103" s="1">
        <v>57.4</v>
      </c>
      <c r="S103" s="1">
        <v>57.4</v>
      </c>
      <c r="T103" s="1" t="s">
        <v>21</v>
      </c>
      <c r="V103" s="1" t="s">
        <v>365</v>
      </c>
    </row>
    <row r="104" spans="1:22" x14ac:dyDescent="0.2">
      <c r="A104" s="1">
        <v>2</v>
      </c>
      <c r="B104" s="35" t="s">
        <v>781</v>
      </c>
      <c r="C104" t="s">
        <v>778</v>
      </c>
      <c r="D104" s="1">
        <v>1</v>
      </c>
      <c r="E104" s="1" t="s">
        <v>295</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35">
        <v>3</v>
      </c>
      <c r="P104" s="35">
        <v>90</v>
      </c>
      <c r="Q104" s="35">
        <v>90</v>
      </c>
      <c r="R104" s="1">
        <v>57.4</v>
      </c>
      <c r="S104" s="1">
        <v>38.4</v>
      </c>
      <c r="T104" s="1">
        <v>1</v>
      </c>
    </row>
    <row r="105" spans="1:22" x14ac:dyDescent="0.2">
      <c r="A105" s="1">
        <v>2</v>
      </c>
      <c r="B105" s="35" t="s">
        <v>781</v>
      </c>
      <c r="C105" t="s">
        <v>778</v>
      </c>
      <c r="D105" s="1">
        <v>1</v>
      </c>
      <c r="E105" s="1" t="s">
        <v>297</v>
      </c>
      <c r="F105" s="4">
        <v>45388</v>
      </c>
      <c r="G105" s="1" t="s">
        <v>21</v>
      </c>
      <c r="H105" s="1" t="s">
        <v>21</v>
      </c>
      <c r="I105" s="1" t="s">
        <v>21</v>
      </c>
      <c r="J105" s="1" t="s">
        <v>21</v>
      </c>
      <c r="K105" s="3">
        <v>0.75972222222222219</v>
      </c>
      <c r="L105" s="1" t="s">
        <v>8</v>
      </c>
      <c r="M105" s="1" t="s">
        <v>8</v>
      </c>
      <c r="N105" s="1">
        <v>3</v>
      </c>
      <c r="O105" s="35">
        <v>3</v>
      </c>
      <c r="P105" s="35">
        <v>90</v>
      </c>
      <c r="Q105" s="35">
        <v>90</v>
      </c>
      <c r="R105" s="1">
        <v>115.17</v>
      </c>
      <c r="S105" s="1">
        <v>115.17</v>
      </c>
      <c r="T105" s="1" t="s">
        <v>21</v>
      </c>
      <c r="V105" s="1" t="s">
        <v>490</v>
      </c>
    </row>
    <row r="106" spans="1:22" x14ac:dyDescent="0.2">
      <c r="A106" s="1">
        <v>2</v>
      </c>
      <c r="B106" s="35" t="s">
        <v>781</v>
      </c>
      <c r="C106" t="s">
        <v>778</v>
      </c>
      <c r="D106" s="1" t="s">
        <v>21</v>
      </c>
      <c r="E106" s="1" t="s">
        <v>21</v>
      </c>
      <c r="F106" s="4">
        <v>45388</v>
      </c>
      <c r="G106" s="15" t="s">
        <v>21</v>
      </c>
      <c r="H106" s="15" t="s">
        <v>21</v>
      </c>
      <c r="I106" s="15" t="s">
        <v>21</v>
      </c>
      <c r="J106" s="15" t="s">
        <v>21</v>
      </c>
      <c r="K106" s="15" t="s">
        <v>21</v>
      </c>
      <c r="N106" s="1">
        <v>3</v>
      </c>
      <c r="O106" s="35">
        <v>3</v>
      </c>
      <c r="P106" s="35">
        <v>90</v>
      </c>
      <c r="Q106" s="35">
        <v>90</v>
      </c>
      <c r="T106" s="1" t="s">
        <v>21</v>
      </c>
      <c r="V106" s="1" t="s">
        <v>498</v>
      </c>
    </row>
    <row r="107" spans="1:22" x14ac:dyDescent="0.2">
      <c r="A107" s="1">
        <v>2</v>
      </c>
      <c r="B107" s="35" t="s">
        <v>781</v>
      </c>
      <c r="C107" t="s">
        <v>778</v>
      </c>
      <c r="D107" s="1" t="s">
        <v>21</v>
      </c>
      <c r="E107" s="1" t="s">
        <v>298</v>
      </c>
      <c r="F107" s="4">
        <v>45389</v>
      </c>
      <c r="G107" s="1" t="s">
        <v>21</v>
      </c>
      <c r="H107" s="1" t="s">
        <v>21</v>
      </c>
      <c r="I107" s="1" t="s">
        <v>21</v>
      </c>
      <c r="J107" s="1" t="s">
        <v>21</v>
      </c>
      <c r="K107" s="3">
        <v>0.75700231481481484</v>
      </c>
      <c r="L107" s="1" t="s">
        <v>8</v>
      </c>
      <c r="M107" s="1" t="s">
        <v>8</v>
      </c>
      <c r="N107" s="1">
        <v>3</v>
      </c>
      <c r="O107" s="35">
        <v>3</v>
      </c>
      <c r="P107" s="35">
        <v>90</v>
      </c>
      <c r="Q107" s="35">
        <v>90</v>
      </c>
      <c r="R107" s="1">
        <v>115.17</v>
      </c>
      <c r="S107" s="1">
        <v>115.17</v>
      </c>
      <c r="T107" s="1" t="s">
        <v>21</v>
      </c>
      <c r="V107" s="1" t="s">
        <v>59</v>
      </c>
    </row>
    <row r="108" spans="1:22" x14ac:dyDescent="0.2">
      <c r="A108" s="1">
        <v>2</v>
      </c>
      <c r="B108" s="35" t="s">
        <v>781</v>
      </c>
      <c r="C108" t="s">
        <v>778</v>
      </c>
      <c r="D108" s="1" t="s">
        <v>21</v>
      </c>
      <c r="E108" s="1" t="s">
        <v>21</v>
      </c>
      <c r="F108" s="4">
        <v>45389</v>
      </c>
      <c r="G108" s="15" t="s">
        <v>21</v>
      </c>
      <c r="H108" s="15" t="s">
        <v>21</v>
      </c>
      <c r="I108" s="15" t="s">
        <v>21</v>
      </c>
      <c r="J108" s="15" t="s">
        <v>21</v>
      </c>
      <c r="K108" s="15" t="s">
        <v>21</v>
      </c>
      <c r="P108" s="35">
        <v>90</v>
      </c>
      <c r="Q108" s="35">
        <v>90</v>
      </c>
      <c r="T108" s="1" t="s">
        <v>21</v>
      </c>
      <c r="V108" s="1" t="s">
        <v>499</v>
      </c>
    </row>
    <row r="109" spans="1:22" x14ac:dyDescent="0.2">
      <c r="A109" s="1">
        <v>2</v>
      </c>
      <c r="B109" s="35" t="s">
        <v>781</v>
      </c>
      <c r="C109" t="s">
        <v>778</v>
      </c>
      <c r="D109" s="1">
        <v>1</v>
      </c>
      <c r="E109" s="1" t="s">
        <v>317</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35">
        <v>3</v>
      </c>
      <c r="P109" s="35">
        <v>90</v>
      </c>
      <c r="Q109" s="35">
        <v>90</v>
      </c>
      <c r="R109" s="1">
        <v>115.17</v>
      </c>
      <c r="S109" s="1">
        <v>38.4</v>
      </c>
      <c r="T109" s="1">
        <v>0</v>
      </c>
    </row>
    <row r="110" spans="1:22" x14ac:dyDescent="0.2">
      <c r="A110" s="1">
        <v>2</v>
      </c>
      <c r="B110" s="35" t="s">
        <v>781</v>
      </c>
      <c r="C110" t="s">
        <v>778</v>
      </c>
      <c r="D110" s="1" t="s">
        <v>21</v>
      </c>
      <c r="E110" s="1" t="s">
        <v>316</v>
      </c>
      <c r="F110" s="4">
        <v>45390</v>
      </c>
      <c r="G110" s="22" t="s">
        <v>21</v>
      </c>
      <c r="H110" s="1" t="s">
        <v>21</v>
      </c>
      <c r="I110" s="15" t="s">
        <v>21</v>
      </c>
      <c r="J110" s="1" t="s">
        <v>21</v>
      </c>
      <c r="K110" s="3">
        <v>0.75715277777777779</v>
      </c>
      <c r="L110" s="1" t="s">
        <v>7</v>
      </c>
      <c r="M110" s="1" t="s">
        <v>7</v>
      </c>
      <c r="N110" s="1">
        <v>3</v>
      </c>
      <c r="O110" s="35">
        <v>3</v>
      </c>
      <c r="P110" s="35">
        <v>90</v>
      </c>
      <c r="Q110" s="35">
        <v>90</v>
      </c>
      <c r="R110" s="1">
        <v>115.17</v>
      </c>
      <c r="S110" s="1">
        <v>115.17</v>
      </c>
      <c r="T110" s="1" t="s">
        <v>21</v>
      </c>
      <c r="V110" s="1" t="s">
        <v>59</v>
      </c>
    </row>
    <row r="111" spans="1:22" x14ac:dyDescent="0.2">
      <c r="A111" s="1">
        <v>2</v>
      </c>
      <c r="B111" s="35" t="s">
        <v>781</v>
      </c>
      <c r="C111" t="s">
        <v>778</v>
      </c>
      <c r="D111" s="1">
        <v>1</v>
      </c>
      <c r="E111" s="1" t="s">
        <v>355</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35">
        <v>3</v>
      </c>
      <c r="P111" s="35">
        <v>90</v>
      </c>
      <c r="Q111" s="35">
        <v>90</v>
      </c>
      <c r="R111" s="1">
        <v>115.17</v>
      </c>
      <c r="S111" s="1">
        <v>115.17</v>
      </c>
      <c r="T111" s="1">
        <v>0</v>
      </c>
    </row>
    <row r="112" spans="1:22" x14ac:dyDescent="0.2">
      <c r="A112" s="1">
        <v>2</v>
      </c>
      <c r="B112" s="35" t="s">
        <v>781</v>
      </c>
      <c r="C112" t="s">
        <v>778</v>
      </c>
      <c r="D112" s="1">
        <v>1</v>
      </c>
      <c r="E112" s="1" t="s">
        <v>489</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35">
        <v>3</v>
      </c>
      <c r="P112" s="35">
        <v>90</v>
      </c>
      <c r="Q112" s="35">
        <v>90</v>
      </c>
      <c r="R112" s="1">
        <v>115.17</v>
      </c>
      <c r="S112" s="1">
        <v>38.4</v>
      </c>
      <c r="T112" s="1">
        <v>1</v>
      </c>
    </row>
    <row r="113" spans="1:23" x14ac:dyDescent="0.2">
      <c r="A113" s="1">
        <v>2</v>
      </c>
      <c r="B113" s="35" t="s">
        <v>781</v>
      </c>
      <c r="C113" t="s">
        <v>778</v>
      </c>
      <c r="D113" s="1">
        <v>1</v>
      </c>
      <c r="E113" s="1" t="s">
        <v>382</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35">
        <v>3</v>
      </c>
      <c r="P113" s="35">
        <v>90</v>
      </c>
      <c r="Q113" s="35">
        <v>90</v>
      </c>
      <c r="R113" s="1">
        <v>57.4</v>
      </c>
      <c r="S113" s="1">
        <v>19.2</v>
      </c>
      <c r="T113" s="1">
        <v>0</v>
      </c>
    </row>
    <row r="114" spans="1:23" x14ac:dyDescent="0.2">
      <c r="A114" s="1">
        <v>2</v>
      </c>
      <c r="B114" s="35" t="s">
        <v>781</v>
      </c>
      <c r="C114" t="s">
        <v>778</v>
      </c>
      <c r="D114" s="1" t="s">
        <v>21</v>
      </c>
      <c r="E114" s="1" t="s">
        <v>21</v>
      </c>
      <c r="F114" s="4">
        <v>45392</v>
      </c>
      <c r="G114" s="2" t="s">
        <v>21</v>
      </c>
      <c r="H114" s="1" t="s">
        <v>21</v>
      </c>
      <c r="I114" s="2" t="s">
        <v>21</v>
      </c>
      <c r="J114" s="1" t="s">
        <v>21</v>
      </c>
      <c r="K114" s="2" t="s">
        <v>21</v>
      </c>
      <c r="P114" s="35">
        <v>90</v>
      </c>
      <c r="Q114" s="35">
        <v>90</v>
      </c>
      <c r="T114" s="1" t="s">
        <v>21</v>
      </c>
      <c r="V114" s="1" t="s">
        <v>491</v>
      </c>
    </row>
    <row r="115" spans="1:23" x14ac:dyDescent="0.2">
      <c r="A115" s="1">
        <v>2</v>
      </c>
      <c r="B115" s="35" t="s">
        <v>781</v>
      </c>
      <c r="C115" t="s">
        <v>778</v>
      </c>
      <c r="D115" s="1">
        <v>1</v>
      </c>
      <c r="E115" s="1" t="s">
        <v>468</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35">
        <v>3</v>
      </c>
      <c r="P115" s="35">
        <v>90</v>
      </c>
      <c r="Q115" s="35">
        <v>90</v>
      </c>
      <c r="R115" s="1">
        <v>57.4</v>
      </c>
      <c r="S115" s="1">
        <v>19.2</v>
      </c>
      <c r="T115" s="1">
        <v>0</v>
      </c>
    </row>
    <row r="116" spans="1:23" x14ac:dyDescent="0.2">
      <c r="A116" s="1">
        <v>2</v>
      </c>
      <c r="B116" s="35" t="s">
        <v>781</v>
      </c>
      <c r="C116" t="s">
        <v>778</v>
      </c>
      <c r="D116" s="1">
        <v>1</v>
      </c>
      <c r="E116" s="1" t="s">
        <v>467</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35">
        <v>3</v>
      </c>
      <c r="P116" s="35">
        <v>90</v>
      </c>
      <c r="Q116" s="35">
        <v>90</v>
      </c>
      <c r="R116" s="1">
        <v>19.2</v>
      </c>
      <c r="S116" s="1">
        <v>19.2</v>
      </c>
      <c r="T116" s="1" t="s">
        <v>21</v>
      </c>
      <c r="V116" s="1" t="s">
        <v>495</v>
      </c>
    </row>
    <row r="117" spans="1:23" ht="18" customHeight="1" x14ac:dyDescent="0.2">
      <c r="A117" s="1">
        <v>2</v>
      </c>
      <c r="B117" s="35" t="s">
        <v>781</v>
      </c>
      <c r="C117" t="s">
        <v>778</v>
      </c>
      <c r="D117" s="1">
        <v>1</v>
      </c>
      <c r="E117" s="1" t="s">
        <v>465</v>
      </c>
      <c r="F117" s="4">
        <v>45394</v>
      </c>
      <c r="G117" s="3">
        <f>$K117 + $I117</f>
        <v>0.24650462962962963</v>
      </c>
      <c r="H117" s="1" t="s">
        <v>21</v>
      </c>
      <c r="I117" s="3">
        <v>1.4594907407407407E-2</v>
      </c>
      <c r="J117" s="1" t="s">
        <v>21</v>
      </c>
      <c r="K117" s="3">
        <v>0.23190972222222223</v>
      </c>
      <c r="L117" s="1" t="s">
        <v>8</v>
      </c>
      <c r="M117" s="1" t="s">
        <v>8</v>
      </c>
      <c r="N117" s="1">
        <v>3</v>
      </c>
      <c r="O117" s="35">
        <v>3</v>
      </c>
      <c r="P117" s="35">
        <v>90</v>
      </c>
      <c r="Q117" s="35">
        <v>90</v>
      </c>
      <c r="R117" s="1">
        <v>19.2</v>
      </c>
      <c r="S117" s="1">
        <v>19.2</v>
      </c>
      <c r="T117" s="1" t="s">
        <v>21</v>
      </c>
      <c r="V117" s="1" t="s">
        <v>496</v>
      </c>
    </row>
    <row r="118" spans="1:23" x14ac:dyDescent="0.2">
      <c r="A118" s="1">
        <v>2</v>
      </c>
      <c r="B118" s="35" t="s">
        <v>781</v>
      </c>
      <c r="C118" t="s">
        <v>778</v>
      </c>
      <c r="D118" s="1">
        <v>1</v>
      </c>
      <c r="E118" s="1" t="s">
        <v>459</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35">
        <v>2</v>
      </c>
      <c r="P118" s="35">
        <v>90</v>
      </c>
      <c r="Q118" s="35">
        <v>90</v>
      </c>
      <c r="R118" s="1">
        <v>19.2</v>
      </c>
      <c r="S118" s="1">
        <v>38.4</v>
      </c>
      <c r="T118" s="1">
        <v>0</v>
      </c>
    </row>
    <row r="119" spans="1:23" x14ac:dyDescent="0.2">
      <c r="A119" s="1">
        <v>2</v>
      </c>
      <c r="B119" s="35" t="s">
        <v>781</v>
      </c>
      <c r="C119" t="s">
        <v>778</v>
      </c>
      <c r="D119" s="1" t="s">
        <v>21</v>
      </c>
      <c r="E119" s="1" t="s">
        <v>21</v>
      </c>
      <c r="F119" s="4">
        <v>45395</v>
      </c>
      <c r="G119" s="1" t="s">
        <v>21</v>
      </c>
      <c r="H119" s="1" t="s">
        <v>21</v>
      </c>
      <c r="I119" s="1" t="s">
        <v>21</v>
      </c>
      <c r="J119" s="1" t="s">
        <v>21</v>
      </c>
      <c r="K119" s="1" t="s">
        <v>21</v>
      </c>
      <c r="L119" s="1" t="s">
        <v>8</v>
      </c>
      <c r="M119" s="1" t="s">
        <v>8</v>
      </c>
      <c r="N119" s="1">
        <v>3</v>
      </c>
      <c r="O119" s="35">
        <v>3</v>
      </c>
      <c r="P119" s="35">
        <v>90</v>
      </c>
      <c r="Q119" s="35">
        <v>90</v>
      </c>
      <c r="R119" s="1">
        <v>38.4</v>
      </c>
      <c r="S119" s="1">
        <v>38.4</v>
      </c>
      <c r="T119" s="1" t="s">
        <v>21</v>
      </c>
      <c r="V119" s="1" t="s">
        <v>493</v>
      </c>
    </row>
    <row r="120" spans="1:23" x14ac:dyDescent="0.2">
      <c r="A120" s="1">
        <v>2</v>
      </c>
      <c r="B120" s="35" t="s">
        <v>781</v>
      </c>
      <c r="C120" t="s">
        <v>778</v>
      </c>
      <c r="D120" s="1" t="s">
        <v>21</v>
      </c>
      <c r="E120" s="1" t="s">
        <v>21</v>
      </c>
      <c r="F120" s="4">
        <v>45396</v>
      </c>
      <c r="G120" s="1" t="s">
        <v>21</v>
      </c>
      <c r="H120" s="1" t="s">
        <v>21</v>
      </c>
      <c r="I120" s="1" t="s">
        <v>21</v>
      </c>
      <c r="J120" s="1" t="s">
        <v>21</v>
      </c>
      <c r="K120" s="1" t="s">
        <v>21</v>
      </c>
      <c r="L120" s="1" t="s">
        <v>8</v>
      </c>
      <c r="M120" s="1" t="s">
        <v>8</v>
      </c>
      <c r="N120" s="1">
        <v>3</v>
      </c>
      <c r="O120" s="35">
        <v>3</v>
      </c>
      <c r="P120" s="35">
        <v>90</v>
      </c>
      <c r="Q120" s="35">
        <v>90</v>
      </c>
      <c r="R120" s="1">
        <v>38.4</v>
      </c>
      <c r="S120" s="1">
        <v>38.4</v>
      </c>
      <c r="T120" s="1" t="s">
        <v>21</v>
      </c>
      <c r="V120" s="1" t="s">
        <v>494</v>
      </c>
    </row>
    <row r="121" spans="1:23" x14ac:dyDescent="0.2">
      <c r="A121" s="1">
        <v>2</v>
      </c>
      <c r="B121" s="35" t="s">
        <v>781</v>
      </c>
      <c r="C121" t="s">
        <v>778</v>
      </c>
      <c r="D121" s="1">
        <v>1</v>
      </c>
      <c r="E121" s="1" t="s">
        <v>456</v>
      </c>
      <c r="F121" s="4">
        <v>45396</v>
      </c>
      <c r="G121" s="3">
        <f>$K121 + $I121</f>
        <v>0.77657407407407408</v>
      </c>
      <c r="H121" s="1" t="s">
        <v>21</v>
      </c>
      <c r="I121" s="3">
        <v>1.2615740740740742E-2</v>
      </c>
      <c r="J121" s="1" t="s">
        <v>21</v>
      </c>
      <c r="K121" s="3">
        <v>0.76395833333333329</v>
      </c>
      <c r="L121" s="1" t="s">
        <v>7</v>
      </c>
      <c r="M121" s="1" t="s">
        <v>7</v>
      </c>
      <c r="N121" s="1">
        <v>3</v>
      </c>
      <c r="O121" s="35">
        <v>3</v>
      </c>
      <c r="P121" s="35">
        <v>90</v>
      </c>
      <c r="Q121" s="35">
        <v>90</v>
      </c>
      <c r="R121" s="1">
        <v>19.2</v>
      </c>
      <c r="S121" s="1">
        <v>19.2</v>
      </c>
      <c r="T121" s="1" t="s">
        <v>21</v>
      </c>
      <c r="V121" s="1" t="s">
        <v>497</v>
      </c>
    </row>
    <row r="122" spans="1:23" x14ac:dyDescent="0.2">
      <c r="A122" s="1">
        <v>2</v>
      </c>
      <c r="B122" s="35" t="s">
        <v>781</v>
      </c>
      <c r="C122" t="s">
        <v>778</v>
      </c>
      <c r="D122" s="1">
        <v>1</v>
      </c>
      <c r="E122" s="1" t="s">
        <v>480</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35">
        <v>3</v>
      </c>
      <c r="P122" s="35">
        <v>90</v>
      </c>
      <c r="Q122" s="35">
        <v>90</v>
      </c>
      <c r="R122" s="1">
        <v>19.2</v>
      </c>
      <c r="S122" s="1">
        <v>19.2</v>
      </c>
      <c r="T122" s="1">
        <v>0</v>
      </c>
    </row>
    <row r="123" spans="1:23" x14ac:dyDescent="0.2">
      <c r="A123" s="1">
        <v>2</v>
      </c>
      <c r="B123" s="35" t="s">
        <v>781</v>
      </c>
      <c r="C123" t="s">
        <v>778</v>
      </c>
      <c r="D123" s="1" t="s">
        <v>21</v>
      </c>
      <c r="E123" s="4" t="s">
        <v>66</v>
      </c>
      <c r="F123" s="26">
        <v>45397</v>
      </c>
      <c r="G123" s="1" t="s">
        <v>21</v>
      </c>
      <c r="H123" s="1" t="s">
        <v>21</v>
      </c>
      <c r="I123" s="1" t="s">
        <v>21</v>
      </c>
      <c r="J123" s="1" t="s">
        <v>21</v>
      </c>
      <c r="K123" s="3">
        <v>0.76392361111111107</v>
      </c>
      <c r="L123" s="1" t="s">
        <v>7</v>
      </c>
      <c r="M123" s="1" t="s">
        <v>7</v>
      </c>
      <c r="N123" s="1">
        <v>3</v>
      </c>
      <c r="O123" s="35">
        <v>3</v>
      </c>
      <c r="P123" s="35">
        <v>90</v>
      </c>
      <c r="Q123" s="35">
        <v>90</v>
      </c>
      <c r="R123" s="1">
        <v>19.2</v>
      </c>
      <c r="S123" s="1">
        <v>19.2</v>
      </c>
      <c r="V123" s="1" t="s">
        <v>524</v>
      </c>
      <c r="W123" s="4"/>
    </row>
    <row r="124" spans="1:23" x14ac:dyDescent="0.2">
      <c r="A124" s="1">
        <v>2</v>
      </c>
      <c r="B124" s="35" t="s">
        <v>781</v>
      </c>
      <c r="C124" t="s">
        <v>778</v>
      </c>
      <c r="D124" s="1">
        <v>1</v>
      </c>
      <c r="E124" s="1" t="s">
        <v>65</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35">
        <v>2</v>
      </c>
      <c r="P124" s="35">
        <v>90</v>
      </c>
      <c r="Q124" s="35">
        <v>90</v>
      </c>
      <c r="R124" s="1">
        <v>19.2</v>
      </c>
      <c r="S124" s="1">
        <v>19.2</v>
      </c>
      <c r="T124" s="1">
        <v>1</v>
      </c>
      <c r="V124" s="1" t="s">
        <v>523</v>
      </c>
    </row>
    <row r="125" spans="1:23" x14ac:dyDescent="0.2">
      <c r="A125" s="1">
        <v>2</v>
      </c>
      <c r="B125" s="35" t="s">
        <v>781</v>
      </c>
      <c r="C125" t="s">
        <v>778</v>
      </c>
      <c r="D125" s="1">
        <v>1</v>
      </c>
      <c r="E125" s="1" t="s">
        <v>73</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35">
        <v>2</v>
      </c>
      <c r="P125" s="35">
        <v>90</v>
      </c>
      <c r="Q125" s="35">
        <v>90</v>
      </c>
      <c r="R125" s="1">
        <v>115.17</v>
      </c>
      <c r="S125" s="1">
        <v>115.17</v>
      </c>
      <c r="T125" s="1">
        <v>1</v>
      </c>
    </row>
    <row r="126" spans="1:23" x14ac:dyDescent="0.2">
      <c r="A126" s="1">
        <v>2</v>
      </c>
      <c r="B126" s="35" t="s">
        <v>781</v>
      </c>
      <c r="C126" t="s">
        <v>778</v>
      </c>
      <c r="D126" s="1">
        <v>1</v>
      </c>
      <c r="E126" s="1" t="s">
        <v>95</v>
      </c>
      <c r="F126" s="4">
        <v>45399</v>
      </c>
      <c r="G126" s="3">
        <f>$K126 + $I126</f>
        <v>0.24685185185185185</v>
      </c>
      <c r="H126" s="1" t="s">
        <v>21</v>
      </c>
      <c r="I126" s="3">
        <v>1.4768518518518519E-2</v>
      </c>
      <c r="J126" s="1" t="s">
        <v>21</v>
      </c>
      <c r="K126" s="3">
        <v>0.23208333333333334</v>
      </c>
      <c r="L126" s="1" t="s">
        <v>7</v>
      </c>
      <c r="M126" s="1" t="s">
        <v>8</v>
      </c>
      <c r="N126" s="1">
        <v>2</v>
      </c>
      <c r="O126" s="35">
        <v>2</v>
      </c>
      <c r="P126" s="35">
        <v>90</v>
      </c>
      <c r="Q126" s="35">
        <v>90</v>
      </c>
      <c r="R126" s="1">
        <v>115.17</v>
      </c>
      <c r="S126" s="1">
        <v>115.17</v>
      </c>
      <c r="T126" s="1" t="s">
        <v>21</v>
      </c>
      <c r="V126" s="1" t="s">
        <v>525</v>
      </c>
    </row>
    <row r="127" spans="1:23" x14ac:dyDescent="0.2">
      <c r="A127" s="15">
        <v>2</v>
      </c>
      <c r="B127" s="35" t="s">
        <v>781</v>
      </c>
      <c r="C127" t="s">
        <v>778</v>
      </c>
      <c r="D127" s="1" t="s">
        <v>21</v>
      </c>
      <c r="E127" s="1" t="s">
        <v>101</v>
      </c>
      <c r="F127" s="4">
        <v>45399</v>
      </c>
      <c r="G127" s="1" t="s">
        <v>21</v>
      </c>
      <c r="H127" s="1" t="s">
        <v>21</v>
      </c>
      <c r="I127" s="1" t="s">
        <v>21</v>
      </c>
      <c r="J127" s="1" t="s">
        <v>21</v>
      </c>
      <c r="K127" s="3">
        <v>0.75664351851851852</v>
      </c>
      <c r="L127" s="1" t="s">
        <v>8</v>
      </c>
      <c r="M127" s="1" t="s">
        <v>8</v>
      </c>
      <c r="N127" s="1">
        <v>2</v>
      </c>
      <c r="O127" s="35">
        <v>2</v>
      </c>
      <c r="P127" s="35">
        <v>90</v>
      </c>
      <c r="Q127" s="35">
        <v>90</v>
      </c>
      <c r="R127" s="1">
        <v>115.17</v>
      </c>
      <c r="S127" s="1">
        <v>115.17</v>
      </c>
      <c r="T127" s="1" t="s">
        <v>21</v>
      </c>
      <c r="V127" s="1" t="s">
        <v>533</v>
      </c>
    </row>
    <row r="128" spans="1:23" x14ac:dyDescent="0.2">
      <c r="A128" s="1">
        <v>2</v>
      </c>
      <c r="B128" s="35" t="s">
        <v>781</v>
      </c>
      <c r="C128" t="s">
        <v>778</v>
      </c>
      <c r="D128" s="1">
        <v>1</v>
      </c>
      <c r="E128" s="1" t="s">
        <v>155</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35">
        <v>2</v>
      </c>
      <c r="P128" s="35">
        <v>90</v>
      </c>
      <c r="Q128" s="35">
        <v>90</v>
      </c>
      <c r="R128" s="1">
        <v>115.17</v>
      </c>
      <c r="S128" s="1">
        <v>115.17</v>
      </c>
      <c r="T128" s="1">
        <v>1</v>
      </c>
    </row>
    <row r="129" spans="1:22" x14ac:dyDescent="0.2">
      <c r="A129" s="1">
        <v>2</v>
      </c>
      <c r="B129" s="35" t="s">
        <v>781</v>
      </c>
      <c r="C129" t="s">
        <v>778</v>
      </c>
      <c r="D129" s="1">
        <v>1</v>
      </c>
      <c r="E129" s="1" t="s">
        <v>80</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35">
        <v>2</v>
      </c>
      <c r="P129" s="35">
        <v>90</v>
      </c>
      <c r="Q129" s="35">
        <v>90</v>
      </c>
      <c r="R129" s="1">
        <v>115.17</v>
      </c>
      <c r="S129" s="1">
        <v>115.17</v>
      </c>
      <c r="T129" s="1">
        <v>1</v>
      </c>
      <c r="V129" s="1" t="s">
        <v>534</v>
      </c>
    </row>
    <row r="130" spans="1:22" x14ac:dyDescent="0.2">
      <c r="A130" s="1">
        <v>2</v>
      </c>
      <c r="B130" s="35" t="s">
        <v>781</v>
      </c>
      <c r="C130" t="s">
        <v>778</v>
      </c>
      <c r="D130" s="1" t="s">
        <v>21</v>
      </c>
      <c r="E130" s="1" t="s">
        <v>282</v>
      </c>
      <c r="F130" s="4">
        <v>45401</v>
      </c>
      <c r="G130" s="1" t="s">
        <v>21</v>
      </c>
      <c r="H130" s="1" t="s">
        <v>21</v>
      </c>
      <c r="I130" s="1" t="s">
        <v>21</v>
      </c>
      <c r="J130" s="1" t="s">
        <v>21</v>
      </c>
      <c r="K130" s="1" t="s">
        <v>21</v>
      </c>
      <c r="L130" s="1" t="s">
        <v>7</v>
      </c>
      <c r="M130" s="1" t="s">
        <v>7</v>
      </c>
      <c r="N130" s="1">
        <v>2</v>
      </c>
      <c r="O130" s="35">
        <v>2</v>
      </c>
      <c r="P130" s="35">
        <v>90</v>
      </c>
      <c r="Q130" s="35">
        <v>90</v>
      </c>
      <c r="R130" s="1">
        <v>115.17</v>
      </c>
      <c r="S130" s="1">
        <v>115.17</v>
      </c>
      <c r="T130" s="1" t="s">
        <v>21</v>
      </c>
      <c r="V130" s="1" t="s">
        <v>533</v>
      </c>
    </row>
    <row r="131" spans="1:22" x14ac:dyDescent="0.2">
      <c r="A131" s="1">
        <v>2</v>
      </c>
      <c r="B131" s="35" t="s">
        <v>781</v>
      </c>
      <c r="C131" t="s">
        <v>778</v>
      </c>
      <c r="D131" s="1">
        <v>1</v>
      </c>
      <c r="E131" s="1" t="s">
        <v>84</v>
      </c>
      <c r="F131" s="4">
        <v>45401</v>
      </c>
      <c r="G131" s="1" t="s">
        <v>21</v>
      </c>
      <c r="H131" s="3">
        <f>K131 + J131</f>
        <v>0.77663194444444439</v>
      </c>
      <c r="I131" s="1" t="s">
        <v>21</v>
      </c>
      <c r="J131" s="3">
        <v>4.8611111111111112E-3</v>
      </c>
      <c r="K131" s="3">
        <v>0.77177083333333329</v>
      </c>
      <c r="L131" s="1" t="s">
        <v>7</v>
      </c>
      <c r="M131" s="1" t="s">
        <v>7</v>
      </c>
      <c r="N131" s="1">
        <v>1</v>
      </c>
      <c r="O131" s="35">
        <v>1</v>
      </c>
      <c r="P131" s="35">
        <v>90</v>
      </c>
      <c r="Q131" s="35">
        <v>90</v>
      </c>
      <c r="R131" s="1">
        <v>115.17</v>
      </c>
      <c r="S131" s="1">
        <v>115.17</v>
      </c>
      <c r="T131" s="1">
        <v>1</v>
      </c>
      <c r="V131" s="1" t="s">
        <v>482</v>
      </c>
    </row>
    <row r="132" spans="1:22" x14ac:dyDescent="0.2">
      <c r="A132" s="1">
        <v>2</v>
      </c>
      <c r="B132" s="35" t="s">
        <v>782</v>
      </c>
      <c r="C132" t="s">
        <v>780</v>
      </c>
      <c r="D132" s="1" t="s">
        <v>21</v>
      </c>
      <c r="E132" s="1" t="s">
        <v>84</v>
      </c>
      <c r="F132" s="4">
        <v>45401</v>
      </c>
      <c r="G132" s="1" t="s">
        <v>21</v>
      </c>
      <c r="H132" s="1" t="s">
        <v>21</v>
      </c>
      <c r="I132" s="1" t="s">
        <v>21</v>
      </c>
      <c r="J132" s="1" t="s">
        <v>21</v>
      </c>
      <c r="K132" s="1" t="s">
        <v>21</v>
      </c>
      <c r="L132" s="1" t="s">
        <v>8</v>
      </c>
      <c r="M132" s="1" t="s">
        <v>8</v>
      </c>
      <c r="N132" s="1">
        <v>1</v>
      </c>
      <c r="O132" s="35">
        <v>1</v>
      </c>
      <c r="P132" s="35">
        <v>90</v>
      </c>
      <c r="Q132" s="35">
        <v>90</v>
      </c>
      <c r="R132" s="1">
        <v>115.17</v>
      </c>
      <c r="S132" s="1">
        <v>115.17</v>
      </c>
      <c r="T132" s="1" t="s">
        <v>21</v>
      </c>
      <c r="V132" s="1" t="s">
        <v>536</v>
      </c>
    </row>
    <row r="133" spans="1:22" x14ac:dyDescent="0.2">
      <c r="A133" s="1">
        <v>2</v>
      </c>
      <c r="B133" s="35" t="s">
        <v>781</v>
      </c>
      <c r="C133" t="s">
        <v>778</v>
      </c>
      <c r="D133" s="1" t="s">
        <v>21</v>
      </c>
      <c r="E133" s="1" t="s">
        <v>85</v>
      </c>
      <c r="F133" s="4">
        <v>45402</v>
      </c>
      <c r="G133" s="22" t="s">
        <v>21</v>
      </c>
      <c r="H133" s="1" t="s">
        <v>21</v>
      </c>
      <c r="I133" s="22" t="s">
        <v>21</v>
      </c>
      <c r="J133" s="1" t="s">
        <v>21</v>
      </c>
      <c r="K133" s="3">
        <v>0.22399305555555554</v>
      </c>
      <c r="L133" s="1" t="s">
        <v>7</v>
      </c>
      <c r="M133" s="1" t="s">
        <v>7</v>
      </c>
      <c r="N133" s="1">
        <v>1</v>
      </c>
      <c r="O133" s="35">
        <v>1</v>
      </c>
      <c r="P133" s="35">
        <v>90</v>
      </c>
      <c r="Q133" s="35">
        <v>90</v>
      </c>
      <c r="R133" s="1">
        <v>115.17</v>
      </c>
      <c r="S133" s="1">
        <v>115.17</v>
      </c>
      <c r="T133" s="1" t="s">
        <v>21</v>
      </c>
    </row>
    <row r="134" spans="1:22" x14ac:dyDescent="0.2">
      <c r="A134" s="1">
        <v>2</v>
      </c>
      <c r="B134" s="35" t="s">
        <v>782</v>
      </c>
      <c r="C134" t="s">
        <v>780</v>
      </c>
      <c r="D134" s="1" t="s">
        <v>21</v>
      </c>
      <c r="E134" s="1" t="s">
        <v>85</v>
      </c>
      <c r="F134" s="4">
        <v>45402</v>
      </c>
      <c r="G134" s="22" t="s">
        <v>21</v>
      </c>
      <c r="H134" s="1" t="s">
        <v>21</v>
      </c>
      <c r="I134" s="22" t="s">
        <v>21</v>
      </c>
      <c r="J134" s="1" t="s">
        <v>21</v>
      </c>
      <c r="K134" s="3">
        <v>0.22399305555555554</v>
      </c>
      <c r="L134" s="1" t="s">
        <v>8</v>
      </c>
      <c r="M134" s="1" t="s">
        <v>8</v>
      </c>
      <c r="N134" s="1">
        <v>1</v>
      </c>
      <c r="O134" s="35">
        <v>1</v>
      </c>
      <c r="P134" s="35">
        <v>90</v>
      </c>
      <c r="Q134" s="35">
        <v>90</v>
      </c>
      <c r="R134" s="1">
        <v>115.17</v>
      </c>
      <c r="S134" s="1">
        <v>115.17</v>
      </c>
      <c r="T134" s="1" t="s">
        <v>21</v>
      </c>
      <c r="V134" s="1" t="s">
        <v>540</v>
      </c>
    </row>
    <row r="135" spans="1:22" x14ac:dyDescent="0.2">
      <c r="A135" s="1">
        <v>2</v>
      </c>
      <c r="B135" s="35" t="s">
        <v>781</v>
      </c>
      <c r="C135" t="s">
        <v>778</v>
      </c>
      <c r="D135" s="1">
        <v>1</v>
      </c>
      <c r="E135" s="1" t="s">
        <v>89</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35">
        <v>1</v>
      </c>
      <c r="P135" s="35">
        <v>90</v>
      </c>
      <c r="Q135" s="35">
        <v>90</v>
      </c>
      <c r="R135" s="1">
        <v>115.17</v>
      </c>
      <c r="S135" s="1">
        <v>115.17</v>
      </c>
      <c r="T135" s="1" t="s">
        <v>21</v>
      </c>
      <c r="V135" s="1" t="s">
        <v>548</v>
      </c>
    </row>
    <row r="136" spans="1:22" x14ac:dyDescent="0.2">
      <c r="A136" s="1">
        <v>2</v>
      </c>
      <c r="B136" s="35" t="s">
        <v>781</v>
      </c>
      <c r="C136" t="s">
        <v>778</v>
      </c>
      <c r="D136" s="1" t="s">
        <v>21</v>
      </c>
      <c r="E136" s="1" t="s">
        <v>95</v>
      </c>
      <c r="F136" s="4">
        <v>45403</v>
      </c>
      <c r="G136" s="22" t="s">
        <v>21</v>
      </c>
      <c r="H136" s="1" t="s">
        <v>21</v>
      </c>
      <c r="I136" s="22" t="s">
        <v>21</v>
      </c>
      <c r="J136" s="1" t="s">
        <v>21</v>
      </c>
      <c r="K136" s="3">
        <v>0.22620370370370371</v>
      </c>
      <c r="L136" s="1" t="s">
        <v>7</v>
      </c>
      <c r="M136" s="1" t="s">
        <v>7</v>
      </c>
      <c r="N136" s="1">
        <v>1</v>
      </c>
      <c r="O136" s="35">
        <v>1</v>
      </c>
      <c r="P136" s="35">
        <v>90</v>
      </c>
      <c r="Q136" s="35">
        <v>90</v>
      </c>
      <c r="R136" s="1">
        <v>115.17</v>
      </c>
      <c r="S136" s="1">
        <v>115.17</v>
      </c>
      <c r="T136" s="1" t="s">
        <v>21</v>
      </c>
      <c r="V136" s="1" t="s">
        <v>533</v>
      </c>
    </row>
    <row r="137" spans="1:22" x14ac:dyDescent="0.2">
      <c r="A137" s="1">
        <v>2</v>
      </c>
      <c r="B137" s="35" t="s">
        <v>781</v>
      </c>
      <c r="C137" t="s">
        <v>778</v>
      </c>
      <c r="D137" s="1" t="s">
        <v>21</v>
      </c>
      <c r="E137" s="1" t="s">
        <v>182</v>
      </c>
      <c r="F137" s="4">
        <v>45403</v>
      </c>
      <c r="G137" s="2" t="s">
        <v>21</v>
      </c>
      <c r="H137" s="1" t="s">
        <v>21</v>
      </c>
      <c r="I137" s="2" t="s">
        <v>21</v>
      </c>
      <c r="J137" s="1" t="s">
        <v>21</v>
      </c>
      <c r="K137" s="2" t="s">
        <v>21</v>
      </c>
      <c r="L137" s="1" t="s">
        <v>7</v>
      </c>
      <c r="M137" s="1" t="s">
        <v>7</v>
      </c>
      <c r="N137" s="1">
        <v>1</v>
      </c>
      <c r="O137" s="35">
        <v>1</v>
      </c>
      <c r="P137" s="35">
        <v>90</v>
      </c>
      <c r="Q137" s="35">
        <v>90</v>
      </c>
      <c r="R137" s="1">
        <v>115.17</v>
      </c>
      <c r="S137" s="1">
        <v>115.17</v>
      </c>
      <c r="T137" s="1" t="s">
        <v>21</v>
      </c>
      <c r="V137" s="1" t="s">
        <v>533</v>
      </c>
    </row>
    <row r="138" spans="1:22" x14ac:dyDescent="0.2">
      <c r="A138" s="1">
        <v>2</v>
      </c>
      <c r="B138" s="35" t="s">
        <v>782</v>
      </c>
      <c r="C138" t="s">
        <v>780</v>
      </c>
      <c r="D138" s="1" t="s">
        <v>21</v>
      </c>
      <c r="E138" s="1" t="s">
        <v>182</v>
      </c>
      <c r="F138" s="4">
        <v>45403</v>
      </c>
      <c r="G138" s="2" t="s">
        <v>21</v>
      </c>
      <c r="H138" s="1" t="s">
        <v>21</v>
      </c>
      <c r="I138" s="2" t="s">
        <v>21</v>
      </c>
      <c r="J138" s="1" t="s">
        <v>21</v>
      </c>
      <c r="K138" s="2" t="s">
        <v>21</v>
      </c>
      <c r="L138" s="1" t="s">
        <v>8</v>
      </c>
      <c r="M138" s="1" t="s">
        <v>8</v>
      </c>
      <c r="N138" s="1">
        <v>1</v>
      </c>
      <c r="O138" s="35">
        <v>1</v>
      </c>
      <c r="P138" s="35">
        <v>90</v>
      </c>
      <c r="Q138" s="35">
        <v>90</v>
      </c>
      <c r="R138" s="1">
        <v>115.17</v>
      </c>
      <c r="S138" s="1">
        <v>115.17</v>
      </c>
      <c r="T138" s="1" t="s">
        <v>21</v>
      </c>
    </row>
    <row r="139" spans="1:22" x14ac:dyDescent="0.2">
      <c r="A139" s="1">
        <v>2</v>
      </c>
      <c r="B139" s="35" t="s">
        <v>782</v>
      </c>
      <c r="C139" t="s">
        <v>780</v>
      </c>
      <c r="D139" s="1">
        <v>1</v>
      </c>
      <c r="E139" s="1" t="s">
        <v>112</v>
      </c>
      <c r="F139" s="4">
        <v>45404</v>
      </c>
      <c r="G139" s="3">
        <f>$K139 + $I139</f>
        <v>0.23579861111111111</v>
      </c>
      <c r="H139" s="1" t="s">
        <v>21</v>
      </c>
      <c r="I139" s="3">
        <v>1.4548611111111111E-2</v>
      </c>
      <c r="J139" s="1" t="s">
        <v>21</v>
      </c>
      <c r="K139" s="3">
        <v>0.22125</v>
      </c>
      <c r="L139" s="1" t="s">
        <v>8</v>
      </c>
      <c r="M139" s="1" t="s">
        <v>8</v>
      </c>
      <c r="N139" s="1">
        <v>1</v>
      </c>
      <c r="O139" s="35">
        <v>1</v>
      </c>
      <c r="P139" s="35">
        <v>90</v>
      </c>
      <c r="Q139" s="35">
        <v>90</v>
      </c>
      <c r="R139" s="1">
        <v>115.17</v>
      </c>
      <c r="S139" s="1">
        <v>115.17</v>
      </c>
      <c r="T139" s="1" t="s">
        <v>21</v>
      </c>
      <c r="V139" s="1" t="s">
        <v>549</v>
      </c>
    </row>
    <row r="140" spans="1:22" x14ac:dyDescent="0.2">
      <c r="A140" s="1">
        <v>2</v>
      </c>
      <c r="B140" s="35" t="s">
        <v>781</v>
      </c>
      <c r="C140" t="s">
        <v>778</v>
      </c>
      <c r="D140" s="1" t="s">
        <v>21</v>
      </c>
      <c r="E140" s="1" t="s">
        <v>112</v>
      </c>
      <c r="F140" s="4">
        <v>45404</v>
      </c>
      <c r="G140" s="1" t="s">
        <v>21</v>
      </c>
      <c r="H140" s="1" t="s">
        <v>21</v>
      </c>
      <c r="I140" s="1" t="s">
        <v>21</v>
      </c>
      <c r="J140" s="1" t="s">
        <v>21</v>
      </c>
      <c r="K140" s="3">
        <v>0.22125</v>
      </c>
      <c r="L140" s="1" t="s">
        <v>7</v>
      </c>
      <c r="M140" s="1" t="s">
        <v>7</v>
      </c>
      <c r="N140" s="1">
        <v>1</v>
      </c>
      <c r="O140" s="35">
        <v>1</v>
      </c>
      <c r="P140" s="35">
        <v>90</v>
      </c>
      <c r="Q140" s="35">
        <v>90</v>
      </c>
      <c r="R140" s="1">
        <v>115.17</v>
      </c>
      <c r="S140" s="1">
        <v>115.17</v>
      </c>
      <c r="T140" s="1" t="s">
        <v>21</v>
      </c>
    </row>
    <row r="141" spans="1:22" x14ac:dyDescent="0.2">
      <c r="A141" s="1">
        <v>2</v>
      </c>
      <c r="B141" s="35" t="s">
        <v>782</v>
      </c>
      <c r="C141" t="s">
        <v>780</v>
      </c>
      <c r="D141" s="1" t="s">
        <v>21</v>
      </c>
      <c r="E141" s="1" t="s">
        <v>252</v>
      </c>
      <c r="F141" s="4">
        <v>45405</v>
      </c>
      <c r="G141" s="1" t="s">
        <v>21</v>
      </c>
      <c r="H141" s="1" t="s">
        <v>21</v>
      </c>
      <c r="I141" s="1" t="s">
        <v>21</v>
      </c>
      <c r="J141" s="1" t="s">
        <v>21</v>
      </c>
      <c r="K141" s="3">
        <v>0.22743055555555555</v>
      </c>
      <c r="L141" s="1" t="s">
        <v>8</v>
      </c>
      <c r="M141" s="1" t="s">
        <v>8</v>
      </c>
      <c r="N141" s="1">
        <v>1</v>
      </c>
      <c r="O141" s="35">
        <v>1</v>
      </c>
      <c r="P141" s="35">
        <v>90</v>
      </c>
      <c r="Q141" s="35">
        <v>90</v>
      </c>
      <c r="R141" s="1">
        <v>115.17</v>
      </c>
      <c r="S141" s="1">
        <v>115.17</v>
      </c>
      <c r="T141" s="1" t="s">
        <v>21</v>
      </c>
    </row>
    <row r="142" spans="1:22" x14ac:dyDescent="0.2">
      <c r="A142" s="1">
        <v>2</v>
      </c>
      <c r="B142" s="35" t="s">
        <v>781</v>
      </c>
      <c r="C142" t="s">
        <v>778</v>
      </c>
      <c r="D142" s="1" t="s">
        <v>21</v>
      </c>
      <c r="E142" s="1" t="s">
        <v>252</v>
      </c>
      <c r="F142" s="4">
        <v>45405</v>
      </c>
      <c r="G142" s="1" t="s">
        <v>21</v>
      </c>
      <c r="H142" s="1" t="s">
        <v>21</v>
      </c>
      <c r="I142" s="1" t="s">
        <v>21</v>
      </c>
      <c r="J142" s="1" t="s">
        <v>21</v>
      </c>
      <c r="K142" s="3">
        <v>0.22743055555555555</v>
      </c>
      <c r="L142" s="1" t="s">
        <v>7</v>
      </c>
      <c r="M142" s="1" t="s">
        <v>7</v>
      </c>
      <c r="N142" s="1">
        <v>1</v>
      </c>
      <c r="O142" s="35">
        <v>1</v>
      </c>
      <c r="P142" s="35">
        <v>90</v>
      </c>
      <c r="Q142" s="35">
        <v>90</v>
      </c>
      <c r="R142" s="1">
        <v>115.17</v>
      </c>
      <c r="S142" s="1">
        <v>115.17</v>
      </c>
      <c r="T142" s="1" t="s">
        <v>21</v>
      </c>
    </row>
    <row r="143" spans="1:22" x14ac:dyDescent="0.2">
      <c r="A143" s="1">
        <v>2</v>
      </c>
      <c r="B143" s="35" t="s">
        <v>783</v>
      </c>
      <c r="C143" t="s">
        <v>780</v>
      </c>
      <c r="D143" s="1">
        <v>1</v>
      </c>
      <c r="E143" s="1" t="s">
        <v>253</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35">
        <v>1</v>
      </c>
      <c r="P143" s="35">
        <v>90</v>
      </c>
      <c r="Q143" s="35">
        <v>90</v>
      </c>
      <c r="R143" s="1">
        <v>115.17</v>
      </c>
      <c r="S143" s="1">
        <v>115.17</v>
      </c>
      <c r="T143" s="1">
        <v>1</v>
      </c>
      <c r="V143" s="1" t="s">
        <v>550</v>
      </c>
    </row>
    <row r="144" spans="1:22" x14ac:dyDescent="0.2">
      <c r="A144" s="1">
        <v>2</v>
      </c>
      <c r="B144" s="35" t="s">
        <v>784</v>
      </c>
      <c r="C144" t="s">
        <v>778</v>
      </c>
      <c r="D144" s="1">
        <v>1</v>
      </c>
      <c r="E144" s="1" t="s">
        <v>253</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35">
        <v>1</v>
      </c>
      <c r="P144" s="35">
        <v>90</v>
      </c>
      <c r="Q144" s="35">
        <v>90</v>
      </c>
      <c r="R144" s="1">
        <v>115.17</v>
      </c>
      <c r="S144" s="1">
        <v>115.17</v>
      </c>
      <c r="T144" s="1">
        <v>1</v>
      </c>
      <c r="V144" s="1" t="s">
        <v>551</v>
      </c>
    </row>
    <row r="145" spans="1:23" x14ac:dyDescent="0.2">
      <c r="A145" s="1">
        <v>2</v>
      </c>
      <c r="B145" s="35" t="s">
        <v>783</v>
      </c>
      <c r="C145" t="s">
        <v>780</v>
      </c>
      <c r="D145" s="1" t="s">
        <v>21</v>
      </c>
      <c r="E145" s="1" t="s">
        <v>111</v>
      </c>
      <c r="F145" s="4">
        <v>45406</v>
      </c>
      <c r="G145" s="1" t="s">
        <v>21</v>
      </c>
      <c r="H145" s="1" t="s">
        <v>21</v>
      </c>
      <c r="I145" s="1" t="s">
        <v>21</v>
      </c>
      <c r="J145" s="1" t="s">
        <v>21</v>
      </c>
      <c r="K145" s="3">
        <v>0.22142361111111111</v>
      </c>
      <c r="L145" s="1" t="s">
        <v>7</v>
      </c>
      <c r="M145" s="1" t="s">
        <v>7</v>
      </c>
      <c r="N145" s="1">
        <v>1</v>
      </c>
      <c r="O145" s="35">
        <v>1</v>
      </c>
      <c r="P145" s="35">
        <v>90</v>
      </c>
      <c r="Q145" s="35">
        <v>90</v>
      </c>
      <c r="R145" s="1">
        <v>115.17</v>
      </c>
      <c r="S145" s="1">
        <v>115.17</v>
      </c>
      <c r="T145" s="1" t="s">
        <v>21</v>
      </c>
      <c r="V145" s="1" t="s">
        <v>552</v>
      </c>
    </row>
    <row r="146" spans="1:23" x14ac:dyDescent="0.2">
      <c r="A146" s="1">
        <v>2</v>
      </c>
      <c r="B146" s="35" t="s">
        <v>784</v>
      </c>
      <c r="C146" t="s">
        <v>778</v>
      </c>
      <c r="D146" s="1" t="s">
        <v>21</v>
      </c>
      <c r="E146" s="1" t="s">
        <v>111</v>
      </c>
      <c r="F146" s="4">
        <v>45406</v>
      </c>
      <c r="G146" s="1" t="s">
        <v>21</v>
      </c>
      <c r="H146" s="1" t="s">
        <v>21</v>
      </c>
      <c r="I146" s="1" t="s">
        <v>21</v>
      </c>
      <c r="J146" s="1" t="s">
        <v>21</v>
      </c>
      <c r="K146" s="3">
        <v>0.22142361111111111</v>
      </c>
      <c r="L146" s="1" t="s">
        <v>8</v>
      </c>
      <c r="M146" s="1" t="s">
        <v>8</v>
      </c>
      <c r="N146" s="1">
        <v>1</v>
      </c>
      <c r="O146" s="35">
        <v>1</v>
      </c>
      <c r="P146" s="35">
        <v>90</v>
      </c>
      <c r="Q146" s="35">
        <v>90</v>
      </c>
      <c r="R146" s="1">
        <v>115.17</v>
      </c>
      <c r="S146" s="1">
        <v>115.17</v>
      </c>
      <c r="T146" s="1" t="s">
        <v>77</v>
      </c>
    </row>
    <row r="147" spans="1:23" x14ac:dyDescent="0.2">
      <c r="A147" s="1">
        <v>2</v>
      </c>
      <c r="B147" s="35" t="s">
        <v>781</v>
      </c>
      <c r="C147" t="s">
        <v>778</v>
      </c>
      <c r="D147" s="1">
        <v>1</v>
      </c>
      <c r="E147" s="1" t="s">
        <v>556</v>
      </c>
      <c r="F147" s="4">
        <v>45411</v>
      </c>
      <c r="G147" s="3">
        <v>0.25243055555555555</v>
      </c>
      <c r="H147" s="3">
        <v>0.25972222222222224</v>
      </c>
      <c r="I147" s="3">
        <v>1.8564814814814815E-2</v>
      </c>
      <c r="J147" s="3">
        <v>1.1689814814814816E-3</v>
      </c>
      <c r="K147" s="1" t="s">
        <v>21</v>
      </c>
      <c r="L147" s="1" t="s">
        <v>8</v>
      </c>
      <c r="M147" s="1" t="s">
        <v>7</v>
      </c>
      <c r="N147" s="1">
        <v>1</v>
      </c>
      <c r="O147" s="35">
        <v>2</v>
      </c>
      <c r="P147" s="35">
        <v>90</v>
      </c>
      <c r="Q147" s="35">
        <v>90</v>
      </c>
      <c r="R147" s="1">
        <v>57.4</v>
      </c>
      <c r="S147" s="1">
        <v>57.4</v>
      </c>
      <c r="T147" s="1">
        <v>0</v>
      </c>
      <c r="V147" s="1" t="s">
        <v>558</v>
      </c>
    </row>
    <row r="148" spans="1:23" x14ac:dyDescent="0.2">
      <c r="A148" s="1">
        <v>2</v>
      </c>
      <c r="B148" s="35" t="s">
        <v>781</v>
      </c>
      <c r="C148" t="s">
        <v>778</v>
      </c>
      <c r="D148" s="1">
        <v>1</v>
      </c>
      <c r="E148" s="1" t="s">
        <v>119</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35">
        <v>2</v>
      </c>
      <c r="P148" s="35">
        <v>90</v>
      </c>
      <c r="Q148" s="35">
        <v>90</v>
      </c>
      <c r="R148" s="1">
        <v>57.4</v>
      </c>
      <c r="S148" s="1">
        <v>57.4</v>
      </c>
      <c r="T148" s="1">
        <v>1</v>
      </c>
      <c r="V148" s="1" t="s">
        <v>567</v>
      </c>
    </row>
    <row r="149" spans="1:23" x14ac:dyDescent="0.2">
      <c r="A149" s="1">
        <v>2</v>
      </c>
      <c r="B149" s="35" t="s">
        <v>783</v>
      </c>
      <c r="C149" t="s">
        <v>780</v>
      </c>
      <c r="D149" s="1" t="s">
        <v>21</v>
      </c>
      <c r="E149" s="1" t="s">
        <v>119</v>
      </c>
      <c r="F149" s="4">
        <v>45411</v>
      </c>
      <c r="G149" s="1" t="s">
        <v>21</v>
      </c>
      <c r="H149" s="1" t="s">
        <v>21</v>
      </c>
      <c r="I149" s="1" t="s">
        <v>21</v>
      </c>
      <c r="J149" s="1" t="s">
        <v>21</v>
      </c>
      <c r="K149" s="3">
        <v>0.76197916666666665</v>
      </c>
      <c r="L149" s="1" t="s">
        <v>8</v>
      </c>
      <c r="M149" s="1" t="s">
        <v>7</v>
      </c>
      <c r="N149" s="1">
        <v>2</v>
      </c>
      <c r="O149" s="35">
        <v>2</v>
      </c>
      <c r="P149" s="35">
        <v>90</v>
      </c>
      <c r="Q149" s="35">
        <v>90</v>
      </c>
      <c r="R149" s="1">
        <v>57.4</v>
      </c>
      <c r="S149" s="1">
        <v>57.4</v>
      </c>
      <c r="T149" s="1" t="s">
        <v>21</v>
      </c>
    </row>
    <row r="150" spans="1:23" x14ac:dyDescent="0.2">
      <c r="A150" s="1">
        <v>2</v>
      </c>
      <c r="B150" s="35" t="s">
        <v>783</v>
      </c>
      <c r="C150" t="s">
        <v>780</v>
      </c>
      <c r="D150" s="1">
        <v>1</v>
      </c>
      <c r="E150" s="1" t="s">
        <v>556</v>
      </c>
      <c r="F150" s="4">
        <v>45411</v>
      </c>
      <c r="G150" s="1" t="s">
        <v>21</v>
      </c>
      <c r="H150" s="3">
        <v>0.24861111111111112</v>
      </c>
      <c r="I150" s="1" t="s">
        <v>21</v>
      </c>
      <c r="J150" s="3">
        <v>1.4699074074074074E-2</v>
      </c>
      <c r="K150" s="1" t="s">
        <v>21</v>
      </c>
      <c r="L150" s="1" t="s">
        <v>8</v>
      </c>
      <c r="M150" s="1" t="s">
        <v>7</v>
      </c>
      <c r="N150" s="1">
        <v>1</v>
      </c>
      <c r="O150" s="35">
        <v>1</v>
      </c>
      <c r="P150" s="35">
        <v>90</v>
      </c>
      <c r="Q150" s="35">
        <v>90</v>
      </c>
      <c r="R150" s="1">
        <v>57.4</v>
      </c>
      <c r="S150" s="1">
        <v>57.4</v>
      </c>
      <c r="T150" s="1" t="s">
        <v>21</v>
      </c>
      <c r="V150" s="1" t="s">
        <v>557</v>
      </c>
    </row>
    <row r="151" spans="1:23" x14ac:dyDescent="0.2">
      <c r="A151" s="1">
        <v>2</v>
      </c>
      <c r="B151" s="35" t="s">
        <v>783</v>
      </c>
      <c r="C151" t="s">
        <v>780</v>
      </c>
      <c r="D151" s="1">
        <v>1</v>
      </c>
      <c r="E151" s="1" t="s">
        <v>169</v>
      </c>
      <c r="F151" s="4">
        <v>45412</v>
      </c>
      <c r="G151" s="1" t="s">
        <v>21</v>
      </c>
      <c r="H151" s="3">
        <f t="shared" ref="H151:H160" si="6">K151 + J151</f>
        <v>0.26519675925925923</v>
      </c>
      <c r="I151" s="1" t="s">
        <v>21</v>
      </c>
      <c r="J151" s="3">
        <v>4.8032407407407406E-2</v>
      </c>
      <c r="K151" s="3">
        <v>0.21716435185185184</v>
      </c>
      <c r="L151" s="1" t="s">
        <v>7</v>
      </c>
      <c r="M151" s="1" t="s">
        <v>7</v>
      </c>
      <c r="N151" s="1">
        <v>2</v>
      </c>
      <c r="O151" s="35">
        <v>2</v>
      </c>
      <c r="P151" s="35">
        <v>90</v>
      </c>
      <c r="Q151" s="35">
        <v>90</v>
      </c>
      <c r="R151" s="1">
        <v>57.4</v>
      </c>
      <c r="S151" s="1">
        <v>57.4</v>
      </c>
      <c r="T151" s="1">
        <v>0</v>
      </c>
      <c r="V151" s="1" t="s">
        <v>664</v>
      </c>
      <c r="W151" s="1" t="s">
        <v>665</v>
      </c>
    </row>
    <row r="152" spans="1:23" x14ac:dyDescent="0.2">
      <c r="A152" s="1">
        <v>2</v>
      </c>
      <c r="B152" s="35" t="s">
        <v>781</v>
      </c>
      <c r="C152" t="s">
        <v>778</v>
      </c>
      <c r="D152" s="1">
        <v>1</v>
      </c>
      <c r="E152" s="1" t="s">
        <v>169</v>
      </c>
      <c r="F152" s="4">
        <v>45412</v>
      </c>
      <c r="G152" s="3">
        <f>$K152 + $I152</f>
        <v>0.24459490740740741</v>
      </c>
      <c r="H152" s="3">
        <f t="shared" si="6"/>
        <v>0.28041666666666665</v>
      </c>
      <c r="I152" s="3">
        <v>2.7430555555555555E-2</v>
      </c>
      <c r="J152" s="3">
        <v>6.3252314814814817E-2</v>
      </c>
      <c r="K152" s="3">
        <v>0.21716435185185184</v>
      </c>
      <c r="L152" s="1" t="s">
        <v>8</v>
      </c>
      <c r="M152" s="1" t="s">
        <v>8</v>
      </c>
      <c r="N152" s="1">
        <v>2</v>
      </c>
      <c r="O152" s="35">
        <v>2</v>
      </c>
      <c r="P152" s="35">
        <v>90</v>
      </c>
      <c r="Q152" s="35">
        <v>90</v>
      </c>
      <c r="R152" s="1">
        <v>57.4</v>
      </c>
      <c r="S152" s="1">
        <v>57.4</v>
      </c>
      <c r="T152" s="1">
        <v>1</v>
      </c>
      <c r="W152" s="1" t="s">
        <v>643</v>
      </c>
    </row>
    <row r="153" spans="1:23" x14ac:dyDescent="0.2">
      <c r="A153" s="1">
        <v>2</v>
      </c>
      <c r="B153" s="35" t="s">
        <v>783</v>
      </c>
      <c r="C153" t="s">
        <v>780</v>
      </c>
      <c r="D153" s="1">
        <v>1</v>
      </c>
      <c r="E153" s="1" t="s">
        <v>772</v>
      </c>
      <c r="F153" s="4">
        <v>45412</v>
      </c>
      <c r="G153" s="3">
        <f>$K153 + $I153</f>
        <v>0.78037037037037038</v>
      </c>
      <c r="H153" s="3">
        <f t="shared" si="6"/>
        <v>0.7833796296296297</v>
      </c>
      <c r="I153" s="3">
        <v>1.8587962962962962E-2</v>
      </c>
      <c r="J153" s="3">
        <v>2.1597222222222223E-2</v>
      </c>
      <c r="K153" s="3">
        <v>0.76178240740740744</v>
      </c>
      <c r="L153" s="1" t="s">
        <v>7</v>
      </c>
      <c r="M153" s="1" t="s">
        <v>8</v>
      </c>
      <c r="N153" s="1">
        <v>2</v>
      </c>
      <c r="O153" s="35">
        <v>2</v>
      </c>
      <c r="P153" s="35">
        <v>90</v>
      </c>
      <c r="Q153" s="35">
        <v>90</v>
      </c>
      <c r="R153" s="1">
        <v>57.4</v>
      </c>
      <c r="S153" s="1">
        <v>57.4</v>
      </c>
      <c r="T153" s="1">
        <v>0</v>
      </c>
      <c r="V153" s="1" t="s">
        <v>578</v>
      </c>
    </row>
    <row r="154" spans="1:23" x14ac:dyDescent="0.2">
      <c r="A154" s="1">
        <v>2</v>
      </c>
      <c r="B154" s="35" t="s">
        <v>781</v>
      </c>
      <c r="C154" t="s">
        <v>778</v>
      </c>
      <c r="D154" s="1">
        <v>1</v>
      </c>
      <c r="E154" s="1" t="s">
        <v>772</v>
      </c>
      <c r="F154" s="4">
        <v>45412</v>
      </c>
      <c r="G154" s="1" t="s">
        <v>21</v>
      </c>
      <c r="H154" s="3">
        <f t="shared" si="6"/>
        <v>0.77048611111111109</v>
      </c>
      <c r="I154" s="1" t="s">
        <v>21</v>
      </c>
      <c r="J154" s="3">
        <v>8.7037037037037031E-3</v>
      </c>
      <c r="K154" s="3">
        <v>0.76178240740740744</v>
      </c>
      <c r="L154" s="1" t="s">
        <v>8</v>
      </c>
      <c r="M154" s="1" t="s">
        <v>8</v>
      </c>
      <c r="N154" s="1">
        <v>2</v>
      </c>
      <c r="O154" s="35">
        <v>2</v>
      </c>
      <c r="P154" s="35">
        <v>90</v>
      </c>
      <c r="Q154" s="35">
        <v>90</v>
      </c>
      <c r="R154" s="1">
        <v>57.4</v>
      </c>
      <c r="S154" s="1">
        <v>57.4</v>
      </c>
      <c r="T154" s="1">
        <v>1</v>
      </c>
      <c r="V154" s="1" t="s">
        <v>482</v>
      </c>
    </row>
    <row r="155" spans="1:23" x14ac:dyDescent="0.2">
      <c r="A155" s="1">
        <v>2</v>
      </c>
      <c r="B155" s="35" t="s">
        <v>781</v>
      </c>
      <c r="C155" t="s">
        <v>778</v>
      </c>
      <c r="D155" s="1">
        <v>1</v>
      </c>
      <c r="E155" s="1" t="s">
        <v>289</v>
      </c>
      <c r="F155" s="4">
        <v>45413</v>
      </c>
      <c r="G155" s="1" t="s">
        <v>21</v>
      </c>
      <c r="H155" s="3">
        <f t="shared" si="6"/>
        <v>0.76872685185185186</v>
      </c>
      <c r="I155" s="1" t="s">
        <v>21</v>
      </c>
      <c r="J155" s="3">
        <v>4.7337962962962967E-3</v>
      </c>
      <c r="K155" s="3">
        <v>0.76399305555555552</v>
      </c>
      <c r="L155" s="1" t="s">
        <v>7</v>
      </c>
      <c r="M155" s="1" t="s">
        <v>7</v>
      </c>
      <c r="N155" s="1">
        <v>2</v>
      </c>
      <c r="O155" s="35">
        <v>2</v>
      </c>
      <c r="P155" s="35">
        <v>90</v>
      </c>
      <c r="Q155" s="35">
        <v>90</v>
      </c>
      <c r="R155" s="1">
        <v>57.4</v>
      </c>
      <c r="S155" s="1">
        <v>57.4</v>
      </c>
      <c r="T155" s="1">
        <v>0</v>
      </c>
      <c r="V155" s="1" t="s">
        <v>482</v>
      </c>
    </row>
    <row r="156" spans="1:23" x14ac:dyDescent="0.2">
      <c r="A156" s="1">
        <v>2</v>
      </c>
      <c r="B156" s="35" t="s">
        <v>783</v>
      </c>
      <c r="C156" t="s">
        <v>780</v>
      </c>
      <c r="D156" s="1">
        <v>1</v>
      </c>
      <c r="E156" s="1" t="s">
        <v>289</v>
      </c>
      <c r="F156" s="4">
        <v>45413</v>
      </c>
      <c r="G156" s="3">
        <f>$K156 + $I156</f>
        <v>0.77228009259259256</v>
      </c>
      <c r="H156" s="3">
        <f t="shared" si="6"/>
        <v>0.77984953703703697</v>
      </c>
      <c r="I156" s="3">
        <v>8.2870370370370372E-3</v>
      </c>
      <c r="J156" s="3">
        <v>1.5856481481481482E-2</v>
      </c>
      <c r="K156" s="3">
        <v>0.76399305555555552</v>
      </c>
      <c r="L156" s="1" t="s">
        <v>8</v>
      </c>
      <c r="M156" s="1" t="s">
        <v>8</v>
      </c>
      <c r="N156" s="1">
        <v>2</v>
      </c>
      <c r="O156" s="35">
        <v>2</v>
      </c>
      <c r="P156" s="35">
        <v>90</v>
      </c>
      <c r="Q156" s="35">
        <v>90</v>
      </c>
      <c r="R156" s="1">
        <v>57.4</v>
      </c>
      <c r="S156" s="1">
        <v>57.4</v>
      </c>
      <c r="T156" s="1">
        <v>0</v>
      </c>
    </row>
    <row r="157" spans="1:23" x14ac:dyDescent="0.2">
      <c r="A157" s="1">
        <v>2</v>
      </c>
      <c r="B157" s="35" t="s">
        <v>783</v>
      </c>
      <c r="C157" t="s">
        <v>780</v>
      </c>
      <c r="D157" s="1">
        <v>2</v>
      </c>
      <c r="E157" s="1" t="s">
        <v>289</v>
      </c>
      <c r="F157" s="4">
        <v>45413</v>
      </c>
      <c r="G157" s="3">
        <f>$K157 + $I157</f>
        <v>0.78071759259259255</v>
      </c>
      <c r="H157" s="3">
        <f t="shared" si="6"/>
        <v>0.78475694444444444</v>
      </c>
      <c r="I157" s="3">
        <v>1.6724537037037038E-2</v>
      </c>
      <c r="J157" s="3">
        <v>2.0763888888888887E-2</v>
      </c>
      <c r="K157" s="3">
        <v>0.76399305555555552</v>
      </c>
      <c r="L157" s="1" t="s">
        <v>8</v>
      </c>
      <c r="M157" s="1" t="s">
        <v>8</v>
      </c>
      <c r="N157" s="1">
        <v>2</v>
      </c>
      <c r="O157" s="35">
        <v>2</v>
      </c>
      <c r="P157" s="35">
        <v>90</v>
      </c>
      <c r="Q157" s="35">
        <v>90</v>
      </c>
      <c r="R157" s="1">
        <v>57.4</v>
      </c>
      <c r="S157" s="1">
        <v>57.4</v>
      </c>
      <c r="T157" s="1">
        <v>0</v>
      </c>
    </row>
    <row r="158" spans="1:23" x14ac:dyDescent="0.2">
      <c r="A158" s="1">
        <v>2</v>
      </c>
      <c r="B158" s="35" t="s">
        <v>783</v>
      </c>
      <c r="C158" t="s">
        <v>780</v>
      </c>
      <c r="D158" s="1">
        <v>1</v>
      </c>
      <c r="E158" s="1" t="s">
        <v>171</v>
      </c>
      <c r="F158" s="4">
        <v>45413</v>
      </c>
      <c r="G158" s="1" t="s">
        <v>21</v>
      </c>
      <c r="H158" s="3">
        <f t="shared" si="6"/>
        <v>0.22903935185185184</v>
      </c>
      <c r="I158" s="1" t="s">
        <v>21</v>
      </c>
      <c r="J158" s="3">
        <v>1.2534722222222221E-2</v>
      </c>
      <c r="K158" s="3">
        <v>0.21650462962962963</v>
      </c>
      <c r="L158" s="1" t="s">
        <v>7</v>
      </c>
      <c r="M158" s="1" t="s">
        <v>7</v>
      </c>
      <c r="N158" s="1">
        <v>2</v>
      </c>
      <c r="O158" s="35">
        <v>2</v>
      </c>
      <c r="P158" s="35">
        <v>90</v>
      </c>
      <c r="Q158" s="35">
        <v>90</v>
      </c>
      <c r="R158" s="1">
        <v>57.4</v>
      </c>
      <c r="S158" s="1">
        <v>57.4</v>
      </c>
      <c r="T158" s="1">
        <v>0</v>
      </c>
      <c r="V158" s="1" t="s">
        <v>574</v>
      </c>
    </row>
    <row r="159" spans="1:23" x14ac:dyDescent="0.2">
      <c r="A159" s="1">
        <v>2</v>
      </c>
      <c r="B159" s="35" t="s">
        <v>783</v>
      </c>
      <c r="C159" t="s">
        <v>780</v>
      </c>
      <c r="D159" s="1">
        <v>2</v>
      </c>
      <c r="E159" s="1" t="s">
        <v>171</v>
      </c>
      <c r="F159" s="4">
        <v>45413</v>
      </c>
      <c r="G159" s="3">
        <f>$K159 + $I159</f>
        <v>0.23854166666666665</v>
      </c>
      <c r="H159" s="3">
        <f t="shared" si="6"/>
        <v>0.24969907407407407</v>
      </c>
      <c r="I159" s="3">
        <v>2.2037037037037036E-2</v>
      </c>
      <c r="J159" s="3">
        <v>3.3194444444444443E-2</v>
      </c>
      <c r="K159" s="3">
        <v>0.21650462962962963</v>
      </c>
      <c r="L159" s="1" t="s">
        <v>7</v>
      </c>
      <c r="M159" s="1" t="s">
        <v>8</v>
      </c>
      <c r="N159" s="1">
        <v>2</v>
      </c>
      <c r="O159" s="35">
        <v>2</v>
      </c>
      <c r="P159" s="35">
        <v>90</v>
      </c>
      <c r="Q159" s="35">
        <v>90</v>
      </c>
      <c r="R159" s="1">
        <v>57.4</v>
      </c>
      <c r="S159" s="1">
        <v>57.4</v>
      </c>
      <c r="T159" s="1">
        <v>0</v>
      </c>
      <c r="V159" s="1" t="s">
        <v>575</v>
      </c>
    </row>
    <row r="160" spans="1:23" x14ac:dyDescent="0.2">
      <c r="A160" s="1">
        <v>2</v>
      </c>
      <c r="B160" s="35" t="s">
        <v>783</v>
      </c>
      <c r="C160" t="s">
        <v>780</v>
      </c>
      <c r="D160" s="1">
        <v>3</v>
      </c>
      <c r="E160" s="1" t="s">
        <v>171</v>
      </c>
      <c r="F160" s="4">
        <v>45413</v>
      </c>
      <c r="G160" s="3">
        <f>$K160 + $I160</f>
        <v>0.25157407407407406</v>
      </c>
      <c r="H160" s="3">
        <f t="shared" si="6"/>
        <v>0.26141203703703703</v>
      </c>
      <c r="I160" s="3">
        <v>3.5069444444444445E-2</v>
      </c>
      <c r="J160" s="3">
        <v>4.490740740740741E-2</v>
      </c>
      <c r="K160" s="3">
        <v>0.21650462962962963</v>
      </c>
      <c r="L160" s="1" t="s">
        <v>8</v>
      </c>
      <c r="M160" s="1" t="s">
        <v>8</v>
      </c>
      <c r="N160" s="1">
        <v>2</v>
      </c>
      <c r="O160" s="35">
        <v>1</v>
      </c>
      <c r="P160" s="35">
        <v>90</v>
      </c>
      <c r="Q160" s="35">
        <v>90</v>
      </c>
      <c r="R160" s="1">
        <v>57.4</v>
      </c>
      <c r="S160" s="1">
        <v>57.4</v>
      </c>
      <c r="T160" s="1">
        <v>0</v>
      </c>
      <c r="V160" s="1" t="s">
        <v>576</v>
      </c>
    </row>
    <row r="161" spans="1:22" x14ac:dyDescent="0.2">
      <c r="A161" s="1">
        <v>2</v>
      </c>
      <c r="B161" s="35" t="s">
        <v>781</v>
      </c>
      <c r="C161" t="s">
        <v>778</v>
      </c>
      <c r="D161" s="1">
        <v>1</v>
      </c>
      <c r="E161" s="1" t="s">
        <v>171</v>
      </c>
      <c r="F161" s="4">
        <v>45413</v>
      </c>
      <c r="G161" s="3">
        <f>$K161 + $I161</f>
        <v>0.25039351851851854</v>
      </c>
      <c r="H161" s="1" t="s">
        <v>21</v>
      </c>
      <c r="I161" s="3">
        <v>3.3888888888888892E-2</v>
      </c>
      <c r="J161" s="1" t="s">
        <v>21</v>
      </c>
      <c r="K161" s="3">
        <v>0.21650462962962963</v>
      </c>
      <c r="L161" s="1" t="s">
        <v>7</v>
      </c>
      <c r="M161" s="1" t="s">
        <v>7</v>
      </c>
      <c r="N161" s="1">
        <v>2</v>
      </c>
      <c r="O161" s="35">
        <v>2</v>
      </c>
      <c r="P161" s="35">
        <v>90</v>
      </c>
      <c r="Q161" s="35">
        <v>90</v>
      </c>
      <c r="R161" s="1">
        <v>57.4</v>
      </c>
      <c r="S161" s="1">
        <v>57.4</v>
      </c>
      <c r="T161" s="1" t="s">
        <v>21</v>
      </c>
      <c r="V161" s="1" t="s">
        <v>577</v>
      </c>
    </row>
    <row r="162" spans="1:22" x14ac:dyDescent="0.2">
      <c r="A162" s="1">
        <v>2</v>
      </c>
      <c r="B162" s="35" t="s">
        <v>781</v>
      </c>
      <c r="C162" t="s">
        <v>778</v>
      </c>
      <c r="D162" s="1">
        <v>1</v>
      </c>
      <c r="E162" s="1" t="s">
        <v>752</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35">
        <v>2</v>
      </c>
      <c r="P162" s="35">
        <v>90</v>
      </c>
      <c r="Q162" s="35">
        <v>90</v>
      </c>
      <c r="R162" s="1">
        <v>57.4</v>
      </c>
      <c r="S162" s="1">
        <v>57.4</v>
      </c>
      <c r="T162" s="1">
        <v>1</v>
      </c>
      <c r="V162" s="1" t="s">
        <v>572</v>
      </c>
    </row>
    <row r="163" spans="1:22" x14ac:dyDescent="0.2">
      <c r="A163" s="1">
        <v>2</v>
      </c>
      <c r="B163" s="35" t="s">
        <v>783</v>
      </c>
      <c r="C163" t="s">
        <v>780</v>
      </c>
      <c r="D163" s="1">
        <v>1</v>
      </c>
      <c r="E163" s="1" t="s">
        <v>752</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35">
        <v>2</v>
      </c>
      <c r="P163" s="35">
        <v>90</v>
      </c>
      <c r="Q163" s="35">
        <v>90</v>
      </c>
      <c r="R163" s="1">
        <v>57.4</v>
      </c>
      <c r="S163" s="1">
        <v>57.4</v>
      </c>
      <c r="T163" s="1">
        <v>0</v>
      </c>
      <c r="V163" s="1" t="s">
        <v>573</v>
      </c>
    </row>
    <row r="164" spans="1:22" x14ac:dyDescent="0.2">
      <c r="A164" s="1">
        <v>2</v>
      </c>
      <c r="B164" s="35" t="s">
        <v>783</v>
      </c>
      <c r="C164" t="s">
        <v>780</v>
      </c>
      <c r="D164" s="1">
        <v>1</v>
      </c>
      <c r="E164" s="1" t="s">
        <v>293</v>
      </c>
      <c r="F164" s="4">
        <v>45414</v>
      </c>
      <c r="G164" s="1" t="s">
        <v>21</v>
      </c>
      <c r="H164" s="3">
        <f>K164 + J164</f>
        <v>0.76692129629629635</v>
      </c>
      <c r="I164" s="1" t="s">
        <v>21</v>
      </c>
      <c r="J164" s="3">
        <v>9.0509259259259258E-3</v>
      </c>
      <c r="K164" s="3">
        <v>0.75787037037037042</v>
      </c>
      <c r="L164" s="1" t="s">
        <v>7</v>
      </c>
      <c r="M164" s="1" t="s">
        <v>8</v>
      </c>
      <c r="N164" s="1">
        <v>2</v>
      </c>
      <c r="O164" s="35">
        <v>2</v>
      </c>
      <c r="P164" s="35">
        <v>90</v>
      </c>
      <c r="Q164" s="35">
        <v>90</v>
      </c>
      <c r="R164" s="1">
        <v>57.4</v>
      </c>
      <c r="S164" s="1">
        <v>57.4</v>
      </c>
      <c r="T164" s="1">
        <v>0</v>
      </c>
      <c r="V164" s="1" t="s">
        <v>583</v>
      </c>
    </row>
    <row r="165" spans="1:22" x14ac:dyDescent="0.2">
      <c r="A165" s="1">
        <v>2</v>
      </c>
      <c r="B165" s="35" t="s">
        <v>781</v>
      </c>
      <c r="C165" t="s">
        <v>778</v>
      </c>
      <c r="D165" s="1">
        <v>1</v>
      </c>
      <c r="E165" s="1" t="s">
        <v>293</v>
      </c>
      <c r="F165" s="4">
        <v>45414</v>
      </c>
      <c r="G165" s="1" t="s">
        <v>21</v>
      </c>
      <c r="H165" s="3">
        <f>K165 + J165</f>
        <v>0.77929398148148155</v>
      </c>
      <c r="I165" s="1" t="s">
        <v>21</v>
      </c>
      <c r="J165" s="3">
        <v>2.1423611111111112E-2</v>
      </c>
      <c r="K165" s="3">
        <v>0.75787037037037042</v>
      </c>
      <c r="L165" s="1" t="s">
        <v>8</v>
      </c>
      <c r="M165" s="1" t="s">
        <v>7</v>
      </c>
      <c r="N165" s="1">
        <v>2</v>
      </c>
      <c r="O165" s="35">
        <v>2</v>
      </c>
      <c r="P165" s="35">
        <v>90</v>
      </c>
      <c r="Q165" s="35">
        <v>90</v>
      </c>
      <c r="R165" s="1">
        <v>57.4</v>
      </c>
      <c r="S165" s="1">
        <v>57.4</v>
      </c>
      <c r="T165" s="1">
        <v>0</v>
      </c>
      <c r="V165" s="1" t="s">
        <v>582</v>
      </c>
    </row>
    <row r="166" spans="1:22" x14ac:dyDescent="0.2">
      <c r="A166" s="1">
        <v>2</v>
      </c>
      <c r="B166" s="35" t="s">
        <v>781</v>
      </c>
      <c r="C166" t="s">
        <v>778</v>
      </c>
      <c r="D166" s="1">
        <v>1</v>
      </c>
      <c r="E166" s="1" t="s">
        <v>118</v>
      </c>
      <c r="F166" s="4">
        <v>45409</v>
      </c>
      <c r="G166" s="1" t="s">
        <v>21</v>
      </c>
      <c r="H166" s="3">
        <v>0.77035879629629633</v>
      </c>
      <c r="I166" s="1" t="s">
        <v>21</v>
      </c>
      <c r="J166" s="3">
        <v>8.5532407407407415E-3</v>
      </c>
      <c r="K166" s="3">
        <v>0.77035879629629633</v>
      </c>
      <c r="L166" s="1" t="s">
        <v>8</v>
      </c>
      <c r="M166" s="1" t="s">
        <v>8</v>
      </c>
      <c r="N166" s="1">
        <v>1</v>
      </c>
      <c r="O166" s="35">
        <v>1</v>
      </c>
      <c r="P166" s="35">
        <v>90</v>
      </c>
      <c r="Q166" s="35">
        <v>90</v>
      </c>
      <c r="R166" s="1">
        <v>115.17</v>
      </c>
      <c r="S166" s="1">
        <v>115.17</v>
      </c>
      <c r="T166" s="1">
        <v>1</v>
      </c>
      <c r="V166" s="1" t="s">
        <v>482</v>
      </c>
    </row>
    <row r="167" spans="1:22" x14ac:dyDescent="0.2">
      <c r="A167" s="1">
        <v>2</v>
      </c>
      <c r="B167" s="35" t="s">
        <v>783</v>
      </c>
      <c r="C167" t="s">
        <v>780</v>
      </c>
      <c r="D167" s="1" t="s">
        <v>21</v>
      </c>
      <c r="E167" s="1" t="s">
        <v>118</v>
      </c>
      <c r="F167" s="4">
        <v>45409</v>
      </c>
      <c r="G167" s="1" t="s">
        <v>21</v>
      </c>
      <c r="H167" s="1" t="s">
        <v>21</v>
      </c>
      <c r="I167" s="1" t="s">
        <v>21</v>
      </c>
      <c r="J167" s="1" t="s">
        <v>21</v>
      </c>
      <c r="K167" s="3">
        <v>0.77035879629629633</v>
      </c>
      <c r="L167" s="1" t="s">
        <v>7</v>
      </c>
      <c r="M167" s="1" t="s">
        <v>7</v>
      </c>
      <c r="N167" s="1">
        <v>1</v>
      </c>
      <c r="O167" s="35">
        <v>1</v>
      </c>
      <c r="P167" s="35">
        <v>90</v>
      </c>
      <c r="Q167" s="35">
        <v>90</v>
      </c>
      <c r="R167" s="1">
        <v>115.17</v>
      </c>
      <c r="S167" s="1">
        <v>115.17</v>
      </c>
      <c r="T167" s="1" t="s">
        <v>21</v>
      </c>
      <c r="V167" s="1" t="s">
        <v>584</v>
      </c>
    </row>
    <row r="168" spans="1:22" x14ac:dyDescent="0.2">
      <c r="A168" s="1">
        <v>2</v>
      </c>
      <c r="B168" s="35" t="s">
        <v>781</v>
      </c>
      <c r="C168" t="s">
        <v>778</v>
      </c>
      <c r="D168" s="1">
        <v>1</v>
      </c>
      <c r="E168" s="1" t="s">
        <v>254</v>
      </c>
      <c r="F168" s="4">
        <v>45406</v>
      </c>
      <c r="G168" s="3">
        <f>$K168 + $I168</f>
        <v>0.76812499999999995</v>
      </c>
      <c r="H168" s="1" t="s">
        <v>21</v>
      </c>
      <c r="I168" s="3">
        <v>4.6296296296296294E-5</v>
      </c>
      <c r="J168" s="1" t="s">
        <v>21</v>
      </c>
      <c r="K168" s="3">
        <v>0.76807870370370368</v>
      </c>
      <c r="L168" s="1" t="s">
        <v>8</v>
      </c>
      <c r="N168" s="1">
        <v>1</v>
      </c>
      <c r="P168" s="35">
        <v>90</v>
      </c>
      <c r="Q168" s="35">
        <v>90</v>
      </c>
      <c r="R168" s="1">
        <v>115.17</v>
      </c>
      <c r="S168" s="1">
        <v>115.17</v>
      </c>
      <c r="T168" s="1" t="s">
        <v>21</v>
      </c>
      <c r="V168" s="1" t="s">
        <v>586</v>
      </c>
    </row>
    <row r="169" spans="1:22" x14ac:dyDescent="0.2">
      <c r="A169" s="1">
        <v>2</v>
      </c>
      <c r="B169" s="35" t="s">
        <v>783</v>
      </c>
      <c r="C169" t="s">
        <v>780</v>
      </c>
      <c r="D169" s="1">
        <v>1</v>
      </c>
      <c r="E169" s="1" t="s">
        <v>254</v>
      </c>
      <c r="F169" s="4">
        <v>45406</v>
      </c>
      <c r="G169" s="3">
        <f>$K169 + $I169</f>
        <v>0.77166666666666661</v>
      </c>
      <c r="H169" s="1" t="s">
        <v>21</v>
      </c>
      <c r="I169" s="3">
        <v>3.5879629629629629E-3</v>
      </c>
      <c r="J169" s="1" t="s">
        <v>21</v>
      </c>
      <c r="K169" s="3">
        <v>0.76807870370370368</v>
      </c>
      <c r="L169" s="1" t="s">
        <v>7</v>
      </c>
      <c r="N169" s="1">
        <v>1</v>
      </c>
      <c r="P169" s="35">
        <v>90</v>
      </c>
      <c r="Q169" s="35">
        <v>90</v>
      </c>
      <c r="R169" s="1">
        <v>115.17</v>
      </c>
      <c r="S169" s="1">
        <v>115.17</v>
      </c>
      <c r="T169" s="1" t="s">
        <v>21</v>
      </c>
      <c r="V169" s="1" t="s">
        <v>585</v>
      </c>
    </row>
    <row r="170" spans="1:22" x14ac:dyDescent="0.2">
      <c r="A170" s="1">
        <v>2</v>
      </c>
      <c r="B170" s="35" t="s">
        <v>781</v>
      </c>
      <c r="C170" t="s">
        <v>778</v>
      </c>
      <c r="D170" s="1">
        <v>1</v>
      </c>
      <c r="E170" s="1" t="s">
        <v>255</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35">
        <v>1</v>
      </c>
      <c r="P170" s="35">
        <v>90</v>
      </c>
      <c r="Q170" s="35">
        <v>90</v>
      </c>
      <c r="R170" s="1">
        <v>115.17</v>
      </c>
      <c r="S170" s="1">
        <v>115.17</v>
      </c>
      <c r="T170" s="1">
        <v>1</v>
      </c>
      <c r="V170" s="1" t="s">
        <v>589</v>
      </c>
    </row>
    <row r="171" spans="1:22" x14ac:dyDescent="0.2">
      <c r="A171" s="1">
        <v>2</v>
      </c>
      <c r="B171" s="35" t="s">
        <v>783</v>
      </c>
      <c r="C171" t="s">
        <v>780</v>
      </c>
      <c r="D171" s="1">
        <v>1</v>
      </c>
      <c r="E171" s="1" t="s">
        <v>255</v>
      </c>
      <c r="F171" s="4">
        <v>45410</v>
      </c>
      <c r="G171" s="1" t="s">
        <v>21</v>
      </c>
      <c r="H171" s="3">
        <f>K171 + J171</f>
        <v>0.26020833333333332</v>
      </c>
      <c r="I171" s="3" t="s">
        <v>21</v>
      </c>
      <c r="J171" s="3">
        <v>2.4340277777777777E-2</v>
      </c>
      <c r="K171" s="3">
        <v>0.23586805555555557</v>
      </c>
      <c r="L171" s="1" t="s">
        <v>7</v>
      </c>
      <c r="M171" s="1" t="s">
        <v>7</v>
      </c>
      <c r="N171" s="1">
        <v>1</v>
      </c>
      <c r="O171" s="35">
        <v>1</v>
      </c>
      <c r="P171" s="35">
        <v>90</v>
      </c>
      <c r="Q171" s="35">
        <v>90</v>
      </c>
      <c r="R171" s="1">
        <v>115.17</v>
      </c>
      <c r="S171" s="1">
        <v>115.17</v>
      </c>
      <c r="T171" s="1" t="s">
        <v>21</v>
      </c>
      <c r="V171" s="1" t="s">
        <v>590</v>
      </c>
    </row>
    <row r="172" spans="1:22" x14ac:dyDescent="0.2">
      <c r="A172" s="1">
        <v>2</v>
      </c>
      <c r="B172" s="35" t="s">
        <v>781</v>
      </c>
      <c r="C172" t="s">
        <v>778</v>
      </c>
      <c r="D172" s="1">
        <v>1</v>
      </c>
      <c r="E172" s="1" t="s">
        <v>256</v>
      </c>
      <c r="F172" s="4">
        <v>45410</v>
      </c>
      <c r="G172" s="3">
        <f t="shared" ref="G172:G178" si="7">$K172 + $I172</f>
        <v>0.76108796296296288</v>
      </c>
      <c r="H172" s="3">
        <f>K172 + J172</f>
        <v>0.77182870370370371</v>
      </c>
      <c r="I172" s="3">
        <v>3.4837962962962965E-3</v>
      </c>
      <c r="J172" s="3">
        <v>1.4224537037037037E-2</v>
      </c>
      <c r="K172" s="3">
        <v>0.75760416666666663</v>
      </c>
      <c r="L172" s="1" t="s">
        <v>8</v>
      </c>
      <c r="M172" s="1" t="s">
        <v>8</v>
      </c>
      <c r="N172" s="1">
        <v>1</v>
      </c>
      <c r="O172" s="35">
        <v>1</v>
      </c>
      <c r="P172" s="35">
        <v>90</v>
      </c>
      <c r="Q172" s="35">
        <v>90</v>
      </c>
      <c r="R172" s="1">
        <v>115.17</v>
      </c>
      <c r="S172" s="1">
        <v>115.17</v>
      </c>
      <c r="T172" s="1">
        <v>1</v>
      </c>
    </row>
    <row r="173" spans="1:22" x14ac:dyDescent="0.2">
      <c r="A173" s="1">
        <v>2</v>
      </c>
      <c r="B173" s="35" t="s">
        <v>783</v>
      </c>
      <c r="C173" t="s">
        <v>780</v>
      </c>
      <c r="D173" s="1">
        <v>2</v>
      </c>
      <c r="E173" s="1" t="s">
        <v>256</v>
      </c>
      <c r="F173" s="4">
        <v>45410</v>
      </c>
      <c r="G173" s="3">
        <f t="shared" si="7"/>
        <v>0.78081018518518519</v>
      </c>
      <c r="H173" s="1" t="s">
        <v>21</v>
      </c>
      <c r="I173" s="3">
        <v>2.3206018518518518E-2</v>
      </c>
      <c r="J173" s="3" t="s">
        <v>21</v>
      </c>
      <c r="K173" s="3">
        <v>0.75760416666666663</v>
      </c>
      <c r="L173" s="1" t="s">
        <v>7</v>
      </c>
      <c r="M173" s="1" t="s">
        <v>7</v>
      </c>
      <c r="N173" s="1">
        <v>1</v>
      </c>
      <c r="O173" s="35">
        <v>1</v>
      </c>
      <c r="P173" s="35">
        <v>90</v>
      </c>
      <c r="Q173" s="35">
        <v>90</v>
      </c>
      <c r="R173" s="1">
        <v>115.17</v>
      </c>
      <c r="S173" s="1">
        <v>115.17</v>
      </c>
      <c r="T173" s="1" t="s">
        <v>21</v>
      </c>
      <c r="V173" s="1" t="s">
        <v>592</v>
      </c>
    </row>
    <row r="174" spans="1:22" x14ac:dyDescent="0.2">
      <c r="A174" s="1">
        <v>2</v>
      </c>
      <c r="B174" s="35" t="s">
        <v>783</v>
      </c>
      <c r="C174" t="s">
        <v>780</v>
      </c>
      <c r="D174" s="1">
        <v>1</v>
      </c>
      <c r="E174" s="1" t="s">
        <v>256</v>
      </c>
      <c r="F174" s="4">
        <v>45410</v>
      </c>
      <c r="G174" s="3">
        <f t="shared" si="7"/>
        <v>0.77579861111111104</v>
      </c>
      <c r="H174" s="1" t="s">
        <v>21</v>
      </c>
      <c r="I174" s="3">
        <v>1.8194444444444444E-2</v>
      </c>
      <c r="J174" s="1" t="s">
        <v>21</v>
      </c>
      <c r="K174" s="3">
        <v>0.75760416666666663</v>
      </c>
      <c r="L174" s="1" t="s">
        <v>7</v>
      </c>
      <c r="M174" s="1" t="s">
        <v>7</v>
      </c>
      <c r="N174" s="1">
        <v>1</v>
      </c>
      <c r="O174" s="35">
        <v>1</v>
      </c>
      <c r="P174" s="35">
        <v>90</v>
      </c>
      <c r="Q174" s="35">
        <v>90</v>
      </c>
      <c r="R174" s="1">
        <v>115.17</v>
      </c>
      <c r="S174" s="1">
        <v>115.17</v>
      </c>
      <c r="T174" s="1" t="s">
        <v>21</v>
      </c>
      <c r="V174" s="1" t="s">
        <v>591</v>
      </c>
    </row>
    <row r="175" spans="1:22" x14ac:dyDescent="0.2">
      <c r="A175" s="1">
        <v>2</v>
      </c>
      <c r="B175" s="35" t="s">
        <v>783</v>
      </c>
      <c r="C175" t="s">
        <v>780</v>
      </c>
      <c r="D175" s="1">
        <v>1</v>
      </c>
      <c r="E175" s="1" t="s">
        <v>296</v>
      </c>
      <c r="F175" s="4">
        <v>45415</v>
      </c>
      <c r="G175" s="3">
        <f t="shared" si="7"/>
        <v>0.23238425925925926</v>
      </c>
      <c r="H175" s="3">
        <f>K175 + J175</f>
        <v>0.26935185185185184</v>
      </c>
      <c r="I175" s="3">
        <v>1.5219907407407408E-2</v>
      </c>
      <c r="J175" s="3">
        <v>5.2187499999999998E-2</v>
      </c>
      <c r="K175" s="3">
        <v>0.21716435185185184</v>
      </c>
      <c r="L175" s="1" t="s">
        <v>8</v>
      </c>
      <c r="M175" s="1" t="s">
        <v>8</v>
      </c>
      <c r="N175" s="1">
        <v>3</v>
      </c>
      <c r="O175" s="35">
        <v>3</v>
      </c>
      <c r="P175" s="35">
        <v>90</v>
      </c>
      <c r="Q175" s="35">
        <v>90</v>
      </c>
      <c r="R175" s="1">
        <v>57.4</v>
      </c>
      <c r="S175" s="1">
        <v>57.4</v>
      </c>
      <c r="T175" s="1">
        <v>1</v>
      </c>
    </row>
    <row r="176" spans="1:22" x14ac:dyDescent="0.2">
      <c r="A176" s="1">
        <v>2</v>
      </c>
      <c r="B176" s="35" t="s">
        <v>781</v>
      </c>
      <c r="C176" t="s">
        <v>778</v>
      </c>
      <c r="D176" s="1">
        <v>2</v>
      </c>
      <c r="E176" s="1" t="s">
        <v>296</v>
      </c>
      <c r="F176" s="4">
        <v>45415</v>
      </c>
      <c r="G176" s="3">
        <f t="shared" si="7"/>
        <v>0.26510416666666664</v>
      </c>
      <c r="H176" s="3">
        <f>K176 + J176</f>
        <v>0.2772222222222222</v>
      </c>
      <c r="I176" s="3">
        <v>4.7939814814814817E-2</v>
      </c>
      <c r="J176" s="3">
        <v>6.0057870370370373E-2</v>
      </c>
      <c r="K176" s="3">
        <v>0.21716435185185184</v>
      </c>
      <c r="L176" s="1" t="s">
        <v>7</v>
      </c>
      <c r="M176" s="1" t="s">
        <v>7</v>
      </c>
      <c r="N176" s="1">
        <v>3</v>
      </c>
      <c r="O176" s="35">
        <v>3</v>
      </c>
      <c r="P176" s="35">
        <v>90</v>
      </c>
      <c r="Q176" s="35">
        <v>90</v>
      </c>
      <c r="R176" s="1">
        <v>57.4</v>
      </c>
      <c r="S176" s="1">
        <v>57.4</v>
      </c>
      <c r="T176" s="1">
        <v>0</v>
      </c>
      <c r="V176" s="1" t="s">
        <v>588</v>
      </c>
    </row>
    <row r="177" spans="1:23" x14ac:dyDescent="0.2">
      <c r="A177" s="1">
        <v>2</v>
      </c>
      <c r="B177" s="35" t="s">
        <v>781</v>
      </c>
      <c r="C177" t="s">
        <v>778</v>
      </c>
      <c r="D177" s="1">
        <v>1</v>
      </c>
      <c r="E177" s="1" t="s">
        <v>296</v>
      </c>
      <c r="F177" s="4">
        <v>45415</v>
      </c>
      <c r="G177" s="3">
        <f t="shared" si="7"/>
        <v>0.24226851851851852</v>
      </c>
      <c r="H177" s="3">
        <f>K177 + J177</f>
        <v>0.26082175925925927</v>
      </c>
      <c r="I177" s="3">
        <v>2.5104166666666667E-2</v>
      </c>
      <c r="J177" s="3">
        <v>4.3657407407407409E-2</v>
      </c>
      <c r="K177" s="3">
        <v>0.21716435185185184</v>
      </c>
      <c r="L177" s="1" t="s">
        <v>7</v>
      </c>
      <c r="M177" s="1" t="s">
        <v>7</v>
      </c>
      <c r="N177" s="1">
        <v>3</v>
      </c>
      <c r="O177" s="35">
        <v>3</v>
      </c>
      <c r="P177" s="35">
        <v>90</v>
      </c>
      <c r="Q177" s="35">
        <v>90</v>
      </c>
      <c r="R177" s="1">
        <v>57.4</v>
      </c>
      <c r="S177" s="1">
        <v>57.4</v>
      </c>
      <c r="T177" s="1">
        <v>0</v>
      </c>
    </row>
    <row r="178" spans="1:23" x14ac:dyDescent="0.2">
      <c r="A178" s="1">
        <v>2</v>
      </c>
      <c r="B178" s="35" t="s">
        <v>783</v>
      </c>
      <c r="C178" t="s">
        <v>780</v>
      </c>
      <c r="D178" s="1">
        <v>1</v>
      </c>
      <c r="E178" s="1" t="s">
        <v>569</v>
      </c>
      <c r="F178" s="4">
        <v>45415</v>
      </c>
      <c r="G178" s="3">
        <f t="shared" si="7"/>
        <v>0.75844907407407403</v>
      </c>
      <c r="H178" s="3">
        <f>K178 + J178</f>
        <v>0.78495370370370365</v>
      </c>
      <c r="I178" s="3">
        <v>8.0787037037037043E-3</v>
      </c>
      <c r="J178" s="3">
        <v>3.4583333333333334E-2</v>
      </c>
      <c r="K178" s="3">
        <v>0.75037037037037035</v>
      </c>
      <c r="L178" s="1" t="s">
        <v>8</v>
      </c>
      <c r="M178" s="1" t="s">
        <v>7</v>
      </c>
      <c r="N178" s="1">
        <v>3</v>
      </c>
      <c r="O178" s="35">
        <v>2</v>
      </c>
      <c r="P178" s="35">
        <v>90</v>
      </c>
      <c r="Q178" s="35">
        <v>90</v>
      </c>
      <c r="R178" s="1">
        <v>57.4</v>
      </c>
      <c r="S178" s="1">
        <v>57.4</v>
      </c>
      <c r="T178" s="1">
        <v>1</v>
      </c>
      <c r="V178" s="1" t="s">
        <v>593</v>
      </c>
    </row>
    <row r="179" spans="1:23" x14ac:dyDescent="0.2">
      <c r="A179" s="1">
        <v>2</v>
      </c>
      <c r="B179" s="35" t="s">
        <v>781</v>
      </c>
      <c r="C179" t="s">
        <v>778</v>
      </c>
      <c r="D179" s="1">
        <v>1</v>
      </c>
      <c r="E179" s="1" t="s">
        <v>569</v>
      </c>
      <c r="F179" s="4">
        <v>45415</v>
      </c>
      <c r="G179" s="1" t="s">
        <v>21</v>
      </c>
      <c r="H179" s="3">
        <f>K179 + J179</f>
        <v>0.78583333333333327</v>
      </c>
      <c r="I179" s="1" t="s">
        <v>21</v>
      </c>
      <c r="J179" s="3">
        <v>3.546296296296296E-2</v>
      </c>
      <c r="K179" s="3">
        <v>0.75037037037037035</v>
      </c>
      <c r="L179" s="1" t="s">
        <v>7</v>
      </c>
      <c r="M179" s="1" t="s">
        <v>8</v>
      </c>
      <c r="N179" s="1">
        <v>3</v>
      </c>
      <c r="O179" s="35">
        <v>2</v>
      </c>
      <c r="P179" s="35">
        <v>90</v>
      </c>
      <c r="Q179" s="35">
        <v>90</v>
      </c>
      <c r="R179" s="1">
        <v>57.4</v>
      </c>
      <c r="S179" s="1">
        <v>57.4</v>
      </c>
      <c r="T179" s="1">
        <v>1</v>
      </c>
      <c r="V179" s="1" t="s">
        <v>482</v>
      </c>
    </row>
    <row r="180" spans="1:23" x14ac:dyDescent="0.2">
      <c r="A180" s="1">
        <v>2</v>
      </c>
      <c r="B180" s="35" t="s">
        <v>781</v>
      </c>
      <c r="C180" t="s">
        <v>778</v>
      </c>
      <c r="D180" s="1">
        <v>1</v>
      </c>
      <c r="E180" s="1" t="s">
        <v>595</v>
      </c>
      <c r="F180" s="4">
        <v>45416</v>
      </c>
      <c r="G180" s="3">
        <f>$K180 + $I180</f>
        <v>0.23086805555555553</v>
      </c>
      <c r="H180" s="1" t="s">
        <v>21</v>
      </c>
      <c r="I180" s="3">
        <v>8.9930555555555562E-3</v>
      </c>
      <c r="J180" s="1" t="s">
        <v>21</v>
      </c>
      <c r="K180" s="3">
        <v>0.22187499999999999</v>
      </c>
      <c r="L180" s="1" t="s">
        <v>7</v>
      </c>
      <c r="M180" s="1" t="s">
        <v>8</v>
      </c>
      <c r="N180" s="1">
        <v>2</v>
      </c>
      <c r="O180" s="35">
        <v>2</v>
      </c>
      <c r="P180" s="35">
        <v>90</v>
      </c>
      <c r="Q180" s="35">
        <v>90</v>
      </c>
      <c r="R180" s="1">
        <v>57.4</v>
      </c>
      <c r="S180" s="1">
        <v>57.4</v>
      </c>
      <c r="T180" s="1" t="s">
        <v>21</v>
      </c>
      <c r="V180" s="1" t="s">
        <v>597</v>
      </c>
      <c r="W180" s="1" t="s">
        <v>643</v>
      </c>
    </row>
    <row r="181" spans="1:23" x14ac:dyDescent="0.2">
      <c r="A181" s="1">
        <v>2</v>
      </c>
      <c r="B181" s="35" t="s">
        <v>783</v>
      </c>
      <c r="C181" t="s">
        <v>780</v>
      </c>
      <c r="D181" s="1">
        <v>1</v>
      </c>
      <c r="E181" s="1" t="s">
        <v>594</v>
      </c>
      <c r="F181" s="4">
        <v>45416</v>
      </c>
      <c r="G181" s="3">
        <f>$K181 + $I181</f>
        <v>0.22187499999999999</v>
      </c>
      <c r="H181" s="1" t="s">
        <v>21</v>
      </c>
      <c r="I181" s="3">
        <v>0</v>
      </c>
      <c r="J181" s="1" t="s">
        <v>21</v>
      </c>
      <c r="K181" s="3">
        <v>0.22187499999999999</v>
      </c>
      <c r="L181" s="1" t="s">
        <v>8</v>
      </c>
      <c r="M181" s="1" t="s">
        <v>7</v>
      </c>
      <c r="N181" s="1">
        <v>2</v>
      </c>
      <c r="O181" s="35">
        <v>2</v>
      </c>
      <c r="P181" s="35">
        <v>90</v>
      </c>
      <c r="Q181" s="35">
        <v>90</v>
      </c>
      <c r="R181" s="1">
        <v>57.4</v>
      </c>
      <c r="S181" s="1">
        <v>57.4</v>
      </c>
      <c r="T181" s="1" t="s">
        <v>77</v>
      </c>
      <c r="V181" s="1" t="s">
        <v>596</v>
      </c>
      <c r="W181" s="1" t="s">
        <v>663</v>
      </c>
    </row>
    <row r="182" spans="1:23" x14ac:dyDescent="0.2">
      <c r="A182" s="1">
        <v>2</v>
      </c>
      <c r="B182" s="35" t="s">
        <v>783</v>
      </c>
      <c r="C182" t="s">
        <v>778</v>
      </c>
      <c r="D182" s="1">
        <v>1</v>
      </c>
      <c r="E182" s="1" t="s">
        <v>478</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35">
        <v>1</v>
      </c>
      <c r="P182" s="35">
        <v>90</v>
      </c>
      <c r="Q182" s="35">
        <v>90</v>
      </c>
      <c r="R182" s="1">
        <v>57.4</v>
      </c>
      <c r="S182" s="1">
        <v>57.4</v>
      </c>
      <c r="T182" s="1">
        <v>1</v>
      </c>
      <c r="V182" s="1" t="s">
        <v>598</v>
      </c>
      <c r="W182" s="1" t="s">
        <v>641</v>
      </c>
    </row>
    <row r="183" spans="1:23" x14ac:dyDescent="0.2">
      <c r="A183" s="1">
        <v>2</v>
      </c>
      <c r="B183" s="35" t="s">
        <v>784</v>
      </c>
      <c r="C183" t="s">
        <v>780</v>
      </c>
      <c r="D183" s="1" t="s">
        <v>21</v>
      </c>
      <c r="E183" s="1" t="s">
        <v>478</v>
      </c>
      <c r="F183" s="4">
        <v>45417</v>
      </c>
      <c r="G183" s="1" t="s">
        <v>21</v>
      </c>
      <c r="H183" s="1" t="s">
        <v>21</v>
      </c>
      <c r="I183" s="1" t="s">
        <v>21</v>
      </c>
      <c r="J183" s="1" t="s">
        <v>21</v>
      </c>
      <c r="K183" s="3">
        <v>0.77410879629629625</v>
      </c>
      <c r="L183" s="1" t="s">
        <v>7</v>
      </c>
      <c r="M183" s="1" t="s">
        <v>7</v>
      </c>
      <c r="N183" s="1">
        <v>1</v>
      </c>
      <c r="O183" s="35">
        <v>1</v>
      </c>
      <c r="P183" s="35">
        <v>90</v>
      </c>
      <c r="Q183" s="35">
        <v>90</v>
      </c>
      <c r="R183" s="1">
        <v>57.4</v>
      </c>
      <c r="S183" s="1">
        <v>57.4</v>
      </c>
      <c r="T183" s="1" t="s">
        <v>21</v>
      </c>
      <c r="V183" s="1" t="s">
        <v>599</v>
      </c>
      <c r="W183" s="1" t="s">
        <v>641</v>
      </c>
    </row>
    <row r="184" spans="1:23" x14ac:dyDescent="0.2">
      <c r="A184" s="1">
        <v>2</v>
      </c>
      <c r="B184" s="35" t="s">
        <v>783</v>
      </c>
      <c r="C184" t="s">
        <v>778</v>
      </c>
      <c r="D184" s="1">
        <v>1</v>
      </c>
      <c r="E184" s="1" t="s">
        <v>477</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35">
        <v>1</v>
      </c>
      <c r="P184" s="35">
        <v>90</v>
      </c>
      <c r="Q184" s="35">
        <v>90</v>
      </c>
      <c r="R184" s="1">
        <v>57.4</v>
      </c>
      <c r="S184" s="1">
        <v>57.4</v>
      </c>
      <c r="T184" s="1">
        <v>1</v>
      </c>
      <c r="W184" s="1" t="s">
        <v>641</v>
      </c>
    </row>
    <row r="185" spans="1:23" x14ac:dyDescent="0.2">
      <c r="A185" s="1">
        <v>2</v>
      </c>
      <c r="B185" s="35" t="s">
        <v>784</v>
      </c>
      <c r="C185" t="s">
        <v>780</v>
      </c>
      <c r="D185" s="1" t="s">
        <v>21</v>
      </c>
      <c r="E185" s="1" t="s">
        <v>477</v>
      </c>
      <c r="F185" s="4">
        <v>45418</v>
      </c>
      <c r="G185" s="1" t="s">
        <v>21</v>
      </c>
      <c r="H185" s="1" t="s">
        <v>21</v>
      </c>
      <c r="I185" s="1" t="s">
        <v>21</v>
      </c>
      <c r="J185" s="1" t="s">
        <v>21</v>
      </c>
      <c r="K185" s="3">
        <v>0.22297453703703704</v>
      </c>
      <c r="L185" s="1" t="s">
        <v>7</v>
      </c>
      <c r="M185" s="1" t="s">
        <v>7</v>
      </c>
      <c r="N185" s="1">
        <v>1</v>
      </c>
      <c r="O185" s="35">
        <v>1</v>
      </c>
      <c r="P185" s="35">
        <v>90</v>
      </c>
      <c r="Q185" s="35">
        <v>90</v>
      </c>
      <c r="R185" s="1">
        <v>57.4</v>
      </c>
      <c r="S185" s="1">
        <v>57.4</v>
      </c>
      <c r="T185" s="1" t="s">
        <v>21</v>
      </c>
      <c r="V185" s="1" t="s">
        <v>602</v>
      </c>
      <c r="W185" s="1" t="s">
        <v>641</v>
      </c>
    </row>
    <row r="186" spans="1:23" x14ac:dyDescent="0.2">
      <c r="A186" s="1">
        <v>2</v>
      </c>
      <c r="B186" s="35" t="s">
        <v>783</v>
      </c>
      <c r="C186" t="s">
        <v>778</v>
      </c>
      <c r="D186" s="1">
        <v>1</v>
      </c>
      <c r="E186" s="1" t="s">
        <v>469</v>
      </c>
      <c r="F186" s="4">
        <v>45419</v>
      </c>
      <c r="H186" s="3">
        <f>K186 + J186</f>
        <v>0.23739583333333331</v>
      </c>
      <c r="I186" s="3">
        <v>7.5462962962962966E-3</v>
      </c>
      <c r="J186" s="3">
        <v>1.6898148148148148E-2</v>
      </c>
      <c r="K186" s="3">
        <v>0.22049768518518517</v>
      </c>
      <c r="L186" s="1" t="s">
        <v>8</v>
      </c>
      <c r="M186" s="1" t="s">
        <v>8</v>
      </c>
      <c r="N186" s="1">
        <v>1</v>
      </c>
      <c r="O186" s="35">
        <v>1</v>
      </c>
      <c r="P186" s="35">
        <v>90</v>
      </c>
      <c r="Q186" s="35">
        <v>90</v>
      </c>
      <c r="R186" s="1">
        <v>57.4</v>
      </c>
      <c r="S186" s="1">
        <v>57.4</v>
      </c>
      <c r="T186" s="1">
        <v>1</v>
      </c>
      <c r="W186" s="1" t="s">
        <v>641</v>
      </c>
    </row>
    <row r="187" spans="1:23" x14ac:dyDescent="0.2">
      <c r="A187" s="1">
        <v>2</v>
      </c>
      <c r="B187" s="35" t="s">
        <v>784</v>
      </c>
      <c r="C187" t="s">
        <v>780</v>
      </c>
      <c r="D187" s="1" t="s">
        <v>21</v>
      </c>
      <c r="E187" s="1" t="s">
        <v>251</v>
      </c>
      <c r="F187" s="4">
        <v>45418</v>
      </c>
      <c r="G187" s="1" t="s">
        <v>21</v>
      </c>
      <c r="H187" s="3" t="s">
        <v>21</v>
      </c>
      <c r="I187" s="1" t="s">
        <v>21</v>
      </c>
      <c r="J187" s="1" t="s">
        <v>21</v>
      </c>
      <c r="K187" s="3">
        <v>0.76620370370370372</v>
      </c>
      <c r="L187" s="1" t="s">
        <v>7</v>
      </c>
      <c r="M187" s="1" t="s">
        <v>7</v>
      </c>
      <c r="N187" s="1">
        <v>1</v>
      </c>
      <c r="O187" s="35">
        <v>1</v>
      </c>
      <c r="P187" s="35">
        <v>90</v>
      </c>
      <c r="Q187" s="35">
        <v>90</v>
      </c>
      <c r="R187" s="1">
        <v>57.4</v>
      </c>
      <c r="S187" s="1">
        <v>57.4</v>
      </c>
      <c r="T187" s="1" t="s">
        <v>21</v>
      </c>
      <c r="V187" s="1" t="s">
        <v>662</v>
      </c>
      <c r="W187" s="1" t="s">
        <v>641</v>
      </c>
    </row>
    <row r="188" spans="1:23" x14ac:dyDescent="0.2">
      <c r="A188" s="1">
        <v>2</v>
      </c>
      <c r="B188" s="35" t="s">
        <v>783</v>
      </c>
      <c r="C188" t="s">
        <v>778</v>
      </c>
      <c r="D188" s="1">
        <v>1</v>
      </c>
      <c r="E188" s="1" t="s">
        <v>251</v>
      </c>
      <c r="F188" s="4">
        <v>45418</v>
      </c>
      <c r="G188" s="3">
        <f>$K188 + $I188</f>
        <v>0.77809027777777784</v>
      </c>
      <c r="H188" s="3">
        <f>K188 + J188</f>
        <v>0.78</v>
      </c>
      <c r="I188" s="3">
        <v>1.1886574074074074E-2</v>
      </c>
      <c r="J188" s="3">
        <v>1.3796296296296296E-2</v>
      </c>
      <c r="K188" s="3">
        <v>0.76620370370370372</v>
      </c>
      <c r="L188" s="1" t="s">
        <v>8</v>
      </c>
      <c r="M188" s="1" t="s">
        <v>8</v>
      </c>
      <c r="N188" s="1">
        <v>1</v>
      </c>
      <c r="O188" s="35">
        <v>1</v>
      </c>
      <c r="P188" s="35">
        <v>90</v>
      </c>
      <c r="Q188" s="35">
        <v>90</v>
      </c>
      <c r="R188" s="1">
        <v>57.4</v>
      </c>
      <c r="S188" s="1">
        <v>57.4</v>
      </c>
      <c r="T188" s="1">
        <v>1</v>
      </c>
      <c r="W188" s="1" t="s">
        <v>641</v>
      </c>
    </row>
    <row r="189" spans="1:23" x14ac:dyDescent="0.2">
      <c r="A189" s="1">
        <v>2</v>
      </c>
      <c r="B189" s="35" t="s">
        <v>783</v>
      </c>
      <c r="C189" t="s">
        <v>778</v>
      </c>
      <c r="D189" s="1">
        <v>1</v>
      </c>
      <c r="E189" s="1" t="s">
        <v>613</v>
      </c>
      <c r="H189" s="3">
        <v>2.4398148148148148E-2</v>
      </c>
      <c r="I189" s="3">
        <v>1.5902777777777776E-2</v>
      </c>
      <c r="W189" s="1" t="s">
        <v>641</v>
      </c>
    </row>
    <row r="190" spans="1:23" x14ac:dyDescent="0.2">
      <c r="A190" s="1">
        <v>2</v>
      </c>
      <c r="B190" s="35" t="s">
        <v>784</v>
      </c>
      <c r="C190" t="s">
        <v>780</v>
      </c>
      <c r="D190" s="1">
        <v>1</v>
      </c>
      <c r="E190" s="1" t="s">
        <v>613</v>
      </c>
      <c r="H190" s="3">
        <v>2.539351851851852E-2</v>
      </c>
      <c r="I190" s="3">
        <v>1.8483796296296297E-2</v>
      </c>
      <c r="W190" s="1" t="s">
        <v>641</v>
      </c>
    </row>
    <row r="191" spans="1:23" x14ac:dyDescent="0.2">
      <c r="A191" s="1">
        <v>2</v>
      </c>
      <c r="B191" s="35" t="s">
        <v>784</v>
      </c>
      <c r="C191" t="s">
        <v>780</v>
      </c>
      <c r="D191" s="1">
        <v>1</v>
      </c>
      <c r="E191" s="1" t="s">
        <v>502</v>
      </c>
      <c r="G191" s="1" t="s">
        <v>21</v>
      </c>
      <c r="I191" s="1" t="s">
        <v>21</v>
      </c>
      <c r="J191" s="3">
        <v>1.8773148148148146E-2</v>
      </c>
      <c r="L191" s="1" t="s">
        <v>7</v>
      </c>
      <c r="M191" s="1" t="s">
        <v>8</v>
      </c>
      <c r="N191" s="1">
        <v>1</v>
      </c>
      <c r="O191" s="35">
        <v>1</v>
      </c>
      <c r="P191" s="35">
        <v>90</v>
      </c>
      <c r="Q191" s="35">
        <v>90</v>
      </c>
      <c r="R191" s="1">
        <v>57.4</v>
      </c>
      <c r="S191" s="1">
        <v>57.4</v>
      </c>
      <c r="T191" s="1">
        <v>0</v>
      </c>
      <c r="W191" s="1" t="s">
        <v>641</v>
      </c>
    </row>
    <row r="192" spans="1:23" x14ac:dyDescent="0.2">
      <c r="A192" s="1">
        <v>2</v>
      </c>
      <c r="B192" s="35" t="s">
        <v>783</v>
      </c>
      <c r="C192" t="s">
        <v>778</v>
      </c>
      <c r="D192" s="1">
        <v>1</v>
      </c>
      <c r="E192" s="1" t="s">
        <v>502</v>
      </c>
      <c r="G192" s="1" t="s">
        <v>21</v>
      </c>
      <c r="H192" s="1" t="s">
        <v>21</v>
      </c>
      <c r="I192" s="1" t="s">
        <v>21</v>
      </c>
      <c r="J192" s="1" t="s">
        <v>21</v>
      </c>
      <c r="L192" s="1" t="s">
        <v>8</v>
      </c>
      <c r="M192" s="1" t="s">
        <v>7</v>
      </c>
      <c r="N192" s="1">
        <v>1</v>
      </c>
      <c r="O192" s="35">
        <v>1</v>
      </c>
      <c r="P192" s="35">
        <v>90</v>
      </c>
      <c r="Q192" s="35">
        <v>90</v>
      </c>
      <c r="R192" s="1">
        <v>57.4</v>
      </c>
      <c r="S192" s="1">
        <v>57.4</v>
      </c>
      <c r="T192" s="1" t="s">
        <v>21</v>
      </c>
      <c r="V192" s="1" t="s">
        <v>615</v>
      </c>
      <c r="W192" s="1" t="s">
        <v>641</v>
      </c>
    </row>
    <row r="193" spans="1:23" x14ac:dyDescent="0.2">
      <c r="A193" s="1">
        <v>2</v>
      </c>
      <c r="B193" s="35" t="s">
        <v>784</v>
      </c>
      <c r="C193" t="s">
        <v>780</v>
      </c>
      <c r="D193" s="1">
        <v>1</v>
      </c>
      <c r="E193" s="1" t="s">
        <v>500</v>
      </c>
      <c r="F193" s="4">
        <v>45421</v>
      </c>
      <c r="G193" s="3">
        <f>$K193 + $I193</f>
        <v>0.77248842592592593</v>
      </c>
      <c r="I193" s="3">
        <v>9.1435185185185185E-4</v>
      </c>
      <c r="J193" s="3">
        <v>3.5416666666666665E-3</v>
      </c>
      <c r="K193" s="3">
        <v>0.77157407407407408</v>
      </c>
      <c r="L193" s="1" t="s">
        <v>7</v>
      </c>
      <c r="M193" s="1" t="s">
        <v>7</v>
      </c>
      <c r="N193" s="1">
        <v>1</v>
      </c>
      <c r="O193" s="35">
        <v>1</v>
      </c>
      <c r="P193" s="35">
        <v>90</v>
      </c>
      <c r="Q193" s="35">
        <v>90</v>
      </c>
      <c r="R193" s="1">
        <v>57.4</v>
      </c>
      <c r="S193" s="1">
        <v>57.4</v>
      </c>
      <c r="T193" s="1">
        <v>1</v>
      </c>
      <c r="W193" s="1" t="s">
        <v>641</v>
      </c>
    </row>
    <row r="194" spans="1:23" x14ac:dyDescent="0.2">
      <c r="A194" s="1">
        <v>2</v>
      </c>
      <c r="B194" s="35" t="s">
        <v>783</v>
      </c>
      <c r="C194" t="s">
        <v>778</v>
      </c>
      <c r="D194" s="1">
        <v>1</v>
      </c>
      <c r="E194" s="1" t="s">
        <v>500</v>
      </c>
      <c r="F194" s="4">
        <v>45421</v>
      </c>
      <c r="G194" s="1" t="s">
        <v>21</v>
      </c>
      <c r="H194" s="1" t="s">
        <v>21</v>
      </c>
      <c r="I194" s="3">
        <v>2.6967592592592594E-3</v>
      </c>
      <c r="J194" s="1" t="s">
        <v>21</v>
      </c>
      <c r="K194" s="3">
        <v>0.77157407407407408</v>
      </c>
      <c r="L194" s="1" t="s">
        <v>8</v>
      </c>
      <c r="M194" s="1" t="s">
        <v>7</v>
      </c>
      <c r="N194" s="1">
        <v>1</v>
      </c>
      <c r="O194" s="35">
        <v>1</v>
      </c>
      <c r="P194" s="35">
        <v>90</v>
      </c>
      <c r="Q194" s="35">
        <v>90</v>
      </c>
      <c r="R194" s="1">
        <v>57.4</v>
      </c>
      <c r="S194" s="1">
        <v>57.4</v>
      </c>
      <c r="T194" s="1" t="s">
        <v>21</v>
      </c>
      <c r="V194" s="1" t="s">
        <v>617</v>
      </c>
      <c r="W194" s="1" t="s">
        <v>641</v>
      </c>
    </row>
    <row r="195" spans="1:23" x14ac:dyDescent="0.2">
      <c r="A195" s="1">
        <v>2</v>
      </c>
      <c r="B195" s="35" t="s">
        <v>784</v>
      </c>
      <c r="C195" t="s">
        <v>780</v>
      </c>
      <c r="D195" s="1">
        <v>1</v>
      </c>
      <c r="E195" s="1" t="s">
        <v>610</v>
      </c>
      <c r="F195" s="4">
        <v>45422</v>
      </c>
      <c r="G195" s="1" t="s">
        <v>21</v>
      </c>
      <c r="I195" s="1" t="s">
        <v>21</v>
      </c>
      <c r="K195" s="3">
        <v>0.22137731481481482</v>
      </c>
      <c r="L195" s="1" t="s">
        <v>7</v>
      </c>
      <c r="M195" s="1" t="s">
        <v>7</v>
      </c>
      <c r="N195" s="1">
        <v>1</v>
      </c>
      <c r="O195" s="35">
        <v>1</v>
      </c>
      <c r="P195" s="35">
        <v>90</v>
      </c>
      <c r="Q195" s="35">
        <v>90</v>
      </c>
      <c r="R195" s="1">
        <v>57.4</v>
      </c>
      <c r="S195" s="1">
        <v>57.4</v>
      </c>
      <c r="T195" s="1">
        <v>0</v>
      </c>
      <c r="V195" s="1" t="s">
        <v>620</v>
      </c>
      <c r="W195" s="1" t="s">
        <v>641</v>
      </c>
    </row>
    <row r="196" spans="1:23" x14ac:dyDescent="0.2">
      <c r="A196" s="1">
        <v>2</v>
      </c>
      <c r="B196" s="35" t="s">
        <v>783</v>
      </c>
      <c r="C196" t="s">
        <v>778</v>
      </c>
      <c r="D196" s="1">
        <v>1</v>
      </c>
      <c r="E196" s="1" t="s">
        <v>610</v>
      </c>
      <c r="F196" s="4">
        <v>45422</v>
      </c>
      <c r="G196" s="1" t="s">
        <v>21</v>
      </c>
      <c r="I196" s="1" t="s">
        <v>21</v>
      </c>
      <c r="K196" s="3">
        <v>0.22137731481481482</v>
      </c>
      <c r="L196" s="1" t="s">
        <v>8</v>
      </c>
      <c r="M196" s="1" t="s">
        <v>8</v>
      </c>
      <c r="N196" s="1">
        <v>1</v>
      </c>
      <c r="O196" s="35">
        <v>1</v>
      </c>
      <c r="P196" s="35">
        <v>90</v>
      </c>
      <c r="Q196" s="35">
        <v>90</v>
      </c>
      <c r="R196" s="1">
        <v>57.4</v>
      </c>
      <c r="S196" s="1">
        <v>57.4</v>
      </c>
      <c r="T196" s="1">
        <v>0</v>
      </c>
      <c r="V196" s="1" t="s">
        <v>619</v>
      </c>
      <c r="W196" s="1" t="s">
        <v>641</v>
      </c>
    </row>
    <row r="197" spans="1:23" x14ac:dyDescent="0.2">
      <c r="A197" s="1">
        <v>2</v>
      </c>
      <c r="B197" s="35" t="s">
        <v>784</v>
      </c>
      <c r="C197" t="s">
        <v>780</v>
      </c>
      <c r="D197" s="1">
        <v>1</v>
      </c>
      <c r="E197" s="1" t="s">
        <v>616</v>
      </c>
      <c r="F197" s="4">
        <v>45423</v>
      </c>
      <c r="G197" s="3">
        <f>$K197 + $I197</f>
        <v>0.22122685185185184</v>
      </c>
      <c r="H197" s="3">
        <f>K197 + J197</f>
        <v>0.24792824074074074</v>
      </c>
      <c r="I197" s="3">
        <v>0</v>
      </c>
      <c r="J197" s="3">
        <v>2.6701388888888889E-2</v>
      </c>
      <c r="K197" s="3">
        <v>0.22122685185185184</v>
      </c>
      <c r="L197" s="1" t="s">
        <v>8</v>
      </c>
      <c r="M197" s="1" t="s">
        <v>8</v>
      </c>
      <c r="N197" s="1">
        <v>2</v>
      </c>
      <c r="O197" s="35">
        <v>2</v>
      </c>
      <c r="P197" s="35">
        <v>90</v>
      </c>
      <c r="Q197" s="35">
        <v>90</v>
      </c>
      <c r="R197" s="1">
        <v>57.4</v>
      </c>
      <c r="S197" s="1">
        <v>57.4</v>
      </c>
      <c r="T197" s="1">
        <v>0</v>
      </c>
      <c r="W197" s="1" t="s">
        <v>641</v>
      </c>
    </row>
    <row r="198" spans="1:23" x14ac:dyDescent="0.2">
      <c r="A198" s="1">
        <v>2</v>
      </c>
      <c r="B198" s="35" t="s">
        <v>783</v>
      </c>
      <c r="C198" t="s">
        <v>778</v>
      </c>
      <c r="D198" s="1">
        <v>1</v>
      </c>
      <c r="E198" s="1" t="s">
        <v>616</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35">
        <v>2</v>
      </c>
      <c r="P198" s="35">
        <v>90</v>
      </c>
      <c r="Q198" s="35">
        <v>90</v>
      </c>
      <c r="R198" s="1">
        <v>57.4</v>
      </c>
      <c r="S198" s="1">
        <v>57.4</v>
      </c>
      <c r="T198" s="1">
        <v>0</v>
      </c>
      <c r="V198" s="1" t="s">
        <v>626</v>
      </c>
      <c r="W198" s="1" t="s">
        <v>641</v>
      </c>
    </row>
    <row r="199" spans="1:23" x14ac:dyDescent="0.2">
      <c r="A199" s="1">
        <v>2</v>
      </c>
      <c r="B199" s="35" t="s">
        <v>784</v>
      </c>
      <c r="C199" t="s">
        <v>780</v>
      </c>
      <c r="D199" s="1">
        <v>1</v>
      </c>
      <c r="E199" s="1" t="s">
        <v>503</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35">
        <v>2</v>
      </c>
      <c r="P199" s="35">
        <v>90</v>
      </c>
      <c r="Q199" s="35">
        <v>90</v>
      </c>
      <c r="R199" s="1">
        <v>57.4</v>
      </c>
      <c r="S199" s="1">
        <v>57.4</v>
      </c>
      <c r="T199" s="1">
        <v>0</v>
      </c>
      <c r="W199" s="1" t="s">
        <v>641</v>
      </c>
    </row>
    <row r="200" spans="1:23" x14ac:dyDescent="0.2">
      <c r="A200" s="1">
        <v>2</v>
      </c>
      <c r="B200" s="35" t="s">
        <v>783</v>
      </c>
      <c r="C200" t="s">
        <v>778</v>
      </c>
      <c r="D200" s="1">
        <v>1</v>
      </c>
      <c r="E200" s="1" t="s">
        <v>503</v>
      </c>
      <c r="F200" s="4">
        <v>45422</v>
      </c>
      <c r="G200" s="1" t="s">
        <v>21</v>
      </c>
      <c r="H200" s="3">
        <f>K200 + J200</f>
        <v>0.78931712962962963</v>
      </c>
      <c r="I200" s="1" t="s">
        <v>21</v>
      </c>
      <c r="J200" s="3">
        <v>2.8310185185185185E-2</v>
      </c>
      <c r="K200" s="3">
        <v>0.7610069444444445</v>
      </c>
      <c r="L200" s="1" t="s">
        <v>7</v>
      </c>
      <c r="M200" s="1" t="s">
        <v>7</v>
      </c>
      <c r="N200" s="1">
        <v>2</v>
      </c>
      <c r="O200" s="35">
        <v>2</v>
      </c>
      <c r="P200" s="35">
        <v>90</v>
      </c>
      <c r="Q200" s="35">
        <v>90</v>
      </c>
      <c r="R200" s="1">
        <v>57.4</v>
      </c>
      <c r="S200" s="1">
        <v>57.4</v>
      </c>
      <c r="T200" s="1">
        <v>0</v>
      </c>
      <c r="W200" s="1" t="s">
        <v>641</v>
      </c>
    </row>
    <row r="201" spans="1:23" x14ac:dyDescent="0.2">
      <c r="A201" s="1" t="s">
        <v>21</v>
      </c>
      <c r="B201" s="35" t="s">
        <v>21</v>
      </c>
      <c r="C201" t="s">
        <v>21</v>
      </c>
      <c r="D201" s="1" t="s">
        <v>21</v>
      </c>
      <c r="E201" s="1" t="s">
        <v>21</v>
      </c>
      <c r="F201" s="4">
        <v>45423</v>
      </c>
      <c r="G201" s="1" t="s">
        <v>21</v>
      </c>
      <c r="H201" s="1" t="s">
        <v>21</v>
      </c>
      <c r="I201" s="1" t="s">
        <v>21</v>
      </c>
      <c r="J201" s="1" t="s">
        <v>21</v>
      </c>
      <c r="K201" s="1" t="s">
        <v>21</v>
      </c>
      <c r="L201" s="1" t="s">
        <v>21</v>
      </c>
      <c r="M201" s="1" t="s">
        <v>21</v>
      </c>
      <c r="N201" s="1" t="s">
        <v>21</v>
      </c>
      <c r="O201" s="35" t="s">
        <v>21</v>
      </c>
      <c r="P201" s="35" t="s">
        <v>21</v>
      </c>
      <c r="Q201" s="35" t="s">
        <v>21</v>
      </c>
      <c r="R201" s="1" t="s">
        <v>21</v>
      </c>
      <c r="S201" s="1" t="s">
        <v>21</v>
      </c>
      <c r="T201" s="1" t="s">
        <v>21</v>
      </c>
      <c r="U201" s="1" t="s">
        <v>21</v>
      </c>
      <c r="V201" s="1" t="s">
        <v>629</v>
      </c>
      <c r="W201" s="1" t="s">
        <v>21</v>
      </c>
    </row>
    <row r="202" spans="1:23" s="27" customFormat="1" x14ac:dyDescent="0.2">
      <c r="A202" s="27">
        <v>2</v>
      </c>
      <c r="B202" s="35" t="s">
        <v>784</v>
      </c>
      <c r="C202" t="s">
        <v>780</v>
      </c>
      <c r="D202" s="27">
        <v>1</v>
      </c>
      <c r="E202" s="27" t="s">
        <v>628</v>
      </c>
      <c r="F202" s="29">
        <v>45424</v>
      </c>
      <c r="G202" s="27" t="s">
        <v>21</v>
      </c>
      <c r="H202" s="32">
        <f t="shared" ref="H202:H211" si="8">K202 + J202</f>
        <v>0.23504629629629628</v>
      </c>
      <c r="I202" s="27" t="s">
        <v>21</v>
      </c>
      <c r="J202" s="32">
        <v>1.2835648148148148E-2</v>
      </c>
      <c r="K202" s="32">
        <v>0.22221064814814814</v>
      </c>
      <c r="L202" s="27" t="s">
        <v>8</v>
      </c>
      <c r="M202" s="27" t="s">
        <v>8</v>
      </c>
      <c r="N202" s="27">
        <v>2</v>
      </c>
      <c r="O202" s="37">
        <v>2</v>
      </c>
      <c r="P202" s="35">
        <v>90</v>
      </c>
      <c r="Q202" s="35">
        <v>90</v>
      </c>
      <c r="R202" s="27">
        <v>57.4</v>
      </c>
      <c r="S202" s="27">
        <v>57.4</v>
      </c>
      <c r="T202" s="27">
        <v>0</v>
      </c>
      <c r="V202" s="27" t="s">
        <v>630</v>
      </c>
      <c r="W202" s="27" t="s">
        <v>641</v>
      </c>
    </row>
    <row r="203" spans="1:23" s="27" customFormat="1" x14ac:dyDescent="0.2">
      <c r="A203" s="27">
        <v>2</v>
      </c>
      <c r="B203" s="35" t="s">
        <v>784</v>
      </c>
      <c r="C203" t="s">
        <v>780</v>
      </c>
      <c r="D203" s="27">
        <v>2</v>
      </c>
      <c r="E203" s="27" t="s">
        <v>628</v>
      </c>
      <c r="F203" s="29">
        <v>45424</v>
      </c>
      <c r="G203" s="32">
        <f t="shared" ref="G203:G210" si="9">$K203 + $I203</f>
        <v>0.23553240740740741</v>
      </c>
      <c r="H203" s="32">
        <f t="shared" si="8"/>
        <v>0.24569444444444444</v>
      </c>
      <c r="I203" s="32">
        <v>1.3321759259259259E-2</v>
      </c>
      <c r="J203" s="32">
        <v>2.3483796296296298E-2</v>
      </c>
      <c r="K203" s="32">
        <v>0.22221064814814814</v>
      </c>
      <c r="L203" s="27" t="s">
        <v>8</v>
      </c>
      <c r="M203" s="27" t="s">
        <v>8</v>
      </c>
      <c r="N203" s="27">
        <v>2</v>
      </c>
      <c r="O203" s="37">
        <v>2</v>
      </c>
      <c r="P203" s="35">
        <v>90</v>
      </c>
      <c r="Q203" s="35">
        <v>90</v>
      </c>
      <c r="R203" s="27">
        <v>57.4</v>
      </c>
      <c r="S203" s="27">
        <v>57.4</v>
      </c>
      <c r="T203" s="27">
        <v>1</v>
      </c>
      <c r="V203" s="27" t="s">
        <v>631</v>
      </c>
      <c r="W203" s="27" t="s">
        <v>641</v>
      </c>
    </row>
    <row r="204" spans="1:23" s="27" customFormat="1" x14ac:dyDescent="0.2">
      <c r="A204" s="27">
        <v>2</v>
      </c>
      <c r="B204" s="35" t="s">
        <v>783</v>
      </c>
      <c r="C204" t="s">
        <v>778</v>
      </c>
      <c r="D204" s="27">
        <v>1</v>
      </c>
      <c r="E204" s="27" t="s">
        <v>628</v>
      </c>
      <c r="F204" s="29">
        <v>45424</v>
      </c>
      <c r="G204" s="32">
        <f t="shared" si="9"/>
        <v>0.23043981481481482</v>
      </c>
      <c r="H204" s="32">
        <f t="shared" si="8"/>
        <v>0.2459375</v>
      </c>
      <c r="I204" s="32">
        <v>8.2291666666666659E-3</v>
      </c>
      <c r="J204" s="32">
        <v>2.3726851851851853E-2</v>
      </c>
      <c r="K204" s="32">
        <v>0.22221064814814814</v>
      </c>
      <c r="L204" s="27" t="s">
        <v>7</v>
      </c>
      <c r="M204" s="27" t="s">
        <v>7</v>
      </c>
      <c r="N204" s="27">
        <v>1</v>
      </c>
      <c r="O204" s="37">
        <v>1</v>
      </c>
      <c r="P204" s="35">
        <v>90</v>
      </c>
      <c r="Q204" s="35">
        <v>90</v>
      </c>
      <c r="R204" s="27">
        <v>57.4</v>
      </c>
      <c r="S204" s="27">
        <v>57.4</v>
      </c>
      <c r="T204" s="27">
        <v>1</v>
      </c>
      <c r="V204" s="27" t="s">
        <v>773</v>
      </c>
      <c r="W204" s="27" t="s">
        <v>641</v>
      </c>
    </row>
    <row r="205" spans="1:23" x14ac:dyDescent="0.2">
      <c r="A205" s="1">
        <v>2</v>
      </c>
      <c r="B205" s="35" t="s">
        <v>784</v>
      </c>
      <c r="C205" t="s">
        <v>780</v>
      </c>
      <c r="D205" s="1">
        <v>1</v>
      </c>
      <c r="E205" s="1" t="s">
        <v>710</v>
      </c>
      <c r="F205" s="4">
        <v>45424</v>
      </c>
      <c r="G205" s="3">
        <f t="shared" si="9"/>
        <v>0.77440972222222226</v>
      </c>
      <c r="H205" s="3">
        <f t="shared" si="8"/>
        <v>0.7866319444444444</v>
      </c>
      <c r="I205" s="3">
        <v>8.8541666666666664E-3</v>
      </c>
      <c r="J205" s="3">
        <v>2.1076388888888888E-2</v>
      </c>
      <c r="K205" s="3">
        <v>0.76555555555555554</v>
      </c>
      <c r="L205" s="1" t="s">
        <v>8</v>
      </c>
      <c r="M205" s="1" t="s">
        <v>7</v>
      </c>
      <c r="N205" s="1">
        <v>2</v>
      </c>
      <c r="O205" s="35">
        <v>2</v>
      </c>
      <c r="P205" s="35">
        <v>90</v>
      </c>
      <c r="Q205" s="35">
        <v>90</v>
      </c>
      <c r="R205" s="1">
        <v>57.4</v>
      </c>
      <c r="S205" s="1">
        <v>57.4</v>
      </c>
      <c r="T205" s="1">
        <v>0</v>
      </c>
      <c r="V205" s="1" t="s">
        <v>636</v>
      </c>
      <c r="W205" s="1" t="s">
        <v>642</v>
      </c>
    </row>
    <row r="206" spans="1:23" x14ac:dyDescent="0.2">
      <c r="A206" s="1">
        <v>2</v>
      </c>
      <c r="B206" s="35" t="s">
        <v>784</v>
      </c>
      <c r="C206" t="s">
        <v>780</v>
      </c>
      <c r="D206" s="1">
        <v>2</v>
      </c>
      <c r="E206" s="1" t="s">
        <v>710</v>
      </c>
      <c r="F206" s="4">
        <v>45424</v>
      </c>
      <c r="G206" s="3">
        <f t="shared" si="9"/>
        <v>0.7877777777777778</v>
      </c>
      <c r="H206" s="3">
        <f t="shared" si="8"/>
        <v>0.79677083333333332</v>
      </c>
      <c r="I206" s="3">
        <v>2.2222222222222223E-2</v>
      </c>
      <c r="J206" s="3">
        <v>3.1215277777777779E-2</v>
      </c>
      <c r="K206" s="3">
        <v>0.76555555555555554</v>
      </c>
      <c r="L206" s="1" t="s">
        <v>7</v>
      </c>
      <c r="M206" s="1" t="s">
        <v>7</v>
      </c>
      <c r="N206" s="1">
        <v>2</v>
      </c>
      <c r="O206" s="35">
        <v>2</v>
      </c>
      <c r="P206" s="35">
        <v>90</v>
      </c>
      <c r="Q206" s="35">
        <v>90</v>
      </c>
      <c r="R206" s="1">
        <v>57.4</v>
      </c>
      <c r="S206" s="1">
        <v>57.4</v>
      </c>
      <c r="T206" s="1">
        <v>0</v>
      </c>
      <c r="V206" s="1" t="s">
        <v>634</v>
      </c>
      <c r="W206" s="1" t="s">
        <v>642</v>
      </c>
    </row>
    <row r="207" spans="1:23" x14ac:dyDescent="0.2">
      <c r="A207" s="1">
        <v>2</v>
      </c>
      <c r="B207" s="35" t="s">
        <v>783</v>
      </c>
      <c r="C207" t="s">
        <v>778</v>
      </c>
      <c r="D207" s="1">
        <v>1</v>
      </c>
      <c r="E207" s="1" t="s">
        <v>710</v>
      </c>
      <c r="F207" s="4">
        <v>45424</v>
      </c>
      <c r="G207" s="3">
        <f t="shared" si="9"/>
        <v>0.77141203703703698</v>
      </c>
      <c r="H207" s="3">
        <f t="shared" si="8"/>
        <v>0.78964120370370372</v>
      </c>
      <c r="I207" s="3">
        <v>5.8564814814814816E-3</v>
      </c>
      <c r="J207" s="3">
        <v>2.4085648148148148E-2</v>
      </c>
      <c r="K207" s="3">
        <v>0.76555555555555554</v>
      </c>
      <c r="L207" s="1" t="s">
        <v>7</v>
      </c>
      <c r="M207" s="1" t="s">
        <v>8</v>
      </c>
      <c r="N207" s="1">
        <v>2</v>
      </c>
      <c r="O207" s="35">
        <v>2</v>
      </c>
      <c r="P207" s="35">
        <v>90</v>
      </c>
      <c r="Q207" s="35">
        <v>90</v>
      </c>
      <c r="R207" s="1">
        <v>57.4</v>
      </c>
      <c r="S207" s="1">
        <v>57.4</v>
      </c>
      <c r="T207" s="1">
        <v>1</v>
      </c>
      <c r="W207" s="1" t="s">
        <v>642</v>
      </c>
    </row>
    <row r="208" spans="1:23" x14ac:dyDescent="0.2">
      <c r="A208" s="1">
        <v>2</v>
      </c>
      <c r="B208" s="35" t="s">
        <v>783</v>
      </c>
      <c r="C208" t="s">
        <v>778</v>
      </c>
      <c r="D208" s="1">
        <v>1</v>
      </c>
      <c r="E208" s="1" t="s">
        <v>711</v>
      </c>
      <c r="F208" s="4">
        <v>45425</v>
      </c>
      <c r="G208" s="3">
        <f t="shared" si="9"/>
        <v>0.22179398148148149</v>
      </c>
      <c r="H208" s="3">
        <f t="shared" si="8"/>
        <v>0.23394675925925926</v>
      </c>
      <c r="I208" s="3">
        <v>4.5601851851851853E-3</v>
      </c>
      <c r="J208" s="3">
        <v>1.6712962962962964E-2</v>
      </c>
      <c r="K208" s="3">
        <v>0.2172337962962963</v>
      </c>
      <c r="L208" s="1" t="s">
        <v>8</v>
      </c>
      <c r="M208" s="1" t="s">
        <v>7</v>
      </c>
      <c r="N208" s="1">
        <v>2</v>
      </c>
      <c r="O208" s="35">
        <v>2</v>
      </c>
      <c r="P208" s="35">
        <v>90</v>
      </c>
      <c r="Q208" s="35">
        <v>90</v>
      </c>
      <c r="R208" s="1">
        <v>57.4</v>
      </c>
      <c r="S208" s="1">
        <v>57.4</v>
      </c>
      <c r="T208" s="1">
        <v>1</v>
      </c>
      <c r="W208" s="1" t="s">
        <v>642</v>
      </c>
    </row>
    <row r="209" spans="1:23" x14ac:dyDescent="0.2">
      <c r="A209" s="1">
        <v>2</v>
      </c>
      <c r="B209" s="35" t="s">
        <v>783</v>
      </c>
      <c r="C209" t="s">
        <v>778</v>
      </c>
      <c r="D209" s="1">
        <v>2</v>
      </c>
      <c r="E209" s="1" t="s">
        <v>711</v>
      </c>
      <c r="F209" s="4">
        <v>45425</v>
      </c>
      <c r="G209" s="3">
        <f t="shared" si="9"/>
        <v>0.23528935185185185</v>
      </c>
      <c r="H209" s="3">
        <f t="shared" si="8"/>
        <v>0.24116898148148147</v>
      </c>
      <c r="I209" s="3">
        <v>1.8055555555555554E-2</v>
      </c>
      <c r="J209" s="3">
        <v>2.3935185185185184E-2</v>
      </c>
      <c r="K209" s="3">
        <v>0.2172337962962963</v>
      </c>
      <c r="L209" s="1" t="s">
        <v>7</v>
      </c>
      <c r="M209" s="1" t="s">
        <v>7</v>
      </c>
      <c r="N209" s="1">
        <v>2</v>
      </c>
      <c r="O209" s="35">
        <v>2</v>
      </c>
      <c r="P209" s="35">
        <v>90</v>
      </c>
      <c r="Q209" s="35">
        <v>90</v>
      </c>
      <c r="R209" s="1">
        <v>57.4</v>
      </c>
      <c r="S209" s="1">
        <v>57.4</v>
      </c>
      <c r="T209" s="1">
        <v>0</v>
      </c>
      <c r="V209" s="1" t="s">
        <v>634</v>
      </c>
      <c r="W209" s="1" t="s">
        <v>642</v>
      </c>
    </row>
    <row r="210" spans="1:23" x14ac:dyDescent="0.2">
      <c r="A210" s="1">
        <v>2</v>
      </c>
      <c r="B210" s="35" t="s">
        <v>783</v>
      </c>
      <c r="C210" t="s">
        <v>778</v>
      </c>
      <c r="D210" s="1">
        <v>3</v>
      </c>
      <c r="E210" s="1" t="s">
        <v>711</v>
      </c>
      <c r="F210" s="4">
        <v>45425</v>
      </c>
      <c r="G210" s="3">
        <f t="shared" si="9"/>
        <v>0.24209490740740741</v>
      </c>
      <c r="H210" s="3">
        <f t="shared" si="8"/>
        <v>0.24863425925925925</v>
      </c>
      <c r="I210" s="3">
        <v>2.4861111111111112E-2</v>
      </c>
      <c r="J210" s="3">
        <v>3.1400462962962963E-2</v>
      </c>
      <c r="K210" s="3">
        <v>0.2172337962962963</v>
      </c>
      <c r="L210" s="1" t="s">
        <v>7</v>
      </c>
      <c r="M210" s="1" t="s">
        <v>7</v>
      </c>
      <c r="N210" s="1">
        <v>2</v>
      </c>
      <c r="O210" s="35">
        <v>2</v>
      </c>
      <c r="P210" s="35">
        <v>90</v>
      </c>
      <c r="Q210" s="35">
        <v>90</v>
      </c>
      <c r="R210" s="1">
        <v>57.4</v>
      </c>
      <c r="S210" s="1">
        <v>57.4</v>
      </c>
      <c r="T210" s="1">
        <v>1</v>
      </c>
      <c r="W210" s="1" t="s">
        <v>642</v>
      </c>
    </row>
    <row r="211" spans="1:23" x14ac:dyDescent="0.2">
      <c r="A211" s="1">
        <v>2</v>
      </c>
      <c r="B211" s="35" t="s">
        <v>784</v>
      </c>
      <c r="C211" t="s">
        <v>780</v>
      </c>
      <c r="D211" s="1">
        <v>1</v>
      </c>
      <c r="E211" s="1" t="s">
        <v>711</v>
      </c>
      <c r="F211" s="4">
        <v>45425</v>
      </c>
      <c r="G211" s="1" t="s">
        <v>21</v>
      </c>
      <c r="H211" s="3">
        <f t="shared" si="8"/>
        <v>0.23906250000000001</v>
      </c>
      <c r="I211" s="1" t="s">
        <v>21</v>
      </c>
      <c r="J211" s="3">
        <v>2.1828703703703704E-2</v>
      </c>
      <c r="K211" s="3">
        <v>0.2172337962962963</v>
      </c>
      <c r="L211" s="1" t="s">
        <v>7</v>
      </c>
      <c r="M211" s="1" t="s">
        <v>8</v>
      </c>
      <c r="N211" s="1">
        <v>2</v>
      </c>
      <c r="O211" s="35">
        <v>2</v>
      </c>
      <c r="P211" s="35">
        <v>90</v>
      </c>
      <c r="Q211" s="35">
        <v>90</v>
      </c>
      <c r="R211" s="1">
        <v>57.4</v>
      </c>
      <c r="S211" s="1">
        <v>57.4</v>
      </c>
      <c r="T211" s="1">
        <v>1</v>
      </c>
      <c r="V211" s="1" t="s">
        <v>639</v>
      </c>
      <c r="W211" s="1" t="s">
        <v>642</v>
      </c>
    </row>
    <row r="212" spans="1:23" x14ac:dyDescent="0.2">
      <c r="A212" s="1">
        <v>2</v>
      </c>
      <c r="B212" s="35" t="s">
        <v>784</v>
      </c>
      <c r="C212" t="s">
        <v>780</v>
      </c>
      <c r="D212" s="1">
        <v>2</v>
      </c>
      <c r="E212" s="1" t="s">
        <v>711</v>
      </c>
      <c r="F212" s="4">
        <v>45425</v>
      </c>
      <c r="G212" s="3">
        <f t="shared" ref="G212:G217" si="10">$K212 + $I212</f>
        <v>0.24734953703703705</v>
      </c>
      <c r="H212" s="1" t="s">
        <v>21</v>
      </c>
      <c r="I212" s="3">
        <v>3.0115740740740742E-2</v>
      </c>
      <c r="J212" s="1" t="s">
        <v>21</v>
      </c>
      <c r="K212" s="3">
        <v>0.2172337962962963</v>
      </c>
      <c r="L212" s="1" t="s">
        <v>8</v>
      </c>
      <c r="M212" s="1" t="s">
        <v>8</v>
      </c>
      <c r="N212" s="1">
        <v>2</v>
      </c>
      <c r="O212" s="35">
        <v>2</v>
      </c>
      <c r="P212" s="35">
        <v>90</v>
      </c>
      <c r="Q212" s="35">
        <v>90</v>
      </c>
      <c r="R212" s="1">
        <v>57.4</v>
      </c>
      <c r="S212" s="1">
        <v>57.4</v>
      </c>
      <c r="T212" s="1" t="s">
        <v>21</v>
      </c>
      <c r="V212" s="1" t="s">
        <v>638</v>
      </c>
      <c r="W212" s="1" t="s">
        <v>642</v>
      </c>
    </row>
    <row r="213" spans="1:23" s="33" customFormat="1" x14ac:dyDescent="0.2">
      <c r="A213" s="33">
        <v>2</v>
      </c>
      <c r="B213" s="35" t="s">
        <v>783</v>
      </c>
      <c r="C213" t="s">
        <v>778</v>
      </c>
      <c r="D213" s="33">
        <v>1</v>
      </c>
      <c r="E213" s="33" t="s">
        <v>628</v>
      </c>
      <c r="F213" s="26">
        <v>45425</v>
      </c>
      <c r="G213" s="34">
        <f t="shared" si="10"/>
        <v>0.77721064814814811</v>
      </c>
      <c r="H213" s="34">
        <f t="shared" ref="H213:H253" si="11">K213 + J213</f>
        <v>0.7901273148148148</v>
      </c>
      <c r="I213" s="34">
        <v>1.2777777777777779E-2</v>
      </c>
      <c r="J213" s="34">
        <v>2.5694444444444443E-2</v>
      </c>
      <c r="K213" s="34">
        <v>0.76443287037037033</v>
      </c>
      <c r="L213" s="33" t="s">
        <v>7</v>
      </c>
      <c r="M213" s="33" t="s">
        <v>8</v>
      </c>
      <c r="N213" s="33">
        <v>2</v>
      </c>
      <c r="O213" s="38">
        <v>2</v>
      </c>
      <c r="P213" s="35">
        <v>90</v>
      </c>
      <c r="Q213" s="35">
        <v>90</v>
      </c>
      <c r="R213" s="33">
        <v>57.4</v>
      </c>
      <c r="S213" s="33">
        <v>57.4</v>
      </c>
      <c r="T213" s="33">
        <v>0</v>
      </c>
      <c r="W213" s="33" t="s">
        <v>643</v>
      </c>
    </row>
    <row r="214" spans="1:23" s="33" customFormat="1" x14ac:dyDescent="0.2">
      <c r="A214" s="33">
        <v>2</v>
      </c>
      <c r="B214" s="35" t="s">
        <v>784</v>
      </c>
      <c r="C214" t="s">
        <v>780</v>
      </c>
      <c r="D214" s="33">
        <v>1</v>
      </c>
      <c r="E214" s="33" t="s">
        <v>628</v>
      </c>
      <c r="F214" s="26">
        <v>45425</v>
      </c>
      <c r="G214" s="34">
        <f t="shared" si="10"/>
        <v>0.77271990740740737</v>
      </c>
      <c r="H214" s="34">
        <f t="shared" si="11"/>
        <v>0.78368055555555549</v>
      </c>
      <c r="I214" s="34">
        <v>8.2870370370370372E-3</v>
      </c>
      <c r="J214" s="34">
        <v>1.9247685185185184E-2</v>
      </c>
      <c r="K214" s="34">
        <v>0.76443287037037033</v>
      </c>
      <c r="L214" s="33" t="s">
        <v>8</v>
      </c>
      <c r="M214" s="33" t="s">
        <v>7</v>
      </c>
      <c r="N214" s="33">
        <v>2</v>
      </c>
      <c r="O214" s="38">
        <v>2</v>
      </c>
      <c r="P214" s="35">
        <v>90</v>
      </c>
      <c r="Q214" s="35">
        <v>90</v>
      </c>
      <c r="R214" s="33">
        <v>57.4</v>
      </c>
      <c r="S214" s="33">
        <v>57.4</v>
      </c>
      <c r="T214" s="33">
        <v>0</v>
      </c>
      <c r="W214" s="33" t="s">
        <v>643</v>
      </c>
    </row>
    <row r="215" spans="1:23" s="33" customFormat="1" x14ac:dyDescent="0.2">
      <c r="A215" s="33">
        <v>2</v>
      </c>
      <c r="B215" s="35" t="s">
        <v>784</v>
      </c>
      <c r="C215" t="s">
        <v>780</v>
      </c>
      <c r="D215" s="33">
        <v>2</v>
      </c>
      <c r="E215" s="33" t="s">
        <v>628</v>
      </c>
      <c r="F215" s="26">
        <v>45425</v>
      </c>
      <c r="G215" s="34">
        <f t="shared" si="10"/>
        <v>0.78424768518518517</v>
      </c>
      <c r="H215" s="34">
        <f t="shared" si="11"/>
        <v>0.78785879629629629</v>
      </c>
      <c r="I215" s="34">
        <v>1.9814814814814816E-2</v>
      </c>
      <c r="J215" s="34">
        <v>2.3425925925925926E-2</v>
      </c>
      <c r="K215" s="34">
        <v>0.76443287037037033</v>
      </c>
      <c r="L215" s="33" t="s">
        <v>7</v>
      </c>
      <c r="M215" s="33" t="s">
        <v>7</v>
      </c>
      <c r="N215" s="33">
        <v>2</v>
      </c>
      <c r="O215" s="38">
        <v>2</v>
      </c>
      <c r="P215" s="35">
        <v>90</v>
      </c>
      <c r="Q215" s="35">
        <v>90</v>
      </c>
      <c r="R215" s="33">
        <v>57.4</v>
      </c>
      <c r="S215" s="33">
        <v>57.4</v>
      </c>
      <c r="T215" s="33">
        <v>1</v>
      </c>
      <c r="W215" s="33" t="s">
        <v>643</v>
      </c>
    </row>
    <row r="216" spans="1:23" s="33" customFormat="1" x14ac:dyDescent="0.2">
      <c r="A216" s="33">
        <v>2</v>
      </c>
      <c r="B216" s="35" t="s">
        <v>784</v>
      </c>
      <c r="C216" t="s">
        <v>780</v>
      </c>
      <c r="D216" s="33">
        <v>3</v>
      </c>
      <c r="E216" s="33" t="s">
        <v>628</v>
      </c>
      <c r="F216" s="26">
        <v>45425</v>
      </c>
      <c r="G216" s="34">
        <f t="shared" si="10"/>
        <v>0.7883796296296296</v>
      </c>
      <c r="H216" s="34">
        <f t="shared" si="11"/>
        <v>0.79247685185185179</v>
      </c>
      <c r="I216" s="34">
        <v>2.3946759259259258E-2</v>
      </c>
      <c r="J216" s="34">
        <v>2.8043981481481482E-2</v>
      </c>
      <c r="K216" s="34">
        <v>0.76443287037037033</v>
      </c>
      <c r="L216" s="33" t="s">
        <v>7</v>
      </c>
      <c r="M216" s="33" t="s">
        <v>7</v>
      </c>
      <c r="N216" s="33">
        <v>2</v>
      </c>
      <c r="O216" s="38">
        <v>2</v>
      </c>
      <c r="P216" s="35">
        <v>90</v>
      </c>
      <c r="Q216" s="35">
        <v>90</v>
      </c>
      <c r="R216" s="33">
        <v>57.4</v>
      </c>
      <c r="S216" s="33">
        <v>57.4</v>
      </c>
      <c r="T216" s="33">
        <v>0</v>
      </c>
      <c r="W216" s="33" t="s">
        <v>643</v>
      </c>
    </row>
    <row r="217" spans="1:23" s="33" customFormat="1" x14ac:dyDescent="0.2">
      <c r="A217" s="33">
        <v>2</v>
      </c>
      <c r="B217" s="35" t="s">
        <v>784</v>
      </c>
      <c r="C217" t="s">
        <v>780</v>
      </c>
      <c r="D217" s="33">
        <v>4</v>
      </c>
      <c r="E217" s="33" t="s">
        <v>628</v>
      </c>
      <c r="F217" s="26">
        <v>45425</v>
      </c>
      <c r="G217" s="34">
        <f t="shared" si="10"/>
        <v>0.79322916666666665</v>
      </c>
      <c r="H217" s="34">
        <f t="shared" si="11"/>
        <v>0.79731481481481481</v>
      </c>
      <c r="I217" s="34">
        <v>2.8796296296296296E-2</v>
      </c>
      <c r="J217" s="34">
        <v>3.2881944444444443E-2</v>
      </c>
      <c r="K217" s="34">
        <v>0.76443287037037033</v>
      </c>
      <c r="L217" s="33" t="s">
        <v>7</v>
      </c>
      <c r="M217" s="33" t="s">
        <v>7</v>
      </c>
      <c r="N217" s="33">
        <v>2</v>
      </c>
      <c r="O217" s="38">
        <v>2</v>
      </c>
      <c r="P217" s="35">
        <v>90</v>
      </c>
      <c r="Q217" s="35">
        <v>90</v>
      </c>
      <c r="R217" s="33">
        <v>57.4</v>
      </c>
      <c r="S217" s="33">
        <v>57.4</v>
      </c>
      <c r="T217" s="33">
        <v>0</v>
      </c>
      <c r="V217" s="33" t="s">
        <v>646</v>
      </c>
      <c r="W217" s="33" t="s">
        <v>643</v>
      </c>
    </row>
    <row r="218" spans="1:23" x14ac:dyDescent="0.2">
      <c r="A218" s="1">
        <v>2</v>
      </c>
      <c r="B218" s="35" t="s">
        <v>784</v>
      </c>
      <c r="C218" t="s">
        <v>780</v>
      </c>
      <c r="D218" s="1">
        <v>1</v>
      </c>
      <c r="E218" s="1" t="s">
        <v>633</v>
      </c>
      <c r="F218" s="4">
        <v>45426</v>
      </c>
      <c r="G218" s="1" t="s">
        <v>21</v>
      </c>
      <c r="H218" s="3">
        <f t="shared" si="11"/>
        <v>0.22803240740740741</v>
      </c>
      <c r="I218" s="1" t="s">
        <v>21</v>
      </c>
      <c r="J218" s="3">
        <v>5.208333333333333E-3</v>
      </c>
      <c r="K218" s="3">
        <v>0.22282407407407406</v>
      </c>
      <c r="L218" s="1" t="s">
        <v>7</v>
      </c>
      <c r="M218" s="1" t="s">
        <v>7</v>
      </c>
      <c r="N218" s="1">
        <v>2</v>
      </c>
      <c r="O218" s="35">
        <v>2</v>
      </c>
      <c r="P218" s="35">
        <v>90</v>
      </c>
      <c r="Q218" s="35">
        <v>90</v>
      </c>
      <c r="R218" s="1">
        <v>57.4</v>
      </c>
      <c r="S218" s="1">
        <v>57.4</v>
      </c>
      <c r="T218" s="1">
        <v>1</v>
      </c>
      <c r="V218" s="1" t="s">
        <v>649</v>
      </c>
      <c r="W218" s="1" t="s">
        <v>643</v>
      </c>
    </row>
    <row r="219" spans="1:23" x14ac:dyDescent="0.2">
      <c r="A219" s="1">
        <v>2</v>
      </c>
      <c r="B219" s="35" t="s">
        <v>784</v>
      </c>
      <c r="C219" t="s">
        <v>780</v>
      </c>
      <c r="D219" s="1">
        <v>2</v>
      </c>
      <c r="E219" s="1" t="s">
        <v>633</v>
      </c>
      <c r="F219" s="4">
        <v>45427</v>
      </c>
      <c r="G219" s="3">
        <f>$K219 + $I219</f>
        <v>0.22905092592592591</v>
      </c>
      <c r="H219" s="3">
        <f t="shared" si="11"/>
        <v>0.24171296296296296</v>
      </c>
      <c r="I219" s="3">
        <v>6.2268518518518515E-3</v>
      </c>
      <c r="J219" s="3">
        <v>1.8888888888888889E-2</v>
      </c>
      <c r="K219" s="3">
        <v>0.22282407407407406</v>
      </c>
      <c r="L219" s="1" t="s">
        <v>7</v>
      </c>
      <c r="M219" s="1" t="s">
        <v>8</v>
      </c>
      <c r="N219" s="1">
        <v>2</v>
      </c>
      <c r="O219" s="35">
        <v>2</v>
      </c>
      <c r="P219" s="35">
        <v>90</v>
      </c>
      <c r="Q219" s="35">
        <v>90</v>
      </c>
      <c r="R219" s="1">
        <v>57.4</v>
      </c>
      <c r="S219" s="1">
        <v>57.4</v>
      </c>
      <c r="T219" s="1">
        <v>1</v>
      </c>
      <c r="W219" s="1" t="s">
        <v>643</v>
      </c>
    </row>
    <row r="220" spans="1:23" x14ac:dyDescent="0.2">
      <c r="A220" s="1">
        <v>2</v>
      </c>
      <c r="B220" s="35" t="s">
        <v>783</v>
      </c>
      <c r="C220" t="s">
        <v>778</v>
      </c>
      <c r="D220" s="1">
        <v>1</v>
      </c>
      <c r="E220" s="1" t="s">
        <v>633</v>
      </c>
      <c r="F220" s="4">
        <v>45428</v>
      </c>
      <c r="G220" s="1" t="s">
        <v>21</v>
      </c>
      <c r="H220" s="3">
        <f t="shared" si="11"/>
        <v>0.23959490740740741</v>
      </c>
      <c r="I220" s="1" t="s">
        <v>21</v>
      </c>
      <c r="J220" s="3">
        <v>1.6770833333333332E-2</v>
      </c>
      <c r="K220" s="3">
        <v>0.22282407407407406</v>
      </c>
      <c r="L220" s="1" t="s">
        <v>8</v>
      </c>
      <c r="M220" s="1" t="s">
        <v>8</v>
      </c>
      <c r="N220" s="1">
        <v>2</v>
      </c>
      <c r="O220" s="35">
        <v>2</v>
      </c>
      <c r="P220" s="35">
        <v>90</v>
      </c>
      <c r="Q220" s="35">
        <v>90</v>
      </c>
      <c r="R220" s="1">
        <v>57.4</v>
      </c>
      <c r="S220" s="1">
        <v>57.4</v>
      </c>
      <c r="T220" s="1">
        <v>1</v>
      </c>
      <c r="V220" s="1" t="s">
        <v>547</v>
      </c>
      <c r="W220" s="1" t="s">
        <v>643</v>
      </c>
    </row>
    <row r="221" spans="1:23" x14ac:dyDescent="0.2">
      <c r="A221" s="1">
        <v>2</v>
      </c>
      <c r="B221" s="35" t="s">
        <v>784</v>
      </c>
      <c r="C221" t="s">
        <v>780</v>
      </c>
      <c r="D221" s="1">
        <v>1</v>
      </c>
      <c r="E221" s="1" t="s">
        <v>637</v>
      </c>
      <c r="F221" s="4">
        <v>45426</v>
      </c>
      <c r="G221" s="1" t="s">
        <v>21</v>
      </c>
      <c r="H221" s="3">
        <f t="shared" si="11"/>
        <v>0.77475694444444443</v>
      </c>
      <c r="I221" s="1" t="s">
        <v>21</v>
      </c>
      <c r="J221" s="3">
        <v>1.2303240740740741E-2</v>
      </c>
      <c r="K221" s="3">
        <v>0.76245370370370369</v>
      </c>
      <c r="L221" s="1" t="s">
        <v>8</v>
      </c>
      <c r="M221" s="1" t="s">
        <v>8</v>
      </c>
      <c r="N221" s="1">
        <v>2</v>
      </c>
      <c r="O221" s="35">
        <v>2</v>
      </c>
      <c r="P221" s="35">
        <v>90</v>
      </c>
      <c r="Q221" s="35">
        <v>90</v>
      </c>
      <c r="R221" s="1">
        <v>57.4</v>
      </c>
      <c r="S221" s="1">
        <v>57.4</v>
      </c>
      <c r="T221" s="1">
        <v>1</v>
      </c>
      <c r="W221" s="1" t="s">
        <v>643</v>
      </c>
    </row>
    <row r="222" spans="1:23" x14ac:dyDescent="0.2">
      <c r="A222" s="1">
        <v>2</v>
      </c>
      <c r="B222" s="35" t="s">
        <v>784</v>
      </c>
      <c r="C222" t="s">
        <v>780</v>
      </c>
      <c r="D222" s="1">
        <v>2</v>
      </c>
      <c r="E222" s="1" t="s">
        <v>637</v>
      </c>
      <c r="F222" s="4">
        <v>45426</v>
      </c>
      <c r="G222" s="3">
        <f>$K222 + $I222</f>
        <v>0.77545138888888887</v>
      </c>
      <c r="H222" s="3">
        <f t="shared" si="11"/>
        <v>0.78489583333333335</v>
      </c>
      <c r="I222" s="3">
        <v>1.2997685185185185E-2</v>
      </c>
      <c r="J222" s="3">
        <v>2.2442129629629631E-2</v>
      </c>
      <c r="K222" s="3">
        <v>0.76245370370370369</v>
      </c>
      <c r="L222" s="1" t="s">
        <v>8</v>
      </c>
      <c r="M222" s="1" t="s">
        <v>8</v>
      </c>
      <c r="N222" s="1">
        <v>2</v>
      </c>
      <c r="O222" s="35">
        <v>2</v>
      </c>
      <c r="P222" s="35">
        <v>90</v>
      </c>
      <c r="Q222" s="35">
        <v>90</v>
      </c>
      <c r="R222" s="1">
        <v>57.4</v>
      </c>
      <c r="S222" s="1">
        <v>57.4</v>
      </c>
      <c r="T222" s="1">
        <v>1</v>
      </c>
      <c r="W222" s="1" t="s">
        <v>643</v>
      </c>
    </row>
    <row r="223" spans="1:23" x14ac:dyDescent="0.2">
      <c r="A223" s="1">
        <v>2</v>
      </c>
      <c r="B223" s="35" t="s">
        <v>784</v>
      </c>
      <c r="C223" t="s">
        <v>780</v>
      </c>
      <c r="D223" s="1">
        <v>3</v>
      </c>
      <c r="E223" s="1" t="s">
        <v>637</v>
      </c>
      <c r="F223" s="4">
        <v>45426</v>
      </c>
      <c r="G223" s="3">
        <f>$K223 + $I223</f>
        <v>0.78598379629629633</v>
      </c>
      <c r="H223" s="3">
        <f t="shared" si="11"/>
        <v>0.79067129629629629</v>
      </c>
      <c r="I223" s="3">
        <v>2.3530092592592592E-2</v>
      </c>
      <c r="J223" s="3">
        <v>2.8217592592592593E-2</v>
      </c>
      <c r="K223" s="3">
        <v>0.76245370370370369</v>
      </c>
      <c r="L223" s="1" t="s">
        <v>8</v>
      </c>
      <c r="M223" s="1" t="s">
        <v>8</v>
      </c>
      <c r="N223" s="1">
        <v>2</v>
      </c>
      <c r="O223" s="35">
        <v>2</v>
      </c>
      <c r="P223" s="35">
        <v>90</v>
      </c>
      <c r="Q223" s="35">
        <v>90</v>
      </c>
      <c r="R223" s="1">
        <v>57.4</v>
      </c>
      <c r="S223" s="1">
        <v>57.4</v>
      </c>
      <c r="T223" s="1">
        <v>0</v>
      </c>
      <c r="V223" s="1" t="s">
        <v>653</v>
      </c>
      <c r="W223" s="1" t="s">
        <v>643</v>
      </c>
    </row>
    <row r="224" spans="1:23" x14ac:dyDescent="0.2">
      <c r="A224" s="1">
        <v>2</v>
      </c>
      <c r="B224" s="35" t="s">
        <v>783</v>
      </c>
      <c r="C224" t="s">
        <v>778</v>
      </c>
      <c r="D224" s="1">
        <v>1</v>
      </c>
      <c r="E224" s="1" t="s">
        <v>637</v>
      </c>
      <c r="F224" s="4">
        <v>45426</v>
      </c>
      <c r="G224" s="3">
        <f>$K224 + $I224</f>
        <v>0.7633564814814815</v>
      </c>
      <c r="H224" s="3">
        <f t="shared" si="11"/>
        <v>0.78</v>
      </c>
      <c r="I224" s="3">
        <v>9.0277777777777774E-4</v>
      </c>
      <c r="J224" s="3">
        <v>1.7546296296296296E-2</v>
      </c>
      <c r="K224" s="3">
        <v>0.76245370370370369</v>
      </c>
      <c r="L224" s="1" t="s">
        <v>7</v>
      </c>
      <c r="M224" s="1" t="s">
        <v>7</v>
      </c>
      <c r="N224" s="1">
        <v>2</v>
      </c>
      <c r="O224" s="35">
        <v>2</v>
      </c>
      <c r="P224" s="35">
        <v>90</v>
      </c>
      <c r="Q224" s="35">
        <v>90</v>
      </c>
      <c r="R224" s="1">
        <v>57.4</v>
      </c>
      <c r="S224" s="1">
        <v>57.4</v>
      </c>
      <c r="T224" s="1">
        <v>1</v>
      </c>
      <c r="W224" s="1" t="s">
        <v>643</v>
      </c>
    </row>
    <row r="225" spans="1:23" x14ac:dyDescent="0.2">
      <c r="A225" s="1">
        <v>2</v>
      </c>
      <c r="B225" s="35" t="s">
        <v>784</v>
      </c>
      <c r="C225" t="s">
        <v>780</v>
      </c>
      <c r="D225" s="1">
        <v>1</v>
      </c>
      <c r="E225" s="1" t="s">
        <v>644</v>
      </c>
      <c r="F225" s="4">
        <v>45427</v>
      </c>
      <c r="G225" s="1" t="s">
        <v>21</v>
      </c>
      <c r="H225" s="3">
        <f t="shared" si="11"/>
        <v>0.22659722222222223</v>
      </c>
      <c r="I225" s="1" t="s">
        <v>21</v>
      </c>
      <c r="J225" s="3">
        <v>8.0324074074074082E-3</v>
      </c>
      <c r="K225" s="3">
        <v>0.21856481481481482</v>
      </c>
      <c r="L225" s="1" t="s">
        <v>8</v>
      </c>
      <c r="M225" s="1" t="s">
        <v>8</v>
      </c>
      <c r="N225" s="1">
        <v>2</v>
      </c>
      <c r="O225" s="35">
        <v>2</v>
      </c>
      <c r="P225" s="35">
        <v>90</v>
      </c>
      <c r="Q225" s="35">
        <v>90</v>
      </c>
      <c r="R225" s="1">
        <v>57.4</v>
      </c>
      <c r="S225" s="1">
        <v>57.4</v>
      </c>
      <c r="T225" s="1">
        <v>1</v>
      </c>
      <c r="U225" s="1" t="s">
        <v>660</v>
      </c>
      <c r="V225" s="1" t="s">
        <v>656</v>
      </c>
      <c r="W225" s="1" t="s">
        <v>643</v>
      </c>
    </row>
    <row r="226" spans="1:23" x14ac:dyDescent="0.2">
      <c r="A226" s="1">
        <v>2</v>
      </c>
      <c r="B226" s="35" t="s">
        <v>784</v>
      </c>
      <c r="C226" t="s">
        <v>780</v>
      </c>
      <c r="D226" s="1">
        <v>2</v>
      </c>
      <c r="E226" s="1" t="s">
        <v>644</v>
      </c>
      <c r="F226" s="4">
        <v>45427</v>
      </c>
      <c r="G226" s="3">
        <f>$K226 + $I226</f>
        <v>0.22659722222222223</v>
      </c>
      <c r="H226" s="3">
        <f t="shared" si="11"/>
        <v>0.24837962962962964</v>
      </c>
      <c r="I226" s="3">
        <v>8.0324074074074082E-3</v>
      </c>
      <c r="J226" s="3">
        <v>2.9814814814814815E-2</v>
      </c>
      <c r="K226" s="3">
        <v>0.21856481481481482</v>
      </c>
      <c r="L226" s="1" t="s">
        <v>8</v>
      </c>
      <c r="M226" s="1" t="s">
        <v>7</v>
      </c>
      <c r="N226" s="1">
        <v>2</v>
      </c>
      <c r="O226" s="35">
        <v>2</v>
      </c>
      <c r="P226" s="35">
        <v>90</v>
      </c>
      <c r="Q226" s="35">
        <v>90</v>
      </c>
      <c r="R226" s="1">
        <v>28.8</v>
      </c>
      <c r="S226" s="1">
        <v>28.8</v>
      </c>
      <c r="T226" s="1">
        <v>0</v>
      </c>
      <c r="U226" s="1" t="s">
        <v>661</v>
      </c>
      <c r="V226" s="1" t="s">
        <v>657</v>
      </c>
      <c r="W226" s="1" t="s">
        <v>643</v>
      </c>
    </row>
    <row r="227" spans="1:23" x14ac:dyDescent="0.2">
      <c r="A227" s="1">
        <v>2</v>
      </c>
      <c r="B227" s="35" t="s">
        <v>783</v>
      </c>
      <c r="C227" t="s">
        <v>778</v>
      </c>
      <c r="D227" s="1">
        <v>1</v>
      </c>
      <c r="E227" s="1" t="s">
        <v>644</v>
      </c>
      <c r="F227" s="4">
        <v>45427</v>
      </c>
      <c r="G227" s="1" t="s">
        <v>21</v>
      </c>
      <c r="H227" s="3">
        <f t="shared" si="11"/>
        <v>0.24015046296296297</v>
      </c>
      <c r="I227" s="1" t="s">
        <v>21</v>
      </c>
      <c r="J227" s="3">
        <v>2.1585648148148149E-2</v>
      </c>
      <c r="K227" s="3">
        <v>0.21856481481481482</v>
      </c>
      <c r="L227" s="1" t="s">
        <v>7</v>
      </c>
      <c r="M227" s="1" t="s">
        <v>8</v>
      </c>
      <c r="N227" s="1">
        <v>2</v>
      </c>
      <c r="O227" s="35">
        <v>2</v>
      </c>
      <c r="P227" s="35">
        <v>90</v>
      </c>
      <c r="Q227" s="35">
        <v>90</v>
      </c>
      <c r="R227" s="1">
        <v>57.4</v>
      </c>
      <c r="S227" s="1">
        <v>28.8</v>
      </c>
      <c r="T227" s="1">
        <v>0</v>
      </c>
      <c r="V227" s="1" t="s">
        <v>658</v>
      </c>
      <c r="W227" s="1" t="s">
        <v>643</v>
      </c>
    </row>
    <row r="228" spans="1:23" x14ac:dyDescent="0.2">
      <c r="A228" s="1">
        <v>2</v>
      </c>
      <c r="B228" s="35" t="s">
        <v>783</v>
      </c>
      <c r="C228" t="s">
        <v>778</v>
      </c>
      <c r="D228" s="1">
        <v>2</v>
      </c>
      <c r="E228" s="1" t="s">
        <v>644</v>
      </c>
      <c r="F228" s="4">
        <v>45427</v>
      </c>
      <c r="G228" s="3">
        <f t="shared" ref="G228:G234" si="12">$K228 + $I228</f>
        <v>0.24194444444444446</v>
      </c>
      <c r="H228" s="3">
        <f t="shared" si="11"/>
        <v>0.24885416666666668</v>
      </c>
      <c r="I228" s="3">
        <v>2.3379629629629629E-2</v>
      </c>
      <c r="J228" s="3">
        <v>3.0289351851851852E-2</v>
      </c>
      <c r="K228" s="3">
        <v>0.21856481481481482</v>
      </c>
      <c r="L228" s="1" t="s">
        <v>8</v>
      </c>
      <c r="M228" s="1" t="s">
        <v>8</v>
      </c>
      <c r="N228" s="1">
        <v>2</v>
      </c>
      <c r="O228" s="35">
        <v>2</v>
      </c>
      <c r="P228" s="35">
        <v>90</v>
      </c>
      <c r="Q228" s="35">
        <v>90</v>
      </c>
      <c r="R228" s="1">
        <v>28.8</v>
      </c>
      <c r="S228" s="1">
        <v>28.8</v>
      </c>
      <c r="T228" s="1">
        <v>0</v>
      </c>
      <c r="W228" s="1" t="s">
        <v>643</v>
      </c>
    </row>
    <row r="229" spans="1:23" x14ac:dyDescent="0.2">
      <c r="A229" s="1">
        <v>2</v>
      </c>
      <c r="B229" s="35" t="s">
        <v>783</v>
      </c>
      <c r="C229" t="s">
        <v>778</v>
      </c>
      <c r="D229" s="1">
        <v>3</v>
      </c>
      <c r="E229" s="1" t="s">
        <v>644</v>
      </c>
      <c r="F229" s="4">
        <v>45427</v>
      </c>
      <c r="G229" s="3">
        <f t="shared" si="12"/>
        <v>0.25069444444444444</v>
      </c>
      <c r="H229" s="3">
        <f t="shared" si="11"/>
        <v>0.25814814814814813</v>
      </c>
      <c r="I229" s="3">
        <v>3.2129629629629633E-2</v>
      </c>
      <c r="J229" s="3">
        <v>3.9583333333333331E-2</v>
      </c>
      <c r="K229" s="3">
        <v>0.21856481481481482</v>
      </c>
      <c r="L229" s="1" t="s">
        <v>8</v>
      </c>
      <c r="M229" s="1" t="s">
        <v>8</v>
      </c>
      <c r="N229" s="1">
        <v>2</v>
      </c>
      <c r="O229" s="35">
        <v>2</v>
      </c>
      <c r="P229" s="35">
        <v>90</v>
      </c>
      <c r="Q229" s="35">
        <v>90</v>
      </c>
      <c r="R229" s="1">
        <v>28.8</v>
      </c>
      <c r="S229" s="1">
        <v>28.8</v>
      </c>
      <c r="T229" s="1">
        <v>0</v>
      </c>
      <c r="W229" s="1" t="s">
        <v>643</v>
      </c>
    </row>
    <row r="230" spans="1:23" x14ac:dyDescent="0.2">
      <c r="A230" s="1">
        <v>2</v>
      </c>
      <c r="B230" s="35" t="s">
        <v>783</v>
      </c>
      <c r="C230" t="s">
        <v>778</v>
      </c>
      <c r="D230" s="1">
        <v>1</v>
      </c>
      <c r="E230" s="1" t="s">
        <v>647</v>
      </c>
      <c r="F230" s="4">
        <v>45427</v>
      </c>
      <c r="G230" s="3">
        <f t="shared" si="12"/>
        <v>0.77303240740740742</v>
      </c>
      <c r="H230" s="3">
        <f t="shared" si="11"/>
        <v>0.79385416666666664</v>
      </c>
      <c r="I230" s="3">
        <v>1.6851851851851851E-2</v>
      </c>
      <c r="J230" s="3">
        <v>3.7673611111111109E-2</v>
      </c>
      <c r="K230" s="3">
        <v>0.75618055555555552</v>
      </c>
      <c r="L230" s="1" t="s">
        <v>8</v>
      </c>
      <c r="M230" s="1" t="s">
        <v>7</v>
      </c>
      <c r="N230" s="1">
        <v>2</v>
      </c>
      <c r="O230" s="35">
        <v>2</v>
      </c>
      <c r="P230" s="35">
        <v>90</v>
      </c>
      <c r="Q230" s="35">
        <v>90</v>
      </c>
      <c r="R230" s="1">
        <v>57.4</v>
      </c>
      <c r="S230" s="1">
        <v>57.4</v>
      </c>
      <c r="T230" s="1">
        <v>1</v>
      </c>
      <c r="W230" s="1" t="s">
        <v>643</v>
      </c>
    </row>
    <row r="231" spans="1:23" x14ac:dyDescent="0.2">
      <c r="A231" s="1">
        <v>2</v>
      </c>
      <c r="B231" s="35" t="s">
        <v>784</v>
      </c>
      <c r="C231" t="s">
        <v>780</v>
      </c>
      <c r="D231" s="1">
        <v>1</v>
      </c>
      <c r="E231" s="1" t="s">
        <v>647</v>
      </c>
      <c r="F231" s="4">
        <v>45427</v>
      </c>
      <c r="G231" s="3">
        <f t="shared" si="12"/>
        <v>0.76961805555555551</v>
      </c>
      <c r="H231" s="3">
        <f t="shared" si="11"/>
        <v>0.7804861111111111</v>
      </c>
      <c r="I231" s="3">
        <v>1.34375E-2</v>
      </c>
      <c r="J231" s="3">
        <v>2.4305555555555556E-2</v>
      </c>
      <c r="K231" s="3">
        <v>0.75618055555555552</v>
      </c>
      <c r="L231" s="1" t="s">
        <v>7</v>
      </c>
      <c r="M231" s="1" t="s">
        <v>8</v>
      </c>
      <c r="N231" s="1">
        <v>2</v>
      </c>
      <c r="O231" s="35">
        <v>2</v>
      </c>
      <c r="P231" s="35">
        <v>90</v>
      </c>
      <c r="Q231" s="35">
        <v>90</v>
      </c>
      <c r="R231" s="1">
        <v>57.4</v>
      </c>
      <c r="S231" s="1">
        <v>57.4</v>
      </c>
      <c r="T231" s="1">
        <v>1</v>
      </c>
      <c r="W231" s="1" t="s">
        <v>643</v>
      </c>
    </row>
    <row r="232" spans="1:23" x14ac:dyDescent="0.2">
      <c r="A232" s="1">
        <v>2</v>
      </c>
      <c r="B232" s="35" t="s">
        <v>784</v>
      </c>
      <c r="C232" t="s">
        <v>780</v>
      </c>
      <c r="D232" s="1">
        <v>2</v>
      </c>
      <c r="E232" s="1" t="s">
        <v>647</v>
      </c>
      <c r="F232" s="4">
        <v>45427</v>
      </c>
      <c r="G232" s="3">
        <f t="shared" si="12"/>
        <v>0.7808680555555555</v>
      </c>
      <c r="H232" s="3">
        <f t="shared" si="11"/>
        <v>0.78665509259259259</v>
      </c>
      <c r="I232" s="3">
        <v>2.4687500000000001E-2</v>
      </c>
      <c r="J232" s="3">
        <v>3.0474537037037036E-2</v>
      </c>
      <c r="K232" s="3">
        <v>0.75618055555555552</v>
      </c>
      <c r="L232" s="1" t="s">
        <v>8</v>
      </c>
      <c r="M232" s="1" t="s">
        <v>8</v>
      </c>
      <c r="N232" s="1">
        <v>2</v>
      </c>
      <c r="O232" s="35">
        <v>2</v>
      </c>
      <c r="P232" s="35">
        <v>90</v>
      </c>
      <c r="Q232" s="35">
        <v>90</v>
      </c>
      <c r="R232" s="1">
        <v>57.4</v>
      </c>
      <c r="S232" s="1">
        <v>57.4</v>
      </c>
      <c r="T232" s="1">
        <v>0</v>
      </c>
      <c r="W232" s="1" t="s">
        <v>643</v>
      </c>
    </row>
    <row r="233" spans="1:23" x14ac:dyDescent="0.2">
      <c r="A233" s="1">
        <v>2</v>
      </c>
      <c r="B233" s="35" t="s">
        <v>784</v>
      </c>
      <c r="C233" t="s">
        <v>780</v>
      </c>
      <c r="D233" s="1">
        <v>3</v>
      </c>
      <c r="E233" s="1" t="s">
        <v>647</v>
      </c>
      <c r="F233" s="4">
        <v>45427</v>
      </c>
      <c r="G233" s="3">
        <f t="shared" si="12"/>
        <v>0.78706018518518517</v>
      </c>
      <c r="H233" s="3">
        <f t="shared" si="11"/>
        <v>0.79276620370370365</v>
      </c>
      <c r="I233" s="3">
        <v>3.0879629629629628E-2</v>
      </c>
      <c r="J233" s="3">
        <v>3.6585648148148145E-2</v>
      </c>
      <c r="K233" s="3">
        <v>0.75618055555555552</v>
      </c>
      <c r="L233" s="1" t="s">
        <v>8</v>
      </c>
      <c r="M233" s="1" t="s">
        <v>8</v>
      </c>
      <c r="N233" s="1">
        <v>2</v>
      </c>
      <c r="O233" s="35">
        <v>2</v>
      </c>
      <c r="P233" s="35">
        <v>90</v>
      </c>
      <c r="Q233" s="35">
        <v>90</v>
      </c>
      <c r="R233" s="1">
        <v>57.4</v>
      </c>
      <c r="S233" s="1">
        <v>57.4</v>
      </c>
      <c r="T233" s="1">
        <v>1</v>
      </c>
      <c r="U233" s="1" t="s">
        <v>668</v>
      </c>
      <c r="W233" s="1" t="s">
        <v>643</v>
      </c>
    </row>
    <row r="234" spans="1:23" x14ac:dyDescent="0.2">
      <c r="A234" s="1">
        <v>2</v>
      </c>
      <c r="B234" s="35" t="s">
        <v>784</v>
      </c>
      <c r="C234" t="s">
        <v>780</v>
      </c>
      <c r="D234" s="1">
        <v>4</v>
      </c>
      <c r="E234" s="1" t="s">
        <v>647</v>
      </c>
      <c r="F234" s="4">
        <v>45427</v>
      </c>
      <c r="G234" s="3">
        <f t="shared" si="12"/>
        <v>0.79402777777777778</v>
      </c>
      <c r="H234" s="3">
        <f t="shared" si="11"/>
        <v>0.799224537037037</v>
      </c>
      <c r="I234" s="3">
        <v>3.784722222222222E-2</v>
      </c>
      <c r="J234" s="3">
        <v>4.3043981481481482E-2</v>
      </c>
      <c r="K234" s="3">
        <v>0.75618055555555552</v>
      </c>
      <c r="L234" s="1" t="s">
        <v>8</v>
      </c>
      <c r="M234" s="1" t="s">
        <v>8</v>
      </c>
      <c r="N234" s="1">
        <v>2</v>
      </c>
      <c r="O234" s="35">
        <v>2</v>
      </c>
      <c r="P234" s="35">
        <v>90</v>
      </c>
      <c r="Q234" s="35">
        <v>90</v>
      </c>
      <c r="R234" s="1">
        <v>57.4</v>
      </c>
      <c r="S234" s="1">
        <v>57.4</v>
      </c>
      <c r="T234" s="1">
        <v>0</v>
      </c>
      <c r="U234" s="1" t="s">
        <v>675</v>
      </c>
      <c r="V234" s="1" t="s">
        <v>674</v>
      </c>
      <c r="W234" s="1" t="s">
        <v>643</v>
      </c>
    </row>
    <row r="235" spans="1:23" x14ac:dyDescent="0.2">
      <c r="A235" s="1">
        <v>2</v>
      </c>
      <c r="B235" s="35" t="s">
        <v>784</v>
      </c>
      <c r="C235" t="s">
        <v>780</v>
      </c>
      <c r="D235" s="1">
        <v>1</v>
      </c>
      <c r="E235" s="1" t="s">
        <v>650</v>
      </c>
      <c r="F235" s="4">
        <v>45428</v>
      </c>
      <c r="H235" s="3">
        <f t="shared" si="11"/>
        <v>0.23674768518518519</v>
      </c>
      <c r="J235" s="3">
        <v>1.5300925925925926E-2</v>
      </c>
      <c r="K235" s="3">
        <v>0.22144675925925925</v>
      </c>
      <c r="L235" s="1" t="s">
        <v>8</v>
      </c>
      <c r="M235" s="1" t="s">
        <v>8</v>
      </c>
      <c r="N235" s="1">
        <v>2</v>
      </c>
      <c r="O235" s="35">
        <v>2</v>
      </c>
      <c r="P235" s="35">
        <v>90</v>
      </c>
      <c r="Q235" s="35">
        <v>90</v>
      </c>
      <c r="R235" s="1">
        <v>57.4</v>
      </c>
      <c r="S235" s="1">
        <v>28.8</v>
      </c>
      <c r="T235" s="1">
        <v>1</v>
      </c>
      <c r="U235" s="1">
        <v>1</v>
      </c>
      <c r="W235" s="1" t="s">
        <v>643</v>
      </c>
    </row>
    <row r="236" spans="1:23" x14ac:dyDescent="0.2">
      <c r="A236" s="1">
        <v>2</v>
      </c>
      <c r="B236" s="35" t="s">
        <v>783</v>
      </c>
      <c r="C236" t="s">
        <v>778</v>
      </c>
      <c r="D236" s="1">
        <v>1</v>
      </c>
      <c r="E236" s="1" t="s">
        <v>650</v>
      </c>
      <c r="F236" s="4">
        <v>45428</v>
      </c>
      <c r="H236" s="3">
        <f t="shared" si="11"/>
        <v>0.22597222222222221</v>
      </c>
      <c r="J236" s="3">
        <v>4.5254629629629629E-3</v>
      </c>
      <c r="K236" s="3">
        <v>0.22144675925925925</v>
      </c>
      <c r="L236" s="1" t="s">
        <v>7</v>
      </c>
      <c r="M236" s="1" t="s">
        <v>7</v>
      </c>
      <c r="N236" s="1">
        <v>2</v>
      </c>
      <c r="O236" s="35">
        <v>2</v>
      </c>
      <c r="P236" s="35">
        <v>90</v>
      </c>
      <c r="Q236" s="35">
        <v>90</v>
      </c>
      <c r="R236" s="1">
        <v>57.4</v>
      </c>
      <c r="S236" s="1">
        <v>57.4</v>
      </c>
      <c r="T236" s="1" t="s">
        <v>21</v>
      </c>
      <c r="V236" s="1" t="s">
        <v>673</v>
      </c>
      <c r="W236" s="1" t="s">
        <v>643</v>
      </c>
    </row>
    <row r="237" spans="1:23" x14ac:dyDescent="0.2">
      <c r="A237" s="1">
        <v>2</v>
      </c>
      <c r="B237" s="35" t="s">
        <v>783</v>
      </c>
      <c r="C237" t="s">
        <v>778</v>
      </c>
      <c r="D237" s="1">
        <v>2</v>
      </c>
      <c r="E237" s="1" t="s">
        <v>650</v>
      </c>
      <c r="F237" s="4">
        <v>45428</v>
      </c>
      <c r="H237" s="3">
        <f t="shared" si="11"/>
        <v>0.23618055555555553</v>
      </c>
      <c r="J237" s="3">
        <v>1.4733796296296297E-2</v>
      </c>
      <c r="K237" s="3">
        <v>0.22144675925925925</v>
      </c>
      <c r="L237" s="1" t="s">
        <v>7</v>
      </c>
      <c r="M237" s="1" t="s">
        <v>7</v>
      </c>
      <c r="N237" s="1">
        <v>2</v>
      </c>
      <c r="O237" s="35">
        <v>2</v>
      </c>
      <c r="P237" s="35">
        <v>90</v>
      </c>
      <c r="Q237" s="35">
        <v>90</v>
      </c>
      <c r="R237" s="1">
        <v>57.4</v>
      </c>
      <c r="S237" s="1">
        <v>28.8</v>
      </c>
      <c r="T237" s="1">
        <v>0</v>
      </c>
      <c r="U237" s="1" t="s">
        <v>672</v>
      </c>
      <c r="W237" s="1" t="s">
        <v>643</v>
      </c>
    </row>
    <row r="238" spans="1:23" x14ac:dyDescent="0.2">
      <c r="A238" s="1">
        <v>2</v>
      </c>
      <c r="B238" s="35" t="s">
        <v>783</v>
      </c>
      <c r="C238" t="s">
        <v>778</v>
      </c>
      <c r="D238" s="1">
        <v>3</v>
      </c>
      <c r="E238" s="1" t="s">
        <v>650</v>
      </c>
      <c r="F238" s="4">
        <v>45428</v>
      </c>
      <c r="G238" s="3">
        <f t="shared" ref="G238:G243" si="13">$K238 + $I238</f>
        <v>0.24143518518518517</v>
      </c>
      <c r="H238" s="3">
        <f t="shared" si="11"/>
        <v>0.24971064814814814</v>
      </c>
      <c r="I238" s="3">
        <v>1.9988425925925927E-2</v>
      </c>
      <c r="J238" s="3">
        <v>2.826388888888889E-2</v>
      </c>
      <c r="K238" s="3">
        <v>0.22144675925925925</v>
      </c>
      <c r="L238" s="1" t="s">
        <v>7</v>
      </c>
      <c r="M238" s="1" t="s">
        <v>7</v>
      </c>
      <c r="N238" s="1">
        <v>2</v>
      </c>
      <c r="O238" s="35">
        <v>2</v>
      </c>
      <c r="P238" s="35">
        <v>90</v>
      </c>
      <c r="Q238" s="35">
        <v>90</v>
      </c>
      <c r="R238" s="1">
        <v>28.8</v>
      </c>
      <c r="S238" s="1">
        <v>57.4</v>
      </c>
      <c r="T238" s="1">
        <v>0</v>
      </c>
      <c r="U238" s="1">
        <v>1</v>
      </c>
      <c r="W238" s="1" t="s">
        <v>643</v>
      </c>
    </row>
    <row r="239" spans="1:23" x14ac:dyDescent="0.2">
      <c r="A239" s="1">
        <v>2</v>
      </c>
      <c r="B239" s="35" t="s">
        <v>784</v>
      </c>
      <c r="C239" t="s">
        <v>780</v>
      </c>
      <c r="D239" s="1">
        <v>1</v>
      </c>
      <c r="E239" s="1" t="s">
        <v>651</v>
      </c>
      <c r="F239" s="4">
        <v>45428</v>
      </c>
      <c r="G239" s="3">
        <f t="shared" si="13"/>
        <v>0.76883101851851854</v>
      </c>
      <c r="H239" s="3">
        <f t="shared" si="11"/>
        <v>0.78483796296296304</v>
      </c>
      <c r="I239" s="3">
        <v>1.4351851851851852E-2</v>
      </c>
      <c r="J239" s="3">
        <v>3.0358796296296297E-2</v>
      </c>
      <c r="K239" s="3">
        <v>0.7544791666666667</v>
      </c>
      <c r="L239" s="1" t="s">
        <v>8</v>
      </c>
      <c r="M239" s="1" t="s">
        <v>7</v>
      </c>
      <c r="N239" s="1">
        <v>2</v>
      </c>
      <c r="O239" s="35">
        <v>2</v>
      </c>
      <c r="P239" s="35">
        <v>90</v>
      </c>
      <c r="Q239" s="35">
        <v>90</v>
      </c>
      <c r="R239" s="1">
        <v>57.4</v>
      </c>
      <c r="S239" s="1">
        <v>57.4</v>
      </c>
      <c r="T239" s="1">
        <v>1</v>
      </c>
      <c r="W239" s="1" t="s">
        <v>643</v>
      </c>
    </row>
    <row r="240" spans="1:23" x14ac:dyDescent="0.2">
      <c r="A240" s="1">
        <v>2</v>
      </c>
      <c r="B240" s="35" t="s">
        <v>783</v>
      </c>
      <c r="C240" t="s">
        <v>778</v>
      </c>
      <c r="D240" s="1">
        <v>1</v>
      </c>
      <c r="E240" s="1" t="s">
        <v>651</v>
      </c>
      <c r="F240" s="4">
        <v>45428</v>
      </c>
      <c r="G240" s="3">
        <f t="shared" si="13"/>
        <v>0.77306712962962965</v>
      </c>
      <c r="H240" s="3">
        <f t="shared" si="11"/>
        <v>0.79086805555555562</v>
      </c>
      <c r="I240" s="3">
        <v>1.8587962962962962E-2</v>
      </c>
      <c r="J240" s="3">
        <v>3.6388888888888887E-2</v>
      </c>
      <c r="K240" s="3">
        <v>0.7544791666666667</v>
      </c>
      <c r="L240" s="1" t="s">
        <v>7</v>
      </c>
      <c r="M240" s="1" t="s">
        <v>8</v>
      </c>
      <c r="N240" s="1">
        <v>2</v>
      </c>
      <c r="O240" s="35">
        <v>2</v>
      </c>
      <c r="P240" s="35">
        <v>90</v>
      </c>
      <c r="Q240" s="35">
        <v>90</v>
      </c>
      <c r="R240" s="1">
        <v>57.4</v>
      </c>
      <c r="S240" s="1">
        <v>57.4</v>
      </c>
      <c r="T240" s="1">
        <v>0</v>
      </c>
      <c r="U240" s="1">
        <v>1</v>
      </c>
      <c r="W240" s="1" t="s">
        <v>643</v>
      </c>
    </row>
    <row r="241" spans="1:23" x14ac:dyDescent="0.2">
      <c r="A241" s="1">
        <v>2</v>
      </c>
      <c r="B241" s="35" t="s">
        <v>784</v>
      </c>
      <c r="C241" t="s">
        <v>780</v>
      </c>
      <c r="D241" s="1">
        <v>1</v>
      </c>
      <c r="E241" s="1" t="s">
        <v>666</v>
      </c>
      <c r="F241" s="4">
        <v>45429</v>
      </c>
      <c r="G241" s="3">
        <f t="shared" si="13"/>
        <v>0.22903935185185187</v>
      </c>
      <c r="H241" s="3">
        <f t="shared" si="11"/>
        <v>0.24288194444444444</v>
      </c>
      <c r="I241" s="3">
        <v>7.9629629629629634E-3</v>
      </c>
      <c r="J241" s="3">
        <v>2.1805555555555557E-2</v>
      </c>
      <c r="K241" s="3">
        <v>0.22107638888888889</v>
      </c>
      <c r="L241" s="1" t="s">
        <v>7</v>
      </c>
      <c r="M241" s="1" t="s">
        <v>7</v>
      </c>
      <c r="N241" s="1">
        <v>2</v>
      </c>
      <c r="O241" s="35">
        <v>2</v>
      </c>
      <c r="P241" s="35">
        <v>90</v>
      </c>
      <c r="Q241" s="35">
        <v>90</v>
      </c>
      <c r="R241" s="1">
        <v>57.4</v>
      </c>
      <c r="S241" s="1">
        <v>28.8</v>
      </c>
      <c r="T241" s="1">
        <v>1</v>
      </c>
      <c r="U241" s="1">
        <v>1</v>
      </c>
      <c r="W241" s="1" t="s">
        <v>643</v>
      </c>
    </row>
    <row r="242" spans="1:23" x14ac:dyDescent="0.2">
      <c r="A242" s="1">
        <v>2</v>
      </c>
      <c r="B242" s="35" t="s">
        <v>783</v>
      </c>
      <c r="C242" t="s">
        <v>778</v>
      </c>
      <c r="D242" s="1">
        <v>1</v>
      </c>
      <c r="E242" s="1" t="s">
        <v>666</v>
      </c>
      <c r="F242" s="4">
        <v>45429</v>
      </c>
      <c r="G242" s="3">
        <f t="shared" si="13"/>
        <v>0.22107638888888889</v>
      </c>
      <c r="H242" s="3">
        <f t="shared" si="11"/>
        <v>0.23121527777777778</v>
      </c>
      <c r="I242" s="3">
        <v>0</v>
      </c>
      <c r="J242" s="3">
        <v>1.0138888888888888E-2</v>
      </c>
      <c r="K242" s="3">
        <v>0.22107638888888889</v>
      </c>
      <c r="L242" s="1" t="s">
        <v>8</v>
      </c>
      <c r="M242" s="1" t="s">
        <v>8</v>
      </c>
      <c r="N242" s="1">
        <v>2</v>
      </c>
      <c r="O242" s="35">
        <v>2</v>
      </c>
      <c r="P242" s="35">
        <v>90</v>
      </c>
      <c r="Q242" s="35">
        <v>90</v>
      </c>
      <c r="R242" s="1">
        <v>57.4</v>
      </c>
      <c r="S242" s="1">
        <v>57.4</v>
      </c>
      <c r="T242" s="1">
        <v>0</v>
      </c>
      <c r="U242" s="1">
        <v>1</v>
      </c>
      <c r="W242" s="1" t="s">
        <v>643</v>
      </c>
    </row>
    <row r="243" spans="1:23" x14ac:dyDescent="0.2">
      <c r="A243" s="1">
        <v>2</v>
      </c>
      <c r="B243" s="35" t="s">
        <v>783</v>
      </c>
      <c r="C243" t="s">
        <v>778</v>
      </c>
      <c r="D243" s="1">
        <v>2</v>
      </c>
      <c r="E243" s="1" t="s">
        <v>666</v>
      </c>
      <c r="F243" s="4">
        <v>45429</v>
      </c>
      <c r="G243" s="3">
        <f t="shared" si="13"/>
        <v>0.2427199074074074</v>
      </c>
      <c r="H243" s="3">
        <f t="shared" si="11"/>
        <v>0.24766203703703704</v>
      </c>
      <c r="I243" s="3">
        <v>2.1643518518518517E-2</v>
      </c>
      <c r="J243" s="3">
        <v>2.6585648148148146E-2</v>
      </c>
      <c r="K243" s="3">
        <v>0.22107638888888889</v>
      </c>
      <c r="L243" s="1" t="s">
        <v>8</v>
      </c>
      <c r="M243" s="1" t="s">
        <v>8</v>
      </c>
      <c r="N243" s="1">
        <v>2</v>
      </c>
      <c r="O243" s="35">
        <v>2</v>
      </c>
      <c r="P243" s="35">
        <v>90</v>
      </c>
      <c r="Q243" s="35">
        <v>90</v>
      </c>
      <c r="R243" s="1">
        <v>28.8</v>
      </c>
      <c r="S243" s="1">
        <v>28.8</v>
      </c>
      <c r="T243" s="1">
        <v>1</v>
      </c>
      <c r="U243" s="1">
        <v>1</v>
      </c>
      <c r="W243" s="1" t="s">
        <v>643</v>
      </c>
    </row>
    <row r="244" spans="1:23" x14ac:dyDescent="0.2">
      <c r="A244" s="1">
        <v>2</v>
      </c>
      <c r="B244" s="35" t="s">
        <v>783</v>
      </c>
      <c r="C244" t="s">
        <v>778</v>
      </c>
      <c r="D244" s="1">
        <v>3</v>
      </c>
      <c r="E244" s="1" t="s">
        <v>666</v>
      </c>
      <c r="F244" s="4">
        <v>45429</v>
      </c>
      <c r="H244" s="3">
        <f t="shared" si="11"/>
        <v>0.25545138888888891</v>
      </c>
      <c r="J244" s="3">
        <v>3.4375000000000003E-2</v>
      </c>
      <c r="K244" s="3">
        <v>0.22107638888888889</v>
      </c>
      <c r="L244" s="1" t="s">
        <v>8</v>
      </c>
      <c r="M244" s="1" t="s">
        <v>8</v>
      </c>
      <c r="N244" s="1">
        <v>2</v>
      </c>
      <c r="O244" s="35">
        <v>2</v>
      </c>
      <c r="P244" s="35">
        <v>90</v>
      </c>
      <c r="Q244" s="35">
        <v>90</v>
      </c>
      <c r="R244" s="1">
        <v>28.8</v>
      </c>
      <c r="S244" s="1">
        <v>28.8</v>
      </c>
      <c r="T244" s="1">
        <v>1</v>
      </c>
      <c r="U244" s="1">
        <v>1</v>
      </c>
      <c r="W244" s="1" t="s">
        <v>643</v>
      </c>
    </row>
    <row r="245" spans="1:23" x14ac:dyDescent="0.2">
      <c r="A245" s="1">
        <v>2</v>
      </c>
      <c r="B245" s="35" t="s">
        <v>783</v>
      </c>
      <c r="C245" t="s">
        <v>778</v>
      </c>
      <c r="D245" s="1">
        <v>1</v>
      </c>
      <c r="E245" s="1" t="s">
        <v>685</v>
      </c>
      <c r="F245" s="4">
        <v>45429</v>
      </c>
      <c r="G245" s="3">
        <f>$K245 + $I245</f>
        <v>0.77545138888888887</v>
      </c>
      <c r="H245" s="3">
        <f t="shared" si="11"/>
        <v>0.79304398148148147</v>
      </c>
      <c r="I245" s="3">
        <v>1.1770833333333333E-2</v>
      </c>
      <c r="J245" s="3">
        <v>2.9363425925925925E-2</v>
      </c>
      <c r="K245" s="3">
        <v>0.76368055555555558</v>
      </c>
      <c r="L245" s="1" t="s">
        <v>8</v>
      </c>
      <c r="M245" s="1" t="s">
        <v>7</v>
      </c>
      <c r="N245" s="1">
        <v>2</v>
      </c>
      <c r="O245" s="35">
        <v>2</v>
      </c>
      <c r="P245" s="35">
        <v>90</v>
      </c>
      <c r="Q245" s="35">
        <v>90</v>
      </c>
      <c r="R245" s="1">
        <v>28.8</v>
      </c>
      <c r="S245" s="1">
        <v>57.4</v>
      </c>
      <c r="T245" s="1">
        <v>1</v>
      </c>
      <c r="U245" s="1">
        <v>1</v>
      </c>
      <c r="W245" s="1" t="s">
        <v>643</v>
      </c>
    </row>
    <row r="246" spans="1:23" x14ac:dyDescent="0.2">
      <c r="A246" s="1">
        <v>2</v>
      </c>
      <c r="B246" s="35" t="s">
        <v>784</v>
      </c>
      <c r="C246" t="s">
        <v>780</v>
      </c>
      <c r="D246" s="1">
        <v>1</v>
      </c>
      <c r="E246" s="1" t="s">
        <v>685</v>
      </c>
      <c r="F246" s="4">
        <v>45429</v>
      </c>
      <c r="G246" s="3">
        <f>$K246 + $I246</f>
        <v>0.78020833333333339</v>
      </c>
      <c r="H246" s="3">
        <f t="shared" si="11"/>
        <v>0.78851851851851851</v>
      </c>
      <c r="I246" s="3">
        <v>1.6527777777777777E-2</v>
      </c>
      <c r="J246" s="3">
        <v>2.4837962962962964E-2</v>
      </c>
      <c r="K246" s="3">
        <v>0.76368055555555558</v>
      </c>
      <c r="L246" s="1" t="s">
        <v>8</v>
      </c>
      <c r="M246" s="1" t="s">
        <v>8</v>
      </c>
      <c r="N246" s="1">
        <v>2</v>
      </c>
      <c r="O246" s="35">
        <v>2</v>
      </c>
      <c r="P246" s="35">
        <v>90</v>
      </c>
      <c r="Q246" s="35">
        <v>90</v>
      </c>
      <c r="R246" s="1">
        <v>57.4</v>
      </c>
      <c r="S246" s="1">
        <v>57.4</v>
      </c>
      <c r="T246" s="1">
        <v>0</v>
      </c>
      <c r="U246" s="1">
        <v>1</v>
      </c>
      <c r="W246" s="1" t="s">
        <v>643</v>
      </c>
    </row>
    <row r="247" spans="1:23" x14ac:dyDescent="0.2">
      <c r="A247" s="1">
        <v>2</v>
      </c>
      <c r="B247" s="35" t="s">
        <v>783</v>
      </c>
      <c r="C247" t="s">
        <v>778</v>
      </c>
      <c r="D247" s="1">
        <v>1</v>
      </c>
      <c r="E247" s="1" t="s">
        <v>687</v>
      </c>
      <c r="F247" s="4">
        <v>45430</v>
      </c>
      <c r="G247" s="3">
        <f>$K247 + $I247</f>
        <v>0.22173611111111111</v>
      </c>
      <c r="H247" s="3">
        <f t="shared" si="11"/>
        <v>0.24028935185185185</v>
      </c>
      <c r="I247" s="3">
        <v>2.3726851851851851E-3</v>
      </c>
      <c r="J247" s="3">
        <v>2.0925925925925924E-2</v>
      </c>
      <c r="K247" s="3">
        <v>0.21936342592592592</v>
      </c>
      <c r="L247" s="1" t="s">
        <v>8</v>
      </c>
      <c r="M247" s="1" t="s">
        <v>7</v>
      </c>
      <c r="N247" s="1">
        <v>2</v>
      </c>
      <c r="O247" s="35">
        <v>2</v>
      </c>
      <c r="P247" s="35">
        <v>90</v>
      </c>
      <c r="Q247" s="35">
        <v>90</v>
      </c>
      <c r="R247" s="1">
        <v>57.4</v>
      </c>
      <c r="S247" s="1">
        <v>28.8</v>
      </c>
      <c r="T247" s="1">
        <v>0</v>
      </c>
      <c r="U247" s="1">
        <v>1</v>
      </c>
      <c r="W247" s="1" t="s">
        <v>643</v>
      </c>
    </row>
    <row r="248" spans="1:23" x14ac:dyDescent="0.2">
      <c r="A248" s="1">
        <v>2</v>
      </c>
      <c r="B248" s="35" t="s">
        <v>783</v>
      </c>
      <c r="C248" t="s">
        <v>778</v>
      </c>
      <c r="D248" s="1">
        <v>1</v>
      </c>
      <c r="E248" s="1" t="s">
        <v>689</v>
      </c>
      <c r="F248" s="4">
        <v>45430</v>
      </c>
      <c r="G248" s="3"/>
      <c r="H248" s="3">
        <f t="shared" si="11"/>
        <v>0.79083333333333328</v>
      </c>
      <c r="J248" s="3">
        <v>2.2094907407407407E-2</v>
      </c>
      <c r="K248" s="3">
        <v>0.76873842592592589</v>
      </c>
      <c r="L248" s="1" t="s">
        <v>7</v>
      </c>
      <c r="M248" s="1" t="s">
        <v>8</v>
      </c>
      <c r="N248" s="1">
        <v>2</v>
      </c>
      <c r="O248" s="35">
        <v>2</v>
      </c>
      <c r="P248" s="35">
        <v>90</v>
      </c>
      <c r="Q248" s="35">
        <v>90</v>
      </c>
      <c r="R248" s="1">
        <v>57.4</v>
      </c>
      <c r="S248" s="1">
        <v>57.4</v>
      </c>
      <c r="T248" s="1">
        <v>0</v>
      </c>
      <c r="U248" s="1">
        <v>1</v>
      </c>
      <c r="W248" s="1" t="s">
        <v>643</v>
      </c>
    </row>
    <row r="249" spans="1:23" x14ac:dyDescent="0.2">
      <c r="A249" s="1">
        <v>2</v>
      </c>
      <c r="B249" s="35" t="s">
        <v>783</v>
      </c>
      <c r="C249" t="s">
        <v>778</v>
      </c>
      <c r="D249" s="1">
        <v>1</v>
      </c>
      <c r="E249" s="1" t="s">
        <v>705</v>
      </c>
      <c r="F249" s="4">
        <v>45433</v>
      </c>
      <c r="G249" s="3">
        <f>$K249 + $I249</f>
        <v>0.77999999999999992</v>
      </c>
      <c r="H249" s="3">
        <f t="shared" si="11"/>
        <v>0.78643518518518518</v>
      </c>
      <c r="I249" s="3">
        <v>1.7905092592592594E-2</v>
      </c>
      <c r="J249" s="3">
        <v>2.4340277777777777E-2</v>
      </c>
      <c r="K249" s="3">
        <v>0.76209490740740737</v>
      </c>
      <c r="L249" s="1" t="s">
        <v>8</v>
      </c>
      <c r="M249" s="1" t="s">
        <v>8</v>
      </c>
      <c r="N249" s="1">
        <v>2</v>
      </c>
      <c r="O249" s="35">
        <v>2</v>
      </c>
      <c r="P249" s="35">
        <v>90</v>
      </c>
      <c r="Q249" s="35">
        <v>90</v>
      </c>
      <c r="R249" s="1">
        <v>28.8</v>
      </c>
      <c r="S249" s="1">
        <v>57.4</v>
      </c>
      <c r="T249" s="1">
        <v>1</v>
      </c>
      <c r="W249" s="1" t="s">
        <v>643</v>
      </c>
    </row>
    <row r="250" spans="1:23" x14ac:dyDescent="0.2">
      <c r="A250" s="1">
        <v>2</v>
      </c>
      <c r="B250" s="35" t="s">
        <v>783</v>
      </c>
      <c r="C250" t="s">
        <v>778</v>
      </c>
      <c r="D250" s="1">
        <v>1</v>
      </c>
      <c r="E250" s="1" t="s">
        <v>706</v>
      </c>
      <c r="F250" s="4">
        <v>45433</v>
      </c>
      <c r="G250" s="1" t="s">
        <v>21</v>
      </c>
      <c r="H250" s="3">
        <f t="shared" si="11"/>
        <v>0.23763888888888887</v>
      </c>
      <c r="I250" s="1" t="s">
        <v>21</v>
      </c>
      <c r="J250" s="3">
        <v>1.9131944444444444E-2</v>
      </c>
      <c r="K250" s="3">
        <v>0.21850694444444443</v>
      </c>
      <c r="L250" s="1" t="s">
        <v>7</v>
      </c>
      <c r="M250" s="1" t="s">
        <v>8</v>
      </c>
      <c r="N250" s="1">
        <v>2</v>
      </c>
      <c r="O250" s="35">
        <v>2</v>
      </c>
      <c r="P250" s="35">
        <v>90</v>
      </c>
      <c r="Q250" s="35">
        <v>90</v>
      </c>
      <c r="R250" s="1">
        <v>57.4</v>
      </c>
      <c r="S250" s="1">
        <v>28.8</v>
      </c>
      <c r="T250" s="1">
        <v>0</v>
      </c>
      <c r="U250" s="1">
        <v>1</v>
      </c>
      <c r="V250" s="1" t="s">
        <v>707</v>
      </c>
      <c r="W250" s="1" t="s">
        <v>643</v>
      </c>
    </row>
    <row r="251" spans="1:23" x14ac:dyDescent="0.2">
      <c r="A251" s="1">
        <v>2</v>
      </c>
      <c r="B251" s="35" t="s">
        <v>783</v>
      </c>
      <c r="C251" t="s">
        <v>778</v>
      </c>
      <c r="D251" s="1">
        <v>2</v>
      </c>
      <c r="E251" s="1" t="s">
        <v>706</v>
      </c>
      <c r="F251" s="4">
        <v>45433</v>
      </c>
      <c r="G251" s="3">
        <f>$K251 + $I251</f>
        <v>0.23763888888888887</v>
      </c>
      <c r="H251" s="3">
        <f t="shared" si="11"/>
        <v>0.25300925925925927</v>
      </c>
      <c r="I251" s="3">
        <v>1.9131944444444444E-2</v>
      </c>
      <c r="J251" s="3">
        <v>3.4502314814814812E-2</v>
      </c>
      <c r="K251" s="3">
        <v>0.21850694444444443</v>
      </c>
      <c r="L251" s="1" t="s">
        <v>8</v>
      </c>
      <c r="M251" s="1" t="s">
        <v>8</v>
      </c>
      <c r="N251" s="1">
        <v>2</v>
      </c>
      <c r="O251" s="35">
        <v>2</v>
      </c>
      <c r="P251" s="35">
        <v>90</v>
      </c>
      <c r="Q251" s="35">
        <v>90</v>
      </c>
      <c r="R251" s="1">
        <v>28.8</v>
      </c>
      <c r="S251" s="1">
        <v>28.8</v>
      </c>
      <c r="T251" s="1">
        <v>1</v>
      </c>
      <c r="W251" s="1" t="s">
        <v>643</v>
      </c>
    </row>
    <row r="252" spans="1:23" x14ac:dyDescent="0.2">
      <c r="A252" s="1">
        <v>2</v>
      </c>
      <c r="B252" s="35" t="s">
        <v>783</v>
      </c>
      <c r="C252" t="s">
        <v>778</v>
      </c>
      <c r="D252" s="1">
        <v>1</v>
      </c>
      <c r="E252" s="1" t="s">
        <v>219</v>
      </c>
      <c r="F252" s="4">
        <v>45432</v>
      </c>
      <c r="H252" s="3">
        <f t="shared" si="11"/>
        <v>0.24386574074074074</v>
      </c>
      <c r="J252" s="3">
        <v>2.2349537037037036E-2</v>
      </c>
      <c r="K252" s="3">
        <v>0.2215162037037037</v>
      </c>
      <c r="L252" s="1" t="s">
        <v>7</v>
      </c>
      <c r="M252" s="1" t="s">
        <v>7</v>
      </c>
      <c r="N252" s="1">
        <v>2</v>
      </c>
      <c r="O252" s="35">
        <v>2</v>
      </c>
      <c r="P252" s="35">
        <v>90</v>
      </c>
      <c r="Q252" s="35">
        <v>90</v>
      </c>
      <c r="R252" s="1">
        <v>28.8</v>
      </c>
      <c r="S252" s="1">
        <v>28.8</v>
      </c>
      <c r="T252" s="1">
        <v>1</v>
      </c>
      <c r="W252" s="1" t="s">
        <v>643</v>
      </c>
    </row>
    <row r="253" spans="1:23" x14ac:dyDescent="0.2">
      <c r="A253" s="1">
        <v>2</v>
      </c>
      <c r="B253" s="35" t="s">
        <v>783</v>
      </c>
      <c r="C253" t="s">
        <v>778</v>
      </c>
      <c r="D253" s="1">
        <v>1</v>
      </c>
      <c r="E253" s="3" t="s">
        <v>709</v>
      </c>
      <c r="F253" s="4">
        <v>45431</v>
      </c>
      <c r="H253" s="3">
        <f t="shared" si="11"/>
        <v>0.24098379629629629</v>
      </c>
      <c r="J253" s="3">
        <v>2.2395833333333334E-2</v>
      </c>
      <c r="K253" s="3">
        <v>0.21858796296296296</v>
      </c>
      <c r="L253" s="1" t="s">
        <v>8</v>
      </c>
      <c r="M253" s="1" t="s">
        <v>8</v>
      </c>
      <c r="N253" s="1">
        <v>2</v>
      </c>
      <c r="O253" s="35">
        <v>2</v>
      </c>
      <c r="P253" s="35">
        <v>90</v>
      </c>
      <c r="Q253" s="35">
        <v>90</v>
      </c>
      <c r="R253" s="1">
        <v>57.4</v>
      </c>
      <c r="S253" s="1">
        <v>28.8</v>
      </c>
      <c r="T253" s="1">
        <v>1</v>
      </c>
      <c r="W253" s="1" t="s">
        <v>643</v>
      </c>
    </row>
    <row r="254" spans="1:23" x14ac:dyDescent="0.2">
      <c r="A254" s="1">
        <v>2</v>
      </c>
      <c r="B254" s="35" t="s">
        <v>783</v>
      </c>
      <c r="C254" t="s">
        <v>778</v>
      </c>
      <c r="D254" s="1">
        <v>1</v>
      </c>
      <c r="E254" s="1" t="s">
        <v>696</v>
      </c>
      <c r="F254" s="4">
        <v>45431</v>
      </c>
      <c r="H254" s="1" t="s">
        <v>21</v>
      </c>
      <c r="I254" s="3">
        <v>2.0532407407407409E-2</v>
      </c>
      <c r="J254" s="1" t="s">
        <v>21</v>
      </c>
      <c r="K254" s="3">
        <v>0.76197916666666665</v>
      </c>
      <c r="L254" s="1" t="s">
        <v>8</v>
      </c>
      <c r="M254" s="1" t="s">
        <v>7</v>
      </c>
      <c r="N254" s="1">
        <v>2</v>
      </c>
      <c r="O254" s="35">
        <v>2</v>
      </c>
      <c r="P254" s="35">
        <v>90</v>
      </c>
      <c r="Q254" s="35">
        <v>90</v>
      </c>
      <c r="S254" s="1">
        <v>57.4</v>
      </c>
      <c r="T254" s="1" t="s">
        <v>21</v>
      </c>
      <c r="V254" s="1" t="s">
        <v>708</v>
      </c>
      <c r="W254" s="1" t="s">
        <v>643</v>
      </c>
    </row>
    <row r="255" spans="1:23" x14ac:dyDescent="0.2">
      <c r="A255" s="1">
        <v>2</v>
      </c>
      <c r="B255" s="35" t="s">
        <v>783</v>
      </c>
      <c r="C255" t="s">
        <v>778</v>
      </c>
      <c r="D255" s="1">
        <v>1</v>
      </c>
      <c r="E255" s="1" t="s">
        <v>701</v>
      </c>
      <c r="F255" s="4">
        <v>45436</v>
      </c>
      <c r="G255" s="1" t="s">
        <v>21</v>
      </c>
      <c r="H255" s="3">
        <f>K255 + J255</f>
        <v>0.25960648148148147</v>
      </c>
      <c r="I255" s="1" t="s">
        <v>21</v>
      </c>
      <c r="J255" s="3">
        <v>3.1412037037037037E-2</v>
      </c>
      <c r="K255" s="3">
        <v>0.22819444444444445</v>
      </c>
      <c r="L255" s="1" t="s">
        <v>8</v>
      </c>
      <c r="M255" s="1" t="s">
        <v>7</v>
      </c>
      <c r="N255" s="1">
        <v>2</v>
      </c>
      <c r="O255" s="35">
        <v>2</v>
      </c>
      <c r="P255" s="35">
        <v>90</v>
      </c>
      <c r="Q255" s="35">
        <v>90</v>
      </c>
      <c r="R255" s="1">
        <v>57.4</v>
      </c>
      <c r="S255" s="1">
        <v>28.8</v>
      </c>
      <c r="T255" s="1">
        <v>0</v>
      </c>
      <c r="U255" s="1">
        <v>1</v>
      </c>
      <c r="W255" s="1" t="s">
        <v>643</v>
      </c>
    </row>
    <row r="256" spans="1:23" x14ac:dyDescent="0.2">
      <c r="A256" s="1">
        <v>2</v>
      </c>
      <c r="B256" s="35" t="s">
        <v>783</v>
      </c>
      <c r="C256" t="s">
        <v>778</v>
      </c>
      <c r="D256" s="1">
        <v>1</v>
      </c>
      <c r="E256" s="1" t="s">
        <v>702</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35">
        <v>2</v>
      </c>
      <c r="P256" s="35">
        <v>90</v>
      </c>
      <c r="Q256" s="35">
        <v>90</v>
      </c>
      <c r="R256" s="1">
        <v>57.4</v>
      </c>
      <c r="S256" s="1">
        <v>28.8</v>
      </c>
      <c r="T256" s="1">
        <v>0</v>
      </c>
      <c r="U256" s="1">
        <v>1</v>
      </c>
      <c r="W256" s="1" t="s">
        <v>643</v>
      </c>
    </row>
    <row r="257" spans="1:23" x14ac:dyDescent="0.2">
      <c r="A257" s="1">
        <v>2</v>
      </c>
      <c r="B257" s="35" t="s">
        <v>783</v>
      </c>
      <c r="C257" t="s">
        <v>778</v>
      </c>
      <c r="D257" s="1">
        <v>1</v>
      </c>
      <c r="E257" s="1" t="s">
        <v>703</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35">
        <v>2</v>
      </c>
      <c r="P257" s="35">
        <v>90</v>
      </c>
      <c r="Q257" s="35">
        <v>90</v>
      </c>
      <c r="R257" s="1">
        <v>28.8</v>
      </c>
      <c r="S257" s="1">
        <v>57.4</v>
      </c>
      <c r="T257" s="1">
        <v>0</v>
      </c>
      <c r="U257" s="1">
        <v>1</v>
      </c>
      <c r="W257" s="1" t="s">
        <v>643</v>
      </c>
    </row>
    <row r="258" spans="1:23" x14ac:dyDescent="0.2">
      <c r="A258" s="1">
        <v>2</v>
      </c>
      <c r="B258" s="35" t="s">
        <v>783</v>
      </c>
      <c r="C258" t="s">
        <v>778</v>
      </c>
      <c r="D258" s="1">
        <v>1</v>
      </c>
      <c r="E258" s="1" t="s">
        <v>704</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35">
        <v>2</v>
      </c>
      <c r="P258" s="35">
        <v>90</v>
      </c>
      <c r="Q258" s="35">
        <v>90</v>
      </c>
      <c r="R258" s="1">
        <v>57.4</v>
      </c>
      <c r="S258" s="1">
        <v>28.8</v>
      </c>
      <c r="T258" s="1">
        <v>0</v>
      </c>
      <c r="U258" s="1">
        <v>1</v>
      </c>
      <c r="W258" s="1" t="s">
        <v>643</v>
      </c>
    </row>
    <row r="259" spans="1:23" x14ac:dyDescent="0.2">
      <c r="A259" s="1">
        <v>2</v>
      </c>
      <c r="B259" s="35" t="s">
        <v>783</v>
      </c>
      <c r="C259" t="s">
        <v>778</v>
      </c>
      <c r="D259" s="1">
        <v>1</v>
      </c>
      <c r="E259" s="1" t="s">
        <v>712</v>
      </c>
      <c r="F259" s="4">
        <v>45437</v>
      </c>
      <c r="G259" s="1" t="s">
        <v>21</v>
      </c>
      <c r="H259" s="1" t="s">
        <v>21</v>
      </c>
      <c r="I259" s="1" t="s">
        <v>21</v>
      </c>
      <c r="J259" s="1" t="s">
        <v>21</v>
      </c>
      <c r="K259" s="3">
        <v>0.75185185185185188</v>
      </c>
      <c r="L259" s="1" t="s">
        <v>7</v>
      </c>
      <c r="M259" s="1" t="s">
        <v>8</v>
      </c>
      <c r="N259" s="1">
        <v>2</v>
      </c>
      <c r="O259" s="35">
        <v>2</v>
      </c>
      <c r="P259" s="35">
        <v>90</v>
      </c>
      <c r="Q259" s="35">
        <v>90</v>
      </c>
      <c r="R259" s="1">
        <v>28.8</v>
      </c>
      <c r="S259" s="1">
        <v>57.4</v>
      </c>
      <c r="T259" s="1" t="s">
        <v>21</v>
      </c>
      <c r="V259" s="1" t="s">
        <v>533</v>
      </c>
      <c r="W259" s="1" t="s">
        <v>643</v>
      </c>
    </row>
    <row r="260" spans="1:23" x14ac:dyDescent="0.2">
      <c r="A260" s="1">
        <v>2</v>
      </c>
      <c r="B260" s="35" t="s">
        <v>783</v>
      </c>
      <c r="C260" t="s">
        <v>778</v>
      </c>
      <c r="D260" s="1" t="s">
        <v>21</v>
      </c>
      <c r="E260" s="1" t="s">
        <v>238</v>
      </c>
      <c r="F260" s="4">
        <v>45438</v>
      </c>
      <c r="K260" s="3">
        <v>0.22033564814814816</v>
      </c>
      <c r="P260" s="35">
        <v>90</v>
      </c>
      <c r="Q260" s="35">
        <v>90</v>
      </c>
      <c r="R260" s="1">
        <v>57.4</v>
      </c>
      <c r="S260" s="1">
        <v>57.4</v>
      </c>
      <c r="T260" s="1" t="s">
        <v>21</v>
      </c>
      <c r="V260" s="1" t="s">
        <v>715</v>
      </c>
    </row>
    <row r="261" spans="1:23" x14ac:dyDescent="0.2">
      <c r="A261" s="1" t="s">
        <v>21</v>
      </c>
      <c r="B261" s="35" t="s">
        <v>21</v>
      </c>
      <c r="C261" t="s">
        <v>21</v>
      </c>
      <c r="D261" s="1" t="s">
        <v>21</v>
      </c>
      <c r="E261" s="1" t="s">
        <v>716</v>
      </c>
      <c r="U261" s="1" t="s">
        <v>21</v>
      </c>
      <c r="V261" s="1" t="s">
        <v>717</v>
      </c>
      <c r="W261" s="1" t="s">
        <v>641</v>
      </c>
    </row>
    <row r="262" spans="1:23" x14ac:dyDescent="0.2">
      <c r="B262" s="35" t="s">
        <v>779</v>
      </c>
      <c r="C262"/>
      <c r="E262" s="1" t="s">
        <v>718</v>
      </c>
    </row>
    <row r="263" spans="1:23" x14ac:dyDescent="0.2">
      <c r="B263" s="35" t="s">
        <v>779</v>
      </c>
      <c r="C263"/>
      <c r="E263" s="1" t="s">
        <v>719</v>
      </c>
    </row>
  </sheetData>
  <sortState xmlns:xlrd2="http://schemas.microsoft.com/office/spreadsheetml/2017/richdata2" ref="A2:V165">
    <sortCondition ref="F2:F165"/>
  </sortState>
  <customSheetViews>
    <customSheetView guid="{8A75D892-44B4-104C-BB94-8EB0D0E43396}" scale="75" topLeftCell="L1">
      <pane ySplit="1" topLeftCell="A2" activePane="bottomLeft" state="frozen"/>
      <selection pane="bottomLeft" activeCell="R1" sqref="R1:S1048576"/>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274</v>
      </c>
      <c r="B1" t="s">
        <v>31</v>
      </c>
      <c r="C1" t="s">
        <v>278</v>
      </c>
      <c r="D1" t="s">
        <v>275</v>
      </c>
      <c r="E1" t="s">
        <v>276</v>
      </c>
      <c r="F1" t="s">
        <v>231</v>
      </c>
      <c r="G1" t="s">
        <v>335</v>
      </c>
      <c r="H1" t="s">
        <v>336</v>
      </c>
      <c r="I1" t="s">
        <v>213</v>
      </c>
      <c r="J1" t="s">
        <v>327</v>
      </c>
      <c r="K1" t="s">
        <v>3</v>
      </c>
      <c r="L1" t="s">
        <v>15</v>
      </c>
    </row>
    <row r="2" spans="1:20" x14ac:dyDescent="0.2">
      <c r="A2" t="s">
        <v>279</v>
      </c>
      <c r="C2">
        <v>10</v>
      </c>
      <c r="D2" t="s">
        <v>277</v>
      </c>
      <c r="E2">
        <v>49.74</v>
      </c>
      <c r="F2" t="e">
        <f xml:space="preserve"> (E2/D2*5)+C2</f>
        <v>#VALUE!</v>
      </c>
      <c r="G2" t="e">
        <f t="shared" ref="G2:G13" si="0">$Q$7-F2</f>
        <v>#VALUE!</v>
      </c>
      <c r="H2" t="e">
        <f t="shared" ref="H2:H13" si="1" xml:space="preserve"> $J2 / (2*DEGREES(ATAN(0.5*$R$7 / $G2)))</f>
        <v>#VALUE!</v>
      </c>
      <c r="I2">
        <v>0.05</v>
      </c>
      <c r="J2">
        <v>2.17</v>
      </c>
    </row>
    <row r="3" spans="1:20" x14ac:dyDescent="0.2">
      <c r="A3" t="s">
        <v>284</v>
      </c>
      <c r="F3">
        <v>15</v>
      </c>
      <c r="G3">
        <f t="shared" si="0"/>
        <v>16.2</v>
      </c>
      <c r="H3">
        <f t="shared" si="1"/>
        <v>8.6445102133919177E-2</v>
      </c>
      <c r="I3">
        <v>0.15</v>
      </c>
      <c r="J3">
        <v>6.51</v>
      </c>
    </row>
    <row r="4" spans="1:20" x14ac:dyDescent="0.2">
      <c r="A4" t="s">
        <v>285</v>
      </c>
      <c r="C4">
        <v>10</v>
      </c>
      <c r="D4">
        <v>125.67</v>
      </c>
      <c r="E4">
        <v>84.08</v>
      </c>
      <c r="F4">
        <f xml:space="preserve"> (E4/D4*5)+C4</f>
        <v>13.345269356250498</v>
      </c>
      <c r="G4">
        <f t="shared" si="0"/>
        <v>17.854730643749502</v>
      </c>
      <c r="H4">
        <f t="shared" si="1"/>
        <v>9.3011542339628731E-2</v>
      </c>
      <c r="I4">
        <v>0.15</v>
      </c>
      <c r="J4">
        <v>6.51</v>
      </c>
    </row>
    <row r="5" spans="1:20" x14ac:dyDescent="0.2">
      <c r="A5" t="s">
        <v>286</v>
      </c>
      <c r="C5">
        <v>15</v>
      </c>
      <c r="D5">
        <v>119.92</v>
      </c>
      <c r="E5">
        <v>51.43</v>
      </c>
      <c r="F5">
        <f xml:space="preserve"> (E5/D5*5)+C5</f>
        <v>17.144346230820545</v>
      </c>
      <c r="G5">
        <f t="shared" si="0"/>
        <v>14.055653769179454</v>
      </c>
      <c r="H5">
        <f t="shared" si="1"/>
        <v>7.8156150762295956E-2</v>
      </c>
      <c r="I5">
        <v>0.15</v>
      </c>
      <c r="J5">
        <v>6.51</v>
      </c>
    </row>
    <row r="6" spans="1:20" x14ac:dyDescent="0.2">
      <c r="A6" t="s">
        <v>290</v>
      </c>
      <c r="C6">
        <v>10</v>
      </c>
      <c r="D6">
        <v>126.56</v>
      </c>
      <c r="E6">
        <v>70.66</v>
      </c>
      <c r="F6">
        <f xml:space="preserve"> (E6/D6*5)+C6</f>
        <v>12.791561314791403</v>
      </c>
      <c r="G6">
        <f t="shared" si="0"/>
        <v>18.408438685208594</v>
      </c>
      <c r="H6">
        <f t="shared" si="1"/>
        <v>3.1745630299109547E-2</v>
      </c>
      <c r="I6">
        <v>0.05</v>
      </c>
      <c r="J6">
        <v>2.17</v>
      </c>
      <c r="O6" s="1" t="s">
        <v>332</v>
      </c>
      <c r="P6" s="1" t="s">
        <v>334</v>
      </c>
      <c r="Q6" s="1" t="s">
        <v>338</v>
      </c>
      <c r="R6" s="1" t="s">
        <v>325</v>
      </c>
      <c r="S6" s="1" t="s">
        <v>326</v>
      </c>
      <c r="T6" s="1" t="s">
        <v>333</v>
      </c>
    </row>
    <row r="7" spans="1:20" x14ac:dyDescent="0.2">
      <c r="A7" t="s">
        <v>291</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337</v>
      </c>
    </row>
    <row r="8" spans="1:20" x14ac:dyDescent="0.2">
      <c r="A8" t="s">
        <v>301</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302</v>
      </c>
      <c r="C9">
        <v>10</v>
      </c>
      <c r="F9">
        <v>10</v>
      </c>
      <c r="G9">
        <f t="shared" si="0"/>
        <v>21.2</v>
      </c>
      <c r="H9">
        <f t="shared" si="1"/>
        <v>3.5545143206206414E-2</v>
      </c>
      <c r="I9">
        <v>0.05</v>
      </c>
      <c r="J9">
        <v>2.17</v>
      </c>
      <c r="O9" s="1">
        <v>0.15</v>
      </c>
      <c r="P9" s="1"/>
      <c r="Q9" s="1"/>
      <c r="R9" s="1"/>
      <c r="S9" s="1"/>
      <c r="T9" s="1"/>
    </row>
    <row r="10" spans="1:20" x14ac:dyDescent="0.2">
      <c r="A10" t="s">
        <v>323</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322</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321</v>
      </c>
      <c r="D12" t="s">
        <v>21</v>
      </c>
      <c r="E12" t="s">
        <v>21</v>
      </c>
      <c r="F12">
        <v>15</v>
      </c>
      <c r="G12">
        <f t="shared" si="0"/>
        <v>16.2</v>
      </c>
      <c r="H12">
        <f t="shared" si="1"/>
        <v>5.7630068089279451E-2</v>
      </c>
      <c r="I12">
        <v>0.1</v>
      </c>
      <c r="J12" s="17">
        <v>4.34</v>
      </c>
      <c r="O12" s="1"/>
      <c r="P12" s="1"/>
      <c r="Q12" s="1"/>
      <c r="R12" s="1"/>
      <c r="S12" s="1"/>
      <c r="T12" s="1"/>
    </row>
    <row r="13" spans="1:20" x14ac:dyDescent="0.2">
      <c r="A13" t="s">
        <v>343</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218</v>
      </c>
      <c r="C14" t="s">
        <v>21</v>
      </c>
      <c r="D14" t="s">
        <v>21</v>
      </c>
      <c r="E14" t="s">
        <v>21</v>
      </c>
      <c r="F14" t="s">
        <v>21</v>
      </c>
      <c r="G14" t="s">
        <v>21</v>
      </c>
      <c r="H14" t="s">
        <v>21</v>
      </c>
      <c r="I14" t="s">
        <v>21</v>
      </c>
      <c r="J14" t="s">
        <v>21</v>
      </c>
      <c r="K14" t="s">
        <v>21</v>
      </c>
      <c r="L14" t="s">
        <v>344</v>
      </c>
    </row>
    <row r="15" spans="1:20" x14ac:dyDescent="0.2">
      <c r="A15" t="s">
        <v>345</v>
      </c>
      <c r="B15" s="18">
        <v>45376</v>
      </c>
      <c r="C15" t="s">
        <v>21</v>
      </c>
      <c r="D15" t="s">
        <v>21</v>
      </c>
      <c r="E15" t="s">
        <v>21</v>
      </c>
      <c r="F15" t="s">
        <v>21</v>
      </c>
      <c r="G15" t="s">
        <v>21</v>
      </c>
      <c r="H15" t="s">
        <v>21</v>
      </c>
      <c r="I15" t="s">
        <v>21</v>
      </c>
      <c r="J15" t="s">
        <v>21</v>
      </c>
      <c r="K15" t="s">
        <v>21</v>
      </c>
    </row>
    <row r="16" spans="1:20" x14ac:dyDescent="0.2">
      <c r="A16" t="s">
        <v>341</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346</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224</v>
      </c>
      <c r="C18" t="s">
        <v>21</v>
      </c>
      <c r="D18" t="s">
        <v>21</v>
      </c>
      <c r="E18" t="s">
        <v>21</v>
      </c>
      <c r="F18" t="s">
        <v>21</v>
      </c>
      <c r="G18" t="s">
        <v>21</v>
      </c>
      <c r="H18" t="s">
        <v>21</v>
      </c>
      <c r="I18" t="s">
        <v>21</v>
      </c>
      <c r="J18" t="s">
        <v>21</v>
      </c>
      <c r="L18" t="s">
        <v>347</v>
      </c>
    </row>
    <row r="19" spans="1:12" x14ac:dyDescent="0.2">
      <c r="A19" t="s">
        <v>348</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238</v>
      </c>
      <c r="C20" t="s">
        <v>21</v>
      </c>
      <c r="D20" t="s">
        <v>21</v>
      </c>
      <c r="E20" t="s">
        <v>21</v>
      </c>
      <c r="F20" t="s">
        <v>21</v>
      </c>
      <c r="G20" t="s">
        <v>21</v>
      </c>
      <c r="H20" t="s">
        <v>21</v>
      </c>
      <c r="I20" t="s">
        <v>21</v>
      </c>
      <c r="J20" t="s">
        <v>21</v>
      </c>
      <c r="K20" t="s">
        <v>21</v>
      </c>
      <c r="L20" t="s">
        <v>344</v>
      </c>
    </row>
    <row r="21" spans="1:12" x14ac:dyDescent="0.2">
      <c r="A21" t="s">
        <v>349</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243</v>
      </c>
      <c r="C22" t="s">
        <v>21</v>
      </c>
      <c r="D22" t="s">
        <v>21</v>
      </c>
      <c r="E22" t="s">
        <v>21</v>
      </c>
      <c r="F22" t="s">
        <v>21</v>
      </c>
      <c r="G22" t="s">
        <v>21</v>
      </c>
      <c r="H22" t="s">
        <v>21</v>
      </c>
      <c r="I22" t="s">
        <v>21</v>
      </c>
      <c r="J22" t="s">
        <v>21</v>
      </c>
      <c r="K22" t="s">
        <v>21</v>
      </c>
      <c r="L22" t="s">
        <v>344</v>
      </c>
    </row>
    <row r="23" spans="1:12" x14ac:dyDescent="0.2">
      <c r="A23" t="s">
        <v>246</v>
      </c>
      <c r="C23" t="s">
        <v>21</v>
      </c>
      <c r="D23" t="s">
        <v>21</v>
      </c>
      <c r="E23" t="s">
        <v>21</v>
      </c>
      <c r="F23" t="s">
        <v>21</v>
      </c>
      <c r="G23" t="s">
        <v>21</v>
      </c>
      <c r="H23" t="s">
        <v>21</v>
      </c>
      <c r="I23" t="s">
        <v>21</v>
      </c>
      <c r="J23" t="s">
        <v>21</v>
      </c>
      <c r="K23" t="s">
        <v>21</v>
      </c>
      <c r="L23" t="s">
        <v>344</v>
      </c>
    </row>
    <row r="24" spans="1:12" x14ac:dyDescent="0.2">
      <c r="A24" t="s">
        <v>350</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351</v>
      </c>
      <c r="C25">
        <v>10</v>
      </c>
      <c r="F25">
        <v>10</v>
      </c>
      <c r="G25">
        <f>$Q$7-F25</f>
        <v>21.2</v>
      </c>
      <c r="H25">
        <f xml:space="preserve"> $J25 / (2*DEGREES(ATAN(0.5*$R$7 / $G25)))</f>
        <v>3.5545143206206414E-2</v>
      </c>
      <c r="I25">
        <v>0.05</v>
      </c>
      <c r="J25">
        <v>2.17</v>
      </c>
    </row>
    <row r="26" spans="1:12" x14ac:dyDescent="0.2">
      <c r="A26" s="17" t="s">
        <v>352</v>
      </c>
      <c r="C26">
        <v>20</v>
      </c>
      <c r="F26">
        <v>20</v>
      </c>
      <c r="G26">
        <f>$Q$7-F26</f>
        <v>11.2</v>
      </c>
      <c r="H26">
        <f xml:space="preserve"> $J26 / (2*DEGREES(ATAN(0.5*$R$7 / $G26)))</f>
        <v>2.2538588695232575E-2</v>
      </c>
      <c r="I26">
        <v>0.05</v>
      </c>
      <c r="J26">
        <v>2.17</v>
      </c>
    </row>
    <row r="27" spans="1:12" x14ac:dyDescent="0.2">
      <c r="A27" t="s">
        <v>353</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297</v>
      </c>
      <c r="C28" s="19" t="s">
        <v>21</v>
      </c>
      <c r="D28" s="19" t="s">
        <v>21</v>
      </c>
      <c r="E28" s="19" t="s">
        <v>21</v>
      </c>
      <c r="F28" s="19" t="s">
        <v>21</v>
      </c>
      <c r="G28" s="19" t="s">
        <v>21</v>
      </c>
      <c r="H28" s="19" t="s">
        <v>21</v>
      </c>
      <c r="I28" s="19" t="s">
        <v>21</v>
      </c>
      <c r="J28" s="19" t="s">
        <v>21</v>
      </c>
      <c r="K28" s="19" t="s">
        <v>21</v>
      </c>
      <c r="L28" s="19" t="s">
        <v>354</v>
      </c>
    </row>
    <row r="29" spans="1:12" x14ac:dyDescent="0.2">
      <c r="A29" t="s">
        <v>316</v>
      </c>
      <c r="C29" t="s">
        <v>21</v>
      </c>
      <c r="D29" t="s">
        <v>21</v>
      </c>
      <c r="E29" t="s">
        <v>21</v>
      </c>
      <c r="F29" t="s">
        <v>21</v>
      </c>
      <c r="G29" t="s">
        <v>21</v>
      </c>
      <c r="H29" t="s">
        <v>21</v>
      </c>
      <c r="I29" t="s">
        <v>21</v>
      </c>
      <c r="J29" t="s">
        <v>21</v>
      </c>
      <c r="K29" t="s">
        <v>21</v>
      </c>
      <c r="L29" t="s">
        <v>344</v>
      </c>
    </row>
    <row r="30" spans="1:12" x14ac:dyDescent="0.2">
      <c r="A30" t="s">
        <v>355</v>
      </c>
      <c r="C30" t="s">
        <v>21</v>
      </c>
      <c r="D30" t="s">
        <v>21</v>
      </c>
      <c r="E30" t="s">
        <v>21</v>
      </c>
      <c r="F30" t="s">
        <v>21</v>
      </c>
      <c r="G30" t="s">
        <v>21</v>
      </c>
      <c r="H30" t="s">
        <v>21</v>
      </c>
      <c r="I30" t="s">
        <v>21</v>
      </c>
      <c r="J30" t="s">
        <v>21</v>
      </c>
      <c r="K30" t="s">
        <v>21</v>
      </c>
      <c r="L30" t="s">
        <v>344</v>
      </c>
    </row>
    <row r="31" spans="1:12" x14ac:dyDescent="0.2">
      <c r="A31" t="s">
        <v>417</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418</v>
      </c>
      <c r="F32">
        <f xml:space="preserve"> 8.35 + (145.8/226.3)* (18.3-8.35)</f>
        <v>14.760561201944322</v>
      </c>
      <c r="G32">
        <f t="shared" si="2"/>
        <v>16.439438798055676</v>
      </c>
      <c r="H32">
        <f t="shared" si="3"/>
        <v>2.9128966957005804E-2</v>
      </c>
      <c r="I32">
        <v>0.05</v>
      </c>
      <c r="J32">
        <v>2.17</v>
      </c>
    </row>
    <row r="33" spans="1:12" x14ac:dyDescent="0.2">
      <c r="A33" t="s">
        <v>419</v>
      </c>
      <c r="F33">
        <v>8.35</v>
      </c>
      <c r="G33">
        <f t="shared" si="2"/>
        <v>22.85</v>
      </c>
      <c r="H33">
        <f t="shared" si="3"/>
        <v>3.7830336673040817E-2</v>
      </c>
      <c r="I33">
        <v>0.05</v>
      </c>
      <c r="J33">
        <v>2.17</v>
      </c>
    </row>
    <row r="34" spans="1:12" x14ac:dyDescent="0.2">
      <c r="A34" t="s">
        <v>420</v>
      </c>
      <c r="F34">
        <f xml:space="preserve"> 8.35 + (51.9/228.6)* (18.3-8.35)</f>
        <v>10.608989501312337</v>
      </c>
      <c r="G34">
        <f t="shared" si="2"/>
        <v>20.591010498687663</v>
      </c>
      <c r="H34">
        <f t="shared" si="3"/>
        <v>3.4708553522484198E-2</v>
      </c>
      <c r="I34">
        <v>0.05</v>
      </c>
      <c r="J34">
        <v>2.17</v>
      </c>
    </row>
    <row r="35" spans="1:12" x14ac:dyDescent="0.2">
      <c r="A35" t="s">
        <v>423</v>
      </c>
      <c r="F35">
        <f xml:space="preserve"> 8.35 + (177.1/230.8)* (18.3-8.35)</f>
        <v>15.984943674176776</v>
      </c>
      <c r="G35">
        <f t="shared" si="2"/>
        <v>15.215056325823223</v>
      </c>
      <c r="H35">
        <f t="shared" si="3"/>
        <v>2.7534595602459244E-2</v>
      </c>
      <c r="I35">
        <v>0.05</v>
      </c>
      <c r="J35">
        <v>2.17</v>
      </c>
    </row>
    <row r="36" spans="1:12" x14ac:dyDescent="0.2">
      <c r="A36" t="s">
        <v>421</v>
      </c>
      <c r="F36">
        <f xml:space="preserve"> 18.3 + (35.8/266.5)* (31.5-18.3)</f>
        <v>20.073208255159475</v>
      </c>
      <c r="G36">
        <f t="shared" si="2"/>
        <v>11.126791744840524</v>
      </c>
      <c r="H36">
        <f t="shared" si="3"/>
        <v>2.2451526710271889E-2</v>
      </c>
      <c r="I36">
        <v>0.05</v>
      </c>
      <c r="J36">
        <v>2.17</v>
      </c>
      <c r="L36" t="s">
        <v>422</v>
      </c>
    </row>
    <row r="37" spans="1:12" x14ac:dyDescent="0.2">
      <c r="A37" t="s">
        <v>445</v>
      </c>
      <c r="F37">
        <f xml:space="preserve"> 8.35 + (186.1/235.8)* (18.3-8.35)</f>
        <v>16.202820186598814</v>
      </c>
      <c r="G37">
        <f t="shared" si="2"/>
        <v>14.997179813401186</v>
      </c>
      <c r="H37">
        <f t="shared" si="3"/>
        <v>2.7253863391563733E-2</v>
      </c>
      <c r="I37">
        <v>0.05</v>
      </c>
      <c r="J37">
        <v>2.17</v>
      </c>
    </row>
    <row r="38" spans="1:12" x14ac:dyDescent="0.2">
      <c r="A38" t="s">
        <v>446</v>
      </c>
      <c r="F38">
        <f xml:space="preserve"> 8.35 + (174.5/230.4)* (18.3-8.35)</f>
        <v>15.885915798611112</v>
      </c>
      <c r="G38">
        <f t="shared" si="2"/>
        <v>15.314084201388887</v>
      </c>
      <c r="H38">
        <f t="shared" si="3"/>
        <v>2.7662502883388645E-2</v>
      </c>
      <c r="I38">
        <v>0.05</v>
      </c>
      <c r="J38">
        <v>2.17</v>
      </c>
    </row>
    <row r="39" spans="1:12" x14ac:dyDescent="0.2">
      <c r="A39" t="s">
        <v>448</v>
      </c>
      <c r="F39">
        <f xml:space="preserve"> 8.35 + (212.3/241)* (18.3-8.35)</f>
        <v>17.115082987551869</v>
      </c>
      <c r="G39">
        <f t="shared" si="2"/>
        <v>14.08491701244813</v>
      </c>
      <c r="H39">
        <f t="shared" si="3"/>
        <v>2.6089114062275189E-2</v>
      </c>
      <c r="I39">
        <v>0.05</v>
      </c>
      <c r="J39">
        <v>2.17</v>
      </c>
    </row>
    <row r="40" spans="1:12" x14ac:dyDescent="0.2">
      <c r="A40" t="s">
        <v>449</v>
      </c>
      <c r="F40">
        <f xml:space="preserve"> 8.35 + (165.7/229.6)* (18.3-8.35)</f>
        <v>15.530814459930312</v>
      </c>
      <c r="G40">
        <f t="shared" si="2"/>
        <v>15.669185540069687</v>
      </c>
      <c r="H40">
        <f t="shared" si="3"/>
        <v>2.8122718374816082E-2</v>
      </c>
      <c r="I40">
        <v>0.05</v>
      </c>
      <c r="J40">
        <v>2.17</v>
      </c>
      <c r="L40" t="s">
        <v>450</v>
      </c>
    </row>
    <row r="41" spans="1:12" x14ac:dyDescent="0.2">
      <c r="A41" t="s">
        <v>451</v>
      </c>
      <c r="F41">
        <f xml:space="preserve"> 8.35 + (63.1/238.7)* (18.3-8.35)</f>
        <v>10.980268118977797</v>
      </c>
      <c r="G41">
        <f t="shared" si="2"/>
        <v>20.219731881022202</v>
      </c>
      <c r="H41">
        <f t="shared" si="3"/>
        <v>3.4200493652346668E-2</v>
      </c>
      <c r="I41">
        <v>0.05</v>
      </c>
      <c r="J41">
        <v>2.17</v>
      </c>
    </row>
    <row r="42" spans="1:12" x14ac:dyDescent="0.2">
      <c r="A42" t="s">
        <v>452</v>
      </c>
      <c r="F42">
        <f xml:space="preserve"> 8.35 + (242.1/262)* (18.3-8.35)</f>
        <v>17.54425572519084</v>
      </c>
      <c r="G42">
        <f t="shared" si="2"/>
        <v>13.655744274809159</v>
      </c>
      <c r="H42">
        <f t="shared" si="3"/>
        <v>5.109499119861137E-2</v>
      </c>
      <c r="I42">
        <v>0.1</v>
      </c>
      <c r="J42" s="17">
        <v>4.34</v>
      </c>
    </row>
    <row r="43" spans="1:12" x14ac:dyDescent="0.2">
      <c r="A43" t="s">
        <v>453</v>
      </c>
      <c r="F43">
        <v>18.3</v>
      </c>
      <c r="G43">
        <f t="shared" si="2"/>
        <v>12.899999999999999</v>
      </c>
      <c r="H43">
        <f t="shared" si="3"/>
        <v>4.9208827681519053E-2</v>
      </c>
      <c r="I43">
        <v>0.1</v>
      </c>
      <c r="J43" s="17">
        <v>4.34</v>
      </c>
    </row>
    <row r="44" spans="1:12" x14ac:dyDescent="0.2">
      <c r="A44" t="s">
        <v>454</v>
      </c>
      <c r="F44">
        <f xml:space="preserve"> 18.3 + (114.6/278)* (31.5-18.3)</f>
        <v>23.741438848920865</v>
      </c>
      <c r="G44">
        <f t="shared" si="2"/>
        <v>7.4585611510791345</v>
      </c>
      <c r="H44">
        <f t="shared" si="3"/>
        <v>5.500530464216144E-2</v>
      </c>
      <c r="I44">
        <v>0.15</v>
      </c>
      <c r="J44">
        <v>6.51</v>
      </c>
    </row>
    <row r="45" spans="1:12" x14ac:dyDescent="0.2">
      <c r="A45" t="s">
        <v>455</v>
      </c>
      <c r="F45">
        <f xml:space="preserve"> 18.3 + (84.1/275.1)* (31.5-18.3)</f>
        <v>22.335332606324972</v>
      </c>
      <c r="G45">
        <f t="shared" si="2"/>
        <v>8.8646673936750275</v>
      </c>
      <c r="H45">
        <f t="shared" si="3"/>
        <v>5.9553487713183681E-2</v>
      </c>
      <c r="I45">
        <v>0.15</v>
      </c>
      <c r="J45">
        <v>6.51</v>
      </c>
    </row>
    <row r="46" spans="1:12" x14ac:dyDescent="0.2">
      <c r="A46" t="s">
        <v>458</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462</v>
      </c>
      <c r="F47">
        <v>31.5</v>
      </c>
      <c r="H47" t="s">
        <v>463</v>
      </c>
      <c r="I47">
        <v>0.1</v>
      </c>
      <c r="J47" s="17">
        <v>4.34</v>
      </c>
      <c r="L47" t="s">
        <v>464</v>
      </c>
    </row>
    <row r="48" spans="1:12" x14ac:dyDescent="0.2">
      <c r="A48" t="s">
        <v>470</v>
      </c>
      <c r="F48">
        <v>31.5</v>
      </c>
      <c r="H48" t="s">
        <v>463</v>
      </c>
      <c r="I48">
        <v>0.05</v>
      </c>
      <c r="J48">
        <v>2.17</v>
      </c>
      <c r="L48" t="s">
        <v>471</v>
      </c>
    </row>
    <row r="49" spans="1:12" x14ac:dyDescent="0.2">
      <c r="A49" t="s">
        <v>472</v>
      </c>
      <c r="C49">
        <v>15</v>
      </c>
      <c r="D49">
        <v>108.6</v>
      </c>
      <c r="E49">
        <v>26.8</v>
      </c>
      <c r="F49">
        <f xml:space="preserve"> (E49/D49*5)+C49</f>
        <v>16.233885819521177</v>
      </c>
      <c r="G49">
        <f>$Q$7-F49</f>
        <v>14.966114180478822</v>
      </c>
      <c r="H49">
        <f xml:space="preserve"> $J49 / (2*DEGREES(ATAN(0.5*$R$7 / $G49)))</f>
        <v>5.4427826243110322E-2</v>
      </c>
      <c r="I49">
        <v>0.1</v>
      </c>
      <c r="J49" s="17">
        <v>4.34</v>
      </c>
      <c r="L49" t="s">
        <v>473</v>
      </c>
    </row>
    <row r="50" spans="1:12" x14ac:dyDescent="0.2">
      <c r="A50" t="s">
        <v>488</v>
      </c>
      <c r="F50">
        <v>25</v>
      </c>
      <c r="G50">
        <f>$Q$7-F50</f>
        <v>6.1999999999999993</v>
      </c>
      <c r="H50">
        <f xml:space="preserve"> $J50 / (2*DEGREES(ATAN(0.5*$R$7 / $G50)))</f>
        <v>1.7054763794037576E-2</v>
      </c>
      <c r="I50">
        <v>0.05</v>
      </c>
      <c r="J50">
        <v>2.17</v>
      </c>
      <c r="L50" t="s">
        <v>475</v>
      </c>
    </row>
    <row r="51" spans="1:12" x14ac:dyDescent="0.2">
      <c r="A51" t="s">
        <v>487</v>
      </c>
      <c r="C51">
        <v>15</v>
      </c>
      <c r="D51">
        <v>115.1</v>
      </c>
      <c r="E51">
        <v>38.6</v>
      </c>
      <c r="F51">
        <f xml:space="preserve"> (E51/D51*5)+C51</f>
        <v>16.676802780191139</v>
      </c>
      <c r="G51">
        <f>$Q$7-F51</f>
        <v>14.523197219808861</v>
      </c>
      <c r="H51">
        <f xml:space="preserve"> $J51 / (2*DEGREES(ATAN(0.5*$R$7 / $G51)))</f>
        <v>7.9939455555224637E-2</v>
      </c>
      <c r="I51">
        <v>0.15</v>
      </c>
      <c r="J51">
        <v>6.51</v>
      </c>
      <c r="L51" t="s">
        <v>486</v>
      </c>
    </row>
    <row r="52" spans="1:12" x14ac:dyDescent="0.2">
      <c r="A52" t="s">
        <v>510</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511</v>
      </c>
    </row>
    <row r="53" spans="1:12" x14ac:dyDescent="0.2">
      <c r="A53" t="s">
        <v>514</v>
      </c>
      <c r="L53" t="s">
        <v>515</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1" customWidth="1"/>
    <col min="15" max="15" width="10.83203125" style="31"/>
    <col min="17" max="17" width="13.6640625" customWidth="1"/>
  </cols>
  <sheetData>
    <row r="1" spans="1:15" x14ac:dyDescent="0.2">
      <c r="A1" s="1" t="s">
        <v>0</v>
      </c>
      <c r="B1" s="1" t="s">
        <v>31</v>
      </c>
      <c r="C1" t="s">
        <v>2</v>
      </c>
      <c r="D1" s="1" t="s">
        <v>274</v>
      </c>
      <c r="E1" s="1" t="s">
        <v>329</v>
      </c>
      <c r="F1" s="1" t="s">
        <v>768</v>
      </c>
      <c r="G1" s="1" t="s">
        <v>767</v>
      </c>
      <c r="H1" s="1" t="s">
        <v>769</v>
      </c>
      <c r="I1" s="1" t="s">
        <v>770</v>
      </c>
      <c r="J1" s="1" t="s">
        <v>335</v>
      </c>
      <c r="K1" s="1" t="s">
        <v>764</v>
      </c>
      <c r="L1" s="1" t="s">
        <v>213</v>
      </c>
      <c r="M1" s="1" t="s">
        <v>771</v>
      </c>
      <c r="N1" s="30" t="s">
        <v>765</v>
      </c>
      <c r="O1" s="30" t="s">
        <v>15</v>
      </c>
    </row>
    <row r="2" spans="1:15" x14ac:dyDescent="0.2">
      <c r="A2" s="1">
        <v>2</v>
      </c>
      <c r="B2" s="1"/>
      <c r="C2" t="str">
        <f>_xlfn.TEXTSPLIT($D2, "_")</f>
        <v>C0080</v>
      </c>
      <c r="D2" s="1" t="s">
        <v>303</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0"/>
      <c r="O2" s="30"/>
    </row>
    <row r="3" spans="1:15" x14ac:dyDescent="0.2">
      <c r="A3" s="1">
        <v>2</v>
      </c>
      <c r="B3" s="1"/>
      <c r="C3" t="str">
        <f t="shared" ref="C3:C26" si="3">_xlfn.TEXTSPLIT($D3, "_")</f>
        <v>C0126</v>
      </c>
      <c r="D3" s="1" t="s">
        <v>313</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0"/>
      <c r="O3" s="30"/>
    </row>
    <row r="4" spans="1:15" x14ac:dyDescent="0.2">
      <c r="A4" s="1">
        <v>2</v>
      </c>
      <c r="B4" s="1"/>
      <c r="C4" t="str">
        <f t="shared" si="3"/>
        <v>C0085</v>
      </c>
      <c r="D4" s="1" t="s">
        <v>314</v>
      </c>
      <c r="E4" s="1"/>
      <c r="F4" s="1">
        <v>100</v>
      </c>
      <c r="G4" s="1">
        <v>124.5</v>
      </c>
      <c r="H4" s="1">
        <v>66.400000000000006</v>
      </c>
      <c r="I4" s="1">
        <f t="shared" si="0"/>
        <v>102.66666666666667</v>
      </c>
      <c r="J4" s="1">
        <f t="shared" si="4"/>
        <v>209.33333333333331</v>
      </c>
      <c r="K4" s="1">
        <f t="shared" si="1"/>
        <v>38.39</v>
      </c>
      <c r="L4" s="1">
        <v>0.15</v>
      </c>
      <c r="M4" s="1">
        <f t="shared" si="2"/>
        <v>9.5435605638469756E-2</v>
      </c>
      <c r="N4" s="30"/>
      <c r="O4" s="30"/>
    </row>
    <row r="5" spans="1:15" x14ac:dyDescent="0.2">
      <c r="A5" s="1">
        <v>2</v>
      </c>
      <c r="B5" s="1"/>
      <c r="C5" t="str">
        <f t="shared" si="3"/>
        <v>C0085</v>
      </c>
      <c r="D5" s="1" t="s">
        <v>315</v>
      </c>
      <c r="E5" s="1"/>
      <c r="F5" s="1">
        <v>150</v>
      </c>
      <c r="G5" s="1">
        <v>110.5</v>
      </c>
      <c r="H5" s="1">
        <v>67.599999999999994</v>
      </c>
      <c r="I5" s="1">
        <f t="shared" si="0"/>
        <v>153.05882352941177</v>
      </c>
      <c r="J5" s="1">
        <f t="shared" si="4"/>
        <v>158.94117647058823</v>
      </c>
      <c r="K5" s="1">
        <f t="shared" si="1"/>
        <v>38.39</v>
      </c>
      <c r="L5" s="1">
        <v>0.15</v>
      </c>
      <c r="M5" s="1">
        <f t="shared" si="2"/>
        <v>7.260956465522074E-2</v>
      </c>
      <c r="N5" s="30"/>
      <c r="O5" s="30"/>
    </row>
    <row r="6" spans="1:15" x14ac:dyDescent="0.2">
      <c r="A6" s="1">
        <v>2</v>
      </c>
      <c r="B6" s="1"/>
      <c r="C6" t="str">
        <f t="shared" si="3"/>
        <v>C0074</v>
      </c>
      <c r="D6" s="1" t="s">
        <v>402</v>
      </c>
      <c r="E6" s="1"/>
      <c r="F6" s="1">
        <v>200</v>
      </c>
      <c r="G6" s="1">
        <v>103.3</v>
      </c>
      <c r="H6" s="1">
        <v>21.9</v>
      </c>
      <c r="I6" s="1">
        <f t="shared" si="0"/>
        <v>201.06001936108422</v>
      </c>
      <c r="J6" s="1">
        <f t="shared" si="4"/>
        <v>110.93998063891578</v>
      </c>
      <c r="K6" s="1">
        <f t="shared" si="1"/>
        <v>57.59</v>
      </c>
      <c r="L6" s="1">
        <v>0.1</v>
      </c>
      <c r="M6" s="1">
        <f t="shared" si="2"/>
        <v>3.4363508907516056E-2</v>
      </c>
      <c r="N6" s="30" t="s">
        <v>339</v>
      </c>
      <c r="O6" s="30"/>
    </row>
    <row r="7" spans="1:15" x14ac:dyDescent="0.2">
      <c r="A7" s="1">
        <v>2</v>
      </c>
      <c r="B7" s="1"/>
      <c r="C7" t="str">
        <f t="shared" si="3"/>
        <v>C0073</v>
      </c>
      <c r="D7" s="1" t="s">
        <v>405</v>
      </c>
      <c r="E7" s="1"/>
      <c r="F7" s="1">
        <v>50</v>
      </c>
      <c r="G7" s="1">
        <v>122.5</v>
      </c>
      <c r="H7" s="1">
        <v>31.8</v>
      </c>
      <c r="I7" s="1">
        <f t="shared" si="0"/>
        <v>51.29795918367347</v>
      </c>
      <c r="J7" s="1">
        <f t="shared" si="4"/>
        <v>260.70204081632653</v>
      </c>
      <c r="K7" s="1">
        <f t="shared" si="1"/>
        <v>115.17</v>
      </c>
      <c r="L7" s="1">
        <v>0.05</v>
      </c>
      <c r="M7" s="1">
        <f t="shared" si="2"/>
        <v>4.0142136209352523E-2</v>
      </c>
      <c r="N7" s="30"/>
      <c r="O7" s="30"/>
    </row>
    <row r="8" spans="1:15" x14ac:dyDescent="0.2">
      <c r="A8" s="1">
        <v>2</v>
      </c>
      <c r="B8" s="1"/>
      <c r="C8" t="str">
        <f t="shared" si="3"/>
        <v>C0069</v>
      </c>
      <c r="D8" s="1" t="s">
        <v>444</v>
      </c>
      <c r="E8" s="1"/>
      <c r="F8" s="1">
        <v>50</v>
      </c>
      <c r="G8" s="1">
        <v>125.2</v>
      </c>
      <c r="H8" s="1">
        <v>51.5</v>
      </c>
      <c r="I8" s="1">
        <f t="shared" si="0"/>
        <v>52.056709265175719</v>
      </c>
      <c r="J8" s="1">
        <f t="shared" si="4"/>
        <v>259.9432907348243</v>
      </c>
      <c r="K8" s="1">
        <f t="shared" si="1"/>
        <v>57.59</v>
      </c>
      <c r="L8" s="1">
        <v>0.1</v>
      </c>
      <c r="M8" s="1">
        <f t="shared" si="2"/>
        <v>7.9099897933956026E-2</v>
      </c>
      <c r="N8" s="30"/>
      <c r="O8" s="30"/>
    </row>
    <row r="9" spans="1:15" x14ac:dyDescent="0.2">
      <c r="A9" s="1">
        <v>2</v>
      </c>
      <c r="B9" s="4">
        <v>45377</v>
      </c>
      <c r="C9" t="str">
        <f t="shared" si="3"/>
        <v>C0077</v>
      </c>
      <c r="D9" s="1" t="s">
        <v>341</v>
      </c>
      <c r="E9" s="1"/>
      <c r="F9" s="1">
        <v>50</v>
      </c>
      <c r="G9" s="1">
        <v>124.8</v>
      </c>
      <c r="H9" s="1">
        <v>100.6</v>
      </c>
      <c r="I9" s="1">
        <f t="shared" si="0"/>
        <v>54.030448717948715</v>
      </c>
      <c r="J9" s="1">
        <f t="shared" si="4"/>
        <v>257.96955128205127</v>
      </c>
      <c r="K9" s="1">
        <f t="shared" si="1"/>
        <v>115.17</v>
      </c>
      <c r="L9" s="1">
        <v>0.05</v>
      </c>
      <c r="M9" s="1">
        <f t="shared" si="2"/>
        <v>3.9734592950621969E-2</v>
      </c>
      <c r="N9" s="30"/>
      <c r="O9" s="30"/>
    </row>
    <row r="10" spans="1:15" x14ac:dyDescent="0.2">
      <c r="A10" s="1">
        <v>2</v>
      </c>
      <c r="B10" s="4">
        <v>45383</v>
      </c>
      <c r="C10" t="str">
        <f t="shared" si="3"/>
        <v>C0086</v>
      </c>
      <c r="D10" s="1" t="s">
        <v>342</v>
      </c>
      <c r="E10" s="1"/>
      <c r="F10" s="1">
        <v>200</v>
      </c>
      <c r="G10" s="1">
        <v>112.3</v>
      </c>
      <c r="H10" s="1">
        <v>17.5</v>
      </c>
      <c r="I10" s="1">
        <f t="shared" si="0"/>
        <v>200.77916295636686</v>
      </c>
      <c r="J10" s="1">
        <f t="shared" si="4"/>
        <v>111.22083704363314</v>
      </c>
      <c r="K10" s="1">
        <f t="shared" si="1"/>
        <v>115.17</v>
      </c>
      <c r="L10" s="1">
        <v>0.05</v>
      </c>
      <c r="M10" s="1">
        <f t="shared" si="2"/>
        <v>1.8266155278166885E-2</v>
      </c>
      <c r="N10" s="30"/>
      <c r="O10" s="30"/>
    </row>
    <row r="11" spans="1:15" x14ac:dyDescent="0.2">
      <c r="A11" s="1">
        <v>2</v>
      </c>
      <c r="B11" s="1"/>
      <c r="C11" t="str">
        <f t="shared" si="3"/>
        <v>C0058</v>
      </c>
      <c r="D11" s="1" t="s">
        <v>421</v>
      </c>
      <c r="E11" s="1"/>
      <c r="F11" s="1">
        <v>0</v>
      </c>
      <c r="G11" s="1">
        <v>52.8</v>
      </c>
      <c r="H11" s="1">
        <v>20.6</v>
      </c>
      <c r="I11" s="1">
        <f t="shared" si="0"/>
        <v>1.9507575757575759</v>
      </c>
      <c r="J11" s="1">
        <f t="shared" si="4"/>
        <v>310.04924242424244</v>
      </c>
      <c r="K11" s="1">
        <f t="shared" si="1"/>
        <v>38.39</v>
      </c>
      <c r="L11" s="1">
        <v>0.15</v>
      </c>
      <c r="M11" s="1">
        <f t="shared" si="2"/>
        <v>0.14113796901651063</v>
      </c>
      <c r="N11" s="30"/>
      <c r="O11" s="30"/>
    </row>
    <row r="12" spans="1:15" x14ac:dyDescent="0.2">
      <c r="A12" s="1">
        <v>2</v>
      </c>
      <c r="B12" s="1"/>
      <c r="C12" t="str">
        <f t="shared" si="3"/>
        <v>C0053</v>
      </c>
      <c r="D12" s="1" t="s">
        <v>447</v>
      </c>
      <c r="E12" s="1"/>
      <c r="F12" s="1">
        <v>50</v>
      </c>
      <c r="G12" s="1">
        <v>79.3</v>
      </c>
      <c r="H12" s="1">
        <v>23.7</v>
      </c>
      <c r="I12" s="1">
        <f t="shared" si="0"/>
        <v>51.494325346784365</v>
      </c>
      <c r="J12" s="1">
        <f t="shared" si="4"/>
        <v>260.50567465321564</v>
      </c>
      <c r="K12" s="1">
        <f t="shared" si="1"/>
        <v>115.17</v>
      </c>
      <c r="L12" s="1">
        <v>0.05</v>
      </c>
      <c r="M12" s="1">
        <f t="shared" si="2"/>
        <v>4.0112844329355218E-2</v>
      </c>
      <c r="O12" s="30"/>
    </row>
    <row r="13" spans="1:15" x14ac:dyDescent="0.2">
      <c r="A13" s="1">
        <v>2</v>
      </c>
      <c r="C13" t="str">
        <f t="shared" si="3"/>
        <v>C0048</v>
      </c>
      <c r="D13" s="1" t="s">
        <v>411</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410</v>
      </c>
      <c r="E14" s="1"/>
      <c r="I14">
        <v>18.3</v>
      </c>
      <c r="J14" s="1">
        <f t="shared" si="4"/>
        <v>293.7</v>
      </c>
      <c r="K14" s="1">
        <f t="shared" si="1"/>
        <v>115.17</v>
      </c>
      <c r="L14" s="1">
        <v>0.05</v>
      </c>
      <c r="M14" s="1">
        <f t="shared" si="2"/>
        <v>4.5073001563095454E-2</v>
      </c>
    </row>
    <row r="15" spans="1:15" x14ac:dyDescent="0.2">
      <c r="A15" s="1">
        <v>2</v>
      </c>
      <c r="C15" t="str">
        <f t="shared" si="3"/>
        <v>C0041</v>
      </c>
      <c r="D15" s="1" t="s">
        <v>409</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412</v>
      </c>
      <c r="I16">
        <f>18.3+  (31.5-18.3)*(83.2 / 275.5)</f>
        <v>22.286352087114338</v>
      </c>
      <c r="J16" s="1">
        <f t="shared" si="4"/>
        <v>289.71364791288568</v>
      </c>
      <c r="K16" s="1">
        <f t="shared" si="1"/>
        <v>57.59</v>
      </c>
      <c r="L16" s="1">
        <v>0.1</v>
      </c>
      <c r="M16" s="1">
        <f t="shared" si="2"/>
        <v>8.8089315496625159E-2</v>
      </c>
      <c r="O16" s="31" t="s">
        <v>413</v>
      </c>
    </row>
    <row r="17" spans="1:23" x14ac:dyDescent="0.2">
      <c r="A17" s="1">
        <v>2</v>
      </c>
      <c r="C17" t="str">
        <f t="shared" si="3"/>
        <v>C0037</v>
      </c>
      <c r="D17" t="s">
        <v>414</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415</v>
      </c>
      <c r="I18">
        <f>18.3+  (31.5-18.3)*(40.3 / 240)</f>
        <v>20.516500000000001</v>
      </c>
      <c r="J18" s="1">
        <f t="shared" si="4"/>
        <v>291.48349999999999</v>
      </c>
      <c r="K18" s="1">
        <f t="shared" si="1"/>
        <v>115.17</v>
      </c>
      <c r="L18" s="1">
        <v>0.05</v>
      </c>
      <c r="M18" s="1">
        <f t="shared" si="2"/>
        <v>4.4741311817743969E-2</v>
      </c>
      <c r="O18" s="31" t="s">
        <v>416</v>
      </c>
    </row>
    <row r="19" spans="1:23" x14ac:dyDescent="0.2">
      <c r="A19" s="1">
        <v>2</v>
      </c>
      <c r="C19" t="str">
        <f t="shared" si="3"/>
        <v>C0094</v>
      </c>
      <c r="D19" t="s">
        <v>479</v>
      </c>
      <c r="I19">
        <v>15.1</v>
      </c>
      <c r="J19" s="1">
        <f t="shared" si="4"/>
        <v>296.89999999999998</v>
      </c>
      <c r="K19" s="1">
        <f t="shared" si="1"/>
        <v>115.17</v>
      </c>
      <c r="L19" s="15">
        <v>0.05</v>
      </c>
      <c r="M19" s="1">
        <f t="shared" si="2"/>
        <v>4.5551975431436666E-2</v>
      </c>
    </row>
    <row r="20" spans="1:23" x14ac:dyDescent="0.2">
      <c r="A20" s="1">
        <v>2</v>
      </c>
      <c r="C20" t="str">
        <f t="shared" si="3"/>
        <v>C0096</v>
      </c>
      <c r="D20" t="s">
        <v>492</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323</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504</v>
      </c>
      <c r="I22">
        <v>15</v>
      </c>
      <c r="J22" s="1">
        <f t="shared" si="4"/>
        <v>297</v>
      </c>
      <c r="K22" s="1">
        <f t="shared" si="1"/>
        <v>19.2</v>
      </c>
      <c r="L22" s="1">
        <v>0.3</v>
      </c>
      <c r="M22" s="1">
        <f t="shared" si="2"/>
        <v>0.27007461695743307</v>
      </c>
    </row>
    <row r="23" spans="1:23" x14ac:dyDescent="0.2">
      <c r="A23" s="1">
        <v>2</v>
      </c>
      <c r="C23" t="str">
        <f t="shared" si="3"/>
        <v>C0098</v>
      </c>
      <c r="D23" t="s">
        <v>505</v>
      </c>
      <c r="I23">
        <v>15</v>
      </c>
      <c r="J23" s="1">
        <f t="shared" si="4"/>
        <v>297</v>
      </c>
      <c r="K23" s="1">
        <f t="shared" si="1"/>
        <v>19.2</v>
      </c>
      <c r="L23" s="1">
        <v>0.3</v>
      </c>
      <c r="M23" s="1">
        <f t="shared" si="2"/>
        <v>0.27007461695743307</v>
      </c>
    </row>
    <row r="24" spans="1:23" x14ac:dyDescent="0.2">
      <c r="A24" s="1">
        <v>2</v>
      </c>
      <c r="C24" t="str">
        <f t="shared" si="3"/>
        <v>C0101</v>
      </c>
      <c r="D24" t="s">
        <v>506</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507</v>
      </c>
      <c r="I25">
        <v>16</v>
      </c>
      <c r="J25" s="1">
        <f t="shared" si="4"/>
        <v>296</v>
      </c>
      <c r="K25" s="1">
        <f t="shared" si="1"/>
        <v>19.2</v>
      </c>
      <c r="L25" s="1">
        <v>0.3</v>
      </c>
      <c r="M25" s="1">
        <f t="shared" si="2"/>
        <v>0.26916590868943718</v>
      </c>
    </row>
    <row r="26" spans="1:23" x14ac:dyDescent="0.2">
      <c r="A26" s="1">
        <v>2</v>
      </c>
      <c r="B26" s="1"/>
      <c r="C26" t="str">
        <f t="shared" si="3"/>
        <v>C0056</v>
      </c>
      <c r="D26" s="1" t="s">
        <v>445</v>
      </c>
      <c r="E26" s="1"/>
      <c r="F26" s="1"/>
      <c r="G26" s="1"/>
      <c r="H26" s="1"/>
      <c r="I26" s="1">
        <v>2.5</v>
      </c>
      <c r="J26" s="1">
        <f xml:space="preserve"> 312 - I26</f>
        <v>309.5</v>
      </c>
      <c r="K26" s="1">
        <f t="shared" si="1"/>
        <v>115.17</v>
      </c>
      <c r="L26" s="1">
        <v>0.05</v>
      </c>
      <c r="M26" s="1">
        <f t="shared" si="2"/>
        <v>4.7439101129823226E-2</v>
      </c>
      <c r="O26" s="30"/>
    </row>
    <row r="30" spans="1:23" x14ac:dyDescent="0.2">
      <c r="P30" s="1" t="s">
        <v>332</v>
      </c>
      <c r="Q30" s="1" t="s">
        <v>766</v>
      </c>
      <c r="R30" s="1" t="s">
        <v>334</v>
      </c>
      <c r="S30" s="1" t="s">
        <v>763</v>
      </c>
      <c r="T30" s="1" t="s">
        <v>325</v>
      </c>
      <c r="U30" s="1" t="s">
        <v>326</v>
      </c>
      <c r="V30" s="1" t="s">
        <v>406</v>
      </c>
      <c r="W30" s="1" t="s">
        <v>333</v>
      </c>
    </row>
    <row r="31" spans="1:23" x14ac:dyDescent="0.2">
      <c r="P31" s="1">
        <v>0.05</v>
      </c>
      <c r="Q31" s="1">
        <v>115.17</v>
      </c>
      <c r="R31" s="1">
        <v>2.1707000000000001</v>
      </c>
      <c r="S31" s="1">
        <v>312</v>
      </c>
      <c r="T31" s="1">
        <v>25</v>
      </c>
      <c r="U31" s="1">
        <v>315</v>
      </c>
      <c r="V31" s="1">
        <v>18</v>
      </c>
      <c r="W31" s="1" t="s">
        <v>337</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63</v>
      </c>
      <c r="B1" s="1" t="s">
        <v>1</v>
      </c>
      <c r="C1" s="1" t="s">
        <v>10</v>
      </c>
      <c r="D1" s="1" t="s">
        <v>258</v>
      </c>
      <c r="E1" s="1" t="s">
        <v>31</v>
      </c>
      <c r="F1" s="1" t="s">
        <v>5</v>
      </c>
      <c r="G1" s="1" t="s">
        <v>3</v>
      </c>
      <c r="H1" s="1" t="s">
        <v>403</v>
      </c>
      <c r="I1" s="1" t="s">
        <v>367</v>
      </c>
      <c r="J1" s="1" t="s">
        <v>429</v>
      </c>
      <c r="K1" s="1" t="s">
        <v>257</v>
      </c>
      <c r="L1" s="1" t="s">
        <v>6</v>
      </c>
      <c r="M1" s="1" t="s">
        <v>64</v>
      </c>
      <c r="N1" s="1" t="s">
        <v>153</v>
      </c>
      <c r="O1" s="1" t="s">
        <v>328</v>
      </c>
      <c r="P1" s="1" t="s">
        <v>15</v>
      </c>
      <c r="S1" s="1" t="s">
        <v>92</v>
      </c>
    </row>
    <row r="2" spans="1:19" x14ac:dyDescent="0.2">
      <c r="A2" s="1">
        <v>2</v>
      </c>
      <c r="B2" s="1">
        <v>2.6</v>
      </c>
      <c r="C2" s="1">
        <v>1</v>
      </c>
      <c r="D2" s="1" t="s">
        <v>39</v>
      </c>
      <c r="E2" s="4">
        <v>45352</v>
      </c>
      <c r="F2" s="3">
        <v>0.78471064814814817</v>
      </c>
      <c r="G2" s="1">
        <v>1.7569999999999999E-2</v>
      </c>
      <c r="K2" s="1" t="s">
        <v>73</v>
      </c>
      <c r="L2" s="3">
        <v>0.75744212962962953</v>
      </c>
      <c r="M2" s="3">
        <f>F2 - L2</f>
        <v>2.7268518518518636E-2</v>
      </c>
    </row>
    <row r="3" spans="1:19" x14ac:dyDescent="0.2">
      <c r="A3" s="1">
        <v>2</v>
      </c>
      <c r="B3" s="1">
        <v>2.6</v>
      </c>
      <c r="C3" s="1">
        <v>1</v>
      </c>
      <c r="D3" s="1" t="s">
        <v>21</v>
      </c>
      <c r="E3" s="4">
        <v>45352</v>
      </c>
      <c r="F3" s="3" t="s">
        <v>21</v>
      </c>
      <c r="G3" s="1" t="s">
        <v>21</v>
      </c>
      <c r="K3" s="1" t="s">
        <v>65</v>
      </c>
      <c r="L3" s="3">
        <v>0.22700231481481481</v>
      </c>
      <c r="M3" s="3"/>
    </row>
    <row r="4" spans="1:19" x14ac:dyDescent="0.2">
      <c r="A4" s="1">
        <v>2</v>
      </c>
      <c r="B4" s="1">
        <v>2.6</v>
      </c>
      <c r="C4" s="1">
        <v>1</v>
      </c>
      <c r="D4" s="1" t="s">
        <v>104</v>
      </c>
      <c r="E4" s="4">
        <v>45353</v>
      </c>
      <c r="F4" s="1" t="s">
        <v>21</v>
      </c>
      <c r="G4" s="1" t="s">
        <v>21</v>
      </c>
      <c r="K4" s="4" t="s">
        <v>72</v>
      </c>
      <c r="L4" s="3">
        <v>0.22784722222222223</v>
      </c>
      <c r="M4" s="1" t="s">
        <v>21</v>
      </c>
      <c r="N4" s="1" t="s">
        <v>21</v>
      </c>
      <c r="P4" s="1" t="s">
        <v>71</v>
      </c>
    </row>
    <row r="5" spans="1:19" x14ac:dyDescent="0.2">
      <c r="A5" s="1">
        <v>2</v>
      </c>
      <c r="B5" s="1">
        <v>2.6</v>
      </c>
      <c r="C5" s="1">
        <v>1</v>
      </c>
      <c r="D5" s="1" t="s">
        <v>55</v>
      </c>
      <c r="E5" s="4">
        <v>45353</v>
      </c>
      <c r="F5" s="1" t="s">
        <v>21</v>
      </c>
      <c r="G5" s="1" t="s">
        <v>21</v>
      </c>
      <c r="K5" s="1" t="s">
        <v>79</v>
      </c>
      <c r="L5" s="3">
        <v>0.76015046296296296</v>
      </c>
      <c r="M5" s="1" t="s">
        <v>21</v>
      </c>
      <c r="P5" s="1" t="s">
        <v>359</v>
      </c>
    </row>
    <row r="6" spans="1:19" x14ac:dyDescent="0.2">
      <c r="A6" s="1">
        <v>2</v>
      </c>
      <c r="B6" s="1">
        <v>2.6</v>
      </c>
      <c r="C6" s="1">
        <v>1</v>
      </c>
      <c r="D6" s="1" t="s">
        <v>57</v>
      </c>
      <c r="E6" s="4">
        <v>45354</v>
      </c>
      <c r="F6" s="1" t="s">
        <v>21</v>
      </c>
      <c r="G6" s="1" t="s">
        <v>21</v>
      </c>
      <c r="K6" s="1" t="s">
        <v>80</v>
      </c>
      <c r="L6" s="3">
        <v>0.23024305555555555</v>
      </c>
      <c r="M6" s="1" t="s">
        <v>21</v>
      </c>
      <c r="N6" s="1" t="s">
        <v>21</v>
      </c>
      <c r="P6" s="1" t="s">
        <v>362</v>
      </c>
    </row>
    <row r="7" spans="1:19" x14ac:dyDescent="0.2">
      <c r="A7" s="1">
        <v>2</v>
      </c>
      <c r="B7" s="1">
        <v>2.6</v>
      </c>
      <c r="C7" s="1">
        <v>1</v>
      </c>
      <c r="D7" s="1" t="s">
        <v>21</v>
      </c>
      <c r="E7" s="4">
        <v>45354</v>
      </c>
      <c r="F7" s="1" t="s">
        <v>21</v>
      </c>
      <c r="G7" s="1" t="s">
        <v>21</v>
      </c>
      <c r="K7" s="1" t="s">
        <v>84</v>
      </c>
      <c r="L7" s="3">
        <v>0.7471875</v>
      </c>
      <c r="M7" s="1" t="s">
        <v>21</v>
      </c>
      <c r="P7" s="1" t="s">
        <v>361</v>
      </c>
    </row>
    <row r="8" spans="1:19" x14ac:dyDescent="0.2">
      <c r="A8" s="1">
        <v>2</v>
      </c>
      <c r="B8" s="1">
        <v>2.6</v>
      </c>
      <c r="C8" s="1">
        <v>1</v>
      </c>
      <c r="D8" s="1" t="s">
        <v>70</v>
      </c>
      <c r="E8" s="4">
        <v>45355</v>
      </c>
      <c r="F8" s="3">
        <v>0.2673726851851852</v>
      </c>
      <c r="G8" s="1">
        <v>0.54100000000000004</v>
      </c>
      <c r="K8" s="1" t="s">
        <v>85</v>
      </c>
      <c r="L8" s="3">
        <v>0.23173611111111111</v>
      </c>
      <c r="M8" s="3">
        <f>F8 - L8</f>
        <v>3.5636574074074084E-2</v>
      </c>
    </row>
    <row r="9" spans="1:19" x14ac:dyDescent="0.2">
      <c r="A9" s="1">
        <v>2</v>
      </c>
      <c r="B9" s="1">
        <v>2.6</v>
      </c>
      <c r="C9" s="1">
        <v>1</v>
      </c>
      <c r="D9" s="1" t="s">
        <v>75</v>
      </c>
      <c r="E9" s="4">
        <v>45355</v>
      </c>
      <c r="F9" s="3">
        <v>0.78221064814814811</v>
      </c>
      <c r="G9" s="1">
        <v>5.7799999999999997E-2</v>
      </c>
      <c r="K9" s="1" t="s">
        <v>89</v>
      </c>
      <c r="L9" s="3">
        <v>0.75074074074074071</v>
      </c>
      <c r="M9" s="3">
        <f>F9 - L9</f>
        <v>3.1469907407407405E-2</v>
      </c>
    </row>
    <row r="10" spans="1:19" x14ac:dyDescent="0.2">
      <c r="A10" s="1">
        <v>2</v>
      </c>
      <c r="B10" s="1">
        <v>2.6</v>
      </c>
      <c r="C10" s="1">
        <v>1</v>
      </c>
      <c r="D10" s="1" t="s">
        <v>86</v>
      </c>
      <c r="E10" s="4">
        <v>45356</v>
      </c>
      <c r="F10" s="3">
        <v>0.27211805555555557</v>
      </c>
      <c r="G10" s="1">
        <v>1.9450000000000001</v>
      </c>
      <c r="K10" s="1" t="s">
        <v>95</v>
      </c>
      <c r="L10" s="3">
        <v>0.23202546296296298</v>
      </c>
      <c r="M10" s="3">
        <f>F10 - L10</f>
        <v>4.0092592592592596E-2</v>
      </c>
    </row>
    <row r="11" spans="1:19" x14ac:dyDescent="0.2">
      <c r="A11" s="1">
        <v>2</v>
      </c>
      <c r="B11" s="1">
        <v>2.6</v>
      </c>
      <c r="C11" s="1">
        <v>1</v>
      </c>
      <c r="D11" s="1" t="s">
        <v>102</v>
      </c>
      <c r="E11" s="4">
        <v>45356</v>
      </c>
      <c r="F11" s="3">
        <v>0.77976851851851858</v>
      </c>
      <c r="G11" s="1">
        <v>0.15620000000000001</v>
      </c>
      <c r="K11" s="1" t="s">
        <v>101</v>
      </c>
      <c r="L11" s="3">
        <v>0.76247685185185177</v>
      </c>
      <c r="M11" s="3">
        <f>F11 - L11</f>
        <v>1.7291666666666816E-2</v>
      </c>
    </row>
    <row r="12" spans="1:19" x14ac:dyDescent="0.2">
      <c r="A12" s="1">
        <v>2</v>
      </c>
      <c r="B12" s="1">
        <v>2.6</v>
      </c>
      <c r="C12" s="1">
        <v>1</v>
      </c>
      <c r="D12" s="1" t="s">
        <v>97</v>
      </c>
      <c r="E12" s="4">
        <v>45357</v>
      </c>
      <c r="F12" s="1" t="s">
        <v>21</v>
      </c>
      <c r="G12" s="1">
        <v>0.14530000000000001</v>
      </c>
      <c r="K12" s="1" t="s">
        <v>21</v>
      </c>
      <c r="L12" s="1" t="s">
        <v>21</v>
      </c>
      <c r="M12" s="1" t="s">
        <v>21</v>
      </c>
      <c r="P12" s="1" t="s">
        <v>100</v>
      </c>
    </row>
    <row r="13" spans="1:19" x14ac:dyDescent="0.2">
      <c r="A13" s="1">
        <v>2</v>
      </c>
      <c r="B13" s="1">
        <v>2.6</v>
      </c>
      <c r="C13" s="1" t="s">
        <v>21</v>
      </c>
      <c r="D13" s="1" t="s">
        <v>109</v>
      </c>
      <c r="E13" s="4">
        <v>45357</v>
      </c>
      <c r="F13" s="1" t="s">
        <v>21</v>
      </c>
      <c r="G13" s="1" t="s">
        <v>21</v>
      </c>
      <c r="K13" s="1" t="s">
        <v>112</v>
      </c>
      <c r="L13" s="3">
        <v>0.74782407407407403</v>
      </c>
      <c r="M13" s="1" t="s">
        <v>21</v>
      </c>
      <c r="N13" s="1" t="s">
        <v>21</v>
      </c>
      <c r="P13" s="1" t="s">
        <v>78</v>
      </c>
    </row>
    <row r="14" spans="1:19" x14ac:dyDescent="0.2">
      <c r="A14" s="1">
        <v>2</v>
      </c>
      <c r="B14" s="1">
        <v>2.6</v>
      </c>
      <c r="C14" s="1">
        <v>1</v>
      </c>
      <c r="D14" s="1" t="s">
        <v>82</v>
      </c>
      <c r="E14" s="4">
        <v>45358</v>
      </c>
      <c r="F14" s="3">
        <v>0.26952546296296298</v>
      </c>
      <c r="G14" s="1">
        <v>1.389</v>
      </c>
      <c r="K14" s="1" t="s">
        <v>111</v>
      </c>
      <c r="L14" s="3">
        <v>0.23011574074074073</v>
      </c>
      <c r="M14" s="3">
        <f t="shared" ref="M14:M34" si="0">F14 - L14</f>
        <v>3.9409722222222249E-2</v>
      </c>
    </row>
    <row r="15" spans="1:19" x14ac:dyDescent="0.2">
      <c r="A15" s="1">
        <v>2</v>
      </c>
      <c r="B15" s="1">
        <v>2.6</v>
      </c>
      <c r="C15" s="1">
        <v>1</v>
      </c>
      <c r="D15" s="1" t="s">
        <v>93</v>
      </c>
      <c r="E15" s="4">
        <v>45358</v>
      </c>
      <c r="F15" s="3">
        <v>0.78515046296296309</v>
      </c>
      <c r="G15" s="1">
        <v>1.7930000000000001E-2</v>
      </c>
      <c r="K15" s="1" t="s">
        <v>118</v>
      </c>
      <c r="L15" s="3">
        <v>0.75884259259259268</v>
      </c>
      <c r="M15" s="3">
        <f t="shared" si="0"/>
        <v>2.6307870370370412E-2</v>
      </c>
    </row>
    <row r="16" spans="1:19" x14ac:dyDescent="0.2">
      <c r="A16" s="1">
        <v>2</v>
      </c>
      <c r="B16" s="1">
        <v>2.6</v>
      </c>
      <c r="C16" s="1">
        <v>1</v>
      </c>
      <c r="D16" s="1" t="s">
        <v>96</v>
      </c>
      <c r="E16" s="4">
        <v>45359</v>
      </c>
      <c r="F16" s="3">
        <v>0.27240740740740743</v>
      </c>
      <c r="G16" s="1">
        <v>2.5299999999999998</v>
      </c>
      <c r="K16" s="1" t="s">
        <v>119</v>
      </c>
      <c r="L16" s="3">
        <v>0.23064814814814816</v>
      </c>
      <c r="M16" s="3">
        <f t="shared" si="0"/>
        <v>4.1759259259259274E-2</v>
      </c>
      <c r="P16" s="1" t="s">
        <v>120</v>
      </c>
    </row>
    <row r="17" spans="1:19" x14ac:dyDescent="0.2">
      <c r="A17" s="1">
        <v>2</v>
      </c>
      <c r="B17" s="1">
        <v>2.6</v>
      </c>
      <c r="C17" s="1">
        <v>1</v>
      </c>
      <c r="D17" s="1" t="s">
        <v>107</v>
      </c>
      <c r="E17" s="4">
        <v>45359</v>
      </c>
      <c r="F17" s="3">
        <v>0.78239583333333329</v>
      </c>
      <c r="G17" s="1">
        <v>4.7600000000000003E-2</v>
      </c>
      <c r="K17" s="1" t="s">
        <v>169</v>
      </c>
      <c r="L17" s="3">
        <v>0.73781249999999998</v>
      </c>
      <c r="M17" s="3">
        <f t="shared" si="0"/>
        <v>4.4583333333333308E-2</v>
      </c>
      <c r="N17" s="1" t="s">
        <v>21</v>
      </c>
      <c r="P17" s="1" t="s">
        <v>170</v>
      </c>
    </row>
    <row r="18" spans="1:19" x14ac:dyDescent="0.2">
      <c r="A18" s="1">
        <v>2</v>
      </c>
      <c r="B18" s="1">
        <v>2.6</v>
      </c>
      <c r="C18" s="1">
        <v>1</v>
      </c>
      <c r="D18" s="1" t="s">
        <v>106</v>
      </c>
      <c r="E18" s="4">
        <v>45362</v>
      </c>
      <c r="F18" s="3">
        <v>0.27355324074074072</v>
      </c>
      <c r="G18" s="1">
        <v>1.2969999999999999</v>
      </c>
      <c r="K18" s="1" t="s">
        <v>171</v>
      </c>
      <c r="L18" s="3">
        <v>0.22348379629629631</v>
      </c>
      <c r="M18" s="3">
        <f t="shared" si="0"/>
        <v>5.0069444444444416E-2</v>
      </c>
      <c r="N18" s="1" t="s">
        <v>21</v>
      </c>
      <c r="P18" s="1" t="s">
        <v>170</v>
      </c>
    </row>
    <row r="19" spans="1:19" s="7" customFormat="1" x14ac:dyDescent="0.2">
      <c r="A19" s="1">
        <v>2</v>
      </c>
      <c r="B19" s="1">
        <v>2.6</v>
      </c>
      <c r="C19" s="1">
        <v>1</v>
      </c>
      <c r="D19" s="1" t="s">
        <v>124</v>
      </c>
      <c r="E19" s="4">
        <v>45362</v>
      </c>
      <c r="F19" s="3">
        <v>0.77763888888888888</v>
      </c>
      <c r="G19" s="1">
        <v>0.1764</v>
      </c>
      <c r="H19" s="1"/>
      <c r="I19" s="1"/>
      <c r="J19" s="1"/>
      <c r="K19" s="1" t="s">
        <v>155</v>
      </c>
      <c r="L19" s="3">
        <v>0.75906249999999997</v>
      </c>
      <c r="M19" s="3">
        <f t="shared" si="0"/>
        <v>1.8576388888888906E-2</v>
      </c>
      <c r="N19" s="3">
        <v>1.9502314814814816E-2</v>
      </c>
      <c r="O19" s="3"/>
      <c r="P19" s="1" t="s">
        <v>364</v>
      </c>
      <c r="Q19" s="1"/>
      <c r="R19" s="1"/>
      <c r="S19" s="1"/>
    </row>
    <row r="20" spans="1:19" x14ac:dyDescent="0.2">
      <c r="A20" s="1">
        <v>2</v>
      </c>
      <c r="B20" s="1">
        <v>2.6</v>
      </c>
      <c r="C20" s="1">
        <v>1</v>
      </c>
      <c r="D20" s="1" t="s">
        <v>123</v>
      </c>
      <c r="E20" s="4">
        <v>45363</v>
      </c>
      <c r="F20" s="3">
        <v>0.26667824074074076</v>
      </c>
      <c r="G20" s="1">
        <v>0.64600000000000002</v>
      </c>
      <c r="K20" s="1" t="s">
        <v>152</v>
      </c>
      <c r="L20" s="3">
        <v>0.22644675925925925</v>
      </c>
      <c r="M20" s="3">
        <f t="shared" si="0"/>
        <v>4.0231481481481507E-2</v>
      </c>
      <c r="N20" s="3">
        <v>4.0254629629629626E-2</v>
      </c>
      <c r="O20" s="3"/>
    </row>
    <row r="21" spans="1:19" x14ac:dyDescent="0.2">
      <c r="A21" s="1">
        <v>2</v>
      </c>
      <c r="B21" s="1">
        <v>2.6</v>
      </c>
      <c r="C21" s="1">
        <v>1</v>
      </c>
      <c r="D21" s="1" t="s">
        <v>114</v>
      </c>
      <c r="E21" s="4">
        <v>45363</v>
      </c>
      <c r="F21" s="3">
        <v>0.77273148148148152</v>
      </c>
      <c r="G21" s="1">
        <v>0.13969999999999999</v>
      </c>
      <c r="K21" s="1" t="s">
        <v>154</v>
      </c>
      <c r="L21" s="3">
        <v>0.75655092592592588</v>
      </c>
      <c r="M21" s="3">
        <f t="shared" si="0"/>
        <v>1.6180555555555642E-2</v>
      </c>
      <c r="N21" s="3">
        <v>1.6226851851851853E-2</v>
      </c>
      <c r="O21" s="3"/>
    </row>
    <row r="22" spans="1:19" x14ac:dyDescent="0.2">
      <c r="A22" s="1">
        <v>2</v>
      </c>
      <c r="B22" s="1">
        <v>2.6</v>
      </c>
      <c r="C22" s="1">
        <v>1</v>
      </c>
      <c r="D22" s="1" t="s">
        <v>145</v>
      </c>
      <c r="E22" s="4">
        <v>45364</v>
      </c>
      <c r="F22" s="3">
        <v>0.26287037037037037</v>
      </c>
      <c r="G22" s="1">
        <v>0.25600000000000001</v>
      </c>
      <c r="K22" s="1" t="s">
        <v>172</v>
      </c>
      <c r="L22" s="3">
        <v>0.2348611111111111</v>
      </c>
      <c r="M22" s="3">
        <f t="shared" si="0"/>
        <v>2.8009259259259262E-2</v>
      </c>
      <c r="N22" s="1" t="s">
        <v>21</v>
      </c>
      <c r="P22" s="1" t="s">
        <v>173</v>
      </c>
    </row>
    <row r="23" spans="1:19" x14ac:dyDescent="0.2">
      <c r="A23" s="1">
        <v>2</v>
      </c>
      <c r="B23" s="1">
        <v>2.6</v>
      </c>
      <c r="C23" s="1">
        <v>1</v>
      </c>
      <c r="D23" s="1" t="s">
        <v>137</v>
      </c>
      <c r="E23" s="4">
        <v>45364</v>
      </c>
      <c r="F23" s="3">
        <v>0.77724537037037034</v>
      </c>
      <c r="G23" s="1">
        <v>0.878</v>
      </c>
      <c r="K23" s="1" t="s">
        <v>174</v>
      </c>
      <c r="L23" s="3">
        <v>0.76083333333333336</v>
      </c>
      <c r="M23" s="3">
        <f t="shared" si="0"/>
        <v>1.6412037037036975E-2</v>
      </c>
      <c r="N23" s="3">
        <v>1.6331018518518519E-2</v>
      </c>
      <c r="O23" s="3"/>
    </row>
    <row r="24" spans="1:19" x14ac:dyDescent="0.2">
      <c r="A24" s="1">
        <v>2</v>
      </c>
      <c r="B24" s="1">
        <v>2.6</v>
      </c>
      <c r="C24" s="1">
        <v>1</v>
      </c>
      <c r="D24" s="1" t="s">
        <v>130</v>
      </c>
      <c r="E24" s="4">
        <v>45365</v>
      </c>
      <c r="F24" s="3">
        <v>0.26702546296296298</v>
      </c>
      <c r="G24" s="1">
        <v>1.6419999999999999</v>
      </c>
      <c r="K24" s="1" t="s">
        <v>176</v>
      </c>
      <c r="L24" s="3">
        <v>0.23493055555555556</v>
      </c>
      <c r="M24" s="3">
        <f t="shared" si="0"/>
        <v>3.2094907407407419E-2</v>
      </c>
      <c r="N24" s="1" t="s">
        <v>21</v>
      </c>
      <c r="P24" s="1" t="s">
        <v>170</v>
      </c>
    </row>
    <row r="25" spans="1:19" x14ac:dyDescent="0.2">
      <c r="A25" s="1">
        <v>2</v>
      </c>
      <c r="B25" s="1">
        <v>2.6</v>
      </c>
      <c r="C25" s="1">
        <v>1</v>
      </c>
      <c r="D25" s="1" t="s">
        <v>135</v>
      </c>
      <c r="E25" s="4">
        <v>45365</v>
      </c>
      <c r="F25" s="3">
        <v>0.78295138888888882</v>
      </c>
      <c r="G25" s="1">
        <v>1.8599999999999998E-2</v>
      </c>
      <c r="K25" s="1" t="s">
        <v>177</v>
      </c>
      <c r="L25" s="3">
        <v>0.75518518518518518</v>
      </c>
      <c r="M25" s="3">
        <f t="shared" si="0"/>
        <v>2.776620370370364E-2</v>
      </c>
      <c r="N25" s="3">
        <v>2.7662037037037037E-2</v>
      </c>
      <c r="O25" s="3"/>
    </row>
    <row r="26" spans="1:19" x14ac:dyDescent="0.2">
      <c r="A26" s="1">
        <v>2</v>
      </c>
      <c r="B26" s="1">
        <v>2.6</v>
      </c>
      <c r="C26" s="1">
        <v>1</v>
      </c>
      <c r="D26" s="1" t="s">
        <v>129</v>
      </c>
      <c r="E26" s="4">
        <v>45366</v>
      </c>
      <c r="F26" s="3">
        <v>0.26596064814814813</v>
      </c>
      <c r="G26" s="1">
        <v>0.74199999999999999</v>
      </c>
      <c r="K26" s="1" t="s">
        <v>178</v>
      </c>
      <c r="L26" s="3">
        <v>0.23423611111111112</v>
      </c>
      <c r="M26" s="3">
        <f t="shared" si="0"/>
        <v>3.1724537037037009E-2</v>
      </c>
      <c r="N26" s="3">
        <v>3.1585648148148147E-2</v>
      </c>
      <c r="O26" s="3"/>
    </row>
    <row r="27" spans="1:19" x14ac:dyDescent="0.2">
      <c r="A27" s="1">
        <v>2</v>
      </c>
      <c r="B27" s="1">
        <v>2.6</v>
      </c>
      <c r="C27" s="1">
        <v>1</v>
      </c>
      <c r="D27" s="1" t="s">
        <v>127</v>
      </c>
      <c r="E27" s="4">
        <v>45366</v>
      </c>
      <c r="F27" s="3">
        <v>0.78123842592592596</v>
      </c>
      <c r="G27" s="1">
        <v>3.56E-2</v>
      </c>
      <c r="K27" s="1" t="s">
        <v>179</v>
      </c>
      <c r="L27" s="3">
        <v>0.75768518518518524</v>
      </c>
      <c r="M27" s="3">
        <f t="shared" si="0"/>
        <v>2.3553240740740722E-2</v>
      </c>
      <c r="N27" s="3">
        <v>2.3506944444444445E-2</v>
      </c>
      <c r="O27" s="3"/>
    </row>
    <row r="28" spans="1:19" x14ac:dyDescent="0.2">
      <c r="A28" s="1">
        <v>2</v>
      </c>
      <c r="B28" s="1">
        <v>2.6</v>
      </c>
      <c r="C28" s="1">
        <v>1</v>
      </c>
      <c r="D28" s="1" t="s">
        <v>145</v>
      </c>
      <c r="E28" s="4">
        <v>45367</v>
      </c>
      <c r="F28" s="3">
        <v>0.26401620370370371</v>
      </c>
      <c r="G28" s="1">
        <v>0.54100000000000004</v>
      </c>
      <c r="K28" s="1" t="s">
        <v>180</v>
      </c>
      <c r="L28" s="3">
        <v>0.2401851851851852</v>
      </c>
      <c r="M28" s="3">
        <f t="shared" si="0"/>
        <v>2.3831018518518515E-2</v>
      </c>
      <c r="N28" s="3">
        <v>2.3692129629629629E-2</v>
      </c>
      <c r="O28" s="3"/>
    </row>
    <row r="29" spans="1:19" x14ac:dyDescent="0.2">
      <c r="A29" s="1">
        <v>2</v>
      </c>
      <c r="B29" s="1">
        <v>2.6</v>
      </c>
      <c r="C29" s="1">
        <v>1</v>
      </c>
      <c r="D29" s="1" t="s">
        <v>142</v>
      </c>
      <c r="E29" s="4">
        <v>45367</v>
      </c>
      <c r="F29" s="3">
        <v>0.78548611111111111</v>
      </c>
      <c r="G29" s="1">
        <v>7.1599999999999997E-3</v>
      </c>
      <c r="K29" s="1" t="s">
        <v>181</v>
      </c>
      <c r="L29" s="3">
        <v>0.75130787037037039</v>
      </c>
      <c r="M29" s="3">
        <f t="shared" si="0"/>
        <v>3.4178240740740717E-2</v>
      </c>
      <c r="N29" s="3">
        <v>3.4201388888888892E-2</v>
      </c>
      <c r="O29" s="3"/>
    </row>
    <row r="30" spans="1:19" x14ac:dyDescent="0.2">
      <c r="A30" s="1">
        <v>2</v>
      </c>
      <c r="B30" s="1">
        <v>2.6</v>
      </c>
      <c r="C30" s="1">
        <v>1</v>
      </c>
      <c r="D30" s="1" t="s">
        <v>140</v>
      </c>
      <c r="E30" s="4">
        <v>45368</v>
      </c>
      <c r="F30" s="3">
        <v>0.2610763888888889</v>
      </c>
      <c r="G30" s="1">
        <v>0.373</v>
      </c>
      <c r="K30" s="1" t="s">
        <v>182</v>
      </c>
      <c r="L30" s="3">
        <v>0.23671296296296296</v>
      </c>
      <c r="M30" s="3">
        <f t="shared" si="0"/>
        <v>2.4363425925925941E-2</v>
      </c>
      <c r="N30" s="12">
        <v>2.5046296296296296E-2</v>
      </c>
      <c r="O30" s="12"/>
      <c r="P30" s="1" t="s">
        <v>170</v>
      </c>
    </row>
    <row r="31" spans="1:19" x14ac:dyDescent="0.2">
      <c r="A31" s="1">
        <v>2</v>
      </c>
      <c r="B31" s="1">
        <v>2.6</v>
      </c>
      <c r="C31" s="1">
        <v>2</v>
      </c>
      <c r="D31" s="1" t="s">
        <v>140</v>
      </c>
      <c r="E31" s="4">
        <v>45368</v>
      </c>
      <c r="F31" s="3">
        <v>0.26609953703703704</v>
      </c>
      <c r="G31" s="1">
        <v>1.1180000000000001</v>
      </c>
      <c r="K31" s="1" t="s">
        <v>182</v>
      </c>
      <c r="L31" s="3">
        <v>0.23671296296296296</v>
      </c>
      <c r="M31" s="3">
        <f t="shared" si="0"/>
        <v>2.9386574074074079E-2</v>
      </c>
      <c r="P31" s="1" t="s">
        <v>170</v>
      </c>
    </row>
    <row r="32" spans="1:19" x14ac:dyDescent="0.2">
      <c r="A32" s="1">
        <v>2</v>
      </c>
      <c r="B32" s="1">
        <v>2.6</v>
      </c>
      <c r="C32" s="1">
        <v>2</v>
      </c>
      <c r="D32" s="1" t="s">
        <v>146</v>
      </c>
      <c r="E32" s="4">
        <v>45368</v>
      </c>
      <c r="F32" s="3">
        <v>0.78359953703703711</v>
      </c>
      <c r="G32" s="1">
        <v>1.208E-2</v>
      </c>
      <c r="K32" s="1" t="s">
        <v>192</v>
      </c>
      <c r="L32" s="3">
        <v>0.75736111111111115</v>
      </c>
      <c r="M32" s="3">
        <f t="shared" si="0"/>
        <v>2.6238425925925957E-2</v>
      </c>
      <c r="N32" s="3">
        <v>2.5833333333333333E-2</v>
      </c>
      <c r="O32" s="3"/>
    </row>
    <row r="33" spans="1:16" x14ac:dyDescent="0.2">
      <c r="A33" s="1">
        <v>2</v>
      </c>
      <c r="B33" s="1">
        <v>2.6</v>
      </c>
      <c r="C33" s="1">
        <v>1</v>
      </c>
      <c r="D33" s="1" t="s">
        <v>146</v>
      </c>
      <c r="E33" s="4">
        <v>45368</v>
      </c>
      <c r="F33" s="3">
        <v>0.77284722222222224</v>
      </c>
      <c r="G33" s="1">
        <v>0.57099999999999995</v>
      </c>
      <c r="K33" s="1" t="s">
        <v>192</v>
      </c>
      <c r="L33" s="3">
        <v>0.75736111111111115</v>
      </c>
      <c r="M33" s="3">
        <f t="shared" si="0"/>
        <v>1.5486111111111089E-2</v>
      </c>
      <c r="N33" s="3">
        <v>1.5069444444444444E-2</v>
      </c>
      <c r="O33" s="3"/>
      <c r="P33" s="1" t="s">
        <v>193</v>
      </c>
    </row>
    <row r="34" spans="1:16" x14ac:dyDescent="0.2">
      <c r="A34" s="1">
        <v>2</v>
      </c>
      <c r="B34" s="1">
        <v>2.6</v>
      </c>
      <c r="C34" s="1">
        <v>1</v>
      </c>
      <c r="D34" s="1" t="s">
        <v>151</v>
      </c>
      <c r="E34" s="4">
        <v>45369</v>
      </c>
      <c r="F34" s="3">
        <v>0.25927083333333334</v>
      </c>
      <c r="G34" s="1">
        <v>8.8200000000000001E-2</v>
      </c>
      <c r="K34" s="1" t="s">
        <v>194</v>
      </c>
      <c r="L34" s="3">
        <v>0.2326388888888889</v>
      </c>
      <c r="M34" s="3">
        <f t="shared" si="0"/>
        <v>2.6631944444444444E-2</v>
      </c>
      <c r="N34" s="3">
        <v>2.6412037037037036E-2</v>
      </c>
      <c r="O34" s="3"/>
    </row>
    <row r="35" spans="1:16" x14ac:dyDescent="0.2">
      <c r="A35" s="1">
        <v>2</v>
      </c>
      <c r="B35" s="1">
        <v>2.6</v>
      </c>
      <c r="C35" s="1" t="s">
        <v>21</v>
      </c>
      <c r="D35" s="1" t="s">
        <v>166</v>
      </c>
      <c r="E35" s="4">
        <v>45369</v>
      </c>
      <c r="F35" s="1" t="s">
        <v>21</v>
      </c>
      <c r="G35" s="1" t="s">
        <v>21</v>
      </c>
      <c r="K35" s="1" t="s">
        <v>196</v>
      </c>
      <c r="L35" s="3">
        <v>0.75791666666666668</v>
      </c>
      <c r="M35" s="1" t="s">
        <v>21</v>
      </c>
      <c r="P35" s="1" t="s">
        <v>167</v>
      </c>
    </row>
    <row r="36" spans="1:16" x14ac:dyDescent="0.2">
      <c r="A36" s="1">
        <v>2</v>
      </c>
      <c r="B36" s="1">
        <v>2.6</v>
      </c>
      <c r="C36" s="1">
        <v>1</v>
      </c>
      <c r="D36" s="1" t="s">
        <v>156</v>
      </c>
      <c r="E36" s="4">
        <v>45370</v>
      </c>
      <c r="F36" s="3">
        <v>0.2697222222222222</v>
      </c>
      <c r="G36" s="1">
        <v>1.069</v>
      </c>
      <c r="K36" s="1" t="s">
        <v>199</v>
      </c>
      <c r="L36" s="3">
        <v>0.26671296296296299</v>
      </c>
      <c r="M36" s="3">
        <f>F36 - L36</f>
        <v>3.0092592592592116E-3</v>
      </c>
      <c r="N36" s="1" t="s">
        <v>21</v>
      </c>
      <c r="P36" s="1" t="s">
        <v>170</v>
      </c>
    </row>
    <row r="37" spans="1:16" x14ac:dyDescent="0.2">
      <c r="A37" s="1">
        <v>2</v>
      </c>
      <c r="B37" s="1">
        <v>2.6</v>
      </c>
      <c r="C37" s="1">
        <v>1</v>
      </c>
      <c r="D37" s="1" t="s">
        <v>162</v>
      </c>
      <c r="E37" s="4">
        <v>45370</v>
      </c>
      <c r="F37" s="3">
        <v>0.77118055555555554</v>
      </c>
      <c r="G37" s="1">
        <v>0.67900000000000005</v>
      </c>
      <c r="K37" s="1" t="s">
        <v>271</v>
      </c>
      <c r="L37" s="3">
        <v>0.75416666666666665</v>
      </c>
      <c r="M37" s="3">
        <f>F37 - L37</f>
        <v>1.7013888888888884E-2</v>
      </c>
      <c r="N37" s="3">
        <v>1.6863425925925928E-2</v>
      </c>
      <c r="O37" s="3"/>
    </row>
    <row r="38" spans="1:16" x14ac:dyDescent="0.2">
      <c r="A38" s="1">
        <v>2</v>
      </c>
      <c r="B38" s="1">
        <v>2.6</v>
      </c>
      <c r="C38" s="1">
        <v>2</v>
      </c>
      <c r="D38" s="1" t="s">
        <v>162</v>
      </c>
      <c r="E38" s="4">
        <v>45370</v>
      </c>
      <c r="F38" s="3">
        <v>0.78053240740740737</v>
      </c>
      <c r="G38" s="1">
        <v>4.8500000000000001E-2</v>
      </c>
      <c r="K38" s="1" t="s">
        <v>271</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195</v>
      </c>
    </row>
    <row r="40" spans="1:16" x14ac:dyDescent="0.2">
      <c r="A40" s="1">
        <v>2</v>
      </c>
      <c r="B40" s="1">
        <v>2.6</v>
      </c>
      <c r="C40" s="1" t="s">
        <v>21</v>
      </c>
      <c r="D40" s="1" t="s">
        <v>21</v>
      </c>
      <c r="E40" s="4">
        <v>45371</v>
      </c>
      <c r="F40" s="14" t="s">
        <v>21</v>
      </c>
      <c r="G40" s="1" t="s">
        <v>21</v>
      </c>
      <c r="K40" s="1" t="s">
        <v>21</v>
      </c>
      <c r="L40" s="1" t="s">
        <v>21</v>
      </c>
      <c r="M40" s="1" t="s">
        <v>21</v>
      </c>
      <c r="N40" s="1" t="s">
        <v>21</v>
      </c>
      <c r="P40" s="1" t="s">
        <v>198</v>
      </c>
    </row>
    <row r="41" spans="1:16" x14ac:dyDescent="0.2">
      <c r="A41" s="1">
        <v>2</v>
      </c>
      <c r="B41" s="1">
        <v>2.1</v>
      </c>
      <c r="C41" s="1">
        <v>1</v>
      </c>
      <c r="D41" s="1" t="s">
        <v>161</v>
      </c>
      <c r="E41" s="4">
        <v>45372</v>
      </c>
      <c r="F41" s="3">
        <v>0.27496527777777779</v>
      </c>
      <c r="G41" s="1">
        <v>6.28</v>
      </c>
      <c r="K41" s="1" t="s">
        <v>269</v>
      </c>
      <c r="L41" s="3">
        <v>0.26805555555555555</v>
      </c>
      <c r="M41" s="3">
        <f>F41 - L41</f>
        <v>6.9097222222222476E-3</v>
      </c>
      <c r="N41" s="3">
        <v>6.8865740740740745E-3</v>
      </c>
      <c r="O41" s="3"/>
    </row>
    <row r="42" spans="1:16" x14ac:dyDescent="0.2">
      <c r="A42" s="1">
        <v>2</v>
      </c>
      <c r="B42" s="1">
        <v>2.1</v>
      </c>
      <c r="C42" s="1">
        <v>1</v>
      </c>
      <c r="D42" s="1" t="s">
        <v>159</v>
      </c>
      <c r="E42" s="4">
        <v>45372</v>
      </c>
      <c r="F42" s="3">
        <v>0.77909722222222222</v>
      </c>
      <c r="G42" s="1" t="s">
        <v>21</v>
      </c>
      <c r="H42" s="2" t="s">
        <v>375</v>
      </c>
      <c r="I42" s="1">
        <v>7.9299999999999995E-2</v>
      </c>
      <c r="J42" s="1" t="s">
        <v>443</v>
      </c>
      <c r="K42" s="1" t="s">
        <v>21</v>
      </c>
      <c r="L42" s="1" t="s">
        <v>21</v>
      </c>
      <c r="M42" s="1" t="s">
        <v>21</v>
      </c>
      <c r="N42" s="1" t="s">
        <v>21</v>
      </c>
      <c r="P42" s="1" t="s">
        <v>270</v>
      </c>
    </row>
    <row r="43" spans="1:16" x14ac:dyDescent="0.2">
      <c r="A43" s="1">
        <v>2</v>
      </c>
      <c r="B43" s="1">
        <v>2.1</v>
      </c>
      <c r="C43" s="1">
        <v>1</v>
      </c>
      <c r="D43" s="1" t="s">
        <v>157</v>
      </c>
      <c r="E43" s="4">
        <v>45373</v>
      </c>
      <c r="F43" s="3">
        <v>0.26319444444444445</v>
      </c>
      <c r="G43" s="1">
        <v>1.0109999999999999</v>
      </c>
      <c r="K43" s="1" t="s">
        <v>251</v>
      </c>
      <c r="L43" s="3">
        <v>0.22378472222222223</v>
      </c>
      <c r="M43" s="3">
        <f>F43 - L43</f>
        <v>3.9409722222222221E-2</v>
      </c>
      <c r="N43" s="3">
        <v>3.951388888888889E-2</v>
      </c>
      <c r="O43" s="3"/>
    </row>
    <row r="44" spans="1:16" x14ac:dyDescent="0.2">
      <c r="A44" s="1">
        <v>2</v>
      </c>
      <c r="B44" s="1">
        <v>2.1</v>
      </c>
      <c r="C44" s="1">
        <v>1</v>
      </c>
      <c r="D44" s="1" t="s">
        <v>188</v>
      </c>
      <c r="E44" s="4">
        <v>45373</v>
      </c>
      <c r="F44" s="3">
        <v>0.77481481481481485</v>
      </c>
      <c r="G44" s="1">
        <v>0.39</v>
      </c>
      <c r="K44" s="1" t="s">
        <v>252</v>
      </c>
      <c r="L44" s="3">
        <v>0.75416666666666665</v>
      </c>
      <c r="M44" s="3">
        <f>F44 - L44</f>
        <v>2.0648148148148193E-2</v>
      </c>
      <c r="N44" s="3">
        <v>2.0312500000000001E-2</v>
      </c>
      <c r="O44" s="3"/>
    </row>
    <row r="45" spans="1:16" x14ac:dyDescent="0.2">
      <c r="A45" s="1">
        <v>2</v>
      </c>
      <c r="B45" s="1">
        <v>2.1</v>
      </c>
      <c r="C45" s="1">
        <v>1</v>
      </c>
      <c r="D45" s="15" t="s">
        <v>250</v>
      </c>
      <c r="E45" s="4">
        <v>45374</v>
      </c>
      <c r="F45" s="3">
        <v>0.2701041666666667</v>
      </c>
      <c r="G45" s="1">
        <v>2.67</v>
      </c>
      <c r="K45" s="1" t="s">
        <v>253</v>
      </c>
      <c r="L45" s="3">
        <v>0.2399537037037037</v>
      </c>
      <c r="M45" s="3">
        <f>F45 - L45</f>
        <v>3.0150462962963004E-2</v>
      </c>
      <c r="N45" s="3">
        <v>3.0289351851851852E-2</v>
      </c>
      <c r="O45" s="3"/>
    </row>
    <row r="46" spans="1:16" x14ac:dyDescent="0.2">
      <c r="A46" s="1">
        <v>2</v>
      </c>
      <c r="B46" s="1">
        <v>2.1</v>
      </c>
      <c r="C46" s="1">
        <v>1</v>
      </c>
      <c r="D46" s="1" t="s">
        <v>214</v>
      </c>
      <c r="E46" s="4">
        <v>45374</v>
      </c>
      <c r="F46" s="1" t="s">
        <v>21</v>
      </c>
      <c r="G46" s="1" t="s">
        <v>21</v>
      </c>
      <c r="K46" s="1" t="s">
        <v>111</v>
      </c>
      <c r="L46" s="3">
        <v>0.75451388888888893</v>
      </c>
      <c r="M46" s="1" t="s">
        <v>21</v>
      </c>
      <c r="N46" s="1" t="s">
        <v>21</v>
      </c>
      <c r="P46" s="1" t="s">
        <v>167</v>
      </c>
    </row>
    <row r="47" spans="1:16" x14ac:dyDescent="0.2">
      <c r="A47" s="1">
        <v>2</v>
      </c>
      <c r="B47" s="1">
        <v>2.6</v>
      </c>
      <c r="C47" s="1">
        <v>1</v>
      </c>
      <c r="D47" s="1" t="s">
        <v>232</v>
      </c>
      <c r="E47" s="4">
        <v>45375</v>
      </c>
      <c r="F47" s="14">
        <v>0.25738425925925923</v>
      </c>
      <c r="G47" s="7">
        <v>0.1409</v>
      </c>
      <c r="H47" s="7" t="s">
        <v>368</v>
      </c>
      <c r="I47" s="7"/>
      <c r="J47" s="7"/>
      <c r="K47" s="1" t="s">
        <v>254</v>
      </c>
      <c r="L47" s="3">
        <v>0.23355324074074074</v>
      </c>
      <c r="M47" s="3">
        <f>F47 - L47</f>
        <v>2.3831018518518488E-2</v>
      </c>
      <c r="N47" s="3">
        <v>2.3923611111111111E-2</v>
      </c>
      <c r="O47" s="3"/>
    </row>
    <row r="48" spans="1:16" x14ac:dyDescent="0.2">
      <c r="A48" s="1">
        <v>2</v>
      </c>
      <c r="B48" s="1">
        <v>2.6</v>
      </c>
      <c r="C48" s="1">
        <v>2</v>
      </c>
      <c r="D48" s="1" t="s">
        <v>232</v>
      </c>
      <c r="E48" s="4">
        <v>45375</v>
      </c>
      <c r="F48" s="14">
        <v>0.26746527777777779</v>
      </c>
      <c r="G48" s="7">
        <v>0.23799999999999999</v>
      </c>
      <c r="H48" s="7" t="s">
        <v>368</v>
      </c>
      <c r="I48" s="7"/>
      <c r="J48" s="7"/>
      <c r="K48" s="1" t="s">
        <v>254</v>
      </c>
      <c r="L48" s="3">
        <v>0.23355324074074074</v>
      </c>
      <c r="M48" s="3">
        <f>F48 - L48</f>
        <v>3.3912037037037046E-2</v>
      </c>
      <c r="N48" s="3">
        <v>3.4004629629629628E-2</v>
      </c>
      <c r="O48" s="3"/>
    </row>
    <row r="49" spans="1:19" x14ac:dyDescent="0.2">
      <c r="A49" s="1">
        <v>2</v>
      </c>
      <c r="B49" s="1">
        <v>2.6</v>
      </c>
      <c r="C49" s="1">
        <v>1</v>
      </c>
      <c r="D49" s="1" t="s">
        <v>234</v>
      </c>
      <c r="E49" s="4">
        <v>45375</v>
      </c>
      <c r="F49" s="14">
        <v>0.77380787037037035</v>
      </c>
      <c r="G49" s="1">
        <v>0.52900000000000003</v>
      </c>
      <c r="K49" s="1" t="s">
        <v>118</v>
      </c>
      <c r="L49" s="3">
        <v>0.74961805555555561</v>
      </c>
      <c r="M49" s="3">
        <f>F49 - L49</f>
        <v>2.4189814814814747E-2</v>
      </c>
      <c r="N49" s="3">
        <v>2.4328703703703703E-2</v>
      </c>
      <c r="O49" s="3"/>
    </row>
    <row r="50" spans="1:19" s="7" customFormat="1" x14ac:dyDescent="0.2">
      <c r="A50" s="1">
        <v>2</v>
      </c>
      <c r="B50" s="1">
        <v>2.6</v>
      </c>
      <c r="C50" s="1">
        <v>1</v>
      </c>
      <c r="D50" s="1" t="s">
        <v>218</v>
      </c>
      <c r="E50" s="4">
        <v>45376</v>
      </c>
      <c r="F50" s="14" t="s">
        <v>21</v>
      </c>
      <c r="G50" s="1" t="s">
        <v>21</v>
      </c>
      <c r="H50" s="1"/>
      <c r="I50" s="1"/>
      <c r="J50" s="1"/>
      <c r="K50" s="1" t="s">
        <v>255</v>
      </c>
      <c r="L50" s="3">
        <v>0.23734953703703704</v>
      </c>
      <c r="M50" s="3" t="s">
        <v>21</v>
      </c>
      <c r="N50" s="1" t="s">
        <v>21</v>
      </c>
      <c r="O50" s="1"/>
      <c r="P50" s="1" t="s">
        <v>236</v>
      </c>
      <c r="Q50" s="1"/>
      <c r="R50" s="1"/>
      <c r="S50" s="1"/>
    </row>
    <row r="51" spans="1:19" x14ac:dyDescent="0.2">
      <c r="A51" s="1">
        <v>2</v>
      </c>
      <c r="B51" s="1">
        <v>2.6</v>
      </c>
      <c r="C51" s="1">
        <v>1</v>
      </c>
      <c r="D51" s="1" t="s">
        <v>259</v>
      </c>
      <c r="E51" s="4">
        <v>45376</v>
      </c>
      <c r="F51" s="14">
        <v>0.77660879629629631</v>
      </c>
      <c r="G51" s="1">
        <v>0.28000000000000003</v>
      </c>
      <c r="K51" s="1" t="s">
        <v>256</v>
      </c>
      <c r="L51" s="3">
        <v>0.75342592592592594</v>
      </c>
      <c r="M51" s="3">
        <f>F51 - L51</f>
        <v>2.3182870370370368E-2</v>
      </c>
      <c r="N51" s="3">
        <v>2.2905092592592591E-2</v>
      </c>
      <c r="O51" s="3"/>
    </row>
    <row r="52" spans="1:19" x14ac:dyDescent="0.2">
      <c r="A52" s="1">
        <v>2</v>
      </c>
      <c r="B52" s="1">
        <v>2.6</v>
      </c>
      <c r="C52" s="1">
        <v>1</v>
      </c>
      <c r="D52" s="1" t="s">
        <v>221</v>
      </c>
      <c r="E52" s="4">
        <v>45377</v>
      </c>
      <c r="F52" s="14">
        <v>0.25671296296296298</v>
      </c>
      <c r="G52" s="7">
        <v>0.20200000000000001</v>
      </c>
      <c r="I52" s="7"/>
      <c r="J52" s="7"/>
      <c r="K52" s="1" t="s">
        <v>119</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260</v>
      </c>
    </row>
    <row r="54" spans="1:19" x14ac:dyDescent="0.2">
      <c r="A54" s="1">
        <v>2</v>
      </c>
      <c r="B54" s="1">
        <v>2.6</v>
      </c>
      <c r="C54" s="1">
        <v>1</v>
      </c>
      <c r="D54" s="1" t="s">
        <v>224</v>
      </c>
      <c r="E54" s="4">
        <v>45378</v>
      </c>
      <c r="F54" s="14">
        <v>0.26596064814814813</v>
      </c>
      <c r="G54" s="7">
        <v>2.2799999999999998</v>
      </c>
      <c r="H54" s="7" t="s">
        <v>369</v>
      </c>
      <c r="I54" s="7"/>
      <c r="J54" s="7"/>
      <c r="K54" s="1" t="s">
        <v>404</v>
      </c>
      <c r="L54" s="3">
        <v>0.23856481481481481</v>
      </c>
      <c r="M54" s="3">
        <f>F54 - L54</f>
        <v>2.7395833333333314E-2</v>
      </c>
      <c r="N54" s="3">
        <v>2.75E-2</v>
      </c>
      <c r="O54" s="3"/>
      <c r="P54" s="1" t="s">
        <v>369</v>
      </c>
    </row>
    <row r="55" spans="1:19" x14ac:dyDescent="0.2">
      <c r="A55" s="1">
        <v>2</v>
      </c>
      <c r="B55" s="1">
        <v>2.6</v>
      </c>
      <c r="C55" s="1" t="s">
        <v>21</v>
      </c>
      <c r="D55" s="1" t="s">
        <v>239</v>
      </c>
      <c r="E55" s="4">
        <v>45379</v>
      </c>
      <c r="F55" s="14" t="s">
        <v>21</v>
      </c>
      <c r="G55" s="1" t="s">
        <v>21</v>
      </c>
      <c r="K55" s="1" t="s">
        <v>281</v>
      </c>
      <c r="L55" s="3">
        <v>0.76531249999999995</v>
      </c>
      <c r="M55" s="3" t="s">
        <v>21</v>
      </c>
      <c r="N55" s="3" t="s">
        <v>21</v>
      </c>
      <c r="O55" s="3"/>
      <c r="P55" s="1" t="s">
        <v>167</v>
      </c>
    </row>
    <row r="56" spans="1:19" s="7" customFormat="1" x14ac:dyDescent="0.2">
      <c r="A56" s="1">
        <v>2</v>
      </c>
      <c r="B56" s="1">
        <v>2.6</v>
      </c>
      <c r="C56" s="1">
        <v>1</v>
      </c>
      <c r="D56" s="1" t="s">
        <v>238</v>
      </c>
      <c r="E56" s="4">
        <v>45379</v>
      </c>
      <c r="F56" s="3">
        <v>0.26277777777777778</v>
      </c>
      <c r="G56" s="7">
        <v>1.2869999999999999</v>
      </c>
      <c r="H56" s="1" t="s">
        <v>424</v>
      </c>
      <c r="K56" s="1" t="s">
        <v>282</v>
      </c>
      <c r="L56" s="3">
        <v>0.23756944444444444</v>
      </c>
      <c r="M56" s="3">
        <f>F56 - L56</f>
        <v>2.5208333333333333E-2</v>
      </c>
      <c r="N56" s="3" t="s">
        <v>21</v>
      </c>
      <c r="O56" s="3"/>
      <c r="S56" s="13"/>
    </row>
    <row r="57" spans="1:19" x14ac:dyDescent="0.2">
      <c r="A57" s="1">
        <v>2</v>
      </c>
      <c r="B57" s="1">
        <v>2.6</v>
      </c>
      <c r="C57" s="1">
        <v>1</v>
      </c>
      <c r="D57" s="1" t="s">
        <v>241</v>
      </c>
      <c r="E57" s="4">
        <v>45380</v>
      </c>
      <c r="F57" s="3">
        <v>0.26237268518518519</v>
      </c>
      <c r="G57" s="7">
        <v>0.83099999999999996</v>
      </c>
      <c r="H57" s="1" t="s">
        <v>371</v>
      </c>
      <c r="I57" s="7"/>
      <c r="J57" s="7"/>
      <c r="K57" s="1" t="s">
        <v>293</v>
      </c>
      <c r="L57" s="3">
        <v>0.2282986111111111</v>
      </c>
      <c r="M57" s="3">
        <f>F57 - L57</f>
        <v>3.407407407407409E-2</v>
      </c>
      <c r="N57" s="3">
        <v>3.4189814814814812E-2</v>
      </c>
      <c r="O57" s="3"/>
      <c r="S57" s="2"/>
    </row>
    <row r="58" spans="1:19" x14ac:dyDescent="0.2">
      <c r="A58" s="1">
        <v>2</v>
      </c>
      <c r="B58" s="1">
        <v>2.6</v>
      </c>
      <c r="C58" s="1" t="s">
        <v>21</v>
      </c>
      <c r="D58" s="1" t="s">
        <v>243</v>
      </c>
      <c r="E58" s="4">
        <v>45380</v>
      </c>
      <c r="F58" s="3" t="s">
        <v>21</v>
      </c>
      <c r="G58" s="1" t="s">
        <v>21</v>
      </c>
      <c r="K58" s="1" t="s">
        <v>296</v>
      </c>
      <c r="L58" s="3">
        <v>0.77248842592592593</v>
      </c>
      <c r="M58" s="3" t="s">
        <v>21</v>
      </c>
      <c r="N58" s="3" t="s">
        <v>21</v>
      </c>
      <c r="O58" s="3"/>
      <c r="P58" s="1" t="s">
        <v>167</v>
      </c>
      <c r="S58" s="2"/>
    </row>
    <row r="59" spans="1:19" x14ac:dyDescent="0.2">
      <c r="A59" s="1">
        <v>2</v>
      </c>
      <c r="B59" s="1">
        <v>2.6</v>
      </c>
      <c r="C59" s="1">
        <v>1</v>
      </c>
      <c r="D59" s="1" t="s">
        <v>246</v>
      </c>
      <c r="E59" s="4">
        <v>45381</v>
      </c>
      <c r="F59" s="3" t="s">
        <v>21</v>
      </c>
      <c r="G59" s="1" t="s">
        <v>21</v>
      </c>
      <c r="K59" s="1" t="s">
        <v>373</v>
      </c>
      <c r="L59" s="3">
        <v>0.75232638888888892</v>
      </c>
      <c r="M59" s="3" t="s">
        <v>21</v>
      </c>
      <c r="N59" s="3" t="s">
        <v>21</v>
      </c>
      <c r="O59" s="3"/>
      <c r="P59" s="1" t="s">
        <v>359</v>
      </c>
      <c r="S59" s="2"/>
    </row>
    <row r="60" spans="1:19" s="7" customFormat="1" x14ac:dyDescent="0.2">
      <c r="A60" s="1">
        <v>2</v>
      </c>
      <c r="B60" s="1">
        <v>2.6</v>
      </c>
      <c r="C60" s="1">
        <v>1</v>
      </c>
      <c r="D60" s="1" t="s">
        <v>306</v>
      </c>
      <c r="E60" s="4">
        <v>45381</v>
      </c>
      <c r="F60" s="3">
        <v>0.26086805555555553</v>
      </c>
      <c r="G60" s="7">
        <v>3.05</v>
      </c>
      <c r="H60" s="1" t="s">
        <v>425</v>
      </c>
      <c r="I60" s="7">
        <f xml:space="preserve"> (G60 *(1.004*10^-6)) / (1.081*10^-5)</f>
        <v>0.28327474560592047</v>
      </c>
      <c r="J60" s="7" t="s">
        <v>627</v>
      </c>
      <c r="K60" s="1" t="s">
        <v>307</v>
      </c>
      <c r="L60" s="3">
        <v>0.2303125</v>
      </c>
      <c r="M60" s="3">
        <f>F60 - L60</f>
        <v>3.055555555555553E-2</v>
      </c>
      <c r="N60" s="3" t="s">
        <v>21</v>
      </c>
      <c r="O60" s="3" t="s">
        <v>310</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372</v>
      </c>
      <c r="S61" s="2"/>
    </row>
    <row r="62" spans="1:19" x14ac:dyDescent="0.2">
      <c r="A62" s="1">
        <v>2</v>
      </c>
      <c r="B62" s="1">
        <v>2.6</v>
      </c>
      <c r="C62" s="1">
        <v>1</v>
      </c>
      <c r="D62" s="1" t="s">
        <v>288</v>
      </c>
      <c r="E62" s="4">
        <v>45382</v>
      </c>
      <c r="F62" s="3">
        <v>0.77803240740740742</v>
      </c>
      <c r="G62" s="7">
        <v>0.71299999999999997</v>
      </c>
      <c r="H62" s="1" t="s">
        <v>442</v>
      </c>
      <c r="I62" s="7">
        <f xml:space="preserve"> (G62 *(1.004*10^-6)) / (1.081*10^-5)</f>
        <v>6.6221276595744685E-2</v>
      </c>
      <c r="J62" s="7" t="s">
        <v>627</v>
      </c>
      <c r="K62" s="1" t="s">
        <v>311</v>
      </c>
      <c r="L62" s="3">
        <v>0.75362268518518516</v>
      </c>
      <c r="M62" s="3">
        <f>F62 - L62</f>
        <v>2.4409722222222263E-2</v>
      </c>
      <c r="N62" s="3">
        <v>2.4895833333333332E-2</v>
      </c>
      <c r="O62" s="3" t="s">
        <v>309</v>
      </c>
      <c r="S62" s="2"/>
    </row>
    <row r="63" spans="1:19" x14ac:dyDescent="0.2">
      <c r="A63" s="1">
        <v>2</v>
      </c>
      <c r="B63" s="1">
        <v>2.6</v>
      </c>
      <c r="C63" s="1">
        <v>1</v>
      </c>
      <c r="D63" s="1" t="s">
        <v>272</v>
      </c>
      <c r="E63" s="4">
        <v>45383</v>
      </c>
      <c r="F63" s="3">
        <v>0.27090277777777777</v>
      </c>
      <c r="G63" s="7">
        <v>22.2</v>
      </c>
      <c r="H63" s="1" t="s">
        <v>376</v>
      </c>
      <c r="I63" s="7">
        <f xml:space="preserve"> (G63 *(1.004*10^-6)) / (1.081*10^-5)</f>
        <v>2.0618686401480111</v>
      </c>
      <c r="J63" s="7" t="s">
        <v>627</v>
      </c>
      <c r="K63" s="1" t="s">
        <v>312</v>
      </c>
      <c r="L63" s="3">
        <v>0.22976851851851851</v>
      </c>
      <c r="M63" s="3">
        <f>F63 - L63</f>
        <v>4.1134259259259259E-2</v>
      </c>
      <c r="N63" s="3">
        <v>4.1284722222222223E-2</v>
      </c>
      <c r="O63" s="3" t="s">
        <v>309</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331</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377</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381</v>
      </c>
    </row>
    <row r="67" spans="1:16" x14ac:dyDescent="0.2">
      <c r="A67" s="1">
        <v>2</v>
      </c>
      <c r="B67" s="1">
        <v>2.6</v>
      </c>
      <c r="C67" s="1">
        <v>1</v>
      </c>
      <c r="D67" t="s">
        <v>283</v>
      </c>
      <c r="E67" s="4">
        <v>45385</v>
      </c>
      <c r="F67" s="3">
        <v>0.78233796296296299</v>
      </c>
      <c r="G67" s="1" t="s">
        <v>21</v>
      </c>
      <c r="H67" s="1" t="s">
        <v>357</v>
      </c>
      <c r="I67" s="21">
        <f xml:space="preserve"> (0.1331*(1.004*10^-6)) / (1.081*10^-5)</f>
        <v>1.2361924144310825E-2</v>
      </c>
      <c r="J67" s="1" t="s">
        <v>441</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377</v>
      </c>
    </row>
    <row r="69" spans="1:16" x14ac:dyDescent="0.2">
      <c r="A69" s="1">
        <v>2</v>
      </c>
      <c r="B69" s="1">
        <v>2.6</v>
      </c>
      <c r="C69" s="1" t="s">
        <v>21</v>
      </c>
      <c r="D69" s="1" t="s">
        <v>21</v>
      </c>
      <c r="E69" s="4">
        <v>45386</v>
      </c>
      <c r="F69" s="3" t="s">
        <v>21</v>
      </c>
      <c r="G69" s="1" t="s">
        <v>21</v>
      </c>
      <c r="K69" s="1" t="s">
        <v>21</v>
      </c>
      <c r="L69" s="1" t="s">
        <v>21</v>
      </c>
      <c r="M69" s="1" t="s">
        <v>21</v>
      </c>
      <c r="N69" s="1" t="s">
        <v>21</v>
      </c>
      <c r="P69" s="1" t="s">
        <v>377</v>
      </c>
    </row>
    <row r="70" spans="1:16" x14ac:dyDescent="0.2">
      <c r="A70" s="1">
        <v>2</v>
      </c>
      <c r="B70" s="1">
        <v>2.6</v>
      </c>
      <c r="C70" s="1">
        <v>1</v>
      </c>
      <c r="D70" s="1" t="s">
        <v>171</v>
      </c>
      <c r="E70" s="4">
        <v>45386</v>
      </c>
      <c r="F70" s="3">
        <v>0.78053240740740737</v>
      </c>
      <c r="G70" s="7">
        <v>0.25800000000000001</v>
      </c>
      <c r="H70" s="7" t="s">
        <v>374</v>
      </c>
      <c r="I70" s="7">
        <f xml:space="preserve"> (G70 *(1.004*10^-6)) / (1.081*10^-5)</f>
        <v>2.3962257169287699E-2</v>
      </c>
      <c r="J70" s="7" t="s">
        <v>627</v>
      </c>
      <c r="K70" s="1" t="s">
        <v>287</v>
      </c>
      <c r="L70" s="3">
        <v>0.75498842592592597</v>
      </c>
      <c r="M70" s="3">
        <f>F70 - L70</f>
        <v>2.5543981481481404E-2</v>
      </c>
      <c r="N70" s="3">
        <v>2.5694444444444443E-2</v>
      </c>
      <c r="O70" s="3" t="s">
        <v>309</v>
      </c>
    </row>
    <row r="71" spans="1:16" x14ac:dyDescent="0.2">
      <c r="A71" s="1">
        <v>2</v>
      </c>
      <c r="B71" s="1">
        <v>2.6</v>
      </c>
      <c r="C71" s="1" t="s">
        <v>21</v>
      </c>
      <c r="D71" s="1" t="s">
        <v>21</v>
      </c>
      <c r="E71" s="4">
        <v>45387</v>
      </c>
      <c r="F71" s="3" t="s">
        <v>21</v>
      </c>
      <c r="G71" s="1" t="s">
        <v>21</v>
      </c>
      <c r="K71" s="1" t="s">
        <v>21</v>
      </c>
      <c r="L71" s="1" t="s">
        <v>21</v>
      </c>
      <c r="M71" s="1" t="s">
        <v>21</v>
      </c>
      <c r="N71" s="1" t="s">
        <v>21</v>
      </c>
      <c r="P71" s="1" t="s">
        <v>378</v>
      </c>
    </row>
    <row r="72" spans="1:16" x14ac:dyDescent="0.2">
      <c r="A72" s="1">
        <v>2</v>
      </c>
      <c r="B72" s="1">
        <v>2.6</v>
      </c>
      <c r="C72" s="1">
        <v>1</v>
      </c>
      <c r="D72" s="1" t="s">
        <v>355</v>
      </c>
      <c r="E72" s="4">
        <v>45391</v>
      </c>
      <c r="F72" s="3">
        <v>0.2723726851851852</v>
      </c>
      <c r="G72" s="1">
        <v>31.1</v>
      </c>
      <c r="H72" s="7" t="s">
        <v>374</v>
      </c>
      <c r="I72" s="7">
        <f xml:space="preserve"> (G72 *(1.004*10^-6)) / (1.081*10^-5)</f>
        <v>2.8884736355226646</v>
      </c>
      <c r="J72" s="7" t="s">
        <v>627</v>
      </c>
      <c r="K72" s="1" t="s">
        <v>457</v>
      </c>
      <c r="L72" s="3">
        <v>0.23653935185185185</v>
      </c>
      <c r="M72" s="3">
        <f t="shared" ref="M72:M80" si="1">F72 - L72</f>
        <v>3.5833333333333356E-2</v>
      </c>
      <c r="N72" s="3">
        <v>3.5995370370370372E-2</v>
      </c>
      <c r="O72" s="3" t="s">
        <v>309</v>
      </c>
    </row>
    <row r="73" spans="1:16" x14ac:dyDescent="0.2">
      <c r="A73" s="1">
        <v>2</v>
      </c>
      <c r="B73" s="1">
        <v>2.6</v>
      </c>
      <c r="C73" s="1">
        <v>1</v>
      </c>
      <c r="D73" s="1" t="s">
        <v>382</v>
      </c>
      <c r="E73" s="4">
        <v>45392</v>
      </c>
      <c r="F73" s="3">
        <v>0.25964120370370369</v>
      </c>
      <c r="G73" s="1">
        <v>5.79</v>
      </c>
      <c r="H73" s="7" t="s">
        <v>374</v>
      </c>
      <c r="K73" s="1" t="s">
        <v>484</v>
      </c>
      <c r="L73" s="3">
        <v>0.23417824074074073</v>
      </c>
      <c r="M73" s="3">
        <f t="shared" si="1"/>
        <v>2.5462962962962965E-2</v>
      </c>
      <c r="N73" s="3">
        <v>2.5810185185185186E-2</v>
      </c>
      <c r="O73" s="3" t="s">
        <v>309</v>
      </c>
    </row>
    <row r="74" spans="1:16" x14ac:dyDescent="0.2">
      <c r="A74" s="1">
        <v>2</v>
      </c>
      <c r="B74" s="1">
        <v>2.6</v>
      </c>
      <c r="C74" s="1">
        <v>1</v>
      </c>
      <c r="D74" s="1" t="s">
        <v>489</v>
      </c>
      <c r="E74" s="4">
        <v>45391</v>
      </c>
      <c r="F74" s="3">
        <v>0.77521990740740732</v>
      </c>
      <c r="G74" s="1">
        <v>0.307</v>
      </c>
      <c r="H74" s="7" t="s">
        <v>374</v>
      </c>
      <c r="K74" s="1" t="s">
        <v>481</v>
      </c>
      <c r="L74" s="3">
        <v>0.76300925925925922</v>
      </c>
      <c r="M74" s="3">
        <f t="shared" si="1"/>
        <v>1.2210648148148096E-2</v>
      </c>
      <c r="O74" s="3" t="s">
        <v>309</v>
      </c>
    </row>
    <row r="75" spans="1:16" x14ac:dyDescent="0.2">
      <c r="A75" s="1">
        <v>2</v>
      </c>
      <c r="B75" s="1">
        <v>2.6</v>
      </c>
      <c r="C75" s="1">
        <v>1</v>
      </c>
      <c r="D75" s="1" t="s">
        <v>295</v>
      </c>
      <c r="E75" s="4">
        <v>45387</v>
      </c>
      <c r="F75" s="3">
        <v>0.7795023148148148</v>
      </c>
      <c r="G75" s="1">
        <v>0.307</v>
      </c>
      <c r="H75" s="7" t="s">
        <v>374</v>
      </c>
      <c r="K75" s="1" t="s">
        <v>478</v>
      </c>
      <c r="L75" s="3">
        <v>0.76537037037037037</v>
      </c>
      <c r="M75" s="3">
        <f t="shared" si="1"/>
        <v>1.4131944444444433E-2</v>
      </c>
      <c r="N75" s="3">
        <v>1.4282407407407407E-2</v>
      </c>
      <c r="O75" s="3" t="s">
        <v>309</v>
      </c>
    </row>
    <row r="76" spans="1:16" x14ac:dyDescent="0.2">
      <c r="A76" s="1">
        <v>2</v>
      </c>
      <c r="B76" s="1">
        <v>2.6</v>
      </c>
      <c r="C76" s="1">
        <v>1</v>
      </c>
      <c r="D76" s="1" t="s">
        <v>317</v>
      </c>
      <c r="E76" s="4">
        <v>45390</v>
      </c>
      <c r="F76" s="3">
        <v>0.26424768518518515</v>
      </c>
      <c r="G76" s="1">
        <v>0.61099999999999999</v>
      </c>
      <c r="H76" s="7" t="s">
        <v>374</v>
      </c>
      <c r="K76" s="1" t="s">
        <v>469</v>
      </c>
      <c r="L76" s="3">
        <v>0.2351273148148148</v>
      </c>
      <c r="M76" s="3">
        <f t="shared" si="1"/>
        <v>2.9120370370370352E-2</v>
      </c>
      <c r="N76" s="3">
        <v>2.9328703703703704E-2</v>
      </c>
      <c r="O76" s="3" t="s">
        <v>309</v>
      </c>
    </row>
    <row r="77" spans="1:16" x14ac:dyDescent="0.2">
      <c r="A77" s="1">
        <v>2</v>
      </c>
      <c r="B77" s="1">
        <v>2.6</v>
      </c>
      <c r="C77" s="1">
        <v>1</v>
      </c>
      <c r="D77" s="1" t="s">
        <v>459</v>
      </c>
      <c r="E77" s="4">
        <v>45394</v>
      </c>
      <c r="F77" s="3">
        <v>0.76479166666666665</v>
      </c>
      <c r="G77" s="1">
        <v>7.26</v>
      </c>
      <c r="H77" s="7" t="s">
        <v>374</v>
      </c>
      <c r="K77" s="1" t="s">
        <v>500</v>
      </c>
      <c r="L77" s="3">
        <v>0.76234953703703701</v>
      </c>
      <c r="M77" s="3">
        <f t="shared" si="1"/>
        <v>2.4421296296296413E-3</v>
      </c>
      <c r="N77" s="3">
        <v>2.6967592592592594E-3</v>
      </c>
      <c r="O77" s="3" t="s">
        <v>309</v>
      </c>
    </row>
    <row r="78" spans="1:16" x14ac:dyDescent="0.2">
      <c r="A78" s="1">
        <v>2</v>
      </c>
      <c r="B78" s="1">
        <v>2.6</v>
      </c>
      <c r="C78" s="1">
        <v>1</v>
      </c>
      <c r="D78" s="1" t="s">
        <v>468</v>
      </c>
      <c r="E78" s="4">
        <v>45393</v>
      </c>
      <c r="F78" s="3">
        <v>0.25677083333333334</v>
      </c>
      <c r="G78" s="1">
        <v>2.78</v>
      </c>
      <c r="H78" s="7" t="s">
        <v>374</v>
      </c>
      <c r="K78" s="1" t="s">
        <v>501</v>
      </c>
      <c r="L78" s="3">
        <v>0.23177083333333334</v>
      </c>
      <c r="M78" s="3">
        <f t="shared" si="1"/>
        <v>2.4999999999999994E-2</v>
      </c>
      <c r="O78" s="3" t="s">
        <v>309</v>
      </c>
    </row>
    <row r="79" spans="1:16" x14ac:dyDescent="0.2">
      <c r="A79" s="1">
        <v>2</v>
      </c>
      <c r="B79" s="1">
        <v>2.6</v>
      </c>
      <c r="C79" s="1">
        <v>1</v>
      </c>
      <c r="D79" s="1" t="s">
        <v>467</v>
      </c>
      <c r="E79" s="4">
        <v>45393</v>
      </c>
      <c r="F79" s="3">
        <v>0.76993055555555556</v>
      </c>
      <c r="G79" s="1">
        <v>5.25</v>
      </c>
      <c r="H79" s="7" t="s">
        <v>374</v>
      </c>
      <c r="K79" s="1" t="s">
        <v>502</v>
      </c>
      <c r="L79" s="3">
        <v>0.75616898148148148</v>
      </c>
      <c r="M79" s="3">
        <f t="shared" si="1"/>
        <v>1.3761574074074079E-2</v>
      </c>
      <c r="O79" s="3" t="s">
        <v>309</v>
      </c>
    </row>
    <row r="80" spans="1:16" x14ac:dyDescent="0.2">
      <c r="A80" s="1">
        <v>2</v>
      </c>
      <c r="B80" s="1">
        <v>2.6</v>
      </c>
      <c r="C80" s="1">
        <v>1</v>
      </c>
      <c r="D80" s="1" t="s">
        <v>480</v>
      </c>
      <c r="E80" s="4">
        <v>45397</v>
      </c>
      <c r="F80" s="3">
        <v>0.26587962962962963</v>
      </c>
      <c r="G80" s="1">
        <v>21.2</v>
      </c>
      <c r="H80" s="7" t="s">
        <v>374</v>
      </c>
      <c r="K80" s="1" t="s">
        <v>503</v>
      </c>
      <c r="L80" s="3">
        <v>0.2303125</v>
      </c>
      <c r="M80" s="3">
        <f t="shared" si="1"/>
        <v>3.5567129629629629E-2</v>
      </c>
      <c r="N80" s="3">
        <v>3.6412037037037034E-2</v>
      </c>
      <c r="O80" s="3" t="s">
        <v>309</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63</v>
      </c>
      <c r="B1" s="1" t="s">
        <v>1</v>
      </c>
      <c r="C1" s="1" t="s">
        <v>10</v>
      </c>
      <c r="D1" s="1" t="s">
        <v>258</v>
      </c>
      <c r="E1" s="1" t="s">
        <v>257</v>
      </c>
      <c r="F1" s="1" t="s">
        <v>31</v>
      </c>
      <c r="G1" s="1" t="s">
        <v>5</v>
      </c>
      <c r="H1" s="1" t="s">
        <v>3</v>
      </c>
      <c r="I1" s="1" t="s">
        <v>403</v>
      </c>
      <c r="J1" s="1" t="s">
        <v>367</v>
      </c>
      <c r="K1" s="1" t="s">
        <v>429</v>
      </c>
      <c r="L1" s="1" t="s">
        <v>6</v>
      </c>
      <c r="M1" s="1" t="s">
        <v>64</v>
      </c>
      <c r="N1" s="1" t="s">
        <v>328</v>
      </c>
      <c r="O1" s="1" t="s">
        <v>153</v>
      </c>
      <c r="P1" s="1" t="s">
        <v>15</v>
      </c>
      <c r="S1" s="1" t="s">
        <v>92</v>
      </c>
    </row>
    <row r="2" spans="1:19" x14ac:dyDescent="0.2">
      <c r="A2" s="1">
        <v>1</v>
      </c>
      <c r="B2" s="1">
        <v>1.2</v>
      </c>
      <c r="C2" s="1">
        <v>1</v>
      </c>
      <c r="E2" s="1" t="s">
        <v>66</v>
      </c>
      <c r="F2" s="4">
        <v>45351</v>
      </c>
      <c r="G2" s="3">
        <v>0.78778935185185184</v>
      </c>
      <c r="H2" s="1">
        <v>4.9699999999999996E-3</v>
      </c>
      <c r="L2" s="3">
        <v>0.76006944444444446</v>
      </c>
      <c r="M2" s="3">
        <f>G2 - L2</f>
        <v>2.7719907407407374E-2</v>
      </c>
    </row>
    <row r="3" spans="1:19" x14ac:dyDescent="0.2">
      <c r="A3" s="1">
        <v>1</v>
      </c>
      <c r="B3" s="1">
        <v>1.2</v>
      </c>
      <c r="C3" s="1">
        <v>1</v>
      </c>
      <c r="E3" s="1" t="s">
        <v>65</v>
      </c>
      <c r="F3" s="4">
        <v>45352</v>
      </c>
      <c r="G3" s="3">
        <v>0.24906249999999999</v>
      </c>
      <c r="H3" s="1">
        <v>3.5300000000000002E-3</v>
      </c>
      <c r="L3" s="3">
        <v>0.22700231481481481</v>
      </c>
      <c r="M3" s="3">
        <f>G3 - L3</f>
        <v>2.2060185185185183E-2</v>
      </c>
    </row>
    <row r="4" spans="1:19" x14ac:dyDescent="0.2">
      <c r="A4" s="1">
        <v>1</v>
      </c>
      <c r="B4" s="1">
        <v>1.2</v>
      </c>
      <c r="C4" s="1">
        <v>2</v>
      </c>
      <c r="E4" s="1" t="s">
        <v>65</v>
      </c>
      <c r="F4" s="4">
        <v>45352</v>
      </c>
      <c r="G4" s="3">
        <v>0.27140046296296294</v>
      </c>
      <c r="H4" s="1">
        <v>1.7849999999999999</v>
      </c>
      <c r="L4" s="3">
        <v>0.22700231481481481</v>
      </c>
      <c r="M4" s="3">
        <f>G4 - L4</f>
        <v>4.4398148148148131E-2</v>
      </c>
    </row>
    <row r="5" spans="1:19" x14ac:dyDescent="0.2">
      <c r="A5" s="1">
        <v>1</v>
      </c>
      <c r="B5" s="1">
        <v>1.2</v>
      </c>
      <c r="C5" s="1">
        <v>1</v>
      </c>
      <c r="E5" s="1" t="s">
        <v>73</v>
      </c>
      <c r="F5" s="4">
        <v>45352</v>
      </c>
      <c r="G5" s="1" t="s">
        <v>21</v>
      </c>
      <c r="H5" s="1" t="s">
        <v>21</v>
      </c>
      <c r="L5" s="3">
        <v>0.75744212962962953</v>
      </c>
      <c r="M5" s="1" t="s">
        <v>21</v>
      </c>
    </row>
    <row r="6" spans="1:19" x14ac:dyDescent="0.2">
      <c r="A6" s="1">
        <v>1</v>
      </c>
      <c r="B6" s="1">
        <v>1.2</v>
      </c>
      <c r="C6" s="1">
        <v>1</v>
      </c>
      <c r="E6" s="4" t="s">
        <v>72</v>
      </c>
      <c r="F6" s="4">
        <v>45353</v>
      </c>
      <c r="G6" s="3">
        <v>0.25237268518518519</v>
      </c>
      <c r="H6" s="1">
        <v>1.39E-3</v>
      </c>
      <c r="L6" s="3">
        <v>0.22784722222222223</v>
      </c>
      <c r="M6" s="3">
        <f>G6 - L6</f>
        <v>2.4525462962962957E-2</v>
      </c>
    </row>
    <row r="7" spans="1:19" x14ac:dyDescent="0.2">
      <c r="A7" s="1" t="s">
        <v>21</v>
      </c>
      <c r="B7" s="1" t="s">
        <v>21</v>
      </c>
      <c r="C7" s="1" t="s">
        <v>21</v>
      </c>
      <c r="E7" s="1" t="s">
        <v>79</v>
      </c>
      <c r="F7" s="4">
        <v>45353</v>
      </c>
      <c r="G7" s="1" t="s">
        <v>21</v>
      </c>
      <c r="H7" s="1" t="s">
        <v>21</v>
      </c>
      <c r="L7" s="3">
        <v>0.76015046296296296</v>
      </c>
      <c r="M7" s="1" t="s">
        <v>21</v>
      </c>
      <c r="O7" s="1" t="s">
        <v>21</v>
      </c>
      <c r="P7" s="1" t="s">
        <v>78</v>
      </c>
    </row>
    <row r="8" spans="1:19" x14ac:dyDescent="0.2">
      <c r="A8" s="1">
        <v>1</v>
      </c>
      <c r="B8" s="1">
        <v>1.2</v>
      </c>
      <c r="C8" s="1">
        <v>1</v>
      </c>
      <c r="E8" s="1" t="s">
        <v>80</v>
      </c>
      <c r="F8" s="4">
        <v>45354</v>
      </c>
      <c r="G8" s="3">
        <v>0.25850694444444444</v>
      </c>
      <c r="H8" s="1">
        <v>2.0199999999999999E-2</v>
      </c>
      <c r="L8" s="3">
        <v>0.23024305555555555</v>
      </c>
      <c r="M8" s="3">
        <f>G8 - L8</f>
        <v>2.8263888888888894E-2</v>
      </c>
    </row>
    <row r="9" spans="1:19" x14ac:dyDescent="0.2">
      <c r="A9" s="1" t="s">
        <v>21</v>
      </c>
      <c r="B9" s="1" t="s">
        <v>21</v>
      </c>
      <c r="C9" s="1" t="s">
        <v>21</v>
      </c>
      <c r="E9" s="1" t="s">
        <v>84</v>
      </c>
      <c r="F9" s="4">
        <v>45354</v>
      </c>
      <c r="G9" s="1" t="s">
        <v>21</v>
      </c>
      <c r="H9" s="1" t="s">
        <v>21</v>
      </c>
      <c r="L9" s="3">
        <v>0.7471875</v>
      </c>
      <c r="M9" s="1" t="s">
        <v>21</v>
      </c>
      <c r="O9" s="1" t="s">
        <v>21</v>
      </c>
    </row>
    <row r="10" spans="1:19" x14ac:dyDescent="0.2">
      <c r="A10" s="1">
        <v>1</v>
      </c>
      <c r="B10" s="1">
        <v>1.2</v>
      </c>
      <c r="C10" s="1">
        <v>1</v>
      </c>
      <c r="E10" s="1" t="s">
        <v>85</v>
      </c>
      <c r="F10" s="4">
        <v>45355</v>
      </c>
      <c r="G10" s="3">
        <v>0.25762731481481482</v>
      </c>
      <c r="H10" s="1">
        <v>1.562E-2</v>
      </c>
      <c r="L10" s="3">
        <v>0.23173611111111111</v>
      </c>
      <c r="M10" s="3">
        <f>G10 - L10</f>
        <v>2.5891203703703708E-2</v>
      </c>
    </row>
    <row r="11" spans="1:19" x14ac:dyDescent="0.2">
      <c r="A11" s="1">
        <v>1</v>
      </c>
      <c r="B11" s="1">
        <v>1.2</v>
      </c>
      <c r="C11" s="1">
        <v>1</v>
      </c>
      <c r="E11" s="1" t="s">
        <v>89</v>
      </c>
      <c r="F11" s="4">
        <v>45355</v>
      </c>
      <c r="G11" s="3">
        <v>0.78077546296296285</v>
      </c>
      <c r="H11" s="1">
        <v>0.1085</v>
      </c>
      <c r="L11" s="3">
        <v>0.75074074074074071</v>
      </c>
      <c r="M11" s="3">
        <f>G11 - L11</f>
        <v>3.0034722222222143E-2</v>
      </c>
    </row>
    <row r="12" spans="1:19" x14ac:dyDescent="0.2">
      <c r="A12" s="1">
        <v>1</v>
      </c>
      <c r="B12" s="1">
        <v>1.2</v>
      </c>
      <c r="C12" s="1">
        <v>1</v>
      </c>
      <c r="E12" s="1" t="s">
        <v>95</v>
      </c>
      <c r="F12" s="4">
        <v>45356</v>
      </c>
      <c r="G12" s="3">
        <v>0.25917824074074075</v>
      </c>
      <c r="H12" s="1">
        <v>3.61E-2</v>
      </c>
      <c r="L12" s="3">
        <v>0.23202546296296298</v>
      </c>
      <c r="M12" s="3">
        <f>G12 - L12</f>
        <v>2.7152777777777776E-2</v>
      </c>
    </row>
    <row r="13" spans="1:19" x14ac:dyDescent="0.2">
      <c r="A13" s="1" t="s">
        <v>21</v>
      </c>
      <c r="B13" s="1" t="s">
        <v>21</v>
      </c>
      <c r="C13" s="1" t="s">
        <v>21</v>
      </c>
      <c r="E13" s="1" t="s">
        <v>112</v>
      </c>
      <c r="F13" s="4">
        <v>45357</v>
      </c>
      <c r="G13" s="1" t="s">
        <v>21</v>
      </c>
      <c r="H13" s="1" t="s">
        <v>21</v>
      </c>
      <c r="L13" s="3">
        <v>0.74782407407407403</v>
      </c>
      <c r="M13" s="1" t="s">
        <v>21</v>
      </c>
      <c r="O13" s="1" t="s">
        <v>21</v>
      </c>
      <c r="P13" s="1" t="s">
        <v>78</v>
      </c>
    </row>
    <row r="14" spans="1:19" x14ac:dyDescent="0.2">
      <c r="A14" s="1">
        <v>1</v>
      </c>
      <c r="B14" s="1">
        <v>1.2</v>
      </c>
      <c r="C14" s="1">
        <v>1</v>
      </c>
      <c r="D14" s="1" t="s">
        <v>106</v>
      </c>
      <c r="E14" s="1" t="s">
        <v>111</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116</v>
      </c>
      <c r="E15" s="1" t="s">
        <v>118</v>
      </c>
      <c r="F15" s="4">
        <v>45358</v>
      </c>
      <c r="G15" s="3">
        <v>0.78069444444444447</v>
      </c>
      <c r="H15" s="1">
        <v>0.1134</v>
      </c>
      <c r="L15" s="3">
        <v>0.75884259259259268</v>
      </c>
      <c r="M15" s="3">
        <f t="shared" si="0"/>
        <v>2.1851851851851789E-2</v>
      </c>
    </row>
    <row r="16" spans="1:19" x14ac:dyDescent="0.2">
      <c r="A16" s="1">
        <v>1</v>
      </c>
      <c r="B16" s="1">
        <v>1.2</v>
      </c>
      <c r="C16" s="1" t="s">
        <v>113</v>
      </c>
      <c r="D16" s="1" t="s">
        <v>114</v>
      </c>
      <c r="E16" s="1" t="s">
        <v>119</v>
      </c>
      <c r="F16" s="4">
        <v>45359</v>
      </c>
      <c r="G16" s="3">
        <v>0.27071759259259259</v>
      </c>
      <c r="H16" s="1">
        <v>1.899</v>
      </c>
      <c r="L16" s="3">
        <v>0.23064814814814816</v>
      </c>
      <c r="M16" s="3">
        <f t="shared" si="0"/>
        <v>4.0069444444444435E-2</v>
      </c>
      <c r="P16" s="1" t="s">
        <v>120</v>
      </c>
    </row>
    <row r="17" spans="1:16" x14ac:dyDescent="0.2">
      <c r="A17" s="1">
        <v>1</v>
      </c>
      <c r="B17" s="1">
        <v>1.2</v>
      </c>
      <c r="C17" s="1">
        <v>1</v>
      </c>
      <c r="D17" s="1" t="s">
        <v>133</v>
      </c>
      <c r="E17" s="1" t="s">
        <v>169</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130</v>
      </c>
      <c r="E18" s="1" t="s">
        <v>171</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130</v>
      </c>
      <c r="E19" s="1" t="s">
        <v>171</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129</v>
      </c>
      <c r="E20" s="1" t="s">
        <v>155</v>
      </c>
      <c r="F20" s="4">
        <v>45362</v>
      </c>
      <c r="G20" s="3">
        <v>0.78787037037037033</v>
      </c>
      <c r="H20" s="1">
        <v>2.9099999999999998E-3</v>
      </c>
      <c r="L20" s="3">
        <v>0.75906249999999997</v>
      </c>
      <c r="M20" s="3">
        <f t="shared" si="0"/>
        <v>2.8807870370370359E-2</v>
      </c>
    </row>
    <row r="21" spans="1:16" x14ac:dyDescent="0.2">
      <c r="A21" s="1">
        <v>1</v>
      </c>
      <c r="B21" s="1">
        <v>1.2</v>
      </c>
      <c r="C21" s="1">
        <v>1</v>
      </c>
      <c r="D21" s="1" t="s">
        <v>121</v>
      </c>
      <c r="E21" s="1" t="s">
        <v>152</v>
      </c>
      <c r="F21" s="4">
        <v>45363</v>
      </c>
      <c r="G21" s="3">
        <v>0.25710648148148146</v>
      </c>
      <c r="H21" s="1">
        <v>1.6039999999999999E-2</v>
      </c>
      <c r="L21" s="3">
        <v>0.22644675925925925</v>
      </c>
      <c r="M21" s="3">
        <f t="shared" si="0"/>
        <v>3.0659722222222213E-2</v>
      </c>
    </row>
    <row r="22" spans="1:16" x14ac:dyDescent="0.2">
      <c r="A22" s="1">
        <v>1</v>
      </c>
      <c r="B22" s="1">
        <v>1.2</v>
      </c>
      <c r="C22" s="1">
        <v>2</v>
      </c>
      <c r="D22" s="1" t="s">
        <v>121</v>
      </c>
      <c r="E22" s="1" t="s">
        <v>152</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127</v>
      </c>
      <c r="E23" s="1" t="s">
        <v>154</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127</v>
      </c>
      <c r="E24" s="1" t="s">
        <v>154</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138</v>
      </c>
      <c r="E25" s="1" t="s">
        <v>172</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143</v>
      </c>
      <c r="E26" s="1" t="s">
        <v>174</v>
      </c>
      <c r="F26" s="4">
        <v>45364</v>
      </c>
      <c r="G26" s="3">
        <v>0.75667824074074075</v>
      </c>
      <c r="H26" s="1" t="s">
        <v>21</v>
      </c>
      <c r="L26" s="3">
        <v>0.76083333333333336</v>
      </c>
      <c r="M26" s="3" t="s">
        <v>21</v>
      </c>
      <c r="O26" s="1" t="s">
        <v>21</v>
      </c>
      <c r="P26" s="1" t="s">
        <v>175</v>
      </c>
    </row>
    <row r="27" spans="1:16" x14ac:dyDescent="0.2">
      <c r="A27" s="1">
        <v>1</v>
      </c>
      <c r="B27" s="1">
        <v>1.2</v>
      </c>
      <c r="C27" s="1">
        <v>2</v>
      </c>
      <c r="D27" s="1" t="s">
        <v>143</v>
      </c>
      <c r="E27" s="1" t="s">
        <v>174</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142</v>
      </c>
      <c r="E28" s="1" t="s">
        <v>176</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140</v>
      </c>
      <c r="E29" s="1" t="s">
        <v>177</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140</v>
      </c>
      <c r="E30" s="1" t="s">
        <v>177</v>
      </c>
      <c r="F30" s="4">
        <v>45365</v>
      </c>
      <c r="G30" s="3">
        <v>0.79114583333333344</v>
      </c>
      <c r="H30" s="1">
        <v>8.6E-3</v>
      </c>
      <c r="L30" s="3">
        <v>0.75518518518518518</v>
      </c>
      <c r="M30" s="3">
        <f t="shared" si="1"/>
        <v>3.5960648148148255E-2</v>
      </c>
      <c r="O30" s="3">
        <v>3.5648148148148151E-2</v>
      </c>
      <c r="P30" s="1" t="s">
        <v>185</v>
      </c>
    </row>
    <row r="31" spans="1:16" x14ac:dyDescent="0.2">
      <c r="A31" s="1">
        <v>1</v>
      </c>
      <c r="B31" s="1">
        <v>1.2</v>
      </c>
      <c r="C31" s="1">
        <v>1</v>
      </c>
      <c r="D31" s="1" t="s">
        <v>146</v>
      </c>
      <c r="E31" s="1" t="s">
        <v>178</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146</v>
      </c>
      <c r="E32" s="1" t="s">
        <v>178</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147</v>
      </c>
      <c r="E33" s="1" t="s">
        <v>179</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149</v>
      </c>
      <c r="E34" s="1" t="s">
        <v>180</v>
      </c>
      <c r="F34" s="4">
        <v>45367</v>
      </c>
      <c r="G34" s="3">
        <v>0.25092592592592594</v>
      </c>
      <c r="H34" s="7">
        <v>0.159</v>
      </c>
      <c r="I34" s="7" t="s">
        <v>401</v>
      </c>
      <c r="J34" s="7">
        <v>5.0600000000000005E-4</v>
      </c>
      <c r="K34" s="7" t="s">
        <v>433</v>
      </c>
      <c r="L34" s="3">
        <v>0.2401851851851852</v>
      </c>
      <c r="M34" s="3">
        <f t="shared" si="1"/>
        <v>1.0740740740740745E-2</v>
      </c>
      <c r="O34" s="3">
        <v>1.0474537037037037E-2</v>
      </c>
    </row>
    <row r="35" spans="1:22" x14ac:dyDescent="0.2">
      <c r="A35" s="1">
        <v>1</v>
      </c>
      <c r="B35" s="1">
        <v>1.2</v>
      </c>
      <c r="C35" s="1">
        <v>1</v>
      </c>
      <c r="D35" s="1" t="s">
        <v>151</v>
      </c>
      <c r="E35" s="1" t="s">
        <v>181</v>
      </c>
      <c r="F35" s="4">
        <v>45367</v>
      </c>
      <c r="G35" s="3">
        <v>0.78707175925925921</v>
      </c>
      <c r="H35" s="1">
        <v>4.5900000000000003E-3</v>
      </c>
      <c r="L35" s="3">
        <v>0.75130787037037039</v>
      </c>
      <c r="M35" s="3">
        <f t="shared" si="1"/>
        <v>3.5763888888888817E-2</v>
      </c>
      <c r="O35" s="3">
        <v>3.5578703703703703E-2</v>
      </c>
      <c r="P35" s="1" t="s">
        <v>186</v>
      </c>
    </row>
    <row r="36" spans="1:22" x14ac:dyDescent="0.2">
      <c r="A36" s="1">
        <v>1</v>
      </c>
      <c r="B36" s="1">
        <v>1.2</v>
      </c>
      <c r="C36" s="1">
        <v>1</v>
      </c>
      <c r="D36" s="1" t="s">
        <v>149</v>
      </c>
      <c r="E36" s="1" t="s">
        <v>180</v>
      </c>
      <c r="F36" s="4">
        <v>45367</v>
      </c>
      <c r="G36" s="1" t="s">
        <v>21</v>
      </c>
      <c r="H36" s="1" t="s">
        <v>21</v>
      </c>
      <c r="L36" s="3">
        <v>0.2401851851851852</v>
      </c>
      <c r="M36" s="1" t="s">
        <v>21</v>
      </c>
      <c r="O36" s="1" t="s">
        <v>21</v>
      </c>
      <c r="P36" s="1" t="s">
        <v>183</v>
      </c>
    </row>
    <row r="37" spans="1:22" x14ac:dyDescent="0.2">
      <c r="A37" s="1">
        <v>1</v>
      </c>
      <c r="B37" s="1">
        <v>1.2</v>
      </c>
      <c r="C37" s="1">
        <v>3</v>
      </c>
      <c r="D37" s="1" t="s">
        <v>149</v>
      </c>
      <c r="E37" s="1" t="s">
        <v>180</v>
      </c>
      <c r="F37" s="4">
        <v>45367</v>
      </c>
      <c r="G37" s="1" t="s">
        <v>21</v>
      </c>
      <c r="H37" s="1" t="s">
        <v>21</v>
      </c>
      <c r="L37" s="3">
        <v>0.2401851851851852</v>
      </c>
      <c r="M37" s="1" t="s">
        <v>21</v>
      </c>
      <c r="O37" s="1" t="s">
        <v>21</v>
      </c>
      <c r="P37" s="1" t="s">
        <v>184</v>
      </c>
    </row>
    <row r="38" spans="1:22" x14ac:dyDescent="0.2">
      <c r="A38" s="1">
        <v>1</v>
      </c>
      <c r="B38" s="1">
        <v>1.2</v>
      </c>
      <c r="C38" s="1">
        <v>1</v>
      </c>
      <c r="D38" s="1" t="s">
        <v>156</v>
      </c>
      <c r="E38" s="1" t="s">
        <v>182</v>
      </c>
      <c r="F38" s="4">
        <v>45368</v>
      </c>
      <c r="G38" s="3">
        <v>0.25017361111111114</v>
      </c>
      <c r="H38" s="7">
        <v>1.1469999999999999E-2</v>
      </c>
      <c r="I38" s="1" t="s">
        <v>436</v>
      </c>
      <c r="L38" s="3">
        <v>0.23671296296296296</v>
      </c>
      <c r="M38" s="3">
        <f t="shared" ref="M38:M44" si="2">G38 - L38</f>
        <v>1.346064814814818E-2</v>
      </c>
      <c r="O38" s="3"/>
    </row>
    <row r="39" spans="1:22" x14ac:dyDescent="0.2">
      <c r="A39" s="1">
        <v>1</v>
      </c>
      <c r="B39" s="1">
        <v>1.2</v>
      </c>
      <c r="C39" s="1">
        <v>2</v>
      </c>
      <c r="D39" s="1" t="s">
        <v>156</v>
      </c>
      <c r="E39" s="1" t="s">
        <v>182</v>
      </c>
      <c r="F39" s="4">
        <v>45368</v>
      </c>
      <c r="G39" s="3">
        <v>0.26189814814814816</v>
      </c>
      <c r="H39" s="1">
        <v>0.39300000000000002</v>
      </c>
      <c r="L39" s="3">
        <v>0.23671296296296296</v>
      </c>
      <c r="M39" s="3">
        <f t="shared" si="2"/>
        <v>2.5185185185185199E-2</v>
      </c>
    </row>
    <row r="40" spans="1:22" x14ac:dyDescent="0.2">
      <c r="A40" s="1">
        <v>1</v>
      </c>
      <c r="B40" s="1">
        <v>1.2</v>
      </c>
      <c r="C40" s="1">
        <v>1</v>
      </c>
      <c r="D40" s="1" t="s">
        <v>162</v>
      </c>
      <c r="E40" s="1" t="s">
        <v>192</v>
      </c>
      <c r="F40" s="4">
        <v>45368</v>
      </c>
      <c r="G40" s="3">
        <v>0.78758101851851858</v>
      </c>
      <c r="H40" s="1">
        <v>1.14E-3</v>
      </c>
      <c r="L40" s="3">
        <v>0.75736111111111115</v>
      </c>
      <c r="M40" s="3">
        <f t="shared" si="2"/>
        <v>3.0219907407407431E-2</v>
      </c>
      <c r="O40" s="3">
        <v>2.9965277777777778E-2</v>
      </c>
      <c r="P40" s="1" t="s">
        <v>191</v>
      </c>
    </row>
    <row r="41" spans="1:22" x14ac:dyDescent="0.2">
      <c r="A41" s="1">
        <v>1</v>
      </c>
      <c r="B41" s="1">
        <v>1.2</v>
      </c>
      <c r="C41" s="1">
        <v>1</v>
      </c>
      <c r="D41" s="1" t="s">
        <v>161</v>
      </c>
      <c r="E41" s="1" t="s">
        <v>194</v>
      </c>
      <c r="F41" s="4">
        <v>45369</v>
      </c>
      <c r="G41" s="3">
        <v>0.24724537037037037</v>
      </c>
      <c r="H41" s="7">
        <v>6.7000000000000002E-3</v>
      </c>
      <c r="I41" s="1" t="s">
        <v>437</v>
      </c>
      <c r="L41" s="3">
        <v>0.2326388888888889</v>
      </c>
      <c r="M41" s="3">
        <f t="shared" si="2"/>
        <v>1.460648148148147E-2</v>
      </c>
      <c r="O41" s="3">
        <v>1.4201388888888888E-2</v>
      </c>
    </row>
    <row r="42" spans="1:22" x14ac:dyDescent="0.2">
      <c r="A42" s="1">
        <v>1</v>
      </c>
      <c r="B42" s="1">
        <v>1.2</v>
      </c>
      <c r="C42" s="1">
        <v>2</v>
      </c>
      <c r="D42" s="1" t="s">
        <v>161</v>
      </c>
      <c r="E42" s="1" t="s">
        <v>194</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159</v>
      </c>
      <c r="E43" s="1" t="s">
        <v>196</v>
      </c>
      <c r="F43" s="4">
        <v>45369</v>
      </c>
      <c r="G43" s="3">
        <v>0.78405092592592596</v>
      </c>
      <c r="H43" s="7" t="s">
        <v>400</v>
      </c>
      <c r="I43" s="1" t="s">
        <v>207</v>
      </c>
      <c r="J43" s="1">
        <v>9.7699999999999992E-3</v>
      </c>
      <c r="K43" s="7" t="s">
        <v>435</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157</v>
      </c>
      <c r="E44" s="1" t="s">
        <v>197</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188</v>
      </c>
      <c r="E45" s="1" t="s">
        <v>384</v>
      </c>
      <c r="F45" s="4">
        <v>45370</v>
      </c>
      <c r="G45" s="3" t="s">
        <v>21</v>
      </c>
      <c r="H45" s="1" t="s">
        <v>21</v>
      </c>
      <c r="L45" s="3" t="s">
        <v>385</v>
      </c>
      <c r="M45" s="1" t="s">
        <v>21</v>
      </c>
      <c r="O45" s="6" t="s">
        <v>21</v>
      </c>
      <c r="P45" s="1" t="s">
        <v>189</v>
      </c>
      <c r="U45" s="2"/>
      <c r="V45" s="2"/>
    </row>
    <row r="46" spans="1:22" x14ac:dyDescent="0.2">
      <c r="A46" s="1">
        <v>1</v>
      </c>
      <c r="B46" s="1">
        <v>1.2</v>
      </c>
      <c r="C46" s="1">
        <v>1</v>
      </c>
      <c r="D46" s="1" t="s">
        <v>200</v>
      </c>
      <c r="E46" s="1" t="s">
        <v>268</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214</v>
      </c>
      <c r="E47" s="4" t="s">
        <v>21</v>
      </c>
      <c r="F47" s="4">
        <v>45372</v>
      </c>
      <c r="G47" s="6">
        <v>0.77483796296296303</v>
      </c>
      <c r="H47" s="1" t="s">
        <v>21</v>
      </c>
      <c r="I47" s="1" t="s">
        <v>399</v>
      </c>
      <c r="J47" s="1">
        <v>0.54600000000000004</v>
      </c>
      <c r="K47" s="1" t="s">
        <v>440</v>
      </c>
      <c r="L47" s="1" t="s">
        <v>21</v>
      </c>
      <c r="M47" s="1" t="s">
        <v>21</v>
      </c>
      <c r="O47" s="1" t="s">
        <v>21</v>
      </c>
      <c r="P47" s="1" t="s">
        <v>261</v>
      </c>
    </row>
    <row r="48" spans="1:22" x14ac:dyDescent="0.2">
      <c r="A48" s="1">
        <v>1</v>
      </c>
      <c r="B48" s="1">
        <v>1.2</v>
      </c>
      <c r="C48" s="1">
        <v>2</v>
      </c>
      <c r="D48" s="1" t="s">
        <v>214</v>
      </c>
      <c r="E48" s="4" t="s">
        <v>21</v>
      </c>
      <c r="F48" s="4">
        <v>45372</v>
      </c>
      <c r="G48" s="6" t="s">
        <v>21</v>
      </c>
      <c r="H48" s="1" t="s">
        <v>21</v>
      </c>
      <c r="L48" s="1" t="s">
        <v>21</v>
      </c>
      <c r="M48" s="1" t="s">
        <v>21</v>
      </c>
      <c r="O48" s="1" t="s">
        <v>21</v>
      </c>
      <c r="P48" s="1" t="s">
        <v>264</v>
      </c>
    </row>
    <row r="49" spans="1:22" x14ac:dyDescent="0.2">
      <c r="A49" s="1">
        <v>1</v>
      </c>
      <c r="B49" s="1">
        <v>1.2</v>
      </c>
      <c r="C49" s="1">
        <v>1</v>
      </c>
      <c r="D49" s="1" t="s">
        <v>218</v>
      </c>
      <c r="E49" s="1" t="s">
        <v>251</v>
      </c>
      <c r="F49" s="4">
        <v>45373</v>
      </c>
      <c r="G49" s="6">
        <v>0.25677083333333334</v>
      </c>
      <c r="H49" s="1">
        <v>9.2299999999999993E-2</v>
      </c>
      <c r="L49" s="3">
        <v>0.22378472222222223</v>
      </c>
      <c r="M49" s="3">
        <f t="shared" ref="M49:M55" si="3">G49 - L49</f>
        <v>3.2986111111111105E-2</v>
      </c>
      <c r="O49" s="3">
        <v>3.2916666666666664E-2</v>
      </c>
      <c r="P49" s="1" t="s">
        <v>266</v>
      </c>
    </row>
    <row r="50" spans="1:22" x14ac:dyDescent="0.2">
      <c r="A50" s="1">
        <v>1</v>
      </c>
      <c r="B50" s="1">
        <v>1.2</v>
      </c>
      <c r="C50" s="1">
        <v>1</v>
      </c>
      <c r="D50" s="1" t="s">
        <v>219</v>
      </c>
      <c r="E50" s="1" t="s">
        <v>252</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221</v>
      </c>
      <c r="E51" s="1" t="s">
        <v>253</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221</v>
      </c>
      <c r="E52" s="1" t="s">
        <v>253</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224</v>
      </c>
      <c r="E53" s="1" t="s">
        <v>111</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224</v>
      </c>
      <c r="E54" s="1" t="s">
        <v>111</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227</v>
      </c>
      <c r="E55" s="1" t="s">
        <v>254</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227</v>
      </c>
      <c r="E56" s="1" t="s">
        <v>254</v>
      </c>
      <c r="F56" s="4">
        <v>45375</v>
      </c>
      <c r="G56" s="6" t="s">
        <v>21</v>
      </c>
      <c r="H56" s="1" t="s">
        <v>21</v>
      </c>
      <c r="L56" s="3">
        <v>0.23355324074074074</v>
      </c>
      <c r="M56" s="1" t="s">
        <v>21</v>
      </c>
      <c r="O56" s="1" t="s">
        <v>21</v>
      </c>
      <c r="P56" s="1" t="s">
        <v>262</v>
      </c>
    </row>
    <row r="57" spans="1:22" x14ac:dyDescent="0.2">
      <c r="A57" s="1">
        <v>1</v>
      </c>
      <c r="B57" s="1">
        <v>1.2</v>
      </c>
      <c r="C57" s="1">
        <v>1</v>
      </c>
      <c r="D57" s="1" t="s">
        <v>238</v>
      </c>
      <c r="E57" s="1" t="s">
        <v>118</v>
      </c>
      <c r="F57" s="4">
        <v>45375</v>
      </c>
      <c r="G57" s="6">
        <v>0.7900462962962963</v>
      </c>
      <c r="H57" s="1">
        <v>6.8999999999999997E-4</v>
      </c>
      <c r="L57" s="3">
        <v>0.74961805555555561</v>
      </c>
      <c r="M57" s="3">
        <f>G57 - L57</f>
        <v>4.0428240740740695E-2</v>
      </c>
      <c r="O57" s="1" t="s">
        <v>21</v>
      </c>
      <c r="P57" s="1" t="s">
        <v>265</v>
      </c>
    </row>
    <row r="58" spans="1:22" x14ac:dyDescent="0.2">
      <c r="A58" s="1">
        <v>1</v>
      </c>
      <c r="B58" s="1">
        <v>1.2</v>
      </c>
      <c r="C58" s="1">
        <v>1</v>
      </c>
      <c r="D58" s="1" t="s">
        <v>345</v>
      </c>
      <c r="E58" s="1" t="s">
        <v>256</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239</v>
      </c>
      <c r="E59" s="1" t="s">
        <v>255</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263</v>
      </c>
    </row>
    <row r="61" spans="1:22" x14ac:dyDescent="0.2">
      <c r="A61" s="1">
        <v>1</v>
      </c>
      <c r="B61" s="1">
        <v>1.2</v>
      </c>
      <c r="C61" s="1">
        <v>1</v>
      </c>
      <c r="D61" s="1" t="s">
        <v>243</v>
      </c>
      <c r="E61" s="1" t="s">
        <v>119</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243</v>
      </c>
      <c r="E62" s="1" t="s">
        <v>119</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246</v>
      </c>
      <c r="E63" s="1" t="s">
        <v>404</v>
      </c>
      <c r="F63" s="4">
        <v>45378</v>
      </c>
      <c r="G63" s="6">
        <v>0.25310185185185186</v>
      </c>
      <c r="H63" s="7">
        <v>3.6400000000000002E-2</v>
      </c>
      <c r="I63" s="1" t="s">
        <v>438</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288</v>
      </c>
      <c r="E64" s="1" t="s">
        <v>289</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272</v>
      </c>
      <c r="E65" s="7" t="s">
        <v>394</v>
      </c>
      <c r="F65" s="9">
        <v>45379</v>
      </c>
      <c r="G65" s="10">
        <v>0.24640046296296297</v>
      </c>
      <c r="H65" s="7" t="s">
        <v>397</v>
      </c>
      <c r="I65" s="7" t="s">
        <v>396</v>
      </c>
      <c r="J65" s="7">
        <v>1.2869999999999999E-2</v>
      </c>
      <c r="K65" s="7" t="s">
        <v>434</v>
      </c>
      <c r="L65" s="8">
        <v>0.23756944444444444</v>
      </c>
      <c r="M65" s="8">
        <f t="shared" si="4"/>
        <v>8.8310185185185297E-3</v>
      </c>
      <c r="O65" s="6">
        <v>8.5416666666666662E-3</v>
      </c>
    </row>
    <row r="66" spans="1:22" s="7" customFormat="1" x14ac:dyDescent="0.2">
      <c r="A66" s="7">
        <v>1</v>
      </c>
      <c r="B66" s="7">
        <v>1.2</v>
      </c>
      <c r="C66" s="7">
        <v>2</v>
      </c>
      <c r="D66" s="7" t="s">
        <v>272</v>
      </c>
      <c r="E66" s="7" t="s">
        <v>394</v>
      </c>
      <c r="F66" s="9">
        <v>45379</v>
      </c>
      <c r="G66" s="10">
        <v>0.25540509259259259</v>
      </c>
      <c r="H66" s="7" t="s">
        <v>398</v>
      </c>
      <c r="I66" s="7" t="s">
        <v>396</v>
      </c>
      <c r="J66" s="7">
        <v>0.14929999999999999</v>
      </c>
      <c r="K66" s="7" t="s">
        <v>433</v>
      </c>
      <c r="L66" s="8">
        <v>0.23756944444444444</v>
      </c>
      <c r="M66" s="8">
        <f t="shared" si="4"/>
        <v>1.7835648148148142E-2</v>
      </c>
      <c r="O66" s="6">
        <v>1.7824074074074076E-2</v>
      </c>
      <c r="Q66" s="11"/>
      <c r="V66" s="13"/>
    </row>
    <row r="67" spans="1:22" s="7" customFormat="1" x14ac:dyDescent="0.2">
      <c r="A67" s="7">
        <v>1</v>
      </c>
      <c r="B67" s="7">
        <v>1.2</v>
      </c>
      <c r="C67" s="7">
        <v>3</v>
      </c>
      <c r="D67" s="7" t="s">
        <v>272</v>
      </c>
      <c r="E67" s="7" t="s">
        <v>394</v>
      </c>
      <c r="F67" s="9">
        <v>45379</v>
      </c>
      <c r="G67" s="10">
        <v>0.26923611111111112</v>
      </c>
      <c r="H67" s="7">
        <v>3.83</v>
      </c>
      <c r="L67" s="8">
        <v>0.23756944444444444</v>
      </c>
      <c r="M67" s="8">
        <f t="shared" si="4"/>
        <v>3.1666666666666676E-2</v>
      </c>
      <c r="O67" s="6">
        <v>3.1296296296296294E-2</v>
      </c>
      <c r="P67" s="7" t="s">
        <v>396</v>
      </c>
      <c r="Q67" s="11"/>
      <c r="V67" s="13"/>
    </row>
    <row r="68" spans="1:22" x14ac:dyDescent="0.2">
      <c r="A68" s="1">
        <v>1</v>
      </c>
      <c r="B68" s="1">
        <v>1.2</v>
      </c>
      <c r="C68" s="1">
        <v>1</v>
      </c>
      <c r="D68" s="1" t="s">
        <v>283</v>
      </c>
      <c r="E68" s="1" t="s">
        <v>395</v>
      </c>
      <c r="F68" s="4">
        <v>45379</v>
      </c>
      <c r="G68" s="6">
        <v>0.78693287037037041</v>
      </c>
      <c r="H68" s="7" t="s">
        <v>393</v>
      </c>
      <c r="I68" s="7" t="s">
        <v>392</v>
      </c>
      <c r="J68" s="7">
        <v>6.5199999999999998E-3</v>
      </c>
      <c r="K68" s="7" t="s">
        <v>431</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287</v>
      </c>
      <c r="E69" s="1" t="s">
        <v>293</v>
      </c>
      <c r="F69" s="4">
        <v>45380</v>
      </c>
      <c r="G69" s="6">
        <v>0.25002314814814813</v>
      </c>
      <c r="H69" s="1">
        <v>1.0630000000000001E-2</v>
      </c>
      <c r="L69" s="3">
        <v>0.2282986111111111</v>
      </c>
      <c r="M69" s="3">
        <f t="shared" si="4"/>
        <v>2.1724537037037028E-2</v>
      </c>
      <c r="O69" s="6">
        <v>2.1458333333333333E-2</v>
      </c>
      <c r="P69" s="1" t="s">
        <v>391</v>
      </c>
      <c r="Q69" s="5"/>
    </row>
    <row r="70" spans="1:22" x14ac:dyDescent="0.2">
      <c r="A70" s="1">
        <v>1</v>
      </c>
      <c r="B70" s="1">
        <v>1.2</v>
      </c>
      <c r="C70" s="1">
        <v>2</v>
      </c>
      <c r="D70" s="1" t="s">
        <v>287</v>
      </c>
      <c r="E70" s="1" t="s">
        <v>293</v>
      </c>
      <c r="F70" s="4">
        <v>45380</v>
      </c>
      <c r="G70" s="6">
        <v>0.26598379629629632</v>
      </c>
      <c r="H70" s="1">
        <v>1.5820000000000001</v>
      </c>
      <c r="L70" s="3">
        <v>0.2282986111111111</v>
      </c>
      <c r="M70" s="3">
        <f t="shared" si="4"/>
        <v>3.768518518518521E-2</v>
      </c>
      <c r="O70" s="6">
        <v>3.7384259259259256E-2</v>
      </c>
      <c r="P70" s="1" t="s">
        <v>390</v>
      </c>
      <c r="Q70" s="5"/>
    </row>
    <row r="71" spans="1:22" x14ac:dyDescent="0.2">
      <c r="A71" s="1">
        <v>1</v>
      </c>
      <c r="B71" s="1">
        <v>1.2</v>
      </c>
      <c r="C71" s="1">
        <v>1</v>
      </c>
      <c r="D71" s="1" t="s">
        <v>295</v>
      </c>
      <c r="E71" s="1" t="s">
        <v>296</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297</v>
      </c>
      <c r="E72" s="1" t="s">
        <v>307</v>
      </c>
      <c r="F72" s="4">
        <v>45381</v>
      </c>
      <c r="G72" s="6">
        <v>0.26030092592592591</v>
      </c>
      <c r="H72" s="7">
        <v>2.4500000000000002</v>
      </c>
      <c r="I72" s="7" t="s">
        <v>427</v>
      </c>
      <c r="J72" s="20">
        <f>( H72 * (1.004*10^-6)) / (1.081*10^-5)</f>
        <v>0.22754856614246069</v>
      </c>
      <c r="K72" s="20" t="s">
        <v>430</v>
      </c>
      <c r="L72" s="3">
        <v>0.2303125</v>
      </c>
      <c r="M72" s="3">
        <f t="shared" si="4"/>
        <v>2.9988425925925905E-2</v>
      </c>
      <c r="N72" s="7" t="s">
        <v>319</v>
      </c>
      <c r="O72" s="10">
        <v>2.9664351851851851E-2</v>
      </c>
      <c r="Q72" s="11" t="s">
        <v>300</v>
      </c>
      <c r="V72" s="13"/>
    </row>
    <row r="73" spans="1:22" x14ac:dyDescent="0.2">
      <c r="A73" s="1">
        <v>1</v>
      </c>
      <c r="B73" s="1">
        <v>1.2</v>
      </c>
      <c r="C73" s="1">
        <v>1</v>
      </c>
      <c r="D73" s="1" t="s">
        <v>298</v>
      </c>
      <c r="E73" s="1" t="s">
        <v>299</v>
      </c>
      <c r="F73" s="4">
        <v>45381</v>
      </c>
      <c r="G73" s="6">
        <v>0.78467592592592594</v>
      </c>
      <c r="H73" s="7">
        <v>5.0099999999999999E-2</v>
      </c>
      <c r="I73" s="7" t="s">
        <v>426</v>
      </c>
      <c r="J73" s="20">
        <f>( H73 * (1.004*10^-6)) / (1.081*10^-5)</f>
        <v>4.6531359851988904E-3</v>
      </c>
      <c r="K73" s="20" t="s">
        <v>430</v>
      </c>
      <c r="L73" s="3">
        <v>0.75232638888888892</v>
      </c>
      <c r="M73" s="3">
        <f t="shared" si="4"/>
        <v>3.2349537037037024E-2</v>
      </c>
      <c r="N73" s="1" t="s">
        <v>320</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372</v>
      </c>
    </row>
    <row r="75" spans="1:22" s="7" customFormat="1" x14ac:dyDescent="0.2">
      <c r="A75" s="7">
        <v>1</v>
      </c>
      <c r="B75" s="7">
        <v>1.2</v>
      </c>
      <c r="C75" s="7">
        <v>1</v>
      </c>
      <c r="D75" s="7" t="s">
        <v>317</v>
      </c>
      <c r="E75" s="7" t="s">
        <v>311</v>
      </c>
      <c r="F75" s="9">
        <v>45382</v>
      </c>
      <c r="G75" s="10">
        <v>0.79083333333333328</v>
      </c>
      <c r="H75" s="7" t="s">
        <v>324</v>
      </c>
      <c r="I75" s="11" t="s">
        <v>439</v>
      </c>
      <c r="J75" s="21">
        <f>(0.00477* (1.004*10^-6)) / (1.081*10^-5)</f>
        <v>4.4302312673450507E-4</v>
      </c>
      <c r="K75" s="7" t="s">
        <v>432</v>
      </c>
      <c r="L75" s="8">
        <v>0.75362268518518516</v>
      </c>
      <c r="M75" s="8">
        <f>G75 - L75</f>
        <v>3.7210648148148118E-2</v>
      </c>
      <c r="N75" s="7" t="s">
        <v>309</v>
      </c>
      <c r="O75" s="8">
        <v>3.6944444444444446E-2</v>
      </c>
      <c r="T75" s="13"/>
      <c r="U75" s="13"/>
    </row>
    <row r="76" spans="1:22" x14ac:dyDescent="0.2">
      <c r="A76" s="1">
        <v>1</v>
      </c>
      <c r="B76" s="1">
        <v>1.2</v>
      </c>
      <c r="C76" s="1">
        <v>1</v>
      </c>
      <c r="D76" s="1" t="s">
        <v>316</v>
      </c>
      <c r="E76" s="1" t="s">
        <v>312</v>
      </c>
      <c r="F76" s="4">
        <v>45383</v>
      </c>
      <c r="G76" s="6" t="s">
        <v>21</v>
      </c>
      <c r="H76" s="1" t="s">
        <v>21</v>
      </c>
      <c r="L76" s="3">
        <v>0.22976851851851851</v>
      </c>
      <c r="M76" s="3" t="s">
        <v>21</v>
      </c>
      <c r="O76" s="3" t="s">
        <v>21</v>
      </c>
      <c r="P76" s="5" t="s">
        <v>386</v>
      </c>
      <c r="T76" s="2"/>
      <c r="U76" s="2"/>
    </row>
    <row r="77" spans="1:22" s="7" customFormat="1" x14ac:dyDescent="0.2">
      <c r="A77" s="7">
        <v>1</v>
      </c>
      <c r="B77" s="7">
        <v>1.2</v>
      </c>
      <c r="C77" s="7">
        <v>2</v>
      </c>
      <c r="D77" s="7" t="s">
        <v>316</v>
      </c>
      <c r="E77" s="7" t="s">
        <v>312</v>
      </c>
      <c r="F77" s="9">
        <v>45383</v>
      </c>
      <c r="G77" s="10">
        <v>0.26740740740740743</v>
      </c>
      <c r="H77" s="7">
        <v>14</v>
      </c>
      <c r="I77" s="7" t="s">
        <v>428</v>
      </c>
      <c r="J77" s="20">
        <f>( H77 * (1.004*10^-6)) / (1.081*10^-5)</f>
        <v>1.3002775208140611</v>
      </c>
      <c r="K77" s="20" t="s">
        <v>430</v>
      </c>
      <c r="L77" s="8">
        <v>0.22976851851851851</v>
      </c>
      <c r="M77" s="8">
        <f>G77 - L77</f>
        <v>3.7638888888888916E-2</v>
      </c>
      <c r="N77" s="7" t="s">
        <v>309</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387</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389</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387</v>
      </c>
      <c r="Q80" s="11"/>
      <c r="U80" s="13"/>
      <c r="V80" s="13"/>
    </row>
    <row r="81" spans="1:16" x14ac:dyDescent="0.2">
      <c r="A81" s="1">
        <v>1</v>
      </c>
      <c r="B81" s="1">
        <v>1.2</v>
      </c>
      <c r="C81" s="1">
        <v>1</v>
      </c>
      <c r="D81" s="1" t="s">
        <v>355</v>
      </c>
      <c r="E81" s="1" t="s">
        <v>21</v>
      </c>
      <c r="F81" s="4">
        <v>45385</v>
      </c>
      <c r="G81" s="6">
        <v>0.79365740740740742</v>
      </c>
      <c r="H81" s="1" t="s">
        <v>21</v>
      </c>
      <c r="I81" s="1" t="s">
        <v>356</v>
      </c>
      <c r="J81" s="1">
        <v>2.331211840888067E-4</v>
      </c>
      <c r="K81" s="1" t="s">
        <v>431</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387</v>
      </c>
    </row>
    <row r="83" spans="1:16" x14ac:dyDescent="0.2">
      <c r="A83" s="1">
        <v>1</v>
      </c>
      <c r="B83" s="1">
        <v>1.2</v>
      </c>
      <c r="C83" s="1">
        <v>1</v>
      </c>
      <c r="D83" s="1" t="s">
        <v>382</v>
      </c>
      <c r="E83" s="1" t="s">
        <v>287</v>
      </c>
      <c r="F83" s="4">
        <v>45386</v>
      </c>
      <c r="G83" s="6">
        <v>0.79339120370370364</v>
      </c>
      <c r="H83" s="7">
        <v>2.5100000000000001E-3</v>
      </c>
      <c r="I83" s="7" t="s">
        <v>374</v>
      </c>
      <c r="J83" s="20">
        <f>( H83 * (1.004*10^-6)) / (1.081*10^-5)</f>
        <v>2.331211840888067E-4</v>
      </c>
      <c r="K83" s="20" t="s">
        <v>430</v>
      </c>
      <c r="L83" s="3">
        <v>0.75498842592592597</v>
      </c>
      <c r="M83" s="3">
        <f>G83 - L83</f>
        <v>3.8402777777777675E-2</v>
      </c>
      <c r="N83" s="1" t="s">
        <v>309</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388</v>
      </c>
    </row>
    <row r="85" spans="1:16" x14ac:dyDescent="0.2">
      <c r="A85" s="1">
        <v>1</v>
      </c>
      <c r="B85" s="1">
        <v>1.2</v>
      </c>
      <c r="C85" s="1">
        <v>1</v>
      </c>
      <c r="D85" s="1" t="s">
        <v>456</v>
      </c>
      <c r="E85" s="1" t="s">
        <v>457</v>
      </c>
      <c r="F85" s="4">
        <v>45391</v>
      </c>
      <c r="G85" s="6">
        <v>0.25509259259259259</v>
      </c>
      <c r="H85" s="1">
        <v>0.94899999999999995</v>
      </c>
      <c r="I85" s="7" t="s">
        <v>374</v>
      </c>
      <c r="L85" s="3">
        <v>0.23653935185185185</v>
      </c>
      <c r="M85" s="3">
        <f t="shared" ref="M85:M100" si="5">G85 - L85</f>
        <v>1.8553240740740745E-2</v>
      </c>
      <c r="O85" s="3">
        <v>1.8622685185185187E-2</v>
      </c>
    </row>
    <row r="86" spans="1:16" x14ac:dyDescent="0.2">
      <c r="A86" s="1">
        <v>1</v>
      </c>
      <c r="B86" s="1">
        <v>1.2</v>
      </c>
      <c r="C86" s="1">
        <v>1</v>
      </c>
      <c r="D86" s="1" t="s">
        <v>459</v>
      </c>
      <c r="E86" s="6" t="s">
        <v>460</v>
      </c>
      <c r="F86" s="4">
        <v>45390</v>
      </c>
      <c r="G86" s="6">
        <v>0.79108796296296291</v>
      </c>
      <c r="H86" s="1">
        <v>1.06E-3</v>
      </c>
      <c r="I86" s="7" t="s">
        <v>374</v>
      </c>
      <c r="L86" s="3">
        <v>0.76604166666666662</v>
      </c>
      <c r="M86" s="3">
        <f t="shared" si="5"/>
        <v>2.5046296296296289E-2</v>
      </c>
      <c r="O86" s="1" t="s">
        <v>21</v>
      </c>
    </row>
    <row r="87" spans="1:16" x14ac:dyDescent="0.2">
      <c r="A87" s="1">
        <v>1</v>
      </c>
      <c r="B87" s="1">
        <v>1.2</v>
      </c>
      <c r="C87" s="1">
        <v>1</v>
      </c>
      <c r="D87" s="1" t="s">
        <v>465</v>
      </c>
      <c r="E87" s="1" t="s">
        <v>469</v>
      </c>
      <c r="F87" s="4">
        <v>45390</v>
      </c>
      <c r="G87" s="6">
        <v>0.24300925925925926</v>
      </c>
      <c r="H87" s="1">
        <v>5.1599999999999997E-3</v>
      </c>
      <c r="I87" s="7" t="s">
        <v>374</v>
      </c>
      <c r="L87" s="3">
        <v>0.2351273148148148</v>
      </c>
      <c r="M87" s="3">
        <f t="shared" si="5"/>
        <v>7.8819444444444553E-3</v>
      </c>
      <c r="O87" s="3">
        <v>7.9166666666666673E-3</v>
      </c>
    </row>
    <row r="88" spans="1:16" x14ac:dyDescent="0.2">
      <c r="A88" s="1">
        <v>1</v>
      </c>
      <c r="B88" s="1">
        <v>1.2</v>
      </c>
      <c r="C88" s="1">
        <v>2</v>
      </c>
      <c r="D88" s="1" t="s">
        <v>465</v>
      </c>
      <c r="E88" s="1" t="s">
        <v>469</v>
      </c>
      <c r="F88" s="4">
        <v>45390</v>
      </c>
      <c r="G88" s="6">
        <v>0.25400462962962966</v>
      </c>
      <c r="H88" s="1">
        <v>0.94699999999999995</v>
      </c>
      <c r="I88" s="7" t="s">
        <v>374</v>
      </c>
      <c r="L88" s="3">
        <v>0.2351273148148148</v>
      </c>
      <c r="M88" s="3">
        <f t="shared" si="5"/>
        <v>1.8877314814814861E-2</v>
      </c>
      <c r="O88" s="3">
        <v>1.8622685185185187E-2</v>
      </c>
    </row>
    <row r="89" spans="1:16" x14ac:dyDescent="0.2">
      <c r="A89" s="1">
        <v>1</v>
      </c>
      <c r="B89" s="1">
        <v>1.2</v>
      </c>
      <c r="C89" s="1">
        <v>1</v>
      </c>
      <c r="D89" s="1" t="s">
        <v>466</v>
      </c>
      <c r="E89" s="1" t="s">
        <v>476</v>
      </c>
      <c r="F89" s="4">
        <v>45389</v>
      </c>
      <c r="G89" s="6">
        <v>0.79043981481481473</v>
      </c>
      <c r="H89" s="1">
        <v>1.73E-3</v>
      </c>
      <c r="I89" s="7" t="s">
        <v>374</v>
      </c>
      <c r="L89" s="3">
        <v>0.76695601851851847</v>
      </c>
      <c r="M89" s="3">
        <f t="shared" si="5"/>
        <v>2.3483796296296267E-2</v>
      </c>
      <c r="O89" s="3">
        <v>2.3472222222222221E-2</v>
      </c>
    </row>
    <row r="90" spans="1:16" x14ac:dyDescent="0.2">
      <c r="A90" s="1">
        <v>1</v>
      </c>
      <c r="B90" s="1">
        <v>1.2</v>
      </c>
      <c r="C90" s="1">
        <v>1</v>
      </c>
      <c r="D90" s="1" t="s">
        <v>467</v>
      </c>
      <c r="E90" s="1" t="s">
        <v>477</v>
      </c>
      <c r="F90" s="4">
        <v>45388</v>
      </c>
      <c r="G90" s="6">
        <v>0.78626157407407415</v>
      </c>
      <c r="H90" s="1">
        <v>9.8099999999999993E-3</v>
      </c>
      <c r="I90" s="7" t="s">
        <v>374</v>
      </c>
      <c r="L90" s="3">
        <v>0.7645601851851852</v>
      </c>
      <c r="M90" s="3">
        <f t="shared" si="5"/>
        <v>2.1701388888888951E-2</v>
      </c>
      <c r="O90" s="1" t="s">
        <v>21</v>
      </c>
    </row>
    <row r="91" spans="1:16" x14ac:dyDescent="0.2">
      <c r="A91" s="1">
        <v>1</v>
      </c>
      <c r="B91" s="1">
        <v>1.2</v>
      </c>
      <c r="C91" s="1">
        <v>1</v>
      </c>
      <c r="D91" s="1" t="s">
        <v>468</v>
      </c>
      <c r="E91" s="1" t="s">
        <v>478</v>
      </c>
      <c r="F91" s="4">
        <v>45387</v>
      </c>
      <c r="G91" s="6">
        <v>0.79177083333333342</v>
      </c>
      <c r="H91" s="1">
        <v>2.4099999999999998E-3</v>
      </c>
      <c r="I91" s="7" t="s">
        <v>374</v>
      </c>
      <c r="L91" s="3">
        <v>0.76537037037037037</v>
      </c>
      <c r="M91" s="3">
        <f t="shared" si="5"/>
        <v>2.6400462962963056E-2</v>
      </c>
      <c r="O91" s="3">
        <v>2.6006944444444444E-2</v>
      </c>
    </row>
    <row r="92" spans="1:16" x14ac:dyDescent="0.2">
      <c r="A92" s="1">
        <v>1</v>
      </c>
      <c r="B92" s="1">
        <v>1.2</v>
      </c>
      <c r="C92" s="1">
        <v>1</v>
      </c>
      <c r="D92" s="1" t="s">
        <v>480</v>
      </c>
      <c r="E92" s="1" t="s">
        <v>481</v>
      </c>
      <c r="F92" s="4">
        <v>45391</v>
      </c>
      <c r="G92" s="6">
        <v>0.78599537037037037</v>
      </c>
      <c r="H92" s="1">
        <v>8.2100000000000003E-3</v>
      </c>
      <c r="I92" s="1" t="s">
        <v>374</v>
      </c>
      <c r="L92" s="3">
        <v>0.76300925925925922</v>
      </c>
      <c r="M92" s="3">
        <f t="shared" si="5"/>
        <v>2.2986111111111152E-2</v>
      </c>
      <c r="O92" s="3">
        <v>2.2754629629629628E-2</v>
      </c>
    </row>
    <row r="93" spans="1:16" x14ac:dyDescent="0.2">
      <c r="A93" s="1">
        <v>1</v>
      </c>
      <c r="B93" s="1">
        <v>1.2</v>
      </c>
      <c r="C93" s="1">
        <v>1</v>
      </c>
      <c r="D93" s="1" t="s">
        <v>66</v>
      </c>
      <c r="E93" s="1" t="s">
        <v>484</v>
      </c>
      <c r="F93" s="4">
        <v>45392</v>
      </c>
      <c r="G93" s="6">
        <v>0.23944444444444443</v>
      </c>
      <c r="H93" s="1">
        <v>7.0000000000000001E-3</v>
      </c>
      <c r="I93" s="1" t="s">
        <v>485</v>
      </c>
      <c r="L93" s="3">
        <v>0.23417824074074073</v>
      </c>
      <c r="M93" s="3">
        <f t="shared" si="5"/>
        <v>5.2662037037037035E-3</v>
      </c>
      <c r="O93" s="3">
        <v>4.8611111111111112E-3</v>
      </c>
    </row>
    <row r="94" spans="1:16" x14ac:dyDescent="0.2">
      <c r="A94" s="1">
        <v>1</v>
      </c>
      <c r="B94" s="1">
        <v>1.2</v>
      </c>
      <c r="C94" s="1">
        <v>5</v>
      </c>
      <c r="D94" s="1" t="s">
        <v>65</v>
      </c>
      <c r="E94" s="1" t="s">
        <v>501</v>
      </c>
      <c r="F94" s="4">
        <v>45393</v>
      </c>
      <c r="G94" s="6">
        <v>0.27635416666666668</v>
      </c>
      <c r="H94" s="1">
        <v>25</v>
      </c>
      <c r="I94" s="1" t="s">
        <v>518</v>
      </c>
      <c r="L94" s="3">
        <v>0.23177083333333334</v>
      </c>
      <c r="M94" s="3">
        <f t="shared" si="5"/>
        <v>4.4583333333333336E-2</v>
      </c>
    </row>
    <row r="95" spans="1:16" x14ac:dyDescent="0.2">
      <c r="A95" s="1">
        <v>1</v>
      </c>
      <c r="B95" s="1">
        <v>1.2</v>
      </c>
      <c r="C95" s="1">
        <v>4</v>
      </c>
      <c r="D95" s="1" t="s">
        <v>65</v>
      </c>
      <c r="E95" s="1" t="s">
        <v>501</v>
      </c>
      <c r="F95" s="4">
        <v>45393</v>
      </c>
      <c r="G95" s="6">
        <v>0.24847222222222221</v>
      </c>
      <c r="H95" s="1">
        <v>0.23</v>
      </c>
      <c r="I95" s="1" t="s">
        <v>374</v>
      </c>
      <c r="L95" s="3">
        <v>0.23177083333333334</v>
      </c>
      <c r="M95" s="3">
        <f t="shared" si="5"/>
        <v>1.6701388888888863E-2</v>
      </c>
      <c r="O95" s="3">
        <v>1.6261574074074074E-2</v>
      </c>
    </row>
    <row r="96" spans="1:16" x14ac:dyDescent="0.2">
      <c r="A96" s="1">
        <v>1</v>
      </c>
      <c r="B96" s="1">
        <v>1.2</v>
      </c>
      <c r="C96" s="1">
        <v>3</v>
      </c>
      <c r="D96" s="1" t="s">
        <v>65</v>
      </c>
      <c r="E96" s="1" t="s">
        <v>501</v>
      </c>
      <c r="F96" s="4">
        <v>45393</v>
      </c>
      <c r="G96" s="6">
        <v>0.24243055555555554</v>
      </c>
      <c r="H96" s="1">
        <v>2.3400000000000001E-2</v>
      </c>
      <c r="I96" s="1" t="s">
        <v>374</v>
      </c>
      <c r="L96" s="3">
        <v>0.23177083333333334</v>
      </c>
      <c r="M96" s="3">
        <f t="shared" si="5"/>
        <v>1.0659722222222195E-2</v>
      </c>
      <c r="O96" s="3">
        <v>1.0439814814814815E-2</v>
      </c>
    </row>
    <row r="97" spans="1:16" x14ac:dyDescent="0.2">
      <c r="A97" s="1">
        <v>1</v>
      </c>
      <c r="B97" s="1">
        <v>1.2</v>
      </c>
      <c r="C97" s="1">
        <v>2</v>
      </c>
      <c r="D97" s="1" t="s">
        <v>65</v>
      </c>
      <c r="E97" s="1" t="s">
        <v>501</v>
      </c>
      <c r="F97" s="4">
        <v>45393</v>
      </c>
      <c r="G97" s="6">
        <v>0.2383912037037037</v>
      </c>
      <c r="H97" s="1">
        <v>6.8300000000000001E-3</v>
      </c>
      <c r="I97" s="1" t="s">
        <v>374</v>
      </c>
      <c r="L97" s="3">
        <v>0.23177083333333334</v>
      </c>
      <c r="M97" s="3">
        <f t="shared" si="5"/>
        <v>6.6203703703703598E-3</v>
      </c>
    </row>
    <row r="98" spans="1:16" x14ac:dyDescent="0.2">
      <c r="A98" s="1">
        <v>1</v>
      </c>
      <c r="B98" s="1">
        <v>1.2</v>
      </c>
      <c r="C98" s="1">
        <v>1</v>
      </c>
      <c r="D98" s="1" t="s">
        <v>65</v>
      </c>
      <c r="E98" s="1" t="s">
        <v>501</v>
      </c>
      <c r="F98" s="4">
        <v>45393</v>
      </c>
      <c r="G98" s="6">
        <v>0.23265046296296296</v>
      </c>
      <c r="H98" s="1">
        <v>3.6600000000000001E-3</v>
      </c>
      <c r="I98" s="1" t="s">
        <v>374</v>
      </c>
      <c r="L98" s="3">
        <v>0.23177083333333334</v>
      </c>
      <c r="M98" s="3">
        <f t="shared" si="5"/>
        <v>8.796296296296191E-4</v>
      </c>
    </row>
    <row r="99" spans="1:16" x14ac:dyDescent="0.2">
      <c r="A99" s="1">
        <v>1</v>
      </c>
      <c r="B99" s="1">
        <v>1.2</v>
      </c>
      <c r="C99" s="1">
        <v>1</v>
      </c>
      <c r="D99" s="1" t="s">
        <v>73</v>
      </c>
      <c r="E99" s="1" t="s">
        <v>502</v>
      </c>
      <c r="F99" s="4">
        <v>45393</v>
      </c>
      <c r="G99" s="6">
        <v>0.7855671296296296</v>
      </c>
      <c r="H99" s="1">
        <v>3.5799999999999998E-2</v>
      </c>
      <c r="I99" s="1" t="s">
        <v>374</v>
      </c>
      <c r="L99" s="3">
        <v>0.75616898148148148</v>
      </c>
      <c r="M99" s="3">
        <f t="shared" si="5"/>
        <v>2.9398148148148118E-2</v>
      </c>
      <c r="O99" s="3">
        <v>2.8946759259259259E-2</v>
      </c>
    </row>
    <row r="100" spans="1:16" x14ac:dyDescent="0.2">
      <c r="A100" s="1">
        <v>1</v>
      </c>
      <c r="B100" s="1">
        <v>1.2</v>
      </c>
      <c r="C100" s="1">
        <v>3</v>
      </c>
      <c r="D100" s="1" t="s">
        <v>72</v>
      </c>
      <c r="E100" s="1" t="s">
        <v>519</v>
      </c>
      <c r="F100" s="4">
        <v>45394</v>
      </c>
      <c r="G100" s="6">
        <v>0.27350694444444446</v>
      </c>
      <c r="H100" s="1">
        <v>34.200000000000003</v>
      </c>
      <c r="I100" s="1" t="s">
        <v>374</v>
      </c>
      <c r="L100" s="3">
        <v>0.24976851851851853</v>
      </c>
      <c r="M100" s="3">
        <f t="shared" si="5"/>
        <v>2.3738425925925927E-2</v>
      </c>
    </row>
    <row r="101" spans="1:16" x14ac:dyDescent="0.2">
      <c r="A101" s="1">
        <v>1</v>
      </c>
      <c r="B101" s="1">
        <v>1.2</v>
      </c>
      <c r="C101" s="1">
        <v>2</v>
      </c>
      <c r="D101" s="1" t="s">
        <v>72</v>
      </c>
      <c r="E101" s="1" t="s">
        <v>519</v>
      </c>
      <c r="F101" s="4">
        <v>45394</v>
      </c>
      <c r="G101" s="6">
        <v>0.25049768518518517</v>
      </c>
      <c r="H101" s="1">
        <v>0.14499999999999999</v>
      </c>
      <c r="I101" s="1" t="s">
        <v>374</v>
      </c>
      <c r="L101" s="3">
        <v>0.24976851851851853</v>
      </c>
      <c r="M101" s="3">
        <f t="shared" ref="M101" si="6">G101 - L101</f>
        <v>7.2916666666664187E-4</v>
      </c>
    </row>
    <row r="102" spans="1:16" x14ac:dyDescent="0.2">
      <c r="A102" s="1">
        <v>1</v>
      </c>
      <c r="B102" s="1">
        <v>1.2</v>
      </c>
      <c r="C102" s="1">
        <v>1</v>
      </c>
      <c r="D102" s="1" t="s">
        <v>72</v>
      </c>
      <c r="E102" s="1" t="s">
        <v>519</v>
      </c>
      <c r="F102" s="4">
        <v>45394</v>
      </c>
      <c r="G102" s="6">
        <v>0.23868055555555553</v>
      </c>
      <c r="H102" s="1" t="s">
        <v>21</v>
      </c>
      <c r="I102" s="1" t="s">
        <v>521</v>
      </c>
      <c r="J102" s="1">
        <v>6.8300000000000001E-3</v>
      </c>
      <c r="K102" s="1" t="s">
        <v>522</v>
      </c>
      <c r="L102" s="3">
        <v>0.24976851851851853</v>
      </c>
      <c r="M102" s="3"/>
      <c r="P102" s="1" t="s">
        <v>520</v>
      </c>
    </row>
    <row r="103" spans="1:16" x14ac:dyDescent="0.2">
      <c r="A103" s="1">
        <v>1</v>
      </c>
      <c r="B103" s="1">
        <v>1.2</v>
      </c>
      <c r="C103" s="1">
        <v>1</v>
      </c>
      <c r="D103" s="1" t="s">
        <v>79</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606</v>
      </c>
      <c r="B1" t="s">
        <v>605</v>
      </c>
      <c r="C1" t="s">
        <v>609</v>
      </c>
      <c r="D1" t="s">
        <v>608</v>
      </c>
      <c r="E1" t="s">
        <v>607</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28"/>
      <c r="F2" s="28"/>
      <c r="G2" s="28"/>
      <c r="H2" s="28"/>
      <c r="I2" s="28"/>
      <c r="J2" s="28"/>
      <c r="K2" s="28"/>
      <c r="L2" s="28"/>
    </row>
    <row r="3" spans="4:12" x14ac:dyDescent="0.2">
      <c r="D3" s="18"/>
      <c r="E3" s="28"/>
    </row>
    <row r="4" spans="4:12" x14ac:dyDescent="0.2">
      <c r="D4" s="18"/>
      <c r="E4" s="28"/>
    </row>
    <row r="5" spans="4:12" x14ac:dyDescent="0.2">
      <c r="D5" s="18"/>
      <c r="E5" s="28"/>
    </row>
    <row r="6" spans="4:12" x14ac:dyDescent="0.2">
      <c r="F6" s="28"/>
      <c r="G6" s="28"/>
      <c r="H6" s="28"/>
    </row>
    <row r="7" spans="4:12" x14ac:dyDescent="0.2">
      <c r="F7" s="28"/>
      <c r="H7" s="28"/>
    </row>
    <row r="8" spans="4:12" x14ac:dyDescent="0.2">
      <c r="F8" s="28"/>
      <c r="H8" s="28"/>
    </row>
    <row r="9" spans="4:12" x14ac:dyDescent="0.2">
      <c r="F9" s="28"/>
      <c r="H9" s="28"/>
    </row>
    <row r="11" spans="4:12" x14ac:dyDescent="0.2">
      <c r="F11" s="28"/>
      <c r="H11" s="28"/>
    </row>
    <row r="12" spans="4:12" x14ac:dyDescent="0.2">
      <c r="F12" s="28"/>
      <c r="H12" s="28"/>
    </row>
    <row r="13" spans="4:12" x14ac:dyDescent="0.2">
      <c r="F13" s="28"/>
      <c r="H13" s="28"/>
    </row>
    <row r="14" spans="4:12" x14ac:dyDescent="0.2">
      <c r="H14" s="28"/>
    </row>
    <row r="15" spans="4:12" x14ac:dyDescent="0.2">
      <c r="D15" s="18"/>
      <c r="E15" s="28"/>
      <c r="H15" s="28"/>
      <c r="I15" s="28"/>
      <c r="J15" s="28"/>
      <c r="K15" s="28"/>
      <c r="L15" s="28"/>
    </row>
    <row r="16" spans="4:12" x14ac:dyDescent="0.2">
      <c r="D16" s="18"/>
      <c r="E16" s="28"/>
      <c r="F16" s="28"/>
      <c r="G16" s="28"/>
      <c r="H16" s="28"/>
      <c r="I16" s="28"/>
      <c r="J16" s="28"/>
      <c r="K16" s="28"/>
      <c r="L16" s="28"/>
    </row>
    <row r="17" spans="1:12" x14ac:dyDescent="0.2">
      <c r="D17" s="18"/>
      <c r="E17" s="28"/>
      <c r="H17" s="28"/>
      <c r="I17" s="28"/>
      <c r="J17" s="28"/>
      <c r="K17" s="28"/>
      <c r="L17" s="28"/>
    </row>
    <row r="18" spans="1:12" x14ac:dyDescent="0.2">
      <c r="D18" s="18"/>
      <c r="E18" s="28"/>
    </row>
    <row r="19" spans="1:12" x14ac:dyDescent="0.2">
      <c r="D19" s="18"/>
      <c r="E19" s="28"/>
      <c r="H19" s="28"/>
      <c r="I19" s="28"/>
      <c r="J19" s="28"/>
      <c r="K19" s="28"/>
      <c r="L19" s="28"/>
    </row>
    <row r="20" spans="1:12" x14ac:dyDescent="0.2">
      <c r="D20" s="18"/>
      <c r="E20" s="28"/>
      <c r="H20" s="28"/>
      <c r="I20" s="28"/>
      <c r="J20" s="28"/>
      <c r="K20" s="28"/>
      <c r="L20" s="28"/>
    </row>
    <row r="21" spans="1:12" x14ac:dyDescent="0.2">
      <c r="A21" s="17"/>
      <c r="D21" s="18"/>
      <c r="E21" s="28"/>
      <c r="H21" s="28"/>
      <c r="I21" s="28"/>
      <c r="J21" s="28"/>
      <c r="K21" s="28"/>
      <c r="L21" s="28"/>
    </row>
    <row r="22" spans="1:12" x14ac:dyDescent="0.2">
      <c r="A22" s="17"/>
      <c r="D22" s="18"/>
      <c r="E22" s="28"/>
      <c r="F22" s="28"/>
      <c r="G22" s="28"/>
      <c r="H22" s="28"/>
      <c r="I22" s="28"/>
      <c r="J22" s="28"/>
      <c r="K22" s="28"/>
      <c r="L22" s="28"/>
    </row>
    <row r="23" spans="1:12" x14ac:dyDescent="0.2">
      <c r="A23" s="17"/>
      <c r="D23" s="18"/>
      <c r="E23" s="28"/>
      <c r="F23" s="28"/>
      <c r="G23" s="28"/>
      <c r="H23" s="28"/>
      <c r="I23" s="28"/>
      <c r="J23" s="28"/>
      <c r="K23" s="28"/>
      <c r="L23" s="28"/>
    </row>
    <row r="24" spans="1:12" x14ac:dyDescent="0.2">
      <c r="A24" s="17"/>
      <c r="D24" s="18"/>
      <c r="E24" s="28"/>
      <c r="F24" s="28"/>
      <c r="G24" s="28"/>
      <c r="H24" s="28"/>
      <c r="I24" s="28"/>
      <c r="J24" s="28"/>
      <c r="K24" s="28"/>
      <c r="L24" s="28"/>
    </row>
    <row r="25" spans="1:12" x14ac:dyDescent="0.2">
      <c r="A25" s="17"/>
      <c r="D25" s="18"/>
      <c r="E25" s="28"/>
      <c r="H25" s="28"/>
      <c r="I25" s="28"/>
      <c r="J25" s="28"/>
      <c r="K25" s="28"/>
      <c r="L25" s="28"/>
    </row>
    <row r="26" spans="1:12" x14ac:dyDescent="0.2">
      <c r="A26" s="17"/>
      <c r="D26" s="18"/>
      <c r="E26" s="28"/>
      <c r="F26" s="28"/>
      <c r="G26" s="28"/>
      <c r="H26" s="28"/>
    </row>
    <row r="27" spans="1:12" x14ac:dyDescent="0.2">
      <c r="D27" s="18"/>
      <c r="E27" s="28"/>
      <c r="H27" s="28"/>
      <c r="I27" s="28"/>
      <c r="J27" s="28"/>
      <c r="K27" s="28"/>
      <c r="L27" s="28"/>
    </row>
    <row r="28" spans="1:12" x14ac:dyDescent="0.2">
      <c r="A28" s="17"/>
      <c r="D28" s="18"/>
      <c r="E28" s="28"/>
      <c r="F28" s="28"/>
      <c r="G28" s="28"/>
      <c r="H28" s="28"/>
      <c r="I28" s="28"/>
      <c r="J28" s="28"/>
      <c r="K28" s="28"/>
      <c r="L28" s="28"/>
    </row>
    <row r="29" spans="1:12" x14ac:dyDescent="0.2">
      <c r="D29" s="18"/>
      <c r="E29" s="28"/>
      <c r="H29" s="28"/>
      <c r="I29" s="28"/>
      <c r="J29" s="28"/>
      <c r="K29" s="28"/>
      <c r="L29" s="28"/>
    </row>
    <row r="30" spans="1:12" x14ac:dyDescent="0.2">
      <c r="D30" s="18"/>
      <c r="E30" s="28"/>
      <c r="F30" s="28"/>
      <c r="H30" s="28"/>
      <c r="I30" s="28"/>
      <c r="J30" s="28"/>
      <c r="K30" s="28"/>
      <c r="L30" s="28"/>
    </row>
    <row r="31" spans="1:12" x14ac:dyDescent="0.2">
      <c r="A31" s="17"/>
      <c r="D31" s="18"/>
      <c r="E31" s="28"/>
      <c r="H31" s="28"/>
      <c r="I31" s="28"/>
      <c r="J31" s="28"/>
      <c r="K31" s="28"/>
      <c r="L31" s="28"/>
    </row>
    <row r="32" spans="1:12" x14ac:dyDescent="0.2">
      <c r="A32" s="17"/>
      <c r="D32" s="18"/>
      <c r="E32" s="28"/>
      <c r="F32" s="28"/>
      <c r="H32" s="28"/>
      <c r="I32" s="28"/>
      <c r="J32" s="28"/>
      <c r="K32" s="28"/>
      <c r="L32" s="28"/>
    </row>
    <row r="33" spans="4:9" x14ac:dyDescent="0.2">
      <c r="D33" s="18"/>
      <c r="E33" s="28"/>
      <c r="G33" s="28"/>
      <c r="H33" s="28"/>
      <c r="I33" s="28"/>
    </row>
    <row r="34" spans="4:9" x14ac:dyDescent="0.2">
      <c r="D34" s="18"/>
      <c r="E34" s="28"/>
      <c r="F34" s="28"/>
      <c r="G34" s="28"/>
      <c r="H34" s="28"/>
      <c r="I34" s="28"/>
    </row>
    <row r="35" spans="4:9" x14ac:dyDescent="0.2">
      <c r="D35" s="18"/>
      <c r="E35" s="28"/>
      <c r="F35" s="28"/>
      <c r="G35" s="28"/>
      <c r="H35" s="28"/>
      <c r="I35" s="28"/>
    </row>
    <row r="36" spans="4:9" x14ac:dyDescent="0.2">
      <c r="D36" s="18"/>
      <c r="E36" s="28"/>
      <c r="F36" s="28"/>
      <c r="G36" s="28"/>
      <c r="H36" s="28"/>
      <c r="I36" s="28"/>
    </row>
    <row r="37" spans="4:9" x14ac:dyDescent="0.2">
      <c r="D37" s="18"/>
      <c r="E37" s="28"/>
      <c r="H37" s="28"/>
      <c r="I37" s="28"/>
    </row>
    <row r="38" spans="4:9" x14ac:dyDescent="0.2">
      <c r="D38" s="18"/>
      <c r="E38" s="28"/>
      <c r="F38" s="28"/>
      <c r="G38" s="28"/>
      <c r="H38" s="28"/>
      <c r="I38" s="28"/>
    </row>
    <row r="39" spans="4:9" x14ac:dyDescent="0.2">
      <c r="D39" s="18"/>
      <c r="E39" s="28"/>
    </row>
    <row r="40" spans="4:9" x14ac:dyDescent="0.2">
      <c r="D40" s="18"/>
      <c r="E40" s="28"/>
      <c r="H40" s="28"/>
      <c r="I40" s="28"/>
    </row>
    <row r="41" spans="4:9" x14ac:dyDescent="0.2">
      <c r="D41" s="18"/>
      <c r="E41" s="28"/>
      <c r="F41" s="28"/>
      <c r="G41" s="28"/>
      <c r="H41" s="28"/>
      <c r="I41" s="28"/>
    </row>
    <row r="42" spans="4:9" x14ac:dyDescent="0.2">
      <c r="D42" s="18"/>
      <c r="E42" s="28"/>
    </row>
    <row r="43" spans="4:9" x14ac:dyDescent="0.2">
      <c r="D43" s="18"/>
      <c r="E43" s="28"/>
      <c r="F43" s="28"/>
      <c r="G43" s="28"/>
      <c r="H43" s="28"/>
      <c r="I43" s="28"/>
    </row>
    <row r="44" spans="4:9" x14ac:dyDescent="0.2">
      <c r="D44" s="18"/>
      <c r="E44" s="28"/>
    </row>
    <row r="45" spans="4:9" x14ac:dyDescent="0.2">
      <c r="D45" s="18"/>
      <c r="E45" s="28"/>
      <c r="F45" s="28"/>
      <c r="G45" s="28"/>
      <c r="H45" s="28"/>
      <c r="I45" s="28"/>
    </row>
    <row r="46" spans="4:9" x14ac:dyDescent="0.2">
      <c r="D46" s="18"/>
      <c r="E46" s="28"/>
      <c r="H46" s="28"/>
      <c r="I46" s="28"/>
    </row>
    <row r="47" spans="4:9" x14ac:dyDescent="0.2">
      <c r="D47" s="18"/>
      <c r="E47" s="28"/>
      <c r="F47" s="28"/>
      <c r="G47" s="28"/>
      <c r="H47" s="28"/>
      <c r="I47" s="28"/>
    </row>
    <row r="48" spans="4:9" x14ac:dyDescent="0.2">
      <c r="D48" s="18"/>
      <c r="E48" s="28"/>
      <c r="F48" s="28"/>
      <c r="G48" s="28"/>
      <c r="H48" s="28"/>
      <c r="I48" s="28"/>
    </row>
    <row r="49" spans="4:9" x14ac:dyDescent="0.2">
      <c r="D49" s="18"/>
      <c r="E49" s="28"/>
      <c r="F49" s="28"/>
      <c r="G49" s="28"/>
      <c r="H49" s="28"/>
      <c r="I49" s="28"/>
    </row>
    <row r="50" spans="4:9" x14ac:dyDescent="0.2">
      <c r="D50" s="18"/>
      <c r="E50" s="28"/>
      <c r="F50" s="28"/>
      <c r="G50" s="28"/>
      <c r="H50" s="28"/>
      <c r="I50" s="28"/>
    </row>
    <row r="51" spans="4:9" x14ac:dyDescent="0.2">
      <c r="D51" s="18"/>
      <c r="E51" s="28"/>
    </row>
    <row r="52" spans="4:9" x14ac:dyDescent="0.2">
      <c r="D52" s="18"/>
      <c r="E52" s="28"/>
      <c r="H52" s="28"/>
      <c r="I52" s="28"/>
    </row>
    <row r="53" spans="4:9" x14ac:dyDescent="0.2">
      <c r="D53" s="18"/>
      <c r="E53" s="28"/>
      <c r="F53" s="28"/>
      <c r="G53" s="28"/>
      <c r="H53" s="28"/>
      <c r="I53" s="28"/>
    </row>
    <row r="54" spans="4:9" x14ac:dyDescent="0.2">
      <c r="D54" s="18"/>
      <c r="E54" s="28"/>
      <c r="H54" s="28"/>
      <c r="I54" s="28"/>
    </row>
    <row r="55" spans="4:9" x14ac:dyDescent="0.2">
      <c r="D55" s="18"/>
      <c r="E55" s="28"/>
      <c r="F55" s="28"/>
      <c r="G55" s="28"/>
      <c r="H55" s="28"/>
      <c r="I55" s="28"/>
    </row>
    <row r="56" spans="4:9" x14ac:dyDescent="0.2">
      <c r="D56" s="18"/>
      <c r="E56" s="28"/>
      <c r="H56" s="28"/>
      <c r="I56" s="28"/>
    </row>
    <row r="57" spans="4:9" x14ac:dyDescent="0.2">
      <c r="D57" s="18"/>
      <c r="E57" s="28"/>
      <c r="F57" s="28"/>
      <c r="H57" s="28"/>
      <c r="I57" s="28"/>
    </row>
    <row r="58" spans="4:9" x14ac:dyDescent="0.2">
      <c r="D58" s="18"/>
      <c r="E58" s="28"/>
      <c r="F58" s="28"/>
      <c r="H58" s="28"/>
      <c r="I58" s="28"/>
    </row>
    <row r="59" spans="4:9" x14ac:dyDescent="0.2">
      <c r="D59" s="18"/>
      <c r="E59" s="28"/>
      <c r="F59" s="28"/>
      <c r="G59" s="28"/>
      <c r="H59" s="28"/>
      <c r="I59" s="28"/>
    </row>
    <row r="60" spans="4:9" x14ac:dyDescent="0.2">
      <c r="D60" s="18"/>
      <c r="E60" s="28"/>
      <c r="F60" s="28"/>
      <c r="G60" s="28"/>
      <c r="H60" s="28"/>
      <c r="I60" s="28"/>
    </row>
    <row r="61" spans="4:9" x14ac:dyDescent="0.2">
      <c r="D61" s="18"/>
      <c r="E61" s="28"/>
      <c r="F61" s="28"/>
      <c r="G61" s="28"/>
      <c r="H61" s="28"/>
      <c r="I61" s="28"/>
    </row>
    <row r="62" spans="4:9" x14ac:dyDescent="0.2">
      <c r="D62" s="18"/>
      <c r="E62" s="28"/>
      <c r="F62" s="28"/>
      <c r="G62" s="28"/>
      <c r="H62" s="28"/>
      <c r="I62" s="28"/>
    </row>
    <row r="63" spans="4:9" x14ac:dyDescent="0.2">
      <c r="D63" s="18"/>
      <c r="E63" s="28"/>
      <c r="F63" s="28"/>
      <c r="G63" s="28"/>
      <c r="H63" s="28"/>
      <c r="I63" s="28"/>
    </row>
    <row r="64" spans="4:9" x14ac:dyDescent="0.2">
      <c r="D64" s="18"/>
      <c r="E64" s="28"/>
      <c r="H64" s="28"/>
      <c r="I64" s="28"/>
    </row>
    <row r="65" spans="4:9" x14ac:dyDescent="0.2">
      <c r="D65" s="18"/>
      <c r="E65" s="28"/>
      <c r="F65" s="28"/>
      <c r="G65" s="28"/>
      <c r="H65" s="28"/>
      <c r="I65" s="28"/>
    </row>
    <row r="66" spans="4:9" x14ac:dyDescent="0.2">
      <c r="D66" s="18"/>
      <c r="E66" s="28"/>
      <c r="H66" s="28"/>
      <c r="I66" s="28"/>
    </row>
    <row r="67" spans="4:9" x14ac:dyDescent="0.2">
      <c r="D67" s="18"/>
      <c r="E67" s="28"/>
      <c r="H67" s="28"/>
      <c r="I67" s="28"/>
    </row>
    <row r="68" spans="4:9" x14ac:dyDescent="0.2">
      <c r="D68" s="18"/>
      <c r="E68" s="28"/>
      <c r="H68" s="28"/>
      <c r="I68" s="28"/>
    </row>
    <row r="69" spans="4:9" x14ac:dyDescent="0.2">
      <c r="D69" s="18"/>
      <c r="E69" s="28"/>
      <c r="F69" s="28"/>
      <c r="H69" s="28"/>
      <c r="I69" s="28"/>
    </row>
    <row r="70" spans="4:9" x14ac:dyDescent="0.2">
      <c r="D70" s="18"/>
      <c r="E70" s="28"/>
      <c r="H70" s="28"/>
      <c r="I70" s="28"/>
    </row>
    <row r="71" spans="4:9" x14ac:dyDescent="0.2">
      <c r="D71" s="18"/>
      <c r="E71" s="28"/>
      <c r="H71" s="28"/>
      <c r="I71" s="28"/>
    </row>
    <row r="72" spans="4:9" x14ac:dyDescent="0.2">
      <c r="D72" s="18"/>
      <c r="E72" s="28"/>
      <c r="F72" s="28"/>
      <c r="H72" s="28"/>
      <c r="I72" s="28"/>
    </row>
    <row r="73" spans="4:9" x14ac:dyDescent="0.2">
      <c r="D73" s="18"/>
      <c r="E73" s="28"/>
      <c r="F73" s="28"/>
      <c r="H73" s="28"/>
      <c r="I73" s="28"/>
    </row>
    <row r="74" spans="4:9" x14ac:dyDescent="0.2">
      <c r="D74" s="18"/>
      <c r="E74" s="28"/>
      <c r="H74" s="28"/>
      <c r="I74" s="28"/>
    </row>
    <row r="75" spans="4:9" x14ac:dyDescent="0.2">
      <c r="D75" s="18"/>
      <c r="E75" s="28"/>
      <c r="H75" s="28"/>
      <c r="I75" s="28"/>
    </row>
    <row r="76" spans="4:9" x14ac:dyDescent="0.2">
      <c r="D76" s="18"/>
      <c r="E76" s="28"/>
      <c r="H76" s="28"/>
      <c r="I76" s="28"/>
    </row>
    <row r="77" spans="4:9" x14ac:dyDescent="0.2">
      <c r="D77" s="18"/>
      <c r="E77" s="28"/>
      <c r="F77" s="28"/>
      <c r="H77" s="28"/>
      <c r="I77" s="28"/>
    </row>
    <row r="78" spans="4:9" x14ac:dyDescent="0.2">
      <c r="D78" s="18"/>
      <c r="E78" s="28"/>
      <c r="F78" s="28"/>
      <c r="H78" s="28"/>
      <c r="I78" s="28"/>
    </row>
    <row r="79" spans="4:9" x14ac:dyDescent="0.2">
      <c r="D79" s="18"/>
      <c r="E79" s="28"/>
      <c r="F79" s="28"/>
    </row>
    <row r="80" spans="4:9" x14ac:dyDescent="0.2">
      <c r="D80" s="18"/>
      <c r="E80" s="28"/>
      <c r="F80" s="28"/>
      <c r="H80" s="28"/>
      <c r="I80" s="28"/>
    </row>
    <row r="81" spans="3:9" x14ac:dyDescent="0.2">
      <c r="D81" s="18"/>
      <c r="E81" s="28"/>
      <c r="H81" s="28"/>
      <c r="I81" s="28"/>
    </row>
    <row r="82" spans="3:9" x14ac:dyDescent="0.2">
      <c r="D82" s="18"/>
      <c r="E82" s="28"/>
      <c r="F82" s="28"/>
      <c r="H82" s="28"/>
      <c r="I82" s="28"/>
    </row>
    <row r="83" spans="3:9" x14ac:dyDescent="0.2">
      <c r="D83" s="18"/>
      <c r="E83" s="28"/>
      <c r="F83" s="28"/>
      <c r="H83" s="28"/>
      <c r="I83" s="28"/>
    </row>
    <row r="84" spans="3:9" x14ac:dyDescent="0.2">
      <c r="C84" s="1"/>
      <c r="D84" s="4"/>
      <c r="E84" s="6"/>
      <c r="F84" s="28"/>
      <c r="H84" s="28"/>
      <c r="I84" s="28"/>
    </row>
    <row r="85" spans="3:9" x14ac:dyDescent="0.2">
      <c r="C85" s="1"/>
      <c r="D85" s="4"/>
      <c r="E85" s="6"/>
      <c r="H85" s="28"/>
      <c r="I85" s="28"/>
    </row>
    <row r="86" spans="3:9" x14ac:dyDescent="0.2">
      <c r="C86" s="1"/>
      <c r="D86" s="4"/>
      <c r="E86" s="6"/>
      <c r="F86" s="28"/>
      <c r="H86" s="28"/>
      <c r="I86" s="28"/>
    </row>
    <row r="87" spans="3:9" x14ac:dyDescent="0.2">
      <c r="C87" s="1"/>
      <c r="D87" s="4"/>
      <c r="E87" s="6"/>
      <c r="F87" s="28"/>
      <c r="H87" s="28"/>
      <c r="I87" s="28"/>
    </row>
    <row r="88" spans="3:9" x14ac:dyDescent="0.2">
      <c r="D88" s="18"/>
      <c r="E88" s="28"/>
      <c r="H88" s="28"/>
      <c r="I88" s="28"/>
    </row>
    <row r="89" spans="3:9" x14ac:dyDescent="0.2">
      <c r="D89" s="18"/>
      <c r="E89" s="28"/>
      <c r="H89" s="28"/>
      <c r="I89" s="28"/>
    </row>
    <row r="90" spans="3:9" x14ac:dyDescent="0.2">
      <c r="D90" s="18"/>
      <c r="E90" s="28"/>
      <c r="F90" s="28"/>
      <c r="G90" s="28"/>
      <c r="H90" s="28"/>
      <c r="I90" s="28"/>
    </row>
    <row r="91" spans="3:9" x14ac:dyDescent="0.2">
      <c r="D91" s="18"/>
      <c r="E91" s="28"/>
      <c r="F91" s="28"/>
      <c r="G91" s="28"/>
      <c r="H91" s="28"/>
      <c r="I91" s="28"/>
    </row>
    <row r="92" spans="3:9" x14ac:dyDescent="0.2">
      <c r="D92" s="18"/>
      <c r="E92" s="28"/>
    </row>
    <row r="93" spans="3:9" x14ac:dyDescent="0.2">
      <c r="D93" s="18"/>
      <c r="E93" s="28"/>
      <c r="H93" s="28"/>
      <c r="I93" s="28"/>
    </row>
    <row r="94" spans="3:9" x14ac:dyDescent="0.2">
      <c r="D94" s="18"/>
      <c r="E94" s="28"/>
      <c r="H94" s="28"/>
      <c r="I94" s="28"/>
    </row>
    <row r="95" spans="3:9" x14ac:dyDescent="0.2">
      <c r="D95" s="18"/>
      <c r="E95" s="28"/>
      <c r="H95" s="28"/>
      <c r="I95" s="28"/>
    </row>
    <row r="96" spans="3:9" x14ac:dyDescent="0.2">
      <c r="D96" s="18"/>
      <c r="E96" s="28"/>
      <c r="F96" s="28"/>
      <c r="H96" s="28"/>
      <c r="I96" s="28"/>
    </row>
    <row r="97" spans="1:9" x14ac:dyDescent="0.2">
      <c r="D97" s="18"/>
      <c r="E97" s="28"/>
      <c r="F97" s="28"/>
      <c r="H97" s="28"/>
      <c r="I97" s="28"/>
    </row>
    <row r="98" spans="1:9" x14ac:dyDescent="0.2">
      <c r="D98" s="18"/>
      <c r="E98" s="28"/>
      <c r="F98" s="28"/>
      <c r="H98" s="28"/>
      <c r="I98" s="28"/>
    </row>
    <row r="99" spans="1:9" x14ac:dyDescent="0.2">
      <c r="D99" s="18"/>
      <c r="E99" s="28"/>
      <c r="F99" s="28"/>
      <c r="H99" s="28"/>
      <c r="I99" s="28"/>
    </row>
    <row r="100" spans="1:9" x14ac:dyDescent="0.2">
      <c r="D100" s="18"/>
      <c r="E100" s="28"/>
      <c r="H100" s="28"/>
      <c r="I100" s="28"/>
    </row>
    <row r="101" spans="1:9" x14ac:dyDescent="0.2">
      <c r="D101" s="18"/>
      <c r="E101" s="28"/>
      <c r="F101" s="28"/>
      <c r="H101" s="28"/>
      <c r="I101" s="28"/>
    </row>
    <row r="102" spans="1:9" x14ac:dyDescent="0.2">
      <c r="D102" s="18"/>
      <c r="E102" s="28"/>
      <c r="F102" s="28"/>
      <c r="H102" s="28"/>
      <c r="I102" s="28"/>
    </row>
    <row r="103" spans="1:9" x14ac:dyDescent="0.2">
      <c r="A103" s="17"/>
      <c r="D103" s="18"/>
      <c r="E103" s="28"/>
      <c r="F103" s="28"/>
    </row>
    <row r="104" spans="1:9" x14ac:dyDescent="0.2">
      <c r="A104" s="17"/>
      <c r="D104" s="18"/>
      <c r="E104" s="28"/>
      <c r="H104" s="28"/>
      <c r="I104" s="28"/>
    </row>
    <row r="105" spans="1:9" x14ac:dyDescent="0.2">
      <c r="A105" s="17"/>
      <c r="D105" s="18"/>
      <c r="E105" s="28"/>
      <c r="F105" s="28"/>
      <c r="H105" s="28"/>
      <c r="I105" s="28"/>
    </row>
    <row r="106" spans="1:9" x14ac:dyDescent="0.2">
      <c r="A106" s="17"/>
      <c r="D106" s="18"/>
      <c r="E106" s="28"/>
      <c r="F106" s="28"/>
      <c r="H106" s="28"/>
      <c r="I106" s="28"/>
    </row>
    <row r="107" spans="1:9" x14ac:dyDescent="0.2">
      <c r="A107" s="17"/>
      <c r="D107" s="18"/>
      <c r="E107" s="28"/>
      <c r="F107" s="28"/>
      <c r="H107" s="28"/>
      <c r="I107" s="28"/>
    </row>
    <row r="108" spans="1:9" x14ac:dyDescent="0.2">
      <c r="A108" s="17"/>
      <c r="D108" s="18"/>
      <c r="E108" s="28"/>
      <c r="H108" s="28"/>
      <c r="I108" s="28"/>
    </row>
    <row r="109" spans="1:9" x14ac:dyDescent="0.2">
      <c r="A109" s="17"/>
      <c r="D109" s="18"/>
      <c r="E109" s="28"/>
      <c r="F109" s="28"/>
      <c r="H109" s="28"/>
      <c r="I109" s="28"/>
    </row>
    <row r="110" spans="1:9" x14ac:dyDescent="0.2">
      <c r="A110" s="17"/>
      <c r="D110" s="18"/>
      <c r="E110" s="28"/>
      <c r="H110" s="28"/>
      <c r="I110" s="28"/>
    </row>
    <row r="111" spans="1:9" x14ac:dyDescent="0.2">
      <c r="A111" s="17"/>
      <c r="D111" s="18"/>
      <c r="E111" s="28"/>
      <c r="F111" s="28"/>
      <c r="G111" s="28"/>
      <c r="H111" s="28"/>
      <c r="I111" s="28"/>
    </row>
    <row r="112" spans="1:9" x14ac:dyDescent="0.2">
      <c r="A112" s="17"/>
      <c r="D112" s="18"/>
      <c r="E112" s="28"/>
      <c r="F112" s="28"/>
      <c r="G112" s="28"/>
      <c r="H112" s="28"/>
      <c r="I112" s="28"/>
    </row>
    <row r="113" spans="1:9" x14ac:dyDescent="0.2">
      <c r="A113" s="17"/>
      <c r="D113" s="18"/>
      <c r="E113" s="28"/>
      <c r="G113" s="28"/>
      <c r="H113" s="28"/>
      <c r="I113" s="28"/>
    </row>
    <row r="114" spans="1:9" x14ac:dyDescent="0.2">
      <c r="A114" s="17"/>
      <c r="D114" s="18"/>
      <c r="E114" s="28"/>
      <c r="F114" s="28"/>
      <c r="G114" s="28"/>
      <c r="H114" s="28"/>
      <c r="I114" s="28"/>
    </row>
    <row r="115" spans="1:9" x14ac:dyDescent="0.2">
      <c r="A115" s="17"/>
      <c r="D115" s="18"/>
      <c r="E115" s="28"/>
      <c r="F115" s="28"/>
      <c r="G115" s="28"/>
    </row>
    <row r="116" spans="1:9" x14ac:dyDescent="0.2">
      <c r="A116" s="17"/>
      <c r="D116" s="18"/>
      <c r="E116" s="28"/>
    </row>
    <row r="117" spans="1:9" x14ac:dyDescent="0.2">
      <c r="A117" s="17"/>
      <c r="D117" s="18"/>
      <c r="E117" s="28"/>
    </row>
    <row r="118" spans="1:9" x14ac:dyDescent="0.2">
      <c r="A118" s="17"/>
      <c r="D118" s="18"/>
      <c r="E118" s="28"/>
      <c r="F118" s="28"/>
      <c r="G118" s="28"/>
      <c r="H118" s="28"/>
      <c r="I118" s="28"/>
    </row>
    <row r="119" spans="1:9" x14ac:dyDescent="0.2">
      <c r="A119" s="17"/>
      <c r="D119" s="18"/>
      <c r="E119" s="28"/>
      <c r="F119" s="28"/>
      <c r="G119" s="28"/>
      <c r="H119" s="28"/>
      <c r="I119" s="28"/>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2026-09-29T14:04:08Z</dcterms:modified>
</cp:coreProperties>
</file>