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49.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9.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FBA18FCB-606B-334A-A7AF-33E6A86DD82A}" xr6:coauthVersionLast="47" xr6:coauthVersionMax="47" xr10:uidLastSave="{00000000-0000-0000-0000-000000000000}"/>
  <bookViews>
    <workbookView xWindow="60" yWindow="500" windowWidth="37480" windowHeight="211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<sst xmlns="http://schemas.openxmlformats.org/spreadsheetml/2006/main" count="6292" uniqueCount="801">
  <si>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</si>
  <si>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</si>
  <si>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</si>
  <si>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</si>
  <si>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</si>
  <si>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</si>
  <si>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</si>
  <si>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</si>
  <si>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</si>
  <si>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</si>
  <si>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</si>
  <si>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</si>
  <si>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</si>
  <si>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</si>
  <si>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</si>
  <si>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</si>
  <si>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</si>
  <si>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</si>
  <si>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</si>
  <si>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</si>
  <si>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</si>
  <si>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</si>
  <si>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</si>
  <si>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</si>
  <si>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</si>
  <si>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</si>
  <si>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</si>
  <si>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</si>
  <si>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</si>
  <si>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</si>
  <si>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</si>
  <si>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</si>
  <si>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</si>
  <si>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</si>
  <si>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</si>
  <si>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</si>
  <si>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</si>
  <si>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</si>
  <si>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</si>
  <si>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</si>
  <si>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</si>
  <si>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</si>
  <si>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</si>
  <si>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</si>
  <si>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</si>
  <si>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</si>
  <si>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</si>
  <si>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</si>
  <si>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</si>
  <si>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</si>
  <si>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</si>
  <si>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</si>
  <si>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</si>
  <si>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</si>
  <si>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</si>
  <si>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</si>
  <si>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</si>
  <si>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</si>
  <si>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</si>
  <si>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</si>
  <si>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</si>
  <si>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</si>
  <si>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</si>
  <si>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</si>
  <si>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</si>
  <si>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</si>
  <si>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</si>
  <si>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</si>
  <si>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</si>
  <si>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</si>
  <si>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</si>
  <si>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</si>
  <si>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</si>
  <si>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</si>
  <si>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</si>
  <si>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</si>
  <si>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</si>
  <si>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</si>
  <si>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</si>
  <si>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</si>
  <si>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</si>
  <si>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</si>
  <si>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</si>
  <si>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</si>
  <si>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</si>
  <si>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</si>
  <si>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</si>
  <si>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</si>
  <si>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</si>
  <si>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</si>
  <si>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</si>
  <si>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</si>
  <si>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</si>
  <si>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</si>
  <si>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</si>
  <si>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</si>
  <si>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</si>
  <si>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</si>
  <si>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</si>
  <si>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</si>
  <si>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</si>
  <si>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</si>
  <si>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</si>
  <si>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</si>
  <si>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</si>
  <si>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</si>
  <si>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</si>
  <si>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</si>
  <si>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</si>
  <si>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</si>
  <si>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</si>
  <si>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</si>
  <si>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</si>
  <si>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</si>
  <si>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</si>
  <si>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</si>
  <si>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</si>
  <si>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</si>
  <si>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</si>
  <si>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</si>
  <si>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</si>
  <si>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</si>
  <si>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</si>
  <si>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</si>
  <si>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</si>
  <si>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</si>
  <si>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</si>
  <si>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</si>
  <si>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</si>
  <si>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</si>
  <si>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</si>
  <si>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</si>
  <si>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</si>
  <si>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</si>
  <si>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</si>
  <si>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</si>
  <si>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</si>
  <si>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</si>
  <si>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</si>
  <si>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</si>
  <si>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</si>
  <si>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</si>
  <si>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</si>
  <si>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</si>
  <si>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</si>
  <si>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</si>
  <si>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</si>
  <si>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</si>
  <si>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</si>
  <si>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</si>
  <si>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</si>
  <si>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</si>
  <si>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</si>
  <si>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</si>
  <si>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</si>
  <si>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</si>
  <si>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</si>
  <si>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</si>
  <si>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</si>
  <si>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</si>
  <si>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</si>
  <si>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</si>
  <si>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</si>
  <si>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</si>
  <si>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</si>
  <si>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</si>
  <si>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</si>
  <si>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</si>
  <si>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</si>
  <si>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</si>
  <si>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</si>
  <si>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</si>
  <si>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</si>
  <si>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</si>
  <si>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</si>
  <si>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</si>
  <si>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</si>
  <si>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</si>
  <si>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</si>
  <si>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</si>
  <si>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</si>
  <si>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</si>
  <si>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</si>
  <si>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</si>
  <si>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</si>
  <si>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</si>
  <si>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</si>
  <si>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</si>
  <si>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</si>
  <si>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</si>
  <si>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</si>
  <si>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</si>
  <si>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</si>
  <si>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</si>
  <si>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</si>
  <si>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</si>
  <si>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</si>
  <si>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</si>
  <si>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</si>
  <si>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</si>
  <si>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</si>
  <si>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</si>
  <si>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</si>
  <si>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</si>
  <si>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</si>
  <si>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</si>
  <si>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</si>
  <si>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</si>
  <si>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</si>
  <si>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</si>
  <si>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</si>
  <si>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</si>
  <si>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</si>
  <si>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</si>
  <si>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</si>
  <si>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</si>
  <si>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</si>
  <si>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</si>
  <si>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</si>
  <si>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</si>
  <si>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</si>
  <si>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</si>
  <si>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</si>
  <si>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</si>
  <si>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</si>
  <si>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</si>
  <si>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</si>
  <si>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</si>
  <si>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</si>
  <si>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</si>
  <si>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</si>
  <si>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</si>
  <si>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</si>
  <si>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</si>
  <si>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</si>
  <si>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</si>
  <si>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</si>
  <si>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</si>
  <si>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</si>
  <si>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</si>
  <si>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</si>
  <si>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</si>
  <si>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</si>
  <si>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</si>
  <si>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</si>
  <si>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</si>
  <si>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</si>
  <si>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</si>
  <si>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</si>
  <si>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</si>
  <si>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</si>
  <si>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</si>
  <si>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</si>
  <si>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</si>
  <si>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</si>
  <si>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</si>
  <si>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</si>
  <si>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</si>
  <si>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</si>
  <si>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</si>
  <si>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</si>
  <si>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</si>
  <si>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</si>
  <si>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</si>
  <si>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</si>
  <si>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</si>
  <si>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</si>
  <si>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</si>
  <si>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</si>
  <si>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</si>
  <si>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</si>
  <si>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</si>
  <si>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</si>
  <si>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</si>
  <si>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</si>
  <si>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</si>
  <si>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</si>
  <si>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</si>
  <si>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</si>
  <si>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</si>
  <si>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</si>
  <si>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</si>
  <si>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</si>
  <si>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</si>
  <si>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</si>
  <si>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</si>
  <si>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</si>
  <si>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</si>
  <si>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</si>
  <si>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</si>
  <si>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</si>
  <si>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</si>
  <si>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</si>
  <si>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</si>
  <si>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</si>
  <si>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</si>
  <si>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</si>
  <si>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</si>
  <si>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</si>
  <si>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</si>
  <si>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</si>
  <si>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</si>
  <si>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</si>
  <si>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</si>
  <si>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</si>
  <si>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</si>
  <si>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</si>
  <si>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</si>
  <si>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</si>
  <si>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</si>
  <si>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</si>
  <si>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</si>
  <si>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</si>
  <si>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</si>
  <si>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</si>
  <si>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</si>
  <si>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</si>
  <si>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</si>
  <si>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</si>
  <si>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</si>
  <si>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</si>
  <si>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</si>
  <si>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</si>
  <si>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</si>
  <si>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</si>
  <si>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</si>
  <si>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</si>
  <si>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</si>
  <si>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</si>
  <si>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</si>
  <si>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</si>
  <si>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</si>
  <si>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</si>
  <si>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</si>
  <si>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</si>
  <si>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</si>
  <si>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</si>
  <si>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</si>
  <si>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</si>
  <si>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</si>
  <si>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</si>
  <si>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</si>
  <si>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</si>
  <si>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</si>
  <si>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</si>
  <si>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</si>
  <si>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</si>
  <si>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</si>
  <si>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</si>
  <si>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</si>
  <si>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</si>
  <si>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</si>
  <si>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</si>
  <si>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</si>
  <si>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</si>
  <si>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</si>
  <si>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</si>
  <si>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</si>
  <si>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</si>
  <si>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</si>
  <si>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</si>
  <si>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</si>
  <si>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</si>
  <si>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</si>
  <si>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</si>
  <si>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</si>
  <si>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</si>
  <si>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</si>
  <si>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</si>
  <si>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</si>
  <si>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</si>
  <si>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</si>
  <si>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</si>
  <si>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</si>
  <si>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</si>
  <si>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</si>
  <si>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</si>
  <si>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</si>
  <si>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</si>
  <si>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</si>
  <si>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</si>
  <si>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</si>
  <si>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</si>
  <si>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</si>
  <si>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</si>
  <si>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</si>
  <si>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</si>
  <si>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</si>
  <si>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</si>
  <si>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</si>
  <si>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</si>
  <si>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</si>
  <si>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</si>
  <si>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</si>
  <si>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</si>
  <si>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</si>
  <si>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</si>
  <si>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</si>
  <si>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</si>
  <si>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</si>
  <si>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</si>
  <si>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</si>
  <si>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</si>
  <si>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</si>
  <si>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</si>
  <si>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</si>
  <si>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</si>
  <si>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</si>
  <si>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</si>
  <si>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</si>
  <si>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</si>
  <si>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</si>
  <si>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</si>
  <si>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</si>
  <si>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</si>
  <si>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</si>
  <si>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</si>
  <si>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</si>
  <si>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</si>
  <si>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</si>
  <si>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</si>
  <si>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</si>
  <si>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</si>
  <si>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</si>
  <si>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</si>
  <si>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</si>
  <si>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</si>
  <si>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</si>
  <si>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</si>
  <si>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</si>
  <si>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</si>
  <si>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</si>
  <si>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</si>
  <si>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</si>
  <si>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</si>
  <si>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</si>
  <si>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</si>
  <si>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</si>
  <si>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</si>
  <si>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</si>
  <si>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</si>
  <si>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</si>
  <si>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</si>
  <si>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</si>
  <si>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</si>
  <si>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</si>
  <si>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</si>
  <si>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</si>
  <si>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</si>
  <si>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</si>
  <si>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</si>
  <si>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</si>
  <si>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</si>
  <si>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</si>
  <si>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</si>
  <si>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</si>
  <si>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</si>
  <si>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</si>
  <si>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</si>
  <si>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</si>
  <si>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</si>
  <si>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</si>
  <si>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</si>
  <si>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</si>
  <si>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</si>
  <si>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</si>
  <si>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</si>
  <si>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</si>
  <si>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</si>
  <si>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</si>
  <si>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</si>
  <si>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</si>
  <si>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</si>
  <si>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</si>
  <si>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</si>
  <si>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</si>
  <si>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</si>
  <si>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</si>
  <si>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</si>
  <si>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</si>
  <si>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</si>
  <si>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</si>
  <si>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</si>
  <si>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</si>
  <si>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</si>
  <si>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</si>
  <si>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</si>
  <si>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</si>
  <si>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</si>
  <si>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</si>
  <si>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</si>
  <si>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</si>
  <si>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</si>
  <si>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</si>
  <si>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</si>
  <si>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</si>
  <si>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</si>
  <si>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</si>
  <si>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</si>
  <si>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</si>
  <si>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</si>
  <si>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</si>
  <si>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</si>
  <si>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</si>
  <si>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</si>
  <si>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</si>
  <si>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</si>
  <si>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</si>
  <si>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</si>
  <si>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</si>
  <si>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</si>
  <si>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</si>
  <si>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</si>
  <si>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</si>
  <si>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</si>
  <si>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</si>
  <si>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</si>
  <si>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</si>
  <si>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</si>
  <si>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</si>
  <si>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</si>
  <si>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</si>
  <si>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</si>
  <si>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</si>
  <si>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</si>
  <si>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</si>
  <si>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</si>
  <si>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</si>
  <si>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</si>
  <si>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</si>
  <si>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</si>
  <si>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</si>
  <si>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</si>
  <si>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</si>
  <si>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</si>
  <si>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</si>
  <si>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</si>
  <si>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</si>
  <si>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</si>
  <si>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</si>
  <si>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</si>
  <si>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</si>
  <si>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</si>
  <si>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</si>
  <si>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</si>
  <si>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</si>
  <si>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</si>
  <si>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</si>
  <si>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</si>
  <si>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</si>
  <si>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</si>
  <si>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</si>
  <si>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</si>
  <si>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</si>
  <si>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</si>
  <si>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</si>
  <si>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</si>
  <si>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</si>
  <si>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</si>
  <si>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</si>
  <si>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</si>
  <si>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</si>
  <si>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</si>
  <si>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</si>
  <si>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</si>
  <si>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</si>
  <si>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</si>
  <si>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</si>
  <si>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</si>
  <si>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</si>
  <si>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</si>
  <si>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</si>
  <si>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</si>
  <si>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</si>
  <si>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</si>
  <si>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</si>
  <si>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</si>
  <si>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</si>
  <si>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</si>
  <si>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</si>
  <si>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</si>
  <si>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</si>
  <si>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</si>
  <si>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</si>
  <si>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</si>
  <si>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</si>
  <si>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</si>
  <si>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</si>
  <si>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</si>
  <si>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</si>
  <si>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</si>
  <si>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</si>
  <si>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</si>
  <si>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</si>
  <si>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</si>
  <si>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</si>
  <si>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</si>
  <si>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</si>
  <si>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</si>
  <si>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</si>
  <si>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</si>
  <si>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</si>
  <si>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</si>
  <si>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</si>
  <si>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</si>
  <si>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</si>
  <si>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</si>
  <si>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</si>
  <si>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</si>
  <si>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</si>
  <si>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</si>
  <si>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</si>
  <si>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</si>
  <si>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</si>
  <si>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</si>
  <si>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</si>
  <si>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</si>
  <si>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</si>
  <si>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</si>
  <si>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</si>
  <si>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</si>
  <si>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</si>
  <si>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</si>
  <si>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</si>
  <si>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</si>
  <si>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</si>
  <si>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</si>
  <si>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</si>
  <si>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</si>
  <si>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</si>
  <si>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</si>
  <si>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</si>
  <si>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</si>
  <si>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</si>
  <si>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</si>
  <si>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</si>
  <si>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</si>
  <si>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</si>
  <si>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</si>
  <si>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</si>
  <si>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</si>
  <si>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</si>
  <si>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</si>
  <si>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</si>
  <si>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</si>
  <si>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</si>
  <si>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</si>
  <si>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</si>
  <si>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</si>
  <si>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</si>
  <si>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</si>
  <si>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</si>
  <si>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</si>
  <si>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</si>
  <si>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</si>
  <si>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</si>
  <si>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</si>
  <si>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</si>
  <si>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</si>
  <si>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</si>
  <si>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</si>
  <si>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</si>
  <si>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</si>
  <si>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</si>
  <si>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</si>
  <si>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</si>
  <si>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</si>
  <si>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</si>
  <si>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</si>
  <si>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</si>
  <si>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</si>
  <si>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</si>
  <si>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</si>
  <si>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</si>
  <si>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</si>
  <si>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</si>
  <si>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</si>
  <si>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</si>
  <si>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</si>
  <si>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</si>
  <si>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</si>
  <si>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</si>
  <si>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</si>
  <si>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</si>
  <si>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</si>
  <si>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</si>
  <si>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</si>
  <si>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</si>
  <si>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</si>
  <si>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</si>
  <si>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</si>
  <si>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</si>
  <si>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</si>
  <si>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</si>
  <si>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</si>
  <si>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</si>
  <si>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</si>
  <si>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</si>
  <si>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</si>
  <si>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</si>
  <si>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</si>
  <si>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</si>
  <si>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</si>
  <si>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</si>
  <si>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</si>
  <si>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</si>
  <si>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</si>
  <si>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</si>
  <si>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</si>
  <si>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</si>
  <si>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</si>
  <si>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</si>
  <si>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</si>
  <si>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</si>
  <si>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</si>
  <si>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</si>
  <si>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</si>
  <si>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</si>
  <si>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</si>
  <si>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</si>
  <si>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</si>
  <si>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</si>
  <si>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</si>
  <si>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</si>
  <si>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</si>
  <si>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</si>
  <si>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</si>
  <si>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</si>
  <si>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</si>
  <si>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</si>
  <si>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</si>
  <si>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</si>
  <si>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</si>
  <si>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</si>
  <si>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</si>
  <si>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</si>
  <si>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</si>
  <si>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</si>
  <si>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</si>
  <si>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</si>
  <si>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</si>
  <si>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</si>
  <si>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</si>
  <si>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</si>
  <si>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</si>
  <si>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</si>
  <si>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</si>
  <si>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</si>
  <si>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</si>
  <si>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</si>
  <si>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</si>
  <si>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</si>
  <si>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</si>
  <si>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</si>
  <si>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</si>
  <si>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</si>
  <si>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</si>
  <si>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</si>
  <si>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</si>
  <si>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</si>
  <si>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</si>
  <si>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</si>
  <si>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</si>
  <si>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</si>
  <si>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</si>
  <si>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</si>
  <si>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</si>
  <si>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</si>
  <si>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</si>
  <si>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</si>
  <si>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</si>
  <si>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</si>
  <si>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</si>
  <si>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</si>
  <si>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</si>
  <si>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</si>
  <si>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</si>
  <si>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</si>
  <si>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</si>
  <si>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</si>
  <si>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</si>
  <si>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</si>
  <si>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</si>
  <si>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</si>
  <si>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</si>
  <si>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</si>
  <si>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</si>
  <si>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</si>
  <si>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</si>
  <si>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</si>
  <si>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</si>
  <si>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</si>
  <si>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</si>
  <si>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</si>
  <si>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</si>
  <si>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</si>
  <si>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</si>
  <si>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</si>
  <si>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</si>
  <si>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</si>
  <si>
    <t>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</si>
</sst>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7">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4" Type="http://schemas.openxmlformats.org/officeDocument/2006/relationships/revisionLog" Target="revisionLog44.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8" Type="http://schemas.openxmlformats.org/officeDocument/2006/relationships/revisionLog" Target="revisionLog8.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20" Type="http://schemas.openxmlformats.org/officeDocument/2006/relationships/revisionLog" Target="revisionLog20.xml"/><Relationship Id="rId41" Type="http://schemas.openxmlformats.org/officeDocument/2006/relationships/revisionLog" Target="revisionLog41.xml"/><Relationship Id="rId1" Type="http://schemas.openxmlformats.org/officeDocument/2006/relationships/revisionLog" Target="revisionLog1.xml"/><Relationship Id="rId6" Type="http://schemas.openxmlformats.org/officeDocument/2006/relationships/revisionLog" Target="revisionLog6.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89B9D2D-545D-9F42-99B4-5841168B44AA}" diskRevisions="1" revisionId="7899" version="49">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8">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89B9D2D-545D-9F42-99B4-5841168B44AA}" name="Andre Scheepers" id="-922230544" dateTime="2026-09-28T18:52:2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tabSelected="1" zoomScale="75" zoomScaleNormal="90" workbookViewId="0">
      <pane ySplit="1" topLeftCell="A68" activePane="bottomLeft" state="frozen"/>
      <selection activeCell="J1" sqref="J1"/>
      <selection pane="bottomLeft" activeCell="J104" sqref="J104"/>
    </sheetView>
  </sheetViews>
  <sheetFormatPr baseColWidth="10" defaultRowHeight="16"/>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5"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c r="A1" s="1" t="s">
        <v>0</v>
      </c>
      <c r="B1" s="1" t="s">
        <v>1</v>
      </c>
      <c r="C1" s="1" t="s">
        <v>797</v>
      </c>
      <c r="D1" s="1" t="s">
        <v>779</v>
      </c>
      <c r="E1" s="1" t="s">
        <v>2</v>
      </c>
      <c r="F1" s="4" t="s">
        <v>31</v>
      </c>
      <c r="G1" s="1" t="s">
        <v>4</v>
      </c>
      <c r="H1" s="6" t="s">
        <v>5</v>
      </c>
      <c r="I1" s="1" t="s">
        <v>789</v>
      </c>
      <c r="J1" s="6" t="s">
        <v>790</v>
      </c>
      <c r="K1" s="1" t="s">
        <v>6</v>
      </c>
      <c r="L1" s="1" t="s">
        <v>794</v>
      </c>
      <c r="M1" s="1" t="s">
        <v>793</v>
      </c>
      <c r="N1" s="1" t="s">
        <v>796</v>
      </c>
      <c r="O1" s="5" t="s">
        <v>795</v>
      </c>
      <c r="P1" s="5" t="s">
        <v>799</v>
      </c>
      <c r="Q1" s="5" t="s">
        <v>798</v>
      </c>
      <c r="R1" s="2" t="s">
        <v>791</v>
      </c>
      <c r="S1" s="2" t="s">
        <v>792</v>
      </c>
      <c r="T1" s="1" t="s">
        <v>331</v>
      </c>
      <c r="U1" s="1" t="s">
        <v>15</v>
      </c>
      <c r="V1" s="2" t="s">
        <v>663</v>
      </c>
      <c r="W1" s="4" t="s">
        <v>644</v>
      </c>
    </row>
    <row r="2" spans="1:23">
      <c r="A2" s="1">
        <v>1</v>
      </c>
      <c r="B2" s="1">
        <v>1.2</v>
      </c>
      <c r="C2" s="1" t="s">
        <v>782</v>
      </c>
      <c r="E2" s="1" t="s">
        <v>19</v>
      </c>
      <c r="F2" s="4">
        <v>45340</v>
      </c>
      <c r="P2" s="5" t="s">
        <v>800</v>
      </c>
      <c r="Q2" s="5" t="s">
        <v>800</v>
      </c>
      <c r="R2" s="1">
        <v>57.4</v>
      </c>
      <c r="U2" s="1" t="s">
        <v>20</v>
      </c>
    </row>
    <row r="3" spans="1:23">
      <c r="A3" s="1">
        <v>1</v>
      </c>
      <c r="B3" s="1">
        <v>1.1000000000000001</v>
      </c>
      <c r="C3" s="1" t="s">
        <v>782</v>
      </c>
      <c r="D3" s="1">
        <v>1</v>
      </c>
      <c r="E3" s="1" t="s">
        <v>17</v>
      </c>
      <c r="F3" s="4">
        <v>45342</v>
      </c>
      <c r="K3" s="3">
        <v>0.22586805555555556</v>
      </c>
      <c r="P3" s="5" t="s">
        <v>800</v>
      </c>
      <c r="Q3" s="5" t="s">
        <v>800</v>
      </c>
      <c r="R3" s="1">
        <v>57.4</v>
      </c>
      <c r="T3" s="1">
        <v>0</v>
      </c>
      <c r="U3" s="1" t="s">
        <v>18</v>
      </c>
    </row>
    <row r="4" spans="1:23">
      <c r="A4" s="1">
        <v>1</v>
      </c>
      <c r="B4" s="1">
        <v>1.2</v>
      </c>
      <c r="C4" s="1" t="s">
        <v>782</v>
      </c>
      <c r="D4" s="1">
        <v>1</v>
      </c>
      <c r="E4" s="1" t="s">
        <v>25</v>
      </c>
      <c r="F4" s="4">
        <v>45346</v>
      </c>
      <c r="I4" s="3">
        <v>8.4722222222222213E-3</v>
      </c>
      <c r="K4" s="3">
        <v>0.75783564814814808</v>
      </c>
      <c r="P4" s="5" t="s">
        <v>800</v>
      </c>
      <c r="Q4" s="5" t="s">
        <v>800</v>
      </c>
      <c r="U4" s="1" t="s">
        <v>26</v>
      </c>
    </row>
    <row r="5" spans="1:23">
      <c r="A5" s="1">
        <v>1</v>
      </c>
      <c r="B5" s="1">
        <v>1.2</v>
      </c>
      <c r="C5" s="1" t="s">
        <v>782</v>
      </c>
      <c r="D5" s="1">
        <v>2</v>
      </c>
      <c r="E5" s="1" t="s">
        <v>25</v>
      </c>
      <c r="F5" s="4">
        <v>45346</v>
      </c>
      <c r="I5" s="3">
        <v>1.5740740740740743E-2</v>
      </c>
      <c r="J5" s="6">
        <v>1.7187499999999998E-2</v>
      </c>
      <c r="K5" s="3">
        <v>0.75783564814814808</v>
      </c>
      <c r="P5" s="5" t="s">
        <v>800</v>
      </c>
      <c r="Q5" s="5" t="s">
        <v>800</v>
      </c>
      <c r="U5" s="1" t="s">
        <v>27</v>
      </c>
    </row>
    <row r="6" spans="1:23">
      <c r="A6" s="1">
        <v>1</v>
      </c>
      <c r="B6" s="1">
        <v>1.2</v>
      </c>
      <c r="C6" s="1" t="s">
        <v>782</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5">
        <v>1</v>
      </c>
      <c r="P6" s="5" t="s">
        <v>800</v>
      </c>
      <c r="Q6" s="5" t="s">
        <v>800</v>
      </c>
      <c r="T6" s="1">
        <v>0</v>
      </c>
      <c r="U6" s="1" t="s">
        <v>35</v>
      </c>
    </row>
    <row r="7" spans="1:23">
      <c r="A7" s="1">
        <v>1</v>
      </c>
      <c r="B7" s="1">
        <v>1.2</v>
      </c>
      <c r="C7" s="1" t="s">
        <v>782</v>
      </c>
      <c r="D7" s="1" t="s">
        <v>21</v>
      </c>
      <c r="E7" s="1" t="s">
        <v>21</v>
      </c>
      <c r="F7" s="4">
        <v>45347</v>
      </c>
      <c r="G7" s="1" t="s">
        <v>21</v>
      </c>
      <c r="H7" s="6" t="s">
        <v>21</v>
      </c>
      <c r="I7" s="1" t="s">
        <v>21</v>
      </c>
      <c r="J7" s="6" t="s">
        <v>21</v>
      </c>
      <c r="K7" s="1" t="s">
        <v>21</v>
      </c>
      <c r="L7" s="1" t="s">
        <v>21</v>
      </c>
      <c r="M7" s="1" t="s">
        <v>21</v>
      </c>
      <c r="N7" s="1" t="s">
        <v>21</v>
      </c>
      <c r="O7" s="5" t="s">
        <v>21</v>
      </c>
      <c r="P7" s="5" t="s">
        <v>800</v>
      </c>
      <c r="Q7" s="5" t="s">
        <v>800</v>
      </c>
      <c r="R7" s="1">
        <v>57.4</v>
      </c>
      <c r="T7" s="1" t="s">
        <v>21</v>
      </c>
      <c r="U7" s="1" t="s">
        <v>36</v>
      </c>
    </row>
    <row r="8" spans="1:23">
      <c r="A8" s="1">
        <v>1</v>
      </c>
      <c r="B8" s="1">
        <v>1.2</v>
      </c>
      <c r="C8" s="1" t="s">
        <v>782</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5">
        <v>1</v>
      </c>
      <c r="P8" s="5" t="s">
        <v>800</v>
      </c>
      <c r="Q8" s="5" t="s">
        <v>800</v>
      </c>
      <c r="T8" s="1">
        <v>0</v>
      </c>
      <c r="U8" s="1" t="s">
        <v>34</v>
      </c>
    </row>
    <row r="9" spans="1:23">
      <c r="A9" s="1">
        <v>1</v>
      </c>
      <c r="B9" s="1">
        <v>1.2</v>
      </c>
      <c r="C9" s="1" t="s">
        <v>782</v>
      </c>
      <c r="D9" s="1">
        <v>1</v>
      </c>
      <c r="E9" s="1" t="s">
        <v>46</v>
      </c>
      <c r="F9" s="4">
        <v>45348</v>
      </c>
      <c r="G9" s="3">
        <f t="shared" si="0"/>
        <v>0.77690972222222221</v>
      </c>
      <c r="H9" s="6" t="s">
        <v>21</v>
      </c>
      <c r="I9" s="3">
        <v>2.1898148148148149E-2</v>
      </c>
      <c r="J9" s="6" t="s">
        <v>21</v>
      </c>
      <c r="K9" s="3">
        <v>0.75501157407407404</v>
      </c>
      <c r="L9" s="1" t="s">
        <v>8</v>
      </c>
      <c r="M9" s="1" t="s">
        <v>21</v>
      </c>
      <c r="N9" s="1">
        <v>1</v>
      </c>
      <c r="O9" s="5" t="s">
        <v>21</v>
      </c>
      <c r="P9" s="5" t="s">
        <v>800</v>
      </c>
      <c r="Q9" s="5" t="s">
        <v>800</v>
      </c>
      <c r="R9" s="1">
        <v>57.4</v>
      </c>
      <c r="T9" s="1" t="s">
        <v>21</v>
      </c>
      <c r="U9" s="1" t="s">
        <v>47</v>
      </c>
    </row>
    <row r="10" spans="1:23">
      <c r="A10" s="1">
        <v>1</v>
      </c>
      <c r="B10" s="1">
        <v>1.2</v>
      </c>
      <c r="C10" s="1" t="s">
        <v>782</v>
      </c>
      <c r="D10" s="1">
        <v>1</v>
      </c>
      <c r="E10" s="1" t="s">
        <v>40</v>
      </c>
      <c r="F10" s="4">
        <v>45349</v>
      </c>
      <c r="G10" s="3">
        <f t="shared" si="0"/>
        <v>0.77561342592592586</v>
      </c>
      <c r="H10" s="6" t="s">
        <v>21</v>
      </c>
      <c r="I10" s="3">
        <v>1.9212962962962963E-2</v>
      </c>
      <c r="J10" s="6" t="s">
        <v>21</v>
      </c>
      <c r="K10" s="3">
        <v>0.75640046296296293</v>
      </c>
      <c r="L10" s="1" t="s">
        <v>7</v>
      </c>
      <c r="M10" s="1" t="s">
        <v>21</v>
      </c>
      <c r="N10" s="1">
        <v>1</v>
      </c>
      <c r="O10" s="5" t="s">
        <v>21</v>
      </c>
      <c r="P10" s="5" t="s">
        <v>800</v>
      </c>
      <c r="Q10" s="5" t="s">
        <v>800</v>
      </c>
      <c r="R10" s="1">
        <v>57.4</v>
      </c>
      <c r="T10" s="1" t="s">
        <v>21</v>
      </c>
      <c r="U10" s="1" t="s">
        <v>41</v>
      </c>
    </row>
    <row r="11" spans="1:23">
      <c r="A11" s="1">
        <v>1</v>
      </c>
      <c r="B11" s="1">
        <v>1.2</v>
      </c>
      <c r="C11" s="1" t="s">
        <v>782</v>
      </c>
      <c r="D11" s="1">
        <v>1</v>
      </c>
      <c r="E11" s="1" t="s">
        <v>44</v>
      </c>
      <c r="F11" s="4">
        <v>45349</v>
      </c>
      <c r="G11" s="3">
        <f t="shared" si="0"/>
        <v>0.25958333333333333</v>
      </c>
      <c r="H11" s="6">
        <f>J11+K11</f>
        <v>0.2727546296296296</v>
      </c>
      <c r="I11" s="3">
        <v>3.4212962962962966E-2</v>
      </c>
      <c r="J11" s="6">
        <v>4.7384259259259258E-2</v>
      </c>
      <c r="K11" s="3">
        <v>0.22537037037037036</v>
      </c>
      <c r="L11" s="1" t="s">
        <v>7</v>
      </c>
      <c r="M11" s="1" t="s">
        <v>7</v>
      </c>
      <c r="N11" s="1">
        <v>1</v>
      </c>
      <c r="O11" s="5">
        <v>1</v>
      </c>
      <c r="P11" s="5" t="s">
        <v>800</v>
      </c>
      <c r="Q11" s="5" t="s">
        <v>800</v>
      </c>
      <c r="R11" s="1">
        <v>57.4</v>
      </c>
      <c r="T11" s="1">
        <v>1</v>
      </c>
      <c r="U11" s="1" t="s">
        <v>45</v>
      </c>
    </row>
    <row r="12" spans="1:23">
      <c r="A12" s="1">
        <v>1</v>
      </c>
      <c r="B12" s="1">
        <v>1.2</v>
      </c>
      <c r="C12" s="1" t="s">
        <v>782</v>
      </c>
      <c r="D12" s="1">
        <v>1</v>
      </c>
      <c r="E12" s="1" t="s">
        <v>42</v>
      </c>
      <c r="F12" s="4">
        <v>45350</v>
      </c>
      <c r="G12" s="3">
        <f t="shared" si="0"/>
        <v>0.25112268518518521</v>
      </c>
      <c r="H12" s="6">
        <f>J12+K12</f>
        <v>0.26076388888888891</v>
      </c>
      <c r="I12" s="3">
        <v>1.5069444444444443E-2</v>
      </c>
      <c r="J12" s="6">
        <v>2.4710648148148148E-2</v>
      </c>
      <c r="K12" s="3">
        <v>0.23605324074074074</v>
      </c>
      <c r="L12" s="1" t="s">
        <v>7</v>
      </c>
      <c r="M12" s="1" t="s">
        <v>8</v>
      </c>
      <c r="N12" s="1">
        <v>1</v>
      </c>
      <c r="O12" s="5">
        <v>1</v>
      </c>
      <c r="P12" s="5" t="s">
        <v>800</v>
      </c>
      <c r="Q12" s="5" t="s">
        <v>800</v>
      </c>
      <c r="R12" s="1">
        <v>57.4</v>
      </c>
      <c r="T12" s="1">
        <v>1</v>
      </c>
      <c r="U12" s="1" t="s">
        <v>43</v>
      </c>
    </row>
    <row r="13" spans="1:23">
      <c r="A13" s="1">
        <v>1</v>
      </c>
      <c r="B13" s="1">
        <v>1.2</v>
      </c>
      <c r="C13" s="1" t="s">
        <v>782</v>
      </c>
      <c r="D13" s="1">
        <v>1</v>
      </c>
      <c r="E13" s="1" t="s">
        <v>56</v>
      </c>
      <c r="F13" s="4">
        <v>45350</v>
      </c>
      <c r="G13" s="3">
        <f t="shared" si="0"/>
        <v>0.77673611111111096</v>
      </c>
      <c r="H13" s="6">
        <f>J13+K13</f>
        <v>0.77898148148148139</v>
      </c>
      <c r="I13" s="3">
        <v>1.2719907407407407E-2</v>
      </c>
      <c r="J13" s="6">
        <v>1.4965277777777779E-2</v>
      </c>
      <c r="K13" s="3">
        <v>0.7640162037037036</v>
      </c>
      <c r="L13" s="1" t="s">
        <v>55</v>
      </c>
      <c r="M13" s="1" t="s">
        <v>55</v>
      </c>
      <c r="N13" s="1">
        <v>3</v>
      </c>
      <c r="O13" s="5">
        <v>3</v>
      </c>
      <c r="P13" s="5" t="s">
        <v>800</v>
      </c>
      <c r="Q13" s="5" t="s">
        <v>800</v>
      </c>
      <c r="R13" s="1">
        <v>57.4</v>
      </c>
      <c r="T13" s="1">
        <v>1</v>
      </c>
      <c r="U13" s="1" t="s">
        <v>57</v>
      </c>
    </row>
    <row r="14" spans="1:23">
      <c r="A14" s="1">
        <v>1</v>
      </c>
      <c r="B14" s="1">
        <v>1.2</v>
      </c>
      <c r="C14" s="1" t="s">
        <v>782</v>
      </c>
      <c r="D14" s="1">
        <v>1</v>
      </c>
      <c r="E14" s="1" t="s">
        <v>54</v>
      </c>
      <c r="F14" s="4">
        <v>45351</v>
      </c>
      <c r="G14" s="3">
        <f t="shared" si="0"/>
        <v>0.77805555555555561</v>
      </c>
      <c r="H14" s="6">
        <f>J14+K14</f>
        <v>0.78778935185185184</v>
      </c>
      <c r="I14" s="3">
        <v>2.7071759259259257E-2</v>
      </c>
      <c r="J14" s="6">
        <v>3.6805555555555557E-2</v>
      </c>
      <c r="K14" s="3">
        <v>0.7509837962962963</v>
      </c>
      <c r="L14" s="1" t="s">
        <v>55</v>
      </c>
      <c r="M14" s="1" t="s">
        <v>55</v>
      </c>
      <c r="N14" s="1">
        <v>3</v>
      </c>
      <c r="O14" s="5">
        <v>3</v>
      </c>
      <c r="P14" s="5" t="s">
        <v>800</v>
      </c>
      <c r="Q14" s="5" t="s">
        <v>800</v>
      </c>
      <c r="R14" s="1">
        <v>57.4</v>
      </c>
      <c r="T14" s="1">
        <v>1</v>
      </c>
    </row>
    <row r="15" spans="1:23">
      <c r="A15" s="1">
        <v>1</v>
      </c>
      <c r="B15" s="1">
        <v>1.2</v>
      </c>
      <c r="C15" s="1" t="s">
        <v>782</v>
      </c>
      <c r="D15" s="1" t="s">
        <v>21</v>
      </c>
      <c r="E15" s="1" t="s">
        <v>21</v>
      </c>
      <c r="F15" s="4">
        <v>45351</v>
      </c>
      <c r="G15" s="1" t="s">
        <v>21</v>
      </c>
      <c r="H15" s="6" t="s">
        <v>21</v>
      </c>
      <c r="I15" s="1" t="s">
        <v>21</v>
      </c>
      <c r="J15" s="6" t="s">
        <v>21</v>
      </c>
      <c r="K15" s="1" t="s">
        <v>21</v>
      </c>
      <c r="L15" s="1" t="s">
        <v>55</v>
      </c>
      <c r="M15" s="1" t="s">
        <v>55</v>
      </c>
      <c r="N15" s="1" t="s">
        <v>21</v>
      </c>
      <c r="O15" s="1" t="s">
        <v>21</v>
      </c>
      <c r="P15" s="5" t="s">
        <v>800</v>
      </c>
      <c r="Q15" s="5" t="s">
        <v>800</v>
      </c>
      <c r="R15" s="1">
        <v>57.4</v>
      </c>
      <c r="T15" s="1" t="s">
        <v>21</v>
      </c>
      <c r="U15" s="1" t="s">
        <v>204</v>
      </c>
    </row>
    <row r="16" spans="1:23">
      <c r="A16" s="1">
        <v>1</v>
      </c>
      <c r="B16" s="1">
        <v>1.2</v>
      </c>
      <c r="C16" s="1" t="s">
        <v>782</v>
      </c>
      <c r="D16" s="1">
        <v>1</v>
      </c>
      <c r="E16" s="1" t="s">
        <v>58</v>
      </c>
      <c r="F16" s="4">
        <v>45352</v>
      </c>
      <c r="G16" s="3">
        <f>I16+K16</f>
        <v>0.22674768518518518</v>
      </c>
      <c r="H16" s="6">
        <f>J16+K16</f>
        <v>0.24906249999999999</v>
      </c>
      <c r="I16" s="3">
        <v>6.6782407407407415E-3</v>
      </c>
      <c r="J16" s="6">
        <v>2.8993055555555553E-2</v>
      </c>
      <c r="K16" s="3">
        <v>0.22006944444444443</v>
      </c>
      <c r="L16" s="1" t="s">
        <v>55</v>
      </c>
      <c r="M16" s="1" t="s">
        <v>55</v>
      </c>
      <c r="N16" s="1">
        <v>3</v>
      </c>
      <c r="O16" s="5">
        <v>3</v>
      </c>
      <c r="P16" s="5" t="s">
        <v>800</v>
      </c>
      <c r="Q16" s="5" t="s">
        <v>800</v>
      </c>
      <c r="R16" s="1">
        <v>57.4</v>
      </c>
      <c r="T16" s="1">
        <v>0</v>
      </c>
    </row>
    <row r="17" spans="1:23">
      <c r="A17" s="1">
        <v>1</v>
      </c>
      <c r="B17" s="1">
        <v>1.2</v>
      </c>
      <c r="C17" s="1" t="s">
        <v>782</v>
      </c>
      <c r="D17" s="1">
        <v>2</v>
      </c>
      <c r="E17" s="1" t="s">
        <v>58</v>
      </c>
      <c r="F17" s="4">
        <v>45352</v>
      </c>
      <c r="G17" s="3">
        <f>I17+K17</f>
        <v>0.2519675925925926</v>
      </c>
      <c r="H17" s="6">
        <f>J17+K17</f>
        <v>0.27140046296296294</v>
      </c>
      <c r="I17" s="3">
        <v>3.1898148148148148E-2</v>
      </c>
      <c r="J17" s="6">
        <v>5.1331018518518519E-2</v>
      </c>
      <c r="K17" s="3">
        <v>0.22006944444444443</v>
      </c>
      <c r="L17" s="1" t="s">
        <v>55</v>
      </c>
      <c r="M17" s="1" t="s">
        <v>55</v>
      </c>
      <c r="N17" s="1">
        <v>3</v>
      </c>
      <c r="O17" s="5">
        <v>3</v>
      </c>
      <c r="P17" s="5" t="s">
        <v>800</v>
      </c>
      <c r="Q17" s="5" t="s">
        <v>800</v>
      </c>
      <c r="R17" s="1">
        <v>57.4</v>
      </c>
      <c r="T17" s="1">
        <v>0</v>
      </c>
      <c r="U17" s="1" t="s">
        <v>59</v>
      </c>
    </row>
    <row r="18" spans="1:23">
      <c r="A18" s="1">
        <v>1</v>
      </c>
      <c r="B18" s="1">
        <v>1.2</v>
      </c>
      <c r="C18" s="1" t="s">
        <v>782</v>
      </c>
      <c r="D18" s="1">
        <v>1</v>
      </c>
      <c r="E18" s="1" t="s">
        <v>69</v>
      </c>
      <c r="F18" s="4">
        <v>45352</v>
      </c>
      <c r="G18" s="3">
        <f>I18+K18</f>
        <v>0.77428240740740728</v>
      </c>
      <c r="H18" s="6" t="s">
        <v>21</v>
      </c>
      <c r="I18" s="3">
        <v>2.4259259259259258E-2</v>
      </c>
      <c r="J18" s="6" t="s">
        <v>21</v>
      </c>
      <c r="K18" s="3">
        <v>0.75002314814814808</v>
      </c>
      <c r="L18" s="1" t="s">
        <v>8</v>
      </c>
      <c r="M18" s="1" t="s">
        <v>21</v>
      </c>
      <c r="N18" s="1">
        <v>3</v>
      </c>
      <c r="O18" s="5" t="s">
        <v>21</v>
      </c>
      <c r="P18" s="5" t="s">
        <v>800</v>
      </c>
      <c r="Q18" s="5" t="s">
        <v>800</v>
      </c>
      <c r="R18" s="1">
        <v>57.4</v>
      </c>
      <c r="S18" s="2" t="s">
        <v>21</v>
      </c>
      <c r="T18" s="1" t="s">
        <v>21</v>
      </c>
      <c r="U18" s="1" t="s">
        <v>70</v>
      </c>
    </row>
    <row r="19" spans="1:23">
      <c r="A19" s="1">
        <v>1</v>
      </c>
      <c r="B19" s="1">
        <v>1.2</v>
      </c>
      <c r="C19" s="1" t="s">
        <v>782</v>
      </c>
      <c r="D19" s="1">
        <v>1</v>
      </c>
      <c r="E19" s="1" t="s">
        <v>104</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5" t="s">
        <v>800</v>
      </c>
      <c r="Q19" s="5" t="s">
        <v>800</v>
      </c>
      <c r="R19" s="1">
        <v>57.4</v>
      </c>
      <c r="S19" s="1">
        <v>115.17</v>
      </c>
      <c r="T19" s="1">
        <v>1</v>
      </c>
      <c r="V19" s="1"/>
    </row>
    <row r="20" spans="1:23">
      <c r="A20" s="1">
        <v>1</v>
      </c>
      <c r="B20" s="1">
        <v>1.2</v>
      </c>
      <c r="C20" s="1" t="s">
        <v>782</v>
      </c>
      <c r="D20" s="1" t="s">
        <v>21</v>
      </c>
      <c r="E20" s="1" t="s">
        <v>76</v>
      </c>
      <c r="F20" s="4">
        <v>45353</v>
      </c>
      <c r="G20" s="1" t="s">
        <v>21</v>
      </c>
      <c r="H20" s="6" t="s">
        <v>21</v>
      </c>
      <c r="I20" s="1" t="s">
        <v>21</v>
      </c>
      <c r="J20" s="6" t="s">
        <v>21</v>
      </c>
      <c r="K20" s="3">
        <v>0.74763888888888896</v>
      </c>
      <c r="L20" s="1" t="s">
        <v>7</v>
      </c>
      <c r="M20" s="1" t="s">
        <v>21</v>
      </c>
      <c r="N20" s="1">
        <v>3</v>
      </c>
      <c r="O20" s="5" t="s">
        <v>21</v>
      </c>
      <c r="P20" s="5" t="s">
        <v>800</v>
      </c>
      <c r="Q20" s="5" t="s">
        <v>800</v>
      </c>
      <c r="R20" s="1">
        <v>57.4</v>
      </c>
      <c r="S20" s="2" t="s">
        <v>21</v>
      </c>
      <c r="T20" s="1" t="s">
        <v>21</v>
      </c>
      <c r="U20" s="1" t="s">
        <v>60</v>
      </c>
    </row>
    <row r="21" spans="1:23">
      <c r="A21" s="1">
        <v>1</v>
      </c>
      <c r="B21" s="1">
        <v>1.2</v>
      </c>
      <c r="C21" s="1" t="s">
        <v>782</v>
      </c>
      <c r="D21" s="1">
        <v>1</v>
      </c>
      <c r="E21" s="1" t="s">
        <v>106</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5" t="s">
        <v>800</v>
      </c>
      <c r="Q21" s="5" t="s">
        <v>800</v>
      </c>
      <c r="R21" s="1">
        <v>57.4</v>
      </c>
      <c r="S21" s="1">
        <v>38.4</v>
      </c>
      <c r="T21" s="1">
        <v>0</v>
      </c>
      <c r="U21" s="1" t="s">
        <v>75</v>
      </c>
      <c r="V21" s="1"/>
    </row>
    <row r="22" spans="1:23">
      <c r="A22" s="1">
        <v>1</v>
      </c>
      <c r="B22" s="1">
        <v>1.2</v>
      </c>
      <c r="C22" s="1" t="s">
        <v>782</v>
      </c>
      <c r="D22" s="1" t="s">
        <v>21</v>
      </c>
      <c r="E22" s="1" t="s">
        <v>83</v>
      </c>
      <c r="F22" s="4">
        <v>45354</v>
      </c>
      <c r="G22" s="3">
        <f t="shared" si="1"/>
        <v>0.77482638888888888</v>
      </c>
      <c r="H22" s="6" t="s">
        <v>21</v>
      </c>
      <c r="I22" s="3">
        <v>2.3090277777777779E-2</v>
      </c>
      <c r="J22" s="6" t="s">
        <v>21</v>
      </c>
      <c r="K22" s="3">
        <v>0.75173611111111116</v>
      </c>
      <c r="L22" s="1" t="s">
        <v>8</v>
      </c>
      <c r="M22" s="1" t="s">
        <v>21</v>
      </c>
      <c r="N22" s="1">
        <v>3</v>
      </c>
      <c r="O22" s="5" t="s">
        <v>21</v>
      </c>
      <c r="P22" s="5" t="s">
        <v>800</v>
      </c>
      <c r="Q22" s="5" t="s">
        <v>800</v>
      </c>
      <c r="R22" s="1">
        <v>57.4</v>
      </c>
      <c r="S22" s="2" t="s">
        <v>21</v>
      </c>
      <c r="T22" s="1" t="s">
        <v>21</v>
      </c>
      <c r="U22" s="1" t="s">
        <v>84</v>
      </c>
    </row>
    <row r="23" spans="1:23">
      <c r="A23" s="1">
        <v>1</v>
      </c>
      <c r="B23" s="1">
        <v>1.2</v>
      </c>
      <c r="C23" s="1" t="s">
        <v>782</v>
      </c>
      <c r="D23" s="1">
        <v>1</v>
      </c>
      <c r="E23" s="1" t="s">
        <v>82</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5" t="s">
        <v>800</v>
      </c>
      <c r="Q23" s="5" t="s">
        <v>800</v>
      </c>
      <c r="R23" s="1">
        <v>57.4</v>
      </c>
      <c r="S23" s="1">
        <v>115.17</v>
      </c>
      <c r="T23" s="1">
        <v>1</v>
      </c>
      <c r="V23" s="1"/>
    </row>
    <row r="24" spans="1:23">
      <c r="A24" s="1">
        <v>1</v>
      </c>
      <c r="B24" s="1">
        <v>1.2</v>
      </c>
      <c r="C24" s="1" t="s">
        <v>782</v>
      </c>
      <c r="D24" s="1">
        <v>1</v>
      </c>
      <c r="E24" s="1" t="s">
        <v>94</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5" t="s">
        <v>800</v>
      </c>
      <c r="Q24" s="5" t="s">
        <v>800</v>
      </c>
      <c r="R24" s="1">
        <v>57.4</v>
      </c>
      <c r="S24" s="1">
        <v>57.4</v>
      </c>
      <c r="T24" s="1" t="s">
        <v>21</v>
      </c>
      <c r="U24" s="1" t="s">
        <v>95</v>
      </c>
      <c r="V24" s="1"/>
    </row>
    <row r="25" spans="1:23">
      <c r="A25" s="1">
        <v>1</v>
      </c>
      <c r="B25" s="1">
        <v>1.2</v>
      </c>
      <c r="C25" s="1" t="s">
        <v>782</v>
      </c>
      <c r="D25" s="1">
        <v>1</v>
      </c>
      <c r="E25" s="1" t="s">
        <v>91</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5" t="s">
        <v>800</v>
      </c>
      <c r="Q25" s="5" t="s">
        <v>800</v>
      </c>
      <c r="R25" s="1">
        <v>57.4</v>
      </c>
      <c r="S25" s="1">
        <v>38.4</v>
      </c>
      <c r="T25" s="1">
        <v>0</v>
      </c>
      <c r="U25" s="1" t="s">
        <v>92</v>
      </c>
      <c r="V25" s="1"/>
    </row>
    <row r="26" spans="1:23">
      <c r="A26" s="1">
        <v>1</v>
      </c>
      <c r="B26" s="1">
        <v>1.2</v>
      </c>
      <c r="C26" s="1" t="s">
        <v>782</v>
      </c>
      <c r="D26" s="1" t="s">
        <v>21</v>
      </c>
      <c r="E26" s="1" t="s">
        <v>97</v>
      </c>
      <c r="F26" s="4">
        <v>45356</v>
      </c>
      <c r="G26" s="3">
        <f t="shared" si="1"/>
        <v>0.77171296296296288</v>
      </c>
      <c r="H26" s="6" t="s">
        <v>21</v>
      </c>
      <c r="I26" s="3">
        <v>1.6296296296296295E-2</v>
      </c>
      <c r="J26" s="6" t="s">
        <v>21</v>
      </c>
      <c r="K26" s="3">
        <v>0.75541666666666663</v>
      </c>
      <c r="L26" s="1" t="s">
        <v>8</v>
      </c>
      <c r="M26" s="1" t="s">
        <v>21</v>
      </c>
      <c r="N26" s="1">
        <v>3</v>
      </c>
      <c r="O26" s="5" t="s">
        <v>21</v>
      </c>
      <c r="P26" s="5" t="s">
        <v>800</v>
      </c>
      <c r="Q26" s="5" t="s">
        <v>800</v>
      </c>
      <c r="R26" s="1">
        <v>57.4</v>
      </c>
      <c r="S26" s="2" t="s">
        <v>21</v>
      </c>
      <c r="T26" s="1" t="s">
        <v>21</v>
      </c>
      <c r="U26" s="1" t="s">
        <v>99</v>
      </c>
    </row>
    <row r="27" spans="1:23">
      <c r="A27" s="1">
        <v>1</v>
      </c>
      <c r="B27" s="1">
        <v>1.2</v>
      </c>
      <c r="C27" s="1" t="s">
        <v>782</v>
      </c>
      <c r="D27" s="1" t="s">
        <v>21</v>
      </c>
      <c r="E27" s="1" t="s">
        <v>100</v>
      </c>
      <c r="F27" s="4">
        <v>45357</v>
      </c>
      <c r="G27" s="1" t="s">
        <v>21</v>
      </c>
      <c r="H27" s="6" t="s">
        <v>21</v>
      </c>
      <c r="I27" s="1" t="s">
        <v>21</v>
      </c>
      <c r="J27" s="6" t="s">
        <v>21</v>
      </c>
      <c r="K27" s="3">
        <v>0.22777777777777777</v>
      </c>
      <c r="L27" s="1" t="s">
        <v>7</v>
      </c>
      <c r="M27" s="1" t="s">
        <v>21</v>
      </c>
      <c r="N27" s="1">
        <v>3</v>
      </c>
      <c r="O27" s="5" t="s">
        <v>21</v>
      </c>
      <c r="P27" s="5" t="s">
        <v>800</v>
      </c>
      <c r="Q27" s="5" t="s">
        <v>800</v>
      </c>
      <c r="R27" s="1">
        <v>57.4</v>
      </c>
      <c r="S27" s="2" t="s">
        <v>21</v>
      </c>
      <c r="T27" s="1" t="s">
        <v>21</v>
      </c>
      <c r="U27" s="16" t="s">
        <v>203</v>
      </c>
    </row>
    <row r="28" spans="1:23" s="7" customFormat="1">
      <c r="A28" s="1">
        <v>1</v>
      </c>
      <c r="B28" s="1">
        <v>1.2</v>
      </c>
      <c r="C28" s="1" t="s">
        <v>782</v>
      </c>
      <c r="D28" s="1" t="s">
        <v>21</v>
      </c>
      <c r="E28" s="1" t="s">
        <v>108</v>
      </c>
      <c r="F28" s="4">
        <v>45357</v>
      </c>
      <c r="G28" s="1" t="s">
        <v>21</v>
      </c>
      <c r="H28" s="6" t="s">
        <v>21</v>
      </c>
      <c r="I28" s="1" t="s">
        <v>21</v>
      </c>
      <c r="J28" s="6" t="s">
        <v>21</v>
      </c>
      <c r="K28" s="3">
        <v>0.74667824074074074</v>
      </c>
      <c r="L28" s="1" t="s">
        <v>8</v>
      </c>
      <c r="M28" s="1" t="s">
        <v>21</v>
      </c>
      <c r="N28" s="1">
        <v>3</v>
      </c>
      <c r="O28" s="1" t="s">
        <v>21</v>
      </c>
      <c r="P28" s="5" t="s">
        <v>800</v>
      </c>
      <c r="Q28" s="5" t="s">
        <v>800</v>
      </c>
      <c r="R28" s="1">
        <v>57.4</v>
      </c>
      <c r="S28" s="2" t="s">
        <v>21</v>
      </c>
      <c r="T28" s="1" t="s">
        <v>21</v>
      </c>
      <c r="U28" s="1" t="s">
        <v>109</v>
      </c>
      <c r="V28" s="2"/>
      <c r="W28" s="4"/>
    </row>
    <row r="29" spans="1:23">
      <c r="A29" s="1">
        <v>1</v>
      </c>
      <c r="B29" s="1">
        <v>1.2</v>
      </c>
      <c r="C29" s="1" t="s">
        <v>782</v>
      </c>
      <c r="D29" s="1">
        <v>1</v>
      </c>
      <c r="E29" s="1" t="s">
        <v>107</v>
      </c>
      <c r="F29" s="4">
        <v>45358</v>
      </c>
      <c r="G29" s="3">
        <f>I29+K29</f>
        <v>0.24783564814814815</v>
      </c>
      <c r="H29" s="6" t="s">
        <v>21</v>
      </c>
      <c r="I29" s="3">
        <v>2.476851851851852E-2</v>
      </c>
      <c r="J29" s="6" t="s">
        <v>21</v>
      </c>
      <c r="K29" s="3">
        <v>0.22306712962962963</v>
      </c>
      <c r="L29" s="1" t="s">
        <v>8</v>
      </c>
      <c r="M29" s="1" t="s">
        <v>7</v>
      </c>
      <c r="N29" s="1">
        <v>3</v>
      </c>
      <c r="O29" s="1">
        <v>3</v>
      </c>
      <c r="P29" s="5" t="s">
        <v>800</v>
      </c>
      <c r="Q29" s="5" t="s">
        <v>800</v>
      </c>
      <c r="R29" s="1">
        <v>57.4</v>
      </c>
      <c r="S29" s="1">
        <v>38.4</v>
      </c>
      <c r="T29" s="1" t="s">
        <v>21</v>
      </c>
      <c r="U29" s="1" t="s">
        <v>205</v>
      </c>
      <c r="V29" s="1"/>
    </row>
    <row r="30" spans="1:23">
      <c r="A30" s="1">
        <v>1</v>
      </c>
      <c r="B30" s="1">
        <v>1.2</v>
      </c>
      <c r="C30" s="1" t="s">
        <v>782</v>
      </c>
      <c r="D30" s="1">
        <v>1</v>
      </c>
      <c r="E30" s="1" t="s">
        <v>118</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5" t="s">
        <v>800</v>
      </c>
      <c r="Q30" s="5" t="s">
        <v>800</v>
      </c>
      <c r="R30" s="1">
        <v>57.4</v>
      </c>
      <c r="S30" s="1">
        <v>57.4</v>
      </c>
      <c r="T30" s="1">
        <v>1</v>
      </c>
      <c r="U30" s="1" t="s">
        <v>119</v>
      </c>
      <c r="V30" s="1"/>
    </row>
    <row r="31" spans="1:23">
      <c r="A31" s="1">
        <v>1</v>
      </c>
      <c r="B31" s="1">
        <v>1.2</v>
      </c>
      <c r="C31" s="1" t="s">
        <v>782</v>
      </c>
      <c r="D31" s="1">
        <v>1</v>
      </c>
      <c r="E31" s="1" t="s">
        <v>115</v>
      </c>
      <c r="F31" s="4">
        <v>45359</v>
      </c>
      <c r="G31" s="3">
        <f>I31+K31</f>
        <v>0.24938657407407405</v>
      </c>
      <c r="H31" s="6" t="s">
        <v>21</v>
      </c>
      <c r="I31" s="3">
        <v>2.2847222222222224E-2</v>
      </c>
      <c r="J31" s="6" t="s">
        <v>21</v>
      </c>
      <c r="K31" s="3">
        <v>0.22653935185185184</v>
      </c>
      <c r="L31" s="1" t="s">
        <v>8</v>
      </c>
      <c r="M31" s="1" t="s">
        <v>21</v>
      </c>
      <c r="N31" s="1">
        <v>3</v>
      </c>
      <c r="O31" s="1" t="s">
        <v>21</v>
      </c>
      <c r="P31" s="5" t="s">
        <v>800</v>
      </c>
      <c r="Q31" s="5" t="s">
        <v>800</v>
      </c>
      <c r="R31" s="1">
        <v>57.4</v>
      </c>
      <c r="S31" s="2" t="s">
        <v>21</v>
      </c>
      <c r="T31" s="1" t="s">
        <v>21</v>
      </c>
      <c r="U31" s="1" t="s">
        <v>116</v>
      </c>
    </row>
    <row r="32" spans="1:23">
      <c r="A32" s="1">
        <v>1</v>
      </c>
      <c r="B32" s="1">
        <v>1.2</v>
      </c>
      <c r="C32" s="1" t="s">
        <v>782</v>
      </c>
      <c r="D32" s="1" t="s">
        <v>114</v>
      </c>
      <c r="E32" s="1" t="s">
        <v>115</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5" t="s">
        <v>800</v>
      </c>
      <c r="Q32" s="5" t="s">
        <v>800</v>
      </c>
      <c r="R32" s="1">
        <v>115.17</v>
      </c>
      <c r="S32" s="1">
        <v>115.17</v>
      </c>
      <c r="T32" s="1">
        <v>0</v>
      </c>
      <c r="U32" s="1" t="s">
        <v>117</v>
      </c>
      <c r="V32" s="1"/>
    </row>
    <row r="33" spans="1:23">
      <c r="A33" s="1">
        <v>1</v>
      </c>
      <c r="B33" s="1">
        <v>1.2</v>
      </c>
      <c r="C33" s="1" t="s">
        <v>782</v>
      </c>
      <c r="D33" s="1">
        <v>1</v>
      </c>
      <c r="E33" s="1" t="s">
        <v>135</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5" t="s">
        <v>800</v>
      </c>
      <c r="Q33" s="5" t="s">
        <v>800</v>
      </c>
      <c r="R33" s="1">
        <v>57.4</v>
      </c>
      <c r="S33" s="1">
        <v>57.4</v>
      </c>
      <c r="T33" s="1">
        <v>1</v>
      </c>
      <c r="V33" s="1"/>
    </row>
    <row r="34" spans="1:23">
      <c r="A34" s="1">
        <v>1</v>
      </c>
      <c r="B34" s="1">
        <v>1.2</v>
      </c>
      <c r="C34" s="1" t="s">
        <v>782</v>
      </c>
      <c r="D34" s="1" t="s">
        <v>21</v>
      </c>
      <c r="E34" s="1" t="s">
        <v>21</v>
      </c>
      <c r="F34" s="4">
        <v>45360</v>
      </c>
      <c r="G34" s="1" t="s">
        <v>21</v>
      </c>
      <c r="H34" s="6" t="s">
        <v>21</v>
      </c>
      <c r="I34" s="1" t="s">
        <v>21</v>
      </c>
      <c r="J34" s="6" t="s">
        <v>21</v>
      </c>
      <c r="K34" s="1" t="s">
        <v>21</v>
      </c>
      <c r="N34" s="1" t="s">
        <v>21</v>
      </c>
      <c r="P34" s="5" t="s">
        <v>800</v>
      </c>
      <c r="Q34" s="5" t="s">
        <v>800</v>
      </c>
      <c r="T34" s="1" t="s">
        <v>21</v>
      </c>
      <c r="U34" s="1" t="s">
        <v>133</v>
      </c>
    </row>
    <row r="35" spans="1:23">
      <c r="A35" s="1">
        <v>1</v>
      </c>
      <c r="B35" s="1">
        <v>1.2</v>
      </c>
      <c r="C35" s="1" t="s">
        <v>782</v>
      </c>
      <c r="D35" s="1" t="s">
        <v>21</v>
      </c>
      <c r="E35" s="1" t="s">
        <v>21</v>
      </c>
      <c r="F35" s="4">
        <v>45361</v>
      </c>
      <c r="G35" s="1" t="s">
        <v>21</v>
      </c>
      <c r="H35" s="6" t="s">
        <v>21</v>
      </c>
      <c r="I35" s="1" t="s">
        <v>21</v>
      </c>
      <c r="J35" s="6" t="s">
        <v>21</v>
      </c>
      <c r="K35" s="1" t="s">
        <v>21</v>
      </c>
      <c r="N35" s="1" t="s">
        <v>21</v>
      </c>
      <c r="P35" s="5" t="s">
        <v>800</v>
      </c>
      <c r="Q35" s="5" t="s">
        <v>800</v>
      </c>
      <c r="T35" s="1" t="s">
        <v>21</v>
      </c>
      <c r="U35" s="1" t="s">
        <v>133</v>
      </c>
    </row>
    <row r="36" spans="1:23">
      <c r="A36" s="1">
        <v>1</v>
      </c>
      <c r="B36" s="1">
        <v>1.2</v>
      </c>
      <c r="C36" s="1" t="s">
        <v>782</v>
      </c>
      <c r="D36" s="1">
        <v>1</v>
      </c>
      <c r="E36" s="1" t="s">
        <v>131</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5" t="s">
        <v>800</v>
      </c>
      <c r="Q36" s="5" t="s">
        <v>800</v>
      </c>
      <c r="R36" s="1">
        <v>57.4</v>
      </c>
      <c r="S36" s="1">
        <v>115.17</v>
      </c>
      <c r="T36" s="1">
        <v>1</v>
      </c>
      <c r="V36" s="1"/>
    </row>
    <row r="37" spans="1:23">
      <c r="A37" s="1">
        <v>1</v>
      </c>
      <c r="B37" s="1">
        <v>1.2</v>
      </c>
      <c r="C37" s="1" t="s">
        <v>782</v>
      </c>
      <c r="D37" s="1">
        <v>1</v>
      </c>
      <c r="E37" s="1" t="s">
        <v>132</v>
      </c>
      <c r="F37" s="4">
        <v>45362</v>
      </c>
      <c r="G37" s="1" t="s">
        <v>21</v>
      </c>
      <c r="H37" s="6">
        <f t="shared" si="2"/>
        <v>0.25252314814814814</v>
      </c>
      <c r="I37" s="1" t="s">
        <v>21</v>
      </c>
      <c r="J37" s="6">
        <v>2.5150462962962961E-2</v>
      </c>
      <c r="K37" s="3">
        <v>0.22737268518518519</v>
      </c>
      <c r="L37" s="1" t="s">
        <v>8</v>
      </c>
      <c r="M37" s="1" t="s">
        <v>8</v>
      </c>
      <c r="N37" s="1">
        <v>3</v>
      </c>
      <c r="O37" s="1">
        <v>3</v>
      </c>
      <c r="P37" s="5" t="s">
        <v>800</v>
      </c>
      <c r="Q37" s="5" t="s">
        <v>800</v>
      </c>
      <c r="R37" s="1">
        <v>57.4</v>
      </c>
      <c r="S37" s="1">
        <v>57.4</v>
      </c>
      <c r="T37" s="1">
        <v>1</v>
      </c>
      <c r="U37" s="1" t="s">
        <v>134</v>
      </c>
      <c r="V37" s="1"/>
    </row>
    <row r="38" spans="1:23">
      <c r="A38" s="1">
        <v>1</v>
      </c>
      <c r="B38" s="1">
        <v>1.2</v>
      </c>
      <c r="C38" s="1" t="s">
        <v>782</v>
      </c>
      <c r="D38" s="1">
        <v>2</v>
      </c>
      <c r="E38" s="1" t="s">
        <v>132</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5" t="s">
        <v>800</v>
      </c>
      <c r="Q38" s="5" t="s">
        <v>800</v>
      </c>
      <c r="R38" s="1">
        <v>57.4</v>
      </c>
      <c r="S38" s="1">
        <v>38.4</v>
      </c>
      <c r="T38" s="1">
        <v>0</v>
      </c>
      <c r="V38" s="1"/>
    </row>
    <row r="39" spans="1:23">
      <c r="A39" s="1">
        <v>1</v>
      </c>
      <c r="B39" s="1">
        <v>1.2</v>
      </c>
      <c r="C39" s="1" t="s">
        <v>782</v>
      </c>
      <c r="D39" s="1">
        <v>1</v>
      </c>
      <c r="E39" s="1" t="s">
        <v>123</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5" t="s">
        <v>800</v>
      </c>
      <c r="Q39" s="5" t="s">
        <v>800</v>
      </c>
      <c r="R39" s="1">
        <v>57.4</v>
      </c>
      <c r="S39" s="1">
        <v>57.4</v>
      </c>
      <c r="T39" s="1">
        <v>0</v>
      </c>
      <c r="V39" s="1"/>
    </row>
    <row r="40" spans="1:23">
      <c r="A40" s="1">
        <v>1</v>
      </c>
      <c r="B40" s="1">
        <v>1.2</v>
      </c>
      <c r="C40" s="1" t="s">
        <v>782</v>
      </c>
      <c r="D40" s="1">
        <v>2</v>
      </c>
      <c r="E40" s="1" t="s">
        <v>123</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5" t="s">
        <v>800</v>
      </c>
      <c r="Q40" s="5" t="s">
        <v>800</v>
      </c>
      <c r="R40" s="1">
        <v>57.4</v>
      </c>
      <c r="S40" s="1">
        <v>57.4</v>
      </c>
      <c r="T40" s="1">
        <v>0</v>
      </c>
      <c r="U40" s="1" t="s">
        <v>124</v>
      </c>
      <c r="V40" s="1"/>
    </row>
    <row r="41" spans="1:23">
      <c r="A41" s="1">
        <v>1</v>
      </c>
      <c r="B41" s="1">
        <v>1.2</v>
      </c>
      <c r="C41" s="1" t="s">
        <v>782</v>
      </c>
      <c r="D41" s="1">
        <v>1</v>
      </c>
      <c r="E41" s="1" t="s">
        <v>129</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5" t="s">
        <v>800</v>
      </c>
      <c r="Q41" s="5" t="s">
        <v>800</v>
      </c>
      <c r="R41" s="1">
        <v>57.4</v>
      </c>
      <c r="S41" s="1">
        <v>57.4</v>
      </c>
      <c r="T41" s="1">
        <v>1</v>
      </c>
      <c r="V41" s="1"/>
    </row>
    <row r="42" spans="1:23">
      <c r="A42" s="1">
        <v>1</v>
      </c>
      <c r="B42" s="1">
        <v>1.2</v>
      </c>
      <c r="C42" s="1" t="s">
        <v>782</v>
      </c>
      <c r="D42" s="1">
        <v>2</v>
      </c>
      <c r="E42" s="1" t="s">
        <v>129</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5" t="s">
        <v>800</v>
      </c>
      <c r="Q42" s="5" t="s">
        <v>800</v>
      </c>
      <c r="R42" s="1">
        <v>57.4</v>
      </c>
      <c r="S42" s="1">
        <v>115.17</v>
      </c>
      <c r="T42" s="1">
        <v>0</v>
      </c>
      <c r="U42" s="1" t="s">
        <v>130</v>
      </c>
      <c r="V42" s="1"/>
    </row>
    <row r="43" spans="1:23" s="7" customFormat="1">
      <c r="A43" s="1">
        <v>1</v>
      </c>
      <c r="B43" s="1">
        <v>1.2</v>
      </c>
      <c r="C43" s="1" t="s">
        <v>782</v>
      </c>
      <c r="D43" s="1">
        <v>1</v>
      </c>
      <c r="E43" s="1" t="s">
        <v>140</v>
      </c>
      <c r="F43" s="4">
        <v>45364</v>
      </c>
      <c r="G43" s="1" t="s">
        <v>21</v>
      </c>
      <c r="H43" s="6">
        <f t="shared" si="2"/>
        <v>0.25965277777777779</v>
      </c>
      <c r="I43" s="1" t="s">
        <v>21</v>
      </c>
      <c r="J43" s="6">
        <v>3.0324074074074073E-2</v>
      </c>
      <c r="K43" s="3">
        <v>0.2293287037037037</v>
      </c>
      <c r="L43" s="1" t="s">
        <v>7</v>
      </c>
      <c r="M43" s="1" t="s">
        <v>8</v>
      </c>
      <c r="N43" s="1">
        <v>3</v>
      </c>
      <c r="O43" s="1">
        <v>3</v>
      </c>
      <c r="P43" s="5" t="s">
        <v>800</v>
      </c>
      <c r="Q43" s="5" t="s">
        <v>800</v>
      </c>
      <c r="R43" s="1">
        <v>115.17</v>
      </c>
      <c r="S43" s="1">
        <v>115.17</v>
      </c>
      <c r="T43" s="1">
        <v>1</v>
      </c>
      <c r="U43" s="1" t="s">
        <v>141</v>
      </c>
      <c r="V43" s="1"/>
      <c r="W43" s="4"/>
    </row>
    <row r="44" spans="1:23">
      <c r="A44" s="1">
        <v>1</v>
      </c>
      <c r="B44" s="1">
        <v>1.2</v>
      </c>
      <c r="C44" s="1" t="s">
        <v>782</v>
      </c>
      <c r="D44" s="1">
        <v>1</v>
      </c>
      <c r="E44" s="1" t="s">
        <v>145</v>
      </c>
      <c r="F44" s="4">
        <v>45364</v>
      </c>
      <c r="G44" s="1" t="s">
        <v>21</v>
      </c>
      <c r="H44" s="6">
        <f t="shared" si="2"/>
        <v>0.75667824074074075</v>
      </c>
      <c r="I44" s="1" t="s">
        <v>21</v>
      </c>
      <c r="J44" s="6">
        <v>8.1597222222222227E-3</v>
      </c>
      <c r="K44" s="3">
        <v>0.74851851851851847</v>
      </c>
      <c r="L44" s="1" t="s">
        <v>8</v>
      </c>
      <c r="M44" s="1" t="s">
        <v>8</v>
      </c>
      <c r="N44" s="1">
        <v>3</v>
      </c>
      <c r="O44" s="1">
        <v>3</v>
      </c>
      <c r="P44" s="5" t="s">
        <v>800</v>
      </c>
      <c r="Q44" s="5" t="s">
        <v>800</v>
      </c>
      <c r="R44" s="1">
        <v>115.17</v>
      </c>
      <c r="S44" s="1">
        <v>115.17</v>
      </c>
      <c r="T44" s="1">
        <v>1</v>
      </c>
      <c r="U44" s="1" t="s">
        <v>146</v>
      </c>
      <c r="V44" s="1"/>
    </row>
    <row r="45" spans="1:23">
      <c r="A45" s="1">
        <v>1</v>
      </c>
      <c r="B45" s="1">
        <v>1.2</v>
      </c>
      <c r="C45" s="1" t="s">
        <v>782</v>
      </c>
      <c r="D45" s="1">
        <v>2</v>
      </c>
      <c r="E45" s="1" t="s">
        <v>145</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5" t="s">
        <v>800</v>
      </c>
      <c r="Q45" s="5" t="s">
        <v>800</v>
      </c>
      <c r="R45" s="1">
        <v>115.17</v>
      </c>
      <c r="S45" s="1">
        <v>115.17</v>
      </c>
      <c r="T45" s="1">
        <v>0</v>
      </c>
      <c r="V45" s="1"/>
    </row>
    <row r="46" spans="1:23">
      <c r="A46" s="1">
        <v>1</v>
      </c>
      <c r="B46" s="1">
        <v>1.2</v>
      </c>
      <c r="C46" s="1" t="s">
        <v>782</v>
      </c>
      <c r="D46" s="1">
        <v>1</v>
      </c>
      <c r="E46" s="1" t="s">
        <v>142</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5" t="s">
        <v>218</v>
      </c>
      <c r="P46" s="5" t="s">
        <v>800</v>
      </c>
      <c r="Q46" s="5" t="s">
        <v>800</v>
      </c>
      <c r="R46" s="1">
        <v>115.17</v>
      </c>
      <c r="S46" s="1">
        <v>115.17</v>
      </c>
      <c r="T46" s="1">
        <v>1</v>
      </c>
      <c r="V46" s="1"/>
    </row>
    <row r="47" spans="1:23">
      <c r="A47" s="1">
        <v>1</v>
      </c>
      <c r="B47" s="1">
        <v>1.2</v>
      </c>
      <c r="C47" s="1" t="s">
        <v>782</v>
      </c>
      <c r="D47" s="1">
        <v>2</v>
      </c>
      <c r="E47" s="1" t="s">
        <v>142</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5" t="s">
        <v>800</v>
      </c>
      <c r="Q47" s="5" t="s">
        <v>800</v>
      </c>
      <c r="R47" s="1">
        <v>115.17</v>
      </c>
      <c r="S47" s="1">
        <v>115.17</v>
      </c>
      <c r="T47" s="1">
        <v>0</v>
      </c>
      <c r="U47" s="7" t="s">
        <v>143</v>
      </c>
      <c r="V47" s="1"/>
    </row>
    <row r="48" spans="1:23">
      <c r="A48" s="1">
        <v>1</v>
      </c>
      <c r="B48" s="1">
        <v>1.2</v>
      </c>
      <c r="C48" s="1" t="s">
        <v>782</v>
      </c>
      <c r="D48" s="1">
        <v>1</v>
      </c>
      <c r="E48" s="1" t="s">
        <v>144</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5" t="s">
        <v>800</v>
      </c>
      <c r="Q48" s="5" t="s">
        <v>800</v>
      </c>
      <c r="R48" s="1">
        <v>115.17</v>
      </c>
      <c r="S48" s="1">
        <v>115.17</v>
      </c>
      <c r="T48" s="1">
        <v>0</v>
      </c>
      <c r="V48" s="1"/>
    </row>
    <row r="49" spans="1:22">
      <c r="A49" s="1">
        <v>1</v>
      </c>
      <c r="B49" s="1">
        <v>1.2</v>
      </c>
      <c r="C49" s="1" t="s">
        <v>782</v>
      </c>
      <c r="D49" s="1">
        <v>1</v>
      </c>
      <c r="E49" s="1" t="s">
        <v>148</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5" t="s">
        <v>800</v>
      </c>
      <c r="Q49" s="5" t="s">
        <v>800</v>
      </c>
      <c r="R49" s="1">
        <v>115.17</v>
      </c>
      <c r="S49" s="1">
        <v>115.17</v>
      </c>
      <c r="T49" s="1">
        <v>0</v>
      </c>
      <c r="V49" s="1"/>
    </row>
    <row r="50" spans="1:22">
      <c r="A50" s="1">
        <v>1</v>
      </c>
      <c r="B50" s="1">
        <v>1.2</v>
      </c>
      <c r="C50" s="1" t="s">
        <v>782</v>
      </c>
      <c r="D50" s="1">
        <v>2</v>
      </c>
      <c r="E50" s="1" t="s">
        <v>148</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5" t="s">
        <v>800</v>
      </c>
      <c r="Q50" s="5" t="s">
        <v>800</v>
      </c>
      <c r="R50" s="1">
        <v>115.17</v>
      </c>
      <c r="S50" s="1">
        <v>115.17</v>
      </c>
      <c r="T50" s="1">
        <v>1</v>
      </c>
      <c r="V50" s="1"/>
    </row>
    <row r="51" spans="1:22">
      <c r="A51" s="1">
        <v>1</v>
      </c>
      <c r="B51" s="1">
        <v>1.2</v>
      </c>
      <c r="C51" s="1" t="s">
        <v>782</v>
      </c>
      <c r="D51" s="1">
        <v>1</v>
      </c>
      <c r="E51" s="1" t="s">
        <v>149</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5" t="s">
        <v>800</v>
      </c>
      <c r="Q51" s="5" t="s">
        <v>800</v>
      </c>
      <c r="R51" s="1">
        <v>115.17</v>
      </c>
      <c r="S51" s="1">
        <v>115.17</v>
      </c>
      <c r="T51" s="1">
        <v>0</v>
      </c>
      <c r="V51" s="1"/>
    </row>
    <row r="52" spans="1:22">
      <c r="A52" s="1">
        <v>1</v>
      </c>
      <c r="B52" s="1">
        <v>1.2</v>
      </c>
      <c r="C52" s="1" t="s">
        <v>782</v>
      </c>
      <c r="D52" s="1">
        <v>1</v>
      </c>
      <c r="E52" s="1" t="s">
        <v>151</v>
      </c>
      <c r="F52" s="4">
        <v>45367</v>
      </c>
      <c r="G52" s="1" t="s">
        <v>21</v>
      </c>
      <c r="H52" s="6" t="s">
        <v>21</v>
      </c>
      <c r="I52" s="3" t="s">
        <v>21</v>
      </c>
      <c r="J52" s="6" t="s">
        <v>21</v>
      </c>
      <c r="K52" s="3">
        <v>0.24211805555555554</v>
      </c>
      <c r="L52" s="1" t="s">
        <v>7</v>
      </c>
      <c r="M52" s="1" t="s">
        <v>7</v>
      </c>
      <c r="N52" s="1">
        <v>3</v>
      </c>
      <c r="O52" s="1">
        <v>3</v>
      </c>
      <c r="P52" s="5" t="s">
        <v>800</v>
      </c>
      <c r="Q52" s="5" t="s">
        <v>800</v>
      </c>
      <c r="R52" s="1">
        <v>115.17</v>
      </c>
      <c r="S52" s="1">
        <v>115.17</v>
      </c>
      <c r="T52" s="1" t="s">
        <v>21</v>
      </c>
      <c r="U52" s="1" t="s">
        <v>206</v>
      </c>
      <c r="V52" s="1"/>
    </row>
    <row r="53" spans="1:22">
      <c r="A53" s="1">
        <v>1</v>
      </c>
      <c r="B53" s="1">
        <v>1.2</v>
      </c>
      <c r="C53" s="1" t="s">
        <v>782</v>
      </c>
      <c r="D53" s="1">
        <v>2</v>
      </c>
      <c r="E53" s="1" t="s">
        <v>151</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5" t="s">
        <v>800</v>
      </c>
      <c r="Q53" s="5" t="s">
        <v>800</v>
      </c>
      <c r="R53" s="1">
        <v>115.17</v>
      </c>
      <c r="S53" s="1">
        <v>115.17</v>
      </c>
      <c r="T53" s="1">
        <v>1</v>
      </c>
      <c r="U53" s="1" t="s">
        <v>152</v>
      </c>
      <c r="V53" s="1"/>
    </row>
    <row r="54" spans="1:22">
      <c r="A54" s="1">
        <v>1</v>
      </c>
      <c r="B54" s="1">
        <v>1.2</v>
      </c>
      <c r="C54" s="1" t="s">
        <v>782</v>
      </c>
      <c r="D54" s="1">
        <v>3</v>
      </c>
      <c r="E54" s="1" t="s">
        <v>151</v>
      </c>
      <c r="F54" s="4">
        <v>45367</v>
      </c>
      <c r="G54" s="3">
        <f>I54+K54</f>
        <v>0.25238425925925922</v>
      </c>
      <c r="H54" s="6" t="s">
        <v>21</v>
      </c>
      <c r="I54" s="6">
        <v>1.0266203703703704E-2</v>
      </c>
      <c r="J54" s="6" t="s">
        <v>21</v>
      </c>
      <c r="K54" s="3">
        <v>0.24211805555555554</v>
      </c>
      <c r="L54" s="1" t="s">
        <v>8</v>
      </c>
      <c r="M54" s="1" t="s">
        <v>7</v>
      </c>
      <c r="N54" s="1">
        <v>3</v>
      </c>
      <c r="O54" s="1">
        <v>3</v>
      </c>
      <c r="P54" s="5" t="s">
        <v>800</v>
      </c>
      <c r="Q54" s="5" t="s">
        <v>800</v>
      </c>
      <c r="R54" s="1">
        <v>115.17</v>
      </c>
      <c r="S54" s="1">
        <v>115.17</v>
      </c>
      <c r="T54" s="1" t="s">
        <v>21</v>
      </c>
      <c r="U54" s="1" t="s">
        <v>208</v>
      </c>
      <c r="V54" s="1"/>
    </row>
    <row r="55" spans="1:22">
      <c r="A55" s="1">
        <v>1</v>
      </c>
      <c r="B55" s="1">
        <v>1.2</v>
      </c>
      <c r="C55" s="1" t="s">
        <v>782</v>
      </c>
      <c r="D55" s="1">
        <v>1</v>
      </c>
      <c r="E55" s="1" t="s">
        <v>153</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5" t="s">
        <v>800</v>
      </c>
      <c r="Q55" s="5" t="s">
        <v>800</v>
      </c>
      <c r="R55" s="1">
        <v>115.17</v>
      </c>
      <c r="S55" s="1">
        <v>115.17</v>
      </c>
      <c r="T55" s="1">
        <v>1</v>
      </c>
      <c r="V55" s="1"/>
    </row>
    <row r="56" spans="1:22">
      <c r="A56" s="1">
        <v>1</v>
      </c>
      <c r="B56" s="1">
        <v>1.2</v>
      </c>
      <c r="C56" s="1" t="s">
        <v>782</v>
      </c>
      <c r="D56" s="1">
        <v>1</v>
      </c>
      <c r="E56" s="1" t="s">
        <v>158</v>
      </c>
      <c r="F56" s="4">
        <v>45368</v>
      </c>
      <c r="G56" s="1" t="s">
        <v>21</v>
      </c>
      <c r="H56" s="6">
        <f t="shared" si="4"/>
        <v>0.25017361111111114</v>
      </c>
      <c r="I56" s="3" t="s">
        <v>21</v>
      </c>
      <c r="J56" s="6">
        <v>1.982638888888889E-2</v>
      </c>
      <c r="K56" s="3">
        <v>0.23034722222222223</v>
      </c>
      <c r="L56" s="1" t="s">
        <v>8</v>
      </c>
      <c r="M56" s="1" t="s">
        <v>8</v>
      </c>
      <c r="N56" s="1">
        <v>3</v>
      </c>
      <c r="O56" s="1">
        <v>3</v>
      </c>
      <c r="P56" s="5" t="s">
        <v>800</v>
      </c>
      <c r="Q56" s="5" t="s">
        <v>800</v>
      </c>
      <c r="R56" s="1">
        <v>115.17</v>
      </c>
      <c r="S56" s="1">
        <v>115.17</v>
      </c>
      <c r="T56" s="1">
        <v>1</v>
      </c>
      <c r="U56" s="1" t="s">
        <v>207</v>
      </c>
      <c r="V56" s="1"/>
    </row>
    <row r="57" spans="1:22">
      <c r="A57" s="1">
        <v>1</v>
      </c>
      <c r="B57" s="1">
        <v>1.2</v>
      </c>
      <c r="C57" s="1" t="s">
        <v>782</v>
      </c>
      <c r="D57" s="1">
        <v>2</v>
      </c>
      <c r="E57" s="1" t="s">
        <v>158</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5" t="s">
        <v>800</v>
      </c>
      <c r="Q57" s="5" t="s">
        <v>800</v>
      </c>
      <c r="R57" s="1">
        <v>115.17</v>
      </c>
      <c r="S57" s="1">
        <v>115.17</v>
      </c>
      <c r="T57" s="1">
        <v>0</v>
      </c>
      <c r="U57" s="1" t="s">
        <v>166</v>
      </c>
      <c r="V57" s="1"/>
    </row>
    <row r="58" spans="1:22">
      <c r="A58" s="1">
        <v>1</v>
      </c>
      <c r="B58" s="1">
        <v>1.2</v>
      </c>
      <c r="C58" s="1" t="s">
        <v>782</v>
      </c>
      <c r="D58" s="1">
        <v>1</v>
      </c>
      <c r="E58" s="1" t="s">
        <v>164</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5" t="s">
        <v>800</v>
      </c>
      <c r="Q58" s="5" t="s">
        <v>800</v>
      </c>
      <c r="R58" s="1">
        <v>115.17</v>
      </c>
      <c r="S58" s="1">
        <v>115.17</v>
      </c>
      <c r="T58" s="1">
        <v>1</v>
      </c>
      <c r="V58" s="1"/>
    </row>
    <row r="59" spans="1:22">
      <c r="A59" s="1">
        <v>1</v>
      </c>
      <c r="B59" s="1">
        <v>1.2</v>
      </c>
      <c r="C59" s="1" t="s">
        <v>782</v>
      </c>
      <c r="D59" s="1">
        <v>1</v>
      </c>
      <c r="E59" s="1" t="s">
        <v>161</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5" t="s">
        <v>800</v>
      </c>
      <c r="Q59" s="5" t="s">
        <v>800</v>
      </c>
      <c r="R59" s="1">
        <v>115.17</v>
      </c>
      <c r="S59" s="1">
        <v>115.17</v>
      </c>
      <c r="T59" s="1">
        <v>0</v>
      </c>
      <c r="U59" s="1" t="s">
        <v>162</v>
      </c>
      <c r="V59" s="1"/>
    </row>
    <row r="60" spans="1:22">
      <c r="A60" s="1">
        <v>1</v>
      </c>
      <c r="B60" s="1">
        <v>1.2</v>
      </c>
      <c r="C60" s="1" t="s">
        <v>782</v>
      </c>
      <c r="D60" s="1">
        <v>1</v>
      </c>
      <c r="E60" s="1" t="s">
        <v>163</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5" t="s">
        <v>800</v>
      </c>
      <c r="Q60" s="5" t="s">
        <v>800</v>
      </c>
      <c r="R60" s="1">
        <v>115.17</v>
      </c>
      <c r="S60" s="1">
        <v>115.17</v>
      </c>
      <c r="T60" s="1">
        <v>0</v>
      </c>
      <c r="V60" s="1"/>
    </row>
    <row r="61" spans="1:22">
      <c r="A61" s="1">
        <v>1</v>
      </c>
      <c r="B61" s="1">
        <v>1.2</v>
      </c>
      <c r="C61" s="1" t="s">
        <v>782</v>
      </c>
      <c r="D61" s="1">
        <v>2</v>
      </c>
      <c r="E61" s="1" t="s">
        <v>163</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5" t="s">
        <v>800</v>
      </c>
      <c r="Q61" s="5" t="s">
        <v>800</v>
      </c>
      <c r="R61" s="1">
        <v>115.17</v>
      </c>
      <c r="S61" s="1">
        <v>115.17</v>
      </c>
      <c r="T61" s="1">
        <v>0</v>
      </c>
      <c r="V61" s="1"/>
    </row>
    <row r="62" spans="1:22">
      <c r="A62" s="1">
        <v>1</v>
      </c>
      <c r="B62" s="1">
        <v>1.2</v>
      </c>
      <c r="C62" s="1" t="s">
        <v>782</v>
      </c>
      <c r="D62" s="1">
        <v>1</v>
      </c>
      <c r="E62" s="1" t="s">
        <v>159</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5" t="s">
        <v>800</v>
      </c>
      <c r="Q62" s="5" t="s">
        <v>800</v>
      </c>
      <c r="R62" s="1">
        <v>115.17</v>
      </c>
      <c r="S62" s="1">
        <v>115.17</v>
      </c>
      <c r="T62" s="1">
        <v>1</v>
      </c>
      <c r="U62" s="1" t="s">
        <v>160</v>
      </c>
      <c r="V62" s="1"/>
    </row>
    <row r="63" spans="1:22">
      <c r="A63" s="1">
        <v>1</v>
      </c>
      <c r="B63" s="1">
        <v>1.2</v>
      </c>
      <c r="C63" s="1" t="s">
        <v>782</v>
      </c>
      <c r="D63" s="1">
        <v>1</v>
      </c>
      <c r="E63" s="1" t="s">
        <v>190</v>
      </c>
      <c r="F63" s="4">
        <v>45370</v>
      </c>
      <c r="G63" s="3">
        <f t="shared" si="5"/>
        <v>0.77493055555555557</v>
      </c>
      <c r="H63" s="6" t="s">
        <v>21</v>
      </c>
      <c r="I63" s="3">
        <v>1.457175925925926E-2</v>
      </c>
      <c r="J63" s="6" t="s">
        <v>21</v>
      </c>
      <c r="K63" s="3">
        <v>0.76035879629629632</v>
      </c>
      <c r="L63" s="1" t="s">
        <v>7</v>
      </c>
      <c r="M63" s="1" t="s">
        <v>7</v>
      </c>
      <c r="N63" s="1">
        <v>3</v>
      </c>
      <c r="O63" s="1">
        <v>3</v>
      </c>
      <c r="P63" s="5" t="s">
        <v>800</v>
      </c>
      <c r="Q63" s="5" t="s">
        <v>800</v>
      </c>
      <c r="R63" s="1">
        <v>115.17</v>
      </c>
      <c r="S63" s="1">
        <v>115.17</v>
      </c>
      <c r="T63" s="1" t="s">
        <v>21</v>
      </c>
      <c r="U63" s="1" t="s">
        <v>191</v>
      </c>
      <c r="V63" s="1"/>
    </row>
    <row r="64" spans="1:22">
      <c r="A64" s="1">
        <v>1</v>
      </c>
      <c r="B64" s="1">
        <v>1.2</v>
      </c>
      <c r="C64" s="1" t="s">
        <v>782</v>
      </c>
      <c r="D64" s="1" t="s">
        <v>21</v>
      </c>
      <c r="E64" s="1" t="s">
        <v>21</v>
      </c>
      <c r="F64" s="4">
        <v>45371</v>
      </c>
      <c r="G64" s="1" t="s">
        <v>21</v>
      </c>
      <c r="H64" s="6" t="s">
        <v>21</v>
      </c>
      <c r="I64" s="1" t="s">
        <v>21</v>
      </c>
      <c r="J64" s="6" t="s">
        <v>21</v>
      </c>
      <c r="K64" s="1" t="s">
        <v>21</v>
      </c>
      <c r="P64" s="5" t="s">
        <v>800</v>
      </c>
      <c r="Q64" s="5" t="s">
        <v>800</v>
      </c>
      <c r="U64" s="1" t="s">
        <v>197</v>
      </c>
    </row>
    <row r="65" spans="1:22">
      <c r="A65" s="1">
        <v>1</v>
      </c>
      <c r="B65" s="1">
        <v>1.2</v>
      </c>
      <c r="C65" s="1" t="s">
        <v>782</v>
      </c>
      <c r="D65" s="1" t="s">
        <v>21</v>
      </c>
      <c r="E65" s="1" t="s">
        <v>21</v>
      </c>
      <c r="F65" s="4">
        <v>45371</v>
      </c>
      <c r="G65" s="1" t="s">
        <v>21</v>
      </c>
      <c r="H65" s="6" t="s">
        <v>21</v>
      </c>
      <c r="I65" s="1" t="s">
        <v>21</v>
      </c>
      <c r="J65" s="6" t="s">
        <v>21</v>
      </c>
      <c r="K65" s="1" t="s">
        <v>21</v>
      </c>
      <c r="P65" s="5" t="s">
        <v>800</v>
      </c>
      <c r="Q65" s="5" t="s">
        <v>800</v>
      </c>
      <c r="U65" s="1" t="s">
        <v>200</v>
      </c>
    </row>
    <row r="66" spans="1:22">
      <c r="A66" s="1">
        <v>1</v>
      </c>
      <c r="B66" s="1">
        <v>1.2</v>
      </c>
      <c r="C66" s="1" t="s">
        <v>782</v>
      </c>
      <c r="D66" s="1">
        <v>1</v>
      </c>
      <c r="E66" s="1" t="s">
        <v>202</v>
      </c>
      <c r="F66" s="4">
        <v>45372</v>
      </c>
      <c r="G66" s="1" t="s">
        <v>21</v>
      </c>
      <c r="H66" s="6">
        <f>J66+K66</f>
        <v>0.26060185185185186</v>
      </c>
      <c r="I66" s="1" t="s">
        <v>21</v>
      </c>
      <c r="J66" s="6">
        <v>3.425925925925926E-2</v>
      </c>
      <c r="K66" s="3">
        <v>0.2263425925925926</v>
      </c>
      <c r="L66" s="1" t="s">
        <v>7</v>
      </c>
      <c r="M66" s="1" t="s">
        <v>8</v>
      </c>
      <c r="N66" s="1">
        <v>3</v>
      </c>
      <c r="O66" s="1">
        <v>3</v>
      </c>
      <c r="P66" s="5" t="s">
        <v>800</v>
      </c>
      <c r="Q66" s="5" t="s">
        <v>800</v>
      </c>
      <c r="R66" s="1">
        <v>115.17</v>
      </c>
      <c r="S66" s="1">
        <v>57.4</v>
      </c>
      <c r="T66" s="1" t="s">
        <v>21</v>
      </c>
      <c r="U66" s="1" t="s">
        <v>232</v>
      </c>
      <c r="V66" s="1"/>
    </row>
    <row r="67" spans="1:22">
      <c r="A67" s="1">
        <v>1</v>
      </c>
      <c r="B67" s="1">
        <v>1.2</v>
      </c>
      <c r="C67" s="1" t="s">
        <v>782</v>
      </c>
      <c r="D67" s="1">
        <v>1</v>
      </c>
      <c r="E67" s="1" t="s">
        <v>216</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5" t="s">
        <v>800</v>
      </c>
      <c r="Q67" s="5" t="s">
        <v>800</v>
      </c>
      <c r="R67" s="1">
        <v>115.17</v>
      </c>
      <c r="S67" s="1">
        <v>115.17</v>
      </c>
      <c r="T67" s="1">
        <v>0</v>
      </c>
      <c r="U67" s="1" t="s">
        <v>217</v>
      </c>
      <c r="V67" s="1"/>
    </row>
    <row r="68" spans="1:22">
      <c r="A68" s="1">
        <v>1</v>
      </c>
      <c r="B68" s="1">
        <v>1.2</v>
      </c>
      <c r="C68" s="1" t="s">
        <v>782</v>
      </c>
      <c r="D68" s="1">
        <v>2</v>
      </c>
      <c r="E68" s="1" t="s">
        <v>216</v>
      </c>
      <c r="F68" s="4">
        <v>45372</v>
      </c>
      <c r="G68" s="3">
        <f t="shared" si="6"/>
        <v>0.77567129629629628</v>
      </c>
      <c r="H68" s="6" t="s">
        <v>21</v>
      </c>
      <c r="I68" s="3">
        <v>1.1076388888888889E-2</v>
      </c>
      <c r="J68" s="6" t="s">
        <v>21</v>
      </c>
      <c r="K68" s="3">
        <v>0.76459490740740743</v>
      </c>
      <c r="L68" s="1" t="s">
        <v>7</v>
      </c>
      <c r="M68" s="1" t="s">
        <v>7</v>
      </c>
      <c r="N68" s="1">
        <v>3</v>
      </c>
      <c r="O68" s="1">
        <v>3</v>
      </c>
      <c r="P68" s="5" t="s">
        <v>800</v>
      </c>
      <c r="Q68" s="5" t="s">
        <v>800</v>
      </c>
      <c r="R68" s="1">
        <v>115.17</v>
      </c>
      <c r="S68" s="1">
        <v>115.17</v>
      </c>
      <c r="T68" s="1" t="s">
        <v>21</v>
      </c>
      <c r="U68" s="1" t="s">
        <v>219</v>
      </c>
      <c r="V68" s="1"/>
    </row>
    <row r="69" spans="1:22">
      <c r="A69" s="1">
        <v>1</v>
      </c>
      <c r="B69" s="1">
        <v>1.2</v>
      </c>
      <c r="C69" s="1" t="s">
        <v>782</v>
      </c>
      <c r="D69" s="1">
        <v>1</v>
      </c>
      <c r="E69" s="1" t="s">
        <v>220</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5" t="s">
        <v>800</v>
      </c>
      <c r="Q69" s="5" t="s">
        <v>800</v>
      </c>
      <c r="R69" s="1">
        <v>115.17</v>
      </c>
      <c r="S69" s="1">
        <v>38.4</v>
      </c>
      <c r="T69" s="1">
        <v>1</v>
      </c>
      <c r="V69" s="1"/>
    </row>
    <row r="70" spans="1:22">
      <c r="A70" s="1">
        <v>1</v>
      </c>
      <c r="B70" s="1">
        <v>1.2</v>
      </c>
      <c r="C70" s="1" t="s">
        <v>782</v>
      </c>
      <c r="D70" s="1">
        <v>1</v>
      </c>
      <c r="E70" s="1" t="s">
        <v>221</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5" t="s">
        <v>800</v>
      </c>
      <c r="Q70" s="5" t="s">
        <v>800</v>
      </c>
      <c r="R70" s="1">
        <v>115.17</v>
      </c>
      <c r="S70" s="1">
        <v>115.17</v>
      </c>
      <c r="T70" s="1">
        <v>1</v>
      </c>
      <c r="U70" s="1" t="s">
        <v>222</v>
      </c>
      <c r="V70" s="1"/>
    </row>
    <row r="71" spans="1:22">
      <c r="A71" s="1">
        <v>1</v>
      </c>
      <c r="B71" s="1">
        <v>1.2</v>
      </c>
      <c r="C71" s="1" t="s">
        <v>782</v>
      </c>
      <c r="D71" s="1">
        <v>1</v>
      </c>
      <c r="E71" s="1" t="s">
        <v>223</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5" t="s">
        <v>800</v>
      </c>
      <c r="Q71" s="5" t="s">
        <v>800</v>
      </c>
      <c r="R71" s="1">
        <v>115.17</v>
      </c>
      <c r="S71" s="1">
        <v>38.4</v>
      </c>
      <c r="T71" s="1">
        <v>0</v>
      </c>
      <c r="U71" s="1" t="s">
        <v>224</v>
      </c>
      <c r="V71" s="1"/>
    </row>
    <row r="72" spans="1:22">
      <c r="A72" s="1">
        <v>1</v>
      </c>
      <c r="B72" s="1">
        <v>1.2</v>
      </c>
      <c r="C72" s="1" t="s">
        <v>782</v>
      </c>
      <c r="D72" s="1">
        <v>2</v>
      </c>
      <c r="E72" s="1" t="s">
        <v>223</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5" t="s">
        <v>800</v>
      </c>
      <c r="Q72" s="5" t="s">
        <v>800</v>
      </c>
      <c r="R72" s="1">
        <v>38.4</v>
      </c>
      <c r="S72" s="1">
        <v>38.4</v>
      </c>
      <c r="T72" s="1">
        <v>0</v>
      </c>
      <c r="U72" s="1" t="s">
        <v>225</v>
      </c>
      <c r="V72" s="1"/>
    </row>
    <row r="73" spans="1:22">
      <c r="A73" s="1">
        <v>1</v>
      </c>
      <c r="B73" s="1">
        <v>1.2</v>
      </c>
      <c r="C73" s="1" t="s">
        <v>782</v>
      </c>
      <c r="D73" s="1">
        <v>1</v>
      </c>
      <c r="E73" s="1" t="s">
        <v>226</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5" t="s">
        <v>800</v>
      </c>
      <c r="Q73" s="5" t="s">
        <v>800</v>
      </c>
      <c r="R73" s="1">
        <v>115.17</v>
      </c>
      <c r="S73" s="1">
        <v>115.17</v>
      </c>
      <c r="T73" s="1">
        <v>1</v>
      </c>
      <c r="U73" s="1" t="s">
        <v>227</v>
      </c>
      <c r="V73" s="1"/>
    </row>
    <row r="74" spans="1:22">
      <c r="A74" s="1">
        <v>1</v>
      </c>
      <c r="B74" s="1">
        <v>1.2</v>
      </c>
      <c r="C74" s="1" t="s">
        <v>782</v>
      </c>
      <c r="D74" s="1">
        <v>2</v>
      </c>
      <c r="E74" s="1" t="s">
        <v>226</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5" t="s">
        <v>800</v>
      </c>
      <c r="Q74" s="5" t="s">
        <v>800</v>
      </c>
      <c r="R74" s="1">
        <v>115.17</v>
      </c>
      <c r="S74" s="7">
        <v>115.17</v>
      </c>
      <c r="T74" s="1">
        <v>1</v>
      </c>
      <c r="U74" s="1" t="s">
        <v>228</v>
      </c>
      <c r="V74" s="7"/>
    </row>
    <row r="75" spans="1:22">
      <c r="A75" s="1">
        <v>1</v>
      </c>
      <c r="B75" s="1">
        <v>1.2</v>
      </c>
      <c r="C75" s="1" t="s">
        <v>782</v>
      </c>
      <c r="D75" s="1">
        <v>1</v>
      </c>
      <c r="E75" s="1" t="s">
        <v>229</v>
      </c>
      <c r="F75" s="4">
        <v>45375</v>
      </c>
      <c r="G75" s="1" t="s">
        <v>21</v>
      </c>
      <c r="H75" s="6">
        <f t="shared" si="7"/>
        <v>0.26059027777777777</v>
      </c>
      <c r="I75" s="1" t="s">
        <v>21</v>
      </c>
      <c r="J75" s="6">
        <v>3.1377314814814816E-2</v>
      </c>
      <c r="K75" s="3">
        <v>0.22921296296296295</v>
      </c>
      <c r="L75" s="1" t="s">
        <v>8</v>
      </c>
      <c r="M75" s="1" t="s">
        <v>7</v>
      </c>
      <c r="N75" s="1">
        <v>3</v>
      </c>
      <c r="O75" s="1">
        <v>3</v>
      </c>
      <c r="P75" s="5" t="s">
        <v>800</v>
      </c>
      <c r="Q75" s="5" t="s">
        <v>800</v>
      </c>
      <c r="R75" s="1">
        <v>115.17</v>
      </c>
      <c r="S75" s="7">
        <v>115.17</v>
      </c>
      <c r="T75" s="1">
        <v>0</v>
      </c>
      <c r="U75" s="1" t="s">
        <v>230</v>
      </c>
      <c r="V75" s="7"/>
    </row>
    <row r="76" spans="1:22">
      <c r="A76" s="1">
        <v>1</v>
      </c>
      <c r="B76" s="1">
        <v>1.2</v>
      </c>
      <c r="C76" s="1" t="s">
        <v>782</v>
      </c>
      <c r="D76" s="1">
        <v>2</v>
      </c>
      <c r="E76" s="1" t="s">
        <v>229</v>
      </c>
      <c r="F76" s="4">
        <v>45375</v>
      </c>
      <c r="G76" s="3">
        <f>I76+K76</f>
        <v>0.2612962962962963</v>
      </c>
      <c r="H76" s="6" t="s">
        <v>21</v>
      </c>
      <c r="I76" s="3">
        <v>3.2083333333333332E-2</v>
      </c>
      <c r="J76" s="6" t="s">
        <v>21</v>
      </c>
      <c r="K76" s="3">
        <v>0.22921296296296295</v>
      </c>
      <c r="L76" s="1" t="s">
        <v>7</v>
      </c>
      <c r="M76" s="1" t="s">
        <v>7</v>
      </c>
      <c r="N76" s="1">
        <v>3</v>
      </c>
      <c r="O76" s="1">
        <v>3</v>
      </c>
      <c r="P76" s="5" t="s">
        <v>800</v>
      </c>
      <c r="Q76" s="5" t="s">
        <v>800</v>
      </c>
      <c r="R76" s="1">
        <v>115.17</v>
      </c>
      <c r="S76" s="7">
        <v>115.17</v>
      </c>
      <c r="T76" s="1" t="s">
        <v>21</v>
      </c>
      <c r="U76" s="1" t="s">
        <v>231</v>
      </c>
      <c r="V76" s="7"/>
    </row>
    <row r="77" spans="1:22">
      <c r="A77" s="1">
        <v>1</v>
      </c>
      <c r="B77" s="1">
        <v>1.2</v>
      </c>
      <c r="C77" s="1" t="s">
        <v>782</v>
      </c>
      <c r="D77" s="1">
        <v>1</v>
      </c>
      <c r="E77" s="1" t="s">
        <v>240</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5" t="s">
        <v>800</v>
      </c>
      <c r="Q77" s="5" t="s">
        <v>800</v>
      </c>
      <c r="R77" s="1">
        <v>115.17</v>
      </c>
      <c r="S77" s="1">
        <v>57.4</v>
      </c>
      <c r="T77" s="1">
        <v>1</v>
      </c>
      <c r="V77" s="1"/>
    </row>
    <row r="78" spans="1:22">
      <c r="A78" s="1">
        <v>1</v>
      </c>
      <c r="B78" s="1">
        <v>1.2</v>
      </c>
      <c r="C78" s="1" t="s">
        <v>782</v>
      </c>
      <c r="D78" s="1">
        <v>1</v>
      </c>
      <c r="E78" s="1" t="s">
        <v>347</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5" t="s">
        <v>800</v>
      </c>
      <c r="Q78" s="5" t="s">
        <v>800</v>
      </c>
      <c r="R78" s="1">
        <v>115.17</v>
      </c>
      <c r="S78" s="7">
        <v>115.17</v>
      </c>
      <c r="T78" s="1">
        <v>1</v>
      </c>
      <c r="V78" s="7"/>
    </row>
    <row r="79" spans="1:22">
      <c r="A79" s="1">
        <v>1</v>
      </c>
      <c r="B79" s="1">
        <v>1.2</v>
      </c>
      <c r="C79" s="1" t="s">
        <v>782</v>
      </c>
      <c r="D79" s="1">
        <v>1</v>
      </c>
      <c r="E79" s="1" t="s">
        <v>241</v>
      </c>
      <c r="F79" s="4">
        <v>45376</v>
      </c>
      <c r="G79" s="3">
        <f>I79+K79</f>
        <v>0.24019675925925926</v>
      </c>
      <c r="H79" s="6">
        <f>J79+K79</f>
        <v>0.2697222222222222</v>
      </c>
      <c r="I79" s="3">
        <v>1.724537037037037E-3</v>
      </c>
      <c r="J79" s="6">
        <v>3.125E-2</v>
      </c>
      <c r="K79" s="3">
        <v>0.23847222222222222</v>
      </c>
      <c r="L79" s="1" t="s">
        <v>8</v>
      </c>
      <c r="M79" s="1" t="s">
        <v>7</v>
      </c>
      <c r="N79" s="1">
        <v>3</v>
      </c>
      <c r="O79" s="1">
        <v>3</v>
      </c>
      <c r="P79" s="5" t="s">
        <v>800</v>
      </c>
      <c r="Q79" s="5" t="s">
        <v>800</v>
      </c>
      <c r="R79" s="1">
        <v>115.17</v>
      </c>
      <c r="S79" s="1">
        <v>38.4</v>
      </c>
      <c r="T79" s="1">
        <v>0</v>
      </c>
      <c r="V79" s="1"/>
    </row>
    <row r="80" spans="1:22">
      <c r="A80" s="1">
        <v>1</v>
      </c>
      <c r="B80" s="1">
        <v>1.2</v>
      </c>
      <c r="C80" s="1" t="s">
        <v>782</v>
      </c>
      <c r="D80" s="1" t="s">
        <v>21</v>
      </c>
      <c r="E80" s="1" t="s">
        <v>21</v>
      </c>
      <c r="F80" s="4">
        <v>45377</v>
      </c>
      <c r="G80" s="1" t="s">
        <v>21</v>
      </c>
      <c r="H80" s="6" t="s">
        <v>21</v>
      </c>
      <c r="I80" s="1" t="s">
        <v>21</v>
      </c>
      <c r="J80" s="6" t="s">
        <v>21</v>
      </c>
      <c r="K80" s="1" t="s">
        <v>21</v>
      </c>
      <c r="L80" s="1" t="s">
        <v>7</v>
      </c>
      <c r="M80" s="1" t="s">
        <v>7</v>
      </c>
      <c r="N80" s="1">
        <v>3</v>
      </c>
      <c r="O80" s="1">
        <v>3</v>
      </c>
      <c r="P80" s="5" t="s">
        <v>800</v>
      </c>
      <c r="Q80" s="5" t="s">
        <v>800</v>
      </c>
      <c r="R80" s="1">
        <v>115.17</v>
      </c>
      <c r="S80" s="1">
        <v>115.17</v>
      </c>
      <c r="T80" s="1" t="s">
        <v>21</v>
      </c>
      <c r="U80" s="1" t="s">
        <v>242</v>
      </c>
      <c r="V80" s="1"/>
    </row>
    <row r="81" spans="1:22">
      <c r="A81" s="1">
        <v>1</v>
      </c>
      <c r="B81" s="1">
        <v>1.2</v>
      </c>
      <c r="C81" s="1" t="s">
        <v>782</v>
      </c>
      <c r="D81" s="1">
        <v>1</v>
      </c>
      <c r="E81" s="1" t="s">
        <v>245</v>
      </c>
      <c r="F81" s="4">
        <v>45377</v>
      </c>
      <c r="G81" s="1" t="s">
        <v>21</v>
      </c>
      <c r="H81" s="6">
        <f t="shared" ref="H81:H93" si="8">J81+K81</f>
        <v>0.25787037037037036</v>
      </c>
      <c r="I81" s="1" t="s">
        <v>21</v>
      </c>
      <c r="J81" s="6">
        <v>2.0104166666666666E-2</v>
      </c>
      <c r="K81" s="3">
        <v>0.23776620370370372</v>
      </c>
      <c r="L81" s="1" t="s">
        <v>8</v>
      </c>
      <c r="M81" s="1" t="s">
        <v>7</v>
      </c>
      <c r="N81" s="1">
        <v>3</v>
      </c>
      <c r="O81" s="1">
        <v>3</v>
      </c>
      <c r="P81" s="5" t="s">
        <v>800</v>
      </c>
      <c r="Q81" s="5" t="s">
        <v>800</v>
      </c>
      <c r="R81" s="1">
        <v>115.17</v>
      </c>
      <c r="S81" s="1">
        <v>57.4</v>
      </c>
      <c r="T81" s="1">
        <v>1</v>
      </c>
      <c r="U81" s="1" t="s">
        <v>246</v>
      </c>
      <c r="V81" s="1"/>
    </row>
    <row r="82" spans="1:22">
      <c r="A82" s="1">
        <v>1</v>
      </c>
      <c r="B82" s="1">
        <v>1.2</v>
      </c>
      <c r="C82" s="1" t="s">
        <v>782</v>
      </c>
      <c r="D82" s="1">
        <v>2</v>
      </c>
      <c r="E82" s="1" t="s">
        <v>245</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5" t="s">
        <v>800</v>
      </c>
      <c r="Q82" s="5" t="s">
        <v>800</v>
      </c>
      <c r="R82" s="1">
        <v>57.4</v>
      </c>
      <c r="S82" s="1">
        <v>57.4</v>
      </c>
      <c r="T82" s="1">
        <v>0</v>
      </c>
      <c r="U82" s="1" t="s">
        <v>247</v>
      </c>
      <c r="V82" s="1"/>
    </row>
    <row r="83" spans="1:22">
      <c r="A83" s="1">
        <v>1</v>
      </c>
      <c r="B83" s="1">
        <v>1.2</v>
      </c>
      <c r="C83" s="1" t="s">
        <v>782</v>
      </c>
      <c r="D83" s="1">
        <v>1</v>
      </c>
      <c r="E83" s="1" t="s">
        <v>248</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5" t="s">
        <v>800</v>
      </c>
      <c r="Q83" s="5" t="s">
        <v>800</v>
      </c>
      <c r="R83" s="1">
        <v>115.17</v>
      </c>
      <c r="S83" s="1">
        <v>38.4</v>
      </c>
      <c r="T83" s="1">
        <v>1</v>
      </c>
      <c r="V83" s="1"/>
    </row>
    <row r="84" spans="1:22">
      <c r="A84" s="1">
        <v>1</v>
      </c>
      <c r="B84" s="1">
        <v>1.2</v>
      </c>
      <c r="C84" s="1" t="s">
        <v>782</v>
      </c>
      <c r="D84" s="1">
        <v>1</v>
      </c>
      <c r="E84" s="1" t="s">
        <v>290</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5" t="s">
        <v>800</v>
      </c>
      <c r="Q84" s="5" t="s">
        <v>800</v>
      </c>
      <c r="R84" s="1">
        <v>115.17</v>
      </c>
      <c r="S84" s="1">
        <v>115.17</v>
      </c>
      <c r="T84" s="1">
        <v>0</v>
      </c>
      <c r="V84" s="1"/>
    </row>
    <row r="85" spans="1:22">
      <c r="A85" s="1">
        <v>1</v>
      </c>
      <c r="B85" s="1">
        <v>1.2</v>
      </c>
      <c r="C85" s="1" t="s">
        <v>782</v>
      </c>
      <c r="D85" s="1">
        <v>1</v>
      </c>
      <c r="E85" s="1" t="s">
        <v>274</v>
      </c>
      <c r="F85" s="4">
        <v>45379</v>
      </c>
      <c r="G85" s="1" t="s">
        <v>21</v>
      </c>
      <c r="H85" s="6">
        <f t="shared" si="8"/>
        <v>0.24640046296296297</v>
      </c>
      <c r="I85" s="1" t="s">
        <v>21</v>
      </c>
      <c r="J85" s="6">
        <v>1.238425925925926E-2</v>
      </c>
      <c r="K85" s="3">
        <v>0.23401620370370371</v>
      </c>
      <c r="L85" s="1" t="s">
        <v>7</v>
      </c>
      <c r="M85" s="1" t="s">
        <v>7</v>
      </c>
      <c r="N85" s="1">
        <v>3</v>
      </c>
      <c r="O85" s="1">
        <v>3</v>
      </c>
      <c r="P85" s="5" t="s">
        <v>800</v>
      </c>
      <c r="Q85" s="5" t="s">
        <v>800</v>
      </c>
      <c r="R85" s="1">
        <v>115.17</v>
      </c>
      <c r="S85" s="1">
        <v>115.17</v>
      </c>
      <c r="T85" s="1">
        <v>0</v>
      </c>
      <c r="U85" s="1" t="s">
        <v>275</v>
      </c>
      <c r="V85" s="1"/>
    </row>
    <row r="86" spans="1:22">
      <c r="A86" s="1">
        <v>1</v>
      </c>
      <c r="B86" s="1">
        <v>1.2</v>
      </c>
      <c r="C86" s="1" t="s">
        <v>782</v>
      </c>
      <c r="D86" s="1">
        <v>2</v>
      </c>
      <c r="E86" s="1" t="s">
        <v>274</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5" t="s">
        <v>800</v>
      </c>
      <c r="Q86" s="5" t="s">
        <v>800</v>
      </c>
      <c r="R86" s="1">
        <v>115.17</v>
      </c>
      <c r="S86" s="2">
        <v>57.4</v>
      </c>
      <c r="T86" s="1">
        <v>1</v>
      </c>
      <c r="U86" s="1" t="s">
        <v>282</v>
      </c>
    </row>
    <row r="87" spans="1:22">
      <c r="A87" s="1">
        <v>1</v>
      </c>
      <c r="B87" s="1">
        <v>1.2</v>
      </c>
      <c r="C87" s="1" t="s">
        <v>782</v>
      </c>
      <c r="D87" s="1">
        <v>3</v>
      </c>
      <c r="E87" s="1" t="s">
        <v>274</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5" t="s">
        <v>800</v>
      </c>
      <c r="Q87" s="5" t="s">
        <v>800</v>
      </c>
      <c r="R87" s="1">
        <v>115.17</v>
      </c>
      <c r="S87" s="2">
        <v>57.4</v>
      </c>
      <c r="T87" s="1">
        <v>1</v>
      </c>
    </row>
    <row r="88" spans="1:22">
      <c r="A88" s="1">
        <v>1</v>
      </c>
      <c r="B88" s="1">
        <v>1.2</v>
      </c>
      <c r="C88" s="1" t="s">
        <v>782</v>
      </c>
      <c r="D88" s="1">
        <v>1</v>
      </c>
      <c r="E88" s="1" t="s">
        <v>285</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5" t="s">
        <v>800</v>
      </c>
      <c r="Q88" s="5" t="s">
        <v>800</v>
      </c>
      <c r="R88" s="1">
        <v>115.17</v>
      </c>
      <c r="S88" s="1">
        <v>38.4</v>
      </c>
      <c r="T88" s="1">
        <v>0</v>
      </c>
    </row>
    <row r="89" spans="1:22">
      <c r="A89" s="1">
        <v>1</v>
      </c>
      <c r="B89" s="1">
        <v>1.2</v>
      </c>
      <c r="C89" s="1" t="s">
        <v>782</v>
      </c>
      <c r="D89" s="1">
        <v>1</v>
      </c>
      <c r="E89" s="1" t="s">
        <v>289</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5" t="s">
        <v>800</v>
      </c>
      <c r="Q89" s="5" t="s">
        <v>800</v>
      </c>
      <c r="R89" s="1">
        <v>115.17</v>
      </c>
      <c r="S89" s="1">
        <v>115.17</v>
      </c>
      <c r="T89" s="1">
        <v>0</v>
      </c>
      <c r="V89" s="1"/>
    </row>
    <row r="90" spans="1:22">
      <c r="A90" s="1">
        <v>1</v>
      </c>
      <c r="B90" s="1">
        <v>1.2</v>
      </c>
      <c r="C90" s="1" t="s">
        <v>782</v>
      </c>
      <c r="D90" s="1">
        <v>2</v>
      </c>
      <c r="E90" s="1" t="s">
        <v>289</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5" t="s">
        <v>800</v>
      </c>
      <c r="Q90" s="5" t="s">
        <v>800</v>
      </c>
      <c r="R90" s="1">
        <v>115.17</v>
      </c>
      <c r="S90" s="1">
        <v>115.17</v>
      </c>
      <c r="T90" s="1">
        <v>1</v>
      </c>
      <c r="U90" s="1" t="s">
        <v>294</v>
      </c>
      <c r="V90" s="1"/>
    </row>
    <row r="91" spans="1:22">
      <c r="A91" s="1">
        <v>1</v>
      </c>
      <c r="B91" s="1">
        <v>1.2</v>
      </c>
      <c r="C91" s="1" t="s">
        <v>782</v>
      </c>
      <c r="D91" s="1">
        <v>1</v>
      </c>
      <c r="E91" s="1" t="s">
        <v>297</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5" t="s">
        <v>800</v>
      </c>
      <c r="Q91" s="5" t="s">
        <v>800</v>
      </c>
      <c r="R91" s="1">
        <v>115.17</v>
      </c>
      <c r="S91" s="2">
        <v>57.4</v>
      </c>
      <c r="T91" s="1">
        <v>0</v>
      </c>
    </row>
    <row r="92" spans="1:22">
      <c r="A92" s="1">
        <v>1</v>
      </c>
      <c r="B92" s="1">
        <v>1.2</v>
      </c>
      <c r="C92" s="1" t="s">
        <v>782</v>
      </c>
      <c r="D92" s="1">
        <v>1</v>
      </c>
      <c r="E92" s="1" t="s">
        <v>299</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5" t="s">
        <v>800</v>
      </c>
      <c r="Q92" s="5" t="s">
        <v>800</v>
      </c>
      <c r="R92" s="1">
        <v>115.17</v>
      </c>
      <c r="S92" s="1">
        <v>38.4</v>
      </c>
      <c r="T92" s="1">
        <v>0</v>
      </c>
    </row>
    <row r="93" spans="1:22" ht="17" customHeight="1">
      <c r="A93" s="1">
        <v>1</v>
      </c>
      <c r="B93" s="1">
        <v>1.2</v>
      </c>
      <c r="C93" s="1" t="s">
        <v>782</v>
      </c>
      <c r="D93" s="1">
        <v>1</v>
      </c>
      <c r="E93" s="1" t="s">
        <v>300</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5" t="s">
        <v>800</v>
      </c>
      <c r="Q93" s="5" t="s">
        <v>800</v>
      </c>
      <c r="R93" s="1">
        <v>115.17</v>
      </c>
      <c r="S93" s="1">
        <v>115.17</v>
      </c>
      <c r="T93" s="1">
        <v>1</v>
      </c>
      <c r="V93" s="1"/>
    </row>
    <row r="94" spans="1:22">
      <c r="A94" s="1">
        <v>1</v>
      </c>
      <c r="B94" s="1">
        <v>1.2</v>
      </c>
      <c r="C94" s="1" t="s">
        <v>782</v>
      </c>
      <c r="D94" s="1" t="s">
        <v>21</v>
      </c>
      <c r="E94" s="1" t="s">
        <v>21</v>
      </c>
      <c r="F94" s="4">
        <v>45382</v>
      </c>
      <c r="G94" s="1" t="s">
        <v>21</v>
      </c>
      <c r="H94" s="6" t="s">
        <v>21</v>
      </c>
      <c r="I94" s="1" t="s">
        <v>21</v>
      </c>
      <c r="J94" s="6" t="s">
        <v>21</v>
      </c>
      <c r="K94" s="1" t="s">
        <v>21</v>
      </c>
      <c r="L94" s="1" t="s">
        <v>8</v>
      </c>
      <c r="M94" s="1" t="s">
        <v>8</v>
      </c>
      <c r="N94" s="1">
        <v>3</v>
      </c>
      <c r="O94" s="1">
        <v>3</v>
      </c>
      <c r="P94" s="5" t="s">
        <v>800</v>
      </c>
      <c r="Q94" s="5" t="s">
        <v>800</v>
      </c>
      <c r="R94" s="1">
        <v>115.17</v>
      </c>
      <c r="S94" s="1">
        <v>115.17</v>
      </c>
      <c r="T94" s="1" t="s">
        <v>21</v>
      </c>
      <c r="U94" s="1" t="s">
        <v>296</v>
      </c>
      <c r="V94" s="1"/>
    </row>
    <row r="95" spans="1:22">
      <c r="A95" s="1">
        <v>1</v>
      </c>
      <c r="B95" s="1">
        <v>1.2</v>
      </c>
      <c r="C95" s="1" t="s">
        <v>782</v>
      </c>
      <c r="D95" s="1">
        <v>1</v>
      </c>
      <c r="E95" s="1" t="s">
        <v>319</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5" t="s">
        <v>800</v>
      </c>
      <c r="Q95" s="5" t="s">
        <v>800</v>
      </c>
      <c r="R95" s="2">
        <v>115.17</v>
      </c>
      <c r="S95" s="2">
        <v>57.4</v>
      </c>
      <c r="T95" s="1">
        <v>0</v>
      </c>
    </row>
    <row r="96" spans="1:22">
      <c r="A96" s="1">
        <v>1</v>
      </c>
      <c r="B96" s="1">
        <v>1.2</v>
      </c>
      <c r="C96" s="1" t="s">
        <v>782</v>
      </c>
      <c r="D96" s="1">
        <v>1</v>
      </c>
      <c r="E96" s="1" t="s">
        <v>318</v>
      </c>
      <c r="F96" s="4">
        <v>45383</v>
      </c>
      <c r="G96" s="3">
        <f>I96+K96</f>
        <v>0.2379398148148148</v>
      </c>
      <c r="H96" s="6" t="s">
        <v>21</v>
      </c>
      <c r="I96" s="3">
        <v>9.6874999999999999E-3</v>
      </c>
      <c r="J96" s="6" t="s">
        <v>21</v>
      </c>
      <c r="K96" s="3">
        <v>0.22825231481481481</v>
      </c>
      <c r="L96" s="1" t="s">
        <v>7</v>
      </c>
      <c r="M96" s="1" t="s">
        <v>7</v>
      </c>
      <c r="N96" s="1">
        <v>3</v>
      </c>
      <c r="O96" s="1">
        <v>3</v>
      </c>
      <c r="P96" s="5" t="s">
        <v>800</v>
      </c>
      <c r="Q96" s="5" t="s">
        <v>800</v>
      </c>
      <c r="R96" s="1">
        <v>115.17</v>
      </c>
      <c r="S96" s="1">
        <v>115.17</v>
      </c>
      <c r="T96" s="1" t="s">
        <v>21</v>
      </c>
      <c r="U96" s="1" t="s">
        <v>320</v>
      </c>
      <c r="V96" s="1"/>
    </row>
    <row r="97" spans="1:22">
      <c r="A97" s="1">
        <v>1</v>
      </c>
      <c r="B97" s="1">
        <v>1.2</v>
      </c>
      <c r="C97" s="1" t="s">
        <v>782</v>
      </c>
      <c r="D97" s="1">
        <v>2</v>
      </c>
      <c r="E97" s="1" t="s">
        <v>318</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5" t="s">
        <v>800</v>
      </c>
      <c r="Q97" s="5" t="s">
        <v>800</v>
      </c>
      <c r="R97" s="2">
        <v>115.17</v>
      </c>
      <c r="S97" s="1">
        <v>38.4</v>
      </c>
      <c r="T97" s="1">
        <v>1</v>
      </c>
    </row>
    <row r="98" spans="1:22">
      <c r="A98" s="1">
        <v>1</v>
      </c>
      <c r="B98" s="1">
        <v>1.2</v>
      </c>
      <c r="C98" s="1" t="s">
        <v>782</v>
      </c>
      <c r="D98" s="1" t="s">
        <v>21</v>
      </c>
      <c r="E98" s="1" t="s">
        <v>21</v>
      </c>
      <c r="F98" s="4">
        <v>45383</v>
      </c>
      <c r="G98" s="1" t="s">
        <v>21</v>
      </c>
      <c r="H98" s="6" t="s">
        <v>21</v>
      </c>
      <c r="I98" s="1" t="s">
        <v>21</v>
      </c>
      <c r="J98" s="6" t="s">
        <v>21</v>
      </c>
      <c r="K98" s="1" t="s">
        <v>21</v>
      </c>
      <c r="P98" s="5" t="s">
        <v>800</v>
      </c>
      <c r="Q98" s="5" t="s">
        <v>800</v>
      </c>
      <c r="T98" s="1" t="s">
        <v>21</v>
      </c>
      <c r="U98" s="1" t="s">
        <v>333</v>
      </c>
    </row>
    <row r="99" spans="1:22">
      <c r="A99" s="1">
        <v>1</v>
      </c>
      <c r="B99" s="1">
        <v>1.2</v>
      </c>
      <c r="C99" s="1" t="s">
        <v>782</v>
      </c>
      <c r="D99" s="1" t="s">
        <v>21</v>
      </c>
      <c r="E99" s="1" t="s">
        <v>21</v>
      </c>
      <c r="F99" s="4">
        <v>45384</v>
      </c>
      <c r="G99" s="1" t="s">
        <v>21</v>
      </c>
      <c r="H99" s="6" t="s">
        <v>21</v>
      </c>
      <c r="I99" s="1" t="s">
        <v>21</v>
      </c>
      <c r="J99" s="6" t="s">
        <v>21</v>
      </c>
      <c r="K99" s="1" t="s">
        <v>21</v>
      </c>
      <c r="P99" s="5" t="s">
        <v>800</v>
      </c>
      <c r="Q99" s="5" t="s">
        <v>800</v>
      </c>
      <c r="T99" s="1" t="s">
        <v>21</v>
      </c>
      <c r="U99" s="1" t="s">
        <v>332</v>
      </c>
    </row>
    <row r="100" spans="1:22">
      <c r="A100" s="1">
        <v>1</v>
      </c>
      <c r="B100" s="1">
        <v>1.2</v>
      </c>
      <c r="C100" s="1" t="s">
        <v>782</v>
      </c>
      <c r="D100" s="1" t="s">
        <v>21</v>
      </c>
      <c r="E100" s="1" t="s">
        <v>21</v>
      </c>
      <c r="F100" s="4">
        <v>45384</v>
      </c>
      <c r="G100" s="1" t="s">
        <v>21</v>
      </c>
      <c r="H100" s="1" t="s">
        <v>21</v>
      </c>
      <c r="I100" s="1" t="s">
        <v>21</v>
      </c>
      <c r="K100" s="1" t="s">
        <v>21</v>
      </c>
      <c r="P100" s="5" t="s">
        <v>800</v>
      </c>
      <c r="Q100" s="5" t="s">
        <v>800</v>
      </c>
      <c r="T100" s="1" t="s">
        <v>21</v>
      </c>
    </row>
    <row r="101" spans="1:22">
      <c r="A101" s="1">
        <v>1</v>
      </c>
      <c r="B101" s="1">
        <v>1.2</v>
      </c>
      <c r="C101" s="1" t="s">
        <v>782</v>
      </c>
      <c r="D101" s="1" t="s">
        <v>21</v>
      </c>
      <c r="E101" s="1" t="s">
        <v>21</v>
      </c>
      <c r="F101" s="4">
        <v>45385</v>
      </c>
      <c r="G101" s="1" t="s">
        <v>21</v>
      </c>
      <c r="H101" s="1" t="s">
        <v>21</v>
      </c>
      <c r="I101" s="1" t="s">
        <v>21</v>
      </c>
      <c r="K101" s="1" t="s">
        <v>21</v>
      </c>
      <c r="P101" s="5" t="s">
        <v>800</v>
      </c>
      <c r="Q101" s="5" t="s">
        <v>800</v>
      </c>
      <c r="T101" s="1" t="s">
        <v>21</v>
      </c>
    </row>
    <row r="102" spans="1:22">
      <c r="A102" s="1">
        <v>1</v>
      </c>
      <c r="B102" s="1">
        <v>1.2</v>
      </c>
      <c r="C102" s="1" t="s">
        <v>782</v>
      </c>
      <c r="D102" s="1">
        <v>1</v>
      </c>
      <c r="E102" s="1" t="s">
        <v>357</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5" t="s">
        <v>800</v>
      </c>
      <c r="Q102" s="5" t="s">
        <v>800</v>
      </c>
      <c r="R102" s="1">
        <v>115.17</v>
      </c>
      <c r="S102" s="1">
        <v>115.17</v>
      </c>
      <c r="T102" s="1">
        <v>1</v>
      </c>
      <c r="V102" s="1"/>
    </row>
    <row r="103" spans="1:22">
      <c r="A103" s="1">
        <v>1</v>
      </c>
      <c r="B103" s="1">
        <v>1.2</v>
      </c>
      <c r="C103" s="1" t="s">
        <v>782</v>
      </c>
      <c r="D103" s="1" t="s">
        <v>21</v>
      </c>
      <c r="E103" s="1" t="s">
        <v>21</v>
      </c>
      <c r="F103" s="4">
        <v>45386</v>
      </c>
      <c r="G103" s="3" t="s">
        <v>21</v>
      </c>
      <c r="H103" s="6" t="s">
        <v>21</v>
      </c>
      <c r="I103" s="3" t="s">
        <v>21</v>
      </c>
      <c r="J103" s="6" t="s">
        <v>21</v>
      </c>
      <c r="K103" s="3" t="s">
        <v>21</v>
      </c>
      <c r="N103" s="1">
        <v>3</v>
      </c>
      <c r="O103" s="1">
        <v>3</v>
      </c>
      <c r="P103" s="5" t="s">
        <v>800</v>
      </c>
      <c r="Q103" s="5" t="s">
        <v>800</v>
      </c>
      <c r="R103" s="1"/>
      <c r="S103" s="1"/>
      <c r="T103" s="1" t="s">
        <v>21</v>
      </c>
      <c r="U103" s="1" t="s">
        <v>379</v>
      </c>
      <c r="V103" s="1"/>
    </row>
    <row r="104" spans="1:22">
      <c r="A104" s="1">
        <v>1</v>
      </c>
      <c r="B104" s="1">
        <v>1.2</v>
      </c>
      <c r="C104" s="1" t="s">
        <v>782</v>
      </c>
      <c r="D104" s="1">
        <v>1</v>
      </c>
      <c r="E104" s="1" t="s">
        <v>384</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1">
        <v>3</v>
      </c>
      <c r="P104" s="5" t="s">
        <v>800</v>
      </c>
      <c r="Q104" s="5" t="s">
        <v>800</v>
      </c>
      <c r="R104" s="1">
        <v>115.17</v>
      </c>
      <c r="S104" s="1">
        <v>115.17</v>
      </c>
      <c r="T104" s="2">
        <v>0</v>
      </c>
      <c r="U104" s="1" t="s">
        <v>385</v>
      </c>
      <c r="V104" s="1"/>
    </row>
    <row r="105" spans="1:22">
      <c r="A105" s="1">
        <v>1</v>
      </c>
      <c r="B105" s="1">
        <v>1.2</v>
      </c>
      <c r="C105" s="1" t="s">
        <v>782</v>
      </c>
      <c r="D105" s="1" t="s">
        <v>21</v>
      </c>
      <c r="E105" s="1" t="s">
        <v>21</v>
      </c>
      <c r="F105" s="4">
        <v>45387</v>
      </c>
      <c r="G105" s="1" t="s">
        <v>21</v>
      </c>
      <c r="H105" s="6" t="s">
        <v>21</v>
      </c>
      <c r="I105" s="1" t="s">
        <v>21</v>
      </c>
      <c r="J105" s="6" t="s">
        <v>21</v>
      </c>
      <c r="K105" s="1" t="s">
        <v>21</v>
      </c>
      <c r="N105" s="1">
        <v>3</v>
      </c>
      <c r="O105" s="1">
        <v>3</v>
      </c>
      <c r="P105" s="5" t="s">
        <v>800</v>
      </c>
      <c r="Q105" s="5" t="s">
        <v>800</v>
      </c>
      <c r="T105" s="1" t="s">
        <v>21</v>
      </c>
    </row>
    <row r="106" spans="1:22">
      <c r="A106" s="1">
        <v>1</v>
      </c>
      <c r="B106" s="1">
        <v>1.2</v>
      </c>
      <c r="C106" s="1" t="s">
        <v>782</v>
      </c>
      <c r="D106" s="1">
        <v>1</v>
      </c>
      <c r="E106" s="1" t="s">
        <v>470</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5" t="s">
        <v>218</v>
      </c>
      <c r="P106" s="5" t="s">
        <v>800</v>
      </c>
      <c r="Q106" s="5" t="s">
        <v>800</v>
      </c>
      <c r="R106" s="1">
        <v>115.17</v>
      </c>
      <c r="S106" s="2">
        <v>57.4</v>
      </c>
      <c r="T106" s="1">
        <v>1</v>
      </c>
    </row>
    <row r="107" spans="1:22">
      <c r="A107" s="1">
        <v>1</v>
      </c>
      <c r="B107" s="1">
        <v>1.2</v>
      </c>
      <c r="C107" s="1" t="s">
        <v>782</v>
      </c>
      <c r="D107" s="1">
        <v>1</v>
      </c>
      <c r="E107" s="1" t="s">
        <v>469</v>
      </c>
      <c r="F107" s="4">
        <v>45388</v>
      </c>
      <c r="G107" s="1" t="s">
        <v>21</v>
      </c>
      <c r="H107" s="6">
        <f>J107+K107</f>
        <v>0.78626157407407415</v>
      </c>
      <c r="I107" s="1" t="s">
        <v>21</v>
      </c>
      <c r="J107" s="6">
        <v>1.9814814814814816E-2</v>
      </c>
      <c r="K107" s="3">
        <v>0.76644675925925931</v>
      </c>
      <c r="L107" s="1" t="s">
        <v>8</v>
      </c>
      <c r="M107" s="1" t="s">
        <v>8</v>
      </c>
      <c r="N107" s="1">
        <v>3</v>
      </c>
      <c r="O107" s="5" t="s">
        <v>218</v>
      </c>
      <c r="P107" s="5" t="s">
        <v>800</v>
      </c>
      <c r="Q107" s="5" t="s">
        <v>800</v>
      </c>
      <c r="R107" s="1">
        <v>115.17</v>
      </c>
      <c r="S107" s="1">
        <v>115.17</v>
      </c>
      <c r="T107" s="1">
        <v>1</v>
      </c>
      <c r="U107" s="1" t="s">
        <v>146</v>
      </c>
      <c r="V107" s="1"/>
    </row>
    <row r="108" spans="1:22">
      <c r="A108" s="1">
        <v>1</v>
      </c>
      <c r="B108" s="1">
        <v>1.2</v>
      </c>
      <c r="C108" s="1" t="s">
        <v>782</v>
      </c>
      <c r="D108" s="1" t="s">
        <v>21</v>
      </c>
      <c r="E108" s="1" t="s">
        <v>21</v>
      </c>
      <c r="F108" s="4">
        <v>45388</v>
      </c>
      <c r="G108" s="1" t="s">
        <v>21</v>
      </c>
      <c r="H108" s="6" t="s">
        <v>21</v>
      </c>
      <c r="I108" s="1" t="s">
        <v>21</v>
      </c>
      <c r="J108" s="6" t="s">
        <v>21</v>
      </c>
      <c r="K108" s="1" t="s">
        <v>21</v>
      </c>
      <c r="P108" s="5" t="s">
        <v>800</v>
      </c>
      <c r="Q108" s="5" t="s">
        <v>800</v>
      </c>
      <c r="T108" s="1" t="s">
        <v>21</v>
      </c>
    </row>
    <row r="109" spans="1:22">
      <c r="A109" s="1">
        <v>1</v>
      </c>
      <c r="B109" s="1">
        <v>1.2</v>
      </c>
      <c r="C109" s="1" t="s">
        <v>782</v>
      </c>
      <c r="D109" s="1">
        <v>1</v>
      </c>
      <c r="E109" s="1" t="s">
        <v>468</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5" t="s">
        <v>800</v>
      </c>
      <c r="Q109" s="5" t="s">
        <v>800</v>
      </c>
      <c r="R109" s="1">
        <v>115.17</v>
      </c>
      <c r="S109" s="1">
        <v>115.17</v>
      </c>
      <c r="T109" s="1">
        <v>0</v>
      </c>
      <c r="U109" s="1" t="s">
        <v>476</v>
      </c>
      <c r="V109" s="1"/>
    </row>
    <row r="110" spans="1:22">
      <c r="A110" s="1">
        <v>1</v>
      </c>
      <c r="B110" s="1">
        <v>1.2</v>
      </c>
      <c r="C110" s="1" t="s">
        <v>782</v>
      </c>
      <c r="D110" s="1">
        <v>1</v>
      </c>
      <c r="E110" s="1" t="s">
        <v>461</v>
      </c>
      <c r="F110" s="4">
        <v>45390</v>
      </c>
      <c r="G110" s="1" t="s">
        <v>21</v>
      </c>
      <c r="H110" s="6">
        <f t="shared" si="10"/>
        <v>0.79108796296296291</v>
      </c>
      <c r="I110" s="1" t="s">
        <v>21</v>
      </c>
      <c r="J110" s="6">
        <v>2.5300925925925925E-2</v>
      </c>
      <c r="K110" s="3">
        <v>0.76578703703703699</v>
      </c>
      <c r="L110" s="1" t="s">
        <v>8</v>
      </c>
      <c r="M110" s="1" t="s">
        <v>7</v>
      </c>
      <c r="N110" s="1">
        <v>3</v>
      </c>
      <c r="O110" s="1">
        <v>3</v>
      </c>
      <c r="P110" s="5" t="s">
        <v>800</v>
      </c>
      <c r="Q110" s="5" t="s">
        <v>800</v>
      </c>
      <c r="R110" s="1">
        <v>115.17</v>
      </c>
      <c r="S110" s="2">
        <v>57.4</v>
      </c>
      <c r="T110" s="1">
        <v>0</v>
      </c>
      <c r="U110" s="1" t="s">
        <v>463</v>
      </c>
    </row>
    <row r="111" spans="1:22">
      <c r="A111" s="1">
        <v>1</v>
      </c>
      <c r="B111" s="1">
        <v>1.2</v>
      </c>
      <c r="C111" s="1" t="s">
        <v>782</v>
      </c>
      <c r="D111" s="1">
        <v>1</v>
      </c>
      <c r="E111" s="1" t="s">
        <v>467</v>
      </c>
      <c r="F111" s="4">
        <v>45390</v>
      </c>
      <c r="G111" s="1" t="s">
        <v>21</v>
      </c>
      <c r="H111" s="6">
        <f t="shared" si="10"/>
        <v>0.24300925925925926</v>
      </c>
      <c r="I111" s="1" t="s">
        <v>21</v>
      </c>
      <c r="J111" s="6">
        <v>1.0937499999999999E-2</v>
      </c>
      <c r="K111" s="3">
        <v>0.23207175925925927</v>
      </c>
      <c r="L111" s="1" t="s">
        <v>7</v>
      </c>
      <c r="M111" s="1" t="s">
        <v>7</v>
      </c>
      <c r="N111" s="1">
        <v>3</v>
      </c>
      <c r="O111" s="1">
        <v>3</v>
      </c>
      <c r="P111" s="5" t="s">
        <v>800</v>
      </c>
      <c r="Q111" s="5" t="s">
        <v>800</v>
      </c>
      <c r="R111" s="1">
        <v>115.17</v>
      </c>
      <c r="S111" s="1">
        <v>115.17</v>
      </c>
      <c r="T111" s="1">
        <v>0</v>
      </c>
      <c r="U111" s="1" t="s">
        <v>275</v>
      </c>
      <c r="V111" s="1"/>
    </row>
    <row r="112" spans="1:22">
      <c r="A112" s="1">
        <v>1</v>
      </c>
      <c r="B112" s="1">
        <v>1.2</v>
      </c>
      <c r="C112" s="1" t="s">
        <v>782</v>
      </c>
      <c r="D112" s="1">
        <v>2</v>
      </c>
      <c r="E112" s="1" t="s">
        <v>467</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5" t="s">
        <v>800</v>
      </c>
      <c r="Q112" s="5" t="s">
        <v>800</v>
      </c>
      <c r="R112" s="1">
        <v>115.17</v>
      </c>
      <c r="S112" s="2">
        <v>57.4</v>
      </c>
      <c r="T112" s="1">
        <v>1</v>
      </c>
    </row>
    <row r="113" spans="1:23">
      <c r="A113" s="1">
        <v>1</v>
      </c>
      <c r="B113" s="1">
        <v>1.2</v>
      </c>
      <c r="C113" s="1" t="s">
        <v>782</v>
      </c>
      <c r="D113" s="1">
        <v>1</v>
      </c>
      <c r="E113" s="1" t="s">
        <v>458</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5" t="s">
        <v>800</v>
      </c>
      <c r="Q113" s="5" t="s">
        <v>800</v>
      </c>
      <c r="R113" s="1">
        <v>115.17</v>
      </c>
      <c r="S113" s="1">
        <v>38.4</v>
      </c>
      <c r="T113" s="1">
        <v>0</v>
      </c>
    </row>
    <row r="114" spans="1:23">
      <c r="A114" s="1">
        <v>1</v>
      </c>
      <c r="B114" s="1">
        <v>1.2</v>
      </c>
      <c r="C114" s="1" t="s">
        <v>782</v>
      </c>
      <c r="D114" s="1">
        <v>1</v>
      </c>
      <c r="E114" s="1" t="s">
        <v>482</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5" t="s">
        <v>218</v>
      </c>
      <c r="P114" s="5" t="s">
        <v>800</v>
      </c>
      <c r="Q114" s="5" t="s">
        <v>800</v>
      </c>
      <c r="R114" s="2">
        <v>115.17</v>
      </c>
      <c r="S114" s="1">
        <v>38.4</v>
      </c>
      <c r="T114" s="1">
        <v>1</v>
      </c>
    </row>
    <row r="115" spans="1:23">
      <c r="A115" s="1">
        <v>1</v>
      </c>
      <c r="B115" s="1">
        <v>1.2</v>
      </c>
      <c r="C115" s="1" t="s">
        <v>782</v>
      </c>
      <c r="D115" s="1">
        <v>1</v>
      </c>
      <c r="E115" s="1" t="s">
        <v>67</v>
      </c>
      <c r="F115" s="4">
        <v>45392</v>
      </c>
      <c r="G115" s="1" t="s">
        <v>21</v>
      </c>
      <c r="H115" s="6">
        <f t="shared" si="10"/>
        <v>0.23944444444444443</v>
      </c>
      <c r="I115" s="1" t="s">
        <v>21</v>
      </c>
      <c r="J115" s="6">
        <v>8.564814814814815E-3</v>
      </c>
      <c r="K115" s="3">
        <v>0.23087962962962963</v>
      </c>
      <c r="L115" s="1" t="s">
        <v>8</v>
      </c>
      <c r="M115" s="1" t="s">
        <v>7</v>
      </c>
      <c r="N115" s="1">
        <v>3</v>
      </c>
      <c r="O115" s="5" t="s">
        <v>218</v>
      </c>
      <c r="P115" s="5" t="s">
        <v>800</v>
      </c>
      <c r="Q115" s="5" t="s">
        <v>800</v>
      </c>
      <c r="R115" s="1">
        <v>38.4</v>
      </c>
      <c r="S115" s="1">
        <v>38.4</v>
      </c>
      <c r="T115" s="1">
        <v>0</v>
      </c>
      <c r="U115" s="1" t="s">
        <v>484</v>
      </c>
    </row>
    <row r="116" spans="1:23">
      <c r="A116" s="1">
        <v>1</v>
      </c>
      <c r="B116" s="1">
        <v>1.2</v>
      </c>
      <c r="C116" s="1" t="s">
        <v>782</v>
      </c>
      <c r="D116" s="1">
        <v>2</v>
      </c>
      <c r="E116" s="1" t="s">
        <v>67</v>
      </c>
      <c r="F116" s="4">
        <v>45392</v>
      </c>
      <c r="G116" s="3">
        <f>I116+K116</f>
        <v>0.24076388888888889</v>
      </c>
      <c r="H116" s="6" t="s">
        <v>21</v>
      </c>
      <c r="I116" s="3">
        <v>9.8842592592592593E-3</v>
      </c>
      <c r="J116" s="6" t="s">
        <v>21</v>
      </c>
      <c r="K116" s="3">
        <v>0.23087962962962963</v>
      </c>
      <c r="L116" s="1" t="s">
        <v>7</v>
      </c>
      <c r="M116" s="1" t="s">
        <v>7</v>
      </c>
      <c r="N116" s="1">
        <v>3</v>
      </c>
      <c r="O116" s="5" t="s">
        <v>218</v>
      </c>
      <c r="P116" s="5" t="s">
        <v>800</v>
      </c>
      <c r="Q116" s="5" t="s">
        <v>800</v>
      </c>
      <c r="R116" s="1">
        <v>38.4</v>
      </c>
      <c r="S116" s="1">
        <v>38.4</v>
      </c>
      <c r="T116" s="1" t="s">
        <v>21</v>
      </c>
      <c r="U116" s="1" t="s">
        <v>485</v>
      </c>
    </row>
    <row r="117" spans="1:23">
      <c r="A117" s="1">
        <v>1</v>
      </c>
      <c r="B117" s="1">
        <v>1.2</v>
      </c>
      <c r="C117" s="1" t="s">
        <v>782</v>
      </c>
      <c r="D117" s="1">
        <v>5</v>
      </c>
      <c r="E117" s="1" t="s">
        <v>66</v>
      </c>
      <c r="F117" s="4">
        <v>45393</v>
      </c>
      <c r="H117" s="6">
        <f t="shared" ref="H117:H126" si="11">J117+K117</f>
        <v>0.27635416666666668</v>
      </c>
      <c r="J117" s="3">
        <v>5.3101851851851851E-2</v>
      </c>
      <c r="K117" s="3">
        <v>0.22325231481481481</v>
      </c>
      <c r="L117" s="1" t="s">
        <v>7</v>
      </c>
      <c r="M117" s="1" t="s">
        <v>7</v>
      </c>
      <c r="N117" s="1">
        <v>3</v>
      </c>
      <c r="O117" s="1">
        <v>3</v>
      </c>
      <c r="P117" s="5" t="s">
        <v>800</v>
      </c>
      <c r="Q117" s="5" t="s">
        <v>800</v>
      </c>
      <c r="R117" s="1">
        <v>19.2</v>
      </c>
      <c r="S117" s="1">
        <v>19.2</v>
      </c>
      <c r="V117" s="1"/>
    </row>
    <row r="118" spans="1:23">
      <c r="A118" s="1">
        <v>1</v>
      </c>
      <c r="B118" s="1">
        <v>1.2</v>
      </c>
      <c r="C118" s="1" t="s">
        <v>782</v>
      </c>
      <c r="D118" s="1">
        <v>4</v>
      </c>
      <c r="E118" s="1" t="s">
        <v>66</v>
      </c>
      <c r="F118" s="4">
        <v>45393</v>
      </c>
      <c r="H118" s="6">
        <f t="shared" si="11"/>
        <v>0.24847222222222221</v>
      </c>
      <c r="J118" s="3">
        <v>2.5219907407407406E-2</v>
      </c>
      <c r="K118" s="3">
        <v>0.22325231481481481</v>
      </c>
      <c r="L118" s="1" t="s">
        <v>7</v>
      </c>
      <c r="M118" s="1" t="s">
        <v>7</v>
      </c>
      <c r="N118" s="1">
        <v>3</v>
      </c>
      <c r="O118" s="1">
        <v>3</v>
      </c>
      <c r="P118" s="5" t="s">
        <v>800</v>
      </c>
      <c r="Q118" s="5" t="s">
        <v>800</v>
      </c>
      <c r="R118" s="1">
        <v>19.2</v>
      </c>
      <c r="S118" s="1">
        <v>19.2</v>
      </c>
      <c r="V118" s="1"/>
    </row>
    <row r="119" spans="1:23">
      <c r="A119" s="1">
        <v>1</v>
      </c>
      <c r="B119" s="1">
        <v>1.2</v>
      </c>
      <c r="C119" s="1" t="s">
        <v>782</v>
      </c>
      <c r="D119" s="1">
        <v>3</v>
      </c>
      <c r="E119" s="1" t="s">
        <v>66</v>
      </c>
      <c r="F119" s="4">
        <v>45393</v>
      </c>
      <c r="H119" s="6">
        <f t="shared" si="11"/>
        <v>0.24243055555555554</v>
      </c>
      <c r="J119" s="3">
        <v>1.9178240740740742E-2</v>
      </c>
      <c r="K119" s="3">
        <v>0.22325231481481481</v>
      </c>
      <c r="L119" s="1" t="s">
        <v>7</v>
      </c>
      <c r="M119" s="1" t="s">
        <v>7</v>
      </c>
      <c r="N119" s="1">
        <v>3</v>
      </c>
      <c r="O119" s="1">
        <v>3</v>
      </c>
      <c r="P119" s="5" t="s">
        <v>800</v>
      </c>
      <c r="Q119" s="5" t="s">
        <v>800</v>
      </c>
      <c r="R119" s="1">
        <v>19.2</v>
      </c>
      <c r="S119" s="1">
        <v>19.2</v>
      </c>
      <c r="T119" s="1">
        <v>0</v>
      </c>
      <c r="U119" s="1" t="s">
        <v>520</v>
      </c>
      <c r="V119" s="1"/>
    </row>
    <row r="120" spans="1:23">
      <c r="A120" s="1">
        <v>1</v>
      </c>
      <c r="B120" s="1">
        <v>1.2</v>
      </c>
      <c r="C120" s="1" t="s">
        <v>782</v>
      </c>
      <c r="D120" s="1">
        <v>2</v>
      </c>
      <c r="E120" s="1" t="s">
        <v>66</v>
      </c>
      <c r="F120" s="4">
        <v>45393</v>
      </c>
      <c r="H120" s="6">
        <f t="shared" si="11"/>
        <v>0.2383912037037037</v>
      </c>
      <c r="J120" s="3">
        <v>1.5138888888888889E-2</v>
      </c>
      <c r="K120" s="3">
        <v>0.22325231481481481</v>
      </c>
      <c r="L120" s="1" t="s">
        <v>7</v>
      </c>
      <c r="M120" s="1" t="s">
        <v>7</v>
      </c>
      <c r="N120" s="1">
        <v>3</v>
      </c>
      <c r="O120" s="1">
        <v>3</v>
      </c>
      <c r="P120" s="5" t="s">
        <v>800</v>
      </c>
      <c r="Q120" s="5" t="s">
        <v>800</v>
      </c>
      <c r="R120" s="1">
        <v>19.2</v>
      </c>
      <c r="S120" s="1">
        <v>19.2</v>
      </c>
      <c r="T120" s="1">
        <v>0</v>
      </c>
      <c r="V120" s="1"/>
    </row>
    <row r="121" spans="1:23">
      <c r="A121" s="1">
        <v>1</v>
      </c>
      <c r="B121" s="1">
        <v>1.2</v>
      </c>
      <c r="C121" s="1" t="s">
        <v>782</v>
      </c>
      <c r="D121" s="1">
        <v>1</v>
      </c>
      <c r="E121" s="1" t="s">
        <v>66</v>
      </c>
      <c r="F121" s="4">
        <v>45393</v>
      </c>
      <c r="H121" s="6">
        <f t="shared" si="11"/>
        <v>0.23265046296296296</v>
      </c>
      <c r="I121" s="3">
        <v>3.8194444444444443E-3</v>
      </c>
      <c r="J121" s="6">
        <v>9.3981481481481485E-3</v>
      </c>
      <c r="K121" s="3">
        <v>0.22325231481481481</v>
      </c>
      <c r="L121" s="1" t="s">
        <v>7</v>
      </c>
      <c r="M121" s="1" t="s">
        <v>7</v>
      </c>
      <c r="N121" s="1">
        <v>3</v>
      </c>
      <c r="O121" s="5" t="s">
        <v>218</v>
      </c>
      <c r="P121" s="5" t="s">
        <v>800</v>
      </c>
      <c r="Q121" s="5" t="s">
        <v>800</v>
      </c>
      <c r="R121" s="1">
        <v>38.4</v>
      </c>
      <c r="S121" s="1">
        <v>38.4</v>
      </c>
      <c r="T121" s="1">
        <v>0</v>
      </c>
      <c r="U121" s="1" t="s">
        <v>519</v>
      </c>
    </row>
    <row r="122" spans="1:23" ht="153">
      <c r="A122" s="1">
        <v>1</v>
      </c>
      <c r="B122" s="1">
        <v>1.2</v>
      </c>
      <c r="C122" s="1" t="s">
        <v>782</v>
      </c>
      <c r="D122" s="1">
        <v>1</v>
      </c>
      <c r="E122" s="1" t="s">
        <v>74</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5" t="s">
        <v>218</v>
      </c>
      <c r="P122" s="5" t="s">
        <v>800</v>
      </c>
      <c r="Q122" s="5" t="s">
        <v>800</v>
      </c>
      <c r="R122" s="2">
        <v>19.2</v>
      </c>
      <c r="S122" s="2">
        <v>19.2</v>
      </c>
      <c r="T122" s="1" t="s">
        <v>21</v>
      </c>
      <c r="U122" s="24" t="s">
        <v>516</v>
      </c>
    </row>
    <row r="123" spans="1:23">
      <c r="A123" s="1">
        <v>1</v>
      </c>
      <c r="B123" s="1">
        <v>1.2</v>
      </c>
      <c r="C123" s="1" t="s">
        <v>782</v>
      </c>
      <c r="D123" s="1">
        <v>3</v>
      </c>
      <c r="E123" s="1" t="s">
        <v>73</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5" t="s">
        <v>218</v>
      </c>
      <c r="P123" s="5" t="s">
        <v>800</v>
      </c>
      <c r="Q123" s="5" t="s">
        <v>800</v>
      </c>
      <c r="R123" s="2">
        <v>19.2</v>
      </c>
      <c r="S123" s="2">
        <v>19.2</v>
      </c>
      <c r="T123" s="1">
        <v>1</v>
      </c>
      <c r="W123" s="23"/>
    </row>
    <row r="124" spans="1:23">
      <c r="A124" s="1">
        <v>1</v>
      </c>
      <c r="B124" s="1">
        <v>1.2</v>
      </c>
      <c r="C124" s="1" t="s">
        <v>782</v>
      </c>
      <c r="D124" s="1">
        <v>2</v>
      </c>
      <c r="E124" s="1" t="s">
        <v>73</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5" t="s">
        <v>218</v>
      </c>
      <c r="P124" s="5" t="s">
        <v>800</v>
      </c>
      <c r="Q124" s="5" t="s">
        <v>800</v>
      </c>
      <c r="R124" s="2">
        <v>19.2</v>
      </c>
      <c r="S124" s="2">
        <v>19.2</v>
      </c>
      <c r="T124" s="1">
        <v>1</v>
      </c>
      <c r="W124" s="23"/>
    </row>
    <row r="125" spans="1:23">
      <c r="A125" s="1">
        <v>1</v>
      </c>
      <c r="B125" s="1">
        <v>1.2</v>
      </c>
      <c r="C125" s="1" t="s">
        <v>782</v>
      </c>
      <c r="D125" s="1">
        <v>1</v>
      </c>
      <c r="E125" s="1" t="s">
        <v>73</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5" t="s">
        <v>218</v>
      </c>
      <c r="P125" s="5" t="s">
        <v>800</v>
      </c>
      <c r="Q125" s="5" t="s">
        <v>800</v>
      </c>
      <c r="R125" s="2">
        <v>19.2</v>
      </c>
      <c r="S125" s="2">
        <v>19.2</v>
      </c>
      <c r="T125" s="1">
        <v>1</v>
      </c>
      <c r="U125" s="1" t="s">
        <v>515</v>
      </c>
      <c r="W125" s="23"/>
    </row>
    <row r="126" spans="1:23">
      <c r="A126" s="1">
        <v>1</v>
      </c>
      <c r="B126" s="1">
        <v>1.2</v>
      </c>
      <c r="C126" s="1" t="s">
        <v>782</v>
      </c>
      <c r="D126" s="1">
        <v>1</v>
      </c>
      <c r="E126" s="1" t="s">
        <v>80</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5" t="s">
        <v>512</v>
      </c>
      <c r="P126" s="5" t="s">
        <v>800</v>
      </c>
      <c r="Q126" s="5" t="s">
        <v>800</v>
      </c>
      <c r="R126" s="2">
        <v>19.2</v>
      </c>
      <c r="S126" s="2">
        <v>57.4</v>
      </c>
      <c r="T126" s="1">
        <v>0</v>
      </c>
      <c r="W126" s="23"/>
    </row>
    <row r="127" spans="1:23">
      <c r="A127" s="1">
        <v>1</v>
      </c>
      <c r="B127" s="1">
        <v>1.2</v>
      </c>
      <c r="C127" s="1" t="s">
        <v>782</v>
      </c>
      <c r="D127" s="1" t="s">
        <v>21</v>
      </c>
      <c r="E127" s="1" t="s">
        <v>21</v>
      </c>
      <c r="F127" s="4">
        <v>45395</v>
      </c>
      <c r="G127" s="1" t="s">
        <v>21</v>
      </c>
      <c r="H127" s="1" t="s">
        <v>21</v>
      </c>
      <c r="I127" s="1" t="s">
        <v>21</v>
      </c>
      <c r="J127" s="1" t="s">
        <v>21</v>
      </c>
      <c r="K127" s="1" t="s">
        <v>21</v>
      </c>
      <c r="O127" s="1"/>
      <c r="P127" s="5" t="s">
        <v>800</v>
      </c>
      <c r="Q127" s="5" t="s">
        <v>800</v>
      </c>
      <c r="R127" s="1">
        <v>38.4</v>
      </c>
      <c r="S127" s="1">
        <v>38.4</v>
      </c>
      <c r="T127" s="1" t="s">
        <v>21</v>
      </c>
      <c r="U127" s="1" t="s">
        <v>495</v>
      </c>
      <c r="V127" s="1"/>
    </row>
    <row r="128" spans="1:23">
      <c r="A128" s="1">
        <v>1</v>
      </c>
      <c r="B128" s="1">
        <v>1.2</v>
      </c>
      <c r="C128" s="1" t="s">
        <v>782</v>
      </c>
      <c r="D128" s="1" t="s">
        <v>21</v>
      </c>
      <c r="E128" s="1" t="s">
        <v>21</v>
      </c>
      <c r="F128" s="4">
        <v>45396</v>
      </c>
      <c r="G128" s="1" t="s">
        <v>21</v>
      </c>
      <c r="H128" s="1" t="s">
        <v>21</v>
      </c>
      <c r="I128" s="1" t="s">
        <v>21</v>
      </c>
      <c r="J128" s="1" t="s">
        <v>21</v>
      </c>
      <c r="K128" s="1" t="s">
        <v>21</v>
      </c>
      <c r="O128" s="1"/>
      <c r="P128" s="5" t="s">
        <v>800</v>
      </c>
      <c r="Q128" s="5" t="s">
        <v>800</v>
      </c>
      <c r="R128" s="1">
        <v>38.4</v>
      </c>
      <c r="S128" s="1">
        <v>38.4</v>
      </c>
      <c r="T128" s="1" t="s">
        <v>21</v>
      </c>
      <c r="U128" s="1" t="s">
        <v>496</v>
      </c>
      <c r="V128" s="1"/>
    </row>
    <row r="129" spans="1:23">
      <c r="A129" s="1">
        <v>1</v>
      </c>
      <c r="B129" s="1">
        <v>1.2</v>
      </c>
      <c r="C129" s="1" t="s">
        <v>782</v>
      </c>
      <c r="D129" s="1" t="s">
        <v>21</v>
      </c>
      <c r="E129" s="1" t="s">
        <v>157</v>
      </c>
      <c r="F129" s="23">
        <v>45396</v>
      </c>
      <c r="G129" s="1" t="s">
        <v>21</v>
      </c>
      <c r="H129" s="6" t="s">
        <v>21</v>
      </c>
      <c r="I129" s="1" t="s">
        <v>21</v>
      </c>
      <c r="J129" s="6" t="s">
        <v>21</v>
      </c>
      <c r="K129" s="1" t="s">
        <v>21</v>
      </c>
      <c r="L129" s="1" t="s">
        <v>8</v>
      </c>
      <c r="M129" s="1" t="s">
        <v>7</v>
      </c>
      <c r="N129" s="1">
        <v>3</v>
      </c>
      <c r="O129" s="5" t="s">
        <v>218</v>
      </c>
      <c r="P129" s="5" t="s">
        <v>800</v>
      </c>
      <c r="Q129" s="5" t="s">
        <v>800</v>
      </c>
      <c r="R129" s="2">
        <v>57.4</v>
      </c>
      <c r="S129" s="2">
        <v>19.2</v>
      </c>
      <c r="T129" s="1" t="s">
        <v>21</v>
      </c>
      <c r="U129" s="1" t="s">
        <v>510</v>
      </c>
      <c r="W129" s="23"/>
    </row>
    <row r="130" spans="1:23">
      <c r="A130" s="1">
        <v>1</v>
      </c>
      <c r="B130" s="1">
        <v>1.2</v>
      </c>
      <c r="C130" s="1" t="s">
        <v>782</v>
      </c>
      <c r="D130" s="1" t="s">
        <v>21</v>
      </c>
      <c r="E130" s="1" t="s">
        <v>81</v>
      </c>
      <c r="F130" s="23">
        <v>45397</v>
      </c>
      <c r="G130" s="1" t="s">
        <v>21</v>
      </c>
      <c r="H130" s="6" t="s">
        <v>21</v>
      </c>
      <c r="I130" s="1" t="s">
        <v>21</v>
      </c>
      <c r="J130" s="6" t="s">
        <v>21</v>
      </c>
      <c r="K130" s="1" t="s">
        <v>21</v>
      </c>
      <c r="L130" s="1" t="s">
        <v>7</v>
      </c>
      <c r="M130" s="1" t="s">
        <v>7</v>
      </c>
      <c r="N130" s="1">
        <v>3</v>
      </c>
      <c r="O130" s="5" t="s">
        <v>218</v>
      </c>
      <c r="P130" s="5" t="s">
        <v>800</v>
      </c>
      <c r="Q130" s="5" t="s">
        <v>800</v>
      </c>
      <c r="R130" s="2">
        <v>19.2</v>
      </c>
      <c r="S130" s="2">
        <v>19.2</v>
      </c>
      <c r="T130" s="1" t="s">
        <v>21</v>
      </c>
      <c r="U130" s="1" t="s">
        <v>511</v>
      </c>
      <c r="W130" s="23"/>
    </row>
    <row r="131" spans="1:23">
      <c r="A131" s="1">
        <v>1</v>
      </c>
      <c r="B131" s="1">
        <v>1.3</v>
      </c>
      <c r="C131" s="1" t="s">
        <v>782</v>
      </c>
      <c r="D131" s="1" t="s">
        <v>21</v>
      </c>
      <c r="E131" s="1" t="s">
        <v>85</v>
      </c>
      <c r="F131" s="4">
        <v>45397</v>
      </c>
      <c r="G131" s="1" t="s">
        <v>21</v>
      </c>
      <c r="H131" s="6" t="s">
        <v>21</v>
      </c>
      <c r="I131" s="6" t="s">
        <v>21</v>
      </c>
      <c r="J131" s="15" t="s">
        <v>21</v>
      </c>
      <c r="K131" s="3">
        <v>0.76298611111111114</v>
      </c>
      <c r="L131" s="15" t="s">
        <v>7</v>
      </c>
      <c r="M131" s="15" t="s">
        <v>7</v>
      </c>
      <c r="N131" s="15">
        <v>1</v>
      </c>
      <c r="O131" s="25" t="s">
        <v>531</v>
      </c>
      <c r="P131" s="5" t="s">
        <v>800</v>
      </c>
      <c r="Q131" s="5" t="s">
        <v>800</v>
      </c>
      <c r="R131" s="2">
        <v>19.2</v>
      </c>
      <c r="S131" s="2">
        <v>19.2</v>
      </c>
      <c r="T131" s="15" t="s">
        <v>21</v>
      </c>
      <c r="U131" s="1" t="s">
        <v>532</v>
      </c>
    </row>
    <row r="132" spans="1:23">
      <c r="A132" s="1">
        <v>1</v>
      </c>
      <c r="B132" s="1">
        <v>1.3</v>
      </c>
      <c r="C132" s="1" t="s">
        <v>782</v>
      </c>
      <c r="D132" s="1" t="s">
        <v>21</v>
      </c>
      <c r="E132" s="1" t="s">
        <v>86</v>
      </c>
      <c r="F132" s="4">
        <v>45398</v>
      </c>
      <c r="G132" s="1" t="s">
        <v>21</v>
      </c>
      <c r="H132" s="6" t="s">
        <v>21</v>
      </c>
      <c r="I132" s="6" t="s">
        <v>21</v>
      </c>
      <c r="J132" s="1" t="s">
        <v>21</v>
      </c>
      <c r="K132" s="3">
        <v>0.22712962962962963</v>
      </c>
      <c r="L132" s="1" t="s">
        <v>7</v>
      </c>
      <c r="M132" s="1" t="s">
        <v>7</v>
      </c>
      <c r="N132" s="1">
        <v>1</v>
      </c>
      <c r="O132" s="5" t="s">
        <v>531</v>
      </c>
      <c r="P132" s="5" t="s">
        <v>800</v>
      </c>
      <c r="Q132" s="5" t="s">
        <v>800</v>
      </c>
      <c r="R132" s="2">
        <v>19.2</v>
      </c>
      <c r="S132" s="2">
        <v>19.2</v>
      </c>
      <c r="T132" s="1" t="s">
        <v>21</v>
      </c>
      <c r="U132" s="1" t="s">
        <v>60</v>
      </c>
    </row>
    <row r="133" spans="1:23">
      <c r="A133" s="1">
        <v>1</v>
      </c>
      <c r="B133" s="1">
        <v>1.3</v>
      </c>
      <c r="C133" s="1" t="s">
        <v>782</v>
      </c>
      <c r="D133" s="1" t="s">
        <v>21</v>
      </c>
      <c r="E133" s="1" t="s">
        <v>90</v>
      </c>
      <c r="F133" s="4">
        <v>45398</v>
      </c>
      <c r="G133" s="1" t="s">
        <v>21</v>
      </c>
      <c r="H133" s="6" t="s">
        <v>21</v>
      </c>
      <c r="I133" s="6" t="s">
        <v>21</v>
      </c>
      <c r="J133" s="15" t="s">
        <v>21</v>
      </c>
      <c r="K133" s="3">
        <v>0.75630787037037039</v>
      </c>
      <c r="L133" s="15" t="s">
        <v>7</v>
      </c>
      <c r="M133" s="15" t="s">
        <v>7</v>
      </c>
      <c r="N133" s="15">
        <v>1</v>
      </c>
      <c r="O133" s="25" t="s">
        <v>531</v>
      </c>
      <c r="P133" s="5" t="s">
        <v>800</v>
      </c>
      <c r="Q133" s="5" t="s">
        <v>800</v>
      </c>
      <c r="R133" s="2">
        <v>19.2</v>
      </c>
      <c r="S133" s="2">
        <v>19.2</v>
      </c>
      <c r="T133" s="15" t="s">
        <v>21</v>
      </c>
      <c r="U133" s="1" t="s">
        <v>533</v>
      </c>
    </row>
    <row r="134" spans="1:23">
      <c r="A134" s="1">
        <v>1</v>
      </c>
      <c r="B134" s="1">
        <v>1.3</v>
      </c>
      <c r="C134" s="1" t="s">
        <v>782</v>
      </c>
      <c r="D134" s="1" t="s">
        <v>21</v>
      </c>
      <c r="E134" s="1" t="s">
        <v>529</v>
      </c>
      <c r="F134" s="4">
        <v>45399</v>
      </c>
      <c r="G134" s="1" t="s">
        <v>21</v>
      </c>
      <c r="H134" s="6" t="s">
        <v>21</v>
      </c>
      <c r="I134" s="6" t="s">
        <v>21</v>
      </c>
      <c r="J134" s="1" t="s">
        <v>21</v>
      </c>
      <c r="K134" s="6">
        <v>0.22869212962962962</v>
      </c>
      <c r="L134" s="1" t="s">
        <v>7</v>
      </c>
      <c r="M134" s="1" t="s">
        <v>7</v>
      </c>
      <c r="N134" s="1">
        <v>1</v>
      </c>
      <c r="O134" s="5" t="s">
        <v>531</v>
      </c>
      <c r="P134" s="5" t="s">
        <v>800</v>
      </c>
      <c r="Q134" s="5" t="s">
        <v>800</v>
      </c>
      <c r="R134" s="2">
        <v>19.2</v>
      </c>
      <c r="S134" s="2">
        <v>19.2</v>
      </c>
      <c r="T134" s="1" t="s">
        <v>21</v>
      </c>
      <c r="U134" s="1" t="s">
        <v>530</v>
      </c>
    </row>
    <row r="135" spans="1:23">
      <c r="A135" s="1">
        <v>1</v>
      </c>
      <c r="B135" s="1" t="s">
        <v>780</v>
      </c>
      <c r="C135" t="s">
        <v>782</v>
      </c>
      <c r="D135" s="1">
        <v>1</v>
      </c>
      <c r="E135" s="1" t="s">
        <v>534</v>
      </c>
      <c r="F135" s="4">
        <v>45399</v>
      </c>
      <c r="G135" s="3">
        <f>I135+K135</f>
        <v>0.78340277777777778</v>
      </c>
      <c r="H135" s="6">
        <f>J135+K135</f>
        <v>0.78700231481481486</v>
      </c>
      <c r="I135" s="26">
        <v>2.9502314814814815E-2</v>
      </c>
      <c r="J135" s="6">
        <v>3.3101851851851855E-2</v>
      </c>
      <c r="K135" s="3">
        <v>0.75390046296296298</v>
      </c>
      <c r="L135" s="1" t="s">
        <v>7</v>
      </c>
      <c r="M135" s="1" t="s">
        <v>7</v>
      </c>
      <c r="N135" s="1">
        <v>1</v>
      </c>
      <c r="O135" s="5" t="s">
        <v>531</v>
      </c>
      <c r="P135" s="5" t="s">
        <v>800</v>
      </c>
      <c r="Q135" s="5" t="s">
        <v>800</v>
      </c>
      <c r="R135" s="2">
        <v>19.2</v>
      </c>
      <c r="S135" s="2">
        <v>19.2</v>
      </c>
      <c r="T135" s="1">
        <v>1</v>
      </c>
      <c r="U135" s="1" t="s">
        <v>535</v>
      </c>
      <c r="W135" s="4" t="s">
        <v>645</v>
      </c>
    </row>
    <row r="136" spans="1:23">
      <c r="A136" s="1">
        <v>1</v>
      </c>
      <c r="B136" s="1" t="s">
        <v>781</v>
      </c>
      <c r="C136" t="s">
        <v>784</v>
      </c>
      <c r="D136" s="1" t="s">
        <v>21</v>
      </c>
      <c r="E136" s="1" t="s">
        <v>534</v>
      </c>
      <c r="F136" s="4">
        <v>45399</v>
      </c>
      <c r="G136" s="15" t="s">
        <v>21</v>
      </c>
      <c r="H136" s="6" t="s">
        <v>21</v>
      </c>
      <c r="I136" s="15" t="s">
        <v>21</v>
      </c>
      <c r="J136" s="6" t="s">
        <v>21</v>
      </c>
      <c r="K136" s="15" t="s">
        <v>21</v>
      </c>
      <c r="L136" s="1" t="s">
        <v>8</v>
      </c>
      <c r="M136" s="1" t="s">
        <v>8</v>
      </c>
      <c r="N136" s="15">
        <v>1</v>
      </c>
      <c r="O136" s="5" t="s">
        <v>531</v>
      </c>
      <c r="P136" s="5" t="s">
        <v>800</v>
      </c>
      <c r="Q136" s="5" t="s">
        <v>800</v>
      </c>
      <c r="R136" s="22">
        <v>19.2</v>
      </c>
      <c r="S136" s="22">
        <v>19.2</v>
      </c>
      <c r="T136" s="1" t="s">
        <v>21</v>
      </c>
      <c r="U136" s="1" t="s">
        <v>536</v>
      </c>
      <c r="V136" s="22"/>
      <c r="W136" s="4" t="s">
        <v>645</v>
      </c>
    </row>
    <row r="137" spans="1:23">
      <c r="A137" s="1">
        <v>1</v>
      </c>
      <c r="B137" s="1" t="s">
        <v>780</v>
      </c>
      <c r="C137" t="s">
        <v>782</v>
      </c>
      <c r="D137" s="1">
        <v>1</v>
      </c>
      <c r="E137" s="1" t="s">
        <v>113</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5" t="s">
        <v>531</v>
      </c>
      <c r="P137" s="5" t="s">
        <v>800</v>
      </c>
      <c r="Q137" s="5" t="s">
        <v>800</v>
      </c>
      <c r="R137" s="2">
        <v>57.4</v>
      </c>
      <c r="S137" s="2">
        <v>57.4</v>
      </c>
      <c r="T137" s="1">
        <v>1</v>
      </c>
      <c r="W137" s="4" t="s">
        <v>645</v>
      </c>
    </row>
    <row r="138" spans="1:23">
      <c r="A138" s="1">
        <v>1</v>
      </c>
      <c r="B138" s="1" t="s">
        <v>781</v>
      </c>
      <c r="C138" t="s">
        <v>784</v>
      </c>
      <c r="D138" s="1">
        <v>1</v>
      </c>
      <c r="E138" s="1" t="s">
        <v>113</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5" t="s">
        <v>531</v>
      </c>
      <c r="P138" s="5" t="s">
        <v>800</v>
      </c>
      <c r="Q138" s="5" t="s">
        <v>800</v>
      </c>
      <c r="R138" s="2">
        <v>57.4</v>
      </c>
      <c r="S138" s="2">
        <v>57.4</v>
      </c>
      <c r="T138" s="1">
        <v>1</v>
      </c>
      <c r="W138" s="4" t="s">
        <v>645</v>
      </c>
    </row>
    <row r="139" spans="1:23">
      <c r="A139" s="1">
        <v>1</v>
      </c>
      <c r="B139" s="1" t="s">
        <v>780</v>
      </c>
      <c r="C139" t="s">
        <v>782</v>
      </c>
      <c r="D139" s="1">
        <v>1</v>
      </c>
      <c r="E139" s="1" t="s">
        <v>254</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5" t="s">
        <v>531</v>
      </c>
      <c r="P139" s="5" t="s">
        <v>800</v>
      </c>
      <c r="Q139" s="5" t="s">
        <v>800</v>
      </c>
      <c r="R139" s="2">
        <v>115.17</v>
      </c>
      <c r="S139" s="2">
        <v>115.17</v>
      </c>
      <c r="T139" s="1">
        <v>1</v>
      </c>
      <c r="W139" s="4" t="s">
        <v>645</v>
      </c>
    </row>
    <row r="140" spans="1:23">
      <c r="A140" s="1">
        <v>1</v>
      </c>
      <c r="B140" s="1" t="s">
        <v>781</v>
      </c>
      <c r="C140" t="s">
        <v>784</v>
      </c>
      <c r="D140" s="1">
        <v>1</v>
      </c>
      <c r="E140" s="1" t="s">
        <v>254</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5" t="s">
        <v>531</v>
      </c>
      <c r="P140" s="5" t="s">
        <v>800</v>
      </c>
      <c r="Q140" s="5" t="s">
        <v>800</v>
      </c>
      <c r="R140" s="2">
        <v>115.17</v>
      </c>
      <c r="S140" s="2">
        <v>115.17</v>
      </c>
      <c r="T140" s="1">
        <v>1</v>
      </c>
      <c r="W140" s="4" t="s">
        <v>645</v>
      </c>
    </row>
    <row r="141" spans="1:23">
      <c r="A141" s="1">
        <v>1</v>
      </c>
      <c r="B141" s="1" t="s">
        <v>780</v>
      </c>
      <c r="C141" t="s">
        <v>782</v>
      </c>
      <c r="D141" s="1">
        <v>1</v>
      </c>
      <c r="E141" s="1" t="s">
        <v>539</v>
      </c>
      <c r="F141" s="4">
        <v>45401</v>
      </c>
      <c r="G141" s="1" t="s">
        <v>21</v>
      </c>
      <c r="H141" s="6">
        <f t="shared" si="12"/>
        <v>0.23703703703703705</v>
      </c>
      <c r="I141" s="1" t="s">
        <v>21</v>
      </c>
      <c r="J141" s="6">
        <v>1.4849537037037038E-2</v>
      </c>
      <c r="K141" s="3">
        <v>0.22218750000000001</v>
      </c>
      <c r="L141" s="1" t="s">
        <v>8</v>
      </c>
      <c r="M141" s="1" t="s">
        <v>8</v>
      </c>
      <c r="N141" s="1">
        <v>1</v>
      </c>
      <c r="O141" s="5" t="s">
        <v>531</v>
      </c>
      <c r="P141" s="5" t="s">
        <v>800</v>
      </c>
      <c r="Q141" s="5" t="s">
        <v>800</v>
      </c>
      <c r="R141" s="2">
        <v>115.17</v>
      </c>
      <c r="S141" s="2">
        <v>115.17</v>
      </c>
      <c r="T141" s="1">
        <v>1</v>
      </c>
      <c r="U141" s="1" t="s">
        <v>484</v>
      </c>
      <c r="W141" s="4" t="s">
        <v>645</v>
      </c>
    </row>
    <row r="142" spans="1:23">
      <c r="A142" s="1">
        <v>1</v>
      </c>
      <c r="B142" s="1" t="s">
        <v>780</v>
      </c>
      <c r="C142" t="s">
        <v>782</v>
      </c>
      <c r="D142" s="1">
        <v>2</v>
      </c>
      <c r="E142" s="1" t="s">
        <v>539</v>
      </c>
      <c r="F142" s="4">
        <v>45401</v>
      </c>
      <c r="G142" s="3">
        <f>I142+K142</f>
        <v>0.23883101851851854</v>
      </c>
      <c r="H142" s="6">
        <f t="shared" si="12"/>
        <v>0.24986111111111112</v>
      </c>
      <c r="I142" s="3">
        <v>1.6643518518518519E-2</v>
      </c>
      <c r="J142" s="6">
        <v>2.7673611111111111E-2</v>
      </c>
      <c r="K142" s="3">
        <v>0.22218750000000001</v>
      </c>
      <c r="L142" s="1" t="s">
        <v>8</v>
      </c>
      <c r="M142" s="1" t="s">
        <v>8</v>
      </c>
      <c r="N142" s="28">
        <v>1</v>
      </c>
      <c r="O142" s="29" t="s">
        <v>531</v>
      </c>
      <c r="P142" s="5" t="s">
        <v>800</v>
      </c>
      <c r="Q142" s="5" t="s">
        <v>800</v>
      </c>
      <c r="R142" s="2">
        <v>115.17</v>
      </c>
      <c r="S142" s="2">
        <v>115.17</v>
      </c>
      <c r="T142" s="1">
        <v>1</v>
      </c>
      <c r="W142" s="4" t="s">
        <v>645</v>
      </c>
    </row>
    <row r="143" spans="1:23">
      <c r="A143" s="1">
        <v>1</v>
      </c>
      <c r="B143" s="1" t="s">
        <v>781</v>
      </c>
      <c r="C143" t="s">
        <v>784</v>
      </c>
      <c r="D143" s="1">
        <v>1</v>
      </c>
      <c r="E143" s="1" t="s">
        <v>539</v>
      </c>
      <c r="F143" s="4">
        <v>45401</v>
      </c>
      <c r="G143" s="3">
        <f>I143+K143</f>
        <v>0.24135416666666668</v>
      </c>
      <c r="H143" s="6">
        <f t="shared" si="12"/>
        <v>0.25265046296296295</v>
      </c>
      <c r="I143" s="3">
        <v>1.9166666666666665E-2</v>
      </c>
      <c r="J143" s="6">
        <v>3.0462962962962963E-2</v>
      </c>
      <c r="K143" s="3">
        <v>0.22218750000000001</v>
      </c>
      <c r="L143" s="1" t="s">
        <v>7</v>
      </c>
      <c r="M143" s="1" t="s">
        <v>7</v>
      </c>
      <c r="N143" s="28">
        <v>1</v>
      </c>
      <c r="O143" s="29" t="s">
        <v>531</v>
      </c>
      <c r="P143" s="5" t="s">
        <v>800</v>
      </c>
      <c r="Q143" s="5" t="s">
        <v>800</v>
      </c>
      <c r="R143" s="2">
        <v>115.17</v>
      </c>
      <c r="S143" s="2">
        <v>115.17</v>
      </c>
      <c r="T143" s="1">
        <v>1</v>
      </c>
      <c r="W143" s="4" t="s">
        <v>645</v>
      </c>
    </row>
    <row r="144" spans="1:23">
      <c r="A144" s="1">
        <v>1</v>
      </c>
      <c r="B144" s="1" t="s">
        <v>780</v>
      </c>
      <c r="C144" t="s">
        <v>782</v>
      </c>
      <c r="D144" s="1">
        <v>1</v>
      </c>
      <c r="E144" s="1" t="s">
        <v>255</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5" t="s">
        <v>512</v>
      </c>
      <c r="P144" s="5" t="s">
        <v>800</v>
      </c>
      <c r="Q144" s="5" t="s">
        <v>800</v>
      </c>
      <c r="R144" s="2">
        <v>115.17</v>
      </c>
      <c r="S144" s="2">
        <v>115.17</v>
      </c>
      <c r="T144" s="1">
        <v>0</v>
      </c>
      <c r="U144" s="1" t="s">
        <v>541</v>
      </c>
      <c r="W144" s="31" t="s">
        <v>647</v>
      </c>
    </row>
    <row r="145" spans="1:23">
      <c r="A145" s="1">
        <v>1</v>
      </c>
      <c r="B145" s="1" t="s">
        <v>781</v>
      </c>
      <c r="C145" t="s">
        <v>784</v>
      </c>
      <c r="D145" s="1">
        <v>1</v>
      </c>
      <c r="E145" s="1" t="s">
        <v>255</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5" t="s">
        <v>512</v>
      </c>
      <c r="P145" s="5" t="s">
        <v>800</v>
      </c>
      <c r="Q145" s="5" t="s">
        <v>800</v>
      </c>
      <c r="R145" s="2">
        <v>115.17</v>
      </c>
      <c r="S145" s="2">
        <v>115.17</v>
      </c>
      <c r="T145" s="1">
        <v>1</v>
      </c>
      <c r="W145" s="31" t="s">
        <v>645</v>
      </c>
    </row>
    <row r="146" spans="1:23">
      <c r="A146" s="1">
        <v>1</v>
      </c>
      <c r="B146" s="1" t="s">
        <v>781</v>
      </c>
      <c r="C146" t="s">
        <v>784</v>
      </c>
      <c r="D146" s="1">
        <v>1</v>
      </c>
      <c r="E146" s="1" t="s">
        <v>112</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5" t="s">
        <v>512</v>
      </c>
      <c r="P146" s="5" t="s">
        <v>800</v>
      </c>
      <c r="Q146" s="5" t="s">
        <v>800</v>
      </c>
      <c r="R146" s="2">
        <v>115.17</v>
      </c>
      <c r="S146" s="2">
        <v>115.17</v>
      </c>
      <c r="T146" s="1">
        <v>1</v>
      </c>
      <c r="U146" s="1" t="s">
        <v>542</v>
      </c>
      <c r="W146" s="31" t="s">
        <v>645</v>
      </c>
    </row>
    <row r="147" spans="1:23">
      <c r="A147" s="1">
        <v>1</v>
      </c>
      <c r="B147" s="1" t="s">
        <v>780</v>
      </c>
      <c r="C147" t="s">
        <v>782</v>
      </c>
      <c r="D147" s="1">
        <v>1</v>
      </c>
      <c r="E147" s="1" t="s">
        <v>112</v>
      </c>
      <c r="F147" s="4">
        <v>45402</v>
      </c>
      <c r="G147" s="1" t="s">
        <v>21</v>
      </c>
      <c r="H147" s="6">
        <f t="shared" si="12"/>
        <v>0.24439814814814814</v>
      </c>
      <c r="I147" s="1" t="s">
        <v>21</v>
      </c>
      <c r="J147" s="6">
        <v>2.4699074074074075E-2</v>
      </c>
      <c r="K147" s="3">
        <v>0.21969907407407407</v>
      </c>
      <c r="L147" s="1" t="s">
        <v>7</v>
      </c>
      <c r="M147" s="1" t="s">
        <v>7</v>
      </c>
      <c r="N147" s="1">
        <v>2</v>
      </c>
      <c r="O147" s="5" t="s">
        <v>512</v>
      </c>
      <c r="P147" s="5" t="s">
        <v>800</v>
      </c>
      <c r="Q147" s="5" t="s">
        <v>800</v>
      </c>
      <c r="R147" s="2">
        <v>115.17</v>
      </c>
      <c r="S147" s="2">
        <v>115.17</v>
      </c>
      <c r="T147" s="1">
        <v>1</v>
      </c>
      <c r="U147" s="1" t="s">
        <v>484</v>
      </c>
      <c r="W147" s="31" t="s">
        <v>647</v>
      </c>
    </row>
    <row r="148" spans="1:23">
      <c r="A148" s="1">
        <v>1</v>
      </c>
      <c r="B148" s="1" t="s">
        <v>781</v>
      </c>
      <c r="C148" t="s">
        <v>784</v>
      </c>
      <c r="D148" s="1">
        <v>2</v>
      </c>
      <c r="E148" s="1" t="s">
        <v>112</v>
      </c>
      <c r="F148" s="23">
        <v>45402</v>
      </c>
      <c r="G148" s="3">
        <f>I148+K148</f>
        <v>0.24730324074074073</v>
      </c>
      <c r="H148" s="6" t="s">
        <v>21</v>
      </c>
      <c r="I148" s="3">
        <v>2.7604166666666666E-2</v>
      </c>
      <c r="J148" s="6" t="s">
        <v>21</v>
      </c>
      <c r="K148" s="3">
        <v>0.21969907407407407</v>
      </c>
      <c r="L148" s="1" t="s">
        <v>8</v>
      </c>
      <c r="M148" s="1" t="s">
        <v>7</v>
      </c>
      <c r="N148" s="1">
        <v>2</v>
      </c>
      <c r="O148" s="5" t="s">
        <v>512</v>
      </c>
      <c r="P148" s="5" t="s">
        <v>800</v>
      </c>
      <c r="Q148" s="5" t="s">
        <v>800</v>
      </c>
      <c r="R148" s="2">
        <v>115.17</v>
      </c>
      <c r="S148" s="2">
        <v>115.17</v>
      </c>
      <c r="T148" s="1" t="s">
        <v>21</v>
      </c>
      <c r="U148" s="1" t="s">
        <v>543</v>
      </c>
      <c r="W148" s="31" t="s">
        <v>645</v>
      </c>
    </row>
    <row r="149" spans="1:23">
      <c r="A149" s="1">
        <v>1</v>
      </c>
      <c r="B149" s="1" t="s">
        <v>781</v>
      </c>
      <c r="C149" t="s">
        <v>784</v>
      </c>
      <c r="D149" s="1">
        <v>1</v>
      </c>
      <c r="E149" s="1" t="s">
        <v>256</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5" t="s">
        <v>512</v>
      </c>
      <c r="P149" s="5" t="s">
        <v>800</v>
      </c>
      <c r="Q149" s="5" t="s">
        <v>800</v>
      </c>
      <c r="R149" s="2">
        <v>115.17</v>
      </c>
      <c r="S149" s="2">
        <v>115.17</v>
      </c>
      <c r="T149" s="1">
        <v>0</v>
      </c>
      <c r="U149" s="1" t="s">
        <v>545</v>
      </c>
      <c r="W149" s="31" t="s">
        <v>645</v>
      </c>
    </row>
    <row r="150" spans="1:23">
      <c r="A150" s="1">
        <v>1</v>
      </c>
      <c r="B150" s="1" t="s">
        <v>780</v>
      </c>
      <c r="C150" t="s">
        <v>782</v>
      </c>
      <c r="D150" s="1">
        <v>1</v>
      </c>
      <c r="E150" s="1" t="s">
        <v>256</v>
      </c>
      <c r="F150" s="4">
        <v>45402</v>
      </c>
      <c r="G150" s="1" t="s">
        <v>21</v>
      </c>
      <c r="H150" s="6" t="s">
        <v>21</v>
      </c>
      <c r="I150" s="1" t="s">
        <v>21</v>
      </c>
      <c r="J150" s="6" t="s">
        <v>21</v>
      </c>
      <c r="K150" s="3">
        <v>0.75356481481481485</v>
      </c>
      <c r="L150" s="1" t="s">
        <v>8</v>
      </c>
      <c r="M150" s="1" t="s">
        <v>7</v>
      </c>
      <c r="N150" s="1">
        <v>2</v>
      </c>
      <c r="O150" s="5" t="s">
        <v>512</v>
      </c>
      <c r="P150" s="5" t="s">
        <v>800</v>
      </c>
      <c r="Q150" s="5" t="s">
        <v>800</v>
      </c>
      <c r="R150" s="2">
        <v>115.17</v>
      </c>
      <c r="S150" s="2">
        <v>115.17</v>
      </c>
      <c r="T150" s="1" t="s">
        <v>21</v>
      </c>
      <c r="U150" s="1" t="s">
        <v>546</v>
      </c>
      <c r="W150" s="31" t="s">
        <v>647</v>
      </c>
    </row>
    <row r="151" spans="1:23">
      <c r="A151" s="1">
        <v>1</v>
      </c>
      <c r="B151" s="1" t="s">
        <v>781</v>
      </c>
      <c r="C151" t="s">
        <v>784</v>
      </c>
      <c r="D151" s="1">
        <v>1</v>
      </c>
      <c r="E151" s="1" t="s">
        <v>257</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5" t="s">
        <v>512</v>
      </c>
      <c r="P151" s="5" t="s">
        <v>800</v>
      </c>
      <c r="Q151" s="5" t="s">
        <v>800</v>
      </c>
      <c r="R151" s="2">
        <v>115.17</v>
      </c>
      <c r="S151" s="2">
        <v>115.17</v>
      </c>
      <c r="T151" s="1">
        <v>1</v>
      </c>
      <c r="W151" s="31" t="s">
        <v>645</v>
      </c>
    </row>
    <row r="152" spans="1:23">
      <c r="A152" s="1">
        <v>1</v>
      </c>
      <c r="B152" s="1" t="s">
        <v>780</v>
      </c>
      <c r="C152" t="s">
        <v>782</v>
      </c>
      <c r="D152" s="1">
        <v>1</v>
      </c>
      <c r="E152" s="1" t="s">
        <v>257</v>
      </c>
      <c r="F152" s="4">
        <v>45403</v>
      </c>
      <c r="G152" s="1" t="s">
        <v>21</v>
      </c>
      <c r="H152" s="6">
        <f t="shared" si="13"/>
        <v>0.24523148148148147</v>
      </c>
      <c r="I152" s="1" t="s">
        <v>21</v>
      </c>
      <c r="J152" s="6">
        <v>2.3055555555555555E-2</v>
      </c>
      <c r="K152" s="3">
        <v>0.22217592592592592</v>
      </c>
      <c r="L152" s="1" t="s">
        <v>7</v>
      </c>
      <c r="M152" s="1" t="s">
        <v>8</v>
      </c>
      <c r="N152" s="1">
        <v>2</v>
      </c>
      <c r="O152" s="5" t="s">
        <v>512</v>
      </c>
      <c r="P152" s="5" t="s">
        <v>800</v>
      </c>
      <c r="Q152" s="5" t="s">
        <v>800</v>
      </c>
      <c r="R152" s="2">
        <v>115.17</v>
      </c>
      <c r="S152" s="2">
        <v>115.17</v>
      </c>
      <c r="T152" s="1">
        <v>1</v>
      </c>
      <c r="U152" s="1" t="s">
        <v>484</v>
      </c>
      <c r="W152" s="31" t="s">
        <v>647</v>
      </c>
    </row>
    <row r="153" spans="1:23">
      <c r="A153" s="1">
        <v>1</v>
      </c>
      <c r="B153" s="1" t="s">
        <v>781</v>
      </c>
      <c r="C153" t="s">
        <v>784</v>
      </c>
      <c r="D153" s="1">
        <v>1</v>
      </c>
      <c r="E153" s="1" t="s">
        <v>258</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5" t="s">
        <v>512</v>
      </c>
      <c r="P153" s="5" t="s">
        <v>800</v>
      </c>
      <c r="Q153" s="5" t="s">
        <v>800</v>
      </c>
      <c r="R153" s="2">
        <v>115.17</v>
      </c>
      <c r="S153" s="2">
        <v>115.17</v>
      </c>
      <c r="T153" s="1">
        <v>1</v>
      </c>
      <c r="W153" s="31" t="s">
        <v>645</v>
      </c>
    </row>
    <row r="154" spans="1:23">
      <c r="A154" s="1">
        <v>1</v>
      </c>
      <c r="B154" s="1" t="s">
        <v>781</v>
      </c>
      <c r="C154" t="s">
        <v>784</v>
      </c>
      <c r="D154" s="1">
        <v>1</v>
      </c>
      <c r="E154" s="1" t="s">
        <v>121</v>
      </c>
      <c r="F154" s="4">
        <v>45404</v>
      </c>
      <c r="G154" s="1" t="s">
        <v>21</v>
      </c>
      <c r="H154" s="6">
        <f t="shared" si="13"/>
        <v>0.23616898148148149</v>
      </c>
      <c r="I154" s="1" t="s">
        <v>21</v>
      </c>
      <c r="J154" s="3">
        <v>2.0613425925925927E-2</v>
      </c>
      <c r="K154" s="3">
        <v>0.21555555555555556</v>
      </c>
      <c r="L154" s="1" t="s">
        <v>8</v>
      </c>
      <c r="M154" s="1" t="s">
        <v>8</v>
      </c>
      <c r="N154" s="1">
        <v>2</v>
      </c>
      <c r="O154" s="5" t="s">
        <v>512</v>
      </c>
      <c r="P154" s="5" t="s">
        <v>800</v>
      </c>
      <c r="Q154" s="5" t="s">
        <v>800</v>
      </c>
      <c r="R154" s="2">
        <v>115.17</v>
      </c>
      <c r="S154" s="2">
        <v>115.17</v>
      </c>
      <c r="T154" s="1">
        <v>0</v>
      </c>
      <c r="W154" s="31" t="s">
        <v>645</v>
      </c>
    </row>
    <row r="155" spans="1:23">
      <c r="A155" s="1">
        <v>1</v>
      </c>
      <c r="B155" s="1" t="s">
        <v>781</v>
      </c>
      <c r="C155" t="s">
        <v>784</v>
      </c>
      <c r="D155" s="1">
        <v>2</v>
      </c>
      <c r="E155" s="1" t="s">
        <v>121</v>
      </c>
      <c r="F155" s="4">
        <v>45404</v>
      </c>
      <c r="G155" s="3">
        <f>I155+K155</f>
        <v>0.24</v>
      </c>
      <c r="H155" s="6">
        <f t="shared" si="13"/>
        <v>0.24469907407407407</v>
      </c>
      <c r="I155" s="3">
        <v>2.4444444444444446E-2</v>
      </c>
      <c r="J155" s="6">
        <v>2.914351851851852E-2</v>
      </c>
      <c r="K155" s="3">
        <v>0.21555555555555556</v>
      </c>
      <c r="L155" s="1" t="s">
        <v>8</v>
      </c>
      <c r="M155" s="1" t="s">
        <v>8</v>
      </c>
      <c r="N155" s="1">
        <v>2</v>
      </c>
      <c r="O155" s="5" t="s">
        <v>512</v>
      </c>
      <c r="P155" s="5" t="s">
        <v>800</v>
      </c>
      <c r="Q155" s="5" t="s">
        <v>800</v>
      </c>
      <c r="R155" s="2">
        <v>115.17</v>
      </c>
      <c r="S155" s="2">
        <v>115.17</v>
      </c>
      <c r="T155" s="1">
        <v>0</v>
      </c>
      <c r="U155" s="1" t="s">
        <v>547</v>
      </c>
      <c r="W155" s="31" t="s">
        <v>645</v>
      </c>
    </row>
    <row r="156" spans="1:23">
      <c r="A156" s="1">
        <v>1</v>
      </c>
      <c r="B156" s="1" t="s">
        <v>780</v>
      </c>
      <c r="C156" t="s">
        <v>782</v>
      </c>
      <c r="D156" s="1">
        <v>1</v>
      </c>
      <c r="E156" s="1" t="s">
        <v>121</v>
      </c>
      <c r="F156" s="4">
        <v>45404</v>
      </c>
      <c r="G156" s="1" t="s">
        <v>21</v>
      </c>
      <c r="H156" s="6">
        <f t="shared" si="13"/>
        <v>0.24150462962962962</v>
      </c>
      <c r="I156" s="1" t="s">
        <v>21</v>
      </c>
      <c r="J156" s="6">
        <v>2.5949074074074076E-2</v>
      </c>
      <c r="K156" s="3">
        <v>0.21555555555555556</v>
      </c>
      <c r="L156" s="1" t="s">
        <v>7</v>
      </c>
      <c r="M156" s="1" t="s">
        <v>7</v>
      </c>
      <c r="N156" s="1">
        <v>2</v>
      </c>
      <c r="O156" s="5" t="s">
        <v>512</v>
      </c>
      <c r="P156" s="5" t="s">
        <v>800</v>
      </c>
      <c r="Q156" s="5" t="s">
        <v>800</v>
      </c>
      <c r="R156" s="2">
        <v>115.17</v>
      </c>
      <c r="S156" s="2">
        <v>115.17</v>
      </c>
      <c r="T156" s="1">
        <v>0</v>
      </c>
      <c r="W156" s="31" t="s">
        <v>647</v>
      </c>
    </row>
    <row r="157" spans="1:23">
      <c r="A157" s="1">
        <v>1</v>
      </c>
      <c r="B157" s="1" t="s">
        <v>781</v>
      </c>
      <c r="C157" t="s">
        <v>784</v>
      </c>
      <c r="D157" s="1">
        <v>1</v>
      </c>
      <c r="E157" s="1" t="s">
        <v>171</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5" t="s">
        <v>512</v>
      </c>
      <c r="P157" s="5" t="s">
        <v>800</v>
      </c>
      <c r="Q157" s="5" t="s">
        <v>800</v>
      </c>
      <c r="R157" s="2">
        <v>115.17</v>
      </c>
      <c r="S157" s="2">
        <v>115.17</v>
      </c>
      <c r="T157" s="1">
        <v>1</v>
      </c>
      <c r="W157" s="31" t="s">
        <v>645</v>
      </c>
    </row>
    <row r="158" spans="1:23">
      <c r="A158" s="1">
        <v>1</v>
      </c>
      <c r="B158" s="1" t="s">
        <v>780</v>
      </c>
      <c r="C158" t="s">
        <v>782</v>
      </c>
      <c r="D158" s="1" t="s">
        <v>21</v>
      </c>
      <c r="E158" s="1" t="s">
        <v>173</v>
      </c>
      <c r="F158" s="4">
        <v>45405</v>
      </c>
      <c r="G158" s="1" t="s">
        <v>21</v>
      </c>
      <c r="H158" s="6" t="s">
        <v>21</v>
      </c>
      <c r="I158" s="1" t="s">
        <v>21</v>
      </c>
      <c r="J158" s="1" t="s">
        <v>21</v>
      </c>
      <c r="K158" s="3">
        <v>0.76297453703703699</v>
      </c>
      <c r="L158" s="1" t="s">
        <v>8</v>
      </c>
      <c r="M158" s="1" t="s">
        <v>8</v>
      </c>
      <c r="N158" s="1">
        <v>2</v>
      </c>
      <c r="O158" s="5" t="s">
        <v>512</v>
      </c>
      <c r="P158" s="5" t="s">
        <v>800</v>
      </c>
      <c r="Q158" s="5" t="s">
        <v>800</v>
      </c>
      <c r="R158" s="2">
        <v>115.17</v>
      </c>
      <c r="S158" s="2">
        <v>115.17</v>
      </c>
      <c r="T158" s="1" t="s">
        <v>21</v>
      </c>
      <c r="U158" s="1" t="s">
        <v>550</v>
      </c>
      <c r="W158" s="31" t="s">
        <v>647</v>
      </c>
    </row>
    <row r="159" spans="1:23">
      <c r="A159" s="1">
        <v>1</v>
      </c>
      <c r="B159" s="1" t="s">
        <v>781</v>
      </c>
      <c r="C159" t="s">
        <v>784</v>
      </c>
      <c r="D159" s="1" t="s">
        <v>21</v>
      </c>
      <c r="E159" s="1" t="s">
        <v>173</v>
      </c>
      <c r="F159" s="4">
        <v>45405</v>
      </c>
      <c r="G159" s="1" t="s">
        <v>21</v>
      </c>
      <c r="H159" s="6" t="s">
        <v>21</v>
      </c>
      <c r="I159" s="1" t="s">
        <v>21</v>
      </c>
      <c r="J159" s="1" t="s">
        <v>21</v>
      </c>
      <c r="K159" s="3">
        <v>0.76297453703703699</v>
      </c>
      <c r="L159" s="1" t="s">
        <v>7</v>
      </c>
      <c r="M159" s="1" t="s">
        <v>7</v>
      </c>
      <c r="N159" s="1">
        <v>2</v>
      </c>
      <c r="O159" s="5" t="s">
        <v>512</v>
      </c>
      <c r="P159" s="5" t="s">
        <v>800</v>
      </c>
      <c r="Q159" s="5" t="s">
        <v>800</v>
      </c>
      <c r="R159" s="2">
        <v>115.17</v>
      </c>
      <c r="S159" s="2">
        <v>115.17</v>
      </c>
      <c r="T159" s="1" t="s">
        <v>21</v>
      </c>
      <c r="U159" s="1" t="s">
        <v>550</v>
      </c>
      <c r="W159" s="31" t="s">
        <v>645</v>
      </c>
    </row>
    <row r="160" spans="1:23">
      <c r="A160" s="1">
        <v>1</v>
      </c>
      <c r="B160" s="1" t="s">
        <v>781</v>
      </c>
      <c r="C160" t="s">
        <v>784</v>
      </c>
      <c r="D160" s="1">
        <v>1</v>
      </c>
      <c r="E160" s="1" t="s">
        <v>308</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5" t="s">
        <v>512</v>
      </c>
      <c r="P160" s="5" t="s">
        <v>800</v>
      </c>
      <c r="Q160" s="5" t="s">
        <v>800</v>
      </c>
      <c r="R160" s="2">
        <v>115.17</v>
      </c>
      <c r="S160" s="2">
        <v>115.17</v>
      </c>
      <c r="T160" s="1">
        <v>1</v>
      </c>
      <c r="W160" s="31" t="s">
        <v>645</v>
      </c>
    </row>
    <row r="161" spans="1:23">
      <c r="A161" s="1">
        <v>1</v>
      </c>
      <c r="B161" s="1" t="s">
        <v>780</v>
      </c>
      <c r="C161" t="s">
        <v>782</v>
      </c>
      <c r="D161" s="1">
        <v>1</v>
      </c>
      <c r="E161" s="1" t="s">
        <v>308</v>
      </c>
      <c r="F161" s="4">
        <v>45405</v>
      </c>
      <c r="G161" s="1" t="s">
        <v>21</v>
      </c>
      <c r="H161" s="6">
        <f t="shared" si="14"/>
        <v>0.24447916666666666</v>
      </c>
      <c r="I161" s="1" t="s">
        <v>21</v>
      </c>
      <c r="J161" s="6">
        <v>2.1770833333333333E-2</v>
      </c>
      <c r="K161" s="3">
        <v>0.22270833333333334</v>
      </c>
      <c r="L161" s="1" t="s">
        <v>8</v>
      </c>
      <c r="M161" s="1" t="s">
        <v>8</v>
      </c>
      <c r="N161" s="1">
        <v>2</v>
      </c>
      <c r="O161" s="5" t="s">
        <v>512</v>
      </c>
      <c r="P161" s="5" t="s">
        <v>800</v>
      </c>
      <c r="Q161" s="5" t="s">
        <v>800</v>
      </c>
      <c r="R161" s="2">
        <v>115.17</v>
      </c>
      <c r="S161" s="2">
        <v>115.17</v>
      </c>
      <c r="T161" s="1">
        <v>1</v>
      </c>
      <c r="U161" s="1" t="s">
        <v>551</v>
      </c>
      <c r="W161" s="31" t="s">
        <v>647</v>
      </c>
    </row>
    <row r="162" spans="1:23">
      <c r="A162" s="1">
        <v>1</v>
      </c>
      <c r="B162" s="1" t="s">
        <v>781</v>
      </c>
      <c r="C162" t="s">
        <v>784</v>
      </c>
      <c r="D162" s="1">
        <v>2</v>
      </c>
      <c r="E162" s="1" t="s">
        <v>308</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5" t="s">
        <v>512</v>
      </c>
      <c r="P162" s="5" t="s">
        <v>800</v>
      </c>
      <c r="Q162" s="5" t="s">
        <v>800</v>
      </c>
      <c r="R162" s="2">
        <v>115.17</v>
      </c>
      <c r="S162" s="2">
        <v>115.17</v>
      </c>
      <c r="T162" s="1">
        <v>1</v>
      </c>
      <c r="W162" s="31" t="s">
        <v>645</v>
      </c>
    </row>
    <row r="163" spans="1:23">
      <c r="A163" s="1">
        <v>1</v>
      </c>
      <c r="B163" s="1" t="s">
        <v>781</v>
      </c>
      <c r="C163" t="s">
        <v>784</v>
      </c>
      <c r="D163" s="1">
        <v>1</v>
      </c>
      <c r="E163" s="1" t="s">
        <v>291</v>
      </c>
      <c r="F163" s="4">
        <v>45406</v>
      </c>
      <c r="G163" s="1" t="s">
        <v>21</v>
      </c>
      <c r="H163" s="6">
        <f t="shared" si="14"/>
        <v>0.24834490740740739</v>
      </c>
      <c r="I163" s="1" t="s">
        <v>21</v>
      </c>
      <c r="J163" s="6">
        <v>2.7384259259259261E-2</v>
      </c>
      <c r="K163" s="3">
        <v>0.22096064814814814</v>
      </c>
      <c r="L163" s="1" t="s">
        <v>7</v>
      </c>
      <c r="M163" s="1" t="s">
        <v>8</v>
      </c>
      <c r="N163" s="1">
        <v>2</v>
      </c>
      <c r="O163" s="5" t="s">
        <v>512</v>
      </c>
      <c r="P163" s="5" t="s">
        <v>800</v>
      </c>
      <c r="Q163" s="5" t="s">
        <v>800</v>
      </c>
      <c r="R163" s="2">
        <v>115.17</v>
      </c>
      <c r="S163" s="2">
        <v>115.17</v>
      </c>
      <c r="T163" s="1">
        <v>0</v>
      </c>
      <c r="U163" s="1" t="s">
        <v>549</v>
      </c>
      <c r="W163" s="31" t="s">
        <v>645</v>
      </c>
    </row>
    <row r="164" spans="1:23">
      <c r="A164" s="1">
        <v>1</v>
      </c>
      <c r="B164" s="1" t="s">
        <v>780</v>
      </c>
      <c r="C164" t="s">
        <v>782</v>
      </c>
      <c r="D164" s="1">
        <v>1</v>
      </c>
      <c r="E164" s="1" t="s">
        <v>291</v>
      </c>
      <c r="F164" s="4">
        <v>45406</v>
      </c>
      <c r="G164" s="1" t="s">
        <v>21</v>
      </c>
      <c r="H164" s="6">
        <f t="shared" si="14"/>
        <v>0.24840277777777778</v>
      </c>
      <c r="I164" s="1" t="s">
        <v>21</v>
      </c>
      <c r="J164" s="6">
        <v>2.7442129629629629E-2</v>
      </c>
      <c r="K164" s="3">
        <v>0.22096064814814814</v>
      </c>
      <c r="L164" s="1" t="s">
        <v>8</v>
      </c>
      <c r="M164" s="1" t="s">
        <v>7</v>
      </c>
      <c r="N164" s="1">
        <v>2</v>
      </c>
      <c r="O164" s="5" t="s">
        <v>512</v>
      </c>
      <c r="P164" s="5" t="s">
        <v>800</v>
      </c>
      <c r="Q164" s="5" t="s">
        <v>800</v>
      </c>
      <c r="R164" s="2">
        <v>115.17</v>
      </c>
      <c r="S164" s="2">
        <v>115.17</v>
      </c>
      <c r="T164" s="1">
        <v>0</v>
      </c>
      <c r="U164" s="1" t="s">
        <v>484</v>
      </c>
      <c r="W164" s="31" t="s">
        <v>647</v>
      </c>
    </row>
    <row r="165" spans="1:23">
      <c r="A165" s="1">
        <v>1</v>
      </c>
      <c r="B165" s="1" t="s">
        <v>781</v>
      </c>
      <c r="C165" t="s">
        <v>784</v>
      </c>
      <c r="D165" s="1">
        <v>2</v>
      </c>
      <c r="E165" s="1" t="s">
        <v>291</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5" t="s">
        <v>512</v>
      </c>
      <c r="P165" s="5" t="s">
        <v>800</v>
      </c>
      <c r="Q165" s="5" t="s">
        <v>800</v>
      </c>
      <c r="R165" s="2">
        <v>115.17</v>
      </c>
      <c r="S165" s="2">
        <v>115.17</v>
      </c>
      <c r="T165" s="1">
        <v>0</v>
      </c>
      <c r="U165" s="1" t="s">
        <v>548</v>
      </c>
      <c r="W165" s="31" t="s">
        <v>645</v>
      </c>
    </row>
    <row r="166" spans="1:23">
      <c r="A166" s="1">
        <v>1</v>
      </c>
      <c r="B166" s="1" t="s">
        <v>781</v>
      </c>
      <c r="C166" t="s">
        <v>784</v>
      </c>
      <c r="D166" s="1">
        <v>1</v>
      </c>
      <c r="E166" s="1" t="s">
        <v>284</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5" t="s">
        <v>218</v>
      </c>
      <c r="P166" s="5" t="s">
        <v>800</v>
      </c>
      <c r="Q166" s="5" t="s">
        <v>800</v>
      </c>
      <c r="R166" s="2">
        <v>115.17</v>
      </c>
      <c r="S166" s="2">
        <v>57.4</v>
      </c>
      <c r="T166" s="1">
        <v>1</v>
      </c>
      <c r="W166" s="4" t="s">
        <v>647</v>
      </c>
    </row>
    <row r="167" spans="1:23">
      <c r="A167" s="1">
        <v>1</v>
      </c>
      <c r="B167" s="1" t="s">
        <v>780</v>
      </c>
      <c r="C167" t="s">
        <v>782</v>
      </c>
      <c r="D167" s="1" t="s">
        <v>21</v>
      </c>
      <c r="E167" s="1" t="s">
        <v>284</v>
      </c>
      <c r="F167" s="4">
        <v>45406</v>
      </c>
      <c r="G167" s="1" t="s">
        <v>21</v>
      </c>
      <c r="H167" s="6" t="s">
        <v>21</v>
      </c>
      <c r="I167" s="1" t="s">
        <v>21</v>
      </c>
      <c r="J167" s="6" t="s">
        <v>21</v>
      </c>
      <c r="K167" s="3">
        <v>0.76820601851851855</v>
      </c>
      <c r="L167" s="1" t="s">
        <v>7</v>
      </c>
      <c r="M167" s="1" t="s">
        <v>8</v>
      </c>
      <c r="N167" s="1">
        <v>2</v>
      </c>
      <c r="O167" s="5" t="s">
        <v>218</v>
      </c>
      <c r="P167" s="5" t="s">
        <v>800</v>
      </c>
      <c r="Q167" s="5" t="s">
        <v>800</v>
      </c>
      <c r="R167" s="2">
        <v>115.17</v>
      </c>
      <c r="S167" s="2">
        <v>57.4</v>
      </c>
      <c r="T167" s="1" t="s">
        <v>21</v>
      </c>
      <c r="W167" s="4" t="s">
        <v>647</v>
      </c>
    </row>
    <row r="168" spans="1:23">
      <c r="A168" s="1">
        <v>1</v>
      </c>
      <c r="B168" s="1" t="s">
        <v>780</v>
      </c>
      <c r="C168" t="s">
        <v>782</v>
      </c>
      <c r="D168" s="1">
        <v>1</v>
      </c>
      <c r="E168" s="1" t="s">
        <v>283</v>
      </c>
      <c r="F168" s="4">
        <v>45407</v>
      </c>
      <c r="G168" s="1" t="s">
        <v>21</v>
      </c>
      <c r="H168" s="6" t="s">
        <v>21</v>
      </c>
      <c r="I168" s="1" t="s">
        <v>21</v>
      </c>
      <c r="J168" s="6" t="s">
        <v>21</v>
      </c>
      <c r="K168" s="3">
        <v>0.75351851851851848</v>
      </c>
      <c r="L168" s="1" t="s">
        <v>8</v>
      </c>
      <c r="M168" s="1" t="s">
        <v>8</v>
      </c>
      <c r="N168" s="1">
        <v>3</v>
      </c>
      <c r="O168" s="5" t="s">
        <v>218</v>
      </c>
      <c r="P168" s="5" t="s">
        <v>800</v>
      </c>
      <c r="Q168" s="5" t="s">
        <v>800</v>
      </c>
      <c r="R168" s="2">
        <v>57.4</v>
      </c>
      <c r="S168" s="2">
        <v>57.4</v>
      </c>
      <c r="T168" s="1" t="s">
        <v>21</v>
      </c>
      <c r="U168" s="1" t="s">
        <v>565</v>
      </c>
      <c r="W168" s="4" t="s">
        <v>647</v>
      </c>
    </row>
    <row r="169" spans="1:23">
      <c r="A169" s="1">
        <v>1</v>
      </c>
      <c r="B169" s="1" t="s">
        <v>781</v>
      </c>
      <c r="C169" t="s">
        <v>784</v>
      </c>
      <c r="D169" s="1">
        <v>1</v>
      </c>
      <c r="E169" s="1" t="s">
        <v>283</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5" t="s">
        <v>218</v>
      </c>
      <c r="P169" s="5" t="s">
        <v>800</v>
      </c>
      <c r="Q169" s="5" t="s">
        <v>800</v>
      </c>
      <c r="R169" s="2">
        <v>57.4</v>
      </c>
      <c r="S169" s="2">
        <v>57.4</v>
      </c>
      <c r="T169" s="1" t="s">
        <v>21</v>
      </c>
      <c r="U169" s="1" t="s">
        <v>564</v>
      </c>
      <c r="W169" s="4" t="s">
        <v>647</v>
      </c>
    </row>
    <row r="170" spans="1:23">
      <c r="A170" s="1">
        <v>1</v>
      </c>
      <c r="B170" s="1" t="s">
        <v>780</v>
      </c>
      <c r="C170" t="s">
        <v>782</v>
      </c>
      <c r="D170" s="1">
        <v>1</v>
      </c>
      <c r="E170" s="1" t="s">
        <v>563</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5" t="s">
        <v>218</v>
      </c>
      <c r="P170" s="5" t="s">
        <v>800</v>
      </c>
      <c r="Q170" s="5" t="s">
        <v>800</v>
      </c>
      <c r="R170" s="2">
        <v>57.4</v>
      </c>
      <c r="S170" s="2">
        <v>57.4</v>
      </c>
      <c r="T170" s="1">
        <v>1</v>
      </c>
      <c r="W170" s="4" t="s">
        <v>647</v>
      </c>
    </row>
    <row r="171" spans="1:23">
      <c r="A171" s="1">
        <v>1</v>
      </c>
      <c r="B171" s="1" t="s">
        <v>781</v>
      </c>
      <c r="C171" t="s">
        <v>784</v>
      </c>
      <c r="D171" s="1" t="s">
        <v>21</v>
      </c>
      <c r="E171" s="1" t="s">
        <v>563</v>
      </c>
      <c r="F171" s="4">
        <v>45408</v>
      </c>
      <c r="G171" s="1" t="s">
        <v>21</v>
      </c>
      <c r="H171" s="6" t="s">
        <v>21</v>
      </c>
      <c r="I171" s="1" t="s">
        <v>21</v>
      </c>
      <c r="J171" s="6" t="s">
        <v>21</v>
      </c>
      <c r="K171" s="3">
        <v>0.75815972222222228</v>
      </c>
      <c r="L171" s="1" t="s">
        <v>7</v>
      </c>
      <c r="M171" s="1" t="s">
        <v>7</v>
      </c>
      <c r="N171" s="1">
        <v>3</v>
      </c>
      <c r="O171" s="5" t="s">
        <v>218</v>
      </c>
      <c r="P171" s="5" t="s">
        <v>800</v>
      </c>
      <c r="Q171" s="5" t="s">
        <v>800</v>
      </c>
      <c r="R171" s="2">
        <v>57.4</v>
      </c>
      <c r="S171" s="2">
        <v>57.4</v>
      </c>
      <c r="T171" s="1" t="s">
        <v>21</v>
      </c>
      <c r="W171" s="4" t="s">
        <v>647</v>
      </c>
    </row>
    <row r="172" spans="1:23">
      <c r="A172" s="1">
        <v>1</v>
      </c>
      <c r="B172" s="1" t="s">
        <v>781</v>
      </c>
      <c r="C172" t="s">
        <v>784</v>
      </c>
      <c r="D172" s="1">
        <v>1</v>
      </c>
      <c r="E172" s="1" t="s">
        <v>566</v>
      </c>
      <c r="F172" s="4">
        <v>45409</v>
      </c>
      <c r="G172" s="1" t="s">
        <v>21</v>
      </c>
      <c r="H172" s="6">
        <f>J172+K172</f>
        <v>0.78149305555555559</v>
      </c>
      <c r="I172" s="1" t="s">
        <v>21</v>
      </c>
      <c r="J172" s="6">
        <v>7.2685185185185188E-3</v>
      </c>
      <c r="K172" s="3">
        <v>0.77422453703703709</v>
      </c>
      <c r="L172" s="1" t="s">
        <v>8</v>
      </c>
      <c r="M172" s="1" t="s">
        <v>8</v>
      </c>
      <c r="N172" s="1">
        <v>2</v>
      </c>
      <c r="O172" s="5" t="s">
        <v>512</v>
      </c>
      <c r="P172" s="5" t="s">
        <v>800</v>
      </c>
      <c r="Q172" s="5" t="s">
        <v>800</v>
      </c>
      <c r="R172" s="2">
        <v>57.4</v>
      </c>
      <c r="S172" s="2">
        <v>57.4</v>
      </c>
      <c r="T172" s="1">
        <v>0</v>
      </c>
      <c r="U172" s="1" t="s">
        <v>568</v>
      </c>
      <c r="W172" s="4" t="s">
        <v>647</v>
      </c>
    </row>
    <row r="173" spans="1:23">
      <c r="A173" s="1">
        <v>1</v>
      </c>
      <c r="B173" s="1" t="s">
        <v>780</v>
      </c>
      <c r="C173" t="s">
        <v>782</v>
      </c>
      <c r="D173" s="1" t="s">
        <v>21</v>
      </c>
      <c r="E173" s="1" t="s">
        <v>566</v>
      </c>
      <c r="F173" s="4">
        <v>45409</v>
      </c>
      <c r="G173" s="1" t="s">
        <v>21</v>
      </c>
      <c r="H173" s="6" t="s">
        <v>21</v>
      </c>
      <c r="I173" s="1" t="s">
        <v>21</v>
      </c>
      <c r="J173" s="6" t="s">
        <v>21</v>
      </c>
      <c r="K173" s="3">
        <v>0.77422453703703709</v>
      </c>
      <c r="L173" s="1" t="s">
        <v>7</v>
      </c>
      <c r="M173" s="1" t="s">
        <v>7</v>
      </c>
      <c r="N173" s="1">
        <v>2</v>
      </c>
      <c r="O173" s="5" t="s">
        <v>512</v>
      </c>
      <c r="P173" s="5" t="s">
        <v>800</v>
      </c>
      <c r="Q173" s="5" t="s">
        <v>800</v>
      </c>
      <c r="R173" s="2">
        <v>57.4</v>
      </c>
      <c r="S173" s="2">
        <v>57.4</v>
      </c>
      <c r="T173" s="1" t="s">
        <v>21</v>
      </c>
      <c r="U173" s="1" t="s">
        <v>546</v>
      </c>
      <c r="W173" s="4" t="s">
        <v>647</v>
      </c>
    </row>
    <row r="174" spans="1:23">
      <c r="A174" s="1">
        <v>1</v>
      </c>
      <c r="B174" s="1" t="s">
        <v>780</v>
      </c>
      <c r="C174" t="s">
        <v>782</v>
      </c>
      <c r="D174" s="1">
        <v>1</v>
      </c>
      <c r="E174" s="1" t="s">
        <v>567</v>
      </c>
      <c r="F174" s="4">
        <v>45410</v>
      </c>
      <c r="G174" s="1" t="s">
        <v>21</v>
      </c>
      <c r="H174" s="6">
        <f>J174+K174</f>
        <v>0.24263888888888888</v>
      </c>
      <c r="I174" s="1" t="s">
        <v>21</v>
      </c>
      <c r="J174" s="6">
        <v>9.4560185185185181E-3</v>
      </c>
      <c r="K174" s="3">
        <v>0.23318287037037036</v>
      </c>
      <c r="L174" s="1" t="s">
        <v>7</v>
      </c>
      <c r="M174" s="1" t="s">
        <v>7</v>
      </c>
      <c r="N174" s="1">
        <v>2</v>
      </c>
      <c r="O174" s="5" t="s">
        <v>512</v>
      </c>
      <c r="P174" s="5" t="s">
        <v>800</v>
      </c>
      <c r="Q174" s="5" t="s">
        <v>800</v>
      </c>
      <c r="R174" s="2">
        <v>57.4</v>
      </c>
      <c r="S174" s="2">
        <v>57.4</v>
      </c>
      <c r="T174" s="1">
        <v>0</v>
      </c>
      <c r="U174" s="1" t="s">
        <v>570</v>
      </c>
      <c r="W174" s="4" t="s">
        <v>647</v>
      </c>
    </row>
    <row r="175" spans="1:23">
      <c r="A175" s="1">
        <v>1</v>
      </c>
      <c r="B175" s="1" t="s">
        <v>781</v>
      </c>
      <c r="C175" t="s">
        <v>784</v>
      </c>
      <c r="D175" s="1">
        <v>1</v>
      </c>
      <c r="E175" s="1" t="s">
        <v>567</v>
      </c>
      <c r="F175" s="4">
        <v>45410</v>
      </c>
      <c r="G175" s="3">
        <f>I175+K175</f>
        <v>0.2434375</v>
      </c>
      <c r="H175" s="6">
        <f>J175+K175</f>
        <v>0.25074074074074071</v>
      </c>
      <c r="I175" s="3">
        <v>1.0254629629629629E-2</v>
      </c>
      <c r="J175" s="6">
        <v>1.755787037037037E-2</v>
      </c>
      <c r="K175" s="3">
        <v>0.23318287037037036</v>
      </c>
      <c r="L175" s="1" t="s">
        <v>8</v>
      </c>
      <c r="M175" s="1" t="s">
        <v>8</v>
      </c>
      <c r="N175" s="1">
        <v>2</v>
      </c>
      <c r="O175" s="5" t="s">
        <v>512</v>
      </c>
      <c r="P175" s="5" t="s">
        <v>800</v>
      </c>
      <c r="Q175" s="5" t="s">
        <v>800</v>
      </c>
      <c r="R175" s="2">
        <v>57.4</v>
      </c>
      <c r="S175" s="2">
        <v>57.4</v>
      </c>
      <c r="T175" s="1" t="s">
        <v>21</v>
      </c>
      <c r="U175" s="1" t="s">
        <v>569</v>
      </c>
      <c r="W175" s="4" t="s">
        <v>647</v>
      </c>
    </row>
    <row r="176" spans="1:23">
      <c r="A176" s="1">
        <v>1</v>
      </c>
      <c r="B176" s="1" t="s">
        <v>781</v>
      </c>
      <c r="C176" t="s">
        <v>784</v>
      </c>
      <c r="D176" s="1">
        <v>1</v>
      </c>
      <c r="E176" s="1" t="s">
        <v>557</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5" t="s">
        <v>512</v>
      </c>
      <c r="P176" s="5" t="s">
        <v>800</v>
      </c>
      <c r="Q176" s="5" t="s">
        <v>800</v>
      </c>
      <c r="R176" s="2">
        <v>57.4</v>
      </c>
      <c r="S176" s="2">
        <v>57.4</v>
      </c>
      <c r="T176" s="1">
        <v>1</v>
      </c>
      <c r="U176" s="1" t="s">
        <v>559</v>
      </c>
      <c r="W176" s="4" t="s">
        <v>647</v>
      </c>
    </row>
    <row r="177" spans="1:23">
      <c r="A177" s="1">
        <v>1</v>
      </c>
      <c r="B177" s="1" t="s">
        <v>780</v>
      </c>
      <c r="C177" t="s">
        <v>782</v>
      </c>
      <c r="D177" s="1">
        <v>1</v>
      </c>
      <c r="E177" s="1" t="s">
        <v>557</v>
      </c>
      <c r="F177" s="4">
        <v>45411</v>
      </c>
      <c r="G177" s="1" t="s">
        <v>21</v>
      </c>
      <c r="H177" s="6">
        <f>J177+K177</f>
        <v>0.24275462962962963</v>
      </c>
      <c r="I177" s="1" t="s">
        <v>21</v>
      </c>
      <c r="J177" s="6">
        <v>6.6087962962962966E-3</v>
      </c>
      <c r="K177" s="6">
        <v>0.23614583333333333</v>
      </c>
      <c r="L177" s="1" t="s">
        <v>8</v>
      </c>
      <c r="M177" s="1" t="s">
        <v>7</v>
      </c>
      <c r="N177" s="1">
        <v>2</v>
      </c>
      <c r="O177" s="5" t="s">
        <v>512</v>
      </c>
      <c r="P177" s="5" t="s">
        <v>800</v>
      </c>
      <c r="Q177" s="5" t="s">
        <v>800</v>
      </c>
      <c r="R177" s="2">
        <v>57.4</v>
      </c>
      <c r="S177" s="2">
        <v>57.4</v>
      </c>
      <c r="T177" s="1" t="s">
        <v>21</v>
      </c>
      <c r="U177" s="1" t="s">
        <v>558</v>
      </c>
      <c r="W177" s="4" t="s">
        <v>647</v>
      </c>
    </row>
    <row r="178" spans="1:23">
      <c r="A178" s="1">
        <v>1</v>
      </c>
      <c r="B178" s="1" t="s">
        <v>781</v>
      </c>
      <c r="C178" t="s">
        <v>784</v>
      </c>
      <c r="D178" s="1" t="s">
        <v>21</v>
      </c>
      <c r="E178" s="1" t="s">
        <v>298</v>
      </c>
      <c r="F178" s="4">
        <v>45411</v>
      </c>
      <c r="G178" s="1" t="s">
        <v>21</v>
      </c>
      <c r="H178" s="6" t="s">
        <v>21</v>
      </c>
      <c r="I178" s="1" t="s">
        <v>21</v>
      </c>
      <c r="J178" s="6" t="s">
        <v>21</v>
      </c>
      <c r="K178" s="3">
        <v>0.76478009259259261</v>
      </c>
      <c r="L178" s="1" t="s">
        <v>8</v>
      </c>
      <c r="M178" s="1" t="s">
        <v>7</v>
      </c>
      <c r="N178" s="1">
        <v>2</v>
      </c>
      <c r="O178" s="5" t="s">
        <v>512</v>
      </c>
      <c r="P178" s="5" t="s">
        <v>800</v>
      </c>
      <c r="Q178" s="5" t="s">
        <v>800</v>
      </c>
      <c r="R178" s="2">
        <v>57.4</v>
      </c>
      <c r="S178" s="2">
        <v>57.4</v>
      </c>
      <c r="T178" s="1" t="s">
        <v>21</v>
      </c>
      <c r="U178" s="1" t="s">
        <v>572</v>
      </c>
      <c r="W178" s="4" t="s">
        <v>647</v>
      </c>
    </row>
    <row r="179" spans="1:23">
      <c r="A179" s="1">
        <v>1</v>
      </c>
      <c r="B179" s="1" t="s">
        <v>780</v>
      </c>
      <c r="C179" t="s">
        <v>782</v>
      </c>
      <c r="D179" s="1" t="s">
        <v>21</v>
      </c>
      <c r="E179" s="1" t="s">
        <v>298</v>
      </c>
      <c r="F179" s="4">
        <v>45411</v>
      </c>
      <c r="G179" s="1" t="s">
        <v>21</v>
      </c>
      <c r="H179" s="6" t="s">
        <v>21</v>
      </c>
      <c r="I179" s="1" t="s">
        <v>21</v>
      </c>
      <c r="J179" s="6" t="s">
        <v>21</v>
      </c>
      <c r="K179" s="3">
        <v>0.76478009259259261</v>
      </c>
      <c r="L179" s="1" t="s">
        <v>7</v>
      </c>
      <c r="M179" s="1" t="s">
        <v>8</v>
      </c>
      <c r="N179" s="1">
        <v>2</v>
      </c>
      <c r="O179" s="5" t="s">
        <v>512</v>
      </c>
      <c r="P179" s="5" t="s">
        <v>800</v>
      </c>
      <c r="Q179" s="5" t="s">
        <v>800</v>
      </c>
      <c r="R179" s="2">
        <v>57.4</v>
      </c>
      <c r="S179" s="2">
        <v>57.4</v>
      </c>
      <c r="T179" s="1" t="s">
        <v>21</v>
      </c>
      <c r="W179" s="4" t="s">
        <v>647</v>
      </c>
    </row>
    <row r="180" spans="1:23">
      <c r="A180" s="1">
        <v>1</v>
      </c>
      <c r="B180" s="1" t="s">
        <v>781</v>
      </c>
      <c r="C180" t="s">
        <v>784</v>
      </c>
      <c r="D180" s="1">
        <v>1</v>
      </c>
      <c r="E180" s="1" t="s">
        <v>573</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5" t="s">
        <v>512</v>
      </c>
      <c r="P180" s="5" t="s">
        <v>800</v>
      </c>
      <c r="Q180" s="5" t="s">
        <v>800</v>
      </c>
      <c r="R180" s="2">
        <v>57.4</v>
      </c>
      <c r="S180" s="2">
        <v>57.4</v>
      </c>
      <c r="T180" s="1">
        <v>1</v>
      </c>
      <c r="W180" s="4" t="s">
        <v>647</v>
      </c>
    </row>
    <row r="181" spans="1:23">
      <c r="A181" s="1">
        <v>1</v>
      </c>
      <c r="B181" s="1" t="s">
        <v>780</v>
      </c>
      <c r="C181" t="s">
        <v>782</v>
      </c>
      <c r="E181" s="1" t="s">
        <v>573</v>
      </c>
      <c r="F181" s="4">
        <v>45412</v>
      </c>
      <c r="G181" s="1" t="s">
        <v>21</v>
      </c>
      <c r="H181" s="6">
        <f t="shared" si="15"/>
        <v>0.24458333333333335</v>
      </c>
      <c r="I181" s="1" t="s">
        <v>21</v>
      </c>
      <c r="J181" s="3">
        <v>2.3472222222222221E-2</v>
      </c>
      <c r="K181" s="3">
        <v>0.22111111111111112</v>
      </c>
      <c r="L181" s="1" t="s">
        <v>8</v>
      </c>
      <c r="M181" s="1" t="s">
        <v>8</v>
      </c>
      <c r="N181" s="1">
        <v>2</v>
      </c>
      <c r="O181" s="5" t="s">
        <v>512</v>
      </c>
      <c r="P181" s="5" t="s">
        <v>800</v>
      </c>
      <c r="Q181" s="5" t="s">
        <v>800</v>
      </c>
      <c r="R181" s="2">
        <v>57.4</v>
      </c>
      <c r="S181" s="2">
        <v>57.4</v>
      </c>
      <c r="T181" s="1">
        <v>1</v>
      </c>
      <c r="W181" s="4" t="s">
        <v>647</v>
      </c>
    </row>
    <row r="182" spans="1:23">
      <c r="A182" s="1">
        <v>1</v>
      </c>
      <c r="B182" s="1" t="s">
        <v>780</v>
      </c>
      <c r="C182" t="s">
        <v>782</v>
      </c>
      <c r="D182" s="1">
        <v>1</v>
      </c>
      <c r="E182" s="1" t="s">
        <v>301</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5" t="s">
        <v>512</v>
      </c>
      <c r="P182" s="5" t="s">
        <v>800</v>
      </c>
      <c r="Q182" s="5" t="s">
        <v>800</v>
      </c>
      <c r="R182" s="2">
        <v>57.4</v>
      </c>
      <c r="S182" s="2">
        <v>57.4</v>
      </c>
      <c r="T182" s="1">
        <v>1</v>
      </c>
      <c r="W182" s="4" t="s">
        <v>647</v>
      </c>
    </row>
    <row r="183" spans="1:23">
      <c r="A183" s="1">
        <v>1</v>
      </c>
      <c r="B183" s="1" t="s">
        <v>781</v>
      </c>
      <c r="C183" t="s">
        <v>784</v>
      </c>
      <c r="D183" s="1">
        <v>1</v>
      </c>
      <c r="E183" s="1" t="s">
        <v>574</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5" t="s">
        <v>512</v>
      </c>
      <c r="P183" s="5" t="s">
        <v>800</v>
      </c>
      <c r="Q183" s="5" t="s">
        <v>800</v>
      </c>
      <c r="R183" s="2">
        <v>57.4</v>
      </c>
      <c r="S183" s="2">
        <v>57.4</v>
      </c>
      <c r="T183" s="1">
        <v>1</v>
      </c>
      <c r="W183" s="4" t="s">
        <v>647</v>
      </c>
    </row>
    <row r="184" spans="1:23">
      <c r="A184" s="1">
        <v>1</v>
      </c>
      <c r="B184" s="1" t="s">
        <v>780</v>
      </c>
      <c r="C184" t="s">
        <v>782</v>
      </c>
      <c r="D184" s="1">
        <v>1</v>
      </c>
      <c r="E184" s="1" t="s">
        <v>574</v>
      </c>
      <c r="F184" s="4">
        <v>45413</v>
      </c>
      <c r="G184" s="1" t="s">
        <v>21</v>
      </c>
      <c r="H184" s="6">
        <f t="shared" si="15"/>
        <v>0.24356481481481482</v>
      </c>
      <c r="I184" s="1" t="s">
        <v>21</v>
      </c>
      <c r="J184" s="6">
        <v>2.4074074074074074E-2</v>
      </c>
      <c r="K184" s="3">
        <v>0.21949074074074074</v>
      </c>
      <c r="L184" s="1" t="s">
        <v>7</v>
      </c>
      <c r="M184" s="1" t="s">
        <v>8</v>
      </c>
      <c r="N184" s="1">
        <v>2</v>
      </c>
      <c r="O184" s="5" t="s">
        <v>512</v>
      </c>
      <c r="P184" s="5" t="s">
        <v>800</v>
      </c>
      <c r="Q184" s="5" t="s">
        <v>800</v>
      </c>
      <c r="R184" s="2">
        <v>57.4</v>
      </c>
      <c r="S184" s="2">
        <v>57.4</v>
      </c>
      <c r="T184" s="1">
        <v>1</v>
      </c>
      <c r="U184" s="1" t="s">
        <v>584</v>
      </c>
      <c r="W184" s="4" t="s">
        <v>647</v>
      </c>
    </row>
    <row r="185" spans="1:23">
      <c r="A185" s="1">
        <v>1</v>
      </c>
      <c r="B185" s="1" t="s">
        <v>781</v>
      </c>
      <c r="C185" t="s">
        <v>784</v>
      </c>
      <c r="D185" s="1">
        <v>1</v>
      </c>
      <c r="E185" s="1" t="s">
        <v>480</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5" t="s">
        <v>512</v>
      </c>
      <c r="P185" s="5" t="s">
        <v>800</v>
      </c>
      <c r="Q185" s="5" t="s">
        <v>800</v>
      </c>
      <c r="R185" s="2">
        <v>57.4</v>
      </c>
      <c r="S185" s="2">
        <v>57.4</v>
      </c>
      <c r="T185" s="1">
        <v>0</v>
      </c>
      <c r="W185" s="4" t="s">
        <v>647</v>
      </c>
    </row>
    <row r="186" spans="1:23">
      <c r="A186" s="1">
        <v>1</v>
      </c>
      <c r="B186" s="1" t="s">
        <v>781</v>
      </c>
      <c r="C186" t="s">
        <v>784</v>
      </c>
      <c r="D186" s="1">
        <v>2</v>
      </c>
      <c r="E186" s="1" t="s">
        <v>480</v>
      </c>
      <c r="F186" s="4">
        <v>45414</v>
      </c>
      <c r="G186" s="1" t="s">
        <v>21</v>
      </c>
      <c r="H186" s="6">
        <f t="shared" si="15"/>
        <v>0.25666666666666665</v>
      </c>
      <c r="I186" s="1" t="s">
        <v>21</v>
      </c>
      <c r="J186" s="6">
        <v>3.8124999999999999E-2</v>
      </c>
      <c r="K186" s="3">
        <v>0.21854166666666666</v>
      </c>
      <c r="L186" s="1" t="s">
        <v>7</v>
      </c>
      <c r="M186" s="1" t="s">
        <v>8</v>
      </c>
      <c r="N186" s="1">
        <v>3</v>
      </c>
      <c r="O186" s="5" t="s">
        <v>512</v>
      </c>
      <c r="P186" s="5" t="s">
        <v>800</v>
      </c>
      <c r="Q186" s="5" t="s">
        <v>800</v>
      </c>
      <c r="R186" s="2">
        <v>57.4</v>
      </c>
      <c r="S186" s="2">
        <v>57.4</v>
      </c>
      <c r="T186" s="1">
        <v>1</v>
      </c>
      <c r="U186" s="1" t="s">
        <v>585</v>
      </c>
      <c r="W186" s="4" t="s">
        <v>647</v>
      </c>
    </row>
    <row r="187" spans="1:23">
      <c r="A187" s="1">
        <v>1</v>
      </c>
      <c r="B187" s="1" t="s">
        <v>780</v>
      </c>
      <c r="C187" t="s">
        <v>782</v>
      </c>
      <c r="D187" s="1">
        <v>1</v>
      </c>
      <c r="E187" s="1" t="s">
        <v>480</v>
      </c>
      <c r="F187" s="4">
        <v>45414</v>
      </c>
      <c r="G187" s="1" t="s">
        <v>21</v>
      </c>
      <c r="H187" s="6">
        <f t="shared" si="15"/>
        <v>0.25842592592592595</v>
      </c>
      <c r="I187" s="1" t="s">
        <v>21</v>
      </c>
      <c r="J187" s="6">
        <v>3.9884259259259258E-2</v>
      </c>
      <c r="K187" s="3">
        <v>0.21854166666666666</v>
      </c>
      <c r="L187" s="1" t="s">
        <v>8</v>
      </c>
      <c r="M187" s="1" t="s">
        <v>7</v>
      </c>
      <c r="N187" s="1">
        <v>3</v>
      </c>
      <c r="O187" s="5" t="s">
        <v>512</v>
      </c>
      <c r="P187" s="5" t="s">
        <v>800</v>
      </c>
      <c r="Q187" s="5" t="s">
        <v>800</v>
      </c>
      <c r="R187" s="2">
        <v>57.4</v>
      </c>
      <c r="S187" s="2">
        <v>57.4</v>
      </c>
      <c r="T187" s="1">
        <v>0</v>
      </c>
      <c r="U187" s="1" t="s">
        <v>585</v>
      </c>
      <c r="W187" s="4" t="s">
        <v>647</v>
      </c>
    </row>
    <row r="188" spans="1:23">
      <c r="A188" s="1">
        <v>1</v>
      </c>
      <c r="B188" s="1" t="s">
        <v>780</v>
      </c>
      <c r="C188" t="s">
        <v>782</v>
      </c>
      <c r="D188" s="1">
        <v>1</v>
      </c>
      <c r="E188" s="1" t="s">
        <v>479</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5" t="s">
        <v>512</v>
      </c>
      <c r="P188" s="5" t="s">
        <v>800</v>
      </c>
      <c r="Q188" s="5" t="s">
        <v>800</v>
      </c>
      <c r="R188" s="2">
        <v>57.4</v>
      </c>
      <c r="S188" s="2">
        <v>57.4</v>
      </c>
      <c r="T188" s="1">
        <v>1</v>
      </c>
      <c r="W188" s="4" t="s">
        <v>647</v>
      </c>
    </row>
    <row r="189" spans="1:23">
      <c r="A189" s="1">
        <v>1</v>
      </c>
      <c r="B189" s="1" t="s">
        <v>781</v>
      </c>
      <c r="C189" t="s">
        <v>784</v>
      </c>
      <c r="D189" s="1">
        <v>1</v>
      </c>
      <c r="E189" s="1" t="s">
        <v>479</v>
      </c>
      <c r="F189" s="4">
        <v>45414</v>
      </c>
      <c r="G189" s="1" t="s">
        <v>21</v>
      </c>
      <c r="H189" s="6" t="s">
        <v>21</v>
      </c>
      <c r="I189" s="1" t="s">
        <v>21</v>
      </c>
      <c r="J189" s="6" t="s">
        <v>21</v>
      </c>
      <c r="K189" s="3">
        <v>0.76202546296296292</v>
      </c>
      <c r="L189" s="1" t="s">
        <v>8</v>
      </c>
      <c r="M189" s="1" t="s">
        <v>7</v>
      </c>
      <c r="N189" s="1">
        <v>2</v>
      </c>
      <c r="O189" s="5" t="s">
        <v>512</v>
      </c>
      <c r="P189" s="5" t="s">
        <v>800</v>
      </c>
      <c r="Q189" s="5" t="s">
        <v>800</v>
      </c>
      <c r="R189" s="2">
        <v>57.4</v>
      </c>
      <c r="S189" s="2">
        <v>57.4</v>
      </c>
      <c r="T189" s="1" t="s">
        <v>21</v>
      </c>
      <c r="U189" s="1" t="s">
        <v>169</v>
      </c>
      <c r="W189" s="4" t="s">
        <v>647</v>
      </c>
    </row>
    <row r="190" spans="1:23">
      <c r="A190" s="1">
        <v>1</v>
      </c>
      <c r="B190" s="1" t="s">
        <v>781</v>
      </c>
      <c r="C190" t="s">
        <v>784</v>
      </c>
      <c r="D190" s="1">
        <v>1</v>
      </c>
      <c r="E190" s="1" t="s">
        <v>301</v>
      </c>
      <c r="F190" s="4" t="s">
        <v>21</v>
      </c>
      <c r="G190" s="3">
        <f>I190+K190</f>
        <v>0.78900462962962969</v>
      </c>
      <c r="H190" s="6" t="s">
        <v>21</v>
      </c>
      <c r="I190" s="3">
        <v>2.7222222222222221E-2</v>
      </c>
      <c r="J190" s="6" t="s">
        <v>21</v>
      </c>
      <c r="K190" s="3">
        <v>0.76178240740740744</v>
      </c>
      <c r="L190" s="1" t="s">
        <v>8</v>
      </c>
      <c r="M190" s="1" t="s">
        <v>8</v>
      </c>
      <c r="N190" s="1">
        <v>2</v>
      </c>
      <c r="O190" s="5" t="s">
        <v>512</v>
      </c>
      <c r="P190" s="5" t="s">
        <v>800</v>
      </c>
      <c r="Q190" s="5" t="s">
        <v>800</v>
      </c>
      <c r="R190" s="2">
        <v>57.4</v>
      </c>
      <c r="S190" s="2">
        <v>57.4</v>
      </c>
      <c r="T190" s="1" t="s">
        <v>21</v>
      </c>
      <c r="U190" s="1" t="s">
        <v>583</v>
      </c>
      <c r="W190" s="4" t="s">
        <v>647</v>
      </c>
    </row>
    <row r="191" spans="1:23">
      <c r="A191" s="1">
        <v>1</v>
      </c>
      <c r="B191" s="1" t="s">
        <v>781</v>
      </c>
      <c r="C191" t="s">
        <v>784</v>
      </c>
      <c r="D191" s="1">
        <v>1</v>
      </c>
      <c r="E191" s="1" t="s">
        <v>252</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5" t="s">
        <v>512</v>
      </c>
      <c r="P191" s="5" t="s">
        <v>800</v>
      </c>
      <c r="Q191" s="5" t="s">
        <v>800</v>
      </c>
      <c r="R191" s="2">
        <v>57.4</v>
      </c>
      <c r="S191" s="2">
        <v>57.4</v>
      </c>
      <c r="T191" s="1">
        <v>1</v>
      </c>
      <c r="W191" s="4" t="s">
        <v>647</v>
      </c>
    </row>
    <row r="192" spans="1:23">
      <c r="A192" s="1">
        <v>1</v>
      </c>
      <c r="B192" s="1" t="s">
        <v>780</v>
      </c>
      <c r="C192" t="s">
        <v>782</v>
      </c>
      <c r="D192" s="1">
        <v>1</v>
      </c>
      <c r="E192" s="1" t="s">
        <v>252</v>
      </c>
      <c r="F192" s="4">
        <v>45410</v>
      </c>
      <c r="H192" s="6">
        <f>J192+K192</f>
        <v>0.78259259259259262</v>
      </c>
      <c r="J192" s="6">
        <v>1.9224537037037037E-2</v>
      </c>
      <c r="K192" s="3">
        <v>0.76336805555555554</v>
      </c>
      <c r="L192" s="1" t="s">
        <v>7</v>
      </c>
      <c r="M192" s="1" t="s">
        <v>8</v>
      </c>
      <c r="N192" s="1">
        <v>2</v>
      </c>
      <c r="O192" s="5" t="s">
        <v>512</v>
      </c>
      <c r="P192" s="5" t="s">
        <v>800</v>
      </c>
      <c r="Q192" s="5" t="s">
        <v>800</v>
      </c>
      <c r="R192" s="2">
        <v>57.4</v>
      </c>
      <c r="S192" s="2">
        <v>57.4</v>
      </c>
      <c r="T192" s="1">
        <v>0</v>
      </c>
      <c r="U192" s="1" t="s">
        <v>146</v>
      </c>
      <c r="W192" s="4" t="s">
        <v>647</v>
      </c>
    </row>
    <row r="193" spans="1:23">
      <c r="A193" s="1">
        <v>1</v>
      </c>
      <c r="B193" s="1" t="s">
        <v>780</v>
      </c>
      <c r="C193" t="s">
        <v>782</v>
      </c>
      <c r="D193" s="1">
        <v>1</v>
      </c>
      <c r="E193" s="1" t="s">
        <v>575</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5" t="s">
        <v>512</v>
      </c>
      <c r="P193" s="5" t="s">
        <v>800</v>
      </c>
      <c r="Q193" s="5" t="s">
        <v>800</v>
      </c>
      <c r="R193" s="2">
        <v>57.4</v>
      </c>
      <c r="S193" s="2">
        <v>57.4</v>
      </c>
      <c r="T193" s="1">
        <v>1</v>
      </c>
      <c r="W193" s="4" t="s">
        <v>647</v>
      </c>
    </row>
    <row r="194" spans="1:23">
      <c r="A194" s="1">
        <v>1</v>
      </c>
      <c r="B194" s="1" t="s">
        <v>781</v>
      </c>
      <c r="C194" t="s">
        <v>784</v>
      </c>
      <c r="D194" s="1" t="s">
        <v>21</v>
      </c>
      <c r="E194" s="1" t="s">
        <v>575</v>
      </c>
      <c r="F194" s="4">
        <v>45413</v>
      </c>
      <c r="G194" s="1" t="s">
        <v>21</v>
      </c>
      <c r="H194" s="6" t="s">
        <v>21</v>
      </c>
      <c r="I194" s="1" t="s">
        <v>21</v>
      </c>
      <c r="J194" s="6" t="s">
        <v>21</v>
      </c>
      <c r="K194" s="3">
        <v>0.77603009259259259</v>
      </c>
      <c r="L194" s="1" t="s">
        <v>7</v>
      </c>
      <c r="M194" s="1" t="s">
        <v>7</v>
      </c>
      <c r="N194" s="1">
        <v>2</v>
      </c>
      <c r="O194" s="5" t="s">
        <v>512</v>
      </c>
      <c r="P194" s="5" t="s">
        <v>800</v>
      </c>
      <c r="Q194" s="5" t="s">
        <v>800</v>
      </c>
      <c r="R194" s="2">
        <v>57.4</v>
      </c>
      <c r="S194" s="2">
        <v>57.4</v>
      </c>
      <c r="T194" s="1" t="s">
        <v>21</v>
      </c>
      <c r="U194" s="1" t="s">
        <v>169</v>
      </c>
      <c r="W194" s="4" t="s">
        <v>647</v>
      </c>
    </row>
    <row r="195" spans="1:23">
      <c r="A195" s="1">
        <v>1</v>
      </c>
      <c r="B195" s="1" t="s">
        <v>780</v>
      </c>
      <c r="C195" t="s">
        <v>782</v>
      </c>
      <c r="D195" s="1">
        <v>1</v>
      </c>
      <c r="E195" s="1" t="s">
        <v>478</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5" t="s">
        <v>512</v>
      </c>
      <c r="P195" s="5" t="s">
        <v>800</v>
      </c>
      <c r="Q195" s="5" t="s">
        <v>800</v>
      </c>
      <c r="R195" s="2">
        <v>57.4</v>
      </c>
      <c r="S195" s="2">
        <v>57.4</v>
      </c>
      <c r="T195" s="1">
        <v>1</v>
      </c>
      <c r="W195" s="4" t="s">
        <v>647</v>
      </c>
    </row>
    <row r="196" spans="1:23">
      <c r="A196" s="1">
        <v>1</v>
      </c>
      <c r="B196" s="1" t="s">
        <v>781</v>
      </c>
      <c r="C196" t="s">
        <v>784</v>
      </c>
      <c r="D196" s="1">
        <v>1</v>
      </c>
      <c r="E196" s="1" t="s">
        <v>478</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5" t="s">
        <v>512</v>
      </c>
      <c r="P196" s="5" t="s">
        <v>800</v>
      </c>
      <c r="Q196" s="5" t="s">
        <v>800</v>
      </c>
      <c r="R196" s="2">
        <v>57.4</v>
      </c>
      <c r="S196" s="2">
        <v>57.4</v>
      </c>
      <c r="T196" s="1">
        <v>0</v>
      </c>
      <c r="U196" s="1" t="s">
        <v>591</v>
      </c>
      <c r="W196" s="4" t="s">
        <v>647</v>
      </c>
    </row>
    <row r="197" spans="1:23">
      <c r="A197" s="1">
        <v>1</v>
      </c>
      <c r="B197" s="1" t="s">
        <v>781</v>
      </c>
      <c r="C197" t="s">
        <v>784</v>
      </c>
      <c r="D197" s="1">
        <v>1</v>
      </c>
      <c r="E197" s="1" t="s">
        <v>471</v>
      </c>
      <c r="F197" s="4">
        <v>45415</v>
      </c>
      <c r="G197" s="1" t="s">
        <v>21</v>
      </c>
      <c r="H197" s="6" t="s">
        <v>21</v>
      </c>
      <c r="I197" s="1" t="s">
        <v>21</v>
      </c>
      <c r="J197" s="6" t="s">
        <v>21</v>
      </c>
      <c r="K197" s="3">
        <v>0.75718750000000001</v>
      </c>
      <c r="L197" s="1" t="s">
        <v>8</v>
      </c>
      <c r="M197" s="1" t="s">
        <v>7</v>
      </c>
      <c r="N197" s="1">
        <v>2</v>
      </c>
      <c r="O197" s="5" t="s">
        <v>512</v>
      </c>
      <c r="P197" s="5" t="s">
        <v>800</v>
      </c>
      <c r="Q197" s="5" t="s">
        <v>800</v>
      </c>
      <c r="R197" s="2">
        <v>57.4</v>
      </c>
      <c r="S197" s="2">
        <v>57.4</v>
      </c>
      <c r="T197" s="1" t="s">
        <v>21</v>
      </c>
      <c r="U197" s="1" t="s">
        <v>572</v>
      </c>
      <c r="W197" s="4" t="s">
        <v>647</v>
      </c>
    </row>
    <row r="198" spans="1:23">
      <c r="A198" s="1">
        <v>1</v>
      </c>
      <c r="B198" s="1" t="s">
        <v>780</v>
      </c>
      <c r="C198" t="s">
        <v>782</v>
      </c>
      <c r="D198" s="1">
        <v>1</v>
      </c>
      <c r="E198" s="1" t="s">
        <v>471</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5" t="s">
        <v>512</v>
      </c>
      <c r="P198" s="5" t="s">
        <v>800</v>
      </c>
      <c r="Q198" s="5" t="s">
        <v>800</v>
      </c>
      <c r="R198" s="2">
        <v>57.4</v>
      </c>
      <c r="S198" s="2">
        <v>57.4</v>
      </c>
      <c r="T198" s="1">
        <v>1</v>
      </c>
      <c r="W198" s="4" t="s">
        <v>647</v>
      </c>
    </row>
    <row r="199" spans="1:23">
      <c r="A199" s="1">
        <v>1</v>
      </c>
      <c r="B199" s="1" t="s">
        <v>780</v>
      </c>
      <c r="C199" t="s">
        <v>782</v>
      </c>
      <c r="D199" s="1">
        <v>1</v>
      </c>
      <c r="E199" s="1" t="s">
        <v>462</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5" t="s">
        <v>512</v>
      </c>
      <c r="P199" s="5" t="s">
        <v>800</v>
      </c>
      <c r="Q199" s="5" t="s">
        <v>800</v>
      </c>
      <c r="R199" s="2">
        <v>19.2</v>
      </c>
      <c r="S199" s="2">
        <v>19.2</v>
      </c>
      <c r="T199" s="1">
        <v>0</v>
      </c>
      <c r="W199" s="4" t="s">
        <v>647</v>
      </c>
    </row>
    <row r="200" spans="1:23">
      <c r="A200" s="1">
        <v>1</v>
      </c>
      <c r="B200" s="1" t="s">
        <v>781</v>
      </c>
      <c r="C200" t="s">
        <v>784</v>
      </c>
      <c r="D200" s="1">
        <v>1</v>
      </c>
      <c r="E200" s="1" t="s">
        <v>462</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5" t="s">
        <v>512</v>
      </c>
      <c r="P200" s="5" t="s">
        <v>800</v>
      </c>
      <c r="Q200" s="5" t="s">
        <v>800</v>
      </c>
      <c r="R200" s="2">
        <v>19.2</v>
      </c>
      <c r="S200" s="2">
        <v>19.2</v>
      </c>
      <c r="T200" s="1">
        <v>1</v>
      </c>
      <c r="W200" s="4" t="s">
        <v>647</v>
      </c>
    </row>
    <row r="201" spans="1:23">
      <c r="A201" s="1">
        <v>1</v>
      </c>
      <c r="B201" s="1" t="s">
        <v>780</v>
      </c>
      <c r="C201" t="s">
        <v>782</v>
      </c>
      <c r="D201" s="1">
        <v>1</v>
      </c>
      <c r="E201" s="1" t="s">
        <v>483</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5" t="s">
        <v>512</v>
      </c>
      <c r="P201" s="5" t="s">
        <v>800</v>
      </c>
      <c r="Q201" s="5" t="s">
        <v>800</v>
      </c>
      <c r="R201" s="2">
        <v>19.2</v>
      </c>
      <c r="S201" s="2">
        <v>19.2</v>
      </c>
      <c r="T201" s="1">
        <v>0</v>
      </c>
      <c r="W201" s="4" t="s">
        <v>647</v>
      </c>
    </row>
    <row r="202" spans="1:23">
      <c r="A202" s="1">
        <v>1</v>
      </c>
      <c r="B202" s="1" t="s">
        <v>780</v>
      </c>
      <c r="C202" t="s">
        <v>782</v>
      </c>
      <c r="D202" s="1">
        <v>1</v>
      </c>
      <c r="E202" s="1" t="s">
        <v>486</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5" t="s">
        <v>512</v>
      </c>
      <c r="P202" s="5" t="s">
        <v>800</v>
      </c>
      <c r="Q202" s="5" t="s">
        <v>800</v>
      </c>
      <c r="R202" s="2">
        <v>57.4</v>
      </c>
      <c r="S202" s="2">
        <v>57.4</v>
      </c>
      <c r="T202" s="1">
        <v>1</v>
      </c>
      <c r="W202" s="4" t="s">
        <v>647</v>
      </c>
    </row>
    <row r="203" spans="1:23">
      <c r="A203" s="1">
        <v>1</v>
      </c>
      <c r="B203" s="1" t="s">
        <v>781</v>
      </c>
      <c r="C203" t="s">
        <v>784</v>
      </c>
      <c r="D203" s="1">
        <v>1</v>
      </c>
      <c r="E203" s="1" t="s">
        <v>486</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5" t="s">
        <v>512</v>
      </c>
      <c r="P203" s="5" t="s">
        <v>800</v>
      </c>
      <c r="Q203" s="5" t="s">
        <v>800</v>
      </c>
      <c r="R203" s="2">
        <v>57.4</v>
      </c>
      <c r="S203" s="2">
        <v>57.4</v>
      </c>
      <c r="T203" s="1" t="s">
        <v>21</v>
      </c>
      <c r="U203" s="1" t="s">
        <v>604</v>
      </c>
      <c r="W203" s="4" t="s">
        <v>647</v>
      </c>
    </row>
    <row r="204" spans="1:23">
      <c r="A204" s="1">
        <v>1</v>
      </c>
      <c r="B204"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5" t="s">
        <v>800</v>
      </c>
      <c r="Q204" s="5" t="s">
        <v>800</v>
      </c>
      <c r="R204" s="1" t="s">
        <v>21</v>
      </c>
      <c r="S204" s="1" t="s">
        <v>21</v>
      </c>
      <c r="T204" s="1" t="s">
        <v>21</v>
      </c>
      <c r="U204" s="1" t="s">
        <v>605</v>
      </c>
      <c r="V204" s="1"/>
      <c r="W204" s="6" t="s">
        <v>21</v>
      </c>
    </row>
    <row r="205" spans="1:23">
      <c r="A205" s="1">
        <v>1</v>
      </c>
      <c r="B205" s="1" t="s">
        <v>781</v>
      </c>
      <c r="C205" t="s">
        <v>784</v>
      </c>
      <c r="D205" s="1">
        <v>1</v>
      </c>
      <c r="E205" s="1" t="s">
        <v>503</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5" t="s">
        <v>512</v>
      </c>
      <c r="P205" s="5" t="s">
        <v>800</v>
      </c>
      <c r="Q205" s="5" t="s">
        <v>800</v>
      </c>
      <c r="R205" s="2">
        <v>57.4</v>
      </c>
      <c r="S205" s="2">
        <v>57.4</v>
      </c>
      <c r="T205" s="1">
        <v>0</v>
      </c>
      <c r="U205" s="1" t="s">
        <v>607</v>
      </c>
      <c r="W205" s="4" t="s">
        <v>647</v>
      </c>
    </row>
    <row r="206" spans="1:23">
      <c r="A206" s="1">
        <v>1</v>
      </c>
      <c r="B206" s="1" t="s">
        <v>780</v>
      </c>
      <c r="C206" t="s">
        <v>782</v>
      </c>
      <c r="D206" s="1">
        <v>1</v>
      </c>
      <c r="E206" s="1" t="s">
        <v>503</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5" t="s">
        <v>512</v>
      </c>
      <c r="P206" s="5" t="s">
        <v>800</v>
      </c>
      <c r="Q206" s="5" t="s">
        <v>800</v>
      </c>
      <c r="R206" s="2">
        <v>57.4</v>
      </c>
      <c r="S206" s="2">
        <v>57.4</v>
      </c>
      <c r="T206" s="1">
        <v>0</v>
      </c>
      <c r="W206" s="4" t="s">
        <v>647</v>
      </c>
    </row>
    <row r="207" spans="1:23">
      <c r="A207" s="1">
        <v>1</v>
      </c>
      <c r="B207" s="1" t="s">
        <v>781</v>
      </c>
      <c r="C207" t="s">
        <v>784</v>
      </c>
      <c r="D207" s="1">
        <v>1</v>
      </c>
      <c r="E207" s="1" t="s">
        <v>504</v>
      </c>
      <c r="F207" s="4">
        <v>45419</v>
      </c>
      <c r="G207" s="1" t="s">
        <v>21</v>
      </c>
      <c r="H207" s="6" t="s">
        <v>21</v>
      </c>
      <c r="I207" s="1" t="s">
        <v>21</v>
      </c>
      <c r="J207" s="1" t="s">
        <v>21</v>
      </c>
      <c r="K207" s="3">
        <v>0.22409722222222223</v>
      </c>
      <c r="L207" s="1" t="s">
        <v>7</v>
      </c>
      <c r="M207" s="1" t="s">
        <v>7</v>
      </c>
      <c r="N207" s="1">
        <v>2</v>
      </c>
      <c r="O207" s="5" t="s">
        <v>512</v>
      </c>
      <c r="P207" s="5" t="s">
        <v>800</v>
      </c>
      <c r="Q207" s="5" t="s">
        <v>800</v>
      </c>
      <c r="R207" s="2">
        <v>57.4</v>
      </c>
      <c r="S207" s="2">
        <v>57.4</v>
      </c>
      <c r="T207" s="1" t="s">
        <v>21</v>
      </c>
      <c r="U207" s="1" t="s">
        <v>608</v>
      </c>
      <c r="W207" s="4" t="s">
        <v>647</v>
      </c>
    </row>
    <row r="208" spans="1:23">
      <c r="A208" s="1">
        <v>1</v>
      </c>
      <c r="B208" s="1" t="s">
        <v>780</v>
      </c>
      <c r="C208" t="s">
        <v>782</v>
      </c>
      <c r="D208" s="1" t="s">
        <v>21</v>
      </c>
      <c r="E208" s="1" t="s">
        <v>504</v>
      </c>
      <c r="F208" s="4">
        <v>45419</v>
      </c>
      <c r="G208" s="1" t="s">
        <v>21</v>
      </c>
      <c r="H208" s="6" t="s">
        <v>21</v>
      </c>
      <c r="I208" s="1" t="s">
        <v>21</v>
      </c>
      <c r="J208" s="1" t="s">
        <v>21</v>
      </c>
      <c r="K208" s="3">
        <v>0.22409722222222223</v>
      </c>
      <c r="L208" s="1" t="s">
        <v>8</v>
      </c>
      <c r="M208" s="1" t="s">
        <v>8</v>
      </c>
      <c r="N208" s="1">
        <v>2</v>
      </c>
      <c r="O208" s="5" t="s">
        <v>512</v>
      </c>
      <c r="P208" s="5" t="s">
        <v>800</v>
      </c>
      <c r="Q208" s="5" t="s">
        <v>800</v>
      </c>
      <c r="R208" s="2">
        <v>57.4</v>
      </c>
      <c r="S208" s="2">
        <v>57.4</v>
      </c>
      <c r="T208" s="1" t="s">
        <v>21</v>
      </c>
      <c r="U208" s="1" t="s">
        <v>546</v>
      </c>
      <c r="W208" s="4" t="s">
        <v>647</v>
      </c>
    </row>
    <row r="209" spans="1:23">
      <c r="A209" s="1">
        <v>1</v>
      </c>
      <c r="B209" s="1" t="s">
        <v>781</v>
      </c>
      <c r="C209" t="s">
        <v>784</v>
      </c>
      <c r="D209" s="1">
        <v>1</v>
      </c>
      <c r="E209" s="1" t="s">
        <v>614</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5" t="s">
        <v>512</v>
      </c>
      <c r="P209" s="5" t="s">
        <v>800</v>
      </c>
      <c r="Q209" s="5" t="s">
        <v>800</v>
      </c>
      <c r="R209" s="2">
        <v>57.4</v>
      </c>
      <c r="S209" s="2">
        <v>57.4</v>
      </c>
      <c r="T209" s="1">
        <v>0</v>
      </c>
      <c r="U209" s="1" t="s">
        <v>615</v>
      </c>
      <c r="W209" s="4" t="s">
        <v>647</v>
      </c>
    </row>
    <row r="210" spans="1:23">
      <c r="A210" s="1">
        <v>1</v>
      </c>
      <c r="B210" s="1" t="s">
        <v>780</v>
      </c>
      <c r="C210" t="s">
        <v>782</v>
      </c>
      <c r="D210" s="1">
        <v>1</v>
      </c>
      <c r="E210" s="1" t="s">
        <v>614</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5" t="s">
        <v>512</v>
      </c>
      <c r="P210" s="5" t="s">
        <v>800</v>
      </c>
      <c r="Q210" s="5" t="s">
        <v>800</v>
      </c>
      <c r="R210" s="2">
        <v>57.4</v>
      </c>
      <c r="S210" s="2">
        <v>57.4</v>
      </c>
      <c r="T210" s="1">
        <v>1</v>
      </c>
      <c r="U210" s="1" t="s">
        <v>616</v>
      </c>
      <c r="W210" s="4" t="s">
        <v>647</v>
      </c>
    </row>
    <row r="211" spans="1:23">
      <c r="A211" s="1">
        <v>1</v>
      </c>
      <c r="B211" s="1" t="s">
        <v>780</v>
      </c>
      <c r="C211" t="s">
        <v>782</v>
      </c>
      <c r="D211" s="1">
        <v>1</v>
      </c>
      <c r="E211" s="1" t="s">
        <v>502</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5" t="s">
        <v>531</v>
      </c>
      <c r="P211" s="5" t="s">
        <v>800</v>
      </c>
      <c r="Q211" s="5" t="s">
        <v>800</v>
      </c>
      <c r="R211" s="2">
        <v>57.4</v>
      </c>
      <c r="S211" s="2">
        <v>57.4</v>
      </c>
      <c r="T211" s="1">
        <v>1</v>
      </c>
      <c r="W211" s="4" t="s">
        <v>645</v>
      </c>
    </row>
    <row r="212" spans="1:23">
      <c r="A212" s="1">
        <v>1</v>
      </c>
      <c r="B212" s="1" t="s">
        <v>781</v>
      </c>
      <c r="C212" t="s">
        <v>784</v>
      </c>
      <c r="D212" s="1">
        <v>1</v>
      </c>
      <c r="E212" s="1" t="s">
        <v>502</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5" t="s">
        <v>531</v>
      </c>
      <c r="P212" s="5" t="s">
        <v>800</v>
      </c>
      <c r="Q212" s="5" t="s">
        <v>800</v>
      </c>
      <c r="R212" s="2">
        <v>57.4</v>
      </c>
      <c r="S212" s="2">
        <v>57.4</v>
      </c>
      <c r="T212" s="1">
        <v>1</v>
      </c>
      <c r="W212" s="4" t="s">
        <v>645</v>
      </c>
    </row>
    <row r="213" spans="1:23">
      <c r="A213" s="1">
        <v>1</v>
      </c>
      <c r="B213" s="1" t="s">
        <v>780</v>
      </c>
      <c r="C213" t="s">
        <v>782</v>
      </c>
      <c r="D213" s="1">
        <v>1</v>
      </c>
      <c r="E213" s="1" t="s">
        <v>522</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5" t="s">
        <v>800</v>
      </c>
      <c r="Q213" s="5" t="s">
        <v>800</v>
      </c>
      <c r="R213" s="2">
        <v>57.4</v>
      </c>
      <c r="S213" s="2">
        <v>19.2</v>
      </c>
      <c r="T213" s="1">
        <v>1</v>
      </c>
      <c r="U213" s="1" t="s">
        <v>686</v>
      </c>
      <c r="V213" s="2" t="s">
        <v>687</v>
      </c>
      <c r="W213" s="4" t="s">
        <v>647</v>
      </c>
    </row>
    <row r="214" spans="1:23">
      <c r="A214" s="1">
        <v>1</v>
      </c>
      <c r="B214" s="1" t="s">
        <v>780</v>
      </c>
      <c r="C214" t="s">
        <v>782</v>
      </c>
      <c r="D214" s="1">
        <v>1</v>
      </c>
      <c r="E214" s="1" t="s">
        <v>505</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5" t="s">
        <v>512</v>
      </c>
      <c r="P214" s="5" t="s">
        <v>800</v>
      </c>
      <c r="Q214" s="5" t="s">
        <v>800</v>
      </c>
      <c r="R214" s="2">
        <v>19.2</v>
      </c>
      <c r="S214" s="2">
        <v>19.2</v>
      </c>
      <c r="T214" s="1">
        <v>1</v>
      </c>
      <c r="U214" s="1" t="s">
        <v>681</v>
      </c>
      <c r="W214" s="4" t="s">
        <v>647</v>
      </c>
    </row>
    <row r="215" spans="1:23">
      <c r="A215" s="1">
        <v>1</v>
      </c>
      <c r="B215" s="1" t="s">
        <v>781</v>
      </c>
      <c r="C215" t="s">
        <v>784</v>
      </c>
      <c r="D215" s="1">
        <v>1</v>
      </c>
      <c r="E215" s="1" t="s">
        <v>505</v>
      </c>
      <c r="F215" s="4">
        <v>45421</v>
      </c>
      <c r="G215" s="1" t="s">
        <v>21</v>
      </c>
      <c r="H215" s="6">
        <f t="shared" si="19"/>
        <v>0.25059027777777776</v>
      </c>
      <c r="I215" s="1" t="s">
        <v>21</v>
      </c>
      <c r="J215" s="6">
        <v>2.6018518518518517E-2</v>
      </c>
      <c r="K215" s="3">
        <v>0.22457175925925926</v>
      </c>
      <c r="L215" s="1" t="s">
        <v>8</v>
      </c>
      <c r="M215" s="1" t="s">
        <v>8</v>
      </c>
      <c r="N215" s="1">
        <v>2</v>
      </c>
      <c r="O215" s="5" t="s">
        <v>512</v>
      </c>
      <c r="P215" s="5" t="s">
        <v>800</v>
      </c>
      <c r="Q215" s="5" t="s">
        <v>800</v>
      </c>
      <c r="R215" s="2">
        <v>19.2</v>
      </c>
      <c r="S215" s="2">
        <v>19.2</v>
      </c>
      <c r="T215" s="1">
        <v>0</v>
      </c>
      <c r="U215" s="1" t="s">
        <v>618</v>
      </c>
      <c r="W215" s="4" t="s">
        <v>647</v>
      </c>
    </row>
    <row r="216" spans="1:23">
      <c r="A216" s="1">
        <v>1</v>
      </c>
      <c r="B216" s="1" t="s">
        <v>781</v>
      </c>
      <c r="C216" t="s">
        <v>784</v>
      </c>
      <c r="D216" s="1">
        <v>1</v>
      </c>
      <c r="E216" s="1" t="s">
        <v>620</v>
      </c>
      <c r="F216" s="4">
        <v>45421</v>
      </c>
      <c r="G216" s="3" t="s">
        <v>21</v>
      </c>
      <c r="H216" s="6">
        <f t="shared" si="19"/>
        <v>0.77841435185185182</v>
      </c>
      <c r="I216" s="1" t="s">
        <v>21</v>
      </c>
      <c r="J216" s="6">
        <v>4.8958333333333336E-3</v>
      </c>
      <c r="K216" s="3">
        <v>0.77351851851851849</v>
      </c>
      <c r="L216" s="1" t="s">
        <v>8</v>
      </c>
      <c r="M216" s="1" t="s">
        <v>8</v>
      </c>
      <c r="N216" s="1">
        <v>2</v>
      </c>
      <c r="O216" s="5" t="s">
        <v>512</v>
      </c>
      <c r="P216" s="5" t="s">
        <v>800</v>
      </c>
      <c r="Q216" s="5" t="s">
        <v>800</v>
      </c>
      <c r="R216" s="2">
        <v>19.2</v>
      </c>
      <c r="S216" s="2">
        <v>19.2</v>
      </c>
      <c r="T216" s="1">
        <v>0</v>
      </c>
      <c r="U216" s="1" t="s">
        <v>484</v>
      </c>
      <c r="W216" s="4" t="s">
        <v>647</v>
      </c>
    </row>
    <row r="217" spans="1:23">
      <c r="A217" s="1">
        <v>1</v>
      </c>
      <c r="B217" s="1" t="s">
        <v>781</v>
      </c>
      <c r="C217" t="s">
        <v>784</v>
      </c>
      <c r="D217" s="1">
        <v>2</v>
      </c>
      <c r="E217" s="1" t="s">
        <v>620</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5" t="s">
        <v>512</v>
      </c>
      <c r="P217" s="5" t="s">
        <v>800</v>
      </c>
      <c r="Q217" s="5" t="s">
        <v>800</v>
      </c>
      <c r="R217" s="2">
        <v>19.2</v>
      </c>
      <c r="S217" s="2">
        <v>19.2</v>
      </c>
      <c r="T217" s="1">
        <v>0</v>
      </c>
      <c r="W217" s="4" t="s">
        <v>647</v>
      </c>
    </row>
    <row r="218" spans="1:23">
      <c r="A218" s="1">
        <v>1</v>
      </c>
      <c r="B218" s="1" t="s">
        <v>780</v>
      </c>
      <c r="C218" t="s">
        <v>782</v>
      </c>
      <c r="D218" s="1">
        <v>1</v>
      </c>
      <c r="E218" s="1" t="s">
        <v>620</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5" t="s">
        <v>512</v>
      </c>
      <c r="P218" s="5" t="s">
        <v>800</v>
      </c>
      <c r="Q218" s="5" t="s">
        <v>800</v>
      </c>
      <c r="R218" s="2">
        <v>19.2</v>
      </c>
      <c r="S218" s="2">
        <v>19.2</v>
      </c>
      <c r="T218" s="1">
        <v>1</v>
      </c>
      <c r="W218" s="4" t="s">
        <v>647</v>
      </c>
    </row>
    <row r="219" spans="1:23">
      <c r="A219" s="1">
        <v>1</v>
      </c>
      <c r="B219" s="1" t="s">
        <v>781</v>
      </c>
      <c r="C219" t="s">
        <v>784</v>
      </c>
      <c r="D219" s="1">
        <v>1</v>
      </c>
      <c r="E219" s="1" t="s">
        <v>622</v>
      </c>
      <c r="F219" s="4">
        <v>45422</v>
      </c>
      <c r="G219" s="1" t="s">
        <v>21</v>
      </c>
      <c r="H219" s="6">
        <f t="shared" si="19"/>
        <v>0.24454861111111112</v>
      </c>
      <c r="I219" s="1" t="s">
        <v>21</v>
      </c>
      <c r="J219" s="6">
        <v>2.361111111111111E-2</v>
      </c>
      <c r="K219" s="6">
        <v>0.22093750000000001</v>
      </c>
      <c r="L219" s="1" t="s">
        <v>8</v>
      </c>
      <c r="M219" s="1" t="s">
        <v>7</v>
      </c>
      <c r="N219" s="1">
        <v>2</v>
      </c>
      <c r="O219" s="5" t="s">
        <v>512</v>
      </c>
      <c r="P219" s="5" t="s">
        <v>800</v>
      </c>
      <c r="Q219" s="5" t="s">
        <v>800</v>
      </c>
      <c r="R219" s="2">
        <v>57.4</v>
      </c>
      <c r="S219" s="2">
        <v>57.4</v>
      </c>
      <c r="T219" s="1">
        <v>1</v>
      </c>
      <c r="U219" s="1" t="s">
        <v>484</v>
      </c>
      <c r="W219" s="4" t="s">
        <v>647</v>
      </c>
    </row>
    <row r="220" spans="1:23">
      <c r="A220" s="1">
        <v>1</v>
      </c>
      <c r="B220" s="1" t="s">
        <v>780</v>
      </c>
      <c r="C220" t="s">
        <v>782</v>
      </c>
      <c r="D220" s="1">
        <v>1</v>
      </c>
      <c r="E220" s="1" t="s">
        <v>620</v>
      </c>
      <c r="F220" s="4">
        <v>45422</v>
      </c>
      <c r="G220" s="1" t="s">
        <v>21</v>
      </c>
      <c r="H220" s="6" t="s">
        <v>21</v>
      </c>
      <c r="I220" s="1" t="s">
        <v>21</v>
      </c>
      <c r="J220" s="1" t="s">
        <v>21</v>
      </c>
      <c r="K220" s="6">
        <v>0.22093750000000001</v>
      </c>
      <c r="L220" s="1" t="s">
        <v>7</v>
      </c>
      <c r="M220" s="1" t="s">
        <v>8</v>
      </c>
      <c r="N220" s="1">
        <v>2</v>
      </c>
      <c r="O220" s="5" t="s">
        <v>512</v>
      </c>
      <c r="P220" s="5" t="s">
        <v>800</v>
      </c>
      <c r="Q220" s="5" t="s">
        <v>800</v>
      </c>
      <c r="R220" s="2">
        <v>57.4</v>
      </c>
      <c r="S220" s="2">
        <v>57.4</v>
      </c>
      <c r="T220" s="1" t="s">
        <v>21</v>
      </c>
      <c r="W220" s="4" t="s">
        <v>647</v>
      </c>
    </row>
    <row r="221" spans="1:23">
      <c r="A221" s="1">
        <v>1</v>
      </c>
      <c r="B221" s="1" t="s">
        <v>781</v>
      </c>
      <c r="C221" t="s">
        <v>784</v>
      </c>
      <c r="D221" s="1">
        <v>1</v>
      </c>
      <c r="E221" s="1" t="s">
        <v>626</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5" t="s">
        <v>512</v>
      </c>
      <c r="P221" s="5" t="s">
        <v>800</v>
      </c>
      <c r="Q221" s="5" t="s">
        <v>800</v>
      </c>
      <c r="R221" s="2">
        <v>57.4</v>
      </c>
      <c r="S221" s="2">
        <v>57.4</v>
      </c>
      <c r="T221" s="1">
        <v>0</v>
      </c>
      <c r="W221" s="4" t="s">
        <v>647</v>
      </c>
    </row>
    <row r="222" spans="1:23">
      <c r="A222" s="1">
        <v>1</v>
      </c>
      <c r="B222" s="1" t="s">
        <v>780</v>
      </c>
      <c r="C222" t="s">
        <v>782</v>
      </c>
      <c r="D222" s="1">
        <v>1</v>
      </c>
      <c r="E222" s="1" t="s">
        <v>626</v>
      </c>
      <c r="F222" s="4">
        <v>45422</v>
      </c>
      <c r="G222" s="3">
        <f>I222+K222</f>
        <v>0.78182870370370361</v>
      </c>
      <c r="H222" s="6" t="s">
        <v>21</v>
      </c>
      <c r="I222" s="3">
        <v>2.4363425925925927E-2</v>
      </c>
      <c r="K222" s="3">
        <v>0.75746527777777772</v>
      </c>
      <c r="L222" s="1" t="s">
        <v>7</v>
      </c>
      <c r="M222" s="1" t="s">
        <v>7</v>
      </c>
      <c r="N222" s="1">
        <v>2</v>
      </c>
      <c r="O222" s="5" t="s">
        <v>512</v>
      </c>
      <c r="P222" s="5" t="s">
        <v>800</v>
      </c>
      <c r="Q222" s="5" t="s">
        <v>800</v>
      </c>
      <c r="R222" s="2">
        <v>57.4</v>
      </c>
      <c r="S222" s="2">
        <v>57.4</v>
      </c>
      <c r="T222" s="1" t="s">
        <v>21</v>
      </c>
      <c r="U222" s="1" t="s">
        <v>191</v>
      </c>
      <c r="W222" s="4" t="s">
        <v>647</v>
      </c>
    </row>
    <row r="223" spans="1:23">
      <c r="A223" s="1">
        <v>1</v>
      </c>
      <c r="B223" s="1" t="s">
        <v>781</v>
      </c>
      <c r="C223" t="s">
        <v>784</v>
      </c>
      <c r="D223" s="1">
        <v>1</v>
      </c>
      <c r="E223" s="1" t="s">
        <v>627</v>
      </c>
      <c r="F223" s="4">
        <v>45423</v>
      </c>
      <c r="G223" s="1" t="s">
        <v>21</v>
      </c>
      <c r="H223" s="6">
        <f>J223+K223</f>
        <v>0.23833333333333334</v>
      </c>
      <c r="I223" s="1" t="s">
        <v>21</v>
      </c>
      <c r="J223" s="6">
        <v>1.7256944444444443E-2</v>
      </c>
      <c r="K223" s="3">
        <v>0.22107638888888889</v>
      </c>
      <c r="L223" s="1" t="s">
        <v>8</v>
      </c>
      <c r="M223" s="1" t="s">
        <v>7</v>
      </c>
      <c r="N223" s="1">
        <v>2</v>
      </c>
      <c r="O223" s="5" t="s">
        <v>512</v>
      </c>
      <c r="P223" s="5" t="s">
        <v>800</v>
      </c>
      <c r="Q223" s="5" t="s">
        <v>800</v>
      </c>
      <c r="R223" s="2">
        <v>57.4</v>
      </c>
      <c r="S223" s="2">
        <v>19.2</v>
      </c>
      <c r="T223" s="1">
        <v>1</v>
      </c>
      <c r="U223" s="1" t="s">
        <v>484</v>
      </c>
      <c r="W223" s="4" t="s">
        <v>647</v>
      </c>
    </row>
    <row r="224" spans="1:23">
      <c r="A224" s="1">
        <v>1</v>
      </c>
      <c r="B224" s="1" t="s">
        <v>781</v>
      </c>
      <c r="C224" t="s">
        <v>784</v>
      </c>
      <c r="D224" s="1">
        <v>2</v>
      </c>
      <c r="E224" s="1" t="s">
        <v>627</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5" t="s">
        <v>512</v>
      </c>
      <c r="P224" s="5" t="s">
        <v>800</v>
      </c>
      <c r="Q224" s="5" t="s">
        <v>800</v>
      </c>
      <c r="R224" s="2">
        <v>19.2</v>
      </c>
      <c r="S224" s="2">
        <v>19.2</v>
      </c>
      <c r="T224" s="1">
        <v>1</v>
      </c>
      <c r="W224" s="4" t="s">
        <v>647</v>
      </c>
    </row>
    <row r="225" spans="1:23">
      <c r="A225" s="1">
        <v>1</v>
      </c>
      <c r="B225" s="1" t="s">
        <v>780</v>
      </c>
      <c r="C225" t="s">
        <v>782</v>
      </c>
      <c r="D225" s="1">
        <v>1</v>
      </c>
      <c r="E225" s="1" t="s">
        <v>627</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5" t="s">
        <v>512</v>
      </c>
      <c r="P225" s="5" t="s">
        <v>800</v>
      </c>
      <c r="Q225" s="5" t="s">
        <v>800</v>
      </c>
      <c r="R225" s="2">
        <v>19.2</v>
      </c>
      <c r="S225" s="2">
        <v>19.2</v>
      </c>
      <c r="T225" s="1">
        <v>0</v>
      </c>
      <c r="U225" s="1" t="s">
        <v>628</v>
      </c>
      <c r="W225" s="4" t="s">
        <v>647</v>
      </c>
    </row>
    <row r="226" spans="1:23">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3" t="s">
        <v>21</v>
      </c>
      <c r="P226" s="5" t="s">
        <v>800</v>
      </c>
      <c r="Q226" s="5" t="s">
        <v>800</v>
      </c>
      <c r="R226" s="3" t="s">
        <v>21</v>
      </c>
      <c r="S226" s="3" t="s">
        <v>21</v>
      </c>
      <c r="T226" s="3" t="s">
        <v>21</v>
      </c>
      <c r="U226" s="1" t="s">
        <v>629</v>
      </c>
      <c r="V226" s="3"/>
      <c r="W226" s="4" t="s">
        <v>647</v>
      </c>
    </row>
    <row r="227" spans="1:23">
      <c r="A227" s="1">
        <v>1</v>
      </c>
      <c r="B227" s="1" t="s">
        <v>781</v>
      </c>
      <c r="C227" t="s">
        <v>784</v>
      </c>
      <c r="D227" s="1">
        <v>1</v>
      </c>
      <c r="E227" s="1" t="s">
        <v>680</v>
      </c>
      <c r="F227" s="4">
        <v>45424</v>
      </c>
      <c r="G227" s="3" t="s">
        <v>21</v>
      </c>
      <c r="H227" s="6" t="s">
        <v>21</v>
      </c>
      <c r="I227" s="3" t="s">
        <v>21</v>
      </c>
      <c r="J227" s="3" t="s">
        <v>21</v>
      </c>
      <c r="K227" s="3">
        <v>0.21905092592592593</v>
      </c>
      <c r="L227" s="1" t="s">
        <v>7</v>
      </c>
      <c r="M227" s="1" t="s">
        <v>7</v>
      </c>
      <c r="N227" s="1">
        <v>2</v>
      </c>
      <c r="O227" s="5" t="s">
        <v>512</v>
      </c>
      <c r="P227" s="5" t="s">
        <v>800</v>
      </c>
      <c r="Q227" s="5" t="s">
        <v>800</v>
      </c>
      <c r="R227" s="2">
        <v>57.4</v>
      </c>
      <c r="S227" s="2">
        <v>57.4</v>
      </c>
      <c r="T227" s="1" t="s">
        <v>21</v>
      </c>
      <c r="U227" s="1" t="s">
        <v>636</v>
      </c>
      <c r="W227" s="4" t="s">
        <v>647</v>
      </c>
    </row>
    <row r="228" spans="1:23">
      <c r="A228" s="1">
        <v>1</v>
      </c>
      <c r="B228" s="1" t="s">
        <v>780</v>
      </c>
      <c r="C228" t="s">
        <v>782</v>
      </c>
      <c r="D228" s="1">
        <v>1</v>
      </c>
      <c r="E228" s="1" t="s">
        <v>680</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5" t="s">
        <v>512</v>
      </c>
      <c r="P228" s="5" t="s">
        <v>800</v>
      </c>
      <c r="Q228" s="5" t="s">
        <v>800</v>
      </c>
      <c r="R228" s="2">
        <v>57.4</v>
      </c>
      <c r="S228" s="2">
        <v>57.4</v>
      </c>
      <c r="T228" s="1">
        <v>1</v>
      </c>
      <c r="W228" s="4" t="s">
        <v>647</v>
      </c>
    </row>
    <row r="229" spans="1:23">
      <c r="A229" s="1">
        <v>1</v>
      </c>
      <c r="B229" s="1" t="s">
        <v>781</v>
      </c>
      <c r="C229" t="s">
        <v>784</v>
      </c>
      <c r="D229" s="1">
        <v>1</v>
      </c>
      <c r="E229" s="1" t="s">
        <v>637</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5" t="s">
        <v>512</v>
      </c>
      <c r="P229" s="5" t="s">
        <v>800</v>
      </c>
      <c r="Q229" s="5" t="s">
        <v>800</v>
      </c>
      <c r="R229" s="2">
        <v>57.4</v>
      </c>
      <c r="S229" s="2">
        <v>57.4</v>
      </c>
      <c r="T229" s="1" t="s">
        <v>21</v>
      </c>
      <c r="U229" s="1" t="s">
        <v>639</v>
      </c>
      <c r="W229" s="4" t="s">
        <v>647</v>
      </c>
    </row>
    <row r="230" spans="1:23">
      <c r="A230" s="1">
        <v>1</v>
      </c>
      <c r="B230" s="1" t="s">
        <v>780</v>
      </c>
      <c r="C230" t="s">
        <v>782</v>
      </c>
      <c r="D230" s="1">
        <v>1</v>
      </c>
      <c r="E230" s="1" t="s">
        <v>637</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5" t="s">
        <v>512</v>
      </c>
      <c r="P230" s="5" t="s">
        <v>800</v>
      </c>
      <c r="Q230" s="5" t="s">
        <v>800</v>
      </c>
      <c r="R230" s="2">
        <v>57.4</v>
      </c>
      <c r="S230" s="2">
        <v>19.2</v>
      </c>
      <c r="T230" s="1">
        <v>0</v>
      </c>
      <c r="U230" s="1" t="s">
        <v>638</v>
      </c>
      <c r="W230" s="4" t="s">
        <v>647</v>
      </c>
    </row>
    <row r="231" spans="1:23">
      <c r="A231" s="1">
        <v>1</v>
      </c>
      <c r="B231" s="1" t="s">
        <v>781</v>
      </c>
      <c r="C231" t="s">
        <v>784</v>
      </c>
      <c r="D231" s="1">
        <v>1</v>
      </c>
      <c r="E231" s="1" t="s">
        <v>641</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5" t="s">
        <v>512</v>
      </c>
      <c r="P231" s="5" t="s">
        <v>800</v>
      </c>
      <c r="Q231" s="5" t="s">
        <v>800</v>
      </c>
      <c r="R231" s="2">
        <v>57.4</v>
      </c>
      <c r="S231" s="2">
        <v>57.4</v>
      </c>
      <c r="T231" s="1">
        <v>1</v>
      </c>
      <c r="W231" s="4" t="s">
        <v>647</v>
      </c>
    </row>
    <row r="232" spans="1:23">
      <c r="A232" s="1">
        <v>1</v>
      </c>
      <c r="B232" s="1" t="s">
        <v>780</v>
      </c>
      <c r="C232" t="s">
        <v>782</v>
      </c>
      <c r="D232" s="1">
        <v>1</v>
      </c>
      <c r="E232" s="1" t="s">
        <v>641</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5" t="s">
        <v>512</v>
      </c>
      <c r="P232" s="5" t="s">
        <v>800</v>
      </c>
      <c r="Q232" s="5" t="s">
        <v>800</v>
      </c>
      <c r="R232" s="2">
        <v>57.4</v>
      </c>
      <c r="S232" s="2">
        <v>57.4</v>
      </c>
      <c r="T232" s="1">
        <v>1</v>
      </c>
      <c r="W232" s="4" t="s">
        <v>647</v>
      </c>
    </row>
    <row r="233" spans="1:23">
      <c r="A233" s="1">
        <v>1</v>
      </c>
      <c r="B233" s="1" t="s">
        <v>781</v>
      </c>
      <c r="C233" t="s">
        <v>784</v>
      </c>
      <c r="D233" s="1">
        <v>1</v>
      </c>
      <c r="E233" s="1" t="s">
        <v>648</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5" t="s">
        <v>512</v>
      </c>
      <c r="P233" s="5" t="s">
        <v>800</v>
      </c>
      <c r="Q233" s="5" t="s">
        <v>800</v>
      </c>
      <c r="R233" s="2">
        <v>57.4</v>
      </c>
      <c r="S233" s="2">
        <v>19.2</v>
      </c>
      <c r="T233" s="1">
        <v>0</v>
      </c>
      <c r="U233" s="1" t="s">
        <v>649</v>
      </c>
      <c r="W233" s="4" t="s">
        <v>647</v>
      </c>
    </row>
    <row r="234" spans="1:23">
      <c r="A234" s="1">
        <v>1</v>
      </c>
      <c r="B234" s="1" t="s">
        <v>780</v>
      </c>
      <c r="C234" t="s">
        <v>782</v>
      </c>
      <c r="D234" s="1">
        <v>1</v>
      </c>
      <c r="E234" s="1" t="s">
        <v>648</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5" t="s">
        <v>512</v>
      </c>
      <c r="P234" s="5" t="s">
        <v>800</v>
      </c>
      <c r="Q234" s="5" t="s">
        <v>800</v>
      </c>
      <c r="R234" s="2">
        <v>57.4</v>
      </c>
      <c r="S234" s="2">
        <v>19.2</v>
      </c>
      <c r="T234" s="1">
        <v>1</v>
      </c>
      <c r="W234" s="23" t="s">
        <v>647</v>
      </c>
    </row>
    <row r="235" spans="1:23">
      <c r="A235" s="1">
        <v>1</v>
      </c>
      <c r="B235" s="1" t="s">
        <v>781</v>
      </c>
      <c r="C235" t="s">
        <v>784</v>
      </c>
      <c r="D235" s="1">
        <v>1</v>
      </c>
      <c r="E235" s="1" t="s">
        <v>651</v>
      </c>
      <c r="F235" s="4">
        <v>45426</v>
      </c>
      <c r="G235" s="1" t="s">
        <v>21</v>
      </c>
      <c r="H235" s="6">
        <f t="shared" si="21"/>
        <v>0.24738425925925928</v>
      </c>
      <c r="I235" s="1" t="s">
        <v>21</v>
      </c>
      <c r="J235" s="6">
        <v>2.6226851851851852E-2</v>
      </c>
      <c r="K235" s="3">
        <v>0.22115740740740741</v>
      </c>
      <c r="L235" s="1" t="s">
        <v>7</v>
      </c>
      <c r="M235" s="1" t="s">
        <v>7</v>
      </c>
      <c r="N235" s="1">
        <v>2</v>
      </c>
      <c r="O235" s="5" t="s">
        <v>512</v>
      </c>
      <c r="P235" s="5" t="s">
        <v>800</v>
      </c>
      <c r="Q235" s="5" t="s">
        <v>800</v>
      </c>
      <c r="R235" s="2">
        <v>57.4</v>
      </c>
      <c r="S235" s="2">
        <v>57.4</v>
      </c>
      <c r="T235" s="1">
        <v>1</v>
      </c>
      <c r="U235" s="1" t="s">
        <v>652</v>
      </c>
      <c r="W235" s="23" t="s">
        <v>647</v>
      </c>
    </row>
    <row r="236" spans="1:23">
      <c r="A236" s="1">
        <v>1</v>
      </c>
      <c r="B236" s="1" t="s">
        <v>781</v>
      </c>
      <c r="C236" t="s">
        <v>784</v>
      </c>
      <c r="D236" s="1">
        <v>2</v>
      </c>
      <c r="E236" s="1" t="s">
        <v>651</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5" t="s">
        <v>512</v>
      </c>
      <c r="P236" s="5" t="s">
        <v>800</v>
      </c>
      <c r="Q236" s="5" t="s">
        <v>800</v>
      </c>
      <c r="R236" s="2">
        <v>57.4</v>
      </c>
      <c r="S236" s="2">
        <v>57.4</v>
      </c>
      <c r="T236" s="1">
        <v>1</v>
      </c>
      <c r="W236" s="23" t="s">
        <v>647</v>
      </c>
    </row>
    <row r="237" spans="1:23">
      <c r="A237" s="1">
        <v>1</v>
      </c>
      <c r="B237" s="1" t="s">
        <v>780</v>
      </c>
      <c r="C237" t="s">
        <v>782</v>
      </c>
      <c r="D237" s="1">
        <v>1</v>
      </c>
      <c r="E237" s="1" t="s">
        <v>651</v>
      </c>
      <c r="F237" s="4">
        <v>45426</v>
      </c>
      <c r="G237" s="1" t="s">
        <v>21</v>
      </c>
      <c r="H237" s="6">
        <f t="shared" si="21"/>
        <v>0.24432870370370371</v>
      </c>
      <c r="I237" s="1" t="s">
        <v>21</v>
      </c>
      <c r="J237" s="3">
        <v>2.3171296296296297E-2</v>
      </c>
      <c r="K237" s="3">
        <v>0.22115740740740741</v>
      </c>
      <c r="L237" s="1" t="s">
        <v>7</v>
      </c>
      <c r="M237" s="1" t="s">
        <v>8</v>
      </c>
      <c r="N237" s="1">
        <v>2</v>
      </c>
      <c r="O237" s="5" t="s">
        <v>512</v>
      </c>
      <c r="P237" s="5" t="s">
        <v>800</v>
      </c>
      <c r="Q237" s="5" t="s">
        <v>800</v>
      </c>
      <c r="R237" s="2">
        <v>57.4</v>
      </c>
      <c r="S237" s="2">
        <v>57.4</v>
      </c>
      <c r="T237" s="1">
        <v>1</v>
      </c>
      <c r="U237" s="1" t="s">
        <v>484</v>
      </c>
      <c r="W237" s="23" t="s">
        <v>647</v>
      </c>
    </row>
    <row r="238" spans="1:23">
      <c r="A238" s="1">
        <v>1</v>
      </c>
      <c r="B238" s="1" t="s">
        <v>780</v>
      </c>
      <c r="C238" t="s">
        <v>782</v>
      </c>
      <c r="D238" s="1">
        <v>2</v>
      </c>
      <c r="E238" s="1" t="s">
        <v>651</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5" t="s">
        <v>512</v>
      </c>
      <c r="P238" s="5" t="s">
        <v>800</v>
      </c>
      <c r="Q238" s="5" t="s">
        <v>800</v>
      </c>
      <c r="R238" s="2">
        <v>57.4</v>
      </c>
      <c r="S238" s="2">
        <v>57.4</v>
      </c>
      <c r="T238" s="1">
        <v>1</v>
      </c>
      <c r="W238" s="23" t="s">
        <v>647</v>
      </c>
    </row>
    <row r="239" spans="1:23">
      <c r="A239" s="1">
        <v>1</v>
      </c>
      <c r="B239" s="1" t="s">
        <v>781</v>
      </c>
      <c r="C239" t="s">
        <v>784</v>
      </c>
      <c r="D239" s="1">
        <v>1</v>
      </c>
      <c r="E239" s="1" t="s">
        <v>655</v>
      </c>
      <c r="F239" s="4">
        <v>45426</v>
      </c>
      <c r="G239" s="1" t="s">
        <v>21</v>
      </c>
      <c r="H239" s="6" t="s">
        <v>21</v>
      </c>
      <c r="I239" s="1" t="s">
        <v>21</v>
      </c>
      <c r="J239" s="6" t="s">
        <v>21</v>
      </c>
      <c r="K239" s="3">
        <v>0.76687499999999997</v>
      </c>
      <c r="L239" s="1" t="s">
        <v>7</v>
      </c>
      <c r="M239" s="1" t="s">
        <v>7</v>
      </c>
      <c r="N239" s="1">
        <v>2</v>
      </c>
      <c r="O239" s="5" t="s">
        <v>512</v>
      </c>
      <c r="P239" s="5" t="s">
        <v>800</v>
      </c>
      <c r="Q239" s="5" t="s">
        <v>800</v>
      </c>
      <c r="R239" s="2">
        <v>57.4</v>
      </c>
      <c r="S239" s="2">
        <v>57.4</v>
      </c>
      <c r="T239" s="1" t="s">
        <v>21</v>
      </c>
      <c r="U239" s="1" t="s">
        <v>658</v>
      </c>
      <c r="W239" s="23" t="s">
        <v>647</v>
      </c>
    </row>
    <row r="240" spans="1:23">
      <c r="A240" s="1">
        <v>1</v>
      </c>
      <c r="B240" s="1" t="s">
        <v>780</v>
      </c>
      <c r="C240" t="s">
        <v>782</v>
      </c>
      <c r="D240" s="1">
        <v>1</v>
      </c>
      <c r="E240" s="1" t="s">
        <v>655</v>
      </c>
      <c r="F240" s="4">
        <v>45426</v>
      </c>
      <c r="G240" s="1" t="s">
        <v>21</v>
      </c>
      <c r="H240" s="6" t="s">
        <v>21</v>
      </c>
      <c r="I240" s="3">
        <v>1.6435185185185185E-3</v>
      </c>
      <c r="J240" s="6" t="s">
        <v>21</v>
      </c>
      <c r="K240" s="3">
        <v>0.76687499999999997</v>
      </c>
      <c r="L240" s="1" t="s">
        <v>8</v>
      </c>
      <c r="M240" s="1" t="s">
        <v>8</v>
      </c>
      <c r="N240" s="1">
        <v>2</v>
      </c>
      <c r="O240" s="5" t="s">
        <v>512</v>
      </c>
      <c r="P240" s="5" t="s">
        <v>800</v>
      </c>
      <c r="Q240" s="5" t="s">
        <v>800</v>
      </c>
      <c r="R240" s="2">
        <v>57.4</v>
      </c>
      <c r="S240" s="2">
        <v>57.4</v>
      </c>
      <c r="T240" s="1" t="s">
        <v>21</v>
      </c>
      <c r="U240" s="1" t="s">
        <v>656</v>
      </c>
      <c r="W240" s="23" t="s">
        <v>647</v>
      </c>
    </row>
    <row r="241" spans="1:23">
      <c r="A241" s="1">
        <v>1</v>
      </c>
      <c r="B241" s="1" t="s">
        <v>781</v>
      </c>
      <c r="C241" t="s">
        <v>784</v>
      </c>
      <c r="D241" s="1">
        <v>1</v>
      </c>
      <c r="E241" s="1" t="s">
        <v>659</v>
      </c>
      <c r="F241" s="4">
        <v>45427</v>
      </c>
      <c r="G241" s="1" t="s">
        <v>21</v>
      </c>
      <c r="H241" s="6" t="s">
        <v>21</v>
      </c>
      <c r="I241" s="1" t="s">
        <v>21</v>
      </c>
      <c r="J241" s="6" t="s">
        <v>21</v>
      </c>
      <c r="K241" s="3">
        <v>0.21579861111111112</v>
      </c>
      <c r="L241" s="1" t="s">
        <v>7</v>
      </c>
      <c r="M241" s="1" t="s">
        <v>8</v>
      </c>
      <c r="N241" s="1">
        <v>2</v>
      </c>
      <c r="O241" s="5" t="s">
        <v>512</v>
      </c>
      <c r="P241" s="5" t="s">
        <v>800</v>
      </c>
      <c r="Q241" s="5" t="s">
        <v>800</v>
      </c>
      <c r="R241" s="2">
        <v>57.4</v>
      </c>
      <c r="S241" s="2">
        <v>28.8</v>
      </c>
      <c r="T241" s="1" t="s">
        <v>21</v>
      </c>
      <c r="U241" s="1" t="s">
        <v>572</v>
      </c>
      <c r="W241" s="23" t="s">
        <v>647</v>
      </c>
    </row>
    <row r="242" spans="1:23">
      <c r="A242" s="1">
        <v>1</v>
      </c>
      <c r="B242" s="1" t="s">
        <v>780</v>
      </c>
      <c r="C242" t="s">
        <v>782</v>
      </c>
      <c r="D242" s="1">
        <v>1</v>
      </c>
      <c r="E242" s="1" t="s">
        <v>659</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5" t="s">
        <v>512</v>
      </c>
      <c r="P242" s="5" t="s">
        <v>800</v>
      </c>
      <c r="Q242" s="5" t="s">
        <v>800</v>
      </c>
      <c r="R242" s="2">
        <v>57.4</v>
      </c>
      <c r="S242" s="2">
        <v>28.8</v>
      </c>
      <c r="T242" s="1">
        <v>1</v>
      </c>
      <c r="W242" s="23" t="s">
        <v>647</v>
      </c>
    </row>
    <row r="243" spans="1:23">
      <c r="A243" s="1">
        <v>1</v>
      </c>
      <c r="B243" s="1" t="s">
        <v>780</v>
      </c>
      <c r="C243" t="s">
        <v>782</v>
      </c>
      <c r="D243" s="1">
        <v>2</v>
      </c>
      <c r="E243" s="1" t="s">
        <v>659</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5" t="s">
        <v>512</v>
      </c>
      <c r="P243" s="5" t="s">
        <v>800</v>
      </c>
      <c r="Q243" s="5" t="s">
        <v>800</v>
      </c>
      <c r="R243" s="2">
        <v>28.8</v>
      </c>
      <c r="S243" s="2">
        <v>28.8</v>
      </c>
      <c r="T243" s="1">
        <v>1</v>
      </c>
      <c r="W243" s="23" t="s">
        <v>647</v>
      </c>
    </row>
    <row r="244" spans="1:23">
      <c r="A244" s="1">
        <v>1</v>
      </c>
      <c r="B244" s="1" t="s">
        <v>780</v>
      </c>
      <c r="C244" t="s">
        <v>782</v>
      </c>
      <c r="D244" s="1">
        <v>1</v>
      </c>
      <c r="E244" s="1" t="s">
        <v>671</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5" t="s">
        <v>512</v>
      </c>
      <c r="P244" s="5" t="s">
        <v>800</v>
      </c>
      <c r="Q244" s="5" t="s">
        <v>800</v>
      </c>
      <c r="R244" s="2">
        <v>57.4</v>
      </c>
      <c r="S244" s="2">
        <v>57.4</v>
      </c>
      <c r="T244" s="1">
        <v>0</v>
      </c>
      <c r="U244" s="1" t="s">
        <v>675</v>
      </c>
      <c r="W244" s="31" t="s">
        <v>645</v>
      </c>
    </row>
    <row r="245" spans="1:23">
      <c r="A245" s="1">
        <v>1</v>
      </c>
      <c r="B245" s="1" t="s">
        <v>780</v>
      </c>
      <c r="C245" t="s">
        <v>782</v>
      </c>
      <c r="D245" s="1">
        <v>2</v>
      </c>
      <c r="E245" s="1" t="s">
        <v>671</v>
      </c>
      <c r="F245" s="4">
        <v>45427</v>
      </c>
      <c r="G245" s="3">
        <f>I245+K245</f>
        <v>0.78030092592592593</v>
      </c>
      <c r="H245" s="6" t="s">
        <v>21</v>
      </c>
      <c r="I245" s="3">
        <v>2.3009259259259261E-2</v>
      </c>
      <c r="J245" s="6" t="s">
        <v>21</v>
      </c>
      <c r="K245" s="3">
        <v>0.7572916666666667</v>
      </c>
      <c r="L245" s="1" t="s">
        <v>7</v>
      </c>
      <c r="M245" s="1" t="s">
        <v>8</v>
      </c>
      <c r="N245" s="1">
        <v>2</v>
      </c>
      <c r="O245" s="5" t="s">
        <v>512</v>
      </c>
      <c r="P245" s="5" t="s">
        <v>800</v>
      </c>
      <c r="Q245" s="5" t="s">
        <v>800</v>
      </c>
      <c r="R245" s="2">
        <v>57.4</v>
      </c>
      <c r="S245" s="2">
        <v>57.4</v>
      </c>
      <c r="T245" s="1" t="s">
        <v>21</v>
      </c>
      <c r="W245" s="31" t="s">
        <v>645</v>
      </c>
    </row>
    <row r="246" spans="1:23">
      <c r="A246" s="15">
        <v>1</v>
      </c>
      <c r="B246" s="1" t="s">
        <v>780</v>
      </c>
      <c r="C246" t="s">
        <v>782</v>
      </c>
      <c r="D246" s="15">
        <v>1</v>
      </c>
      <c r="E246" s="1" t="s">
        <v>673</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5" t="s">
        <v>800</v>
      </c>
      <c r="Q246" s="5" t="s">
        <v>800</v>
      </c>
      <c r="R246" s="2">
        <v>57.4</v>
      </c>
      <c r="S246" s="2">
        <v>28.8</v>
      </c>
      <c r="T246" s="1">
        <v>0</v>
      </c>
      <c r="W246" s="31" t="s">
        <v>645</v>
      </c>
    </row>
    <row r="247" spans="1:23">
      <c r="A247" s="15">
        <v>1</v>
      </c>
      <c r="B247" s="1" t="s">
        <v>780</v>
      </c>
      <c r="C247" t="s">
        <v>782</v>
      </c>
      <c r="D247" s="15">
        <v>2</v>
      </c>
      <c r="E247" s="1" t="s">
        <v>673</v>
      </c>
      <c r="F247" s="4">
        <v>45428</v>
      </c>
      <c r="G247" s="1" t="s">
        <v>21</v>
      </c>
      <c r="H247" s="6">
        <f t="shared" si="22"/>
        <v>0.23951388888888889</v>
      </c>
      <c r="I247" s="1" t="s">
        <v>21</v>
      </c>
      <c r="J247" s="6">
        <v>1.8715277777777779E-2</v>
      </c>
      <c r="K247" s="3">
        <v>0.2207986111111111</v>
      </c>
      <c r="L247" s="1" t="s">
        <v>8</v>
      </c>
      <c r="M247" s="1" t="s">
        <v>8</v>
      </c>
      <c r="N247" s="1">
        <v>2</v>
      </c>
      <c r="O247" s="1">
        <v>2</v>
      </c>
      <c r="P247" s="5" t="s">
        <v>800</v>
      </c>
      <c r="Q247" s="5" t="s">
        <v>800</v>
      </c>
      <c r="R247" s="2">
        <v>57.4</v>
      </c>
      <c r="S247" s="2">
        <v>28.8</v>
      </c>
      <c r="T247" s="1">
        <v>1</v>
      </c>
      <c r="W247" s="31" t="s">
        <v>645</v>
      </c>
    </row>
    <row r="248" spans="1:23">
      <c r="A248" s="15">
        <v>1</v>
      </c>
      <c r="B248" s="1" t="s">
        <v>780</v>
      </c>
      <c r="C248" t="s">
        <v>782</v>
      </c>
      <c r="D248" s="1">
        <v>3</v>
      </c>
      <c r="E248" s="1" t="s">
        <v>673</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5" t="s">
        <v>512</v>
      </c>
      <c r="P248" s="5" t="s">
        <v>800</v>
      </c>
      <c r="Q248" s="5" t="s">
        <v>800</v>
      </c>
      <c r="R248" s="2">
        <v>28.8</v>
      </c>
      <c r="S248" s="2">
        <v>57.4</v>
      </c>
      <c r="T248" s="1">
        <v>0</v>
      </c>
      <c r="U248" s="1" t="s">
        <v>674</v>
      </c>
      <c r="W248" s="31" t="s">
        <v>645</v>
      </c>
    </row>
    <row r="249" spans="1:23">
      <c r="A249" s="15">
        <v>1</v>
      </c>
      <c r="B249" s="1" t="s">
        <v>780</v>
      </c>
      <c r="C249" t="s">
        <v>782</v>
      </c>
      <c r="D249" s="15">
        <v>1</v>
      </c>
      <c r="E249" s="1" t="s">
        <v>682</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5" t="s">
        <v>512</v>
      </c>
      <c r="P249" s="5" t="s">
        <v>800</v>
      </c>
      <c r="Q249" s="5" t="s">
        <v>800</v>
      </c>
      <c r="R249" s="2">
        <v>57.4</v>
      </c>
      <c r="S249" s="2">
        <v>57.4</v>
      </c>
      <c r="T249" s="1">
        <v>1</v>
      </c>
      <c r="W249" s="31" t="s">
        <v>645</v>
      </c>
    </row>
    <row r="250" spans="1:23">
      <c r="A250" s="15">
        <v>1</v>
      </c>
      <c r="B250" s="1" t="s">
        <v>780</v>
      </c>
      <c r="C250" t="s">
        <v>782</v>
      </c>
      <c r="D250" s="1">
        <v>2</v>
      </c>
      <c r="E250" s="1" t="s">
        <v>682</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5" t="s">
        <v>512</v>
      </c>
      <c r="P250" s="5" t="s">
        <v>800</v>
      </c>
      <c r="Q250" s="5" t="s">
        <v>800</v>
      </c>
      <c r="R250" s="2">
        <v>57.4</v>
      </c>
      <c r="S250" s="2">
        <v>57.4</v>
      </c>
      <c r="T250" s="1">
        <v>0</v>
      </c>
      <c r="U250" s="1" t="s">
        <v>683</v>
      </c>
      <c r="V250" s="2" t="s">
        <v>672</v>
      </c>
      <c r="W250" s="31" t="s">
        <v>645</v>
      </c>
    </row>
    <row r="251" spans="1:23">
      <c r="A251" s="15">
        <v>1</v>
      </c>
      <c r="B251" s="1" t="s">
        <v>780</v>
      </c>
      <c r="C251" t="s">
        <v>782</v>
      </c>
      <c r="D251" s="15">
        <v>1</v>
      </c>
      <c r="E251" s="1" t="s">
        <v>684</v>
      </c>
      <c r="F251" s="4">
        <v>45429</v>
      </c>
      <c r="G251" s="1" t="s">
        <v>21</v>
      </c>
      <c r="H251" s="6">
        <f t="shared" si="22"/>
        <v>0.24296296296296296</v>
      </c>
      <c r="I251" s="1" t="s">
        <v>21</v>
      </c>
      <c r="J251" s="6">
        <v>2.4282407407407409E-2</v>
      </c>
      <c r="K251" s="3">
        <v>0.21868055555555554</v>
      </c>
      <c r="L251" s="1" t="s">
        <v>7</v>
      </c>
      <c r="M251" s="1" t="s">
        <v>7</v>
      </c>
      <c r="N251" s="1">
        <v>2</v>
      </c>
      <c r="O251" s="5" t="s">
        <v>512</v>
      </c>
      <c r="P251" s="5" t="s">
        <v>800</v>
      </c>
      <c r="Q251" s="5" t="s">
        <v>800</v>
      </c>
      <c r="R251" s="2">
        <v>57.4</v>
      </c>
      <c r="S251" s="2">
        <v>28.8</v>
      </c>
      <c r="T251" s="1">
        <v>1</v>
      </c>
      <c r="W251" s="31" t="s">
        <v>645</v>
      </c>
    </row>
    <row r="252" spans="1:23">
      <c r="A252" s="15">
        <v>1</v>
      </c>
      <c r="B252" s="1" t="s">
        <v>780</v>
      </c>
      <c r="C252" t="s">
        <v>782</v>
      </c>
      <c r="D252" s="1">
        <v>2</v>
      </c>
      <c r="E252" s="1" t="s">
        <v>684</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5" t="s">
        <v>512</v>
      </c>
      <c r="P252" s="5" t="s">
        <v>800</v>
      </c>
      <c r="Q252" s="5" t="s">
        <v>800</v>
      </c>
      <c r="R252" s="2">
        <v>57.4</v>
      </c>
      <c r="S252" s="2">
        <v>28.8</v>
      </c>
      <c r="T252" s="1">
        <v>1</v>
      </c>
      <c r="U252" s="1" t="s">
        <v>685</v>
      </c>
      <c r="W252" s="31" t="s">
        <v>645</v>
      </c>
    </row>
    <row r="253" spans="1:23">
      <c r="A253" s="15">
        <v>1</v>
      </c>
      <c r="B253" s="1" t="s">
        <v>780</v>
      </c>
      <c r="C253" t="s">
        <v>782</v>
      </c>
      <c r="D253" s="15">
        <v>1</v>
      </c>
      <c r="E253" s="1" t="s">
        <v>688</v>
      </c>
      <c r="F253" s="4">
        <v>45429</v>
      </c>
      <c r="G253" s="3">
        <f>I253+K253</f>
        <v>0.77342592592592596</v>
      </c>
      <c r="H253" s="6">
        <f t="shared" si="22"/>
        <v>0.77601851851851855</v>
      </c>
      <c r="I253" s="3">
        <v>1.2800925925925926E-2</v>
      </c>
      <c r="J253" s="6">
        <v>1.5393518518518518E-2</v>
      </c>
      <c r="K253" s="3">
        <v>0.760625</v>
      </c>
      <c r="L253" s="1" t="s">
        <v>7</v>
      </c>
      <c r="M253" s="1" t="s">
        <v>7</v>
      </c>
      <c r="N253" s="1">
        <v>2</v>
      </c>
      <c r="O253" s="5" t="s">
        <v>512</v>
      </c>
      <c r="P253" s="5" t="s">
        <v>800</v>
      </c>
      <c r="Q253" s="5" t="s">
        <v>800</v>
      </c>
      <c r="R253" s="2">
        <v>28.8</v>
      </c>
      <c r="S253" s="2">
        <v>28.8</v>
      </c>
      <c r="T253" s="1">
        <v>1</v>
      </c>
      <c r="W253" s="31" t="s">
        <v>645</v>
      </c>
    </row>
    <row r="254" spans="1:23">
      <c r="A254" s="15">
        <v>1</v>
      </c>
      <c r="B254" s="1" t="s">
        <v>780</v>
      </c>
      <c r="C254" t="s">
        <v>782</v>
      </c>
      <c r="D254" s="15">
        <v>1</v>
      </c>
      <c r="E254" s="1" t="s">
        <v>692</v>
      </c>
      <c r="F254" s="4">
        <v>45430</v>
      </c>
      <c r="H254" s="6">
        <f t="shared" si="22"/>
        <v>0.22422453703703704</v>
      </c>
      <c r="J254" s="6">
        <v>2.6041666666666665E-3</v>
      </c>
      <c r="K254" s="3">
        <v>0.22162037037037038</v>
      </c>
      <c r="L254" s="1" t="s">
        <v>8</v>
      </c>
      <c r="M254" s="1" t="s">
        <v>8</v>
      </c>
      <c r="N254" s="1">
        <v>2</v>
      </c>
      <c r="O254" s="5" t="s">
        <v>512</v>
      </c>
      <c r="P254" s="5" t="s">
        <v>800</v>
      </c>
      <c r="Q254" s="5" t="s">
        <v>800</v>
      </c>
      <c r="R254" s="2">
        <v>57.4</v>
      </c>
      <c r="S254" s="2">
        <v>57.4</v>
      </c>
      <c r="T254" s="1">
        <v>0</v>
      </c>
      <c r="U254" s="1" t="s">
        <v>690</v>
      </c>
      <c r="V254" s="2">
        <v>1</v>
      </c>
      <c r="W254" s="31" t="s">
        <v>645</v>
      </c>
    </row>
    <row r="255" spans="1:23">
      <c r="A255" s="15">
        <v>1</v>
      </c>
      <c r="B255" s="1" t="s">
        <v>780</v>
      </c>
      <c r="C255" t="s">
        <v>782</v>
      </c>
      <c r="D255" s="1">
        <v>2</v>
      </c>
      <c r="E255" s="1" t="s">
        <v>692</v>
      </c>
      <c r="F255" s="4">
        <v>45430</v>
      </c>
      <c r="H255" s="6">
        <f t="shared" si="22"/>
        <v>0.23569444444444446</v>
      </c>
      <c r="J255" s="6">
        <v>1.4074074074074074E-2</v>
      </c>
      <c r="K255" s="3">
        <v>0.22162037037037038</v>
      </c>
      <c r="L255" s="1" t="s">
        <v>8</v>
      </c>
      <c r="M255" s="1" t="s">
        <v>7</v>
      </c>
      <c r="N255" s="1">
        <v>2</v>
      </c>
      <c r="O255" s="5" t="s">
        <v>512</v>
      </c>
      <c r="P255" s="5" t="s">
        <v>800</v>
      </c>
      <c r="Q255" s="5" t="s">
        <v>800</v>
      </c>
      <c r="R255" s="2">
        <v>57.4</v>
      </c>
      <c r="S255" s="2">
        <v>28.8</v>
      </c>
      <c r="T255" s="1">
        <v>1</v>
      </c>
      <c r="W255" s="31" t="s">
        <v>645</v>
      </c>
    </row>
    <row r="256" spans="1:23">
      <c r="A256" s="15">
        <v>1</v>
      </c>
      <c r="B256" s="1" t="s">
        <v>780</v>
      </c>
      <c r="C256" t="s">
        <v>782</v>
      </c>
      <c r="D256" s="1">
        <v>3</v>
      </c>
      <c r="E256" s="1" t="s">
        <v>692</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5" t="s">
        <v>512</v>
      </c>
      <c r="P256" s="5" t="s">
        <v>800</v>
      </c>
      <c r="Q256" s="5" t="s">
        <v>800</v>
      </c>
      <c r="R256" s="2">
        <v>28.8</v>
      </c>
      <c r="S256" s="2">
        <v>28.8</v>
      </c>
      <c r="T256" s="1">
        <v>1</v>
      </c>
      <c r="W256" s="31" t="s">
        <v>645</v>
      </c>
    </row>
    <row r="257" spans="1:23">
      <c r="A257" s="15">
        <v>1</v>
      </c>
      <c r="B257" s="1" t="s">
        <v>780</v>
      </c>
      <c r="C257" t="s">
        <v>782</v>
      </c>
      <c r="D257" s="1">
        <v>4</v>
      </c>
      <c r="E257" s="1" t="s">
        <v>692</v>
      </c>
      <c r="F257" s="4">
        <v>45430</v>
      </c>
      <c r="G257" s="3">
        <f>I257+K257</f>
        <v>0.23893518518518519</v>
      </c>
      <c r="H257" s="6">
        <f t="shared" si="22"/>
        <v>0.24533564814814815</v>
      </c>
      <c r="I257" s="3">
        <v>1.7314814814814814E-2</v>
      </c>
      <c r="J257" s="6">
        <v>2.3715277777777776E-2</v>
      </c>
      <c r="K257" s="3">
        <v>0.22162037037037038</v>
      </c>
      <c r="L257" s="1" t="s">
        <v>302</v>
      </c>
      <c r="M257" s="1" t="s">
        <v>7</v>
      </c>
      <c r="N257" s="1">
        <v>2</v>
      </c>
      <c r="O257" s="5" t="s">
        <v>512</v>
      </c>
      <c r="P257" s="5" t="s">
        <v>800</v>
      </c>
      <c r="Q257" s="5" t="s">
        <v>800</v>
      </c>
      <c r="R257" s="2">
        <v>28.8</v>
      </c>
      <c r="S257" s="2">
        <v>28.8</v>
      </c>
      <c r="T257" s="1">
        <v>1</v>
      </c>
      <c r="W257" s="31" t="s">
        <v>645</v>
      </c>
    </row>
    <row r="258" spans="1:23">
      <c r="A258" s="15">
        <v>1</v>
      </c>
      <c r="B258" s="1" t="s">
        <v>780</v>
      </c>
      <c r="C258" t="s">
        <v>782</v>
      </c>
      <c r="D258" s="1">
        <v>1</v>
      </c>
      <c r="E258" s="1" t="s">
        <v>694</v>
      </c>
      <c r="F258" s="4">
        <v>45436</v>
      </c>
      <c r="G258" s="1" t="s">
        <v>21</v>
      </c>
      <c r="H258" s="6">
        <f t="shared" si="22"/>
        <v>0.24412037037037038</v>
      </c>
      <c r="I258" s="1" t="s">
        <v>21</v>
      </c>
      <c r="J258" s="6">
        <v>1.7048611111111112E-2</v>
      </c>
      <c r="K258" s="3">
        <v>0.22707175925925926</v>
      </c>
      <c r="L258" s="1" t="s">
        <v>8</v>
      </c>
      <c r="M258" s="1" t="s">
        <v>7</v>
      </c>
      <c r="N258" s="1">
        <v>2</v>
      </c>
      <c r="O258" s="5" t="s">
        <v>512</v>
      </c>
      <c r="P258" s="5" t="s">
        <v>800</v>
      </c>
      <c r="Q258" s="5" t="s">
        <v>800</v>
      </c>
      <c r="R258" s="2">
        <v>57.4</v>
      </c>
      <c r="S258" s="2">
        <v>28.8</v>
      </c>
      <c r="T258" s="1">
        <v>1</v>
      </c>
      <c r="W258" s="31" t="s">
        <v>647</v>
      </c>
    </row>
    <row r="259" spans="1:23">
      <c r="A259" s="15">
        <v>1</v>
      </c>
      <c r="B259" s="1" t="s">
        <v>780</v>
      </c>
      <c r="C259" t="s">
        <v>782</v>
      </c>
      <c r="D259" s="1">
        <v>2</v>
      </c>
      <c r="E259" s="1" t="s">
        <v>694</v>
      </c>
      <c r="F259" s="4">
        <v>45436</v>
      </c>
      <c r="G259" s="1" t="s">
        <v>21</v>
      </c>
      <c r="H259" s="6">
        <f t="shared" si="22"/>
        <v>0.24869212962962964</v>
      </c>
      <c r="I259" s="1" t="s">
        <v>21</v>
      </c>
      <c r="J259" s="6">
        <v>2.162037037037037E-2</v>
      </c>
      <c r="K259" s="3">
        <v>0.22707175925925926</v>
      </c>
      <c r="L259" s="1" t="s">
        <v>8</v>
      </c>
      <c r="M259" s="1" t="s">
        <v>7</v>
      </c>
      <c r="N259" s="1">
        <v>2</v>
      </c>
      <c r="O259" s="5" t="s">
        <v>512</v>
      </c>
      <c r="P259" s="5" t="s">
        <v>800</v>
      </c>
      <c r="Q259" s="5" t="s">
        <v>800</v>
      </c>
      <c r="R259" s="2">
        <v>57.4</v>
      </c>
      <c r="S259" s="2">
        <v>28.8</v>
      </c>
      <c r="T259" s="1">
        <v>1</v>
      </c>
      <c r="W259" s="31" t="s">
        <v>647</v>
      </c>
    </row>
    <row r="260" spans="1:23">
      <c r="A260" s="15">
        <v>1</v>
      </c>
      <c r="B260" s="1" t="s">
        <v>780</v>
      </c>
      <c r="C260" t="s">
        <v>782</v>
      </c>
      <c r="D260" s="1">
        <v>1</v>
      </c>
      <c r="E260" s="1" t="s">
        <v>695</v>
      </c>
      <c r="F260" s="4">
        <v>45435</v>
      </c>
      <c r="H260" s="6">
        <f t="shared" si="22"/>
        <v>0.24349537037037039</v>
      </c>
      <c r="J260" s="6">
        <v>2.5196759259259259E-2</v>
      </c>
      <c r="K260" s="3">
        <v>0.21829861111111112</v>
      </c>
      <c r="L260" s="1" t="s">
        <v>8</v>
      </c>
      <c r="M260" s="1" t="s">
        <v>8</v>
      </c>
      <c r="N260" s="1">
        <v>2</v>
      </c>
      <c r="O260" s="5" t="s">
        <v>512</v>
      </c>
      <c r="P260" s="5" t="s">
        <v>800</v>
      </c>
      <c r="Q260" s="5" t="s">
        <v>800</v>
      </c>
      <c r="R260" s="2">
        <v>57.4</v>
      </c>
      <c r="S260" s="2">
        <v>28.8</v>
      </c>
      <c r="T260" s="1" t="s">
        <v>21</v>
      </c>
      <c r="U260" s="1" t="s">
        <v>697</v>
      </c>
      <c r="W260" s="31" t="s">
        <v>647</v>
      </c>
    </row>
    <row r="261" spans="1:23">
      <c r="A261" s="15">
        <v>1</v>
      </c>
      <c r="B261" s="1" t="s">
        <v>780</v>
      </c>
      <c r="C261" t="s">
        <v>782</v>
      </c>
      <c r="D261" s="1">
        <v>2</v>
      </c>
      <c r="E261" s="1" t="s">
        <v>695</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5" t="s">
        <v>512</v>
      </c>
      <c r="P261" s="5" t="s">
        <v>800</v>
      </c>
      <c r="Q261" s="5" t="s">
        <v>800</v>
      </c>
      <c r="R261" s="2">
        <v>57.4</v>
      </c>
      <c r="S261" s="2">
        <v>28.8</v>
      </c>
      <c r="T261" s="1" t="s">
        <v>21</v>
      </c>
      <c r="U261" s="1" t="s">
        <v>698</v>
      </c>
      <c r="W261" s="31" t="s">
        <v>647</v>
      </c>
    </row>
    <row r="262" spans="1:23">
      <c r="A262" s="15">
        <v>1</v>
      </c>
      <c r="B262" s="1" t="s">
        <v>780</v>
      </c>
      <c r="C262" t="s">
        <v>782</v>
      </c>
      <c r="D262" s="1">
        <v>1</v>
      </c>
      <c r="E262" s="1" t="s">
        <v>696</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5" t="s">
        <v>512</v>
      </c>
      <c r="P262" s="5" t="s">
        <v>800</v>
      </c>
      <c r="Q262" s="5" t="s">
        <v>800</v>
      </c>
      <c r="R262" s="2">
        <v>28.8</v>
      </c>
      <c r="S262" s="2">
        <v>57.4</v>
      </c>
      <c r="T262" s="1">
        <v>1</v>
      </c>
      <c r="V262" s="2" t="s">
        <v>699</v>
      </c>
      <c r="W262" s="31" t="s">
        <v>647</v>
      </c>
    </row>
    <row r="263" spans="1:23">
      <c r="A263" s="15">
        <v>1</v>
      </c>
      <c r="B263" s="1" t="s">
        <v>780</v>
      </c>
      <c r="C263" t="s">
        <v>782</v>
      </c>
      <c r="D263" s="1">
        <v>1</v>
      </c>
      <c r="E263" s="1" t="s">
        <v>632</v>
      </c>
      <c r="F263" s="4">
        <v>45434</v>
      </c>
      <c r="H263" s="6">
        <f t="shared" si="22"/>
        <v>0.24187500000000001</v>
      </c>
      <c r="J263" s="6">
        <v>2.2476851851851852E-2</v>
      </c>
      <c r="K263" s="3">
        <v>0.21939814814814815</v>
      </c>
      <c r="L263" s="1" t="s">
        <v>8</v>
      </c>
      <c r="M263" s="1" t="s">
        <v>7</v>
      </c>
      <c r="N263" s="1">
        <v>2</v>
      </c>
      <c r="O263" s="5" t="s">
        <v>512</v>
      </c>
      <c r="P263" s="5" t="s">
        <v>800</v>
      </c>
      <c r="Q263" s="5" t="s">
        <v>800</v>
      </c>
      <c r="R263" s="2">
        <v>57.4</v>
      </c>
      <c r="S263" s="2">
        <v>28.8</v>
      </c>
      <c r="T263" s="1">
        <v>1</v>
      </c>
      <c r="W263" s="31" t="s">
        <v>647</v>
      </c>
    </row>
    <row r="264" spans="1:23">
      <c r="A264" s="15">
        <v>1</v>
      </c>
      <c r="B264" s="1" t="s">
        <v>780</v>
      </c>
      <c r="C264" t="s">
        <v>782</v>
      </c>
      <c r="D264" s="1">
        <v>2</v>
      </c>
      <c r="E264" s="1" t="s">
        <v>632</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5" t="s">
        <v>512</v>
      </c>
      <c r="P264" s="5" t="s">
        <v>800</v>
      </c>
      <c r="Q264" s="5" t="s">
        <v>800</v>
      </c>
      <c r="R264" s="2">
        <v>57.4</v>
      </c>
      <c r="S264" s="2">
        <v>28.8</v>
      </c>
      <c r="T264" s="1">
        <v>0</v>
      </c>
      <c r="V264" s="2">
        <v>1</v>
      </c>
      <c r="W264" s="31" t="s">
        <v>647</v>
      </c>
    </row>
    <row r="265" spans="1:23">
      <c r="A265" s="15">
        <v>1</v>
      </c>
      <c r="B265" s="1" t="s">
        <v>780</v>
      </c>
      <c r="C265" t="s">
        <v>782</v>
      </c>
      <c r="D265" s="1">
        <v>1</v>
      </c>
      <c r="E265" s="1" t="s">
        <v>700</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5" t="s">
        <v>512</v>
      </c>
      <c r="P265" s="5" t="s">
        <v>800</v>
      </c>
      <c r="Q265" s="5" t="s">
        <v>800</v>
      </c>
      <c r="R265" s="2">
        <v>57.4</v>
      </c>
      <c r="S265" s="2">
        <v>57.4</v>
      </c>
      <c r="T265" s="1">
        <v>1</v>
      </c>
      <c r="W265" s="31" t="s">
        <v>647</v>
      </c>
    </row>
    <row r="266" spans="1:23">
      <c r="A266" s="15">
        <v>1</v>
      </c>
      <c r="B266" s="1" t="s">
        <v>780</v>
      </c>
      <c r="C266" t="s">
        <v>782</v>
      </c>
      <c r="D266" s="1">
        <v>1</v>
      </c>
      <c r="E266" s="1" t="s">
        <v>236</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5" t="s">
        <v>512</v>
      </c>
      <c r="P266" s="5" t="s">
        <v>800</v>
      </c>
      <c r="Q266" s="5" t="s">
        <v>800</v>
      </c>
      <c r="R266" s="2">
        <v>57.4</v>
      </c>
      <c r="S266" s="2">
        <v>28.8</v>
      </c>
      <c r="T266" s="1">
        <v>0</v>
      </c>
      <c r="V266" s="2">
        <v>1</v>
      </c>
      <c r="W266" s="31" t="s">
        <v>647</v>
      </c>
    </row>
    <row r="267" spans="1:23">
      <c r="A267" s="15">
        <v>1</v>
      </c>
      <c r="B267" s="1" t="s">
        <v>780</v>
      </c>
      <c r="C267" t="s">
        <v>782</v>
      </c>
      <c r="D267" s="1">
        <v>2</v>
      </c>
      <c r="E267" s="1" t="s">
        <v>236</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5" t="s">
        <v>512</v>
      </c>
      <c r="P267" s="5" t="s">
        <v>800</v>
      </c>
      <c r="Q267" s="5" t="s">
        <v>800</v>
      </c>
      <c r="R267" s="2">
        <v>57.4</v>
      </c>
      <c r="S267" s="2">
        <v>28.8</v>
      </c>
      <c r="T267" s="1">
        <v>0</v>
      </c>
      <c r="W267" s="31" t="s">
        <v>647</v>
      </c>
    </row>
    <row r="268" spans="1:23">
      <c r="A268" s="15">
        <v>1</v>
      </c>
      <c r="B268" s="1" t="s">
        <v>780</v>
      </c>
      <c r="C268" t="s">
        <v>782</v>
      </c>
      <c r="D268" s="1">
        <v>1</v>
      </c>
      <c r="E268" s="1" t="s">
        <v>234</v>
      </c>
      <c r="F268" s="4">
        <v>45432</v>
      </c>
      <c r="H268" s="6">
        <f t="shared" si="22"/>
        <v>0.24289351851851851</v>
      </c>
      <c r="J268" s="6">
        <v>2.1886574074074076E-2</v>
      </c>
      <c r="K268" s="3">
        <v>0.22100694444444444</v>
      </c>
      <c r="L268" s="1" t="s">
        <v>8</v>
      </c>
      <c r="M268" s="1" t="s">
        <v>8</v>
      </c>
      <c r="N268" s="1">
        <v>2</v>
      </c>
      <c r="O268" s="5" t="s">
        <v>512</v>
      </c>
      <c r="P268" s="5" t="s">
        <v>800</v>
      </c>
      <c r="Q268" s="5" t="s">
        <v>800</v>
      </c>
      <c r="R268" s="2">
        <v>28.8</v>
      </c>
      <c r="S268" s="2">
        <v>28.8</v>
      </c>
      <c r="T268" s="1">
        <v>0</v>
      </c>
      <c r="U268" s="1" t="s">
        <v>724</v>
      </c>
      <c r="V268" s="2" t="s">
        <v>701</v>
      </c>
      <c r="W268" s="31" t="s">
        <v>645</v>
      </c>
    </row>
    <row r="269" spans="1:23">
      <c r="A269" s="15">
        <v>1</v>
      </c>
      <c r="B269" s="1" t="s">
        <v>780</v>
      </c>
      <c r="C269" t="s">
        <v>782</v>
      </c>
      <c r="D269" s="1">
        <v>2</v>
      </c>
      <c r="E269" s="1" t="s">
        <v>234</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5" t="s">
        <v>512</v>
      </c>
      <c r="P269" s="5" t="s">
        <v>800</v>
      </c>
      <c r="Q269" s="5" t="s">
        <v>800</v>
      </c>
      <c r="R269" s="2">
        <v>28.8</v>
      </c>
      <c r="S269" s="2">
        <v>28.8</v>
      </c>
      <c r="T269" s="1">
        <v>0</v>
      </c>
      <c r="U269" s="2" t="s">
        <v>702</v>
      </c>
      <c r="W269" s="31" t="s">
        <v>645</v>
      </c>
    </row>
    <row r="270" spans="1:23">
      <c r="A270" s="15">
        <v>1</v>
      </c>
      <c r="B270" s="1" t="s">
        <v>780</v>
      </c>
      <c r="C270" t="s">
        <v>782</v>
      </c>
      <c r="D270" s="1">
        <v>1</v>
      </c>
      <c r="E270" s="1" t="s">
        <v>703</v>
      </c>
      <c r="F270" s="4">
        <v>45431</v>
      </c>
      <c r="G270" s="3"/>
      <c r="H270" s="6">
        <f t="shared" si="22"/>
        <v>0.24283564814814815</v>
      </c>
      <c r="J270" s="6">
        <v>2.2488425925925926E-2</v>
      </c>
      <c r="K270" s="3">
        <v>0.22034722222222222</v>
      </c>
      <c r="L270" s="1" t="s">
        <v>8</v>
      </c>
      <c r="M270" s="1" t="s">
        <v>8</v>
      </c>
      <c r="N270" s="1">
        <v>2</v>
      </c>
      <c r="O270" s="5" t="s">
        <v>512</v>
      </c>
      <c r="P270" s="5" t="s">
        <v>800</v>
      </c>
      <c r="Q270" s="5" t="s">
        <v>800</v>
      </c>
      <c r="R270" s="2">
        <v>28.8</v>
      </c>
      <c r="S270" s="2">
        <v>28.8</v>
      </c>
      <c r="T270" s="1">
        <v>0</v>
      </c>
      <c r="U270" s="2" t="s">
        <v>702</v>
      </c>
      <c r="W270" s="31" t="s">
        <v>645</v>
      </c>
    </row>
    <row r="271" spans="1:23">
      <c r="A271" s="15">
        <v>1</v>
      </c>
      <c r="B271" s="1" t="s">
        <v>780</v>
      </c>
      <c r="C271" t="s">
        <v>782</v>
      </c>
      <c r="D271" s="1">
        <v>2</v>
      </c>
      <c r="E271" s="1" t="s">
        <v>703</v>
      </c>
      <c r="F271" s="4">
        <v>45431</v>
      </c>
      <c r="H271" s="6">
        <f t="shared" si="22"/>
        <v>0.26648148148148149</v>
      </c>
      <c r="I271" s="3">
        <v>1.40625E-2</v>
      </c>
      <c r="J271" s="6">
        <v>4.6134259259259257E-2</v>
      </c>
      <c r="K271" s="3">
        <v>0.22034722222222222</v>
      </c>
      <c r="L271" s="1" t="s">
        <v>8</v>
      </c>
      <c r="M271" s="1" t="s">
        <v>8</v>
      </c>
      <c r="N271" s="1">
        <v>2</v>
      </c>
      <c r="O271" s="5" t="s">
        <v>512</v>
      </c>
      <c r="P271" s="5" t="s">
        <v>800</v>
      </c>
      <c r="Q271" s="5" t="s">
        <v>800</v>
      </c>
      <c r="R271" s="2">
        <v>28.8</v>
      </c>
      <c r="S271" s="2">
        <v>28.8</v>
      </c>
      <c r="T271" s="1">
        <v>0</v>
      </c>
      <c r="U271" s="2" t="s">
        <v>704</v>
      </c>
      <c r="W271" s="31" t="s">
        <v>645</v>
      </c>
    </row>
    <row r="272" spans="1:23">
      <c r="A272" s="15">
        <v>1</v>
      </c>
      <c r="B272" s="1" t="s">
        <v>780</v>
      </c>
      <c r="C272" t="s">
        <v>782</v>
      </c>
      <c r="D272" s="1">
        <v>1</v>
      </c>
      <c r="E272" s="1" t="s">
        <v>732</v>
      </c>
      <c r="F272" s="4">
        <v>45430</v>
      </c>
      <c r="G272" s="1" t="s">
        <v>21</v>
      </c>
      <c r="H272" s="6" t="s">
        <v>21</v>
      </c>
      <c r="I272" s="1" t="s">
        <v>21</v>
      </c>
      <c r="J272" s="1" t="s">
        <v>21</v>
      </c>
      <c r="K272" s="1" t="s">
        <v>21</v>
      </c>
      <c r="L272" s="1" t="s">
        <v>7</v>
      </c>
      <c r="M272" s="1" t="s">
        <v>8</v>
      </c>
      <c r="N272" s="1">
        <v>2</v>
      </c>
      <c r="O272" s="5" t="s">
        <v>512</v>
      </c>
      <c r="P272" s="5" t="s">
        <v>800</v>
      </c>
      <c r="Q272" s="5" t="s">
        <v>800</v>
      </c>
      <c r="R272" s="2">
        <v>28.8</v>
      </c>
      <c r="S272" s="2">
        <v>57.4</v>
      </c>
      <c r="T272" s="1" t="s">
        <v>21</v>
      </c>
      <c r="U272" s="2" t="s">
        <v>550</v>
      </c>
      <c r="W272" s="4" t="s">
        <v>21</v>
      </c>
    </row>
    <row r="273" spans="1:23">
      <c r="A273" s="15">
        <v>1</v>
      </c>
      <c r="B273" s="1" t="s">
        <v>780</v>
      </c>
      <c r="C273" t="s">
        <v>782</v>
      </c>
      <c r="D273" s="1">
        <v>1</v>
      </c>
      <c r="E273" s="1" t="s">
        <v>717</v>
      </c>
      <c r="F273" s="4">
        <v>45437</v>
      </c>
      <c r="G273" s="1" t="s">
        <v>21</v>
      </c>
      <c r="H273" s="6">
        <f>J273+K273</f>
        <v>0.78964120370370372</v>
      </c>
      <c r="I273" s="1" t="s">
        <v>21</v>
      </c>
      <c r="J273" s="6">
        <v>3.833333333333333E-2</v>
      </c>
      <c r="K273" s="3">
        <v>0.75130787037037039</v>
      </c>
      <c r="L273" s="1" t="s">
        <v>7</v>
      </c>
      <c r="M273" s="1" t="s">
        <v>7</v>
      </c>
      <c r="N273" s="1">
        <v>2</v>
      </c>
      <c r="O273" s="5" t="s">
        <v>512</v>
      </c>
      <c r="P273" s="5" t="s">
        <v>800</v>
      </c>
      <c r="Q273" s="5" t="s">
        <v>800</v>
      </c>
      <c r="R273" s="2">
        <v>28.8</v>
      </c>
      <c r="S273" s="2">
        <v>28.8</v>
      </c>
      <c r="T273" s="1">
        <v>0</v>
      </c>
      <c r="V273" s="2" t="s">
        <v>718</v>
      </c>
      <c r="W273" s="4" t="s">
        <v>647</v>
      </c>
    </row>
    <row r="274" spans="1:23">
      <c r="A274" s="15">
        <v>1</v>
      </c>
      <c r="B274" s="1" t="s">
        <v>780</v>
      </c>
      <c r="C274" t="s">
        <v>782</v>
      </c>
      <c r="D274" s="1">
        <v>1</v>
      </c>
      <c r="E274" s="1" t="s">
        <v>654</v>
      </c>
      <c r="F274" s="4">
        <v>45438</v>
      </c>
      <c r="G274" s="1" t="s">
        <v>21</v>
      </c>
      <c r="H274" s="6">
        <f>J274+K274</f>
        <v>0.2408912037037037</v>
      </c>
      <c r="I274" s="1" t="s">
        <v>21</v>
      </c>
      <c r="J274" s="6">
        <v>1.8831018518518518E-2</v>
      </c>
      <c r="K274" s="3">
        <v>0.22206018518518519</v>
      </c>
      <c r="L274" s="1" t="s">
        <v>7</v>
      </c>
      <c r="M274" s="1" t="s">
        <v>8</v>
      </c>
      <c r="N274" s="1">
        <v>2</v>
      </c>
      <c r="O274" s="5" t="s">
        <v>512</v>
      </c>
      <c r="P274" s="5" t="s">
        <v>800</v>
      </c>
      <c r="Q274" s="5" t="s">
        <v>800</v>
      </c>
      <c r="R274" s="2">
        <v>28.8</v>
      </c>
      <c r="S274" s="2">
        <v>28.8</v>
      </c>
      <c r="T274" s="1">
        <v>0</v>
      </c>
      <c r="V274" s="2">
        <v>1</v>
      </c>
      <c r="W274" s="4" t="s">
        <v>647</v>
      </c>
    </row>
    <row r="275" spans="1:23">
      <c r="A275" s="15">
        <v>1</v>
      </c>
      <c r="B275" s="1" t="s">
        <v>780</v>
      </c>
      <c r="C275" t="s">
        <v>782</v>
      </c>
      <c r="D275" s="1">
        <v>2</v>
      </c>
      <c r="E275" s="1" t="s">
        <v>654</v>
      </c>
      <c r="F275" s="4">
        <v>45438</v>
      </c>
      <c r="G275" s="1" t="s">
        <v>21</v>
      </c>
      <c r="H275" s="6">
        <f>J275+K275</f>
        <v>0.24142361111111113</v>
      </c>
      <c r="I275" s="1" t="s">
        <v>21</v>
      </c>
      <c r="J275" s="6">
        <v>1.9363425925925926E-2</v>
      </c>
      <c r="K275" s="3">
        <v>0.22206018518518519</v>
      </c>
      <c r="L275" s="1" t="s">
        <v>7</v>
      </c>
      <c r="M275" s="1" t="s">
        <v>8</v>
      </c>
      <c r="N275" s="1">
        <v>2</v>
      </c>
      <c r="O275" s="5" t="s">
        <v>512</v>
      </c>
      <c r="P275" s="5" t="s">
        <v>800</v>
      </c>
      <c r="Q275" s="5" t="s">
        <v>800</v>
      </c>
      <c r="R275" s="2">
        <v>28.8</v>
      </c>
      <c r="S275" s="2">
        <v>28.8</v>
      </c>
      <c r="T275" s="1">
        <v>0</v>
      </c>
      <c r="V275" s="2">
        <v>1</v>
      </c>
      <c r="W275" s="4" t="s">
        <v>647</v>
      </c>
    </row>
    <row r="276" spans="1:23">
      <c r="A276" s="15">
        <v>1</v>
      </c>
      <c r="B276" s="1" t="s">
        <v>780</v>
      </c>
      <c r="C276" t="s">
        <v>782</v>
      </c>
      <c r="D276" s="1" t="s">
        <v>21</v>
      </c>
      <c r="E276" s="1" t="s">
        <v>725</v>
      </c>
      <c r="F276" s="4">
        <v>45438</v>
      </c>
      <c r="G276" s="1" t="s">
        <v>21</v>
      </c>
      <c r="H276" s="6" t="s">
        <v>21</v>
      </c>
      <c r="I276" s="1" t="s">
        <v>21</v>
      </c>
      <c r="J276" s="6" t="s">
        <v>21</v>
      </c>
      <c r="K276" s="3">
        <v>0.75784722222222223</v>
      </c>
      <c r="N276" s="1">
        <v>2</v>
      </c>
      <c r="O276" s="5" t="s">
        <v>512</v>
      </c>
      <c r="P276" s="5" t="s">
        <v>800</v>
      </c>
      <c r="Q276" s="5" t="s">
        <v>800</v>
      </c>
      <c r="R276" s="2">
        <v>57.4</v>
      </c>
      <c r="S276" s="2">
        <v>57.4</v>
      </c>
      <c r="T276" s="1" t="s">
        <v>21</v>
      </c>
      <c r="U276" s="1" t="s">
        <v>60</v>
      </c>
      <c r="W276" s="4" t="s">
        <v>647</v>
      </c>
    </row>
    <row r="277" spans="1:23">
      <c r="A277" s="15">
        <v>1</v>
      </c>
      <c r="B277" s="1" t="s">
        <v>780</v>
      </c>
      <c r="C277" t="s">
        <v>782</v>
      </c>
      <c r="D277" s="1">
        <v>1</v>
      </c>
      <c r="E277" s="1" t="s">
        <v>726</v>
      </c>
      <c r="F277" s="4">
        <v>45439</v>
      </c>
      <c r="G277" s="1" t="s">
        <v>21</v>
      </c>
      <c r="H277" s="6">
        <f t="shared" ref="H277:H297" si="23">J277+K277</f>
        <v>0.23730324074074075</v>
      </c>
      <c r="I277" s="1" t="s">
        <v>21</v>
      </c>
      <c r="J277" s="6">
        <v>2.2280092592592591E-2</v>
      </c>
      <c r="K277" s="3">
        <v>0.21502314814814816</v>
      </c>
      <c r="L277" s="1" t="s">
        <v>7</v>
      </c>
      <c r="M277" s="1" t="s">
        <v>7</v>
      </c>
      <c r="N277" s="1">
        <v>2</v>
      </c>
      <c r="O277" s="5" t="s">
        <v>512</v>
      </c>
      <c r="P277" s="5" t="s">
        <v>800</v>
      </c>
      <c r="Q277" s="5" t="s">
        <v>800</v>
      </c>
      <c r="R277" s="2">
        <v>28.8</v>
      </c>
      <c r="S277" s="2">
        <v>28.8</v>
      </c>
      <c r="T277" s="1">
        <v>1</v>
      </c>
      <c r="W277" s="4" t="s">
        <v>647</v>
      </c>
    </row>
    <row r="278" spans="1:23">
      <c r="A278" s="15">
        <v>1</v>
      </c>
      <c r="B278" s="1" t="s">
        <v>780</v>
      </c>
      <c r="C278" t="s">
        <v>782</v>
      </c>
      <c r="D278" s="1">
        <v>2</v>
      </c>
      <c r="E278" s="1" t="s">
        <v>726</v>
      </c>
      <c r="F278" s="4">
        <v>45439</v>
      </c>
      <c r="G278" s="1" t="s">
        <v>21</v>
      </c>
      <c r="H278" s="6">
        <f t="shared" si="23"/>
        <v>0.23995370370370372</v>
      </c>
      <c r="I278" s="1" t="s">
        <v>21</v>
      </c>
      <c r="J278" s="6">
        <v>2.4930555555555556E-2</v>
      </c>
      <c r="K278" s="3">
        <v>0.21502314814814816</v>
      </c>
      <c r="L278" s="1" t="s">
        <v>7</v>
      </c>
      <c r="M278" s="1" t="s">
        <v>7</v>
      </c>
      <c r="N278" s="1">
        <v>2</v>
      </c>
      <c r="O278" s="5" t="s">
        <v>512</v>
      </c>
      <c r="P278" s="5" t="s">
        <v>800</v>
      </c>
      <c r="Q278" s="5" t="s">
        <v>800</v>
      </c>
      <c r="R278" s="2">
        <v>28.8</v>
      </c>
      <c r="S278" s="2">
        <v>28.8</v>
      </c>
      <c r="T278" s="1">
        <v>1</v>
      </c>
      <c r="W278" s="4" t="s">
        <v>647</v>
      </c>
    </row>
    <row r="279" spans="1:23">
      <c r="A279" s="15">
        <v>1</v>
      </c>
      <c r="B279" s="1" t="s">
        <v>780</v>
      </c>
      <c r="C279" t="s">
        <v>782</v>
      </c>
      <c r="D279" s="1">
        <v>1</v>
      </c>
      <c r="E279" s="1" t="s">
        <v>727</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5" t="s">
        <v>512</v>
      </c>
      <c r="P279" s="5" t="s">
        <v>800</v>
      </c>
      <c r="Q279" s="5" t="s">
        <v>800</v>
      </c>
      <c r="R279" s="2">
        <v>57.4</v>
      </c>
      <c r="S279" s="1">
        <v>38.4</v>
      </c>
      <c r="T279" s="1">
        <v>0</v>
      </c>
      <c r="W279" s="4" t="s">
        <v>647</v>
      </c>
    </row>
    <row r="280" spans="1:23">
      <c r="A280" s="15">
        <v>1</v>
      </c>
      <c r="B280" s="1" t="s">
        <v>780</v>
      </c>
      <c r="C280" t="s">
        <v>782</v>
      </c>
      <c r="D280" s="1">
        <v>1</v>
      </c>
      <c r="E280" s="1" t="s">
        <v>733</v>
      </c>
      <c r="F280" s="4">
        <v>45447</v>
      </c>
      <c r="H280" s="6">
        <f t="shared" si="23"/>
        <v>0.23099537037037038</v>
      </c>
      <c r="I280" s="1" t="s">
        <v>21</v>
      </c>
      <c r="J280" s="6">
        <v>1.2337962962962964E-2</v>
      </c>
      <c r="K280" s="3">
        <v>0.21865740740740741</v>
      </c>
      <c r="L280" s="1" t="s">
        <v>8</v>
      </c>
      <c r="M280" s="1" t="s">
        <v>7</v>
      </c>
      <c r="N280" s="1">
        <v>2</v>
      </c>
      <c r="O280" s="5" t="s">
        <v>512</v>
      </c>
      <c r="P280" s="5" t="s">
        <v>800</v>
      </c>
      <c r="Q280" s="5" t="s">
        <v>800</v>
      </c>
      <c r="R280" s="1">
        <v>38.4</v>
      </c>
      <c r="S280" s="1">
        <v>38.4</v>
      </c>
      <c r="T280" s="1">
        <v>1</v>
      </c>
      <c r="W280" s="4" t="s">
        <v>647</v>
      </c>
    </row>
    <row r="281" spans="1:23">
      <c r="A281" s="15">
        <v>1</v>
      </c>
      <c r="B281" s="1" t="s">
        <v>780</v>
      </c>
      <c r="C281" t="s">
        <v>782</v>
      </c>
      <c r="D281" s="1">
        <v>2</v>
      </c>
      <c r="E281" s="1" t="s">
        <v>733</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5" t="s">
        <v>512</v>
      </c>
      <c r="P281" s="5" t="s">
        <v>800</v>
      </c>
      <c r="Q281" s="5" t="s">
        <v>800</v>
      </c>
      <c r="R281" s="1">
        <v>38.4</v>
      </c>
      <c r="S281" s="1">
        <v>38.4</v>
      </c>
      <c r="T281" s="1">
        <v>1</v>
      </c>
      <c r="W281" s="4" t="s">
        <v>647</v>
      </c>
    </row>
    <row r="282" spans="1:23">
      <c r="A282" s="15">
        <v>1</v>
      </c>
      <c r="B282" s="1" t="s">
        <v>780</v>
      </c>
      <c r="C282" t="s">
        <v>782</v>
      </c>
      <c r="D282" s="1">
        <v>1</v>
      </c>
      <c r="E282" s="1" t="s">
        <v>734</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5" t="s">
        <v>512</v>
      </c>
      <c r="P282" s="5" t="s">
        <v>800</v>
      </c>
      <c r="Q282" s="5" t="s">
        <v>800</v>
      </c>
      <c r="R282" s="1">
        <v>38.4</v>
      </c>
      <c r="S282" s="1">
        <v>38.4</v>
      </c>
      <c r="T282" s="1">
        <v>0</v>
      </c>
      <c r="W282" s="4" t="s">
        <v>647</v>
      </c>
    </row>
    <row r="283" spans="1:23">
      <c r="A283" s="15">
        <v>1</v>
      </c>
      <c r="B283" s="1" t="s">
        <v>780</v>
      </c>
      <c r="C283" t="s">
        <v>782</v>
      </c>
      <c r="D283" s="1">
        <v>1</v>
      </c>
      <c r="E283" s="1" t="s">
        <v>728</v>
      </c>
      <c r="F283" s="4">
        <v>45446</v>
      </c>
      <c r="H283" s="6">
        <f t="shared" si="23"/>
        <v>0.23542824074074073</v>
      </c>
      <c r="J283" s="6">
        <v>1.6851851851851851E-2</v>
      </c>
      <c r="K283" s="3">
        <v>0.21857638888888889</v>
      </c>
      <c r="L283" s="1" t="s">
        <v>7</v>
      </c>
      <c r="M283" s="1" t="s">
        <v>8</v>
      </c>
      <c r="N283" s="1">
        <v>2</v>
      </c>
      <c r="O283" s="5" t="s">
        <v>512</v>
      </c>
      <c r="P283" s="5" t="s">
        <v>800</v>
      </c>
      <c r="Q283" s="5" t="s">
        <v>800</v>
      </c>
      <c r="R283" s="1">
        <v>38.4</v>
      </c>
      <c r="S283" s="1">
        <v>38.4</v>
      </c>
      <c r="T283" s="1">
        <v>0</v>
      </c>
      <c r="W283" s="4" t="s">
        <v>647</v>
      </c>
    </row>
    <row r="284" spans="1:23">
      <c r="A284" s="15">
        <v>1</v>
      </c>
      <c r="B284" s="1" t="s">
        <v>780</v>
      </c>
      <c r="C284" t="s">
        <v>782</v>
      </c>
      <c r="D284" s="1">
        <v>2</v>
      </c>
      <c r="E284" s="1" t="s">
        <v>728</v>
      </c>
      <c r="F284" s="4">
        <v>45446</v>
      </c>
      <c r="H284" s="6">
        <f t="shared" si="23"/>
        <v>0.24730324074074073</v>
      </c>
      <c r="J284" s="6">
        <v>2.8726851851851851E-2</v>
      </c>
      <c r="K284" s="3">
        <v>0.21857638888888889</v>
      </c>
      <c r="L284" s="1" t="s">
        <v>7</v>
      </c>
      <c r="M284" s="1" t="s">
        <v>8</v>
      </c>
      <c r="N284" s="1">
        <v>2</v>
      </c>
      <c r="O284" s="5" t="s">
        <v>512</v>
      </c>
      <c r="P284" s="5" t="s">
        <v>800</v>
      </c>
      <c r="Q284" s="5" t="s">
        <v>800</v>
      </c>
      <c r="R284" s="1">
        <v>38.4</v>
      </c>
      <c r="S284" s="1">
        <v>38.4</v>
      </c>
      <c r="T284" s="1">
        <v>0</v>
      </c>
      <c r="W284" s="4" t="s">
        <v>647</v>
      </c>
    </row>
    <row r="285" spans="1:23">
      <c r="A285" s="15">
        <v>1</v>
      </c>
      <c r="B285" s="1" t="s">
        <v>780</v>
      </c>
      <c r="C285" t="s">
        <v>782</v>
      </c>
      <c r="D285" s="1">
        <v>1</v>
      </c>
      <c r="E285" s="1" t="s">
        <v>729</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5" t="s">
        <v>512</v>
      </c>
      <c r="P285" s="5" t="s">
        <v>800</v>
      </c>
      <c r="Q285" s="5" t="s">
        <v>800</v>
      </c>
      <c r="R285" s="1">
        <v>38.4</v>
      </c>
      <c r="S285" s="1">
        <v>38.4</v>
      </c>
      <c r="T285" s="1">
        <v>1</v>
      </c>
      <c r="W285" s="4" t="s">
        <v>647</v>
      </c>
    </row>
    <row r="286" spans="1:23">
      <c r="A286" s="15">
        <v>1</v>
      </c>
      <c r="B286" s="1" t="s">
        <v>780</v>
      </c>
      <c r="C286" t="s">
        <v>782</v>
      </c>
      <c r="D286" s="1">
        <v>2</v>
      </c>
      <c r="E286" s="1" t="s">
        <v>729</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5" t="s">
        <v>512</v>
      </c>
      <c r="P286" s="5" t="s">
        <v>800</v>
      </c>
      <c r="Q286" s="5" t="s">
        <v>800</v>
      </c>
      <c r="R286" s="1">
        <v>38.4</v>
      </c>
      <c r="S286" s="1">
        <v>38.4</v>
      </c>
      <c r="T286" s="1">
        <v>1</v>
      </c>
      <c r="W286" s="4" t="s">
        <v>647</v>
      </c>
    </row>
    <row r="287" spans="1:23">
      <c r="A287" s="15">
        <v>1</v>
      </c>
      <c r="B287" s="1" t="s">
        <v>780</v>
      </c>
      <c r="C287" t="s">
        <v>782</v>
      </c>
      <c r="D287" s="1">
        <v>1</v>
      </c>
      <c r="E287" s="1" t="s">
        <v>730</v>
      </c>
      <c r="F287" s="4">
        <v>45445</v>
      </c>
      <c r="H287" s="6">
        <f t="shared" si="23"/>
        <v>0.23479166666666668</v>
      </c>
      <c r="J287" s="6">
        <v>5.1736111111111115E-3</v>
      </c>
      <c r="K287" s="3">
        <v>0.22961805555555556</v>
      </c>
      <c r="L287" s="1" t="s">
        <v>8</v>
      </c>
      <c r="M287" s="1" t="s">
        <v>7</v>
      </c>
      <c r="N287" s="1">
        <v>2</v>
      </c>
      <c r="O287" s="5" t="s">
        <v>512</v>
      </c>
      <c r="P287" s="5" t="s">
        <v>800</v>
      </c>
      <c r="Q287" s="5" t="s">
        <v>800</v>
      </c>
      <c r="R287" s="1">
        <v>38.4</v>
      </c>
      <c r="S287" s="1">
        <v>38.4</v>
      </c>
      <c r="T287" s="1">
        <v>1</v>
      </c>
      <c r="W287" s="4" t="s">
        <v>647</v>
      </c>
    </row>
    <row r="288" spans="1:23">
      <c r="A288" s="15">
        <v>1</v>
      </c>
      <c r="B288" s="1" t="s">
        <v>780</v>
      </c>
      <c r="C288" t="s">
        <v>782</v>
      </c>
      <c r="D288" s="1">
        <v>2</v>
      </c>
      <c r="E288" s="1" t="s">
        <v>730</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5" t="s">
        <v>512</v>
      </c>
      <c r="P288" s="5" t="s">
        <v>800</v>
      </c>
      <c r="Q288" s="5" t="s">
        <v>800</v>
      </c>
      <c r="R288" s="1">
        <v>38.4</v>
      </c>
      <c r="S288" s="1">
        <v>38.4</v>
      </c>
      <c r="T288" s="1">
        <v>1</v>
      </c>
      <c r="W288" s="4" t="s">
        <v>647</v>
      </c>
    </row>
    <row r="289" spans="1:23">
      <c r="A289" s="15">
        <v>1</v>
      </c>
      <c r="B289" s="1" t="s">
        <v>780</v>
      </c>
      <c r="C289" t="s">
        <v>782</v>
      </c>
      <c r="D289" s="1">
        <v>3</v>
      </c>
      <c r="E289" s="1" t="s">
        <v>730</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5" t="s">
        <v>512</v>
      </c>
      <c r="P289" s="5" t="s">
        <v>800</v>
      </c>
      <c r="Q289" s="5" t="s">
        <v>800</v>
      </c>
      <c r="R289" s="1">
        <v>38.4</v>
      </c>
      <c r="S289" s="1">
        <v>38.4</v>
      </c>
      <c r="T289" s="1">
        <v>1</v>
      </c>
      <c r="W289" s="4" t="s">
        <v>647</v>
      </c>
    </row>
    <row r="290" spans="1:23">
      <c r="A290" s="15">
        <v>1</v>
      </c>
      <c r="B290" s="1" t="s">
        <v>780</v>
      </c>
      <c r="C290" t="s">
        <v>782</v>
      </c>
      <c r="D290" s="1">
        <v>1</v>
      </c>
      <c r="E290" s="4" t="s">
        <v>731</v>
      </c>
      <c r="F290" s="4">
        <v>45444</v>
      </c>
      <c r="H290" s="6">
        <f t="shared" si="23"/>
        <v>0.22990740740740739</v>
      </c>
      <c r="J290" s="6">
        <v>7.1296296296296299E-3</v>
      </c>
      <c r="K290" s="6">
        <v>0.22277777777777777</v>
      </c>
      <c r="L290" s="1" t="s">
        <v>8</v>
      </c>
      <c r="M290" s="1" t="s">
        <v>8</v>
      </c>
      <c r="N290" s="1">
        <v>2</v>
      </c>
      <c r="O290" s="5" t="s">
        <v>512</v>
      </c>
      <c r="P290" s="5" t="s">
        <v>800</v>
      </c>
      <c r="Q290" s="5" t="s">
        <v>800</v>
      </c>
      <c r="R290" s="1">
        <v>38.4</v>
      </c>
      <c r="S290" s="1">
        <v>38.4</v>
      </c>
      <c r="T290" s="1">
        <v>0</v>
      </c>
      <c r="W290" s="4" t="s">
        <v>647</v>
      </c>
    </row>
    <row r="291" spans="1:23">
      <c r="A291" s="15">
        <v>1</v>
      </c>
      <c r="B291" s="1" t="s">
        <v>780</v>
      </c>
      <c r="C291" t="s">
        <v>782</v>
      </c>
      <c r="D291" s="1">
        <v>2</v>
      </c>
      <c r="E291" s="4" t="s">
        <v>731</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5" t="s">
        <v>512</v>
      </c>
      <c r="P291" s="5" t="s">
        <v>800</v>
      </c>
      <c r="Q291" s="5" t="s">
        <v>800</v>
      </c>
      <c r="R291" s="1">
        <v>38.4</v>
      </c>
      <c r="S291" s="1">
        <v>38.4</v>
      </c>
      <c r="T291" s="1">
        <v>0</v>
      </c>
      <c r="W291" s="4" t="s">
        <v>647</v>
      </c>
    </row>
    <row r="292" spans="1:23">
      <c r="A292" s="15">
        <v>1</v>
      </c>
      <c r="B292" s="1" t="s">
        <v>780</v>
      </c>
      <c r="C292" t="s">
        <v>782</v>
      </c>
      <c r="D292" s="1">
        <v>1</v>
      </c>
      <c r="E292" s="1" t="s">
        <v>735</v>
      </c>
      <c r="F292" s="4">
        <v>45448</v>
      </c>
      <c r="H292" s="6">
        <f t="shared" si="23"/>
        <v>0.23193287037037039</v>
      </c>
      <c r="J292" s="6">
        <v>1.4317129629629629E-2</v>
      </c>
      <c r="K292" s="6">
        <v>0.21761574074074075</v>
      </c>
      <c r="L292" s="1" t="s">
        <v>7</v>
      </c>
      <c r="M292" s="1" t="s">
        <v>8</v>
      </c>
      <c r="N292" s="1">
        <v>2</v>
      </c>
      <c r="O292" s="5" t="s">
        <v>512</v>
      </c>
      <c r="P292" s="5" t="s">
        <v>800</v>
      </c>
      <c r="Q292" s="5" t="s">
        <v>800</v>
      </c>
      <c r="R292" s="1">
        <v>38.4</v>
      </c>
      <c r="S292" s="1">
        <v>38.4</v>
      </c>
      <c r="T292" s="1">
        <v>0</v>
      </c>
      <c r="W292" s="4" t="s">
        <v>647</v>
      </c>
    </row>
    <row r="293" spans="1:23">
      <c r="A293" s="15">
        <v>1</v>
      </c>
      <c r="B293" s="1" t="s">
        <v>780</v>
      </c>
      <c r="C293" t="s">
        <v>782</v>
      </c>
      <c r="D293" s="1">
        <v>2</v>
      </c>
      <c r="E293" s="1" t="s">
        <v>735</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5" t="s">
        <v>512</v>
      </c>
      <c r="P293" s="5" t="s">
        <v>800</v>
      </c>
      <c r="Q293" s="5" t="s">
        <v>800</v>
      </c>
      <c r="R293" s="1">
        <v>38.4</v>
      </c>
      <c r="S293" s="1">
        <v>38.4</v>
      </c>
      <c r="T293" s="1">
        <v>0</v>
      </c>
      <c r="W293" s="4" t="s">
        <v>647</v>
      </c>
    </row>
    <row r="294" spans="1:23">
      <c r="A294" s="15">
        <v>1</v>
      </c>
      <c r="B294" s="1" t="s">
        <v>780</v>
      </c>
      <c r="C294" t="s">
        <v>782</v>
      </c>
      <c r="D294" s="1">
        <v>1</v>
      </c>
      <c r="E294" s="1" t="s">
        <v>736</v>
      </c>
      <c r="F294" s="4">
        <v>45449</v>
      </c>
      <c r="H294" s="6">
        <f t="shared" si="23"/>
        <v>0.22938657407407409</v>
      </c>
      <c r="J294" s="6">
        <v>8.2291666666666659E-3</v>
      </c>
      <c r="K294" s="3">
        <v>0.22115740740740741</v>
      </c>
      <c r="L294" s="1" t="s">
        <v>8</v>
      </c>
      <c r="M294" s="1" t="s">
        <v>8</v>
      </c>
      <c r="N294" s="1">
        <v>2</v>
      </c>
      <c r="O294" s="5" t="s">
        <v>512</v>
      </c>
      <c r="P294" s="5" t="s">
        <v>800</v>
      </c>
      <c r="Q294" s="5" t="s">
        <v>800</v>
      </c>
      <c r="R294" s="1">
        <v>38.4</v>
      </c>
      <c r="S294" s="1">
        <v>38.4</v>
      </c>
      <c r="T294" s="1">
        <v>0</v>
      </c>
      <c r="W294" s="4" t="s">
        <v>647</v>
      </c>
    </row>
    <row r="295" spans="1:23">
      <c r="A295" s="15">
        <v>1</v>
      </c>
      <c r="B295" s="1" t="s">
        <v>780</v>
      </c>
      <c r="C295" t="s">
        <v>782</v>
      </c>
      <c r="D295" s="1">
        <v>2</v>
      </c>
      <c r="E295" s="1" t="s">
        <v>736</v>
      </c>
      <c r="F295" s="4">
        <v>45449</v>
      </c>
      <c r="H295" s="6">
        <f t="shared" si="23"/>
        <v>0.24318287037037037</v>
      </c>
      <c r="J295" s="6">
        <v>2.2025462962962962E-2</v>
      </c>
      <c r="K295" s="3">
        <v>0.22115740740740741</v>
      </c>
      <c r="L295" s="1" t="s">
        <v>8</v>
      </c>
      <c r="M295" s="1" t="s">
        <v>8</v>
      </c>
      <c r="N295" s="1">
        <v>2</v>
      </c>
      <c r="O295" s="5" t="s">
        <v>512</v>
      </c>
      <c r="P295" s="5" t="s">
        <v>800</v>
      </c>
      <c r="Q295" s="5" t="s">
        <v>800</v>
      </c>
      <c r="R295" s="1">
        <v>38.4</v>
      </c>
      <c r="S295" s="1">
        <v>38.4</v>
      </c>
      <c r="T295" s="1">
        <v>0</v>
      </c>
      <c r="W295" s="4" t="s">
        <v>647</v>
      </c>
    </row>
    <row r="296" spans="1:23">
      <c r="A296" s="15">
        <v>1</v>
      </c>
      <c r="B296" s="1" t="s">
        <v>780</v>
      </c>
      <c r="C296" t="s">
        <v>782</v>
      </c>
      <c r="D296" s="1">
        <v>3</v>
      </c>
      <c r="E296" s="1" t="s">
        <v>736</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5" t="s">
        <v>512</v>
      </c>
      <c r="P296" s="5" t="s">
        <v>800</v>
      </c>
      <c r="Q296" s="5" t="s">
        <v>800</v>
      </c>
      <c r="R296" s="1">
        <v>38.4</v>
      </c>
      <c r="S296" s="1">
        <v>38.4</v>
      </c>
      <c r="T296" s="1">
        <v>0</v>
      </c>
      <c r="W296" s="4" t="s">
        <v>647</v>
      </c>
    </row>
    <row r="297" spans="1:23">
      <c r="A297" s="15">
        <v>1</v>
      </c>
      <c r="B297" s="1" t="s">
        <v>780</v>
      </c>
      <c r="C297" t="s">
        <v>782</v>
      </c>
      <c r="D297" s="1">
        <v>4</v>
      </c>
      <c r="E297" s="1" t="s">
        <v>736</v>
      </c>
      <c r="F297" s="4">
        <v>45449</v>
      </c>
      <c r="G297" s="3">
        <f>I297+K297</f>
        <v>0.25015046296296295</v>
      </c>
      <c r="H297" s="6">
        <f t="shared" si="23"/>
        <v>0.2553125</v>
      </c>
      <c r="I297" s="3">
        <v>2.8993055555555557E-2</v>
      </c>
      <c r="J297" s="6">
        <v>3.4155092592592591E-2</v>
      </c>
      <c r="K297" s="3">
        <v>0.22115740740740741</v>
      </c>
      <c r="L297" s="1" t="s">
        <v>8</v>
      </c>
      <c r="M297" s="1" t="s">
        <v>8</v>
      </c>
      <c r="N297" s="1">
        <v>2</v>
      </c>
      <c r="O297" s="5" t="s">
        <v>512</v>
      </c>
      <c r="P297" s="5" t="s">
        <v>800</v>
      </c>
      <c r="Q297" s="5" t="s">
        <v>800</v>
      </c>
      <c r="R297" s="1">
        <v>38.4</v>
      </c>
      <c r="S297" s="1">
        <v>38.4</v>
      </c>
      <c r="T297" s="1">
        <v>1</v>
      </c>
      <c r="W297" s="4" t="s">
        <v>647</v>
      </c>
    </row>
    <row r="298" spans="1:23">
      <c r="A298" s="15">
        <v>1</v>
      </c>
      <c r="B298" s="1" t="s">
        <v>780</v>
      </c>
      <c r="C298" t="s">
        <v>782</v>
      </c>
      <c r="D298" s="1">
        <v>1</v>
      </c>
      <c r="E298" s="1" t="s">
        <v>737</v>
      </c>
      <c r="F298" s="4">
        <v>45448</v>
      </c>
      <c r="G298" s="3"/>
      <c r="H298" s="6" t="s">
        <v>21</v>
      </c>
      <c r="I298" s="3">
        <v>0.22115740740740741</v>
      </c>
      <c r="J298" s="6" t="s">
        <v>21</v>
      </c>
      <c r="K298" s="3">
        <v>0.76388888888888884</v>
      </c>
      <c r="L298" s="1" t="s">
        <v>8</v>
      </c>
      <c r="M298" s="1" t="s">
        <v>8</v>
      </c>
      <c r="N298" s="1">
        <v>2</v>
      </c>
      <c r="O298" s="5" t="s">
        <v>512</v>
      </c>
      <c r="P298" s="5" t="s">
        <v>800</v>
      </c>
      <c r="Q298" s="5" t="s">
        <v>800</v>
      </c>
      <c r="R298" s="1">
        <v>38.4</v>
      </c>
      <c r="S298" s="1">
        <v>38.4</v>
      </c>
      <c r="T298" s="1" t="s">
        <v>21</v>
      </c>
      <c r="U298" s="1" t="s">
        <v>738</v>
      </c>
      <c r="W298" s="4" t="s">
        <v>647</v>
      </c>
    </row>
    <row r="299" spans="1:23">
      <c r="A299" s="15">
        <v>1</v>
      </c>
      <c r="B299" s="1" t="s">
        <v>780</v>
      </c>
      <c r="C299" t="s">
        <v>782</v>
      </c>
      <c r="D299" s="1">
        <v>2</v>
      </c>
      <c r="E299" s="1" t="s">
        <v>737</v>
      </c>
      <c r="F299" s="4">
        <v>45448</v>
      </c>
      <c r="G299" s="3">
        <f>I299+K299</f>
        <v>0.78267361111111111</v>
      </c>
      <c r="H299" s="6" t="s">
        <v>21</v>
      </c>
      <c r="I299" s="3">
        <v>1.8784722222222223E-2</v>
      </c>
      <c r="J299" s="6" t="s">
        <v>21</v>
      </c>
      <c r="K299" s="3">
        <v>0.76388888888888884</v>
      </c>
      <c r="L299" s="1" t="s">
        <v>8</v>
      </c>
      <c r="M299" s="1" t="s">
        <v>8</v>
      </c>
      <c r="N299" s="1">
        <v>2</v>
      </c>
      <c r="O299" s="5" t="s">
        <v>512</v>
      </c>
      <c r="P299" s="5" t="s">
        <v>800</v>
      </c>
      <c r="Q299" s="5" t="s">
        <v>800</v>
      </c>
      <c r="R299" s="1">
        <v>38.4</v>
      </c>
      <c r="S299" s="1">
        <v>38.4</v>
      </c>
      <c r="T299" s="1" t="s">
        <v>21</v>
      </c>
      <c r="W299" s="4" t="s">
        <v>647</v>
      </c>
    </row>
    <row r="300" spans="1:23">
      <c r="A300" s="15">
        <v>1</v>
      </c>
      <c r="B300" s="1" t="s">
        <v>780</v>
      </c>
      <c r="C300" t="s">
        <v>782</v>
      </c>
      <c r="D300" s="1">
        <v>1</v>
      </c>
      <c r="E300" s="1" t="s">
        <v>739</v>
      </c>
      <c r="F300" s="4">
        <v>45450</v>
      </c>
      <c r="H300" s="6">
        <f t="shared" ref="H300:H324" si="24">J300+K300</f>
        <v>0.23401620370370371</v>
      </c>
      <c r="J300" s="6">
        <v>1.2685185185185185E-2</v>
      </c>
      <c r="K300" s="3">
        <v>0.22133101851851852</v>
      </c>
      <c r="L300" s="1" t="s">
        <v>7</v>
      </c>
      <c r="M300" s="1" t="s">
        <v>7</v>
      </c>
      <c r="N300" s="1">
        <v>2</v>
      </c>
      <c r="O300" s="5" t="s">
        <v>512</v>
      </c>
      <c r="P300" s="5" t="s">
        <v>800</v>
      </c>
      <c r="Q300" s="5" t="s">
        <v>800</v>
      </c>
      <c r="R300" s="1">
        <v>38.4</v>
      </c>
      <c r="S300" s="1">
        <v>38.4</v>
      </c>
      <c r="T300" s="1">
        <v>1</v>
      </c>
      <c r="V300" s="2" t="s">
        <v>672</v>
      </c>
      <c r="W300" s="4" t="s">
        <v>647</v>
      </c>
    </row>
    <row r="301" spans="1:23">
      <c r="A301" s="15">
        <v>1</v>
      </c>
      <c r="B301" s="1" t="s">
        <v>780</v>
      </c>
      <c r="C301" t="s">
        <v>782</v>
      </c>
      <c r="D301" s="1">
        <v>2</v>
      </c>
      <c r="E301" s="1" t="s">
        <v>739</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5" t="s">
        <v>512</v>
      </c>
      <c r="P301" s="5" t="s">
        <v>800</v>
      </c>
      <c r="Q301" s="5" t="s">
        <v>800</v>
      </c>
      <c r="R301" s="1">
        <v>38.4</v>
      </c>
      <c r="S301" s="1">
        <v>38.4</v>
      </c>
      <c r="T301" s="1">
        <v>1</v>
      </c>
      <c r="W301" s="4" t="s">
        <v>647</v>
      </c>
    </row>
    <row r="302" spans="1:23">
      <c r="A302" s="15">
        <v>1</v>
      </c>
      <c r="B302" s="1" t="s">
        <v>780</v>
      </c>
      <c r="C302" t="s">
        <v>782</v>
      </c>
      <c r="D302" s="1">
        <v>1</v>
      </c>
      <c r="E302" s="1" t="s">
        <v>740</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5" t="s">
        <v>512</v>
      </c>
      <c r="P302" s="5" t="s">
        <v>800</v>
      </c>
      <c r="Q302" s="5" t="s">
        <v>800</v>
      </c>
      <c r="R302" s="1">
        <v>38.4</v>
      </c>
      <c r="S302" s="1">
        <v>38.4</v>
      </c>
      <c r="T302" s="1">
        <v>1</v>
      </c>
      <c r="W302" s="4" t="s">
        <v>647</v>
      </c>
    </row>
    <row r="303" spans="1:23">
      <c r="A303" s="15">
        <v>1</v>
      </c>
      <c r="B303" s="1" t="s">
        <v>780</v>
      </c>
      <c r="C303" t="s">
        <v>782</v>
      </c>
      <c r="D303" s="1">
        <v>2</v>
      </c>
      <c r="E303" s="1" t="s">
        <v>740</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5" t="s">
        <v>512</v>
      </c>
      <c r="P303" s="5" t="s">
        <v>800</v>
      </c>
      <c r="Q303" s="5" t="s">
        <v>800</v>
      </c>
      <c r="R303" s="1">
        <v>38.4</v>
      </c>
      <c r="S303" s="1">
        <v>38.4</v>
      </c>
      <c r="T303" s="1">
        <v>1</v>
      </c>
      <c r="V303" s="2" t="s">
        <v>741</v>
      </c>
      <c r="W303" s="4" t="s">
        <v>647</v>
      </c>
    </row>
    <row r="304" spans="1:23">
      <c r="A304" s="15">
        <v>1</v>
      </c>
      <c r="B304" s="1" t="s">
        <v>780</v>
      </c>
      <c r="C304" t="s">
        <v>782</v>
      </c>
      <c r="D304" s="1">
        <v>1</v>
      </c>
      <c r="E304" s="1" t="s">
        <v>742</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5" t="s">
        <v>512</v>
      </c>
      <c r="P304" s="5" t="s">
        <v>800</v>
      </c>
      <c r="Q304" s="5" t="s">
        <v>800</v>
      </c>
      <c r="R304" s="1">
        <v>38.4</v>
      </c>
      <c r="S304" s="1">
        <v>38.4</v>
      </c>
      <c r="T304" s="1">
        <v>0</v>
      </c>
      <c r="W304" s="4" t="s">
        <v>647</v>
      </c>
    </row>
    <row r="305" spans="1:23">
      <c r="A305" s="15">
        <v>1</v>
      </c>
      <c r="B305" s="1" t="s">
        <v>780</v>
      </c>
      <c r="C305" t="s">
        <v>782</v>
      </c>
      <c r="D305" s="1">
        <v>1</v>
      </c>
      <c r="E305" s="1" t="s">
        <v>743</v>
      </c>
      <c r="F305" s="4">
        <v>45451</v>
      </c>
      <c r="G305" s="1" t="s">
        <v>21</v>
      </c>
      <c r="H305" s="6">
        <f t="shared" si="24"/>
        <v>0.229375</v>
      </c>
      <c r="I305" s="1" t="s">
        <v>21</v>
      </c>
      <c r="J305" s="6">
        <v>1.1793981481481482E-2</v>
      </c>
      <c r="K305" s="3">
        <v>0.21758101851851852</v>
      </c>
      <c r="L305" s="1" t="s">
        <v>8</v>
      </c>
      <c r="M305" s="1" t="s">
        <v>8</v>
      </c>
      <c r="N305" s="1">
        <v>2</v>
      </c>
      <c r="O305" s="5" t="s">
        <v>512</v>
      </c>
      <c r="P305" s="5" t="s">
        <v>800</v>
      </c>
      <c r="Q305" s="5" t="s">
        <v>800</v>
      </c>
      <c r="R305" s="1">
        <v>38.4</v>
      </c>
      <c r="S305" s="1">
        <v>38.4</v>
      </c>
      <c r="T305" s="1">
        <v>0</v>
      </c>
      <c r="V305" s="2" t="s">
        <v>744</v>
      </c>
      <c r="W305" s="4" t="s">
        <v>647</v>
      </c>
    </row>
    <row r="306" spans="1:23">
      <c r="A306" s="15">
        <v>1</v>
      </c>
      <c r="B306" s="1" t="s">
        <v>780</v>
      </c>
      <c r="C306" t="s">
        <v>782</v>
      </c>
      <c r="D306" s="1">
        <v>2</v>
      </c>
      <c r="E306" s="1" t="s">
        <v>743</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5" t="s">
        <v>512</v>
      </c>
      <c r="P306" s="5" t="s">
        <v>800</v>
      </c>
      <c r="Q306" s="5" t="s">
        <v>800</v>
      </c>
      <c r="R306" s="1">
        <v>38.4</v>
      </c>
      <c r="S306" s="1">
        <v>38.4</v>
      </c>
      <c r="T306" s="1">
        <v>0</v>
      </c>
      <c r="W306" s="4" t="s">
        <v>647</v>
      </c>
    </row>
    <row r="307" spans="1:23">
      <c r="A307" s="15">
        <v>1</v>
      </c>
      <c r="B307" s="1" t="s">
        <v>780</v>
      </c>
      <c r="C307" t="s">
        <v>782</v>
      </c>
      <c r="D307" s="1">
        <v>3</v>
      </c>
      <c r="E307" s="1" t="s">
        <v>743</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5" t="s">
        <v>512</v>
      </c>
      <c r="P307" s="5" t="s">
        <v>800</v>
      </c>
      <c r="Q307" s="5" t="s">
        <v>800</v>
      </c>
      <c r="R307" s="1">
        <v>38.4</v>
      </c>
      <c r="S307" s="1">
        <v>38.4</v>
      </c>
      <c r="T307" s="1">
        <v>1</v>
      </c>
      <c r="W307" s="4" t="s">
        <v>647</v>
      </c>
    </row>
    <row r="308" spans="1:23">
      <c r="A308" s="15">
        <v>1</v>
      </c>
      <c r="B308" s="1" t="s">
        <v>780</v>
      </c>
      <c r="C308" t="s">
        <v>782</v>
      </c>
      <c r="D308" s="1">
        <v>1</v>
      </c>
      <c r="E308" s="1" t="s">
        <v>745</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5" t="s">
        <v>512</v>
      </c>
      <c r="P308" s="5" t="s">
        <v>800</v>
      </c>
      <c r="Q308" s="5" t="s">
        <v>800</v>
      </c>
      <c r="R308" s="1">
        <v>38.4</v>
      </c>
      <c r="S308" s="2">
        <v>115.17</v>
      </c>
      <c r="T308" s="1">
        <v>1</v>
      </c>
      <c r="W308" s="4" t="s">
        <v>647</v>
      </c>
    </row>
    <row r="309" spans="1:23">
      <c r="A309" s="15">
        <v>1</v>
      </c>
      <c r="B309" s="1" t="s">
        <v>780</v>
      </c>
      <c r="C309" t="s">
        <v>782</v>
      </c>
      <c r="D309" s="1">
        <v>1</v>
      </c>
      <c r="E309" s="1" t="s">
        <v>747</v>
      </c>
      <c r="F309" s="4">
        <v>45452</v>
      </c>
      <c r="H309" s="6">
        <f t="shared" si="24"/>
        <v>0.22699074074074074</v>
      </c>
      <c r="J309" s="6">
        <v>1.0949074074074075E-2</v>
      </c>
      <c r="K309" s="3">
        <v>0.21604166666666666</v>
      </c>
      <c r="L309" s="1" t="s">
        <v>8</v>
      </c>
      <c r="M309" s="1" t="s">
        <v>8</v>
      </c>
      <c r="N309" s="1">
        <v>2</v>
      </c>
      <c r="O309" s="5" t="s">
        <v>512</v>
      </c>
      <c r="P309" s="5" t="s">
        <v>800</v>
      </c>
      <c r="Q309" s="5" t="s">
        <v>800</v>
      </c>
      <c r="R309" s="2">
        <v>115.17</v>
      </c>
      <c r="S309" s="2">
        <v>115.17</v>
      </c>
      <c r="T309" s="1">
        <v>1</v>
      </c>
      <c r="U309" s="1" t="s">
        <v>746</v>
      </c>
      <c r="W309" s="4" t="s">
        <v>647</v>
      </c>
    </row>
    <row r="310" spans="1:23">
      <c r="A310" s="15">
        <v>1</v>
      </c>
      <c r="B310" s="1" t="s">
        <v>780</v>
      </c>
      <c r="C310" t="s">
        <v>782</v>
      </c>
      <c r="D310" s="1">
        <v>2</v>
      </c>
      <c r="E310" s="1" t="s">
        <v>747</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5" t="s">
        <v>512</v>
      </c>
      <c r="P310" s="5" t="s">
        <v>800</v>
      </c>
      <c r="Q310" s="5" t="s">
        <v>800</v>
      </c>
      <c r="R310" s="2">
        <v>115.17</v>
      </c>
      <c r="S310" s="2">
        <v>115.17</v>
      </c>
      <c r="T310" s="1">
        <v>1</v>
      </c>
      <c r="W310" s="4" t="s">
        <v>647</v>
      </c>
    </row>
    <row r="311" spans="1:23">
      <c r="A311" s="15">
        <v>1</v>
      </c>
      <c r="B311" s="1" t="s">
        <v>780</v>
      </c>
      <c r="C311" t="s">
        <v>782</v>
      </c>
      <c r="D311" s="1">
        <v>1</v>
      </c>
      <c r="E311" s="1" t="s">
        <v>748</v>
      </c>
      <c r="F311" s="4">
        <v>45454</v>
      </c>
      <c r="H311" s="6">
        <f t="shared" si="24"/>
        <v>0.79517361111111118</v>
      </c>
      <c r="J311" s="6">
        <v>1.8576388888888889E-2</v>
      </c>
      <c r="K311" s="3">
        <v>0.77659722222222227</v>
      </c>
      <c r="L311" s="1" t="s">
        <v>8</v>
      </c>
      <c r="M311" s="1" t="s">
        <v>7</v>
      </c>
      <c r="N311" s="1">
        <v>2</v>
      </c>
      <c r="O311" s="5" t="s">
        <v>512</v>
      </c>
      <c r="P311" s="5" t="s">
        <v>800</v>
      </c>
      <c r="Q311" s="5" t="s">
        <v>800</v>
      </c>
      <c r="R311" s="2">
        <v>115.17</v>
      </c>
      <c r="S311" s="2">
        <v>115.17</v>
      </c>
      <c r="T311" s="1">
        <v>1</v>
      </c>
      <c r="W311" s="4" t="s">
        <v>647</v>
      </c>
    </row>
    <row r="312" spans="1:23">
      <c r="A312" s="15">
        <v>1</v>
      </c>
      <c r="B312" s="1" t="s">
        <v>780</v>
      </c>
      <c r="C312" t="s">
        <v>782</v>
      </c>
      <c r="D312" s="1">
        <v>1</v>
      </c>
      <c r="E312" s="1" t="s">
        <v>749</v>
      </c>
      <c r="F312" s="4">
        <v>45453</v>
      </c>
      <c r="H312" s="6">
        <f t="shared" si="24"/>
        <v>0.77613425925925927</v>
      </c>
      <c r="J312" s="6">
        <v>1.7592592592592592E-3</v>
      </c>
      <c r="K312" s="3">
        <v>0.77437500000000004</v>
      </c>
      <c r="L312" s="1" t="s">
        <v>8</v>
      </c>
      <c r="M312" s="1" t="s">
        <v>8</v>
      </c>
      <c r="N312" s="1">
        <v>2</v>
      </c>
      <c r="O312" s="5" t="s">
        <v>512</v>
      </c>
      <c r="P312" s="5" t="s">
        <v>800</v>
      </c>
      <c r="Q312" s="5" t="s">
        <v>800</v>
      </c>
      <c r="R312" s="2">
        <v>115.17</v>
      </c>
      <c r="S312" s="2">
        <v>115.17</v>
      </c>
      <c r="T312" s="1">
        <v>1</v>
      </c>
      <c r="W312" s="4" t="s">
        <v>647</v>
      </c>
    </row>
    <row r="313" spans="1:23">
      <c r="A313" s="15">
        <v>1</v>
      </c>
      <c r="B313" s="1" t="s">
        <v>780</v>
      </c>
      <c r="C313" t="s">
        <v>782</v>
      </c>
      <c r="D313" s="1">
        <v>1</v>
      </c>
      <c r="E313" s="1" t="s">
        <v>750</v>
      </c>
      <c r="F313" s="4">
        <v>45455</v>
      </c>
      <c r="H313" s="6">
        <f t="shared" si="24"/>
        <v>0.22692129629629629</v>
      </c>
      <c r="J313" s="6">
        <v>6.1342592592592594E-3</v>
      </c>
      <c r="K313" s="3">
        <v>0.22078703703703703</v>
      </c>
      <c r="L313" s="1" t="s">
        <v>7</v>
      </c>
      <c r="M313" s="1" t="s">
        <v>8</v>
      </c>
      <c r="N313" s="1">
        <v>2</v>
      </c>
      <c r="O313" s="5" t="s">
        <v>512</v>
      </c>
      <c r="P313" s="5" t="s">
        <v>800</v>
      </c>
      <c r="Q313" s="5" t="s">
        <v>800</v>
      </c>
      <c r="R313" s="2">
        <v>115.17</v>
      </c>
      <c r="S313" s="2">
        <v>115.17</v>
      </c>
      <c r="T313" s="1">
        <v>1</v>
      </c>
      <c r="W313" s="4" t="s">
        <v>647</v>
      </c>
    </row>
    <row r="314" spans="1:23">
      <c r="A314" s="15">
        <v>1</v>
      </c>
      <c r="B314" s="1" t="s">
        <v>780</v>
      </c>
      <c r="C314" t="s">
        <v>782</v>
      </c>
      <c r="D314" s="1">
        <v>2</v>
      </c>
      <c r="E314" s="1" t="s">
        <v>750</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5" t="s">
        <v>512</v>
      </c>
      <c r="P314" s="5" t="s">
        <v>800</v>
      </c>
      <c r="Q314" s="5" t="s">
        <v>800</v>
      </c>
      <c r="R314" s="2">
        <v>115.17</v>
      </c>
      <c r="S314" s="2">
        <v>115.17</v>
      </c>
      <c r="T314" s="1">
        <v>1</v>
      </c>
      <c r="W314" s="4" t="s">
        <v>647</v>
      </c>
    </row>
    <row r="315" spans="1:23">
      <c r="A315" s="15">
        <v>1</v>
      </c>
      <c r="B315" s="1" t="s">
        <v>780</v>
      </c>
      <c r="C315" t="s">
        <v>782</v>
      </c>
      <c r="D315" s="1">
        <v>1</v>
      </c>
      <c r="E315" s="1" t="s">
        <v>751</v>
      </c>
      <c r="F315" s="4">
        <v>45455</v>
      </c>
      <c r="H315" s="6">
        <f t="shared" si="24"/>
        <v>0.79962962962962958</v>
      </c>
      <c r="J315" s="6">
        <v>1.818287037037037E-2</v>
      </c>
      <c r="K315" s="3">
        <v>0.78144675925925922</v>
      </c>
      <c r="L315" s="1" t="s">
        <v>8</v>
      </c>
      <c r="M315" s="1" t="s">
        <v>7</v>
      </c>
      <c r="N315" s="1">
        <v>2</v>
      </c>
      <c r="O315" s="5" t="s">
        <v>512</v>
      </c>
      <c r="P315" s="5" t="s">
        <v>800</v>
      </c>
      <c r="Q315" s="5" t="s">
        <v>800</v>
      </c>
      <c r="R315" s="2">
        <v>115.17</v>
      </c>
      <c r="S315" s="2">
        <v>115.17</v>
      </c>
      <c r="T315" s="1">
        <v>0</v>
      </c>
      <c r="W315" s="4" t="s">
        <v>647</v>
      </c>
    </row>
    <row r="316" spans="1:23">
      <c r="A316" s="15">
        <v>1</v>
      </c>
      <c r="B316" s="1" t="s">
        <v>780</v>
      </c>
      <c r="C316" t="s">
        <v>782</v>
      </c>
      <c r="D316" s="1">
        <v>1</v>
      </c>
      <c r="E316" s="1" t="s">
        <v>752</v>
      </c>
      <c r="F316" s="4">
        <v>45456</v>
      </c>
      <c r="H316" s="6">
        <f t="shared" si="24"/>
        <v>0.23859953703703704</v>
      </c>
      <c r="J316" s="6">
        <v>1.7037037037037038E-2</v>
      </c>
      <c r="K316" s="3">
        <v>0.2215625</v>
      </c>
      <c r="L316" s="1" t="s">
        <v>7</v>
      </c>
      <c r="M316" s="1" t="s">
        <v>7</v>
      </c>
      <c r="N316" s="1">
        <v>2</v>
      </c>
      <c r="O316" s="5" t="s">
        <v>512</v>
      </c>
      <c r="P316" s="5" t="s">
        <v>800</v>
      </c>
      <c r="Q316" s="5" t="s">
        <v>800</v>
      </c>
      <c r="R316" s="2">
        <v>115.17</v>
      </c>
      <c r="S316" s="2">
        <v>115.17</v>
      </c>
      <c r="T316" s="1">
        <v>1</v>
      </c>
      <c r="W316" s="4" t="s">
        <v>647</v>
      </c>
    </row>
    <row r="317" spans="1:23">
      <c r="A317" s="15">
        <v>1</v>
      </c>
      <c r="B317" s="1" t="s">
        <v>780</v>
      </c>
      <c r="C317" t="s">
        <v>782</v>
      </c>
      <c r="D317" s="1">
        <v>2</v>
      </c>
      <c r="E317" s="1" t="s">
        <v>752</v>
      </c>
      <c r="F317" s="4">
        <v>45456</v>
      </c>
      <c r="G317" s="3">
        <f>I317+K317</f>
        <v>0.23773148148148149</v>
      </c>
      <c r="H317" s="6">
        <f t="shared" si="24"/>
        <v>0.24581018518518519</v>
      </c>
      <c r="I317" s="3">
        <v>1.6168981481481482E-2</v>
      </c>
      <c r="J317" s="6">
        <v>2.4247685185185185E-2</v>
      </c>
      <c r="K317" s="3">
        <v>0.2215625</v>
      </c>
      <c r="L317" s="1" t="s">
        <v>7</v>
      </c>
      <c r="M317" s="1" t="s">
        <v>7</v>
      </c>
      <c r="N317" s="1">
        <v>2</v>
      </c>
      <c r="O317" s="5" t="s">
        <v>512</v>
      </c>
      <c r="P317" s="5" t="s">
        <v>800</v>
      </c>
      <c r="Q317" s="5" t="s">
        <v>800</v>
      </c>
      <c r="R317" s="2">
        <v>115.17</v>
      </c>
      <c r="S317" s="2">
        <v>115.17</v>
      </c>
      <c r="T317" s="1">
        <v>1</v>
      </c>
      <c r="W317" s="4" t="s">
        <v>647</v>
      </c>
    </row>
    <row r="318" spans="1:23">
      <c r="A318" s="15">
        <v>1</v>
      </c>
      <c r="B318" s="1" t="s">
        <v>780</v>
      </c>
      <c r="C318" t="s">
        <v>782</v>
      </c>
      <c r="D318" s="1">
        <v>3</v>
      </c>
      <c r="E318" s="1" t="s">
        <v>752</v>
      </c>
      <c r="F318" s="4">
        <v>45456</v>
      </c>
      <c r="G318" s="3">
        <f>I318+K318</f>
        <v>0.2399074074074074</v>
      </c>
      <c r="H318" s="6">
        <f t="shared" si="24"/>
        <v>0.25364583333333335</v>
      </c>
      <c r="I318" s="3">
        <v>1.8344907407407407E-2</v>
      </c>
      <c r="J318" s="6">
        <v>3.2083333333333332E-2</v>
      </c>
      <c r="K318" s="3">
        <v>0.2215625</v>
      </c>
      <c r="L318" s="1" t="s">
        <v>7</v>
      </c>
      <c r="M318" s="1" t="s">
        <v>7</v>
      </c>
      <c r="N318" s="1">
        <v>2</v>
      </c>
      <c r="O318" s="5" t="s">
        <v>512</v>
      </c>
      <c r="P318" s="5" t="s">
        <v>800</v>
      </c>
      <c r="Q318" s="5" t="s">
        <v>800</v>
      </c>
      <c r="R318" s="2">
        <v>115.17</v>
      </c>
      <c r="S318" s="2">
        <v>115.17</v>
      </c>
      <c r="T318" s="1">
        <v>1</v>
      </c>
      <c r="W318" s="4" t="s">
        <v>647</v>
      </c>
    </row>
    <row r="319" spans="1:23">
      <c r="A319" s="15">
        <v>1</v>
      </c>
      <c r="B319" s="1" t="s">
        <v>780</v>
      </c>
      <c r="C319" t="s">
        <v>782</v>
      </c>
      <c r="D319" s="1">
        <v>1</v>
      </c>
      <c r="E319" s="1" t="s">
        <v>753</v>
      </c>
      <c r="F319" s="4">
        <v>45456</v>
      </c>
      <c r="H319" s="6">
        <f t="shared" si="24"/>
        <v>0.77089120370370379</v>
      </c>
      <c r="J319" s="6">
        <v>2.0833333333333335E-4</v>
      </c>
      <c r="K319" s="3">
        <v>0.77068287037037042</v>
      </c>
      <c r="L319" s="1" t="s">
        <v>7</v>
      </c>
      <c r="M319" s="1" t="s">
        <v>7</v>
      </c>
      <c r="N319" s="1">
        <v>2</v>
      </c>
      <c r="O319" s="5" t="s">
        <v>512</v>
      </c>
      <c r="P319" s="5" t="s">
        <v>800</v>
      </c>
      <c r="Q319" s="5" t="s">
        <v>800</v>
      </c>
      <c r="R319" s="2">
        <v>115.17</v>
      </c>
      <c r="S319" s="2">
        <v>115.17</v>
      </c>
      <c r="T319" s="1">
        <v>1</v>
      </c>
      <c r="W319" s="4" t="s">
        <v>647</v>
      </c>
    </row>
    <row r="320" spans="1:23">
      <c r="A320" s="15">
        <v>1</v>
      </c>
      <c r="B320" s="1" t="s">
        <v>780</v>
      </c>
      <c r="C320" t="s">
        <v>782</v>
      </c>
      <c r="D320" s="1">
        <v>2</v>
      </c>
      <c r="E320" s="1" t="s">
        <v>753</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5" t="s">
        <v>512</v>
      </c>
      <c r="P320" s="5" t="s">
        <v>800</v>
      </c>
      <c r="Q320" s="5" t="s">
        <v>800</v>
      </c>
      <c r="R320" s="2">
        <v>115.17</v>
      </c>
      <c r="S320" s="2">
        <v>115.17</v>
      </c>
      <c r="T320" s="1">
        <v>1</v>
      </c>
      <c r="W320" s="4" t="s">
        <v>647</v>
      </c>
    </row>
    <row r="321" spans="1:23">
      <c r="A321" s="15">
        <v>1</v>
      </c>
      <c r="B321" s="1" t="s">
        <v>780</v>
      </c>
      <c r="C321" t="s">
        <v>782</v>
      </c>
      <c r="D321" s="1">
        <v>3</v>
      </c>
      <c r="E321" s="1" t="s">
        <v>753</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5" t="s">
        <v>512</v>
      </c>
      <c r="P321" s="5" t="s">
        <v>800</v>
      </c>
      <c r="Q321" s="5" t="s">
        <v>800</v>
      </c>
      <c r="R321" s="2">
        <v>115.17</v>
      </c>
      <c r="S321" s="2">
        <v>115.17</v>
      </c>
      <c r="T321" s="1">
        <v>1</v>
      </c>
      <c r="W321" s="4" t="s">
        <v>647</v>
      </c>
    </row>
    <row r="322" spans="1:23">
      <c r="A322" s="15">
        <v>1</v>
      </c>
      <c r="B322" s="1" t="s">
        <v>780</v>
      </c>
      <c r="C322" t="s">
        <v>782</v>
      </c>
      <c r="D322" s="1">
        <v>1</v>
      </c>
      <c r="E322" s="1" t="s">
        <v>754</v>
      </c>
      <c r="F322" s="4">
        <v>45457</v>
      </c>
      <c r="H322" s="6">
        <f t="shared" si="24"/>
        <v>0.23956018518518518</v>
      </c>
      <c r="J322" s="6">
        <v>2.0081018518518519E-2</v>
      </c>
      <c r="K322" s="3">
        <v>0.21947916666666667</v>
      </c>
      <c r="L322" s="1" t="s">
        <v>8</v>
      </c>
      <c r="M322" s="1" t="s">
        <v>8</v>
      </c>
      <c r="N322" s="1">
        <v>2</v>
      </c>
      <c r="O322" s="5" t="s">
        <v>512</v>
      </c>
      <c r="P322" s="5" t="s">
        <v>800</v>
      </c>
      <c r="Q322" s="5" t="s">
        <v>800</v>
      </c>
      <c r="R322" s="2">
        <v>115.17</v>
      </c>
      <c r="S322" s="2">
        <v>115.17</v>
      </c>
      <c r="T322" s="1">
        <v>1</v>
      </c>
      <c r="W322" s="4" t="s">
        <v>647</v>
      </c>
    </row>
    <row r="323" spans="1:23">
      <c r="A323" s="15">
        <v>1</v>
      </c>
      <c r="B323" s="1" t="s">
        <v>780</v>
      </c>
      <c r="C323" t="s">
        <v>782</v>
      </c>
      <c r="D323" s="1">
        <v>2</v>
      </c>
      <c r="E323" s="1" t="s">
        <v>754</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5" t="s">
        <v>512</v>
      </c>
      <c r="P323" s="5" t="s">
        <v>800</v>
      </c>
      <c r="Q323" s="5" t="s">
        <v>800</v>
      </c>
      <c r="R323" s="2">
        <v>115.17</v>
      </c>
      <c r="S323" s="2">
        <v>115.17</v>
      </c>
      <c r="T323" s="1">
        <v>1</v>
      </c>
      <c r="W323" s="4" t="s">
        <v>647</v>
      </c>
    </row>
    <row r="324" spans="1:23">
      <c r="A324" s="15">
        <v>1</v>
      </c>
      <c r="B324" s="1" t="s">
        <v>780</v>
      </c>
      <c r="C324" t="s">
        <v>782</v>
      </c>
      <c r="D324" s="1">
        <v>1</v>
      </c>
      <c r="E324" s="1" t="s">
        <v>725</v>
      </c>
      <c r="F324" s="4">
        <v>45457</v>
      </c>
      <c r="H324" s="6">
        <f t="shared" si="24"/>
        <v>0.79148148148148156</v>
      </c>
      <c r="J324" s="6">
        <v>2.4849537037037038E-2</v>
      </c>
      <c r="K324" s="6">
        <v>0.76663194444444449</v>
      </c>
      <c r="L324" s="1" t="s">
        <v>8</v>
      </c>
      <c r="M324" s="1" t="s">
        <v>7</v>
      </c>
      <c r="N324" s="1">
        <v>2</v>
      </c>
      <c r="O324" s="5" t="s">
        <v>512</v>
      </c>
      <c r="P324" s="5" t="s">
        <v>800</v>
      </c>
      <c r="Q324" s="5" t="s">
        <v>800</v>
      </c>
      <c r="R324" s="2">
        <v>115.17</v>
      </c>
      <c r="S324" s="2">
        <v>115.17</v>
      </c>
      <c r="T324" s="1">
        <v>0</v>
      </c>
      <c r="W324" s="4" t="s">
        <v>647</v>
      </c>
    </row>
    <row r="325" spans="1:23">
      <c r="A325" s="15">
        <v>1</v>
      </c>
      <c r="B325" s="1" t="s">
        <v>780</v>
      </c>
      <c r="C325" t="s">
        <v>782</v>
      </c>
      <c r="D325" s="1">
        <v>1</v>
      </c>
      <c r="E325" t="s">
        <v>726</v>
      </c>
      <c r="P325" s="5" t="s">
        <v>800</v>
      </c>
      <c r="Q325" s="5" t="s">
        <v>800</v>
      </c>
      <c r="T325" s="1" t="s">
        <v>21</v>
      </c>
      <c r="U325" s="1" t="s">
        <v>169</v>
      </c>
    </row>
    <row r="326" spans="1:23">
      <c r="A326" s="15">
        <v>1</v>
      </c>
      <c r="B326" s="1" t="s">
        <v>780</v>
      </c>
      <c r="C326" t="s">
        <v>782</v>
      </c>
      <c r="D326" s="1">
        <v>1</v>
      </c>
      <c r="E326" s="1" t="s">
        <v>755</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5" t="s">
        <v>512</v>
      </c>
      <c r="P326" s="5" t="s">
        <v>800</v>
      </c>
      <c r="Q326" s="5" t="s">
        <v>800</v>
      </c>
      <c r="R326" s="2">
        <v>115.17</v>
      </c>
      <c r="S326" s="2">
        <v>115.17</v>
      </c>
      <c r="T326" s="1">
        <v>1</v>
      </c>
      <c r="W326" s="4" t="s">
        <v>647</v>
      </c>
    </row>
    <row r="327" spans="1:23">
      <c r="C327" t="s">
        <v>783</v>
      </c>
      <c r="J327" s="6">
        <v>4.8379629629629632E-3</v>
      </c>
      <c r="L327" s="1" t="s">
        <v>8</v>
      </c>
      <c r="M327" s="1" t="s">
        <v>8</v>
      </c>
      <c r="N327" s="1">
        <v>2</v>
      </c>
      <c r="O327" s="5" t="s">
        <v>512</v>
      </c>
      <c r="P327" s="5" t="s">
        <v>800</v>
      </c>
      <c r="Q327" s="5" t="s">
        <v>800</v>
      </c>
      <c r="R327" s="2">
        <v>115.17</v>
      </c>
      <c r="S327" s="2">
        <v>115.17</v>
      </c>
      <c r="T327" s="1">
        <v>1</v>
      </c>
    </row>
    <row r="328" spans="1:23">
      <c r="A328" s="15">
        <v>1</v>
      </c>
      <c r="B328" s="1" t="s">
        <v>780</v>
      </c>
      <c r="C328" t="s">
        <v>782</v>
      </c>
      <c r="D328" s="1">
        <v>1</v>
      </c>
      <c r="E328" s="1" t="s">
        <v>757</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5" t="s">
        <v>512</v>
      </c>
      <c r="P328" s="5" t="s">
        <v>800</v>
      </c>
      <c r="Q328" s="5" t="s">
        <v>800</v>
      </c>
      <c r="R328" s="2">
        <v>115.17</v>
      </c>
      <c r="S328" s="2">
        <v>115.17</v>
      </c>
      <c r="T328" s="1">
        <v>1</v>
      </c>
    </row>
    <row r="329" spans="1:23">
      <c r="A329" s="15">
        <v>1</v>
      </c>
      <c r="B329" s="1" t="s">
        <v>780</v>
      </c>
      <c r="C329" t="s">
        <v>782</v>
      </c>
      <c r="D329" s="1">
        <v>1</v>
      </c>
      <c r="E329" s="1" t="s">
        <v>758</v>
      </c>
      <c r="F329" s="4">
        <v>45465</v>
      </c>
      <c r="H329" s="6">
        <f t="shared" si="25"/>
        <v>0.2260763888888889</v>
      </c>
      <c r="J329" s="6">
        <v>7.2106481481481483E-3</v>
      </c>
      <c r="K329" s="6">
        <v>0.21886574074074075</v>
      </c>
      <c r="L329" s="1" t="s">
        <v>8</v>
      </c>
      <c r="M329" s="1" t="s">
        <v>7</v>
      </c>
      <c r="N329" s="1">
        <v>2</v>
      </c>
      <c r="O329" s="5" t="s">
        <v>512</v>
      </c>
      <c r="P329" s="5" t="s">
        <v>800</v>
      </c>
      <c r="Q329" s="5" t="s">
        <v>800</v>
      </c>
      <c r="R329" s="2">
        <v>115.17</v>
      </c>
      <c r="S329" s="2">
        <v>115.17</v>
      </c>
      <c r="T329" s="1">
        <v>1</v>
      </c>
    </row>
    <row r="330" spans="1:23">
      <c r="A330" s="15">
        <v>1</v>
      </c>
      <c r="B330" s="1" t="s">
        <v>780</v>
      </c>
      <c r="C330" t="s">
        <v>782</v>
      </c>
      <c r="D330" s="1">
        <v>2</v>
      </c>
      <c r="E330" s="1" t="s">
        <v>758</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5" t="s">
        <v>218</v>
      </c>
      <c r="P330" s="5" t="s">
        <v>800</v>
      </c>
      <c r="Q330" s="5" t="s">
        <v>800</v>
      </c>
      <c r="R330" s="2">
        <v>115.17</v>
      </c>
      <c r="S330" s="2">
        <v>115.17</v>
      </c>
      <c r="T330" s="1">
        <v>0</v>
      </c>
    </row>
    <row r="331" spans="1:23">
      <c r="A331" s="15">
        <v>1</v>
      </c>
      <c r="B331" s="1" t="s">
        <v>780</v>
      </c>
      <c r="C331" t="s">
        <v>782</v>
      </c>
      <c r="D331" s="1">
        <v>3</v>
      </c>
      <c r="E331" s="1" t="s">
        <v>758</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5" t="s">
        <v>218</v>
      </c>
      <c r="P331" s="5" t="s">
        <v>800</v>
      </c>
      <c r="Q331" s="5" t="s">
        <v>800</v>
      </c>
      <c r="R331" s="2">
        <v>115.17</v>
      </c>
      <c r="S331" s="2">
        <v>115.17</v>
      </c>
      <c r="T331" s="1">
        <v>1</v>
      </c>
    </row>
    <row r="332" spans="1:23">
      <c r="A332" s="15">
        <v>1</v>
      </c>
      <c r="B332" s="1" t="s">
        <v>780</v>
      </c>
      <c r="C332" t="s">
        <v>782</v>
      </c>
      <c r="D332" s="1">
        <v>1</v>
      </c>
      <c r="E332" s="1" t="s">
        <v>759</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5" t="s">
        <v>512</v>
      </c>
      <c r="P332" s="5" t="s">
        <v>800</v>
      </c>
      <c r="Q332" s="5" t="s">
        <v>800</v>
      </c>
      <c r="R332" s="2">
        <v>115.17</v>
      </c>
      <c r="S332" s="2">
        <v>115.17</v>
      </c>
      <c r="T332" s="1">
        <v>1</v>
      </c>
    </row>
    <row r="333" spans="1:23">
      <c r="A333" s="15">
        <v>1</v>
      </c>
      <c r="B333" s="1" t="s">
        <v>780</v>
      </c>
      <c r="C333" t="s">
        <v>782</v>
      </c>
      <c r="D333" s="1">
        <v>1</v>
      </c>
      <c r="E333" s="1" t="s">
        <v>760</v>
      </c>
      <c r="F333" s="4">
        <v>45467</v>
      </c>
      <c r="H333" s="6">
        <f t="shared" si="25"/>
        <v>0.79091435185185188</v>
      </c>
      <c r="J333" s="6">
        <v>3.9814814814814817E-3</v>
      </c>
      <c r="K333" s="3">
        <v>0.78693287037037041</v>
      </c>
      <c r="L333" s="1" t="s">
        <v>7</v>
      </c>
      <c r="M333" s="1" t="s">
        <v>8</v>
      </c>
      <c r="N333" s="1">
        <v>2</v>
      </c>
      <c r="O333" s="5" t="s">
        <v>512</v>
      </c>
      <c r="P333" s="5" t="s">
        <v>800</v>
      </c>
      <c r="Q333" s="5" t="s">
        <v>800</v>
      </c>
      <c r="R333" s="2">
        <v>115.17</v>
      </c>
      <c r="S333" s="2">
        <v>115.17</v>
      </c>
      <c r="T333" s="1">
        <v>0</v>
      </c>
    </row>
    <row r="334" spans="1:23">
      <c r="A334" s="15">
        <v>1</v>
      </c>
      <c r="B334" s="1" t="s">
        <v>780</v>
      </c>
      <c r="C334" t="s">
        <v>782</v>
      </c>
      <c r="D334" s="1">
        <v>1</v>
      </c>
      <c r="E334" s="1" t="s">
        <v>761</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5" t="s">
        <v>512</v>
      </c>
      <c r="P334" s="5" t="s">
        <v>800</v>
      </c>
      <c r="Q334" s="5" t="s">
        <v>800</v>
      </c>
      <c r="R334" s="2">
        <v>115.17</v>
      </c>
      <c r="S334" s="2">
        <v>115.17</v>
      </c>
      <c r="T334" s="1">
        <v>1</v>
      </c>
    </row>
    <row r="335" spans="1:23">
      <c r="A335" s="15">
        <v>1</v>
      </c>
      <c r="B335" s="1" t="s">
        <v>780</v>
      </c>
      <c r="C335" t="s">
        <v>782</v>
      </c>
      <c r="D335" s="1">
        <v>1</v>
      </c>
      <c r="E335" s="1" t="s">
        <v>762</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5" t="s">
        <v>512</v>
      </c>
      <c r="P335" s="5" t="s">
        <v>800</v>
      </c>
      <c r="Q335" s="5" t="s">
        <v>800</v>
      </c>
      <c r="R335" s="2">
        <v>115.17</v>
      </c>
      <c r="S335" s="2">
        <v>115.17</v>
      </c>
      <c r="T335" s="1">
        <v>1</v>
      </c>
    </row>
    <row r="336" spans="1:23">
      <c r="A336" s="15">
        <v>1</v>
      </c>
      <c r="B336" s="1" t="s">
        <v>780</v>
      </c>
      <c r="C336" t="s">
        <v>782</v>
      </c>
      <c r="D336" s="1">
        <v>1</v>
      </c>
      <c r="E336" s="1" t="s">
        <v>763</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5" t="s">
        <v>512</v>
      </c>
      <c r="P336" s="5" t="s">
        <v>800</v>
      </c>
      <c r="Q336" s="5" t="s">
        <v>800</v>
      </c>
      <c r="R336" s="2">
        <v>115.17</v>
      </c>
      <c r="S336" s="2">
        <v>115.17</v>
      </c>
      <c r="T336" s="1">
        <v>0</v>
      </c>
    </row>
    <row r="337" spans="1:21">
      <c r="A337" s="15">
        <v>1</v>
      </c>
      <c r="B337" s="1" t="s">
        <v>780</v>
      </c>
      <c r="C337" t="s">
        <v>782</v>
      </c>
      <c r="D337" s="1">
        <v>1</v>
      </c>
      <c r="E337" s="1" t="s">
        <v>764</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5" t="s">
        <v>512</v>
      </c>
      <c r="P337" s="5" t="s">
        <v>800</v>
      </c>
      <c r="Q337" s="5" t="s">
        <v>800</v>
      </c>
      <c r="R337" s="2">
        <v>115.17</v>
      </c>
      <c r="S337" s="2">
        <v>115.17</v>
      </c>
      <c r="T337" s="1">
        <v>1</v>
      </c>
    </row>
    <row r="338" spans="1:21">
      <c r="A338" s="15">
        <v>1</v>
      </c>
      <c r="B338" s="1" t="s">
        <v>780</v>
      </c>
      <c r="C338" t="s">
        <v>782</v>
      </c>
      <c r="D338" s="1">
        <v>1</v>
      </c>
      <c r="E338" s="1" t="s">
        <v>765</v>
      </c>
      <c r="F338" s="4">
        <v>45472</v>
      </c>
      <c r="K338" s="3">
        <v>0.77797453703703701</v>
      </c>
      <c r="P338" s="5" t="s">
        <v>800</v>
      </c>
      <c r="Q338" s="5" t="s">
        <v>800</v>
      </c>
      <c r="T338" s="1" t="s">
        <v>21</v>
      </c>
      <c r="U338" s="1" t="s">
        <v>766</v>
      </c>
    </row>
  </sheetData>
  <sortState xmlns:xlrd2="http://schemas.microsoft.com/office/spreadsheetml/2017/richdata2" ref="A2:U194">
    <sortCondition ref="F2:F194"/>
  </sortState>
  <customSheetViews>
    <customSheetView guid="{8A75D892-44B4-104C-BB94-8EB0D0E43396}" scale="75"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U338" xr:uid="{135A4D8A-3837-C04D-9096-B7E58473E238}"/>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topLeftCell="B1" zoomScale="75" zoomScaleNormal="90" workbookViewId="0">
      <pane ySplit="1" topLeftCell="A33" activePane="bottomLeft" state="frozen"/>
      <selection pane="bottomLeft" activeCell="V64" sqref="V64"/>
    </sheetView>
  </sheetViews>
  <sheetFormatPr baseColWidth="10" defaultRowHeight="16"/>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c r="A1" s="1" t="s">
        <v>0</v>
      </c>
      <c r="B1" s="1" t="s">
        <v>1</v>
      </c>
      <c r="C1" s="1" t="s">
        <v>797</v>
      </c>
      <c r="D1" s="1" t="s">
        <v>779</v>
      </c>
      <c r="E1" s="1" t="s">
        <v>2</v>
      </c>
      <c r="F1" s="4" t="s">
        <v>31</v>
      </c>
      <c r="G1" s="1" t="s">
        <v>4</v>
      </c>
      <c r="H1" s="1" t="s">
        <v>5</v>
      </c>
      <c r="I1" s="1" t="s">
        <v>789</v>
      </c>
      <c r="J1" s="1" t="s">
        <v>790</v>
      </c>
      <c r="K1" s="1" t="s">
        <v>6</v>
      </c>
      <c r="L1" s="1" t="s">
        <v>794</v>
      </c>
      <c r="M1" s="1" t="s">
        <v>793</v>
      </c>
      <c r="N1" s="1" t="s">
        <v>796</v>
      </c>
      <c r="O1" s="1" t="s">
        <v>795</v>
      </c>
      <c r="P1" s="1" t="s">
        <v>799</v>
      </c>
      <c r="Q1" s="1" t="s">
        <v>798</v>
      </c>
      <c r="R1" s="1" t="s">
        <v>791</v>
      </c>
      <c r="S1" s="1" t="s">
        <v>792</v>
      </c>
      <c r="T1" s="1" t="s">
        <v>331</v>
      </c>
      <c r="U1" s="1" t="s">
        <v>663</v>
      </c>
      <c r="V1" s="1" t="s">
        <v>15</v>
      </c>
      <c r="W1" s="1" t="s">
        <v>644</v>
      </c>
    </row>
    <row r="2" spans="1:23">
      <c r="A2" s="1">
        <v>2</v>
      </c>
      <c r="B2" s="1">
        <v>2.1</v>
      </c>
      <c r="C2" s="1" t="s">
        <v>782</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c r="A3" s="7">
        <v>2</v>
      </c>
      <c r="B3" s="7">
        <v>2.6</v>
      </c>
      <c r="C3" s="1" t="s">
        <v>782</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133</v>
      </c>
      <c r="W3" s="7"/>
    </row>
    <row r="4" spans="1:23">
      <c r="A4" s="1">
        <v>2</v>
      </c>
      <c r="B4" s="1">
        <v>2.1</v>
      </c>
      <c r="C4" s="1" t="s">
        <v>782</v>
      </c>
      <c r="D4" s="1" t="s">
        <v>21</v>
      </c>
      <c r="E4" s="1" t="s">
        <v>14</v>
      </c>
      <c r="F4" s="4">
        <v>45343</v>
      </c>
      <c r="G4" s="1" t="s">
        <v>21</v>
      </c>
      <c r="H4" s="1" t="s">
        <v>21</v>
      </c>
      <c r="I4" s="1" t="s">
        <v>21</v>
      </c>
      <c r="J4" s="1" t="s">
        <v>21</v>
      </c>
      <c r="K4" s="1" t="s">
        <v>21</v>
      </c>
      <c r="L4" s="1" t="s">
        <v>21</v>
      </c>
      <c r="M4" s="1" t="s">
        <v>21</v>
      </c>
      <c r="N4" s="1" t="s">
        <v>21</v>
      </c>
      <c r="O4" s="1" t="s">
        <v>21</v>
      </c>
      <c r="P4" s="1">
        <v>90</v>
      </c>
      <c r="Q4" s="1">
        <v>90</v>
      </c>
      <c r="R4" s="1">
        <v>57.4</v>
      </c>
      <c r="T4" s="1" t="s">
        <v>21</v>
      </c>
      <c r="V4" s="1" t="s">
        <v>16</v>
      </c>
    </row>
    <row r="5" spans="1:23">
      <c r="A5" s="1">
        <v>2</v>
      </c>
      <c r="B5" s="1">
        <v>2.1</v>
      </c>
      <c r="C5" s="1" t="s">
        <v>782</v>
      </c>
      <c r="D5" s="1">
        <v>1</v>
      </c>
      <c r="E5" s="1" t="s">
        <v>11</v>
      </c>
      <c r="F5" s="4">
        <v>45344</v>
      </c>
      <c r="G5" s="3">
        <f t="shared" ref="G5:G16" si="0">$K5 + $I5</f>
        <v>0.7716898148148148</v>
      </c>
      <c r="H5" s="3">
        <f t="shared" ref="H5:H11" si="1">K5 + J5</f>
        <v>0.79226851851851854</v>
      </c>
      <c r="I5" s="3">
        <v>2.0254629629629629E-2</v>
      </c>
      <c r="J5" s="3">
        <v>4.0833333333333333E-2</v>
      </c>
      <c r="K5" s="3">
        <v>0.75143518518518515</v>
      </c>
      <c r="L5" s="1" t="s">
        <v>8</v>
      </c>
      <c r="M5" s="1" t="s">
        <v>7</v>
      </c>
      <c r="N5" s="1">
        <v>1</v>
      </c>
      <c r="O5" s="1">
        <v>1</v>
      </c>
      <c r="P5" s="1">
        <v>90</v>
      </c>
      <c r="Q5" s="1">
        <v>90</v>
      </c>
      <c r="R5" s="1">
        <v>57.4</v>
      </c>
      <c r="T5" s="1">
        <v>1</v>
      </c>
    </row>
    <row r="6" spans="1:23">
      <c r="A6" s="1">
        <v>2</v>
      </c>
      <c r="B6" s="1">
        <v>2.1</v>
      </c>
      <c r="C6" s="1" t="s">
        <v>782</v>
      </c>
      <c r="D6" s="1">
        <v>1</v>
      </c>
      <c r="E6" s="1" t="s">
        <v>12</v>
      </c>
      <c r="F6" s="4">
        <v>45344</v>
      </c>
      <c r="G6" s="3">
        <f t="shared" si="0"/>
        <v>0.24612268518518518</v>
      </c>
      <c r="H6" s="3">
        <f t="shared" si="1"/>
        <v>0.26064814814814813</v>
      </c>
      <c r="I6" s="3">
        <v>1.9988425925925927E-2</v>
      </c>
      <c r="J6" s="3">
        <v>3.4513888888888893E-2</v>
      </c>
      <c r="K6" s="3">
        <v>0.22613425925925926</v>
      </c>
      <c r="L6" s="1" t="s">
        <v>8</v>
      </c>
      <c r="M6" s="1" t="s">
        <v>8</v>
      </c>
      <c r="N6" s="1">
        <v>1</v>
      </c>
      <c r="O6" s="1">
        <v>1</v>
      </c>
      <c r="P6" s="1">
        <v>90</v>
      </c>
      <c r="Q6" s="1">
        <v>90</v>
      </c>
      <c r="R6" s="1">
        <v>57.4</v>
      </c>
      <c r="T6" s="1">
        <v>1</v>
      </c>
    </row>
    <row r="7" spans="1:23">
      <c r="A7" s="1">
        <v>2</v>
      </c>
      <c r="B7" s="1">
        <v>2.1</v>
      </c>
      <c r="C7" s="1" t="s">
        <v>782</v>
      </c>
      <c r="D7" s="1">
        <v>2</v>
      </c>
      <c r="E7" s="1" t="s">
        <v>12</v>
      </c>
      <c r="F7" s="4">
        <v>45344</v>
      </c>
      <c r="G7" s="3">
        <f t="shared" si="0"/>
        <v>0.25628472222222221</v>
      </c>
      <c r="H7" s="3">
        <f t="shared" si="1"/>
        <v>0.26922453703703703</v>
      </c>
      <c r="I7" s="3">
        <v>3.0150462962962962E-2</v>
      </c>
      <c r="J7" s="3">
        <v>4.3090277777777776E-2</v>
      </c>
      <c r="K7" s="3">
        <v>0.22613425925925926</v>
      </c>
      <c r="L7" s="1" t="s">
        <v>8</v>
      </c>
      <c r="M7" s="1" t="s">
        <v>8</v>
      </c>
      <c r="N7" s="1">
        <v>1</v>
      </c>
      <c r="O7" s="1">
        <v>1</v>
      </c>
      <c r="P7" s="1">
        <v>90</v>
      </c>
      <c r="Q7" s="1">
        <v>90</v>
      </c>
      <c r="R7" s="1">
        <v>57.4</v>
      </c>
      <c r="T7" s="1">
        <v>0</v>
      </c>
    </row>
    <row r="8" spans="1:23">
      <c r="A8" s="1">
        <v>2</v>
      </c>
      <c r="B8" s="1">
        <v>2.1</v>
      </c>
      <c r="C8" s="1" t="s">
        <v>782</v>
      </c>
      <c r="D8" s="1">
        <v>3</v>
      </c>
      <c r="E8" s="1" t="s">
        <v>12</v>
      </c>
      <c r="F8" s="4">
        <v>45344</v>
      </c>
      <c r="G8" s="3">
        <f t="shared" si="0"/>
        <v>0.2628240740740741</v>
      </c>
      <c r="H8" s="3">
        <f t="shared" si="1"/>
        <v>0.27217592592592593</v>
      </c>
      <c r="I8" s="3">
        <v>3.6689814814814821E-2</v>
      </c>
      <c r="J8" s="3">
        <v>4.6041666666666668E-2</v>
      </c>
      <c r="K8" s="3">
        <v>0.22613425925925926</v>
      </c>
      <c r="L8" s="1" t="s">
        <v>8</v>
      </c>
      <c r="M8" s="1" t="s">
        <v>8</v>
      </c>
      <c r="N8" s="1">
        <v>1</v>
      </c>
      <c r="O8" s="1">
        <v>1</v>
      </c>
      <c r="P8" s="1">
        <v>90</v>
      </c>
      <c r="Q8" s="1">
        <v>90</v>
      </c>
      <c r="R8" s="1">
        <v>57.4</v>
      </c>
      <c r="T8" s="1">
        <v>1</v>
      </c>
    </row>
    <row r="9" spans="1:23">
      <c r="A9" s="1">
        <v>2</v>
      </c>
      <c r="B9" s="1">
        <v>2.2000000000000002</v>
      </c>
      <c r="C9" s="1" t="s">
        <v>782</v>
      </c>
      <c r="D9" s="1">
        <v>1</v>
      </c>
      <c r="E9" s="1" t="s">
        <v>44</v>
      </c>
      <c r="F9" s="4">
        <v>45345</v>
      </c>
      <c r="G9" s="3">
        <f t="shared" si="0"/>
        <v>0.77940972222222216</v>
      </c>
      <c r="H9" s="3">
        <f t="shared" si="1"/>
        <v>0.78445601851851843</v>
      </c>
      <c r="I9" s="3">
        <v>2.6331018518518517E-2</v>
      </c>
      <c r="J9" s="3">
        <v>3.1377314814814809E-2</v>
      </c>
      <c r="K9" s="3">
        <v>0.75307870370370367</v>
      </c>
      <c r="L9" s="1" t="s">
        <v>7</v>
      </c>
      <c r="M9" s="1" t="s">
        <v>7</v>
      </c>
      <c r="N9" s="1">
        <v>1</v>
      </c>
      <c r="O9" s="1">
        <v>1</v>
      </c>
      <c r="P9" s="1">
        <v>90</v>
      </c>
      <c r="Q9" s="1">
        <v>90</v>
      </c>
      <c r="R9" s="1">
        <v>57.4</v>
      </c>
      <c r="T9" s="1">
        <v>1</v>
      </c>
    </row>
    <row r="10" spans="1:23">
      <c r="A10" s="1">
        <v>2</v>
      </c>
      <c r="B10" s="1">
        <v>2.2000000000000002</v>
      </c>
      <c r="C10" s="1" t="s">
        <v>782</v>
      </c>
      <c r="D10" s="1">
        <v>1</v>
      </c>
      <c r="E10" s="1" t="s">
        <v>9</v>
      </c>
      <c r="F10" s="4">
        <v>45345</v>
      </c>
      <c r="G10" s="3">
        <f t="shared" si="0"/>
        <v>0.24466435185185187</v>
      </c>
      <c r="H10" s="3">
        <f t="shared" si="1"/>
        <v>0.25920138888888888</v>
      </c>
      <c r="I10" s="3">
        <v>2.165509259259259E-2</v>
      </c>
      <c r="J10" s="3">
        <v>3.619212962962963E-2</v>
      </c>
      <c r="K10" s="3">
        <v>0.22300925925925927</v>
      </c>
      <c r="L10" s="1" t="s">
        <v>8</v>
      </c>
      <c r="M10" s="1" t="s">
        <v>7</v>
      </c>
      <c r="N10" s="1">
        <v>1</v>
      </c>
      <c r="O10" s="1">
        <v>2</v>
      </c>
      <c r="P10" s="1">
        <v>90</v>
      </c>
      <c r="Q10" s="1">
        <v>90</v>
      </c>
      <c r="R10" s="1">
        <v>57.4</v>
      </c>
      <c r="T10" s="1">
        <v>1</v>
      </c>
    </row>
    <row r="11" spans="1:23">
      <c r="A11" s="1">
        <v>2</v>
      </c>
      <c r="B11" s="1">
        <v>2.2000000000000002</v>
      </c>
      <c r="C11" s="1" t="s">
        <v>782</v>
      </c>
      <c r="D11" s="1">
        <v>2</v>
      </c>
      <c r="E11" s="1" t="s">
        <v>9</v>
      </c>
      <c r="F11" s="4">
        <v>45345</v>
      </c>
      <c r="G11" s="3">
        <f t="shared" si="0"/>
        <v>0.25004629629629632</v>
      </c>
      <c r="H11" s="3">
        <f t="shared" si="1"/>
        <v>0.26920138888888889</v>
      </c>
      <c r="I11" s="3">
        <v>2.7037037037037037E-2</v>
      </c>
      <c r="J11" s="3">
        <v>4.6192129629629632E-2</v>
      </c>
      <c r="K11" s="3">
        <v>0.22300925925925927</v>
      </c>
      <c r="L11" s="1" t="s">
        <v>8</v>
      </c>
      <c r="M11" s="1" t="s">
        <v>7</v>
      </c>
      <c r="N11" s="1">
        <v>1</v>
      </c>
      <c r="O11" s="1">
        <v>2</v>
      </c>
      <c r="P11" s="1">
        <v>90</v>
      </c>
      <c r="Q11" s="1">
        <v>90</v>
      </c>
      <c r="R11" s="1">
        <v>57.4</v>
      </c>
      <c r="T11" s="1">
        <v>1</v>
      </c>
    </row>
    <row r="12" spans="1:23">
      <c r="A12" s="1">
        <v>2</v>
      </c>
      <c r="B12" s="1">
        <v>2.2000000000000002</v>
      </c>
      <c r="C12" s="1" t="s">
        <v>782</v>
      </c>
      <c r="D12" s="1">
        <v>3</v>
      </c>
      <c r="E12" s="1" t="s">
        <v>9</v>
      </c>
      <c r="F12" s="4">
        <v>45345</v>
      </c>
      <c r="G12" s="3">
        <f t="shared" si="0"/>
        <v>0.26063657407407409</v>
      </c>
      <c r="H12" s="3" t="s">
        <v>21</v>
      </c>
      <c r="I12" s="3">
        <v>3.7627314814814815E-2</v>
      </c>
      <c r="J12" s="3" t="s">
        <v>21</v>
      </c>
      <c r="K12" s="3">
        <v>0.22300925925925927</v>
      </c>
      <c r="L12" s="1" t="s">
        <v>7</v>
      </c>
      <c r="M12" s="1" t="s">
        <v>21</v>
      </c>
      <c r="N12" s="1">
        <v>2</v>
      </c>
      <c r="O12" s="1" t="s">
        <v>21</v>
      </c>
      <c r="P12" s="1">
        <v>90</v>
      </c>
      <c r="Q12" s="1">
        <v>90</v>
      </c>
      <c r="R12" s="1">
        <v>57.4</v>
      </c>
      <c r="T12" s="1" t="s">
        <v>21</v>
      </c>
      <c r="V12" s="1" t="s">
        <v>53</v>
      </c>
    </row>
    <row r="13" spans="1:23">
      <c r="A13" s="7">
        <v>2</v>
      </c>
      <c r="B13" s="7">
        <v>2.1</v>
      </c>
      <c r="C13" s="1" t="s">
        <v>782</v>
      </c>
      <c r="D13" s="7">
        <v>1</v>
      </c>
      <c r="E13" s="7" t="s">
        <v>9</v>
      </c>
      <c r="F13" s="9">
        <v>45345</v>
      </c>
      <c r="G13" s="8">
        <f t="shared" si="0"/>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57.4</v>
      </c>
      <c r="S13" s="7"/>
      <c r="T13" s="7">
        <v>1</v>
      </c>
      <c r="U13" s="7"/>
      <c r="V13" s="7"/>
      <c r="W13" s="7"/>
    </row>
    <row r="14" spans="1:23">
      <c r="A14" s="7">
        <v>2</v>
      </c>
      <c r="B14" s="7">
        <v>2.1</v>
      </c>
      <c r="C14" s="1" t="s">
        <v>782</v>
      </c>
      <c r="D14" s="7">
        <v>2</v>
      </c>
      <c r="E14" s="7" t="s">
        <v>9</v>
      </c>
      <c r="F14" s="9">
        <v>45345</v>
      </c>
      <c r="G14" s="8">
        <f t="shared" si="0"/>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57.4</v>
      </c>
      <c r="S14" s="7"/>
      <c r="T14" s="7">
        <v>1</v>
      </c>
      <c r="U14" s="7"/>
      <c r="V14" s="7"/>
      <c r="W14" s="7"/>
    </row>
    <row r="15" spans="1:23">
      <c r="A15" s="1">
        <v>2</v>
      </c>
      <c r="B15" s="1">
        <v>2.1</v>
      </c>
      <c r="C15" s="1" t="s">
        <v>782</v>
      </c>
      <c r="D15" s="1">
        <v>1</v>
      </c>
      <c r="E15" s="1" t="s">
        <v>48</v>
      </c>
      <c r="F15" s="4">
        <v>45346</v>
      </c>
      <c r="G15" s="3">
        <f t="shared" si="0"/>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57.4</v>
      </c>
      <c r="T15" s="1">
        <v>0</v>
      </c>
      <c r="V15" s="1" t="s">
        <v>24</v>
      </c>
    </row>
    <row r="16" spans="1:23">
      <c r="A16" s="1">
        <v>2</v>
      </c>
      <c r="B16" s="1">
        <v>2.1</v>
      </c>
      <c r="C16" s="1" t="s">
        <v>782</v>
      </c>
      <c r="D16" s="1">
        <v>2</v>
      </c>
      <c r="E16" s="1" t="s">
        <v>48</v>
      </c>
      <c r="F16" s="4">
        <v>45346</v>
      </c>
      <c r="G16" s="3">
        <f t="shared" si="0"/>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57.4</v>
      </c>
      <c r="T16" s="1">
        <v>0</v>
      </c>
    </row>
    <row r="17" spans="1:22">
      <c r="A17" s="1">
        <v>2</v>
      </c>
      <c r="B17" s="1">
        <v>2.1</v>
      </c>
      <c r="C17" s="1" t="s">
        <v>782</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c r="A18" s="1">
        <v>2</v>
      </c>
      <c r="B18" s="1">
        <v>2.1</v>
      </c>
      <c r="C18" s="1" t="s">
        <v>782</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57.4</v>
      </c>
      <c r="T18" s="1">
        <v>0</v>
      </c>
      <c r="V18" s="1" t="s">
        <v>29</v>
      </c>
    </row>
    <row r="19" spans="1:22">
      <c r="A19" s="1">
        <v>2</v>
      </c>
      <c r="B19" s="1">
        <v>2.1</v>
      </c>
      <c r="C19" s="1" t="s">
        <v>782</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57.4</v>
      </c>
      <c r="T19" s="1" t="s">
        <v>21</v>
      </c>
      <c r="V19" s="1" t="s">
        <v>212</v>
      </c>
    </row>
    <row r="20" spans="1:22">
      <c r="A20" s="1">
        <v>2</v>
      </c>
      <c r="B20" s="1">
        <v>2.1</v>
      </c>
      <c r="C20" s="1" t="s">
        <v>782</v>
      </c>
      <c r="D20" s="1">
        <v>1</v>
      </c>
      <c r="E20" s="1" t="s">
        <v>49</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57.4</v>
      </c>
      <c r="T20" s="1">
        <v>1</v>
      </c>
      <c r="V20" s="1" t="s">
        <v>28</v>
      </c>
    </row>
    <row r="21" spans="1:22">
      <c r="A21" s="1">
        <v>2</v>
      </c>
      <c r="B21" s="1">
        <v>2.1</v>
      </c>
      <c r="C21" s="1" t="s">
        <v>782</v>
      </c>
      <c r="D21" s="1">
        <v>2</v>
      </c>
      <c r="E21" s="1" t="s">
        <v>49</v>
      </c>
      <c r="F21" s="4">
        <v>45348</v>
      </c>
      <c r="G21" s="3">
        <f t="shared" ref="G21:G27" si="2">$K21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57.4</v>
      </c>
      <c r="T21" s="1">
        <v>0</v>
      </c>
      <c r="V21" s="1" t="s">
        <v>30</v>
      </c>
    </row>
    <row r="22" spans="1:22">
      <c r="A22" s="1">
        <v>2</v>
      </c>
      <c r="B22" s="1">
        <v>2.1</v>
      </c>
      <c r="C22" s="1" t="s">
        <v>782</v>
      </c>
      <c r="D22" s="1">
        <v>3</v>
      </c>
      <c r="E22" s="1" t="s">
        <v>49</v>
      </c>
      <c r="F22" s="4">
        <v>45348</v>
      </c>
      <c r="G22" s="3">
        <f t="shared" si="2"/>
        <v>0.27209490740740744</v>
      </c>
      <c r="H22" s="3"/>
      <c r="I22" s="3">
        <v>4.3101851851851856E-2</v>
      </c>
      <c r="K22" s="3">
        <v>0.22899305555555557</v>
      </c>
      <c r="L22" s="1" t="s">
        <v>7</v>
      </c>
      <c r="M22" s="1" t="s">
        <v>7</v>
      </c>
      <c r="N22" s="1">
        <v>3</v>
      </c>
      <c r="O22" s="1">
        <v>3</v>
      </c>
      <c r="P22" s="1">
        <v>90</v>
      </c>
      <c r="Q22" s="1">
        <v>90</v>
      </c>
      <c r="R22" s="1">
        <v>57.4</v>
      </c>
      <c r="T22" s="1">
        <v>0</v>
      </c>
      <c r="V22" s="1" t="s">
        <v>29</v>
      </c>
    </row>
    <row r="23" spans="1:22">
      <c r="A23" s="1">
        <v>2</v>
      </c>
      <c r="B23" s="1">
        <v>2.2000000000000002</v>
      </c>
      <c r="C23" s="1" t="s">
        <v>782</v>
      </c>
      <c r="D23" s="1">
        <v>1</v>
      </c>
      <c r="E23" s="1" t="s">
        <v>50</v>
      </c>
      <c r="F23" s="4">
        <v>45348</v>
      </c>
      <c r="G23" s="3">
        <f t="shared" si="2"/>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57.4</v>
      </c>
      <c r="T23" s="1">
        <v>1</v>
      </c>
    </row>
    <row r="24" spans="1:22">
      <c r="A24" s="1">
        <v>2</v>
      </c>
      <c r="B24" s="1">
        <v>2.2999999999999998</v>
      </c>
      <c r="C24" s="1" t="s">
        <v>782</v>
      </c>
      <c r="D24" s="1">
        <v>1</v>
      </c>
      <c r="E24" s="1" t="s">
        <v>25</v>
      </c>
      <c r="F24" s="4">
        <v>45349</v>
      </c>
      <c r="G24" s="3">
        <f t="shared" si="2"/>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57.4</v>
      </c>
      <c r="T24" s="1">
        <v>1</v>
      </c>
      <c r="V24" s="1" t="s">
        <v>51</v>
      </c>
    </row>
    <row r="25" spans="1:22">
      <c r="A25" s="1">
        <v>2</v>
      </c>
      <c r="B25" s="1">
        <v>2.2000000000000002</v>
      </c>
      <c r="C25" s="1" t="s">
        <v>782</v>
      </c>
      <c r="D25" s="1">
        <v>1</v>
      </c>
      <c r="E25" s="1" t="s">
        <v>52</v>
      </c>
      <c r="F25" s="4">
        <v>45349</v>
      </c>
      <c r="G25" s="3">
        <f t="shared" si="2"/>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57.4</v>
      </c>
      <c r="T25" s="1">
        <v>1</v>
      </c>
    </row>
    <row r="26" spans="1:22">
      <c r="A26" s="1">
        <v>2</v>
      </c>
      <c r="B26" s="1">
        <v>2.2000000000000002</v>
      </c>
      <c r="C26" s="1" t="s">
        <v>782</v>
      </c>
      <c r="D26" s="1">
        <v>2</v>
      </c>
      <c r="E26" s="1" t="s">
        <v>52</v>
      </c>
      <c r="F26" s="4">
        <v>45349</v>
      </c>
      <c r="G26" s="3">
        <f t="shared" si="2"/>
        <v>0.26</v>
      </c>
      <c r="H26" s="3">
        <f>K26 + J26</f>
        <v>0.26913194444444444</v>
      </c>
      <c r="I26" s="3">
        <v>3.7268518518518513E-2</v>
      </c>
      <c r="J26" s="3">
        <v>4.6400462962962963E-2</v>
      </c>
      <c r="K26" s="3">
        <v>0.22273148148148147</v>
      </c>
      <c r="L26" s="1" t="s">
        <v>7</v>
      </c>
      <c r="M26" s="1" t="s">
        <v>8</v>
      </c>
      <c r="N26" s="1">
        <v>2</v>
      </c>
      <c r="O26" s="1">
        <v>2</v>
      </c>
      <c r="P26" s="1">
        <v>90</v>
      </c>
      <c r="Q26" s="1">
        <v>90</v>
      </c>
      <c r="R26" s="1">
        <v>57.4</v>
      </c>
      <c r="T26" s="1">
        <v>0</v>
      </c>
    </row>
    <row r="27" spans="1:22">
      <c r="A27" s="1">
        <v>2</v>
      </c>
      <c r="B27" s="1">
        <v>2.2999999999999998</v>
      </c>
      <c r="C27" s="1" t="s">
        <v>782</v>
      </c>
      <c r="D27" s="1">
        <v>1</v>
      </c>
      <c r="E27" s="1" t="s">
        <v>37</v>
      </c>
      <c r="F27" s="4">
        <v>45350</v>
      </c>
      <c r="G27" s="3">
        <f t="shared" si="2"/>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57.4</v>
      </c>
      <c r="T27" s="1" t="s">
        <v>38</v>
      </c>
      <c r="V27" s="1" t="s">
        <v>39</v>
      </c>
    </row>
    <row r="28" spans="1:22">
      <c r="A28" s="1">
        <v>2</v>
      </c>
      <c r="B28" s="1">
        <v>2.2999999999999998</v>
      </c>
      <c r="C28" s="1" t="s">
        <v>782</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57.4</v>
      </c>
      <c r="T28" s="1" t="s">
        <v>21</v>
      </c>
      <c r="V28" s="1" t="s">
        <v>60</v>
      </c>
    </row>
    <row r="29" spans="1:22">
      <c r="A29" s="1">
        <v>2</v>
      </c>
      <c r="B29" s="1">
        <v>2.4</v>
      </c>
      <c r="C29" s="1" t="s">
        <v>782</v>
      </c>
      <c r="D29" s="1" t="s">
        <v>21</v>
      </c>
      <c r="E29" s="1" t="s">
        <v>21</v>
      </c>
      <c r="F29" s="4">
        <v>45351</v>
      </c>
      <c r="G29" s="1" t="s">
        <v>21</v>
      </c>
      <c r="H29" s="1" t="s">
        <v>21</v>
      </c>
      <c r="I29" s="1" t="s">
        <v>211</v>
      </c>
      <c r="J29" s="1" t="s">
        <v>21</v>
      </c>
      <c r="K29" s="1" t="s">
        <v>21</v>
      </c>
      <c r="L29" s="1" t="s">
        <v>21</v>
      </c>
      <c r="M29" s="1" t="s">
        <v>21</v>
      </c>
      <c r="N29" s="1" t="s">
        <v>21</v>
      </c>
      <c r="O29" s="1" t="s">
        <v>21</v>
      </c>
      <c r="P29" s="1">
        <v>90</v>
      </c>
      <c r="Q29" s="1">
        <v>90</v>
      </c>
      <c r="R29" s="1">
        <v>57.4</v>
      </c>
      <c r="T29" s="1" t="s">
        <v>21</v>
      </c>
      <c r="V29" s="1" t="s">
        <v>210</v>
      </c>
    </row>
    <row r="30" spans="1:22">
      <c r="A30" s="1">
        <v>2</v>
      </c>
      <c r="B30" s="1">
        <v>2.5</v>
      </c>
      <c r="C30" s="1" t="s">
        <v>782</v>
      </c>
      <c r="D30" s="1">
        <v>1</v>
      </c>
      <c r="E30" s="1" t="s">
        <v>46</v>
      </c>
      <c r="F30" s="4">
        <v>45351</v>
      </c>
      <c r="G30" s="3">
        <f>$K30 + $I30</f>
        <v>0.76180555555555551</v>
      </c>
      <c r="H30" s="1" t="s">
        <v>21</v>
      </c>
      <c r="I30" s="3">
        <v>9.8263888888888897E-3</v>
      </c>
      <c r="J30" s="1" t="s">
        <v>21</v>
      </c>
      <c r="K30" s="3">
        <v>0.75197916666666664</v>
      </c>
      <c r="L30" s="1" t="s">
        <v>55</v>
      </c>
      <c r="M30" s="1" t="s">
        <v>55</v>
      </c>
      <c r="N30" s="1">
        <v>1</v>
      </c>
      <c r="O30" s="1">
        <v>1</v>
      </c>
      <c r="P30" s="1">
        <v>90</v>
      </c>
      <c r="Q30" s="1">
        <v>90</v>
      </c>
      <c r="R30" s="1">
        <v>57.4</v>
      </c>
      <c r="T30" s="1" t="s">
        <v>21</v>
      </c>
      <c r="V30" s="1" t="s">
        <v>62</v>
      </c>
    </row>
    <row r="31" spans="1:22">
      <c r="A31" s="1">
        <v>2</v>
      </c>
      <c r="B31" s="1">
        <v>2.6</v>
      </c>
      <c r="C31" s="1" t="s">
        <v>782</v>
      </c>
      <c r="D31" s="1">
        <v>1</v>
      </c>
      <c r="E31" s="1" t="s">
        <v>61</v>
      </c>
      <c r="F31" s="4">
        <v>45352</v>
      </c>
      <c r="G31" s="1" t="s">
        <v>21</v>
      </c>
      <c r="H31" s="1" t="s">
        <v>21</v>
      </c>
      <c r="I31" s="3">
        <v>3.7627314814814815E-2</v>
      </c>
      <c r="J31" s="1" t="s">
        <v>21</v>
      </c>
      <c r="K31" s="3">
        <v>3.3032407407407406E-2</v>
      </c>
      <c r="L31" s="1" t="s">
        <v>55</v>
      </c>
      <c r="M31" s="1" t="s">
        <v>55</v>
      </c>
      <c r="N31" s="1">
        <v>1</v>
      </c>
      <c r="O31" s="1">
        <v>1</v>
      </c>
      <c r="P31" s="1">
        <v>90</v>
      </c>
      <c r="Q31" s="1">
        <v>90</v>
      </c>
      <c r="R31" s="1">
        <v>57.4</v>
      </c>
      <c r="T31" s="1" t="s">
        <v>21</v>
      </c>
      <c r="V31" s="1" t="s">
        <v>63</v>
      </c>
    </row>
    <row r="32" spans="1:22">
      <c r="A32" s="1">
        <v>2</v>
      </c>
      <c r="B32" s="1">
        <v>2.6</v>
      </c>
      <c r="C32" s="1" t="s">
        <v>782</v>
      </c>
      <c r="D32" s="1">
        <v>1</v>
      </c>
      <c r="E32" s="1" t="s">
        <v>40</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57.4</v>
      </c>
      <c r="S32" s="1">
        <v>57.4</v>
      </c>
      <c r="T32" s="1">
        <v>1</v>
      </c>
      <c r="V32" s="1" t="s">
        <v>68</v>
      </c>
    </row>
    <row r="33" spans="1:22">
      <c r="A33" s="1">
        <v>2</v>
      </c>
      <c r="B33" s="1">
        <v>2.6</v>
      </c>
      <c r="C33" s="1" t="s">
        <v>782</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365</v>
      </c>
    </row>
    <row r="34" spans="1:22">
      <c r="A34" s="1">
        <v>2</v>
      </c>
      <c r="B34" s="1">
        <v>2.6</v>
      </c>
      <c r="C34" s="1" t="s">
        <v>782</v>
      </c>
      <c r="D34" s="1">
        <v>1</v>
      </c>
      <c r="E34" s="1" t="s">
        <v>105</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57.4</v>
      </c>
      <c r="S34" s="1">
        <v>57.4</v>
      </c>
      <c r="T34" s="1" t="s">
        <v>21</v>
      </c>
      <c r="V34" s="1" t="s">
        <v>72</v>
      </c>
    </row>
    <row r="35" spans="1:22">
      <c r="A35" s="1">
        <v>2</v>
      </c>
      <c r="B35" s="1">
        <v>2.6</v>
      </c>
      <c r="C35" s="1" t="s">
        <v>782</v>
      </c>
      <c r="D35" s="1">
        <v>1</v>
      </c>
      <c r="E35" s="1" t="s">
        <v>56</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57.4</v>
      </c>
      <c r="S35" s="1" t="s">
        <v>21</v>
      </c>
      <c r="T35" s="1" t="s">
        <v>21</v>
      </c>
      <c r="V35" s="1" t="s">
        <v>360</v>
      </c>
    </row>
    <row r="36" spans="1:22">
      <c r="A36" s="1">
        <v>2</v>
      </c>
      <c r="B36" s="1">
        <v>2.6</v>
      </c>
      <c r="C36" s="1" t="s">
        <v>782</v>
      </c>
      <c r="D36" s="1">
        <v>1</v>
      </c>
      <c r="E36" s="1" t="s">
        <v>58</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57.4</v>
      </c>
      <c r="S36" s="1" t="s">
        <v>21</v>
      </c>
      <c r="T36" s="1" t="s">
        <v>78</v>
      </c>
      <c r="V36" s="1" t="s">
        <v>77</v>
      </c>
    </row>
    <row r="37" spans="1:22">
      <c r="A37" s="1">
        <v>2</v>
      </c>
      <c r="B37" s="1">
        <v>2.6</v>
      </c>
      <c r="C37" s="1" t="s">
        <v>782</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269</v>
      </c>
    </row>
    <row r="38" spans="1:22">
      <c r="A38" s="1">
        <v>2</v>
      </c>
      <c r="B38" s="1">
        <v>2.6</v>
      </c>
      <c r="C38" s="1" t="s">
        <v>782</v>
      </c>
      <c r="D38" s="1">
        <v>1</v>
      </c>
      <c r="E38" s="1" t="s">
        <v>71</v>
      </c>
      <c r="F38" s="4">
        <v>45355</v>
      </c>
      <c r="G38" s="3">
        <f>$K38 + $I38</f>
        <v>0.25550925925925927</v>
      </c>
      <c r="H38" s="3">
        <f>K38 + J38</f>
        <v>0.2673726851851852</v>
      </c>
      <c r="I38" s="3">
        <v>2.7418981481481485E-2</v>
      </c>
      <c r="J38" s="3">
        <v>3.9282407407407412E-2</v>
      </c>
      <c r="K38" s="3">
        <v>0.22809027777777779</v>
      </c>
      <c r="L38" s="1" t="s">
        <v>55</v>
      </c>
      <c r="M38" s="1" t="s">
        <v>55</v>
      </c>
      <c r="N38" s="1">
        <v>1</v>
      </c>
      <c r="O38" s="1">
        <v>1</v>
      </c>
      <c r="P38" s="1">
        <v>90</v>
      </c>
      <c r="Q38" s="1">
        <v>90</v>
      </c>
      <c r="R38" s="1">
        <v>57.4</v>
      </c>
      <c r="S38" s="1">
        <v>57.4</v>
      </c>
      <c r="T38" s="1">
        <v>1</v>
      </c>
      <c r="V38" s="1" t="s">
        <v>60</v>
      </c>
    </row>
    <row r="39" spans="1:22">
      <c r="A39" s="1">
        <v>2</v>
      </c>
      <c r="B39" s="1">
        <v>2.6</v>
      </c>
      <c r="C39" s="1" t="s">
        <v>782</v>
      </c>
      <c r="D39" s="1">
        <v>1</v>
      </c>
      <c r="E39" s="1" t="s">
        <v>76</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57.4</v>
      </c>
      <c r="S39" s="1">
        <v>57.4</v>
      </c>
      <c r="T39" s="1">
        <v>1</v>
      </c>
      <c r="V39" s="1" t="s">
        <v>89</v>
      </c>
    </row>
    <row r="40" spans="1:22">
      <c r="A40" s="1">
        <v>2</v>
      </c>
      <c r="B40" s="1">
        <v>2.6</v>
      </c>
      <c r="C40" s="1" t="s">
        <v>782</v>
      </c>
      <c r="D40" s="1">
        <v>1</v>
      </c>
      <c r="E40" s="1" t="s">
        <v>87</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57.4</v>
      </c>
      <c r="S40" s="1">
        <v>57.4</v>
      </c>
      <c r="T40" s="1">
        <v>1</v>
      </c>
      <c r="V40" s="1" t="s">
        <v>88</v>
      </c>
    </row>
    <row r="41" spans="1:22">
      <c r="A41" s="1">
        <v>2</v>
      </c>
      <c r="B41" s="1">
        <v>2.6</v>
      </c>
      <c r="C41" s="1" t="s">
        <v>782</v>
      </c>
      <c r="D41" s="1">
        <v>1</v>
      </c>
      <c r="E41" s="1" t="s">
        <v>103</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57.4</v>
      </c>
      <c r="S41" s="1">
        <v>57.4</v>
      </c>
      <c r="T41" s="1">
        <v>0</v>
      </c>
    </row>
    <row r="42" spans="1:22">
      <c r="A42" s="1">
        <v>2</v>
      </c>
      <c r="B42" s="1">
        <v>2.6</v>
      </c>
      <c r="C42" s="1" t="s">
        <v>782</v>
      </c>
      <c r="D42" s="1">
        <v>1</v>
      </c>
      <c r="E42" s="1" t="s">
        <v>98</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57.4</v>
      </c>
      <c r="S42" s="1">
        <v>57.4</v>
      </c>
      <c r="T42" s="1">
        <v>1</v>
      </c>
    </row>
    <row r="43" spans="1:22">
      <c r="A43" s="1">
        <v>2</v>
      </c>
      <c r="B43" s="1">
        <v>2.6</v>
      </c>
      <c r="C43" s="1" t="s">
        <v>782</v>
      </c>
      <c r="D43" s="1" t="s">
        <v>21</v>
      </c>
      <c r="E43" s="1" t="s">
        <v>110</v>
      </c>
      <c r="F43" s="4">
        <v>45357</v>
      </c>
      <c r="G43" s="1" t="s">
        <v>21</v>
      </c>
      <c r="H43" s="1" t="s">
        <v>21</v>
      </c>
      <c r="I43" s="1" t="s">
        <v>21</v>
      </c>
      <c r="J43" s="1" t="s">
        <v>21</v>
      </c>
      <c r="K43" s="3">
        <v>0.74971064814814825</v>
      </c>
      <c r="L43" s="1" t="s">
        <v>7</v>
      </c>
      <c r="M43" s="1" t="s">
        <v>21</v>
      </c>
      <c r="N43" s="1">
        <v>3</v>
      </c>
      <c r="O43" s="1" t="s">
        <v>21</v>
      </c>
      <c r="P43" s="1">
        <v>90</v>
      </c>
      <c r="Q43" s="1">
        <v>90</v>
      </c>
      <c r="R43" s="1">
        <v>57.4</v>
      </c>
      <c r="S43" s="1" t="s">
        <v>21</v>
      </c>
      <c r="T43" s="1" t="s">
        <v>21</v>
      </c>
      <c r="V43" s="1" t="s">
        <v>111</v>
      </c>
    </row>
    <row r="44" spans="1:22">
      <c r="A44" s="1">
        <v>2</v>
      </c>
      <c r="B44" s="1">
        <v>2.6</v>
      </c>
      <c r="C44" s="1" t="s">
        <v>782</v>
      </c>
      <c r="D44" s="1">
        <v>1</v>
      </c>
      <c r="E44" s="1" t="s">
        <v>83</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57.4</v>
      </c>
      <c r="S44" s="1">
        <v>115.17</v>
      </c>
      <c r="T44" s="1">
        <v>0</v>
      </c>
    </row>
    <row r="45" spans="1:22">
      <c r="A45" s="1">
        <v>2</v>
      </c>
      <c r="B45" s="1">
        <v>2.6</v>
      </c>
      <c r="C45" s="1" t="s">
        <v>782</v>
      </c>
      <c r="D45" s="1">
        <v>1</v>
      </c>
      <c r="E45" s="1" t="s">
        <v>94</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57.4</v>
      </c>
      <c r="S45" s="1">
        <v>57.4</v>
      </c>
      <c r="T45" s="1">
        <v>1</v>
      </c>
    </row>
    <row r="46" spans="1:22">
      <c r="A46" s="1">
        <v>2</v>
      </c>
      <c r="B46" s="1">
        <v>2.6</v>
      </c>
      <c r="C46" s="1" t="s">
        <v>782</v>
      </c>
      <c r="D46" s="1">
        <v>1</v>
      </c>
      <c r="E46" s="1" t="s">
        <v>97</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57.4</v>
      </c>
      <c r="S46" s="1">
        <v>38.4</v>
      </c>
      <c r="T46" s="1">
        <v>0</v>
      </c>
    </row>
    <row r="47" spans="1:22">
      <c r="A47" s="1">
        <v>2</v>
      </c>
      <c r="B47" s="1">
        <v>2.6</v>
      </c>
      <c r="C47" s="1" t="s">
        <v>782</v>
      </c>
      <c r="D47" s="1">
        <v>1</v>
      </c>
      <c r="E47" s="1" t="s">
        <v>108</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57.4</v>
      </c>
      <c r="S47" s="1">
        <v>57.4</v>
      </c>
      <c r="T47" s="1">
        <v>0</v>
      </c>
      <c r="V47" s="1" t="s">
        <v>128</v>
      </c>
    </row>
    <row r="48" spans="1:22">
      <c r="A48" s="1">
        <v>2</v>
      </c>
      <c r="B48" s="1">
        <v>2.6</v>
      </c>
      <c r="C48" s="1" t="s">
        <v>782</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57.4</v>
      </c>
      <c r="S48" s="1">
        <v>57.4</v>
      </c>
      <c r="T48" s="1" t="s">
        <v>21</v>
      </c>
      <c r="V48" s="1" t="s">
        <v>133</v>
      </c>
    </row>
    <row r="49" spans="1:23">
      <c r="A49" s="1">
        <v>2</v>
      </c>
      <c r="B49" s="1">
        <v>2.6</v>
      </c>
      <c r="C49" s="1" t="s">
        <v>782</v>
      </c>
      <c r="D49" s="1">
        <v>1</v>
      </c>
      <c r="E49" s="1" t="s">
        <v>126</v>
      </c>
      <c r="F49" s="4">
        <v>45362</v>
      </c>
      <c r="G49" s="3">
        <f t="shared" ref="G49:G59" si="3">I49+K49</f>
        <v>0.77228009259259256</v>
      </c>
      <c r="H49" s="3">
        <f t="shared" ref="H49:H62" si="4">K49 + J49</f>
        <v>0.77763888888888888</v>
      </c>
      <c r="I49" s="3">
        <v>2.75E-2</v>
      </c>
      <c r="J49" s="3">
        <v>3.2858796296296296E-2</v>
      </c>
      <c r="K49" s="3">
        <v>0.74478009259259259</v>
      </c>
      <c r="L49" s="1" t="s">
        <v>8</v>
      </c>
      <c r="M49" s="1" t="s">
        <v>7</v>
      </c>
      <c r="N49" s="1">
        <v>3</v>
      </c>
      <c r="O49" s="1">
        <v>3</v>
      </c>
      <c r="P49" s="1">
        <v>90</v>
      </c>
      <c r="Q49" s="1">
        <v>90</v>
      </c>
      <c r="R49" s="1">
        <v>57.4</v>
      </c>
      <c r="S49" s="1">
        <v>38.4</v>
      </c>
      <c r="T49" s="1">
        <v>0</v>
      </c>
      <c r="V49" s="1" t="s">
        <v>127</v>
      </c>
    </row>
    <row r="50" spans="1:23">
      <c r="A50" s="1">
        <v>2</v>
      </c>
      <c r="B50" s="1">
        <v>2.6</v>
      </c>
      <c r="C50" s="1" t="s">
        <v>782</v>
      </c>
      <c r="D50" s="1">
        <v>1</v>
      </c>
      <c r="E50" s="1" t="s">
        <v>107</v>
      </c>
      <c r="F50" s="4">
        <v>45362</v>
      </c>
      <c r="G50" s="3">
        <f t="shared" si="3"/>
        <v>0.26123842592592594</v>
      </c>
      <c r="H50" s="3">
        <f t="shared" si="4"/>
        <v>0.27355324074074072</v>
      </c>
      <c r="I50" s="3">
        <v>2.9965277777777775E-2</v>
      </c>
      <c r="J50" s="3">
        <v>4.2280092592592591E-2</v>
      </c>
      <c r="K50" s="3">
        <v>0.23127314814814814</v>
      </c>
      <c r="L50" s="1" t="s">
        <v>8</v>
      </c>
      <c r="M50" s="1" t="s">
        <v>7</v>
      </c>
      <c r="N50" s="1">
        <v>3</v>
      </c>
      <c r="O50" s="1">
        <v>3</v>
      </c>
      <c r="P50" s="1">
        <v>90</v>
      </c>
      <c r="Q50" s="1">
        <v>90</v>
      </c>
      <c r="R50" s="1">
        <v>57.4</v>
      </c>
      <c r="S50" s="1">
        <v>115.17</v>
      </c>
      <c r="T50" s="1">
        <v>0</v>
      </c>
      <c r="V50" s="1" t="s">
        <v>136</v>
      </c>
    </row>
    <row r="51" spans="1:23">
      <c r="A51" s="1">
        <v>2</v>
      </c>
      <c r="B51" s="1">
        <v>2.6</v>
      </c>
      <c r="C51" s="1" t="s">
        <v>782</v>
      </c>
      <c r="D51" s="1">
        <v>1</v>
      </c>
      <c r="E51" s="1" t="s">
        <v>115</v>
      </c>
      <c r="F51" s="4">
        <v>45363</v>
      </c>
      <c r="G51" s="3">
        <f t="shared" si="3"/>
        <v>0.76762731481481483</v>
      </c>
      <c r="H51" s="3">
        <f t="shared" si="4"/>
        <v>0.77273148148148152</v>
      </c>
      <c r="I51" s="3">
        <v>2.3032407407407407E-3</v>
      </c>
      <c r="J51" s="3">
        <v>7.4074074074074068E-3</v>
      </c>
      <c r="K51" s="3">
        <v>0.7653240740740741</v>
      </c>
      <c r="L51" s="1" t="s">
        <v>8</v>
      </c>
      <c r="M51" s="1" t="s">
        <v>7</v>
      </c>
      <c r="N51" s="1">
        <v>3</v>
      </c>
      <c r="O51" s="1">
        <v>3</v>
      </c>
      <c r="P51" s="1">
        <v>90</v>
      </c>
      <c r="Q51" s="1">
        <v>90</v>
      </c>
      <c r="R51" s="1">
        <v>57.4</v>
      </c>
      <c r="S51" s="1">
        <v>115.17</v>
      </c>
      <c r="T51" s="1">
        <v>0</v>
      </c>
    </row>
    <row r="52" spans="1:23">
      <c r="A52" s="1">
        <v>2</v>
      </c>
      <c r="B52" s="1">
        <v>2.6</v>
      </c>
      <c r="C52" s="1" t="s">
        <v>782</v>
      </c>
      <c r="D52" s="1">
        <v>1</v>
      </c>
      <c r="E52" s="1" t="s">
        <v>125</v>
      </c>
      <c r="F52" s="4">
        <v>45363</v>
      </c>
      <c r="G52" s="3">
        <f t="shared" si="3"/>
        <v>0.25883101851851853</v>
      </c>
      <c r="H52" s="3">
        <f t="shared" si="4"/>
        <v>0.26667824074074076</v>
      </c>
      <c r="I52" s="3">
        <v>2.3402777777777783E-2</v>
      </c>
      <c r="J52" s="3">
        <v>3.125E-2</v>
      </c>
      <c r="K52" s="3">
        <v>0.23542824074074073</v>
      </c>
      <c r="L52" s="1" t="s">
        <v>7</v>
      </c>
      <c r="M52" s="1" t="s">
        <v>8</v>
      </c>
      <c r="N52" s="1">
        <v>3</v>
      </c>
      <c r="O52" s="1">
        <v>3</v>
      </c>
      <c r="P52" s="1">
        <v>90</v>
      </c>
      <c r="Q52" s="1">
        <v>90</v>
      </c>
      <c r="R52" s="1">
        <v>57.4</v>
      </c>
      <c r="S52" s="1">
        <v>38.4</v>
      </c>
      <c r="T52" s="1">
        <v>1</v>
      </c>
    </row>
    <row r="53" spans="1:23">
      <c r="A53" s="1">
        <v>2</v>
      </c>
      <c r="B53" s="1">
        <v>2.6</v>
      </c>
      <c r="C53" s="1" t="s">
        <v>782</v>
      </c>
      <c r="D53" s="1">
        <v>1</v>
      </c>
      <c r="E53" s="1" t="s">
        <v>139</v>
      </c>
      <c r="F53" s="4">
        <v>45364</v>
      </c>
      <c r="G53" s="3">
        <f t="shared" si="3"/>
        <v>0.7658449074074074</v>
      </c>
      <c r="H53" s="3">
        <f t="shared" si="4"/>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c r="A54" s="1">
        <v>2</v>
      </c>
      <c r="B54" s="1">
        <v>2.6</v>
      </c>
      <c r="C54" s="1" t="s">
        <v>782</v>
      </c>
      <c r="D54" s="1">
        <v>1</v>
      </c>
      <c r="E54" s="1" t="s">
        <v>409</v>
      </c>
      <c r="F54" s="4">
        <v>45364</v>
      </c>
      <c r="G54" s="3">
        <f t="shared" si="3"/>
        <v>0.2530324074074074</v>
      </c>
      <c r="H54" s="3">
        <f t="shared" si="4"/>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c r="A55" s="1">
        <v>2</v>
      </c>
      <c r="B55" s="1">
        <v>2.6</v>
      </c>
      <c r="C55" s="1" t="s">
        <v>782</v>
      </c>
      <c r="D55" s="1">
        <v>1</v>
      </c>
      <c r="E55" s="1" t="s">
        <v>137</v>
      </c>
      <c r="F55" s="4">
        <v>45365</v>
      </c>
      <c r="G55" s="3">
        <f t="shared" si="3"/>
        <v>0.76836805555555554</v>
      </c>
      <c r="H55" s="3">
        <f t="shared" si="4"/>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410</v>
      </c>
    </row>
    <row r="56" spans="1:23">
      <c r="A56" s="1">
        <v>2</v>
      </c>
      <c r="B56" s="1">
        <v>2.6</v>
      </c>
      <c r="C56" s="1" t="s">
        <v>782</v>
      </c>
      <c r="D56" s="1">
        <v>1</v>
      </c>
      <c r="E56" s="1" t="s">
        <v>132</v>
      </c>
      <c r="F56" s="4">
        <v>45365</v>
      </c>
      <c r="G56" s="3">
        <f t="shared" si="3"/>
        <v>0.25822916666666668</v>
      </c>
      <c r="H56" s="3">
        <f t="shared" si="4"/>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138</v>
      </c>
    </row>
    <row r="57" spans="1:23">
      <c r="A57" s="1">
        <v>2</v>
      </c>
      <c r="B57" s="1">
        <v>2.6</v>
      </c>
      <c r="C57" s="1" t="s">
        <v>782</v>
      </c>
      <c r="D57" s="1">
        <v>1</v>
      </c>
      <c r="E57" s="1" t="s">
        <v>131</v>
      </c>
      <c r="F57" s="4">
        <v>45366</v>
      </c>
      <c r="G57" s="3">
        <f t="shared" si="3"/>
        <v>0.25409722222222225</v>
      </c>
      <c r="H57" s="3">
        <f t="shared" si="4"/>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c r="A58" s="1">
        <v>2</v>
      </c>
      <c r="B58" s="1">
        <v>2.6</v>
      </c>
      <c r="C58" s="1" t="s">
        <v>782</v>
      </c>
      <c r="D58" s="1">
        <v>1</v>
      </c>
      <c r="E58" s="1" t="s">
        <v>129</v>
      </c>
      <c r="F58" s="4">
        <v>45366</v>
      </c>
      <c r="G58" s="3">
        <f t="shared" si="3"/>
        <v>0.76741898148148147</v>
      </c>
      <c r="H58" s="3">
        <f t="shared" si="4"/>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150</v>
      </c>
    </row>
    <row r="59" spans="1:23" s="7" customFormat="1">
      <c r="A59" s="1">
        <v>2</v>
      </c>
      <c r="B59" s="1">
        <v>2.6</v>
      </c>
      <c r="C59" s="1" t="s">
        <v>782</v>
      </c>
      <c r="D59" s="1">
        <v>1</v>
      </c>
      <c r="E59" s="1" t="s">
        <v>147</v>
      </c>
      <c r="F59" s="4">
        <v>45367</v>
      </c>
      <c r="G59" s="3">
        <f t="shared" si="3"/>
        <v>0.25164351851851852</v>
      </c>
      <c r="H59" s="3">
        <f t="shared" si="4"/>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c r="A60" s="1">
        <v>2</v>
      </c>
      <c r="B60" s="1">
        <v>2.6</v>
      </c>
      <c r="C60" s="1" t="s">
        <v>782</v>
      </c>
      <c r="D60" s="1">
        <v>1</v>
      </c>
      <c r="E60" s="1" t="s">
        <v>144</v>
      </c>
      <c r="F60" s="4">
        <v>45367</v>
      </c>
      <c r="G60" s="1" t="s">
        <v>21</v>
      </c>
      <c r="H60" s="3">
        <f t="shared" si="4"/>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625</v>
      </c>
    </row>
    <row r="61" spans="1:23">
      <c r="A61" s="1">
        <v>2</v>
      </c>
      <c r="B61" s="1">
        <v>2.6</v>
      </c>
      <c r="C61" s="1" t="s">
        <v>782</v>
      </c>
      <c r="D61" s="1">
        <v>1</v>
      </c>
      <c r="E61" s="1" t="s">
        <v>142</v>
      </c>
      <c r="F61" s="4">
        <v>45368</v>
      </c>
      <c r="G61" s="3">
        <f>I61+K61</f>
        <v>0.25063657407407408</v>
      </c>
      <c r="H61" s="3">
        <f t="shared" si="4"/>
        <v>0.2610763888888889</v>
      </c>
      <c r="I61" s="3">
        <v>1.7083333333333332E-2</v>
      </c>
      <c r="J61" s="3">
        <v>2.7523148148148147E-2</v>
      </c>
      <c r="K61" s="3">
        <v>0.23355324074074074</v>
      </c>
      <c r="L61" s="1" t="s">
        <v>7</v>
      </c>
      <c r="M61" s="1" t="s">
        <v>8</v>
      </c>
      <c r="N61" s="1">
        <v>3</v>
      </c>
      <c r="O61" s="1">
        <v>2</v>
      </c>
      <c r="P61" s="1">
        <v>90</v>
      </c>
      <c r="Q61" s="1">
        <v>90</v>
      </c>
      <c r="R61" s="1">
        <v>115.17</v>
      </c>
      <c r="S61" s="1">
        <v>38.4</v>
      </c>
      <c r="T61" s="1">
        <v>1</v>
      </c>
    </row>
    <row r="62" spans="1:23" ht="19" customHeight="1">
      <c r="A62" s="1">
        <v>2</v>
      </c>
      <c r="B62" s="1">
        <v>2.6</v>
      </c>
      <c r="C62" s="1" t="s">
        <v>782</v>
      </c>
      <c r="D62" s="1">
        <v>2</v>
      </c>
      <c r="E62" s="1" t="s">
        <v>142</v>
      </c>
      <c r="F62" s="4">
        <v>45368</v>
      </c>
      <c r="G62" s="3">
        <f>I62+K62</f>
        <v>0.26203703703703701</v>
      </c>
      <c r="H62" s="3">
        <f t="shared" si="4"/>
        <v>0.26609953703703704</v>
      </c>
      <c r="I62" s="3">
        <v>2.8483796296296295E-2</v>
      </c>
      <c r="J62" s="3">
        <v>3.2546296296296295E-2</v>
      </c>
      <c r="K62" s="3">
        <v>0.23355324074074074</v>
      </c>
      <c r="L62" s="1" t="s">
        <v>8</v>
      </c>
      <c r="M62" s="1" t="s">
        <v>8</v>
      </c>
      <c r="N62" s="1">
        <v>2</v>
      </c>
      <c r="O62" s="1">
        <v>2</v>
      </c>
      <c r="P62" s="1">
        <v>90</v>
      </c>
      <c r="Q62" s="1">
        <v>90</v>
      </c>
      <c r="R62" s="1">
        <v>38.4</v>
      </c>
      <c r="S62" s="1">
        <v>38.4</v>
      </c>
      <c r="T62" s="1">
        <v>1</v>
      </c>
      <c r="V62" s="1" t="s">
        <v>192</v>
      </c>
    </row>
    <row r="63" spans="1:23" s="7" customFormat="1">
      <c r="A63" s="1">
        <v>2</v>
      </c>
      <c r="B63" s="1">
        <v>2.6</v>
      </c>
      <c r="C63" s="1" t="s">
        <v>782</v>
      </c>
      <c r="D63" s="1">
        <v>1</v>
      </c>
      <c r="E63" s="1" t="s">
        <v>148</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213</v>
      </c>
      <c r="W63" s="1"/>
    </row>
    <row r="64" spans="1:23" s="7" customFormat="1">
      <c r="A64" s="1">
        <v>2</v>
      </c>
      <c r="B64" s="1">
        <v>2.6</v>
      </c>
      <c r="C64" s="1" t="s">
        <v>782</v>
      </c>
      <c r="D64" s="1">
        <v>2</v>
      </c>
      <c r="E64" s="1" t="s">
        <v>148</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38.4</v>
      </c>
      <c r="T64" s="1">
        <v>0</v>
      </c>
      <c r="U64" s="1"/>
      <c r="V64" s="1" t="s">
        <v>214</v>
      </c>
      <c r="W64" s="1"/>
    </row>
    <row r="65" spans="1:23">
      <c r="A65" s="1">
        <v>2</v>
      </c>
      <c r="B65" s="1">
        <v>2.6</v>
      </c>
      <c r="C65" s="1" t="s">
        <v>782</v>
      </c>
      <c r="D65" s="1" t="s">
        <v>21</v>
      </c>
      <c r="E65" s="1" t="s">
        <v>168</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342</v>
      </c>
    </row>
    <row r="66" spans="1:23">
      <c r="A66" s="1">
        <v>2</v>
      </c>
      <c r="B66" s="1">
        <v>2.6</v>
      </c>
      <c r="C66" s="1" t="s">
        <v>782</v>
      </c>
      <c r="D66" s="1">
        <v>1</v>
      </c>
      <c r="E66" s="1" t="s">
        <v>153</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170</v>
      </c>
    </row>
    <row r="67" spans="1:23">
      <c r="A67" s="1">
        <v>2</v>
      </c>
      <c r="B67" s="1">
        <v>2.6</v>
      </c>
      <c r="C67" s="1" t="s">
        <v>782</v>
      </c>
      <c r="D67" s="1">
        <v>1</v>
      </c>
      <c r="E67" s="1" t="s">
        <v>158</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57.4</v>
      </c>
      <c r="T67" s="1">
        <v>1</v>
      </c>
      <c r="V67" s="1" t="s">
        <v>167</v>
      </c>
    </row>
    <row r="68" spans="1:23">
      <c r="A68" s="1">
        <v>2</v>
      </c>
      <c r="B68" s="1">
        <v>2.6</v>
      </c>
      <c r="C68" s="1" t="s">
        <v>782</v>
      </c>
      <c r="D68" s="1">
        <v>1</v>
      </c>
      <c r="E68" s="1" t="s">
        <v>164</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57.4</v>
      </c>
      <c r="T68" s="1">
        <v>0</v>
      </c>
      <c r="V68" s="1" t="s">
        <v>165</v>
      </c>
    </row>
    <row r="69" spans="1:23">
      <c r="A69" s="1">
        <v>2</v>
      </c>
      <c r="B69" s="1">
        <v>2.6</v>
      </c>
      <c r="C69" s="1" t="s">
        <v>782</v>
      </c>
      <c r="D69" s="1">
        <v>2</v>
      </c>
      <c r="E69" s="1" t="s">
        <v>164</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57.4</v>
      </c>
      <c r="S69" s="1">
        <v>57.4</v>
      </c>
      <c r="T69" s="1">
        <v>0</v>
      </c>
      <c r="V69" s="1" t="s">
        <v>189</v>
      </c>
    </row>
    <row r="70" spans="1:23">
      <c r="A70" s="1">
        <v>2</v>
      </c>
      <c r="B70" s="1">
        <v>2.6</v>
      </c>
      <c r="C70" s="1" t="s">
        <v>782</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197</v>
      </c>
    </row>
    <row r="71" spans="1:23">
      <c r="A71" s="1">
        <v>2</v>
      </c>
      <c r="B71" s="1">
        <v>2.6</v>
      </c>
      <c r="C71" s="1" t="s">
        <v>782</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200</v>
      </c>
    </row>
    <row r="72" spans="1:23">
      <c r="A72" s="1">
        <v>2</v>
      </c>
      <c r="B72" s="1">
        <v>2.1</v>
      </c>
      <c r="C72" s="1" t="s">
        <v>782</v>
      </c>
      <c r="D72" s="1">
        <v>1</v>
      </c>
      <c r="E72" s="1" t="s">
        <v>163</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38.4</v>
      </c>
      <c r="T72" s="1">
        <v>1</v>
      </c>
      <c r="V72" s="1" t="s">
        <v>249</v>
      </c>
    </row>
    <row r="73" spans="1:23">
      <c r="A73" s="1">
        <v>2</v>
      </c>
      <c r="B73" s="1">
        <v>2.1</v>
      </c>
      <c r="C73" s="1" t="s">
        <v>782</v>
      </c>
      <c r="D73" s="1">
        <v>1</v>
      </c>
      <c r="E73" s="1" t="s">
        <v>161</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368</v>
      </c>
    </row>
    <row r="74" spans="1:23">
      <c r="A74" s="1">
        <v>2</v>
      </c>
      <c r="B74" s="1">
        <v>2.1</v>
      </c>
      <c r="C74" s="1" t="s">
        <v>782</v>
      </c>
      <c r="D74" s="1">
        <v>1</v>
      </c>
      <c r="E74" s="1" t="s">
        <v>159</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57.4</v>
      </c>
      <c r="T74" s="1">
        <v>0</v>
      </c>
      <c r="V74" s="1" t="s">
        <v>250</v>
      </c>
    </row>
    <row r="75" spans="1:23">
      <c r="A75" s="1">
        <v>2</v>
      </c>
      <c r="B75" s="1">
        <v>2.1</v>
      </c>
      <c r="C75" s="1" t="s">
        <v>782</v>
      </c>
      <c r="D75" s="1">
        <v>1</v>
      </c>
      <c r="E75" s="1" t="s">
        <v>190</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57.4</v>
      </c>
      <c r="T75" s="1">
        <v>0</v>
      </c>
      <c r="V75" s="1" t="s">
        <v>251</v>
      </c>
    </row>
    <row r="76" spans="1:23">
      <c r="A76" s="1">
        <v>2</v>
      </c>
      <c r="B76" s="1">
        <v>2.1</v>
      </c>
      <c r="C76" s="1" t="s">
        <v>782</v>
      </c>
      <c r="D76" s="1">
        <v>1</v>
      </c>
      <c r="E76" s="1" t="s">
        <v>252</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38.4</v>
      </c>
      <c r="T76" s="1">
        <v>1</v>
      </c>
    </row>
    <row r="77" spans="1:23" s="7" customFormat="1">
      <c r="A77" s="1">
        <v>2</v>
      </c>
      <c r="B77" s="1">
        <v>2.1</v>
      </c>
      <c r="C77" s="1" t="s">
        <v>782</v>
      </c>
      <c r="D77" s="1">
        <v>1</v>
      </c>
      <c r="E77" s="1" t="s">
        <v>216</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60</v>
      </c>
      <c r="W77" s="1"/>
    </row>
    <row r="78" spans="1:23" s="7" customFormat="1">
      <c r="A78" s="1">
        <v>2</v>
      </c>
      <c r="B78" t="s">
        <v>785</v>
      </c>
      <c r="C78" t="s">
        <v>782</v>
      </c>
      <c r="D78" s="1">
        <v>1</v>
      </c>
      <c r="E78" s="1" t="s">
        <v>234</v>
      </c>
      <c r="F78" s="4">
        <v>45375</v>
      </c>
      <c r="G78" s="3">
        <f t="shared" ref="G78:G83" si="5">$K78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235</v>
      </c>
      <c r="W78" s="1"/>
    </row>
    <row r="79" spans="1:23" s="7" customFormat="1">
      <c r="A79" s="1">
        <v>2</v>
      </c>
      <c r="B79" t="s">
        <v>785</v>
      </c>
      <c r="C79" t="s">
        <v>782</v>
      </c>
      <c r="D79" s="1">
        <v>2</v>
      </c>
      <c r="E79" s="1" t="s">
        <v>234</v>
      </c>
      <c r="F79" s="4">
        <v>45375</v>
      </c>
      <c r="G79" s="3">
        <f t="shared" si="5"/>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c r="A80" s="1">
        <v>2</v>
      </c>
      <c r="B80" t="s">
        <v>785</v>
      </c>
      <c r="C80" t="s">
        <v>782</v>
      </c>
      <c r="D80" s="1">
        <v>1</v>
      </c>
      <c r="E80" s="1" t="s">
        <v>236</v>
      </c>
      <c r="F80" s="4">
        <v>45375</v>
      </c>
      <c r="G80" s="3">
        <f t="shared" si="5"/>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57.4</v>
      </c>
      <c r="T80" s="1">
        <v>1</v>
      </c>
      <c r="V80" s="1" t="s">
        <v>237</v>
      </c>
    </row>
    <row r="81" spans="1:22">
      <c r="A81" s="1">
        <v>2</v>
      </c>
      <c r="B81" t="s">
        <v>785</v>
      </c>
      <c r="C81" t="s">
        <v>782</v>
      </c>
      <c r="D81" s="1">
        <v>1</v>
      </c>
      <c r="E81" s="1" t="s">
        <v>220</v>
      </c>
      <c r="F81" s="4">
        <v>45376</v>
      </c>
      <c r="G81" s="3">
        <f t="shared" si="5"/>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238</v>
      </c>
    </row>
    <row r="82" spans="1:22">
      <c r="A82" s="1">
        <v>2</v>
      </c>
      <c r="B82" t="s">
        <v>785</v>
      </c>
      <c r="C82" t="s">
        <v>782</v>
      </c>
      <c r="D82" s="1">
        <v>1</v>
      </c>
      <c r="E82" s="1" t="s">
        <v>261</v>
      </c>
      <c r="F82" s="4">
        <v>45376</v>
      </c>
      <c r="G82" s="3">
        <f t="shared" si="5"/>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38.4</v>
      </c>
      <c r="T82" s="1">
        <v>0</v>
      </c>
      <c r="V82" s="1" t="s">
        <v>244</v>
      </c>
    </row>
    <row r="83" spans="1:22">
      <c r="A83" s="1">
        <v>2</v>
      </c>
      <c r="B83" t="s">
        <v>785</v>
      </c>
      <c r="C83" t="s">
        <v>782</v>
      </c>
      <c r="D83" s="1">
        <v>1</v>
      </c>
      <c r="E83" s="1" t="s">
        <v>223</v>
      </c>
      <c r="F83" s="4">
        <v>45377</v>
      </c>
      <c r="G83" s="3">
        <f t="shared" si="5"/>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c r="A84" s="1">
        <v>2</v>
      </c>
      <c r="B84" t="s">
        <v>785</v>
      </c>
      <c r="C84" t="s">
        <v>782</v>
      </c>
      <c r="D84" s="1" t="s">
        <v>21</v>
      </c>
      <c r="E84" s="1" t="s">
        <v>21</v>
      </c>
      <c r="F84" s="4">
        <v>45377</v>
      </c>
      <c r="G84" s="1" t="s">
        <v>21</v>
      </c>
      <c r="H84" s="6" t="s">
        <v>21</v>
      </c>
      <c r="I84" s="1" t="s">
        <v>21</v>
      </c>
      <c r="J84" s="6" t="s">
        <v>21</v>
      </c>
      <c r="K84" s="1" t="s">
        <v>21</v>
      </c>
      <c r="L84" s="1" t="s">
        <v>7</v>
      </c>
      <c r="M84" s="1" t="s">
        <v>7</v>
      </c>
      <c r="N84" s="1">
        <v>3</v>
      </c>
      <c r="O84" s="5" t="s">
        <v>218</v>
      </c>
      <c r="P84" s="1">
        <v>90</v>
      </c>
      <c r="Q84" s="1">
        <v>90</v>
      </c>
      <c r="R84" s="1">
        <v>115.17</v>
      </c>
      <c r="S84" s="1">
        <v>115.17</v>
      </c>
      <c r="T84" s="1" t="s">
        <v>21</v>
      </c>
      <c r="V84" s="1" t="s">
        <v>242</v>
      </c>
    </row>
    <row r="85" spans="1:22">
      <c r="A85" s="1">
        <v>2</v>
      </c>
      <c r="B85" t="s">
        <v>785</v>
      </c>
      <c r="C85" t="s">
        <v>782</v>
      </c>
      <c r="D85" s="1">
        <v>1</v>
      </c>
      <c r="E85" s="1" t="s">
        <v>226</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57.4</v>
      </c>
      <c r="T85" s="1">
        <v>0</v>
      </c>
      <c r="V85" s="1" t="s">
        <v>239</v>
      </c>
    </row>
    <row r="86" spans="1:22">
      <c r="A86" s="1">
        <v>2</v>
      </c>
      <c r="B86" t="s">
        <v>785</v>
      </c>
      <c r="C86" t="s">
        <v>782</v>
      </c>
      <c r="D86" s="1" t="s">
        <v>21</v>
      </c>
      <c r="E86" s="1" t="s">
        <v>229</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60</v>
      </c>
    </row>
    <row r="87" spans="1:22">
      <c r="A87" s="1">
        <v>2</v>
      </c>
      <c r="B87" t="s">
        <v>785</v>
      </c>
      <c r="C87" t="s">
        <v>782</v>
      </c>
      <c r="D87" s="1">
        <v>1</v>
      </c>
      <c r="E87" s="1" t="s">
        <v>240</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38.4</v>
      </c>
      <c r="T87" s="1">
        <v>0</v>
      </c>
      <c r="V87" s="1" t="s">
        <v>372</v>
      </c>
    </row>
    <row r="88" spans="1:22">
      <c r="A88" s="1">
        <v>2</v>
      </c>
      <c r="B88" t="s">
        <v>785</v>
      </c>
      <c r="C88" t="s">
        <v>782</v>
      </c>
      <c r="D88" s="1">
        <v>1</v>
      </c>
      <c r="E88" s="1" t="s">
        <v>241</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60</v>
      </c>
    </row>
    <row r="89" spans="1:22">
      <c r="A89" s="1">
        <v>2</v>
      </c>
      <c r="B89" t="s">
        <v>785</v>
      </c>
      <c r="C89" t="s">
        <v>782</v>
      </c>
      <c r="D89" s="1">
        <v>1</v>
      </c>
      <c r="E89" s="1" t="s">
        <v>243</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306</v>
      </c>
    </row>
    <row r="90" spans="1:22">
      <c r="A90" s="1">
        <v>2</v>
      </c>
      <c r="B90" t="s">
        <v>785</v>
      </c>
      <c r="C90" t="s">
        <v>782</v>
      </c>
      <c r="D90" s="1" t="s">
        <v>21</v>
      </c>
      <c r="E90" s="1" t="s">
        <v>245</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60</v>
      </c>
    </row>
    <row r="91" spans="1:22">
      <c r="A91" s="1">
        <v>2</v>
      </c>
      <c r="B91" t="s">
        <v>785</v>
      </c>
      <c r="C91" t="s">
        <v>782</v>
      </c>
      <c r="D91" s="1">
        <v>1</v>
      </c>
      <c r="E91" s="1" t="s">
        <v>248</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307</v>
      </c>
    </row>
    <row r="92" spans="1:22">
      <c r="A92" s="1">
        <v>2</v>
      </c>
      <c r="B92" t="s">
        <v>785</v>
      </c>
      <c r="C92" t="s">
        <v>782</v>
      </c>
      <c r="D92" s="1">
        <v>1</v>
      </c>
      <c r="E92" s="1" t="s">
        <v>308</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57.4</v>
      </c>
      <c r="T92" s="1">
        <v>0</v>
      </c>
    </row>
    <row r="93" spans="1:22">
      <c r="A93" s="1">
        <v>2</v>
      </c>
      <c r="B93" t="s">
        <v>785</v>
      </c>
      <c r="C93" t="s">
        <v>782</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296</v>
      </c>
    </row>
    <row r="94" spans="1:22">
      <c r="A94" s="1">
        <v>2</v>
      </c>
      <c r="B94" t="s">
        <v>785</v>
      </c>
      <c r="C94" t="s">
        <v>782</v>
      </c>
      <c r="D94" s="1">
        <v>1</v>
      </c>
      <c r="E94" s="1" t="s">
        <v>290</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38.4</v>
      </c>
      <c r="T94" s="1">
        <v>0</v>
      </c>
      <c r="V94" s="1" t="s">
        <v>310</v>
      </c>
    </row>
    <row r="95" spans="1:22">
      <c r="A95" s="1">
        <v>2</v>
      </c>
      <c r="B95" t="s">
        <v>785</v>
      </c>
      <c r="C95" t="s">
        <v>782</v>
      </c>
      <c r="D95" s="1">
        <v>1</v>
      </c>
      <c r="E95" s="1" t="s">
        <v>274</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c r="A96" s="1">
        <v>2</v>
      </c>
      <c r="B96" t="s">
        <v>785</v>
      </c>
      <c r="C96" t="s">
        <v>782</v>
      </c>
      <c r="D96" s="1" t="s">
        <v>21</v>
      </c>
      <c r="E96" s="1" t="s">
        <v>21</v>
      </c>
      <c r="F96" s="4">
        <v>45383</v>
      </c>
      <c r="G96" s="1" t="s">
        <v>21</v>
      </c>
      <c r="H96" s="1" t="s">
        <v>21</v>
      </c>
      <c r="I96" s="1" t="s">
        <v>21</v>
      </c>
      <c r="J96" s="1" t="s">
        <v>21</v>
      </c>
      <c r="K96" s="1" t="s">
        <v>21</v>
      </c>
      <c r="N96" s="1">
        <v>3</v>
      </c>
      <c r="O96" s="1">
        <v>3</v>
      </c>
      <c r="T96" s="1" t="s">
        <v>21</v>
      </c>
      <c r="V96" s="1" t="s">
        <v>333</v>
      </c>
    </row>
    <row r="97" spans="1:22">
      <c r="A97" s="1">
        <v>2</v>
      </c>
      <c r="B97" t="s">
        <v>785</v>
      </c>
      <c r="C97" t="s">
        <v>782</v>
      </c>
      <c r="D97" s="1" t="s">
        <v>21</v>
      </c>
      <c r="E97" s="1" t="s">
        <v>21</v>
      </c>
      <c r="F97" s="4">
        <v>45384</v>
      </c>
      <c r="G97" s="1" t="s">
        <v>21</v>
      </c>
      <c r="H97" s="1" t="s">
        <v>21</v>
      </c>
      <c r="I97" s="1" t="s">
        <v>21</v>
      </c>
      <c r="J97" s="1" t="s">
        <v>21</v>
      </c>
      <c r="K97" s="1" t="s">
        <v>21</v>
      </c>
      <c r="N97" s="1">
        <v>3</v>
      </c>
      <c r="O97" s="1">
        <v>3</v>
      </c>
      <c r="T97" s="1" t="s">
        <v>21</v>
      </c>
      <c r="V97" s="1" t="s">
        <v>332</v>
      </c>
    </row>
    <row r="98" spans="1:22">
      <c r="A98" s="1">
        <v>2</v>
      </c>
      <c r="B98" t="s">
        <v>785</v>
      </c>
      <c r="C98" t="s">
        <v>782</v>
      </c>
      <c r="D98" s="1" t="s">
        <v>21</v>
      </c>
      <c r="E98" s="1" t="s">
        <v>21</v>
      </c>
      <c r="F98" s="4">
        <v>45384</v>
      </c>
      <c r="G98" s="1" t="s">
        <v>21</v>
      </c>
      <c r="H98" s="1" t="s">
        <v>21</v>
      </c>
      <c r="I98" s="1" t="s">
        <v>21</v>
      </c>
      <c r="J98" s="1" t="s">
        <v>21</v>
      </c>
      <c r="K98" s="1" t="s">
        <v>21</v>
      </c>
      <c r="N98" s="1">
        <v>3</v>
      </c>
      <c r="O98" s="1">
        <v>3</v>
      </c>
      <c r="T98" s="1" t="s">
        <v>21</v>
      </c>
      <c r="V98" s="1" t="s">
        <v>382</v>
      </c>
    </row>
    <row r="99" spans="1:22">
      <c r="A99" s="1">
        <v>2</v>
      </c>
      <c r="B99" t="s">
        <v>785</v>
      </c>
      <c r="C99" t="s">
        <v>782</v>
      </c>
      <c r="D99" s="1" t="s">
        <v>21</v>
      </c>
      <c r="E99" s="1" t="s">
        <v>21</v>
      </c>
      <c r="F99" s="4">
        <v>45385</v>
      </c>
      <c r="G99" s="1" t="s">
        <v>21</v>
      </c>
      <c r="H99" s="1" t="s">
        <v>21</v>
      </c>
      <c r="I99" s="1" t="s">
        <v>21</v>
      </c>
      <c r="J99" s="1" t="s">
        <v>21</v>
      </c>
      <c r="K99" s="1" t="s">
        <v>21</v>
      </c>
      <c r="N99" s="1">
        <v>3</v>
      </c>
      <c r="O99" s="1">
        <v>3</v>
      </c>
      <c r="T99" s="1" t="s">
        <v>21</v>
      </c>
    </row>
    <row r="100" spans="1:22">
      <c r="A100" s="1">
        <v>2</v>
      </c>
      <c r="B100" t="s">
        <v>785</v>
      </c>
      <c r="C100" t="s">
        <v>782</v>
      </c>
      <c r="D100" s="1">
        <v>1</v>
      </c>
      <c r="E100" s="1" t="s">
        <v>285</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362</v>
      </c>
    </row>
    <row r="101" spans="1:22">
      <c r="A101" s="1">
        <v>2</v>
      </c>
      <c r="B101" t="s">
        <v>785</v>
      </c>
      <c r="C101" t="s">
        <v>782</v>
      </c>
      <c r="D101" s="1" t="s">
        <v>21</v>
      </c>
      <c r="E101" s="1" t="s">
        <v>21</v>
      </c>
      <c r="F101" s="4">
        <v>45386</v>
      </c>
      <c r="G101" s="1" t="s">
        <v>21</v>
      </c>
      <c r="H101" s="3" t="s">
        <v>21</v>
      </c>
      <c r="I101" s="1" t="s">
        <v>21</v>
      </c>
      <c r="J101" s="3" t="s">
        <v>21</v>
      </c>
      <c r="K101" s="1" t="s">
        <v>21</v>
      </c>
      <c r="N101" s="1">
        <v>3</v>
      </c>
      <c r="O101" s="1">
        <v>3</v>
      </c>
      <c r="P101" s="1">
        <v>90</v>
      </c>
      <c r="Q101" s="1">
        <v>90</v>
      </c>
      <c r="T101" s="1" t="s">
        <v>21</v>
      </c>
      <c r="V101" s="1" t="s">
        <v>381</v>
      </c>
    </row>
    <row r="102" spans="1:22">
      <c r="A102" s="1">
        <v>2</v>
      </c>
      <c r="B102" t="s">
        <v>785</v>
      </c>
      <c r="C102" t="s">
        <v>782</v>
      </c>
      <c r="D102" s="1">
        <v>1</v>
      </c>
      <c r="E102" s="1" t="s">
        <v>778</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57.4</v>
      </c>
      <c r="T102" s="1">
        <v>0</v>
      </c>
      <c r="V102" s="1" t="s">
        <v>302</v>
      </c>
    </row>
    <row r="103" spans="1:22">
      <c r="A103" s="1">
        <v>2</v>
      </c>
      <c r="B103" t="s">
        <v>785</v>
      </c>
      <c r="C103" t="s">
        <v>782</v>
      </c>
      <c r="D103" s="1" t="s">
        <v>21</v>
      </c>
      <c r="E103" s="1" t="s">
        <v>21</v>
      </c>
      <c r="F103" s="4">
        <v>45387</v>
      </c>
      <c r="G103" s="1" t="s">
        <v>21</v>
      </c>
      <c r="H103" s="1" t="s">
        <v>21</v>
      </c>
      <c r="I103" s="1" t="s">
        <v>21</v>
      </c>
      <c r="J103" s="1" t="s">
        <v>21</v>
      </c>
      <c r="K103" s="1" t="s">
        <v>21</v>
      </c>
      <c r="P103" s="1">
        <v>90</v>
      </c>
      <c r="Q103" s="1">
        <v>90</v>
      </c>
      <c r="R103" s="1">
        <v>57.4</v>
      </c>
      <c r="S103" s="1">
        <v>57.4</v>
      </c>
      <c r="T103" s="1" t="s">
        <v>21</v>
      </c>
      <c r="V103" s="1" t="s">
        <v>367</v>
      </c>
    </row>
    <row r="104" spans="1:22">
      <c r="A104" s="1">
        <v>2</v>
      </c>
      <c r="B104" t="s">
        <v>785</v>
      </c>
      <c r="C104" t="s">
        <v>782</v>
      </c>
      <c r="D104" s="1">
        <v>1</v>
      </c>
      <c r="E104" s="1" t="s">
        <v>297</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57.4</v>
      </c>
      <c r="S104" s="1">
        <v>38.4</v>
      </c>
      <c r="T104" s="1">
        <v>1</v>
      </c>
    </row>
    <row r="105" spans="1:22">
      <c r="A105" s="1">
        <v>2</v>
      </c>
      <c r="B105" t="s">
        <v>785</v>
      </c>
      <c r="C105" t="s">
        <v>782</v>
      </c>
      <c r="D105" s="1">
        <v>1</v>
      </c>
      <c r="E105" s="1" t="s">
        <v>299</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492</v>
      </c>
    </row>
    <row r="106" spans="1:22">
      <c r="A106" s="1">
        <v>2</v>
      </c>
      <c r="B106" t="s">
        <v>785</v>
      </c>
      <c r="C106" t="s">
        <v>782</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500</v>
      </c>
    </row>
    <row r="107" spans="1:22">
      <c r="A107" s="1">
        <v>2</v>
      </c>
      <c r="B107" t="s">
        <v>785</v>
      </c>
      <c r="C107" t="s">
        <v>782</v>
      </c>
      <c r="D107" s="1" t="s">
        <v>21</v>
      </c>
      <c r="E107" s="1" t="s">
        <v>300</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60</v>
      </c>
    </row>
    <row r="108" spans="1:22">
      <c r="A108" s="1">
        <v>2</v>
      </c>
      <c r="B108" t="s">
        <v>785</v>
      </c>
      <c r="C108" t="s">
        <v>782</v>
      </c>
      <c r="D108" s="1" t="s">
        <v>21</v>
      </c>
      <c r="E108" s="1" t="s">
        <v>21</v>
      </c>
      <c r="F108" s="4">
        <v>45389</v>
      </c>
      <c r="G108" s="15" t="s">
        <v>21</v>
      </c>
      <c r="H108" s="15" t="s">
        <v>21</v>
      </c>
      <c r="I108" s="15" t="s">
        <v>21</v>
      </c>
      <c r="J108" s="15" t="s">
        <v>21</v>
      </c>
      <c r="K108" s="15" t="s">
        <v>21</v>
      </c>
      <c r="P108" s="1">
        <v>90</v>
      </c>
      <c r="Q108" s="1">
        <v>90</v>
      </c>
      <c r="T108" s="1" t="s">
        <v>21</v>
      </c>
      <c r="V108" s="1" t="s">
        <v>501</v>
      </c>
    </row>
    <row r="109" spans="1:22">
      <c r="A109" s="1">
        <v>2</v>
      </c>
      <c r="B109" t="s">
        <v>785</v>
      </c>
      <c r="C109" t="s">
        <v>782</v>
      </c>
      <c r="D109" s="1">
        <v>1</v>
      </c>
      <c r="E109" s="1" t="s">
        <v>319</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38.4</v>
      </c>
      <c r="T109" s="1">
        <v>0</v>
      </c>
    </row>
    <row r="110" spans="1:22">
      <c r="A110" s="1">
        <v>2</v>
      </c>
      <c r="B110" t="s">
        <v>785</v>
      </c>
      <c r="C110" t="s">
        <v>782</v>
      </c>
      <c r="D110" s="1" t="s">
        <v>21</v>
      </c>
      <c r="E110" s="1" t="s">
        <v>318</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60</v>
      </c>
    </row>
    <row r="111" spans="1:22">
      <c r="A111" s="1">
        <v>2</v>
      </c>
      <c r="B111" t="s">
        <v>785</v>
      </c>
      <c r="C111" t="s">
        <v>782</v>
      </c>
      <c r="D111" s="1">
        <v>1</v>
      </c>
      <c r="E111" s="1" t="s">
        <v>357</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c r="A112" s="1">
        <v>2</v>
      </c>
      <c r="B112" t="s">
        <v>785</v>
      </c>
      <c r="C112" t="s">
        <v>782</v>
      </c>
      <c r="D112" s="1">
        <v>1</v>
      </c>
      <c r="E112" s="1" t="s">
        <v>491</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38.4</v>
      </c>
      <c r="T112" s="1">
        <v>1</v>
      </c>
    </row>
    <row r="113" spans="1:23">
      <c r="A113" s="1">
        <v>2</v>
      </c>
      <c r="B113" t="s">
        <v>785</v>
      </c>
      <c r="C113" t="s">
        <v>782</v>
      </c>
      <c r="D113" s="1">
        <v>1</v>
      </c>
      <c r="E113" s="1" t="s">
        <v>384</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57.4</v>
      </c>
      <c r="S113" s="1">
        <v>19.2</v>
      </c>
      <c r="T113" s="1">
        <v>0</v>
      </c>
    </row>
    <row r="114" spans="1:23">
      <c r="A114" s="1">
        <v>2</v>
      </c>
      <c r="B114" t="s">
        <v>785</v>
      </c>
      <c r="C114" t="s">
        <v>782</v>
      </c>
      <c r="D114" s="1" t="s">
        <v>21</v>
      </c>
      <c r="E114" s="1" t="s">
        <v>21</v>
      </c>
      <c r="F114" s="4">
        <v>45392</v>
      </c>
      <c r="G114" s="2" t="s">
        <v>21</v>
      </c>
      <c r="H114" s="1" t="s">
        <v>21</v>
      </c>
      <c r="I114" s="2" t="s">
        <v>21</v>
      </c>
      <c r="J114" s="1" t="s">
        <v>21</v>
      </c>
      <c r="K114" s="2" t="s">
        <v>21</v>
      </c>
      <c r="P114" s="1">
        <v>90</v>
      </c>
      <c r="Q114" s="1">
        <v>90</v>
      </c>
      <c r="T114" s="1" t="s">
        <v>21</v>
      </c>
      <c r="V114" s="1" t="s">
        <v>493</v>
      </c>
    </row>
    <row r="115" spans="1:23">
      <c r="A115" s="1">
        <v>2</v>
      </c>
      <c r="B115" t="s">
        <v>785</v>
      </c>
      <c r="C115" t="s">
        <v>782</v>
      </c>
      <c r="D115" s="1">
        <v>1</v>
      </c>
      <c r="E115" s="1" t="s">
        <v>470</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57.4</v>
      </c>
      <c r="S115" s="1">
        <v>19.2</v>
      </c>
      <c r="T115" s="1">
        <v>0</v>
      </c>
    </row>
    <row r="116" spans="1:23">
      <c r="A116" s="1">
        <v>2</v>
      </c>
      <c r="B116" t="s">
        <v>785</v>
      </c>
      <c r="C116" t="s">
        <v>782</v>
      </c>
      <c r="D116" s="1">
        <v>1</v>
      </c>
      <c r="E116" s="1" t="s">
        <v>469</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497</v>
      </c>
    </row>
    <row r="117" spans="1:23" ht="18" customHeight="1">
      <c r="A117" s="1">
        <v>2</v>
      </c>
      <c r="B117" t="s">
        <v>785</v>
      </c>
      <c r="C117" t="s">
        <v>782</v>
      </c>
      <c r="D117" s="1">
        <v>1</v>
      </c>
      <c r="E117" s="1" t="s">
        <v>467</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498</v>
      </c>
    </row>
    <row r="118" spans="1:23">
      <c r="A118" s="1">
        <v>2</v>
      </c>
      <c r="B118" t="s">
        <v>785</v>
      </c>
      <c r="C118" t="s">
        <v>782</v>
      </c>
      <c r="D118" s="1">
        <v>1</v>
      </c>
      <c r="E118" s="1" t="s">
        <v>461</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38.4</v>
      </c>
      <c r="T118" s="1">
        <v>0</v>
      </c>
    </row>
    <row r="119" spans="1:23">
      <c r="A119" s="1">
        <v>2</v>
      </c>
      <c r="B119" t="s">
        <v>785</v>
      </c>
      <c r="C119" t="s">
        <v>782</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495</v>
      </c>
    </row>
    <row r="120" spans="1:23">
      <c r="A120" s="1">
        <v>2</v>
      </c>
      <c r="B120" t="s">
        <v>785</v>
      </c>
      <c r="C120" t="s">
        <v>782</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38.4</v>
      </c>
      <c r="S120" s="1">
        <v>38.4</v>
      </c>
      <c r="T120" s="1" t="s">
        <v>21</v>
      </c>
      <c r="V120" s="1" t="s">
        <v>496</v>
      </c>
    </row>
    <row r="121" spans="1:23">
      <c r="A121" s="1">
        <v>2</v>
      </c>
      <c r="B121" t="s">
        <v>785</v>
      </c>
      <c r="C121" t="s">
        <v>782</v>
      </c>
      <c r="D121" s="1">
        <v>1</v>
      </c>
      <c r="E121" s="1" t="s">
        <v>458</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499</v>
      </c>
    </row>
    <row r="122" spans="1:23">
      <c r="A122" s="1">
        <v>2</v>
      </c>
      <c r="B122" t="s">
        <v>785</v>
      </c>
      <c r="C122" t="s">
        <v>782</v>
      </c>
      <c r="D122" s="1">
        <v>1</v>
      </c>
      <c r="E122" s="1" t="s">
        <v>482</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c r="A123" s="1">
        <v>2</v>
      </c>
      <c r="B123" t="s">
        <v>785</v>
      </c>
      <c r="C123" t="s">
        <v>782</v>
      </c>
      <c r="D123" s="1" t="s">
        <v>21</v>
      </c>
      <c r="E123" s="4" t="s">
        <v>67</v>
      </c>
      <c r="F123" s="27">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527</v>
      </c>
      <c r="W123" s="4"/>
    </row>
    <row r="124" spans="1:23">
      <c r="A124" s="1">
        <v>2</v>
      </c>
      <c r="B124" t="s">
        <v>785</v>
      </c>
      <c r="C124" t="s">
        <v>782</v>
      </c>
      <c r="D124" s="1">
        <v>1</v>
      </c>
      <c r="E124" s="1" t="s">
        <v>66</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526</v>
      </c>
    </row>
    <row r="125" spans="1:23">
      <c r="A125" s="1">
        <v>2</v>
      </c>
      <c r="B125" t="s">
        <v>785</v>
      </c>
      <c r="C125" t="s">
        <v>782</v>
      </c>
      <c r="D125" s="1">
        <v>1</v>
      </c>
      <c r="E125" s="1" t="s">
        <v>74</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c r="A126" s="1">
        <v>2</v>
      </c>
      <c r="B126" t="s">
        <v>785</v>
      </c>
      <c r="C126" t="s">
        <v>782</v>
      </c>
      <c r="D126" s="1">
        <v>1</v>
      </c>
      <c r="E126" s="1" t="s">
        <v>96</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528</v>
      </c>
    </row>
    <row r="127" spans="1:23">
      <c r="A127" s="15">
        <v>2</v>
      </c>
      <c r="B127" t="s">
        <v>785</v>
      </c>
      <c r="C127" t="s">
        <v>782</v>
      </c>
      <c r="D127" s="1" t="s">
        <v>21</v>
      </c>
      <c r="E127" s="1" t="s">
        <v>102</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537</v>
      </c>
    </row>
    <row r="128" spans="1:23">
      <c r="A128" s="1">
        <v>2</v>
      </c>
      <c r="B128" t="s">
        <v>785</v>
      </c>
      <c r="C128" t="s">
        <v>782</v>
      </c>
      <c r="D128" s="1">
        <v>1</v>
      </c>
      <c r="E128" s="1" t="s">
        <v>157</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c r="A129" s="1">
        <v>2</v>
      </c>
      <c r="B129" t="s">
        <v>785</v>
      </c>
      <c r="C129" t="s">
        <v>782</v>
      </c>
      <c r="D129" s="1">
        <v>1</v>
      </c>
      <c r="E129" s="1" t="s">
        <v>81</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538</v>
      </c>
    </row>
    <row r="130" spans="1:22">
      <c r="A130" s="1">
        <v>2</v>
      </c>
      <c r="B130" t="s">
        <v>785</v>
      </c>
      <c r="C130" t="s">
        <v>782</v>
      </c>
      <c r="D130" s="1" t="s">
        <v>21</v>
      </c>
      <c r="E130" s="1" t="s">
        <v>284</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537</v>
      </c>
    </row>
    <row r="131" spans="1:22">
      <c r="A131" s="1">
        <v>2</v>
      </c>
      <c r="B131" t="s">
        <v>785</v>
      </c>
      <c r="C131" t="s">
        <v>782</v>
      </c>
      <c r="D131" s="1">
        <v>1</v>
      </c>
      <c r="E131" s="1" t="s">
        <v>85</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484</v>
      </c>
    </row>
    <row r="132" spans="1:22">
      <c r="A132" s="1">
        <v>2</v>
      </c>
      <c r="B132" t="s">
        <v>786</v>
      </c>
      <c r="C132" t="s">
        <v>784</v>
      </c>
      <c r="D132" s="1" t="s">
        <v>21</v>
      </c>
      <c r="E132" s="1" t="s">
        <v>85</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540</v>
      </c>
    </row>
    <row r="133" spans="1:22">
      <c r="A133" s="1">
        <v>2</v>
      </c>
      <c r="B133" t="s">
        <v>785</v>
      </c>
      <c r="C133" t="s">
        <v>782</v>
      </c>
      <c r="D133" s="1" t="s">
        <v>21</v>
      </c>
      <c r="E133" s="1" t="s">
        <v>86</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c r="A134" s="1">
        <v>2</v>
      </c>
      <c r="B134" t="s">
        <v>786</v>
      </c>
      <c r="C134" t="s">
        <v>784</v>
      </c>
      <c r="D134" s="1" t="s">
        <v>21</v>
      </c>
      <c r="E134" s="1" t="s">
        <v>86</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544</v>
      </c>
    </row>
    <row r="135" spans="1:22">
      <c r="A135" s="1">
        <v>2</v>
      </c>
      <c r="B135" t="s">
        <v>785</v>
      </c>
      <c r="C135" t="s">
        <v>782</v>
      </c>
      <c r="D135" s="1">
        <v>1</v>
      </c>
      <c r="E135" s="1" t="s">
        <v>90</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552</v>
      </c>
    </row>
    <row r="136" spans="1:22">
      <c r="A136" s="1">
        <v>2</v>
      </c>
      <c r="B136" t="s">
        <v>785</v>
      </c>
      <c r="C136" t="s">
        <v>782</v>
      </c>
      <c r="D136" s="1" t="s">
        <v>21</v>
      </c>
      <c r="E136" s="1" t="s">
        <v>96</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537</v>
      </c>
    </row>
    <row r="137" spans="1:22">
      <c r="A137" s="1">
        <v>2</v>
      </c>
      <c r="B137" t="s">
        <v>785</v>
      </c>
      <c r="C137" t="s">
        <v>782</v>
      </c>
      <c r="D137" s="1" t="s">
        <v>21</v>
      </c>
      <c r="E137" s="1" t="s">
        <v>184</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537</v>
      </c>
    </row>
    <row r="138" spans="1:22">
      <c r="A138" s="1">
        <v>2</v>
      </c>
      <c r="B138" t="s">
        <v>786</v>
      </c>
      <c r="C138" t="s">
        <v>784</v>
      </c>
      <c r="D138" s="1" t="s">
        <v>21</v>
      </c>
      <c r="E138" s="1" t="s">
        <v>184</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c r="A139" s="1">
        <v>2</v>
      </c>
      <c r="B139" t="s">
        <v>786</v>
      </c>
      <c r="C139" t="s">
        <v>784</v>
      </c>
      <c r="D139" s="1">
        <v>1</v>
      </c>
      <c r="E139" s="1" t="s">
        <v>113</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553</v>
      </c>
    </row>
    <row r="140" spans="1:22">
      <c r="A140" s="1">
        <v>2</v>
      </c>
      <c r="B140" t="s">
        <v>785</v>
      </c>
      <c r="C140" t="s">
        <v>782</v>
      </c>
      <c r="D140" s="1" t="s">
        <v>21</v>
      </c>
      <c r="E140" s="1" t="s">
        <v>113</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c r="A141" s="1">
        <v>2</v>
      </c>
      <c r="B141" t="s">
        <v>786</v>
      </c>
      <c r="C141" t="s">
        <v>784</v>
      </c>
      <c r="D141" s="1" t="s">
        <v>21</v>
      </c>
      <c r="E141" s="1" t="s">
        <v>254</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c r="A142" s="1">
        <v>2</v>
      </c>
      <c r="B142" t="s">
        <v>785</v>
      </c>
      <c r="C142" t="s">
        <v>782</v>
      </c>
      <c r="D142" s="1" t="s">
        <v>21</v>
      </c>
      <c r="E142" s="1" t="s">
        <v>254</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c r="A143" s="1">
        <v>2</v>
      </c>
      <c r="B143" t="s">
        <v>787</v>
      </c>
      <c r="C143" t="s">
        <v>784</v>
      </c>
      <c r="D143" s="1">
        <v>1</v>
      </c>
      <c r="E143" s="1" t="s">
        <v>255</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554</v>
      </c>
    </row>
    <row r="144" spans="1:22">
      <c r="A144" s="1">
        <v>2</v>
      </c>
      <c r="B144" t="s">
        <v>788</v>
      </c>
      <c r="C144" t="s">
        <v>782</v>
      </c>
      <c r="D144" s="1">
        <v>1</v>
      </c>
      <c r="E144" s="1" t="s">
        <v>255</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555</v>
      </c>
    </row>
    <row r="145" spans="1:23">
      <c r="A145" s="1">
        <v>2</v>
      </c>
      <c r="B145" t="s">
        <v>787</v>
      </c>
      <c r="C145" t="s">
        <v>784</v>
      </c>
      <c r="D145" s="1" t="s">
        <v>21</v>
      </c>
      <c r="E145" s="1" t="s">
        <v>112</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556</v>
      </c>
    </row>
    <row r="146" spans="1:23">
      <c r="A146" s="1">
        <v>2</v>
      </c>
      <c r="B146" t="s">
        <v>788</v>
      </c>
      <c r="C146" t="s">
        <v>782</v>
      </c>
      <c r="D146" s="1" t="s">
        <v>21</v>
      </c>
      <c r="E146" s="1" t="s">
        <v>112</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78</v>
      </c>
    </row>
    <row r="147" spans="1:23">
      <c r="A147" s="1">
        <v>2</v>
      </c>
      <c r="B147" t="s">
        <v>785</v>
      </c>
      <c r="C147" t="s">
        <v>782</v>
      </c>
      <c r="D147" s="1">
        <v>1</v>
      </c>
      <c r="E147" s="1" t="s">
        <v>560</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57.4</v>
      </c>
      <c r="S147" s="1">
        <v>57.4</v>
      </c>
      <c r="T147" s="1">
        <v>0</v>
      </c>
      <c r="V147" s="1" t="s">
        <v>562</v>
      </c>
    </row>
    <row r="148" spans="1:23">
      <c r="A148" s="1">
        <v>2</v>
      </c>
      <c r="B148" t="s">
        <v>785</v>
      </c>
      <c r="C148" t="s">
        <v>782</v>
      </c>
      <c r="D148" s="1">
        <v>1</v>
      </c>
      <c r="E148" s="1" t="s">
        <v>121</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57.4</v>
      </c>
      <c r="S148" s="1">
        <v>57.4</v>
      </c>
      <c r="T148" s="1">
        <v>1</v>
      </c>
      <c r="V148" s="1" t="s">
        <v>571</v>
      </c>
    </row>
    <row r="149" spans="1:23">
      <c r="A149" s="1">
        <v>2</v>
      </c>
      <c r="B149" t="s">
        <v>787</v>
      </c>
      <c r="C149" t="s">
        <v>784</v>
      </c>
      <c r="D149" s="1" t="s">
        <v>21</v>
      </c>
      <c r="E149" s="1" t="s">
        <v>121</v>
      </c>
      <c r="F149" s="4">
        <v>45411</v>
      </c>
      <c r="G149" s="1" t="s">
        <v>21</v>
      </c>
      <c r="H149" s="1" t="s">
        <v>21</v>
      </c>
      <c r="I149" s="1" t="s">
        <v>21</v>
      </c>
      <c r="J149" s="1" t="s">
        <v>21</v>
      </c>
      <c r="K149" s="3">
        <v>0.76197916666666665</v>
      </c>
      <c r="L149" s="1" t="s">
        <v>8</v>
      </c>
      <c r="M149" s="1" t="s">
        <v>7</v>
      </c>
      <c r="N149" s="1">
        <v>2</v>
      </c>
      <c r="O149" s="1">
        <v>2</v>
      </c>
      <c r="P149" s="1">
        <v>90</v>
      </c>
      <c r="Q149" s="1">
        <v>90</v>
      </c>
      <c r="R149" s="1">
        <v>57.4</v>
      </c>
      <c r="S149" s="1">
        <v>57.4</v>
      </c>
      <c r="T149" s="1" t="s">
        <v>21</v>
      </c>
    </row>
    <row r="150" spans="1:23">
      <c r="A150" s="1">
        <v>2</v>
      </c>
      <c r="B150" t="s">
        <v>787</v>
      </c>
      <c r="C150" t="s">
        <v>784</v>
      </c>
      <c r="D150" s="1">
        <v>1</v>
      </c>
      <c r="E150" s="1" t="s">
        <v>560</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57.4</v>
      </c>
      <c r="S150" s="1">
        <v>57.4</v>
      </c>
      <c r="T150" s="1" t="s">
        <v>21</v>
      </c>
      <c r="V150" s="1" t="s">
        <v>561</v>
      </c>
    </row>
    <row r="151" spans="1:23">
      <c r="A151" s="1">
        <v>2</v>
      </c>
      <c r="B151" t="s">
        <v>787</v>
      </c>
      <c r="C151" t="s">
        <v>784</v>
      </c>
      <c r="D151" s="1">
        <v>1</v>
      </c>
      <c r="E151" s="1" t="s">
        <v>171</v>
      </c>
      <c r="F151" s="4">
        <v>45412</v>
      </c>
      <c r="G151" s="1" t="s">
        <v>21</v>
      </c>
      <c r="H151" s="3">
        <f t="shared" ref="H151:H160" si="6">K151 + J151</f>
        <v>0.26519675925925923</v>
      </c>
      <c r="I151" s="1" t="s">
        <v>21</v>
      </c>
      <c r="J151" s="3">
        <v>4.8032407407407406E-2</v>
      </c>
      <c r="K151" s="3">
        <v>0.21716435185185184</v>
      </c>
      <c r="L151" s="1" t="s">
        <v>7</v>
      </c>
      <c r="M151" s="1" t="s">
        <v>7</v>
      </c>
      <c r="N151" s="1">
        <v>2</v>
      </c>
      <c r="O151" s="1">
        <v>2</v>
      </c>
      <c r="P151" s="1">
        <v>90</v>
      </c>
      <c r="Q151" s="1">
        <v>90</v>
      </c>
      <c r="R151" s="1">
        <v>57.4</v>
      </c>
      <c r="S151" s="1">
        <v>57.4</v>
      </c>
      <c r="T151" s="1">
        <v>0</v>
      </c>
      <c r="V151" s="1" t="s">
        <v>668</v>
      </c>
      <c r="W151" s="1" t="s">
        <v>669</v>
      </c>
    </row>
    <row r="152" spans="1:23">
      <c r="A152" s="1">
        <v>2</v>
      </c>
      <c r="B152" t="s">
        <v>785</v>
      </c>
      <c r="C152" t="s">
        <v>782</v>
      </c>
      <c r="D152" s="1">
        <v>1</v>
      </c>
      <c r="E152" s="1" t="s">
        <v>171</v>
      </c>
      <c r="F152" s="4">
        <v>45412</v>
      </c>
      <c r="G152" s="3">
        <f>$K152 + $I152</f>
        <v>0.24459490740740741</v>
      </c>
      <c r="H152" s="3">
        <f t="shared" si="6"/>
        <v>0.28041666666666665</v>
      </c>
      <c r="I152" s="3">
        <v>2.7430555555555555E-2</v>
      </c>
      <c r="J152" s="3">
        <v>6.3252314814814817E-2</v>
      </c>
      <c r="K152" s="3">
        <v>0.21716435185185184</v>
      </c>
      <c r="L152" s="1" t="s">
        <v>8</v>
      </c>
      <c r="M152" s="1" t="s">
        <v>8</v>
      </c>
      <c r="N152" s="1">
        <v>2</v>
      </c>
      <c r="O152" s="1">
        <v>2</v>
      </c>
      <c r="P152" s="1">
        <v>90</v>
      </c>
      <c r="Q152" s="1">
        <v>90</v>
      </c>
      <c r="R152" s="1">
        <v>57.4</v>
      </c>
      <c r="S152" s="1">
        <v>57.4</v>
      </c>
      <c r="T152" s="1">
        <v>1</v>
      </c>
      <c r="W152" s="1" t="s">
        <v>647</v>
      </c>
    </row>
    <row r="153" spans="1:23">
      <c r="A153" s="1">
        <v>2</v>
      </c>
      <c r="B153" t="s">
        <v>787</v>
      </c>
      <c r="C153" t="s">
        <v>784</v>
      </c>
      <c r="D153" s="1">
        <v>1</v>
      </c>
      <c r="E153" s="1" t="s">
        <v>776</v>
      </c>
      <c r="F153" s="4">
        <v>45412</v>
      </c>
      <c r="G153" s="3">
        <f>$K153 + $I153</f>
        <v>0.78037037037037038</v>
      </c>
      <c r="H153" s="3">
        <f t="shared" si="6"/>
        <v>0.7833796296296297</v>
      </c>
      <c r="I153" s="3">
        <v>1.8587962962962962E-2</v>
      </c>
      <c r="J153" s="3">
        <v>2.1597222222222223E-2</v>
      </c>
      <c r="K153" s="3">
        <v>0.76178240740740744</v>
      </c>
      <c r="L153" s="1" t="s">
        <v>7</v>
      </c>
      <c r="M153" s="1" t="s">
        <v>8</v>
      </c>
      <c r="N153" s="1">
        <v>2</v>
      </c>
      <c r="O153" s="1">
        <v>2</v>
      </c>
      <c r="P153" s="1">
        <v>90</v>
      </c>
      <c r="Q153" s="1">
        <v>90</v>
      </c>
      <c r="R153" s="1">
        <v>57.4</v>
      </c>
      <c r="S153" s="1">
        <v>57.4</v>
      </c>
      <c r="T153" s="1">
        <v>0</v>
      </c>
      <c r="V153" s="1" t="s">
        <v>582</v>
      </c>
    </row>
    <row r="154" spans="1:23">
      <c r="A154" s="1">
        <v>2</v>
      </c>
      <c r="B154" t="s">
        <v>785</v>
      </c>
      <c r="C154" t="s">
        <v>782</v>
      </c>
      <c r="D154" s="1">
        <v>1</v>
      </c>
      <c r="E154" s="1" t="s">
        <v>776</v>
      </c>
      <c r="F154" s="4">
        <v>45412</v>
      </c>
      <c r="G154" s="1" t="s">
        <v>21</v>
      </c>
      <c r="H154" s="3">
        <f t="shared" si="6"/>
        <v>0.77048611111111109</v>
      </c>
      <c r="I154" s="1" t="s">
        <v>21</v>
      </c>
      <c r="J154" s="3">
        <v>8.7037037037037031E-3</v>
      </c>
      <c r="K154" s="3">
        <v>0.76178240740740744</v>
      </c>
      <c r="L154" s="1" t="s">
        <v>8</v>
      </c>
      <c r="M154" s="1" t="s">
        <v>8</v>
      </c>
      <c r="N154" s="1">
        <v>2</v>
      </c>
      <c r="O154" s="1">
        <v>2</v>
      </c>
      <c r="P154" s="1">
        <v>90</v>
      </c>
      <c r="Q154" s="1">
        <v>90</v>
      </c>
      <c r="R154" s="1">
        <v>57.4</v>
      </c>
      <c r="S154" s="1">
        <v>57.4</v>
      </c>
      <c r="T154" s="1">
        <v>1</v>
      </c>
      <c r="V154" s="1" t="s">
        <v>484</v>
      </c>
    </row>
    <row r="155" spans="1:23">
      <c r="A155" s="1">
        <v>2</v>
      </c>
      <c r="B155" t="s">
        <v>785</v>
      </c>
      <c r="C155" t="s">
        <v>782</v>
      </c>
      <c r="D155" s="1">
        <v>1</v>
      </c>
      <c r="E155" s="1" t="s">
        <v>291</v>
      </c>
      <c r="F155" s="4">
        <v>45413</v>
      </c>
      <c r="G155" s="1" t="s">
        <v>21</v>
      </c>
      <c r="H155" s="3">
        <f t="shared" si="6"/>
        <v>0.76872685185185186</v>
      </c>
      <c r="I155" s="1" t="s">
        <v>21</v>
      </c>
      <c r="J155" s="3">
        <v>4.7337962962962967E-3</v>
      </c>
      <c r="K155" s="3">
        <v>0.76399305555555552</v>
      </c>
      <c r="L155" s="1" t="s">
        <v>7</v>
      </c>
      <c r="M155" s="1" t="s">
        <v>7</v>
      </c>
      <c r="N155" s="1">
        <v>2</v>
      </c>
      <c r="O155" s="1">
        <v>2</v>
      </c>
      <c r="P155" s="1">
        <v>90</v>
      </c>
      <c r="Q155" s="1">
        <v>90</v>
      </c>
      <c r="R155" s="1">
        <v>57.4</v>
      </c>
      <c r="S155" s="1">
        <v>57.4</v>
      </c>
      <c r="T155" s="1">
        <v>0</v>
      </c>
      <c r="V155" s="1" t="s">
        <v>484</v>
      </c>
    </row>
    <row r="156" spans="1:23">
      <c r="A156" s="1">
        <v>2</v>
      </c>
      <c r="B156" t="s">
        <v>787</v>
      </c>
      <c r="C156" t="s">
        <v>784</v>
      </c>
      <c r="D156" s="1">
        <v>1</v>
      </c>
      <c r="E156" s="1" t="s">
        <v>291</v>
      </c>
      <c r="F156" s="4">
        <v>45413</v>
      </c>
      <c r="G156" s="3">
        <f>$K156 + $I156</f>
        <v>0.77228009259259256</v>
      </c>
      <c r="H156" s="3">
        <f t="shared" si="6"/>
        <v>0.77984953703703697</v>
      </c>
      <c r="I156" s="3">
        <v>8.2870370370370372E-3</v>
      </c>
      <c r="J156" s="3">
        <v>1.5856481481481482E-2</v>
      </c>
      <c r="K156" s="3">
        <v>0.76399305555555552</v>
      </c>
      <c r="L156" s="1" t="s">
        <v>8</v>
      </c>
      <c r="M156" s="1" t="s">
        <v>8</v>
      </c>
      <c r="N156" s="1">
        <v>2</v>
      </c>
      <c r="O156" s="1">
        <v>2</v>
      </c>
      <c r="P156" s="1">
        <v>90</v>
      </c>
      <c r="Q156" s="1">
        <v>90</v>
      </c>
      <c r="R156" s="1">
        <v>57.4</v>
      </c>
      <c r="S156" s="1">
        <v>57.4</v>
      </c>
      <c r="T156" s="1">
        <v>0</v>
      </c>
    </row>
    <row r="157" spans="1:23">
      <c r="A157" s="1">
        <v>2</v>
      </c>
      <c r="B157" t="s">
        <v>787</v>
      </c>
      <c r="C157" t="s">
        <v>784</v>
      </c>
      <c r="D157" s="1">
        <v>2</v>
      </c>
      <c r="E157" s="1" t="s">
        <v>291</v>
      </c>
      <c r="F157" s="4">
        <v>45413</v>
      </c>
      <c r="G157" s="3">
        <f>$K157 + $I157</f>
        <v>0.78071759259259255</v>
      </c>
      <c r="H157" s="3">
        <f t="shared" si="6"/>
        <v>0.78475694444444444</v>
      </c>
      <c r="I157" s="3">
        <v>1.6724537037037038E-2</v>
      </c>
      <c r="J157" s="3">
        <v>2.0763888888888887E-2</v>
      </c>
      <c r="K157" s="3">
        <v>0.76399305555555552</v>
      </c>
      <c r="L157" s="1" t="s">
        <v>8</v>
      </c>
      <c r="M157" s="1" t="s">
        <v>8</v>
      </c>
      <c r="N157" s="1">
        <v>2</v>
      </c>
      <c r="O157" s="1">
        <v>2</v>
      </c>
      <c r="P157" s="1">
        <v>90</v>
      </c>
      <c r="Q157" s="1">
        <v>90</v>
      </c>
      <c r="R157" s="1">
        <v>57.4</v>
      </c>
      <c r="S157" s="1">
        <v>57.4</v>
      </c>
      <c r="T157" s="1">
        <v>0</v>
      </c>
    </row>
    <row r="158" spans="1:23">
      <c r="A158" s="1">
        <v>2</v>
      </c>
      <c r="B158" t="s">
        <v>787</v>
      </c>
      <c r="C158" t="s">
        <v>784</v>
      </c>
      <c r="D158" s="1">
        <v>1</v>
      </c>
      <c r="E158" s="1" t="s">
        <v>173</v>
      </c>
      <c r="F158" s="4">
        <v>45413</v>
      </c>
      <c r="G158" s="1" t="s">
        <v>21</v>
      </c>
      <c r="H158" s="3">
        <f t="shared" si="6"/>
        <v>0.22903935185185184</v>
      </c>
      <c r="I158" s="1" t="s">
        <v>21</v>
      </c>
      <c r="J158" s="3">
        <v>1.2534722222222221E-2</v>
      </c>
      <c r="K158" s="3">
        <v>0.21650462962962963</v>
      </c>
      <c r="L158" s="1" t="s">
        <v>7</v>
      </c>
      <c r="M158" s="1" t="s">
        <v>7</v>
      </c>
      <c r="N158" s="1">
        <v>2</v>
      </c>
      <c r="O158" s="1">
        <v>2</v>
      </c>
      <c r="P158" s="1">
        <v>90</v>
      </c>
      <c r="Q158" s="1">
        <v>90</v>
      </c>
      <c r="R158" s="1">
        <v>57.4</v>
      </c>
      <c r="S158" s="1">
        <v>57.4</v>
      </c>
      <c r="T158" s="1">
        <v>0</v>
      </c>
      <c r="V158" s="1" t="s">
        <v>578</v>
      </c>
    </row>
    <row r="159" spans="1:23">
      <c r="A159" s="1">
        <v>2</v>
      </c>
      <c r="B159" t="s">
        <v>787</v>
      </c>
      <c r="C159" t="s">
        <v>784</v>
      </c>
      <c r="D159" s="1">
        <v>2</v>
      </c>
      <c r="E159" s="1" t="s">
        <v>173</v>
      </c>
      <c r="F159" s="4">
        <v>45413</v>
      </c>
      <c r="G159" s="3">
        <f>$K159 + $I159</f>
        <v>0.23854166666666665</v>
      </c>
      <c r="H159" s="3">
        <f t="shared" si="6"/>
        <v>0.24969907407407407</v>
      </c>
      <c r="I159" s="3">
        <v>2.2037037037037036E-2</v>
      </c>
      <c r="J159" s="3">
        <v>3.3194444444444443E-2</v>
      </c>
      <c r="K159" s="3">
        <v>0.21650462962962963</v>
      </c>
      <c r="L159" s="1" t="s">
        <v>7</v>
      </c>
      <c r="M159" s="1" t="s">
        <v>8</v>
      </c>
      <c r="N159" s="1">
        <v>2</v>
      </c>
      <c r="O159" s="1">
        <v>2</v>
      </c>
      <c r="P159" s="1">
        <v>90</v>
      </c>
      <c r="Q159" s="1">
        <v>90</v>
      </c>
      <c r="R159" s="1">
        <v>57.4</v>
      </c>
      <c r="S159" s="1">
        <v>57.4</v>
      </c>
      <c r="T159" s="1">
        <v>0</v>
      </c>
      <c r="V159" s="1" t="s">
        <v>579</v>
      </c>
    </row>
    <row r="160" spans="1:23">
      <c r="A160" s="1">
        <v>2</v>
      </c>
      <c r="B160" t="s">
        <v>787</v>
      </c>
      <c r="C160" t="s">
        <v>784</v>
      </c>
      <c r="D160" s="1">
        <v>3</v>
      </c>
      <c r="E160" s="1" t="s">
        <v>173</v>
      </c>
      <c r="F160" s="4">
        <v>45413</v>
      </c>
      <c r="G160" s="3">
        <f>$K160 + $I160</f>
        <v>0.25157407407407406</v>
      </c>
      <c r="H160" s="3">
        <f t="shared" si="6"/>
        <v>0.26141203703703703</v>
      </c>
      <c r="I160" s="3">
        <v>3.5069444444444445E-2</v>
      </c>
      <c r="J160" s="3">
        <v>4.490740740740741E-2</v>
      </c>
      <c r="K160" s="3">
        <v>0.21650462962962963</v>
      </c>
      <c r="L160" s="1" t="s">
        <v>8</v>
      </c>
      <c r="M160" s="1" t="s">
        <v>8</v>
      </c>
      <c r="N160" s="1">
        <v>2</v>
      </c>
      <c r="O160" s="1">
        <v>1</v>
      </c>
      <c r="P160" s="1">
        <v>90</v>
      </c>
      <c r="Q160" s="1">
        <v>90</v>
      </c>
      <c r="R160" s="1">
        <v>57.4</v>
      </c>
      <c r="S160" s="1">
        <v>57.4</v>
      </c>
      <c r="T160" s="1">
        <v>0</v>
      </c>
      <c r="V160" s="1" t="s">
        <v>580</v>
      </c>
    </row>
    <row r="161" spans="1:22">
      <c r="A161" s="1">
        <v>2</v>
      </c>
      <c r="B161" t="s">
        <v>785</v>
      </c>
      <c r="C161" t="s">
        <v>782</v>
      </c>
      <c r="D161" s="1">
        <v>1</v>
      </c>
      <c r="E161" s="1" t="s">
        <v>173</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57.4</v>
      </c>
      <c r="S161" s="1">
        <v>57.4</v>
      </c>
      <c r="T161" s="1" t="s">
        <v>21</v>
      </c>
      <c r="V161" s="1" t="s">
        <v>581</v>
      </c>
    </row>
    <row r="162" spans="1:22">
      <c r="A162" s="1">
        <v>2</v>
      </c>
      <c r="B162" t="s">
        <v>785</v>
      </c>
      <c r="C162" t="s">
        <v>782</v>
      </c>
      <c r="D162" s="1">
        <v>1</v>
      </c>
      <c r="E162" s="1" t="s">
        <v>756</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57.4</v>
      </c>
      <c r="S162" s="1">
        <v>57.4</v>
      </c>
      <c r="T162" s="1">
        <v>1</v>
      </c>
      <c r="V162" s="1" t="s">
        <v>576</v>
      </c>
    </row>
    <row r="163" spans="1:22">
      <c r="A163" s="1">
        <v>2</v>
      </c>
      <c r="B163" t="s">
        <v>787</v>
      </c>
      <c r="C163" t="s">
        <v>784</v>
      </c>
      <c r="D163" s="1">
        <v>1</v>
      </c>
      <c r="E163" s="1" t="s">
        <v>756</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57.4</v>
      </c>
      <c r="S163" s="1">
        <v>57.4</v>
      </c>
      <c r="T163" s="1">
        <v>0</v>
      </c>
      <c r="V163" s="1" t="s">
        <v>577</v>
      </c>
    </row>
    <row r="164" spans="1:22">
      <c r="A164" s="1">
        <v>2</v>
      </c>
      <c r="B164" t="s">
        <v>787</v>
      </c>
      <c r="C164" t="s">
        <v>784</v>
      </c>
      <c r="D164" s="1">
        <v>1</v>
      </c>
      <c r="E164" s="1" t="s">
        <v>295</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57.4</v>
      </c>
      <c r="S164" s="1">
        <v>57.4</v>
      </c>
      <c r="T164" s="1">
        <v>0</v>
      </c>
      <c r="V164" s="1" t="s">
        <v>587</v>
      </c>
    </row>
    <row r="165" spans="1:22">
      <c r="A165" s="1">
        <v>2</v>
      </c>
      <c r="B165" t="s">
        <v>785</v>
      </c>
      <c r="C165" t="s">
        <v>782</v>
      </c>
      <c r="D165" s="1">
        <v>1</v>
      </c>
      <c r="E165" s="1" t="s">
        <v>295</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57.4</v>
      </c>
      <c r="S165" s="1">
        <v>57.4</v>
      </c>
      <c r="T165" s="1">
        <v>0</v>
      </c>
      <c r="V165" s="1" t="s">
        <v>586</v>
      </c>
    </row>
    <row r="166" spans="1:22">
      <c r="A166" s="1">
        <v>2</v>
      </c>
      <c r="B166" t="s">
        <v>785</v>
      </c>
      <c r="C166" t="s">
        <v>782</v>
      </c>
      <c r="D166" s="1">
        <v>1</v>
      </c>
      <c r="E166" s="1" t="s">
        <v>120</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484</v>
      </c>
    </row>
    <row r="167" spans="1:22">
      <c r="A167" s="1">
        <v>2</v>
      </c>
      <c r="B167" t="s">
        <v>787</v>
      </c>
      <c r="C167" t="s">
        <v>784</v>
      </c>
      <c r="D167" s="1" t="s">
        <v>21</v>
      </c>
      <c r="E167" s="1" t="s">
        <v>120</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588</v>
      </c>
    </row>
    <row r="168" spans="1:22">
      <c r="A168" s="1">
        <v>2</v>
      </c>
      <c r="B168" t="s">
        <v>785</v>
      </c>
      <c r="C168" t="s">
        <v>782</v>
      </c>
      <c r="D168" s="1">
        <v>1</v>
      </c>
      <c r="E168" s="1" t="s">
        <v>256</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590</v>
      </c>
    </row>
    <row r="169" spans="1:22">
      <c r="A169" s="1">
        <v>2</v>
      </c>
      <c r="B169" t="s">
        <v>787</v>
      </c>
      <c r="C169" t="s">
        <v>784</v>
      </c>
      <c r="D169" s="1">
        <v>1</v>
      </c>
      <c r="E169" s="1" t="s">
        <v>256</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589</v>
      </c>
    </row>
    <row r="170" spans="1:22">
      <c r="A170" s="1">
        <v>2</v>
      </c>
      <c r="B170" t="s">
        <v>785</v>
      </c>
      <c r="C170" t="s">
        <v>782</v>
      </c>
      <c r="D170" s="1">
        <v>1</v>
      </c>
      <c r="E170" s="1" t="s">
        <v>257</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593</v>
      </c>
    </row>
    <row r="171" spans="1:22">
      <c r="A171" s="1">
        <v>2</v>
      </c>
      <c r="B171" t="s">
        <v>787</v>
      </c>
      <c r="C171" t="s">
        <v>784</v>
      </c>
      <c r="D171" s="1">
        <v>1</v>
      </c>
      <c r="E171" s="1" t="s">
        <v>257</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594</v>
      </c>
    </row>
    <row r="172" spans="1:22">
      <c r="A172" s="1">
        <v>2</v>
      </c>
      <c r="B172" t="s">
        <v>785</v>
      </c>
      <c r="C172" t="s">
        <v>782</v>
      </c>
      <c r="D172" s="1">
        <v>1</v>
      </c>
      <c r="E172" s="1" t="s">
        <v>258</v>
      </c>
      <c r="F172" s="4">
        <v>45410</v>
      </c>
      <c r="G172" s="3">
        <f t="shared" ref="G172:G178" si="7">$K172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c r="A173" s="1">
        <v>2</v>
      </c>
      <c r="B173" t="s">
        <v>787</v>
      </c>
      <c r="C173" t="s">
        <v>784</v>
      </c>
      <c r="D173" s="1">
        <v>2</v>
      </c>
      <c r="E173" s="1" t="s">
        <v>258</v>
      </c>
      <c r="F173" s="4">
        <v>45410</v>
      </c>
      <c r="G173" s="3">
        <f t="shared" si="7"/>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596</v>
      </c>
    </row>
    <row r="174" spans="1:22">
      <c r="A174" s="1">
        <v>2</v>
      </c>
      <c r="B174" t="s">
        <v>787</v>
      </c>
      <c r="C174" t="s">
        <v>784</v>
      </c>
      <c r="D174" s="1">
        <v>1</v>
      </c>
      <c r="E174" s="1" t="s">
        <v>258</v>
      </c>
      <c r="F174" s="4">
        <v>45410</v>
      </c>
      <c r="G174" s="3">
        <f t="shared" si="7"/>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595</v>
      </c>
    </row>
    <row r="175" spans="1:22">
      <c r="A175" s="1">
        <v>2</v>
      </c>
      <c r="B175" t="s">
        <v>787</v>
      </c>
      <c r="C175" t="s">
        <v>784</v>
      </c>
      <c r="D175" s="1">
        <v>1</v>
      </c>
      <c r="E175" s="1" t="s">
        <v>298</v>
      </c>
      <c r="F175" s="4">
        <v>45415</v>
      </c>
      <c r="G175" s="3">
        <f t="shared" si="7"/>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57.4</v>
      </c>
      <c r="S175" s="1">
        <v>57.4</v>
      </c>
      <c r="T175" s="1">
        <v>1</v>
      </c>
    </row>
    <row r="176" spans="1:22">
      <c r="A176" s="1">
        <v>2</v>
      </c>
      <c r="B176" t="s">
        <v>785</v>
      </c>
      <c r="C176" t="s">
        <v>782</v>
      </c>
      <c r="D176" s="1">
        <v>2</v>
      </c>
      <c r="E176" s="1" t="s">
        <v>298</v>
      </c>
      <c r="F176" s="4">
        <v>45415</v>
      </c>
      <c r="G176" s="3">
        <f t="shared" si="7"/>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57.4</v>
      </c>
      <c r="S176" s="1">
        <v>57.4</v>
      </c>
      <c r="T176" s="1">
        <v>0</v>
      </c>
      <c r="V176" s="1" t="s">
        <v>592</v>
      </c>
    </row>
    <row r="177" spans="1:23">
      <c r="A177" s="1">
        <v>2</v>
      </c>
      <c r="B177" t="s">
        <v>785</v>
      </c>
      <c r="C177" t="s">
        <v>782</v>
      </c>
      <c r="D177" s="1">
        <v>1</v>
      </c>
      <c r="E177" s="1" t="s">
        <v>298</v>
      </c>
      <c r="F177" s="4">
        <v>45415</v>
      </c>
      <c r="G177" s="3">
        <f t="shared" si="7"/>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57.4</v>
      </c>
      <c r="S177" s="1">
        <v>57.4</v>
      </c>
      <c r="T177" s="1">
        <v>0</v>
      </c>
    </row>
    <row r="178" spans="1:23">
      <c r="A178" s="1">
        <v>2</v>
      </c>
      <c r="B178" t="s">
        <v>787</v>
      </c>
      <c r="C178" t="s">
        <v>784</v>
      </c>
      <c r="D178" s="1">
        <v>1</v>
      </c>
      <c r="E178" s="1" t="s">
        <v>573</v>
      </c>
      <c r="F178" s="4">
        <v>45415</v>
      </c>
      <c r="G178" s="3">
        <f t="shared" si="7"/>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57.4</v>
      </c>
      <c r="S178" s="1">
        <v>57.4</v>
      </c>
      <c r="T178" s="1">
        <v>1</v>
      </c>
      <c r="V178" s="1" t="s">
        <v>597</v>
      </c>
    </row>
    <row r="179" spans="1:23">
      <c r="A179" s="1">
        <v>2</v>
      </c>
      <c r="B179" t="s">
        <v>785</v>
      </c>
      <c r="C179" t="s">
        <v>782</v>
      </c>
      <c r="D179" s="1">
        <v>1</v>
      </c>
      <c r="E179" s="1" t="s">
        <v>573</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57.4</v>
      </c>
      <c r="S179" s="1">
        <v>57.4</v>
      </c>
      <c r="T179" s="1">
        <v>1</v>
      </c>
      <c r="V179" s="1" t="s">
        <v>484</v>
      </c>
    </row>
    <row r="180" spans="1:23">
      <c r="A180" s="1">
        <v>2</v>
      </c>
      <c r="B180" t="s">
        <v>785</v>
      </c>
      <c r="C180" t="s">
        <v>782</v>
      </c>
      <c r="D180" s="1">
        <v>1</v>
      </c>
      <c r="E180" s="1" t="s">
        <v>599</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57.4</v>
      </c>
      <c r="S180" s="1">
        <v>57.4</v>
      </c>
      <c r="T180" s="1" t="s">
        <v>21</v>
      </c>
      <c r="V180" s="1" t="s">
        <v>601</v>
      </c>
      <c r="W180" s="1" t="s">
        <v>647</v>
      </c>
    </row>
    <row r="181" spans="1:23">
      <c r="A181" s="1">
        <v>2</v>
      </c>
      <c r="B181" t="s">
        <v>787</v>
      </c>
      <c r="C181" t="s">
        <v>784</v>
      </c>
      <c r="D181" s="1">
        <v>1</v>
      </c>
      <c r="E181" s="1" t="s">
        <v>598</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57.4</v>
      </c>
      <c r="S181" s="1">
        <v>57.4</v>
      </c>
      <c r="T181" s="1" t="s">
        <v>78</v>
      </c>
      <c r="V181" s="1" t="s">
        <v>600</v>
      </c>
      <c r="W181" s="1" t="s">
        <v>667</v>
      </c>
    </row>
    <row r="182" spans="1:23">
      <c r="A182" s="1">
        <v>2</v>
      </c>
      <c r="B182" t="s">
        <v>787</v>
      </c>
      <c r="C182" t="s">
        <v>782</v>
      </c>
      <c r="D182" s="1">
        <v>1</v>
      </c>
      <c r="E182" s="1" t="s">
        <v>480</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57.4</v>
      </c>
      <c r="S182" s="1">
        <v>57.4</v>
      </c>
      <c r="T182" s="1">
        <v>1</v>
      </c>
      <c r="V182" s="1" t="s">
        <v>602</v>
      </c>
      <c r="W182" s="1" t="s">
        <v>645</v>
      </c>
    </row>
    <row r="183" spans="1:23">
      <c r="A183" s="1">
        <v>2</v>
      </c>
      <c r="B183" t="s">
        <v>788</v>
      </c>
      <c r="C183" t="s">
        <v>784</v>
      </c>
      <c r="D183" s="1" t="s">
        <v>21</v>
      </c>
      <c r="E183" s="1" t="s">
        <v>480</v>
      </c>
      <c r="F183" s="4">
        <v>45417</v>
      </c>
      <c r="G183" s="1" t="s">
        <v>21</v>
      </c>
      <c r="H183" s="1" t="s">
        <v>21</v>
      </c>
      <c r="I183" s="1" t="s">
        <v>21</v>
      </c>
      <c r="J183" s="1" t="s">
        <v>21</v>
      </c>
      <c r="K183" s="3">
        <v>0.77410879629629625</v>
      </c>
      <c r="L183" s="1" t="s">
        <v>7</v>
      </c>
      <c r="M183" s="1" t="s">
        <v>7</v>
      </c>
      <c r="N183" s="1">
        <v>1</v>
      </c>
      <c r="O183" s="1">
        <v>1</v>
      </c>
      <c r="P183" s="1">
        <v>90</v>
      </c>
      <c r="Q183" s="1">
        <v>90</v>
      </c>
      <c r="R183" s="1">
        <v>57.4</v>
      </c>
      <c r="S183" s="1">
        <v>57.4</v>
      </c>
      <c r="T183" s="1" t="s">
        <v>21</v>
      </c>
      <c r="V183" s="1" t="s">
        <v>603</v>
      </c>
      <c r="W183" s="1" t="s">
        <v>645</v>
      </c>
    </row>
    <row r="184" spans="1:23">
      <c r="A184" s="1">
        <v>2</v>
      </c>
      <c r="B184" t="s">
        <v>787</v>
      </c>
      <c r="C184" t="s">
        <v>782</v>
      </c>
      <c r="D184" s="1">
        <v>1</v>
      </c>
      <c r="E184" s="1" t="s">
        <v>479</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57.4</v>
      </c>
      <c r="S184" s="1">
        <v>57.4</v>
      </c>
      <c r="T184" s="1">
        <v>1</v>
      </c>
      <c r="W184" s="1" t="s">
        <v>645</v>
      </c>
    </row>
    <row r="185" spans="1:23">
      <c r="A185" s="1">
        <v>2</v>
      </c>
      <c r="B185" t="s">
        <v>788</v>
      </c>
      <c r="C185" t="s">
        <v>784</v>
      </c>
      <c r="D185" s="1" t="s">
        <v>21</v>
      </c>
      <c r="E185" s="1" t="s">
        <v>479</v>
      </c>
      <c r="F185" s="4">
        <v>45418</v>
      </c>
      <c r="G185" s="1" t="s">
        <v>21</v>
      </c>
      <c r="H185" s="1" t="s">
        <v>21</v>
      </c>
      <c r="I185" s="1" t="s">
        <v>21</v>
      </c>
      <c r="J185" s="1" t="s">
        <v>21</v>
      </c>
      <c r="K185" s="3">
        <v>0.22297453703703704</v>
      </c>
      <c r="L185" s="1" t="s">
        <v>7</v>
      </c>
      <c r="M185" s="1" t="s">
        <v>7</v>
      </c>
      <c r="N185" s="1">
        <v>1</v>
      </c>
      <c r="O185" s="1">
        <v>1</v>
      </c>
      <c r="P185" s="1">
        <v>90</v>
      </c>
      <c r="Q185" s="1">
        <v>90</v>
      </c>
      <c r="R185" s="1">
        <v>57.4</v>
      </c>
      <c r="S185" s="1">
        <v>57.4</v>
      </c>
      <c r="T185" s="1" t="s">
        <v>21</v>
      </c>
      <c r="V185" s="1" t="s">
        <v>606</v>
      </c>
      <c r="W185" s="1" t="s">
        <v>645</v>
      </c>
    </row>
    <row r="186" spans="1:23">
      <c r="A186" s="1">
        <v>2</v>
      </c>
      <c r="B186" t="s">
        <v>787</v>
      </c>
      <c r="C186" t="s">
        <v>782</v>
      </c>
      <c r="D186" s="1">
        <v>1</v>
      </c>
      <c r="E186" s="1" t="s">
        <v>471</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57.4</v>
      </c>
      <c r="S186" s="1">
        <v>57.4</v>
      </c>
      <c r="T186" s="1">
        <v>1</v>
      </c>
      <c r="W186" s="1" t="s">
        <v>645</v>
      </c>
    </row>
    <row r="187" spans="1:23">
      <c r="A187" s="1">
        <v>2</v>
      </c>
      <c r="B187" t="s">
        <v>788</v>
      </c>
      <c r="C187" t="s">
        <v>784</v>
      </c>
      <c r="D187" s="1" t="s">
        <v>21</v>
      </c>
      <c r="E187" s="1" t="s">
        <v>253</v>
      </c>
      <c r="F187" s="4">
        <v>45418</v>
      </c>
      <c r="G187" s="1" t="s">
        <v>21</v>
      </c>
      <c r="H187" s="3" t="s">
        <v>21</v>
      </c>
      <c r="I187" s="1" t="s">
        <v>21</v>
      </c>
      <c r="J187" s="1" t="s">
        <v>21</v>
      </c>
      <c r="K187" s="3">
        <v>0.76620370370370372</v>
      </c>
      <c r="L187" s="1" t="s">
        <v>7</v>
      </c>
      <c r="M187" s="1" t="s">
        <v>7</v>
      </c>
      <c r="N187" s="1">
        <v>1</v>
      </c>
      <c r="O187" s="1">
        <v>1</v>
      </c>
      <c r="P187" s="1">
        <v>90</v>
      </c>
      <c r="Q187" s="1">
        <v>90</v>
      </c>
      <c r="R187" s="1">
        <v>57.4</v>
      </c>
      <c r="S187" s="1">
        <v>57.4</v>
      </c>
      <c r="T187" s="1" t="s">
        <v>21</v>
      </c>
      <c r="V187" s="1" t="s">
        <v>666</v>
      </c>
      <c r="W187" s="1" t="s">
        <v>645</v>
      </c>
    </row>
    <row r="188" spans="1:23">
      <c r="A188" s="1">
        <v>2</v>
      </c>
      <c r="B188" t="s">
        <v>787</v>
      </c>
      <c r="C188" t="s">
        <v>782</v>
      </c>
      <c r="D188" s="1">
        <v>1</v>
      </c>
      <c r="E188" s="1" t="s">
        <v>253</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57.4</v>
      </c>
      <c r="S188" s="1">
        <v>57.4</v>
      </c>
      <c r="T188" s="1">
        <v>1</v>
      </c>
      <c r="W188" s="1" t="s">
        <v>645</v>
      </c>
    </row>
    <row r="189" spans="1:23">
      <c r="A189" s="1">
        <v>2</v>
      </c>
      <c r="B189" t="s">
        <v>787</v>
      </c>
      <c r="C189" t="s">
        <v>782</v>
      </c>
      <c r="D189" s="1">
        <v>1</v>
      </c>
      <c r="E189" s="1" t="s">
        <v>617</v>
      </c>
      <c r="H189" s="3">
        <v>2.4398148148148148E-2</v>
      </c>
      <c r="I189" s="3">
        <v>1.5902777777777776E-2</v>
      </c>
      <c r="W189" s="1" t="s">
        <v>645</v>
      </c>
    </row>
    <row r="190" spans="1:23">
      <c r="A190" s="1">
        <v>2</v>
      </c>
      <c r="B190" t="s">
        <v>788</v>
      </c>
      <c r="C190" t="s">
        <v>784</v>
      </c>
      <c r="D190" s="1">
        <v>1</v>
      </c>
      <c r="E190" s="1" t="s">
        <v>617</v>
      </c>
      <c r="H190" s="3">
        <v>2.539351851851852E-2</v>
      </c>
      <c r="I190" s="3">
        <v>1.8483796296296297E-2</v>
      </c>
      <c r="W190" s="1" t="s">
        <v>645</v>
      </c>
    </row>
    <row r="191" spans="1:23">
      <c r="A191" s="1">
        <v>2</v>
      </c>
      <c r="B191" t="s">
        <v>788</v>
      </c>
      <c r="C191" t="s">
        <v>784</v>
      </c>
      <c r="D191" s="1">
        <v>1</v>
      </c>
      <c r="E191" s="1" t="s">
        <v>504</v>
      </c>
      <c r="G191" s="1" t="s">
        <v>21</v>
      </c>
      <c r="I191" s="1" t="s">
        <v>21</v>
      </c>
      <c r="J191" s="3">
        <v>1.8773148148148146E-2</v>
      </c>
      <c r="L191" s="1" t="s">
        <v>7</v>
      </c>
      <c r="M191" s="1" t="s">
        <v>8</v>
      </c>
      <c r="N191" s="1">
        <v>1</v>
      </c>
      <c r="O191" s="1">
        <v>1</v>
      </c>
      <c r="P191" s="1">
        <v>90</v>
      </c>
      <c r="Q191" s="1">
        <v>90</v>
      </c>
      <c r="R191" s="1">
        <v>57.4</v>
      </c>
      <c r="S191" s="1">
        <v>57.4</v>
      </c>
      <c r="T191" s="1">
        <v>0</v>
      </c>
      <c r="W191" s="1" t="s">
        <v>645</v>
      </c>
    </row>
    <row r="192" spans="1:23">
      <c r="A192" s="1">
        <v>2</v>
      </c>
      <c r="B192" t="s">
        <v>787</v>
      </c>
      <c r="C192" t="s">
        <v>782</v>
      </c>
      <c r="D192" s="1">
        <v>1</v>
      </c>
      <c r="E192" s="1" t="s">
        <v>504</v>
      </c>
      <c r="G192" s="1" t="s">
        <v>21</v>
      </c>
      <c r="H192" s="1" t="s">
        <v>21</v>
      </c>
      <c r="I192" s="1" t="s">
        <v>21</v>
      </c>
      <c r="J192" s="1" t="s">
        <v>21</v>
      </c>
      <c r="L192" s="1" t="s">
        <v>8</v>
      </c>
      <c r="M192" s="1" t="s">
        <v>7</v>
      </c>
      <c r="N192" s="1">
        <v>1</v>
      </c>
      <c r="O192" s="1">
        <v>1</v>
      </c>
      <c r="P192" s="1">
        <v>90</v>
      </c>
      <c r="Q192" s="1">
        <v>90</v>
      </c>
      <c r="R192" s="1">
        <v>57.4</v>
      </c>
      <c r="S192" s="1">
        <v>57.4</v>
      </c>
      <c r="T192" s="1" t="s">
        <v>21</v>
      </c>
      <c r="V192" s="1" t="s">
        <v>619</v>
      </c>
      <c r="W192" s="1" t="s">
        <v>645</v>
      </c>
    </row>
    <row r="193" spans="1:23">
      <c r="A193" s="1">
        <v>2</v>
      </c>
      <c r="B193" t="s">
        <v>788</v>
      </c>
      <c r="C193" t="s">
        <v>784</v>
      </c>
      <c r="D193" s="1">
        <v>1</v>
      </c>
      <c r="E193" s="1" t="s">
        <v>502</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57.4</v>
      </c>
      <c r="S193" s="1">
        <v>57.4</v>
      </c>
      <c r="T193" s="1">
        <v>1</v>
      </c>
      <c r="W193" s="1" t="s">
        <v>645</v>
      </c>
    </row>
    <row r="194" spans="1:23">
      <c r="A194" s="1">
        <v>2</v>
      </c>
      <c r="B194" t="s">
        <v>787</v>
      </c>
      <c r="C194" t="s">
        <v>782</v>
      </c>
      <c r="D194" s="1">
        <v>1</v>
      </c>
      <c r="E194" s="1" t="s">
        <v>502</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57.4</v>
      </c>
      <c r="S194" s="1">
        <v>57.4</v>
      </c>
      <c r="T194" s="1" t="s">
        <v>21</v>
      </c>
      <c r="V194" s="1" t="s">
        <v>621</v>
      </c>
      <c r="W194" s="1" t="s">
        <v>645</v>
      </c>
    </row>
    <row r="195" spans="1:23">
      <c r="A195" s="1">
        <v>2</v>
      </c>
      <c r="B195" t="s">
        <v>788</v>
      </c>
      <c r="C195" t="s">
        <v>784</v>
      </c>
      <c r="D195" s="1">
        <v>1</v>
      </c>
      <c r="E195" s="1" t="s">
        <v>614</v>
      </c>
      <c r="F195" s="4">
        <v>45422</v>
      </c>
      <c r="G195" s="1" t="s">
        <v>21</v>
      </c>
      <c r="I195" s="1" t="s">
        <v>21</v>
      </c>
      <c r="K195" s="3">
        <v>0.22137731481481482</v>
      </c>
      <c r="L195" s="1" t="s">
        <v>7</v>
      </c>
      <c r="M195" s="1" t="s">
        <v>7</v>
      </c>
      <c r="N195" s="1">
        <v>1</v>
      </c>
      <c r="O195" s="1">
        <v>1</v>
      </c>
      <c r="P195" s="1">
        <v>90</v>
      </c>
      <c r="Q195" s="1">
        <v>90</v>
      </c>
      <c r="R195" s="1">
        <v>57.4</v>
      </c>
      <c r="S195" s="1">
        <v>57.4</v>
      </c>
      <c r="T195" s="1">
        <v>0</v>
      </c>
      <c r="V195" s="1" t="s">
        <v>624</v>
      </c>
      <c r="W195" s="1" t="s">
        <v>645</v>
      </c>
    </row>
    <row r="196" spans="1:23">
      <c r="A196" s="1">
        <v>2</v>
      </c>
      <c r="B196" t="s">
        <v>787</v>
      </c>
      <c r="C196" t="s">
        <v>782</v>
      </c>
      <c r="D196" s="1">
        <v>1</v>
      </c>
      <c r="E196" s="1" t="s">
        <v>614</v>
      </c>
      <c r="F196" s="4">
        <v>45422</v>
      </c>
      <c r="G196" s="1" t="s">
        <v>21</v>
      </c>
      <c r="I196" s="1" t="s">
        <v>21</v>
      </c>
      <c r="K196" s="3">
        <v>0.22137731481481482</v>
      </c>
      <c r="L196" s="1" t="s">
        <v>8</v>
      </c>
      <c r="M196" s="1" t="s">
        <v>8</v>
      </c>
      <c r="N196" s="1">
        <v>1</v>
      </c>
      <c r="O196" s="1">
        <v>1</v>
      </c>
      <c r="P196" s="1">
        <v>90</v>
      </c>
      <c r="Q196" s="1">
        <v>90</v>
      </c>
      <c r="R196" s="1">
        <v>57.4</v>
      </c>
      <c r="S196" s="1">
        <v>57.4</v>
      </c>
      <c r="T196" s="1">
        <v>0</v>
      </c>
      <c r="V196" s="1" t="s">
        <v>623</v>
      </c>
      <c r="W196" s="1" t="s">
        <v>645</v>
      </c>
    </row>
    <row r="197" spans="1:23">
      <c r="A197" s="1">
        <v>2</v>
      </c>
      <c r="B197" t="s">
        <v>788</v>
      </c>
      <c r="C197" t="s">
        <v>784</v>
      </c>
      <c r="D197" s="1">
        <v>1</v>
      </c>
      <c r="E197" s="1" t="s">
        <v>620</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57.4</v>
      </c>
      <c r="S197" s="1">
        <v>57.4</v>
      </c>
      <c r="T197" s="1">
        <v>0</v>
      </c>
      <c r="W197" s="1" t="s">
        <v>645</v>
      </c>
    </row>
    <row r="198" spans="1:23">
      <c r="A198" s="1">
        <v>2</v>
      </c>
      <c r="B198" t="s">
        <v>787</v>
      </c>
      <c r="C198" t="s">
        <v>782</v>
      </c>
      <c r="D198" s="1">
        <v>1</v>
      </c>
      <c r="E198" s="1" t="s">
        <v>620</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57.4</v>
      </c>
      <c r="S198" s="1">
        <v>57.4</v>
      </c>
      <c r="T198" s="1">
        <v>0</v>
      </c>
      <c r="V198" s="1" t="s">
        <v>630</v>
      </c>
      <c r="W198" s="1" t="s">
        <v>645</v>
      </c>
    </row>
    <row r="199" spans="1:23">
      <c r="A199" s="1">
        <v>2</v>
      </c>
      <c r="B199" t="s">
        <v>788</v>
      </c>
      <c r="C199" t="s">
        <v>784</v>
      </c>
      <c r="D199" s="1">
        <v>1</v>
      </c>
      <c r="E199" s="1" t="s">
        <v>505</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57.4</v>
      </c>
      <c r="S199" s="1">
        <v>57.4</v>
      </c>
      <c r="T199" s="1">
        <v>0</v>
      </c>
      <c r="W199" s="1" t="s">
        <v>645</v>
      </c>
    </row>
    <row r="200" spans="1:23">
      <c r="A200" s="1">
        <v>2</v>
      </c>
      <c r="B200" t="s">
        <v>787</v>
      </c>
      <c r="C200" t="s">
        <v>782</v>
      </c>
      <c r="D200" s="1">
        <v>1</v>
      </c>
      <c r="E200" s="1" t="s">
        <v>505</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57.4</v>
      </c>
      <c r="S200" s="1">
        <v>57.4</v>
      </c>
      <c r="T200" s="1">
        <v>0</v>
      </c>
      <c r="W200" s="1" t="s">
        <v>645</v>
      </c>
    </row>
    <row r="201" spans="1:23">
      <c r="A201" s="1" t="s">
        <v>21</v>
      </c>
      <c r="B20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633</v>
      </c>
      <c r="W201" s="1" t="s">
        <v>21</v>
      </c>
    </row>
    <row r="202" spans="1:23" s="28" customFormat="1">
      <c r="A202" s="28">
        <v>2</v>
      </c>
      <c r="B202" t="s">
        <v>788</v>
      </c>
      <c r="C202" t="s">
        <v>784</v>
      </c>
      <c r="D202" s="28">
        <v>1</v>
      </c>
      <c r="E202" s="28" t="s">
        <v>632</v>
      </c>
      <c r="F202" s="31">
        <v>45424</v>
      </c>
      <c r="G202" s="28" t="s">
        <v>21</v>
      </c>
      <c r="H202" s="34">
        <f t="shared" ref="H202:H211" si="8">K202 + J202</f>
        <v>0.23504629629629628</v>
      </c>
      <c r="I202" s="28" t="s">
        <v>21</v>
      </c>
      <c r="J202" s="34">
        <v>1.2835648148148148E-2</v>
      </c>
      <c r="K202" s="34">
        <v>0.22221064814814814</v>
      </c>
      <c r="L202" s="28" t="s">
        <v>8</v>
      </c>
      <c r="M202" s="28" t="s">
        <v>8</v>
      </c>
      <c r="N202" s="28">
        <v>2</v>
      </c>
      <c r="O202" s="28">
        <v>2</v>
      </c>
      <c r="P202" s="1">
        <v>90</v>
      </c>
      <c r="Q202" s="1">
        <v>90</v>
      </c>
      <c r="R202" s="28">
        <v>57.4</v>
      </c>
      <c r="S202" s="28">
        <v>57.4</v>
      </c>
      <c r="T202" s="28">
        <v>0</v>
      </c>
      <c r="V202" s="28" t="s">
        <v>634</v>
      </c>
      <c r="W202" s="28" t="s">
        <v>645</v>
      </c>
    </row>
    <row r="203" spans="1:23" s="28" customFormat="1">
      <c r="A203" s="28">
        <v>2</v>
      </c>
      <c r="B203" t="s">
        <v>788</v>
      </c>
      <c r="C203" t="s">
        <v>784</v>
      </c>
      <c r="D203" s="28">
        <v>2</v>
      </c>
      <c r="E203" s="28" t="s">
        <v>632</v>
      </c>
      <c r="F203" s="31">
        <v>45424</v>
      </c>
      <c r="G203" s="34">
        <f t="shared" ref="G203:G210" si="9">$K203 + $I203</f>
        <v>0.23553240740740741</v>
      </c>
      <c r="H203" s="34">
        <f t="shared" si="8"/>
        <v>0.24569444444444444</v>
      </c>
      <c r="I203" s="34">
        <v>1.3321759259259259E-2</v>
      </c>
      <c r="J203" s="34">
        <v>2.3483796296296298E-2</v>
      </c>
      <c r="K203" s="34">
        <v>0.22221064814814814</v>
      </c>
      <c r="L203" s="28" t="s">
        <v>8</v>
      </c>
      <c r="M203" s="28" t="s">
        <v>8</v>
      </c>
      <c r="N203" s="28">
        <v>2</v>
      </c>
      <c r="O203" s="28">
        <v>2</v>
      </c>
      <c r="P203" s="1">
        <v>90</v>
      </c>
      <c r="Q203" s="1">
        <v>90</v>
      </c>
      <c r="R203" s="28">
        <v>57.4</v>
      </c>
      <c r="S203" s="28">
        <v>57.4</v>
      </c>
      <c r="T203" s="28">
        <v>1</v>
      </c>
      <c r="V203" s="28" t="s">
        <v>635</v>
      </c>
      <c r="W203" s="28" t="s">
        <v>645</v>
      </c>
    </row>
    <row r="204" spans="1:23" s="28" customFormat="1">
      <c r="A204" s="28">
        <v>2</v>
      </c>
      <c r="B204" t="s">
        <v>787</v>
      </c>
      <c r="C204" t="s">
        <v>782</v>
      </c>
      <c r="D204" s="28">
        <v>1</v>
      </c>
      <c r="E204" s="28" t="s">
        <v>632</v>
      </c>
      <c r="F204" s="31">
        <v>45424</v>
      </c>
      <c r="G204" s="34">
        <f t="shared" si="9"/>
        <v>0.23043981481481482</v>
      </c>
      <c r="H204" s="34">
        <f t="shared" si="8"/>
        <v>0.2459375</v>
      </c>
      <c r="I204" s="34">
        <v>8.2291666666666659E-3</v>
      </c>
      <c r="J204" s="34">
        <v>2.3726851851851853E-2</v>
      </c>
      <c r="K204" s="34">
        <v>0.22221064814814814</v>
      </c>
      <c r="L204" s="28" t="s">
        <v>7</v>
      </c>
      <c r="M204" s="28" t="s">
        <v>7</v>
      </c>
      <c r="N204" s="28">
        <v>1</v>
      </c>
      <c r="O204" s="28">
        <v>1</v>
      </c>
      <c r="P204" s="1">
        <v>90</v>
      </c>
      <c r="Q204" s="1">
        <v>90</v>
      </c>
      <c r="R204" s="28">
        <v>57.4</v>
      </c>
      <c r="S204" s="28">
        <v>57.4</v>
      </c>
      <c r="T204" s="28">
        <v>1</v>
      </c>
      <c r="V204" s="28" t="s">
        <v>777</v>
      </c>
      <c r="W204" s="28" t="s">
        <v>645</v>
      </c>
    </row>
    <row r="205" spans="1:23">
      <c r="A205" s="1">
        <v>2</v>
      </c>
      <c r="B205" t="s">
        <v>788</v>
      </c>
      <c r="C205" t="s">
        <v>784</v>
      </c>
      <c r="D205" s="1">
        <v>1</v>
      </c>
      <c r="E205" s="1" t="s">
        <v>714</v>
      </c>
      <c r="F205" s="4">
        <v>45424</v>
      </c>
      <c r="G205" s="3">
        <f t="shared" si="9"/>
        <v>0.77440972222222226</v>
      </c>
      <c r="H205" s="3">
        <f t="shared" si="8"/>
        <v>0.7866319444444444</v>
      </c>
      <c r="I205" s="3">
        <v>8.8541666666666664E-3</v>
      </c>
      <c r="J205" s="3">
        <v>2.1076388888888888E-2</v>
      </c>
      <c r="K205" s="3">
        <v>0.76555555555555554</v>
      </c>
      <c r="L205" s="1" t="s">
        <v>8</v>
      </c>
      <c r="M205" s="1" t="s">
        <v>7</v>
      </c>
      <c r="N205" s="1">
        <v>2</v>
      </c>
      <c r="O205" s="1">
        <v>2</v>
      </c>
      <c r="P205" s="1">
        <v>90</v>
      </c>
      <c r="Q205" s="1">
        <v>90</v>
      </c>
      <c r="R205" s="1">
        <v>57.4</v>
      </c>
      <c r="S205" s="1">
        <v>57.4</v>
      </c>
      <c r="T205" s="1">
        <v>0</v>
      </c>
      <c r="V205" s="1" t="s">
        <v>640</v>
      </c>
      <c r="W205" s="1" t="s">
        <v>646</v>
      </c>
    </row>
    <row r="206" spans="1:23">
      <c r="A206" s="1">
        <v>2</v>
      </c>
      <c r="B206" t="s">
        <v>788</v>
      </c>
      <c r="C206" t="s">
        <v>784</v>
      </c>
      <c r="D206" s="1">
        <v>2</v>
      </c>
      <c r="E206" s="1" t="s">
        <v>714</v>
      </c>
      <c r="F206" s="4">
        <v>45424</v>
      </c>
      <c r="G206" s="3">
        <f t="shared" si="9"/>
        <v>0.7877777777777778</v>
      </c>
      <c r="H206" s="3">
        <f t="shared" si="8"/>
        <v>0.79677083333333332</v>
      </c>
      <c r="I206" s="3">
        <v>2.2222222222222223E-2</v>
      </c>
      <c r="J206" s="3">
        <v>3.1215277777777779E-2</v>
      </c>
      <c r="K206" s="3">
        <v>0.76555555555555554</v>
      </c>
      <c r="L206" s="1" t="s">
        <v>7</v>
      </c>
      <c r="M206" s="1" t="s">
        <v>7</v>
      </c>
      <c r="N206" s="1">
        <v>2</v>
      </c>
      <c r="O206" s="1">
        <v>2</v>
      </c>
      <c r="P206" s="1">
        <v>90</v>
      </c>
      <c r="Q206" s="1">
        <v>90</v>
      </c>
      <c r="R206" s="1">
        <v>57.4</v>
      </c>
      <c r="S206" s="1">
        <v>57.4</v>
      </c>
      <c r="T206" s="1">
        <v>0</v>
      </c>
      <c r="V206" s="1" t="s">
        <v>638</v>
      </c>
      <c r="W206" s="1" t="s">
        <v>646</v>
      </c>
    </row>
    <row r="207" spans="1:23">
      <c r="A207" s="1">
        <v>2</v>
      </c>
      <c r="B207" t="s">
        <v>787</v>
      </c>
      <c r="C207" t="s">
        <v>782</v>
      </c>
      <c r="D207" s="1">
        <v>1</v>
      </c>
      <c r="E207" s="1" t="s">
        <v>714</v>
      </c>
      <c r="F207" s="4">
        <v>45424</v>
      </c>
      <c r="G207" s="3">
        <f t="shared" si="9"/>
        <v>0.77141203703703698</v>
      </c>
      <c r="H207" s="3">
        <f t="shared" si="8"/>
        <v>0.78964120370370372</v>
      </c>
      <c r="I207" s="3">
        <v>5.8564814814814816E-3</v>
      </c>
      <c r="J207" s="3">
        <v>2.4085648148148148E-2</v>
      </c>
      <c r="K207" s="3">
        <v>0.76555555555555554</v>
      </c>
      <c r="L207" s="1" t="s">
        <v>7</v>
      </c>
      <c r="M207" s="1" t="s">
        <v>8</v>
      </c>
      <c r="N207" s="1">
        <v>2</v>
      </c>
      <c r="O207" s="1">
        <v>2</v>
      </c>
      <c r="P207" s="1">
        <v>90</v>
      </c>
      <c r="Q207" s="1">
        <v>90</v>
      </c>
      <c r="R207" s="1">
        <v>57.4</v>
      </c>
      <c r="S207" s="1">
        <v>57.4</v>
      </c>
      <c r="T207" s="1">
        <v>1</v>
      </c>
      <c r="W207" s="1" t="s">
        <v>646</v>
      </c>
    </row>
    <row r="208" spans="1:23">
      <c r="A208" s="1">
        <v>2</v>
      </c>
      <c r="B208" t="s">
        <v>787</v>
      </c>
      <c r="C208" t="s">
        <v>782</v>
      </c>
      <c r="D208" s="1">
        <v>1</v>
      </c>
      <c r="E208" s="1" t="s">
        <v>715</v>
      </c>
      <c r="F208" s="4">
        <v>45425</v>
      </c>
      <c r="G208" s="3">
        <f t="shared" si="9"/>
        <v>0.22179398148148149</v>
      </c>
      <c r="H208" s="3">
        <f t="shared" si="8"/>
        <v>0.23394675925925926</v>
      </c>
      <c r="I208" s="3">
        <v>4.5601851851851853E-3</v>
      </c>
      <c r="J208" s="3">
        <v>1.6712962962962964E-2</v>
      </c>
      <c r="K208" s="3">
        <v>0.2172337962962963</v>
      </c>
      <c r="L208" s="1" t="s">
        <v>8</v>
      </c>
      <c r="M208" s="1" t="s">
        <v>7</v>
      </c>
      <c r="N208" s="1">
        <v>2</v>
      </c>
      <c r="O208" s="1">
        <v>2</v>
      </c>
      <c r="P208" s="1">
        <v>90</v>
      </c>
      <c r="Q208" s="1">
        <v>90</v>
      </c>
      <c r="R208" s="1">
        <v>57.4</v>
      </c>
      <c r="S208" s="1">
        <v>57.4</v>
      </c>
      <c r="T208" s="1">
        <v>1</v>
      </c>
      <c r="W208" s="1" t="s">
        <v>646</v>
      </c>
    </row>
    <row r="209" spans="1:23">
      <c r="A209" s="1">
        <v>2</v>
      </c>
      <c r="B209" t="s">
        <v>787</v>
      </c>
      <c r="C209" t="s">
        <v>782</v>
      </c>
      <c r="D209" s="1">
        <v>2</v>
      </c>
      <c r="E209" s="1" t="s">
        <v>715</v>
      </c>
      <c r="F209" s="4">
        <v>45425</v>
      </c>
      <c r="G209" s="3">
        <f t="shared" si="9"/>
        <v>0.23528935185185185</v>
      </c>
      <c r="H209" s="3">
        <f t="shared" si="8"/>
        <v>0.24116898148148147</v>
      </c>
      <c r="I209" s="3">
        <v>1.8055555555555554E-2</v>
      </c>
      <c r="J209" s="3">
        <v>2.3935185185185184E-2</v>
      </c>
      <c r="K209" s="3">
        <v>0.2172337962962963</v>
      </c>
      <c r="L209" s="1" t="s">
        <v>7</v>
      </c>
      <c r="M209" s="1" t="s">
        <v>7</v>
      </c>
      <c r="N209" s="1">
        <v>2</v>
      </c>
      <c r="O209" s="1">
        <v>2</v>
      </c>
      <c r="P209" s="1">
        <v>90</v>
      </c>
      <c r="Q209" s="1">
        <v>90</v>
      </c>
      <c r="R209" s="1">
        <v>57.4</v>
      </c>
      <c r="S209" s="1">
        <v>57.4</v>
      </c>
      <c r="T209" s="1">
        <v>0</v>
      </c>
      <c r="V209" s="1" t="s">
        <v>638</v>
      </c>
      <c r="W209" s="1" t="s">
        <v>646</v>
      </c>
    </row>
    <row r="210" spans="1:23">
      <c r="A210" s="1">
        <v>2</v>
      </c>
      <c r="B210" t="s">
        <v>787</v>
      </c>
      <c r="C210" t="s">
        <v>782</v>
      </c>
      <c r="D210" s="1">
        <v>3</v>
      </c>
      <c r="E210" s="1" t="s">
        <v>715</v>
      </c>
      <c r="F210" s="4">
        <v>45425</v>
      </c>
      <c r="G210" s="3">
        <f t="shared" si="9"/>
        <v>0.24209490740740741</v>
      </c>
      <c r="H210" s="3">
        <f t="shared" si="8"/>
        <v>0.24863425925925925</v>
      </c>
      <c r="I210" s="3">
        <v>2.4861111111111112E-2</v>
      </c>
      <c r="J210" s="3">
        <v>3.1400462962962963E-2</v>
      </c>
      <c r="K210" s="3">
        <v>0.2172337962962963</v>
      </c>
      <c r="L210" s="1" t="s">
        <v>7</v>
      </c>
      <c r="M210" s="1" t="s">
        <v>7</v>
      </c>
      <c r="N210" s="1">
        <v>2</v>
      </c>
      <c r="O210" s="1">
        <v>2</v>
      </c>
      <c r="P210" s="1">
        <v>90</v>
      </c>
      <c r="Q210" s="1">
        <v>90</v>
      </c>
      <c r="R210" s="1">
        <v>57.4</v>
      </c>
      <c r="S210" s="1">
        <v>57.4</v>
      </c>
      <c r="T210" s="1">
        <v>1</v>
      </c>
      <c r="W210" s="1" t="s">
        <v>646</v>
      </c>
    </row>
    <row r="211" spans="1:23">
      <c r="A211" s="1">
        <v>2</v>
      </c>
      <c r="B211" t="s">
        <v>788</v>
      </c>
      <c r="C211" t="s">
        <v>784</v>
      </c>
      <c r="D211" s="1">
        <v>1</v>
      </c>
      <c r="E211" s="1" t="s">
        <v>715</v>
      </c>
      <c r="F211" s="4">
        <v>45425</v>
      </c>
      <c r="G211" s="1" t="s">
        <v>21</v>
      </c>
      <c r="H211" s="3">
        <f t="shared" si="8"/>
        <v>0.23906250000000001</v>
      </c>
      <c r="I211" s="1" t="s">
        <v>21</v>
      </c>
      <c r="J211" s="3">
        <v>2.1828703703703704E-2</v>
      </c>
      <c r="K211" s="3">
        <v>0.2172337962962963</v>
      </c>
      <c r="L211" s="1" t="s">
        <v>7</v>
      </c>
      <c r="M211" s="1" t="s">
        <v>8</v>
      </c>
      <c r="N211" s="1">
        <v>2</v>
      </c>
      <c r="O211" s="1">
        <v>2</v>
      </c>
      <c r="P211" s="1">
        <v>90</v>
      </c>
      <c r="Q211" s="1">
        <v>90</v>
      </c>
      <c r="R211" s="1">
        <v>57.4</v>
      </c>
      <c r="S211" s="1">
        <v>57.4</v>
      </c>
      <c r="T211" s="1">
        <v>1</v>
      </c>
      <c r="V211" s="1" t="s">
        <v>643</v>
      </c>
      <c r="W211" s="1" t="s">
        <v>646</v>
      </c>
    </row>
    <row r="212" spans="1:23">
      <c r="A212" s="1">
        <v>2</v>
      </c>
      <c r="B212" t="s">
        <v>788</v>
      </c>
      <c r="C212" t="s">
        <v>784</v>
      </c>
      <c r="D212" s="1">
        <v>2</v>
      </c>
      <c r="E212" s="1" t="s">
        <v>715</v>
      </c>
      <c r="F212" s="4">
        <v>45425</v>
      </c>
      <c r="G212" s="3">
        <f t="shared" ref="G212:G217" si="10">$K212 + $I212</f>
        <v>0.24734953703703705</v>
      </c>
      <c r="H212" s="1" t="s">
        <v>21</v>
      </c>
      <c r="I212" s="3">
        <v>3.0115740740740742E-2</v>
      </c>
      <c r="J212" s="1" t="s">
        <v>21</v>
      </c>
      <c r="K212" s="3">
        <v>0.2172337962962963</v>
      </c>
      <c r="L212" s="1" t="s">
        <v>8</v>
      </c>
      <c r="M212" s="1" t="s">
        <v>8</v>
      </c>
      <c r="N212" s="1">
        <v>2</v>
      </c>
      <c r="O212" s="1">
        <v>2</v>
      </c>
      <c r="P212" s="1">
        <v>90</v>
      </c>
      <c r="Q212" s="1">
        <v>90</v>
      </c>
      <c r="R212" s="1">
        <v>57.4</v>
      </c>
      <c r="S212" s="1">
        <v>57.4</v>
      </c>
      <c r="T212" s="1" t="s">
        <v>21</v>
      </c>
      <c r="V212" s="1" t="s">
        <v>642</v>
      </c>
      <c r="W212" s="1" t="s">
        <v>646</v>
      </c>
    </row>
    <row r="213" spans="1:23" s="35" customFormat="1">
      <c r="A213" s="35">
        <v>2</v>
      </c>
      <c r="B213" t="s">
        <v>787</v>
      </c>
      <c r="C213" t="s">
        <v>782</v>
      </c>
      <c r="D213" s="35">
        <v>1</v>
      </c>
      <c r="E213" s="35" t="s">
        <v>632</v>
      </c>
      <c r="F213" s="27">
        <v>45425</v>
      </c>
      <c r="G213" s="36">
        <f t="shared" si="10"/>
        <v>0.77721064814814811</v>
      </c>
      <c r="H213" s="36">
        <f t="shared" ref="H213:H253" si="11">K213 + J213</f>
        <v>0.7901273148148148</v>
      </c>
      <c r="I213" s="36">
        <v>1.2777777777777779E-2</v>
      </c>
      <c r="J213" s="36">
        <v>2.5694444444444443E-2</v>
      </c>
      <c r="K213" s="36">
        <v>0.76443287037037033</v>
      </c>
      <c r="L213" s="35" t="s">
        <v>7</v>
      </c>
      <c r="M213" s="35" t="s">
        <v>8</v>
      </c>
      <c r="N213" s="35">
        <v>2</v>
      </c>
      <c r="O213" s="35">
        <v>2</v>
      </c>
      <c r="P213" s="1">
        <v>90</v>
      </c>
      <c r="Q213" s="1">
        <v>90</v>
      </c>
      <c r="R213" s="35">
        <v>57.4</v>
      </c>
      <c r="S213" s="35">
        <v>57.4</v>
      </c>
      <c r="T213" s="35">
        <v>0</v>
      </c>
      <c r="W213" s="35" t="s">
        <v>647</v>
      </c>
    </row>
    <row r="214" spans="1:23" s="35" customFormat="1">
      <c r="A214" s="35">
        <v>2</v>
      </c>
      <c r="B214" t="s">
        <v>788</v>
      </c>
      <c r="C214" t="s">
        <v>784</v>
      </c>
      <c r="D214" s="35">
        <v>1</v>
      </c>
      <c r="E214" s="35" t="s">
        <v>632</v>
      </c>
      <c r="F214" s="27">
        <v>45425</v>
      </c>
      <c r="G214" s="36">
        <f t="shared" si="10"/>
        <v>0.77271990740740737</v>
      </c>
      <c r="H214" s="36">
        <f t="shared" si="11"/>
        <v>0.78368055555555549</v>
      </c>
      <c r="I214" s="36">
        <v>8.2870370370370372E-3</v>
      </c>
      <c r="J214" s="36">
        <v>1.9247685185185184E-2</v>
      </c>
      <c r="K214" s="36">
        <v>0.76443287037037033</v>
      </c>
      <c r="L214" s="35" t="s">
        <v>8</v>
      </c>
      <c r="M214" s="35" t="s">
        <v>7</v>
      </c>
      <c r="N214" s="35">
        <v>2</v>
      </c>
      <c r="O214" s="35">
        <v>2</v>
      </c>
      <c r="P214" s="1">
        <v>90</v>
      </c>
      <c r="Q214" s="1">
        <v>90</v>
      </c>
      <c r="R214" s="35">
        <v>57.4</v>
      </c>
      <c r="S214" s="35">
        <v>57.4</v>
      </c>
      <c r="T214" s="35">
        <v>0</v>
      </c>
      <c r="W214" s="35" t="s">
        <v>647</v>
      </c>
    </row>
    <row r="215" spans="1:23" s="35" customFormat="1">
      <c r="A215" s="35">
        <v>2</v>
      </c>
      <c r="B215" t="s">
        <v>788</v>
      </c>
      <c r="C215" t="s">
        <v>784</v>
      </c>
      <c r="D215" s="35">
        <v>2</v>
      </c>
      <c r="E215" s="35" t="s">
        <v>632</v>
      </c>
      <c r="F215" s="27">
        <v>45425</v>
      </c>
      <c r="G215" s="36">
        <f t="shared" si="10"/>
        <v>0.78424768518518517</v>
      </c>
      <c r="H215" s="36">
        <f t="shared" si="11"/>
        <v>0.78785879629629629</v>
      </c>
      <c r="I215" s="36">
        <v>1.9814814814814816E-2</v>
      </c>
      <c r="J215" s="36">
        <v>2.3425925925925926E-2</v>
      </c>
      <c r="K215" s="36">
        <v>0.76443287037037033</v>
      </c>
      <c r="L215" s="35" t="s">
        <v>7</v>
      </c>
      <c r="M215" s="35" t="s">
        <v>7</v>
      </c>
      <c r="N215" s="35">
        <v>2</v>
      </c>
      <c r="O215" s="35">
        <v>2</v>
      </c>
      <c r="P215" s="1">
        <v>90</v>
      </c>
      <c r="Q215" s="1">
        <v>90</v>
      </c>
      <c r="R215" s="35">
        <v>57.4</v>
      </c>
      <c r="S215" s="35">
        <v>57.4</v>
      </c>
      <c r="T215" s="35">
        <v>1</v>
      </c>
      <c r="W215" s="35" t="s">
        <v>647</v>
      </c>
    </row>
    <row r="216" spans="1:23" s="35" customFormat="1">
      <c r="A216" s="35">
        <v>2</v>
      </c>
      <c r="B216" t="s">
        <v>788</v>
      </c>
      <c r="C216" t="s">
        <v>784</v>
      </c>
      <c r="D216" s="35">
        <v>3</v>
      </c>
      <c r="E216" s="35" t="s">
        <v>632</v>
      </c>
      <c r="F216" s="27">
        <v>45425</v>
      </c>
      <c r="G216" s="36">
        <f t="shared" si="10"/>
        <v>0.7883796296296296</v>
      </c>
      <c r="H216" s="36">
        <f t="shared" si="11"/>
        <v>0.79247685185185179</v>
      </c>
      <c r="I216" s="36">
        <v>2.3946759259259258E-2</v>
      </c>
      <c r="J216" s="36">
        <v>2.8043981481481482E-2</v>
      </c>
      <c r="K216" s="36">
        <v>0.76443287037037033</v>
      </c>
      <c r="L216" s="35" t="s">
        <v>7</v>
      </c>
      <c r="M216" s="35" t="s">
        <v>7</v>
      </c>
      <c r="N216" s="35">
        <v>2</v>
      </c>
      <c r="O216" s="35">
        <v>2</v>
      </c>
      <c r="P216" s="1">
        <v>90</v>
      </c>
      <c r="Q216" s="1">
        <v>90</v>
      </c>
      <c r="R216" s="35">
        <v>57.4</v>
      </c>
      <c r="S216" s="35">
        <v>57.4</v>
      </c>
      <c r="T216" s="35">
        <v>0</v>
      </c>
      <c r="W216" s="35" t="s">
        <v>647</v>
      </c>
    </row>
    <row r="217" spans="1:23" s="35" customFormat="1">
      <c r="A217" s="35">
        <v>2</v>
      </c>
      <c r="B217" t="s">
        <v>788</v>
      </c>
      <c r="C217" t="s">
        <v>784</v>
      </c>
      <c r="D217" s="35">
        <v>4</v>
      </c>
      <c r="E217" s="35" t="s">
        <v>632</v>
      </c>
      <c r="F217" s="27">
        <v>45425</v>
      </c>
      <c r="G217" s="36">
        <f t="shared" si="10"/>
        <v>0.79322916666666665</v>
      </c>
      <c r="H217" s="36">
        <f t="shared" si="11"/>
        <v>0.79731481481481481</v>
      </c>
      <c r="I217" s="36">
        <v>2.8796296296296296E-2</v>
      </c>
      <c r="J217" s="36">
        <v>3.2881944444444443E-2</v>
      </c>
      <c r="K217" s="36">
        <v>0.76443287037037033</v>
      </c>
      <c r="L217" s="35" t="s">
        <v>7</v>
      </c>
      <c r="M217" s="35" t="s">
        <v>7</v>
      </c>
      <c r="N217" s="35">
        <v>2</v>
      </c>
      <c r="O217" s="35">
        <v>2</v>
      </c>
      <c r="P217" s="1">
        <v>90</v>
      </c>
      <c r="Q217" s="1">
        <v>90</v>
      </c>
      <c r="R217" s="35">
        <v>57.4</v>
      </c>
      <c r="S217" s="35">
        <v>57.4</v>
      </c>
      <c r="T217" s="35">
        <v>0</v>
      </c>
      <c r="V217" s="35" t="s">
        <v>650</v>
      </c>
      <c r="W217" s="35" t="s">
        <v>647</v>
      </c>
    </row>
    <row r="218" spans="1:23">
      <c r="A218" s="1">
        <v>2</v>
      </c>
      <c r="B218" t="s">
        <v>788</v>
      </c>
      <c r="C218" t="s">
        <v>784</v>
      </c>
      <c r="D218" s="1">
        <v>1</v>
      </c>
      <c r="E218" s="1" t="s">
        <v>637</v>
      </c>
      <c r="F218" s="4">
        <v>45426</v>
      </c>
      <c r="G218" s="1" t="s">
        <v>21</v>
      </c>
      <c r="H218" s="3">
        <f t="shared" si="11"/>
        <v>0.22803240740740741</v>
      </c>
      <c r="I218" s="1" t="s">
        <v>21</v>
      </c>
      <c r="J218" s="3">
        <v>5.208333333333333E-3</v>
      </c>
      <c r="K218" s="3">
        <v>0.22282407407407406</v>
      </c>
      <c r="L218" s="1" t="s">
        <v>7</v>
      </c>
      <c r="M218" s="1" t="s">
        <v>7</v>
      </c>
      <c r="N218" s="1">
        <v>2</v>
      </c>
      <c r="O218" s="1">
        <v>2</v>
      </c>
      <c r="P218" s="1">
        <v>90</v>
      </c>
      <c r="Q218" s="1">
        <v>90</v>
      </c>
      <c r="R218" s="1">
        <v>57.4</v>
      </c>
      <c r="S218" s="1">
        <v>57.4</v>
      </c>
      <c r="T218" s="1">
        <v>1</v>
      </c>
      <c r="V218" s="1" t="s">
        <v>653</v>
      </c>
      <c r="W218" s="1" t="s">
        <v>647</v>
      </c>
    </row>
    <row r="219" spans="1:23">
      <c r="A219" s="1">
        <v>2</v>
      </c>
      <c r="B219" t="s">
        <v>788</v>
      </c>
      <c r="C219" t="s">
        <v>784</v>
      </c>
      <c r="D219" s="1">
        <v>2</v>
      </c>
      <c r="E219" s="1" t="s">
        <v>637</v>
      </c>
      <c r="F219" s="4">
        <v>45427</v>
      </c>
      <c r="G219" s="3">
        <f>$K219 + $I219</f>
        <v>0.22905092592592591</v>
      </c>
      <c r="H219" s="3">
        <f t="shared" si="11"/>
        <v>0.24171296296296296</v>
      </c>
      <c r="I219" s="3">
        <v>6.2268518518518515E-3</v>
      </c>
      <c r="J219" s="3">
        <v>1.8888888888888889E-2</v>
      </c>
      <c r="K219" s="3">
        <v>0.22282407407407406</v>
      </c>
      <c r="L219" s="1" t="s">
        <v>7</v>
      </c>
      <c r="M219" s="1" t="s">
        <v>8</v>
      </c>
      <c r="N219" s="1">
        <v>2</v>
      </c>
      <c r="O219" s="1">
        <v>2</v>
      </c>
      <c r="P219" s="1">
        <v>90</v>
      </c>
      <c r="Q219" s="1">
        <v>90</v>
      </c>
      <c r="R219" s="1">
        <v>57.4</v>
      </c>
      <c r="S219" s="1">
        <v>57.4</v>
      </c>
      <c r="T219" s="1">
        <v>1</v>
      </c>
      <c r="W219" s="1" t="s">
        <v>647</v>
      </c>
    </row>
    <row r="220" spans="1:23">
      <c r="A220" s="1">
        <v>2</v>
      </c>
      <c r="B220" t="s">
        <v>787</v>
      </c>
      <c r="C220" t="s">
        <v>782</v>
      </c>
      <c r="D220" s="1">
        <v>1</v>
      </c>
      <c r="E220" s="1" t="s">
        <v>637</v>
      </c>
      <c r="F220" s="4">
        <v>45428</v>
      </c>
      <c r="G220" s="1" t="s">
        <v>21</v>
      </c>
      <c r="H220" s="3">
        <f t="shared" si="11"/>
        <v>0.23959490740740741</v>
      </c>
      <c r="I220" s="1" t="s">
        <v>21</v>
      </c>
      <c r="J220" s="3">
        <v>1.6770833333333332E-2</v>
      </c>
      <c r="K220" s="3">
        <v>0.22282407407407406</v>
      </c>
      <c r="L220" s="1" t="s">
        <v>8</v>
      </c>
      <c r="M220" s="1" t="s">
        <v>8</v>
      </c>
      <c r="N220" s="1">
        <v>2</v>
      </c>
      <c r="O220" s="1">
        <v>2</v>
      </c>
      <c r="P220" s="1">
        <v>90</v>
      </c>
      <c r="Q220" s="1">
        <v>90</v>
      </c>
      <c r="R220" s="1">
        <v>57.4</v>
      </c>
      <c r="S220" s="1">
        <v>57.4</v>
      </c>
      <c r="T220" s="1">
        <v>1</v>
      </c>
      <c r="V220" s="1" t="s">
        <v>551</v>
      </c>
      <c r="W220" s="1" t="s">
        <v>647</v>
      </c>
    </row>
    <row r="221" spans="1:23">
      <c r="A221" s="1">
        <v>2</v>
      </c>
      <c r="B221" t="s">
        <v>788</v>
      </c>
      <c r="C221" t="s">
        <v>784</v>
      </c>
      <c r="D221" s="1">
        <v>1</v>
      </c>
      <c r="E221" s="1" t="s">
        <v>641</v>
      </c>
      <c r="F221" s="4">
        <v>45426</v>
      </c>
      <c r="G221" s="1" t="s">
        <v>21</v>
      </c>
      <c r="H221" s="3">
        <f t="shared" si="11"/>
        <v>0.77475694444444443</v>
      </c>
      <c r="I221" s="1" t="s">
        <v>21</v>
      </c>
      <c r="J221" s="3">
        <v>1.2303240740740741E-2</v>
      </c>
      <c r="K221" s="3">
        <v>0.76245370370370369</v>
      </c>
      <c r="L221" s="1" t="s">
        <v>8</v>
      </c>
      <c r="M221" s="1" t="s">
        <v>8</v>
      </c>
      <c r="N221" s="1">
        <v>2</v>
      </c>
      <c r="O221" s="1">
        <v>2</v>
      </c>
      <c r="P221" s="1">
        <v>90</v>
      </c>
      <c r="Q221" s="1">
        <v>90</v>
      </c>
      <c r="R221" s="1">
        <v>57.4</v>
      </c>
      <c r="S221" s="1">
        <v>57.4</v>
      </c>
      <c r="T221" s="1">
        <v>1</v>
      </c>
      <c r="W221" s="1" t="s">
        <v>647</v>
      </c>
    </row>
    <row r="222" spans="1:23">
      <c r="A222" s="1">
        <v>2</v>
      </c>
      <c r="B222" t="s">
        <v>788</v>
      </c>
      <c r="C222" t="s">
        <v>784</v>
      </c>
      <c r="D222" s="1">
        <v>2</v>
      </c>
      <c r="E222" s="1" t="s">
        <v>641</v>
      </c>
      <c r="F222" s="4">
        <v>45426</v>
      </c>
      <c r="G222" s="3">
        <f>$K222 + $I222</f>
        <v>0.77545138888888887</v>
      </c>
      <c r="H222" s="3">
        <f t="shared" si="11"/>
        <v>0.78489583333333335</v>
      </c>
      <c r="I222" s="3">
        <v>1.2997685185185185E-2</v>
      </c>
      <c r="J222" s="3">
        <v>2.2442129629629631E-2</v>
      </c>
      <c r="K222" s="3">
        <v>0.76245370370370369</v>
      </c>
      <c r="L222" s="1" t="s">
        <v>8</v>
      </c>
      <c r="M222" s="1" t="s">
        <v>8</v>
      </c>
      <c r="N222" s="1">
        <v>2</v>
      </c>
      <c r="O222" s="1">
        <v>2</v>
      </c>
      <c r="P222" s="1">
        <v>90</v>
      </c>
      <c r="Q222" s="1">
        <v>90</v>
      </c>
      <c r="R222" s="1">
        <v>57.4</v>
      </c>
      <c r="S222" s="1">
        <v>57.4</v>
      </c>
      <c r="T222" s="1">
        <v>1</v>
      </c>
      <c r="W222" s="1" t="s">
        <v>647</v>
      </c>
    </row>
    <row r="223" spans="1:23">
      <c r="A223" s="1">
        <v>2</v>
      </c>
      <c r="B223" t="s">
        <v>788</v>
      </c>
      <c r="C223" t="s">
        <v>784</v>
      </c>
      <c r="D223" s="1">
        <v>3</v>
      </c>
      <c r="E223" s="1" t="s">
        <v>641</v>
      </c>
      <c r="F223" s="4">
        <v>45426</v>
      </c>
      <c r="G223" s="3">
        <f>$K223 + $I223</f>
        <v>0.78598379629629633</v>
      </c>
      <c r="H223" s="3">
        <f t="shared" si="11"/>
        <v>0.79067129629629629</v>
      </c>
      <c r="I223" s="3">
        <v>2.3530092592592592E-2</v>
      </c>
      <c r="J223" s="3">
        <v>2.8217592592592593E-2</v>
      </c>
      <c r="K223" s="3">
        <v>0.76245370370370369</v>
      </c>
      <c r="L223" s="1" t="s">
        <v>8</v>
      </c>
      <c r="M223" s="1" t="s">
        <v>8</v>
      </c>
      <c r="N223" s="1">
        <v>2</v>
      </c>
      <c r="O223" s="1">
        <v>2</v>
      </c>
      <c r="P223" s="1">
        <v>90</v>
      </c>
      <c r="Q223" s="1">
        <v>90</v>
      </c>
      <c r="R223" s="1">
        <v>57.4</v>
      </c>
      <c r="S223" s="1">
        <v>57.4</v>
      </c>
      <c r="T223" s="1">
        <v>0</v>
      </c>
      <c r="V223" s="1" t="s">
        <v>657</v>
      </c>
      <c r="W223" s="1" t="s">
        <v>647</v>
      </c>
    </row>
    <row r="224" spans="1:23">
      <c r="A224" s="1">
        <v>2</v>
      </c>
      <c r="B224" t="s">
        <v>787</v>
      </c>
      <c r="C224" t="s">
        <v>782</v>
      </c>
      <c r="D224" s="1">
        <v>1</v>
      </c>
      <c r="E224" s="1" t="s">
        <v>641</v>
      </c>
      <c r="F224" s="4">
        <v>45426</v>
      </c>
      <c r="G224" s="3">
        <f>$K224 + $I224</f>
        <v>0.7633564814814815</v>
      </c>
      <c r="H224" s="3">
        <f t="shared" si="11"/>
        <v>0.78</v>
      </c>
      <c r="I224" s="3">
        <v>9.0277777777777774E-4</v>
      </c>
      <c r="J224" s="3">
        <v>1.7546296296296296E-2</v>
      </c>
      <c r="K224" s="3">
        <v>0.76245370370370369</v>
      </c>
      <c r="L224" s="1" t="s">
        <v>7</v>
      </c>
      <c r="M224" s="1" t="s">
        <v>7</v>
      </c>
      <c r="N224" s="1">
        <v>2</v>
      </c>
      <c r="O224" s="1">
        <v>2</v>
      </c>
      <c r="P224" s="1">
        <v>90</v>
      </c>
      <c r="Q224" s="1">
        <v>90</v>
      </c>
      <c r="R224" s="1">
        <v>57.4</v>
      </c>
      <c r="S224" s="1">
        <v>57.4</v>
      </c>
      <c r="T224" s="1">
        <v>1</v>
      </c>
      <c r="W224" s="1" t="s">
        <v>647</v>
      </c>
    </row>
    <row r="225" spans="1:23">
      <c r="A225" s="1">
        <v>2</v>
      </c>
      <c r="B225" t="s">
        <v>788</v>
      </c>
      <c r="C225" t="s">
        <v>784</v>
      </c>
      <c r="D225" s="1">
        <v>1</v>
      </c>
      <c r="E225" s="1" t="s">
        <v>648</v>
      </c>
      <c r="F225" s="4">
        <v>45427</v>
      </c>
      <c r="G225" s="1" t="s">
        <v>21</v>
      </c>
      <c r="H225" s="3">
        <f t="shared" si="11"/>
        <v>0.22659722222222223</v>
      </c>
      <c r="I225" s="1" t="s">
        <v>21</v>
      </c>
      <c r="J225" s="3">
        <v>8.0324074074074082E-3</v>
      </c>
      <c r="K225" s="3">
        <v>0.21856481481481482</v>
      </c>
      <c r="L225" s="1" t="s">
        <v>8</v>
      </c>
      <c r="M225" s="1" t="s">
        <v>8</v>
      </c>
      <c r="N225" s="1">
        <v>2</v>
      </c>
      <c r="O225" s="1">
        <v>2</v>
      </c>
      <c r="P225" s="1">
        <v>90</v>
      </c>
      <c r="Q225" s="1">
        <v>90</v>
      </c>
      <c r="R225" s="1">
        <v>57.4</v>
      </c>
      <c r="S225" s="1">
        <v>57.4</v>
      </c>
      <c r="T225" s="1">
        <v>1</v>
      </c>
      <c r="U225" s="1" t="s">
        <v>664</v>
      </c>
      <c r="V225" s="1" t="s">
        <v>660</v>
      </c>
      <c r="W225" s="1" t="s">
        <v>647</v>
      </c>
    </row>
    <row r="226" spans="1:23">
      <c r="A226" s="1">
        <v>2</v>
      </c>
      <c r="B226" t="s">
        <v>788</v>
      </c>
      <c r="C226" t="s">
        <v>784</v>
      </c>
      <c r="D226" s="1">
        <v>2</v>
      </c>
      <c r="E226" s="1" t="s">
        <v>648</v>
      </c>
      <c r="F226" s="4">
        <v>45427</v>
      </c>
      <c r="G226" s="3">
        <f>$K226 + $I226</f>
        <v>0.22659722222222223</v>
      </c>
      <c r="H226" s="3">
        <f t="shared" si="11"/>
        <v>0.24837962962962964</v>
      </c>
      <c r="I226" s="3">
        <v>8.0324074074074082E-3</v>
      </c>
      <c r="J226" s="3">
        <v>2.9814814814814815E-2</v>
      </c>
      <c r="K226" s="3">
        <v>0.21856481481481482</v>
      </c>
      <c r="L226" s="1" t="s">
        <v>8</v>
      </c>
      <c r="M226" s="1" t="s">
        <v>7</v>
      </c>
      <c r="N226" s="1">
        <v>2</v>
      </c>
      <c r="O226" s="1">
        <v>2</v>
      </c>
      <c r="P226" s="1">
        <v>90</v>
      </c>
      <c r="Q226" s="1">
        <v>90</v>
      </c>
      <c r="R226" s="1">
        <v>28.8</v>
      </c>
      <c r="S226" s="1">
        <v>28.8</v>
      </c>
      <c r="T226" s="1">
        <v>0</v>
      </c>
      <c r="U226" s="1" t="s">
        <v>665</v>
      </c>
      <c r="V226" s="1" t="s">
        <v>661</v>
      </c>
      <c r="W226" s="1" t="s">
        <v>647</v>
      </c>
    </row>
    <row r="227" spans="1:23">
      <c r="A227" s="1">
        <v>2</v>
      </c>
      <c r="B227" t="s">
        <v>787</v>
      </c>
      <c r="C227" t="s">
        <v>782</v>
      </c>
      <c r="D227" s="1">
        <v>1</v>
      </c>
      <c r="E227" s="1" t="s">
        <v>648</v>
      </c>
      <c r="F227" s="4">
        <v>45427</v>
      </c>
      <c r="G227" s="1" t="s">
        <v>21</v>
      </c>
      <c r="H227" s="3">
        <f t="shared" si="11"/>
        <v>0.24015046296296297</v>
      </c>
      <c r="I227" s="1" t="s">
        <v>21</v>
      </c>
      <c r="J227" s="3">
        <v>2.1585648148148149E-2</v>
      </c>
      <c r="K227" s="3">
        <v>0.21856481481481482</v>
      </c>
      <c r="L227" s="1" t="s">
        <v>7</v>
      </c>
      <c r="M227" s="1" t="s">
        <v>8</v>
      </c>
      <c r="N227" s="1">
        <v>2</v>
      </c>
      <c r="O227" s="1">
        <v>2</v>
      </c>
      <c r="P227" s="1">
        <v>90</v>
      </c>
      <c r="Q227" s="1">
        <v>90</v>
      </c>
      <c r="R227" s="1">
        <v>57.4</v>
      </c>
      <c r="S227" s="1">
        <v>28.8</v>
      </c>
      <c r="T227" s="1">
        <v>0</v>
      </c>
      <c r="V227" s="1" t="s">
        <v>662</v>
      </c>
      <c r="W227" s="1" t="s">
        <v>647</v>
      </c>
    </row>
    <row r="228" spans="1:23">
      <c r="A228" s="1">
        <v>2</v>
      </c>
      <c r="B228" t="s">
        <v>787</v>
      </c>
      <c r="C228" t="s">
        <v>782</v>
      </c>
      <c r="D228" s="1">
        <v>2</v>
      </c>
      <c r="E228" s="1" t="s">
        <v>648</v>
      </c>
      <c r="F228" s="4">
        <v>45427</v>
      </c>
      <c r="G228" s="3">
        <f t="shared" ref="G228:G234" si="12">$K228 + $I228</f>
        <v>0.24194444444444446</v>
      </c>
      <c r="H228" s="3">
        <f t="shared" si="11"/>
        <v>0.24885416666666668</v>
      </c>
      <c r="I228" s="3">
        <v>2.3379629629629629E-2</v>
      </c>
      <c r="J228" s="3">
        <v>3.0289351851851852E-2</v>
      </c>
      <c r="K228" s="3">
        <v>0.21856481481481482</v>
      </c>
      <c r="L228" s="1" t="s">
        <v>8</v>
      </c>
      <c r="M228" s="1" t="s">
        <v>8</v>
      </c>
      <c r="N228" s="1">
        <v>2</v>
      </c>
      <c r="O228" s="1">
        <v>2</v>
      </c>
      <c r="P228" s="1">
        <v>90</v>
      </c>
      <c r="Q228" s="1">
        <v>90</v>
      </c>
      <c r="R228" s="1">
        <v>28.8</v>
      </c>
      <c r="S228" s="1">
        <v>28.8</v>
      </c>
      <c r="T228" s="1">
        <v>0</v>
      </c>
      <c r="W228" s="1" t="s">
        <v>647</v>
      </c>
    </row>
    <row r="229" spans="1:23">
      <c r="A229" s="1">
        <v>2</v>
      </c>
      <c r="B229" t="s">
        <v>787</v>
      </c>
      <c r="C229" t="s">
        <v>782</v>
      </c>
      <c r="D229" s="1">
        <v>3</v>
      </c>
      <c r="E229" s="1" t="s">
        <v>648</v>
      </c>
      <c r="F229" s="4">
        <v>45427</v>
      </c>
      <c r="G229" s="3">
        <f t="shared" si="12"/>
        <v>0.25069444444444444</v>
      </c>
      <c r="H229" s="3">
        <f t="shared" si="11"/>
        <v>0.25814814814814813</v>
      </c>
      <c r="I229" s="3">
        <v>3.2129629629629633E-2</v>
      </c>
      <c r="J229" s="3">
        <v>3.9583333333333331E-2</v>
      </c>
      <c r="K229" s="3">
        <v>0.21856481481481482</v>
      </c>
      <c r="L229" s="1" t="s">
        <v>8</v>
      </c>
      <c r="M229" s="1" t="s">
        <v>8</v>
      </c>
      <c r="N229" s="1">
        <v>2</v>
      </c>
      <c r="O229" s="1">
        <v>2</v>
      </c>
      <c r="P229" s="1">
        <v>90</v>
      </c>
      <c r="Q229" s="1">
        <v>90</v>
      </c>
      <c r="R229" s="1">
        <v>28.8</v>
      </c>
      <c r="S229" s="1">
        <v>28.8</v>
      </c>
      <c r="T229" s="1">
        <v>0</v>
      </c>
      <c r="W229" s="1" t="s">
        <v>647</v>
      </c>
    </row>
    <row r="230" spans="1:23">
      <c r="A230" s="1">
        <v>2</v>
      </c>
      <c r="B230" t="s">
        <v>787</v>
      </c>
      <c r="C230" t="s">
        <v>782</v>
      </c>
      <c r="D230" s="1">
        <v>1</v>
      </c>
      <c r="E230" s="1" t="s">
        <v>651</v>
      </c>
      <c r="F230" s="4">
        <v>45427</v>
      </c>
      <c r="G230" s="3">
        <f t="shared" si="12"/>
        <v>0.77303240740740742</v>
      </c>
      <c r="H230" s="3">
        <f t="shared" si="11"/>
        <v>0.79385416666666664</v>
      </c>
      <c r="I230" s="3">
        <v>1.6851851851851851E-2</v>
      </c>
      <c r="J230" s="3">
        <v>3.7673611111111109E-2</v>
      </c>
      <c r="K230" s="3">
        <v>0.75618055555555552</v>
      </c>
      <c r="L230" s="1" t="s">
        <v>8</v>
      </c>
      <c r="M230" s="1" t="s">
        <v>7</v>
      </c>
      <c r="N230" s="1">
        <v>2</v>
      </c>
      <c r="O230" s="1">
        <v>2</v>
      </c>
      <c r="P230" s="1">
        <v>90</v>
      </c>
      <c r="Q230" s="1">
        <v>90</v>
      </c>
      <c r="R230" s="1">
        <v>57.4</v>
      </c>
      <c r="S230" s="1">
        <v>57.4</v>
      </c>
      <c r="T230" s="1">
        <v>1</v>
      </c>
      <c r="W230" s="1" t="s">
        <v>647</v>
      </c>
    </row>
    <row r="231" spans="1:23">
      <c r="A231" s="1">
        <v>2</v>
      </c>
      <c r="B231" t="s">
        <v>788</v>
      </c>
      <c r="C231" t="s">
        <v>784</v>
      </c>
      <c r="D231" s="1">
        <v>1</v>
      </c>
      <c r="E231" s="1" t="s">
        <v>651</v>
      </c>
      <c r="F231" s="4">
        <v>45427</v>
      </c>
      <c r="G231" s="3">
        <f t="shared" si="12"/>
        <v>0.76961805555555551</v>
      </c>
      <c r="H231" s="3">
        <f t="shared" si="11"/>
        <v>0.7804861111111111</v>
      </c>
      <c r="I231" s="3">
        <v>1.34375E-2</v>
      </c>
      <c r="J231" s="3">
        <v>2.4305555555555556E-2</v>
      </c>
      <c r="K231" s="3">
        <v>0.75618055555555552</v>
      </c>
      <c r="L231" s="1" t="s">
        <v>7</v>
      </c>
      <c r="M231" s="1" t="s">
        <v>8</v>
      </c>
      <c r="N231" s="1">
        <v>2</v>
      </c>
      <c r="O231" s="1">
        <v>2</v>
      </c>
      <c r="P231" s="1">
        <v>90</v>
      </c>
      <c r="Q231" s="1">
        <v>90</v>
      </c>
      <c r="R231" s="1">
        <v>57.4</v>
      </c>
      <c r="S231" s="1">
        <v>57.4</v>
      </c>
      <c r="T231" s="1">
        <v>1</v>
      </c>
      <c r="W231" s="1" t="s">
        <v>647</v>
      </c>
    </row>
    <row r="232" spans="1:23">
      <c r="A232" s="1">
        <v>2</v>
      </c>
      <c r="B232" t="s">
        <v>788</v>
      </c>
      <c r="C232" t="s">
        <v>784</v>
      </c>
      <c r="D232" s="1">
        <v>2</v>
      </c>
      <c r="E232" s="1" t="s">
        <v>651</v>
      </c>
      <c r="F232" s="4">
        <v>45427</v>
      </c>
      <c r="G232" s="3">
        <f t="shared" si="12"/>
        <v>0.7808680555555555</v>
      </c>
      <c r="H232" s="3">
        <f t="shared" si="11"/>
        <v>0.78665509259259259</v>
      </c>
      <c r="I232" s="3">
        <v>2.4687500000000001E-2</v>
      </c>
      <c r="J232" s="3">
        <v>3.0474537037037036E-2</v>
      </c>
      <c r="K232" s="3">
        <v>0.75618055555555552</v>
      </c>
      <c r="L232" s="1" t="s">
        <v>8</v>
      </c>
      <c r="M232" s="1" t="s">
        <v>8</v>
      </c>
      <c r="N232" s="1">
        <v>2</v>
      </c>
      <c r="O232" s="1">
        <v>2</v>
      </c>
      <c r="P232" s="1">
        <v>90</v>
      </c>
      <c r="Q232" s="1">
        <v>90</v>
      </c>
      <c r="R232" s="1">
        <v>57.4</v>
      </c>
      <c r="S232" s="1">
        <v>57.4</v>
      </c>
      <c r="T232" s="1">
        <v>0</v>
      </c>
      <c r="W232" s="1" t="s">
        <v>647</v>
      </c>
    </row>
    <row r="233" spans="1:23">
      <c r="A233" s="1">
        <v>2</v>
      </c>
      <c r="B233" t="s">
        <v>788</v>
      </c>
      <c r="C233" t="s">
        <v>784</v>
      </c>
      <c r="D233" s="1">
        <v>3</v>
      </c>
      <c r="E233" s="1" t="s">
        <v>651</v>
      </c>
      <c r="F233" s="4">
        <v>45427</v>
      </c>
      <c r="G233" s="3">
        <f t="shared" si="12"/>
        <v>0.78706018518518517</v>
      </c>
      <c r="H233" s="3">
        <f t="shared" si="11"/>
        <v>0.79276620370370365</v>
      </c>
      <c r="I233" s="3">
        <v>3.0879629629629628E-2</v>
      </c>
      <c r="J233" s="3">
        <v>3.6585648148148145E-2</v>
      </c>
      <c r="K233" s="3">
        <v>0.75618055555555552</v>
      </c>
      <c r="L233" s="1" t="s">
        <v>8</v>
      </c>
      <c r="M233" s="1" t="s">
        <v>8</v>
      </c>
      <c r="N233" s="1">
        <v>2</v>
      </c>
      <c r="O233" s="1">
        <v>2</v>
      </c>
      <c r="P233" s="1">
        <v>90</v>
      </c>
      <c r="Q233" s="1">
        <v>90</v>
      </c>
      <c r="R233" s="1">
        <v>57.4</v>
      </c>
      <c r="S233" s="1">
        <v>57.4</v>
      </c>
      <c r="T233" s="1">
        <v>1</v>
      </c>
      <c r="U233" s="1" t="s">
        <v>672</v>
      </c>
      <c r="W233" s="1" t="s">
        <v>647</v>
      </c>
    </row>
    <row r="234" spans="1:23">
      <c r="A234" s="1">
        <v>2</v>
      </c>
      <c r="B234" t="s">
        <v>788</v>
      </c>
      <c r="C234" t="s">
        <v>784</v>
      </c>
      <c r="D234" s="1">
        <v>4</v>
      </c>
      <c r="E234" s="1" t="s">
        <v>651</v>
      </c>
      <c r="F234" s="4">
        <v>45427</v>
      </c>
      <c r="G234" s="3">
        <f t="shared" si="12"/>
        <v>0.79402777777777778</v>
      </c>
      <c r="H234" s="3">
        <f t="shared" si="11"/>
        <v>0.799224537037037</v>
      </c>
      <c r="I234" s="3">
        <v>3.784722222222222E-2</v>
      </c>
      <c r="J234" s="3">
        <v>4.3043981481481482E-2</v>
      </c>
      <c r="K234" s="3">
        <v>0.75618055555555552</v>
      </c>
      <c r="L234" s="1" t="s">
        <v>8</v>
      </c>
      <c r="M234" s="1" t="s">
        <v>8</v>
      </c>
      <c r="N234" s="1">
        <v>2</v>
      </c>
      <c r="O234" s="1">
        <v>2</v>
      </c>
      <c r="P234" s="1">
        <v>90</v>
      </c>
      <c r="Q234" s="1">
        <v>90</v>
      </c>
      <c r="R234" s="1">
        <v>57.4</v>
      </c>
      <c r="S234" s="1">
        <v>57.4</v>
      </c>
      <c r="T234" s="1">
        <v>0</v>
      </c>
      <c r="U234" s="1" t="s">
        <v>679</v>
      </c>
      <c r="V234" s="1" t="s">
        <v>678</v>
      </c>
      <c r="W234" s="1" t="s">
        <v>647</v>
      </c>
    </row>
    <row r="235" spans="1:23">
      <c r="A235" s="1">
        <v>2</v>
      </c>
      <c r="B235" t="s">
        <v>788</v>
      </c>
      <c r="C235" t="s">
        <v>784</v>
      </c>
      <c r="D235" s="1">
        <v>1</v>
      </c>
      <c r="E235" s="1" t="s">
        <v>654</v>
      </c>
      <c r="F235" s="4">
        <v>45428</v>
      </c>
      <c r="H235" s="3">
        <f t="shared" si="11"/>
        <v>0.23674768518518519</v>
      </c>
      <c r="J235" s="3">
        <v>1.5300925925925926E-2</v>
      </c>
      <c r="K235" s="3">
        <v>0.22144675925925925</v>
      </c>
      <c r="L235" s="1" t="s">
        <v>8</v>
      </c>
      <c r="M235" s="1" t="s">
        <v>8</v>
      </c>
      <c r="N235" s="1">
        <v>2</v>
      </c>
      <c r="O235" s="1">
        <v>2</v>
      </c>
      <c r="P235" s="1">
        <v>90</v>
      </c>
      <c r="Q235" s="1">
        <v>90</v>
      </c>
      <c r="R235" s="1">
        <v>57.4</v>
      </c>
      <c r="S235" s="1">
        <v>28.8</v>
      </c>
      <c r="T235" s="1">
        <v>1</v>
      </c>
      <c r="U235" s="1">
        <v>1</v>
      </c>
      <c r="W235" s="1" t="s">
        <v>647</v>
      </c>
    </row>
    <row r="236" spans="1:23">
      <c r="A236" s="1">
        <v>2</v>
      </c>
      <c r="B236" t="s">
        <v>787</v>
      </c>
      <c r="C236" t="s">
        <v>782</v>
      </c>
      <c r="D236" s="1">
        <v>1</v>
      </c>
      <c r="E236" s="1" t="s">
        <v>654</v>
      </c>
      <c r="F236" s="4">
        <v>45428</v>
      </c>
      <c r="H236" s="3">
        <f t="shared" si="11"/>
        <v>0.22597222222222221</v>
      </c>
      <c r="J236" s="3">
        <v>4.5254629629629629E-3</v>
      </c>
      <c r="K236" s="3">
        <v>0.22144675925925925</v>
      </c>
      <c r="L236" s="1" t="s">
        <v>7</v>
      </c>
      <c r="M236" s="1" t="s">
        <v>7</v>
      </c>
      <c r="N236" s="1">
        <v>2</v>
      </c>
      <c r="O236" s="1">
        <v>2</v>
      </c>
      <c r="P236" s="1">
        <v>90</v>
      </c>
      <c r="Q236" s="1">
        <v>90</v>
      </c>
      <c r="R236" s="1">
        <v>57.4</v>
      </c>
      <c r="S236" s="1">
        <v>57.4</v>
      </c>
      <c r="T236" s="1" t="s">
        <v>21</v>
      </c>
      <c r="V236" s="1" t="s">
        <v>677</v>
      </c>
      <c r="W236" s="1" t="s">
        <v>647</v>
      </c>
    </row>
    <row r="237" spans="1:23">
      <c r="A237" s="1">
        <v>2</v>
      </c>
      <c r="B237" t="s">
        <v>787</v>
      </c>
      <c r="C237" t="s">
        <v>782</v>
      </c>
      <c r="D237" s="1">
        <v>2</v>
      </c>
      <c r="E237" s="1" t="s">
        <v>654</v>
      </c>
      <c r="F237" s="4">
        <v>45428</v>
      </c>
      <c r="H237" s="3">
        <f t="shared" si="11"/>
        <v>0.23618055555555553</v>
      </c>
      <c r="J237" s="3">
        <v>1.4733796296296297E-2</v>
      </c>
      <c r="K237" s="3">
        <v>0.22144675925925925</v>
      </c>
      <c r="L237" s="1" t="s">
        <v>7</v>
      </c>
      <c r="M237" s="1" t="s">
        <v>7</v>
      </c>
      <c r="N237" s="1">
        <v>2</v>
      </c>
      <c r="O237" s="1">
        <v>2</v>
      </c>
      <c r="P237" s="1">
        <v>90</v>
      </c>
      <c r="Q237" s="1">
        <v>90</v>
      </c>
      <c r="R237" s="1">
        <v>57.4</v>
      </c>
      <c r="S237" s="1">
        <v>28.8</v>
      </c>
      <c r="T237" s="1">
        <v>0</v>
      </c>
      <c r="U237" s="1" t="s">
        <v>676</v>
      </c>
      <c r="W237" s="1" t="s">
        <v>647</v>
      </c>
    </row>
    <row r="238" spans="1:23">
      <c r="A238" s="1">
        <v>2</v>
      </c>
      <c r="B238" t="s">
        <v>787</v>
      </c>
      <c r="C238" t="s">
        <v>782</v>
      </c>
      <c r="D238" s="1">
        <v>3</v>
      </c>
      <c r="E238" s="1" t="s">
        <v>654</v>
      </c>
      <c r="F238" s="4">
        <v>45428</v>
      </c>
      <c r="G238" s="3">
        <f t="shared" ref="G238:G243" si="13">$K238 + $I238</f>
        <v>0.24143518518518517</v>
      </c>
      <c r="H238" s="3">
        <f t="shared" si="11"/>
        <v>0.24971064814814814</v>
      </c>
      <c r="I238" s="3">
        <v>1.9988425925925927E-2</v>
      </c>
      <c r="J238" s="3">
        <v>2.826388888888889E-2</v>
      </c>
      <c r="K238" s="3">
        <v>0.22144675925925925</v>
      </c>
      <c r="L238" s="1" t="s">
        <v>7</v>
      </c>
      <c r="M238" s="1" t="s">
        <v>7</v>
      </c>
      <c r="N238" s="1">
        <v>2</v>
      </c>
      <c r="O238" s="1">
        <v>2</v>
      </c>
      <c r="P238" s="1">
        <v>90</v>
      </c>
      <c r="Q238" s="1">
        <v>90</v>
      </c>
      <c r="R238" s="1">
        <v>28.8</v>
      </c>
      <c r="S238" s="1">
        <v>57.4</v>
      </c>
      <c r="T238" s="1">
        <v>0</v>
      </c>
      <c r="U238" s="1">
        <v>1</v>
      </c>
      <c r="W238" s="1" t="s">
        <v>647</v>
      </c>
    </row>
    <row r="239" spans="1:23">
      <c r="A239" s="1">
        <v>2</v>
      </c>
      <c r="B239" t="s">
        <v>788</v>
      </c>
      <c r="C239" t="s">
        <v>784</v>
      </c>
      <c r="D239" s="1">
        <v>1</v>
      </c>
      <c r="E239" s="1" t="s">
        <v>655</v>
      </c>
      <c r="F239" s="4">
        <v>45428</v>
      </c>
      <c r="G239" s="3">
        <f t="shared" si="13"/>
        <v>0.76883101851851854</v>
      </c>
      <c r="H239" s="3">
        <f t="shared" si="11"/>
        <v>0.78483796296296304</v>
      </c>
      <c r="I239" s="3">
        <v>1.4351851851851852E-2</v>
      </c>
      <c r="J239" s="3">
        <v>3.0358796296296297E-2</v>
      </c>
      <c r="K239" s="3">
        <v>0.7544791666666667</v>
      </c>
      <c r="L239" s="1" t="s">
        <v>8</v>
      </c>
      <c r="M239" s="1" t="s">
        <v>7</v>
      </c>
      <c r="N239" s="1">
        <v>2</v>
      </c>
      <c r="O239" s="1">
        <v>2</v>
      </c>
      <c r="P239" s="1">
        <v>90</v>
      </c>
      <c r="Q239" s="1">
        <v>90</v>
      </c>
      <c r="R239" s="1">
        <v>57.4</v>
      </c>
      <c r="S239" s="1">
        <v>57.4</v>
      </c>
      <c r="T239" s="1">
        <v>1</v>
      </c>
      <c r="W239" s="1" t="s">
        <v>647</v>
      </c>
    </row>
    <row r="240" spans="1:23">
      <c r="A240" s="1">
        <v>2</v>
      </c>
      <c r="B240" t="s">
        <v>787</v>
      </c>
      <c r="C240" t="s">
        <v>782</v>
      </c>
      <c r="D240" s="1">
        <v>1</v>
      </c>
      <c r="E240" s="1" t="s">
        <v>655</v>
      </c>
      <c r="F240" s="4">
        <v>45428</v>
      </c>
      <c r="G240" s="3">
        <f t="shared" si="13"/>
        <v>0.77306712962962965</v>
      </c>
      <c r="H240" s="3">
        <f t="shared" si="11"/>
        <v>0.79086805555555562</v>
      </c>
      <c r="I240" s="3">
        <v>1.8587962962962962E-2</v>
      </c>
      <c r="J240" s="3">
        <v>3.6388888888888887E-2</v>
      </c>
      <c r="K240" s="3">
        <v>0.7544791666666667</v>
      </c>
      <c r="L240" s="1" t="s">
        <v>7</v>
      </c>
      <c r="M240" s="1" t="s">
        <v>8</v>
      </c>
      <c r="N240" s="1">
        <v>2</v>
      </c>
      <c r="O240" s="1">
        <v>2</v>
      </c>
      <c r="P240" s="1">
        <v>90</v>
      </c>
      <c r="Q240" s="1">
        <v>90</v>
      </c>
      <c r="R240" s="1">
        <v>57.4</v>
      </c>
      <c r="S240" s="1">
        <v>57.4</v>
      </c>
      <c r="T240" s="1">
        <v>0</v>
      </c>
      <c r="U240" s="1">
        <v>1</v>
      </c>
      <c r="W240" s="1" t="s">
        <v>647</v>
      </c>
    </row>
    <row r="241" spans="1:23">
      <c r="A241" s="1">
        <v>2</v>
      </c>
      <c r="B241" t="s">
        <v>788</v>
      </c>
      <c r="C241" t="s">
        <v>784</v>
      </c>
      <c r="D241" s="1">
        <v>1</v>
      </c>
      <c r="E241" s="1" t="s">
        <v>670</v>
      </c>
      <c r="F241" s="4">
        <v>45429</v>
      </c>
      <c r="G241" s="3">
        <f t="shared" si="13"/>
        <v>0.22903935185185187</v>
      </c>
      <c r="H241" s="3">
        <f t="shared" si="11"/>
        <v>0.24288194444444444</v>
      </c>
      <c r="I241" s="3">
        <v>7.9629629629629634E-3</v>
      </c>
      <c r="J241" s="3">
        <v>2.1805555555555557E-2</v>
      </c>
      <c r="K241" s="3">
        <v>0.22107638888888889</v>
      </c>
      <c r="L241" s="1" t="s">
        <v>7</v>
      </c>
      <c r="M241" s="1" t="s">
        <v>7</v>
      </c>
      <c r="N241" s="1">
        <v>2</v>
      </c>
      <c r="O241" s="1">
        <v>2</v>
      </c>
      <c r="P241" s="1">
        <v>90</v>
      </c>
      <c r="Q241" s="1">
        <v>90</v>
      </c>
      <c r="R241" s="1">
        <v>57.4</v>
      </c>
      <c r="S241" s="1">
        <v>28.8</v>
      </c>
      <c r="T241" s="1">
        <v>1</v>
      </c>
      <c r="U241" s="1">
        <v>1</v>
      </c>
      <c r="W241" s="1" t="s">
        <v>647</v>
      </c>
    </row>
    <row r="242" spans="1:23">
      <c r="A242" s="1">
        <v>2</v>
      </c>
      <c r="B242" t="s">
        <v>787</v>
      </c>
      <c r="C242" t="s">
        <v>782</v>
      </c>
      <c r="D242" s="1">
        <v>1</v>
      </c>
      <c r="E242" s="1" t="s">
        <v>670</v>
      </c>
      <c r="F242" s="4">
        <v>45429</v>
      </c>
      <c r="G242" s="3">
        <f t="shared" si="13"/>
        <v>0.22107638888888889</v>
      </c>
      <c r="H242" s="3">
        <f t="shared" si="11"/>
        <v>0.23121527777777778</v>
      </c>
      <c r="I242" s="3">
        <v>0</v>
      </c>
      <c r="J242" s="3">
        <v>1.0138888888888888E-2</v>
      </c>
      <c r="K242" s="3">
        <v>0.22107638888888889</v>
      </c>
      <c r="L242" s="1" t="s">
        <v>8</v>
      </c>
      <c r="M242" s="1" t="s">
        <v>8</v>
      </c>
      <c r="N242" s="1">
        <v>2</v>
      </c>
      <c r="O242" s="1">
        <v>2</v>
      </c>
      <c r="P242" s="1">
        <v>90</v>
      </c>
      <c r="Q242" s="1">
        <v>90</v>
      </c>
      <c r="R242" s="1">
        <v>57.4</v>
      </c>
      <c r="S242" s="1">
        <v>57.4</v>
      </c>
      <c r="T242" s="1">
        <v>0</v>
      </c>
      <c r="U242" s="1">
        <v>1</v>
      </c>
      <c r="W242" s="1" t="s">
        <v>647</v>
      </c>
    </row>
    <row r="243" spans="1:23">
      <c r="A243" s="1">
        <v>2</v>
      </c>
      <c r="B243" t="s">
        <v>787</v>
      </c>
      <c r="C243" t="s">
        <v>782</v>
      </c>
      <c r="D243" s="1">
        <v>2</v>
      </c>
      <c r="E243" s="1" t="s">
        <v>670</v>
      </c>
      <c r="F243" s="4">
        <v>45429</v>
      </c>
      <c r="G243" s="3">
        <f t="shared" si="13"/>
        <v>0.2427199074074074</v>
      </c>
      <c r="H243" s="3">
        <f t="shared" si="11"/>
        <v>0.24766203703703704</v>
      </c>
      <c r="I243" s="3">
        <v>2.1643518518518517E-2</v>
      </c>
      <c r="J243" s="3">
        <v>2.6585648148148146E-2</v>
      </c>
      <c r="K243" s="3">
        <v>0.22107638888888889</v>
      </c>
      <c r="L243" s="1" t="s">
        <v>8</v>
      </c>
      <c r="M243" s="1" t="s">
        <v>8</v>
      </c>
      <c r="N243" s="1">
        <v>2</v>
      </c>
      <c r="O243" s="1">
        <v>2</v>
      </c>
      <c r="P243" s="1">
        <v>90</v>
      </c>
      <c r="Q243" s="1">
        <v>90</v>
      </c>
      <c r="R243" s="1">
        <v>28.8</v>
      </c>
      <c r="S243" s="1">
        <v>28.8</v>
      </c>
      <c r="T243" s="1">
        <v>1</v>
      </c>
      <c r="U243" s="1">
        <v>1</v>
      </c>
      <c r="W243" s="1" t="s">
        <v>647</v>
      </c>
    </row>
    <row r="244" spans="1:23">
      <c r="A244" s="1">
        <v>2</v>
      </c>
      <c r="B244" t="s">
        <v>787</v>
      </c>
      <c r="C244" t="s">
        <v>782</v>
      </c>
      <c r="D244" s="1">
        <v>3</v>
      </c>
      <c r="E244" s="1" t="s">
        <v>670</v>
      </c>
      <c r="F244" s="4">
        <v>45429</v>
      </c>
      <c r="H244" s="3">
        <f t="shared" si="11"/>
        <v>0.25545138888888891</v>
      </c>
      <c r="J244" s="3">
        <v>3.4375000000000003E-2</v>
      </c>
      <c r="K244" s="3">
        <v>0.22107638888888889</v>
      </c>
      <c r="L244" s="1" t="s">
        <v>8</v>
      </c>
      <c r="M244" s="1" t="s">
        <v>8</v>
      </c>
      <c r="N244" s="1">
        <v>2</v>
      </c>
      <c r="O244" s="1">
        <v>2</v>
      </c>
      <c r="P244" s="1">
        <v>90</v>
      </c>
      <c r="Q244" s="1">
        <v>90</v>
      </c>
      <c r="R244" s="1">
        <v>28.8</v>
      </c>
      <c r="S244" s="1">
        <v>28.8</v>
      </c>
      <c r="T244" s="1">
        <v>1</v>
      </c>
      <c r="U244" s="1">
        <v>1</v>
      </c>
      <c r="W244" s="1" t="s">
        <v>647</v>
      </c>
    </row>
    <row r="245" spans="1:23">
      <c r="A245" s="1">
        <v>2</v>
      </c>
      <c r="B245" t="s">
        <v>787</v>
      </c>
      <c r="C245" t="s">
        <v>782</v>
      </c>
      <c r="D245" s="1">
        <v>1</v>
      </c>
      <c r="E245" s="1" t="s">
        <v>689</v>
      </c>
      <c r="F245" s="4">
        <v>45429</v>
      </c>
      <c r="G245" s="3">
        <f>$K245 + $I245</f>
        <v>0.77545138888888887</v>
      </c>
      <c r="H245" s="3">
        <f t="shared" si="11"/>
        <v>0.79304398148148147</v>
      </c>
      <c r="I245" s="3">
        <v>1.1770833333333333E-2</v>
      </c>
      <c r="J245" s="3">
        <v>2.9363425925925925E-2</v>
      </c>
      <c r="K245" s="3">
        <v>0.76368055555555558</v>
      </c>
      <c r="L245" s="1" t="s">
        <v>8</v>
      </c>
      <c r="M245" s="1" t="s">
        <v>7</v>
      </c>
      <c r="N245" s="1">
        <v>2</v>
      </c>
      <c r="O245" s="1">
        <v>2</v>
      </c>
      <c r="P245" s="1">
        <v>90</v>
      </c>
      <c r="Q245" s="1">
        <v>90</v>
      </c>
      <c r="R245" s="1">
        <v>28.8</v>
      </c>
      <c r="S245" s="1">
        <v>57.4</v>
      </c>
      <c r="T245" s="1">
        <v>1</v>
      </c>
      <c r="U245" s="1">
        <v>1</v>
      </c>
      <c r="W245" s="1" t="s">
        <v>647</v>
      </c>
    </row>
    <row r="246" spans="1:23">
      <c r="A246" s="1">
        <v>2</v>
      </c>
      <c r="B246" t="s">
        <v>788</v>
      </c>
      <c r="C246" t="s">
        <v>784</v>
      </c>
      <c r="D246" s="1">
        <v>1</v>
      </c>
      <c r="E246" s="1" t="s">
        <v>689</v>
      </c>
      <c r="F246" s="4">
        <v>45429</v>
      </c>
      <c r="G246" s="3">
        <f>$K246 + $I246</f>
        <v>0.78020833333333339</v>
      </c>
      <c r="H246" s="3">
        <f t="shared" si="11"/>
        <v>0.78851851851851851</v>
      </c>
      <c r="I246" s="3">
        <v>1.6527777777777777E-2</v>
      </c>
      <c r="J246" s="3">
        <v>2.4837962962962964E-2</v>
      </c>
      <c r="K246" s="3">
        <v>0.76368055555555558</v>
      </c>
      <c r="L246" s="1" t="s">
        <v>8</v>
      </c>
      <c r="M246" s="1" t="s">
        <v>8</v>
      </c>
      <c r="N246" s="1">
        <v>2</v>
      </c>
      <c r="O246" s="1">
        <v>2</v>
      </c>
      <c r="P246" s="1">
        <v>90</v>
      </c>
      <c r="Q246" s="1">
        <v>90</v>
      </c>
      <c r="R246" s="1">
        <v>57.4</v>
      </c>
      <c r="S246" s="1">
        <v>57.4</v>
      </c>
      <c r="T246" s="1">
        <v>0</v>
      </c>
      <c r="U246" s="1">
        <v>1</v>
      </c>
      <c r="W246" s="1" t="s">
        <v>647</v>
      </c>
    </row>
    <row r="247" spans="1:23">
      <c r="A247" s="1">
        <v>2</v>
      </c>
      <c r="B247" t="s">
        <v>787</v>
      </c>
      <c r="C247" t="s">
        <v>782</v>
      </c>
      <c r="D247" s="1">
        <v>1</v>
      </c>
      <c r="E247" s="1" t="s">
        <v>691</v>
      </c>
      <c r="F247" s="4">
        <v>45430</v>
      </c>
      <c r="G247" s="3">
        <f>$K247 + $I247</f>
        <v>0.22173611111111111</v>
      </c>
      <c r="H247" s="3">
        <f t="shared" si="11"/>
        <v>0.24028935185185185</v>
      </c>
      <c r="I247" s="3">
        <v>2.3726851851851851E-3</v>
      </c>
      <c r="J247" s="3">
        <v>2.0925925925925924E-2</v>
      </c>
      <c r="K247" s="3">
        <v>0.21936342592592592</v>
      </c>
      <c r="L247" s="1" t="s">
        <v>8</v>
      </c>
      <c r="M247" s="1" t="s">
        <v>7</v>
      </c>
      <c r="N247" s="1">
        <v>2</v>
      </c>
      <c r="O247" s="1">
        <v>2</v>
      </c>
      <c r="P247" s="1">
        <v>90</v>
      </c>
      <c r="Q247" s="1">
        <v>90</v>
      </c>
      <c r="R247" s="1">
        <v>57.4</v>
      </c>
      <c r="S247" s="1">
        <v>28.8</v>
      </c>
      <c r="T247" s="1">
        <v>0</v>
      </c>
      <c r="U247" s="1">
        <v>1</v>
      </c>
      <c r="W247" s="1" t="s">
        <v>647</v>
      </c>
    </row>
    <row r="248" spans="1:23">
      <c r="A248" s="1">
        <v>2</v>
      </c>
      <c r="B248" t="s">
        <v>787</v>
      </c>
      <c r="C248" t="s">
        <v>782</v>
      </c>
      <c r="D248" s="1">
        <v>1</v>
      </c>
      <c r="E248" s="1" t="s">
        <v>693</v>
      </c>
      <c r="F248" s="4">
        <v>45430</v>
      </c>
      <c r="G248" s="3"/>
      <c r="H248" s="3">
        <f t="shared" si="11"/>
        <v>0.79083333333333328</v>
      </c>
      <c r="J248" s="3">
        <v>2.2094907407407407E-2</v>
      </c>
      <c r="K248" s="3">
        <v>0.76873842592592589</v>
      </c>
      <c r="L248" s="1" t="s">
        <v>7</v>
      </c>
      <c r="M248" s="1" t="s">
        <v>8</v>
      </c>
      <c r="N248" s="1">
        <v>2</v>
      </c>
      <c r="O248" s="1">
        <v>2</v>
      </c>
      <c r="P248" s="1">
        <v>90</v>
      </c>
      <c r="Q248" s="1">
        <v>90</v>
      </c>
      <c r="R248" s="1">
        <v>57.4</v>
      </c>
      <c r="S248" s="1">
        <v>57.4</v>
      </c>
      <c r="T248" s="1">
        <v>0</v>
      </c>
      <c r="U248" s="1">
        <v>1</v>
      </c>
      <c r="W248" s="1" t="s">
        <v>647</v>
      </c>
    </row>
    <row r="249" spans="1:23">
      <c r="A249" s="1">
        <v>2</v>
      </c>
      <c r="B249" t="s">
        <v>787</v>
      </c>
      <c r="C249" t="s">
        <v>782</v>
      </c>
      <c r="D249" s="1">
        <v>1</v>
      </c>
      <c r="E249" s="1" t="s">
        <v>709</v>
      </c>
      <c r="F249" s="4">
        <v>45433</v>
      </c>
      <c r="G249" s="3">
        <f>$K249 + $I249</f>
        <v>0.77999999999999992</v>
      </c>
      <c r="H249" s="3">
        <f t="shared" si="11"/>
        <v>0.78643518518518518</v>
      </c>
      <c r="I249" s="3">
        <v>1.7905092592592594E-2</v>
      </c>
      <c r="J249" s="3">
        <v>2.4340277777777777E-2</v>
      </c>
      <c r="K249" s="3">
        <v>0.76209490740740737</v>
      </c>
      <c r="L249" s="1" t="s">
        <v>8</v>
      </c>
      <c r="M249" s="1" t="s">
        <v>8</v>
      </c>
      <c r="N249" s="1">
        <v>2</v>
      </c>
      <c r="O249" s="1">
        <v>2</v>
      </c>
      <c r="P249" s="1">
        <v>90</v>
      </c>
      <c r="Q249" s="1">
        <v>90</v>
      </c>
      <c r="R249" s="1">
        <v>28.8</v>
      </c>
      <c r="S249" s="1">
        <v>57.4</v>
      </c>
      <c r="T249" s="1">
        <v>1</v>
      </c>
      <c r="W249" s="1" t="s">
        <v>647</v>
      </c>
    </row>
    <row r="250" spans="1:23">
      <c r="A250" s="1">
        <v>2</v>
      </c>
      <c r="B250" t="s">
        <v>787</v>
      </c>
      <c r="C250" t="s">
        <v>782</v>
      </c>
      <c r="D250" s="1">
        <v>1</v>
      </c>
      <c r="E250" s="1" t="s">
        <v>710</v>
      </c>
      <c r="F250" s="4">
        <v>45433</v>
      </c>
      <c r="G250" s="1" t="s">
        <v>21</v>
      </c>
      <c r="H250" s="3">
        <f t="shared" si="11"/>
        <v>0.23763888888888887</v>
      </c>
      <c r="I250" s="1" t="s">
        <v>21</v>
      </c>
      <c r="J250" s="3">
        <v>1.9131944444444444E-2</v>
      </c>
      <c r="K250" s="3">
        <v>0.21850694444444443</v>
      </c>
      <c r="L250" s="1" t="s">
        <v>7</v>
      </c>
      <c r="M250" s="1" t="s">
        <v>8</v>
      </c>
      <c r="N250" s="1">
        <v>2</v>
      </c>
      <c r="O250" s="1">
        <v>2</v>
      </c>
      <c r="P250" s="1">
        <v>90</v>
      </c>
      <c r="Q250" s="1">
        <v>90</v>
      </c>
      <c r="R250" s="1">
        <v>57.4</v>
      </c>
      <c r="S250" s="1">
        <v>28.8</v>
      </c>
      <c r="T250" s="1">
        <v>0</v>
      </c>
      <c r="U250" s="1">
        <v>1</v>
      </c>
      <c r="V250" s="1" t="s">
        <v>711</v>
      </c>
      <c r="W250" s="1" t="s">
        <v>647</v>
      </c>
    </row>
    <row r="251" spans="1:23">
      <c r="A251" s="1">
        <v>2</v>
      </c>
      <c r="B251" t="s">
        <v>787</v>
      </c>
      <c r="C251" t="s">
        <v>782</v>
      </c>
      <c r="D251" s="1">
        <v>2</v>
      </c>
      <c r="E251" s="1" t="s">
        <v>710</v>
      </c>
      <c r="F251" s="4">
        <v>45433</v>
      </c>
      <c r="G251" s="3">
        <f>$K251 + $I251</f>
        <v>0.23763888888888887</v>
      </c>
      <c r="H251" s="3">
        <f t="shared" si="11"/>
        <v>0.25300925925925927</v>
      </c>
      <c r="I251" s="3">
        <v>1.9131944444444444E-2</v>
      </c>
      <c r="J251" s="3">
        <v>3.4502314814814812E-2</v>
      </c>
      <c r="K251" s="3">
        <v>0.21850694444444443</v>
      </c>
      <c r="L251" s="1" t="s">
        <v>8</v>
      </c>
      <c r="M251" s="1" t="s">
        <v>8</v>
      </c>
      <c r="N251" s="1">
        <v>2</v>
      </c>
      <c r="O251" s="1">
        <v>2</v>
      </c>
      <c r="P251" s="1">
        <v>90</v>
      </c>
      <c r="Q251" s="1">
        <v>90</v>
      </c>
      <c r="R251" s="1">
        <v>28.8</v>
      </c>
      <c r="S251" s="1">
        <v>28.8</v>
      </c>
      <c r="T251" s="1">
        <v>1</v>
      </c>
      <c r="W251" s="1" t="s">
        <v>647</v>
      </c>
    </row>
    <row r="252" spans="1:23">
      <c r="A252" s="1">
        <v>2</v>
      </c>
      <c r="B252" t="s">
        <v>787</v>
      </c>
      <c r="C252" t="s">
        <v>782</v>
      </c>
      <c r="D252" s="1">
        <v>1</v>
      </c>
      <c r="E252" s="1" t="s">
        <v>221</v>
      </c>
      <c r="F252" s="4">
        <v>45432</v>
      </c>
      <c r="H252" s="3">
        <f t="shared" si="11"/>
        <v>0.24386574074074074</v>
      </c>
      <c r="J252" s="3">
        <v>2.2349537037037036E-2</v>
      </c>
      <c r="K252" s="3">
        <v>0.2215162037037037</v>
      </c>
      <c r="L252" s="1" t="s">
        <v>7</v>
      </c>
      <c r="M252" s="1" t="s">
        <v>7</v>
      </c>
      <c r="N252" s="1">
        <v>2</v>
      </c>
      <c r="O252" s="1">
        <v>2</v>
      </c>
      <c r="P252" s="1">
        <v>90</v>
      </c>
      <c r="Q252" s="1">
        <v>90</v>
      </c>
      <c r="R252" s="1">
        <v>28.8</v>
      </c>
      <c r="S252" s="1">
        <v>28.8</v>
      </c>
      <c r="T252" s="1">
        <v>1</v>
      </c>
      <c r="W252" s="1" t="s">
        <v>647</v>
      </c>
    </row>
    <row r="253" spans="1:23">
      <c r="A253" s="1">
        <v>2</v>
      </c>
      <c r="B253" t="s">
        <v>787</v>
      </c>
      <c r="C253" t="s">
        <v>782</v>
      </c>
      <c r="D253" s="1">
        <v>1</v>
      </c>
      <c r="E253" s="3" t="s">
        <v>713</v>
      </c>
      <c r="F253" s="4">
        <v>45431</v>
      </c>
      <c r="H253" s="3">
        <f t="shared" si="11"/>
        <v>0.24098379629629629</v>
      </c>
      <c r="J253" s="3">
        <v>2.2395833333333334E-2</v>
      </c>
      <c r="K253" s="3">
        <v>0.21858796296296296</v>
      </c>
      <c r="L253" s="1" t="s">
        <v>8</v>
      </c>
      <c r="M253" s="1" t="s">
        <v>8</v>
      </c>
      <c r="N253" s="1">
        <v>2</v>
      </c>
      <c r="O253" s="1">
        <v>2</v>
      </c>
      <c r="P253" s="1">
        <v>90</v>
      </c>
      <c r="Q253" s="1">
        <v>90</v>
      </c>
      <c r="R253" s="1">
        <v>57.4</v>
      </c>
      <c r="S253" s="1">
        <v>28.8</v>
      </c>
      <c r="T253" s="1">
        <v>1</v>
      </c>
      <c r="W253" s="1" t="s">
        <v>647</v>
      </c>
    </row>
    <row r="254" spans="1:23">
      <c r="A254" s="1">
        <v>2</v>
      </c>
      <c r="B254" t="s">
        <v>787</v>
      </c>
      <c r="C254" t="s">
        <v>782</v>
      </c>
      <c r="D254" s="1">
        <v>1</v>
      </c>
      <c r="E254" s="1" t="s">
        <v>700</v>
      </c>
      <c r="F254" s="4">
        <v>45431</v>
      </c>
      <c r="H254" s="1" t="s">
        <v>21</v>
      </c>
      <c r="I254" s="3">
        <v>2.0532407407407409E-2</v>
      </c>
      <c r="J254" s="1" t="s">
        <v>21</v>
      </c>
      <c r="K254" s="3">
        <v>0.76197916666666665</v>
      </c>
      <c r="L254" s="1" t="s">
        <v>8</v>
      </c>
      <c r="M254" s="1" t="s">
        <v>7</v>
      </c>
      <c r="N254" s="1">
        <v>2</v>
      </c>
      <c r="O254" s="1">
        <v>2</v>
      </c>
      <c r="P254" s="1">
        <v>90</v>
      </c>
      <c r="Q254" s="1">
        <v>90</v>
      </c>
      <c r="S254" s="1">
        <v>57.4</v>
      </c>
      <c r="T254" s="1" t="s">
        <v>21</v>
      </c>
      <c r="V254" s="1" t="s">
        <v>712</v>
      </c>
      <c r="W254" s="1" t="s">
        <v>647</v>
      </c>
    </row>
    <row r="255" spans="1:23">
      <c r="A255" s="1">
        <v>2</v>
      </c>
      <c r="B255" t="s">
        <v>787</v>
      </c>
      <c r="C255" t="s">
        <v>782</v>
      </c>
      <c r="D255" s="1">
        <v>1</v>
      </c>
      <c r="E255" s="1" t="s">
        <v>705</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57.4</v>
      </c>
      <c r="S255" s="1">
        <v>28.8</v>
      </c>
      <c r="T255" s="1">
        <v>0</v>
      </c>
      <c r="U255" s="1">
        <v>1</v>
      </c>
      <c r="W255" s="1" t="s">
        <v>647</v>
      </c>
    </row>
    <row r="256" spans="1:23">
      <c r="A256" s="1">
        <v>2</v>
      </c>
      <c r="B256" t="s">
        <v>787</v>
      </c>
      <c r="C256" t="s">
        <v>782</v>
      </c>
      <c r="D256" s="1">
        <v>1</v>
      </c>
      <c r="E256" s="1" t="s">
        <v>706</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57.4</v>
      </c>
      <c r="S256" s="1">
        <v>28.8</v>
      </c>
      <c r="T256" s="1">
        <v>0</v>
      </c>
      <c r="U256" s="1">
        <v>1</v>
      </c>
      <c r="W256" s="1" t="s">
        <v>647</v>
      </c>
    </row>
    <row r="257" spans="1:23">
      <c r="A257" s="1">
        <v>2</v>
      </c>
      <c r="B257" t="s">
        <v>787</v>
      </c>
      <c r="C257" t="s">
        <v>782</v>
      </c>
      <c r="D257" s="1">
        <v>1</v>
      </c>
      <c r="E257" s="1" t="s">
        <v>707</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28.8</v>
      </c>
      <c r="S257" s="1">
        <v>57.4</v>
      </c>
      <c r="T257" s="1">
        <v>0</v>
      </c>
      <c r="U257" s="1">
        <v>1</v>
      </c>
      <c r="W257" s="1" t="s">
        <v>647</v>
      </c>
    </row>
    <row r="258" spans="1:23">
      <c r="A258" s="1">
        <v>2</v>
      </c>
      <c r="B258" t="s">
        <v>787</v>
      </c>
      <c r="C258" t="s">
        <v>782</v>
      </c>
      <c r="D258" s="1">
        <v>1</v>
      </c>
      <c r="E258" s="1" t="s">
        <v>708</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57.4</v>
      </c>
      <c r="S258" s="1">
        <v>28.8</v>
      </c>
      <c r="T258" s="1">
        <v>0</v>
      </c>
      <c r="U258" s="1">
        <v>1</v>
      </c>
      <c r="W258" s="1" t="s">
        <v>647</v>
      </c>
    </row>
    <row r="259" spans="1:23">
      <c r="A259" s="1">
        <v>2</v>
      </c>
      <c r="B259" t="s">
        <v>787</v>
      </c>
      <c r="C259" t="s">
        <v>782</v>
      </c>
      <c r="D259" s="1">
        <v>1</v>
      </c>
      <c r="E259" s="1" t="s">
        <v>716</v>
      </c>
      <c r="F259" s="4">
        <v>45437</v>
      </c>
      <c r="G259" s="1" t="s">
        <v>21</v>
      </c>
      <c r="H259" s="1" t="s">
        <v>21</v>
      </c>
      <c r="I259" s="1" t="s">
        <v>21</v>
      </c>
      <c r="J259" s="1" t="s">
        <v>21</v>
      </c>
      <c r="K259" s="3">
        <v>0.75185185185185188</v>
      </c>
      <c r="L259" s="1" t="s">
        <v>7</v>
      </c>
      <c r="M259" s="1" t="s">
        <v>8</v>
      </c>
      <c r="N259" s="1">
        <v>2</v>
      </c>
      <c r="O259" s="1">
        <v>2</v>
      </c>
      <c r="P259" s="1">
        <v>90</v>
      </c>
      <c r="Q259" s="1">
        <v>90</v>
      </c>
      <c r="R259" s="1">
        <v>28.8</v>
      </c>
      <c r="S259" s="1">
        <v>57.4</v>
      </c>
      <c r="T259" s="1" t="s">
        <v>21</v>
      </c>
      <c r="V259" s="1" t="s">
        <v>537</v>
      </c>
      <c r="W259" s="1" t="s">
        <v>647</v>
      </c>
    </row>
    <row r="260" spans="1:23">
      <c r="A260" s="1">
        <v>2</v>
      </c>
      <c r="B260" t="s">
        <v>787</v>
      </c>
      <c r="C260" t="s">
        <v>782</v>
      </c>
      <c r="D260" s="1" t="s">
        <v>21</v>
      </c>
      <c r="E260" s="1" t="s">
        <v>240</v>
      </c>
      <c r="F260" s="4">
        <v>45438</v>
      </c>
      <c r="K260" s="3">
        <v>0.22033564814814816</v>
      </c>
      <c r="P260" s="1">
        <v>90</v>
      </c>
      <c r="Q260" s="1">
        <v>90</v>
      </c>
      <c r="R260" s="1">
        <v>57.4</v>
      </c>
      <c r="S260" s="1">
        <v>57.4</v>
      </c>
      <c r="T260" s="1" t="s">
        <v>21</v>
      </c>
      <c r="V260" s="1" t="s">
        <v>719</v>
      </c>
    </row>
    <row r="261" spans="1:23">
      <c r="A261" s="1" t="s">
        <v>21</v>
      </c>
      <c r="B261" t="s">
        <v>21</v>
      </c>
      <c r="C261" t="s">
        <v>21</v>
      </c>
      <c r="D261" s="1" t="s">
        <v>21</v>
      </c>
      <c r="E261" s="1" t="s">
        <v>720</v>
      </c>
      <c r="U261" s="1" t="s">
        <v>21</v>
      </c>
      <c r="V261" s="1" t="s">
        <v>721</v>
      </c>
      <c r="W261" s="1" t="s">
        <v>645</v>
      </c>
    </row>
    <row r="262" spans="1:23">
      <c r="B262"/>
      <c r="C262"/>
      <c r="E262" s="1" t="s">
        <v>722</v>
      </c>
    </row>
    <row r="263" spans="1:23">
      <c r="B263"/>
      <c r="C263"/>
      <c r="E263" s="1" t="s">
        <v>723</v>
      </c>
    </row>
  </sheetData>
  <sortState xmlns:xlrd2="http://schemas.microsoft.com/office/spreadsheetml/2017/richdata2" ref="A2:V165">
    <sortCondition ref="F2:F165"/>
  </sortState>
  <customSheetViews>
    <customSheetView guid="{8A75D892-44B4-104C-BB94-8EB0D0E43396}" scale="75" topLeftCell="L1">
      <pane ySplit="1" topLeftCell="A2" activePane="bottomLeft" state="frozen"/>
      <selection pane="bottomLeft" activeCell="R1" sqref="R1:S1048576"/>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c r="A1" t="s">
        <v>276</v>
      </c>
      <c r="B1" t="s">
        <v>31</v>
      </c>
      <c r="C1" t="s">
        <v>280</v>
      </c>
      <c r="D1" t="s">
        <v>277</v>
      </c>
      <c r="E1" t="s">
        <v>278</v>
      </c>
      <c r="F1" t="s">
        <v>233</v>
      </c>
      <c r="G1" t="s">
        <v>337</v>
      </c>
      <c r="H1" t="s">
        <v>338</v>
      </c>
      <c r="I1" t="s">
        <v>215</v>
      </c>
      <c r="J1" t="s">
        <v>329</v>
      </c>
      <c r="K1" t="s">
        <v>3</v>
      </c>
      <c r="L1" t="s">
        <v>15</v>
      </c>
    </row>
    <row r="2" spans="1:20">
      <c r="A2" t="s">
        <v>281</v>
      </c>
      <c r="C2">
        <v>10</v>
      </c>
      <c r="D2" t="s">
        <v>279</v>
      </c>
      <c r="E2">
        <v>49.74</v>
      </c>
      <c r="F2" t="e">
        <f xml:space="preserve"> (E2/D2*5)+C2</f>
        <v>#VALUE!</v>
      </c>
      <c r="G2" t="e">
        <f t="shared" ref="G2:G13" si="0">$Q$7-F2</f>
        <v>#VALUE!</v>
      </c>
      <c r="H2" t="e">
        <f t="shared" ref="H2:H13" si="1" xml:space="preserve"> $J2 / (2*DEGREES(ATAN(0.5*$R$7 / $G2)))</f>
        <v>#VALUE!</v>
      </c>
      <c r="I2">
        <v>0.05</v>
      </c>
      <c r="J2">
        <v>2.17</v>
      </c>
    </row>
    <row r="3" spans="1:20">
      <c r="A3" t="s">
        <v>286</v>
      </c>
      <c r="F3">
        <v>15</v>
      </c>
      <c r="G3">
        <f t="shared" si="0"/>
        <v>16.2</v>
      </c>
      <c r="H3">
        <f t="shared" si="1"/>
        <v>8.6445102133919177E-2</v>
      </c>
      <c r="I3">
        <v>0.15</v>
      </c>
      <c r="J3">
        <v>6.51</v>
      </c>
    </row>
    <row r="4" spans="1:20">
      <c r="A4" t="s">
        <v>287</v>
      </c>
      <c r="C4">
        <v>10</v>
      </c>
      <c r="D4">
        <v>125.67</v>
      </c>
      <c r="E4">
        <v>84.08</v>
      </c>
      <c r="F4">
        <f xml:space="preserve"> (E4/D4*5)+C4</f>
        <v>13.345269356250498</v>
      </c>
      <c r="G4">
        <f t="shared" si="0"/>
        <v>17.854730643749502</v>
      </c>
      <c r="H4">
        <f t="shared" si="1"/>
        <v>9.3011542339628731E-2</v>
      </c>
      <c r="I4">
        <v>0.15</v>
      </c>
      <c r="J4">
        <v>6.51</v>
      </c>
    </row>
    <row r="5" spans="1:20">
      <c r="A5" t="s">
        <v>288</v>
      </c>
      <c r="C5">
        <v>15</v>
      </c>
      <c r="D5">
        <v>119.92</v>
      </c>
      <c r="E5">
        <v>51.43</v>
      </c>
      <c r="F5">
        <f xml:space="preserve"> (E5/D5*5)+C5</f>
        <v>17.144346230820545</v>
      </c>
      <c r="G5">
        <f t="shared" si="0"/>
        <v>14.055653769179454</v>
      </c>
      <c r="H5">
        <f t="shared" si="1"/>
        <v>7.8156150762295956E-2</v>
      </c>
      <c r="I5">
        <v>0.15</v>
      </c>
      <c r="J5">
        <v>6.51</v>
      </c>
    </row>
    <row r="6" spans="1:20">
      <c r="A6" t="s">
        <v>292</v>
      </c>
      <c r="C6">
        <v>10</v>
      </c>
      <c r="D6">
        <v>126.56</v>
      </c>
      <c r="E6">
        <v>70.66</v>
      </c>
      <c r="F6">
        <f xml:space="preserve"> (E6/D6*5)+C6</f>
        <v>12.791561314791403</v>
      </c>
      <c r="G6">
        <f t="shared" si="0"/>
        <v>18.408438685208594</v>
      </c>
      <c r="H6">
        <f t="shared" si="1"/>
        <v>3.1745630299109547E-2</v>
      </c>
      <c r="I6">
        <v>0.05</v>
      </c>
      <c r="J6">
        <v>2.17</v>
      </c>
      <c r="O6" s="1" t="s">
        <v>334</v>
      </c>
      <c r="P6" s="1" t="s">
        <v>336</v>
      </c>
      <c r="Q6" s="1" t="s">
        <v>340</v>
      </c>
      <c r="R6" s="1" t="s">
        <v>327</v>
      </c>
      <c r="S6" s="1" t="s">
        <v>328</v>
      </c>
      <c r="T6" s="1" t="s">
        <v>335</v>
      </c>
    </row>
    <row r="7" spans="1:20">
      <c r="A7" t="s">
        <v>293</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339</v>
      </c>
    </row>
    <row r="8" spans="1:20">
      <c r="A8" t="s">
        <v>303</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c r="A9" t="s">
        <v>304</v>
      </c>
      <c r="C9">
        <v>10</v>
      </c>
      <c r="F9">
        <v>10</v>
      </c>
      <c r="G9">
        <f t="shared" si="0"/>
        <v>21.2</v>
      </c>
      <c r="H9">
        <f t="shared" si="1"/>
        <v>3.5545143206206414E-2</v>
      </c>
      <c r="I9">
        <v>0.05</v>
      </c>
      <c r="J9">
        <v>2.17</v>
      </c>
      <c r="O9" s="1">
        <v>0.15</v>
      </c>
      <c r="P9" s="1"/>
      <c r="Q9" s="1"/>
      <c r="R9" s="1"/>
      <c r="S9" s="1"/>
      <c r="T9" s="1"/>
    </row>
    <row r="10" spans="1:20">
      <c r="A10" t="s">
        <v>325</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c r="A11" t="s">
        <v>324</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c r="A12" t="s">
        <v>323</v>
      </c>
      <c r="D12" t="s">
        <v>21</v>
      </c>
      <c r="E12" t="s">
        <v>21</v>
      </c>
      <c r="F12">
        <v>15</v>
      </c>
      <c r="G12">
        <f t="shared" si="0"/>
        <v>16.2</v>
      </c>
      <c r="H12">
        <f t="shared" si="1"/>
        <v>5.7630068089279451E-2</v>
      </c>
      <c r="I12">
        <v>0.1</v>
      </c>
      <c r="J12" s="17">
        <v>4.34</v>
      </c>
      <c r="O12" s="1"/>
      <c r="P12" s="1"/>
      <c r="Q12" s="1"/>
      <c r="R12" s="1"/>
      <c r="S12" s="1"/>
      <c r="T12" s="1"/>
    </row>
    <row r="13" spans="1:20">
      <c r="A13" t="s">
        <v>345</v>
      </c>
      <c r="C13">
        <v>10</v>
      </c>
      <c r="D13">
        <v>130.19999999999999</v>
      </c>
      <c r="E13">
        <v>66.2</v>
      </c>
      <c r="F13">
        <f xml:space="preserve"> (E13/D13*5)+C13</f>
        <v>12.542242703533027</v>
      </c>
      <c r="G13">
        <f t="shared" si="0"/>
        <v>18.657757296466972</v>
      </c>
      <c r="H13">
        <f t="shared" si="1"/>
        <v>3.2081032625899855E-2</v>
      </c>
      <c r="I13">
        <v>0.05</v>
      </c>
      <c r="J13">
        <v>2.17</v>
      </c>
    </row>
    <row r="14" spans="1:20">
      <c r="A14" t="s">
        <v>220</v>
      </c>
      <c r="C14" t="s">
        <v>21</v>
      </c>
      <c r="D14" t="s">
        <v>21</v>
      </c>
      <c r="E14" t="s">
        <v>21</v>
      </c>
      <c r="F14" t="s">
        <v>21</v>
      </c>
      <c r="G14" t="s">
        <v>21</v>
      </c>
      <c r="H14" t="s">
        <v>21</v>
      </c>
      <c r="I14" t="s">
        <v>21</v>
      </c>
      <c r="J14" t="s">
        <v>21</v>
      </c>
      <c r="K14" t="s">
        <v>21</v>
      </c>
      <c r="L14" t="s">
        <v>346</v>
      </c>
    </row>
    <row r="15" spans="1:20">
      <c r="A15" t="s">
        <v>347</v>
      </c>
      <c r="B15" s="18">
        <v>45376</v>
      </c>
      <c r="C15" t="s">
        <v>21</v>
      </c>
      <c r="D15" t="s">
        <v>21</v>
      </c>
      <c r="E15" t="s">
        <v>21</v>
      </c>
      <c r="F15" t="s">
        <v>21</v>
      </c>
      <c r="G15" t="s">
        <v>21</v>
      </c>
      <c r="H15" t="s">
        <v>21</v>
      </c>
      <c r="I15" t="s">
        <v>21</v>
      </c>
      <c r="J15" t="s">
        <v>21</v>
      </c>
      <c r="K15" t="s">
        <v>21</v>
      </c>
    </row>
    <row r="16" spans="1:20">
      <c r="A16" t="s">
        <v>343</v>
      </c>
      <c r="C16">
        <v>5</v>
      </c>
      <c r="D16">
        <v>127.9</v>
      </c>
      <c r="E16">
        <v>37.6</v>
      </c>
      <c r="F16">
        <f xml:space="preserve"> (E16/D16*5)+C16</f>
        <v>6.4698983580922595</v>
      </c>
      <c r="G16">
        <f>$Q$7-F16</f>
        <v>24.730101641907741</v>
      </c>
      <c r="H16">
        <f xml:space="preserve"> $J16 / (2*DEGREES(ATAN(0.5*$R$7 / $G16)))</f>
        <v>0.1213889593312432</v>
      </c>
      <c r="I16">
        <v>0.15</v>
      </c>
      <c r="J16">
        <v>6.51</v>
      </c>
    </row>
    <row r="17" spans="1:12">
      <c r="A17" t="s">
        <v>348</v>
      </c>
      <c r="C17">
        <v>5</v>
      </c>
      <c r="D17">
        <v>127.1</v>
      </c>
      <c r="E17">
        <v>110.5</v>
      </c>
      <c r="F17">
        <f xml:space="preserve"> (E17/D17*5)+C17</f>
        <v>9.34697088906373</v>
      </c>
      <c r="G17">
        <f>$Q$7-F17</f>
        <v>21.853029110936269</v>
      </c>
      <c r="H17">
        <f xml:space="preserve"> $J17 / (2*DEGREES(ATAN(0.5*$R$7 / $G17)))</f>
        <v>0.1093394002958783</v>
      </c>
      <c r="I17">
        <v>0.15</v>
      </c>
      <c r="J17">
        <v>6.51</v>
      </c>
    </row>
    <row r="18" spans="1:12">
      <c r="A18" t="s">
        <v>226</v>
      </c>
      <c r="C18" t="s">
        <v>21</v>
      </c>
      <c r="D18" t="s">
        <v>21</v>
      </c>
      <c r="E18" t="s">
        <v>21</v>
      </c>
      <c r="F18" t="s">
        <v>21</v>
      </c>
      <c r="G18" t="s">
        <v>21</v>
      </c>
      <c r="H18" t="s">
        <v>21</v>
      </c>
      <c r="I18" t="s">
        <v>21</v>
      </c>
      <c r="J18" t="s">
        <v>21</v>
      </c>
      <c r="L18" t="s">
        <v>349</v>
      </c>
    </row>
    <row r="19" spans="1:12">
      <c r="A19" t="s">
        <v>350</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c r="A20" t="s">
        <v>240</v>
      </c>
      <c r="C20" t="s">
        <v>21</v>
      </c>
      <c r="D20" t="s">
        <v>21</v>
      </c>
      <c r="E20" t="s">
        <v>21</v>
      </c>
      <c r="F20" t="s">
        <v>21</v>
      </c>
      <c r="G20" t="s">
        <v>21</v>
      </c>
      <c r="H20" t="s">
        <v>21</v>
      </c>
      <c r="I20" t="s">
        <v>21</v>
      </c>
      <c r="J20" t="s">
        <v>21</v>
      </c>
      <c r="K20" t="s">
        <v>21</v>
      </c>
      <c r="L20" t="s">
        <v>346</v>
      </c>
    </row>
    <row r="21" spans="1:12">
      <c r="A21" t="s">
        <v>351</v>
      </c>
      <c r="C21">
        <v>5</v>
      </c>
      <c r="D21">
        <v>121.7</v>
      </c>
      <c r="E21">
        <v>68.5</v>
      </c>
      <c r="F21">
        <f xml:space="preserve"> (E21/D21*5)+C21</f>
        <v>7.8142974527526707</v>
      </c>
      <c r="G21">
        <f>$Q$7-F21</f>
        <v>23.385702547247327</v>
      </c>
      <c r="H21">
        <f xml:space="preserve"> $J21 / (2*DEGREES(ATAN(0.5*$R$7 / $G21)))</f>
        <v>0.11573269373639951</v>
      </c>
      <c r="I21">
        <v>0.15</v>
      </c>
      <c r="J21">
        <v>6.51</v>
      </c>
    </row>
    <row r="22" spans="1:12">
      <c r="A22" t="s">
        <v>245</v>
      </c>
      <c r="C22" t="s">
        <v>21</v>
      </c>
      <c r="D22" t="s">
        <v>21</v>
      </c>
      <c r="E22" t="s">
        <v>21</v>
      </c>
      <c r="F22" t="s">
        <v>21</v>
      </c>
      <c r="G22" t="s">
        <v>21</v>
      </c>
      <c r="H22" t="s">
        <v>21</v>
      </c>
      <c r="I22" t="s">
        <v>21</v>
      </c>
      <c r="J22" t="s">
        <v>21</v>
      </c>
      <c r="K22" t="s">
        <v>21</v>
      </c>
      <c r="L22" t="s">
        <v>346</v>
      </c>
    </row>
    <row r="23" spans="1:12">
      <c r="A23" t="s">
        <v>248</v>
      </c>
      <c r="C23" t="s">
        <v>21</v>
      </c>
      <c r="D23" t="s">
        <v>21</v>
      </c>
      <c r="E23" t="s">
        <v>21</v>
      </c>
      <c r="F23" t="s">
        <v>21</v>
      </c>
      <c r="G23" t="s">
        <v>21</v>
      </c>
      <c r="H23" t="s">
        <v>21</v>
      </c>
      <c r="I23" t="s">
        <v>21</v>
      </c>
      <c r="J23" t="s">
        <v>21</v>
      </c>
      <c r="K23" t="s">
        <v>21</v>
      </c>
      <c r="L23" t="s">
        <v>346</v>
      </c>
    </row>
    <row r="24" spans="1:12">
      <c r="A24" t="s">
        <v>352</v>
      </c>
      <c r="C24">
        <v>10</v>
      </c>
      <c r="D24">
        <v>120.8</v>
      </c>
      <c r="E24">
        <v>98</v>
      </c>
      <c r="F24">
        <f xml:space="preserve"> (E24/D24*5)+C24</f>
        <v>14.056291390728477</v>
      </c>
      <c r="G24">
        <f>$Q$7-F24</f>
        <v>17.143708609271521</v>
      </c>
      <c r="H24">
        <f xml:space="preserve"> $J24 / (2*DEGREES(ATAN(0.5*$R$7 / $G24)))</f>
        <v>3.0057958466804167E-2</v>
      </c>
      <c r="I24">
        <v>0.05</v>
      </c>
      <c r="J24">
        <v>2.17</v>
      </c>
    </row>
    <row r="25" spans="1:12">
      <c r="A25" s="17" t="s">
        <v>353</v>
      </c>
      <c r="C25">
        <v>10</v>
      </c>
      <c r="F25">
        <v>10</v>
      </c>
      <c r="G25">
        <f>$Q$7-F25</f>
        <v>21.2</v>
      </c>
      <c r="H25">
        <f xml:space="preserve"> $J25 / (2*DEGREES(ATAN(0.5*$R$7 / $G25)))</f>
        <v>3.5545143206206414E-2</v>
      </c>
      <c r="I25">
        <v>0.05</v>
      </c>
      <c r="J25">
        <v>2.17</v>
      </c>
    </row>
    <row r="26" spans="1:12">
      <c r="A26" s="17" t="s">
        <v>354</v>
      </c>
      <c r="C26">
        <v>20</v>
      </c>
      <c r="F26">
        <v>20</v>
      </c>
      <c r="G26">
        <f>$Q$7-F26</f>
        <v>11.2</v>
      </c>
      <c r="H26">
        <f xml:space="preserve"> $J26 / (2*DEGREES(ATAN(0.5*$R$7 / $G26)))</f>
        <v>2.2538588695232575E-2</v>
      </c>
      <c r="I26">
        <v>0.05</v>
      </c>
      <c r="J26">
        <v>2.17</v>
      </c>
    </row>
    <row r="27" spans="1:12">
      <c r="A27" t="s">
        <v>355</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c r="A28" s="19" t="s">
        <v>299</v>
      </c>
      <c r="C28" s="19" t="s">
        <v>21</v>
      </c>
      <c r="D28" s="19" t="s">
        <v>21</v>
      </c>
      <c r="E28" s="19" t="s">
        <v>21</v>
      </c>
      <c r="F28" s="19" t="s">
        <v>21</v>
      </c>
      <c r="G28" s="19" t="s">
        <v>21</v>
      </c>
      <c r="H28" s="19" t="s">
        <v>21</v>
      </c>
      <c r="I28" s="19" t="s">
        <v>21</v>
      </c>
      <c r="J28" s="19" t="s">
        <v>21</v>
      </c>
      <c r="K28" s="19" t="s">
        <v>21</v>
      </c>
      <c r="L28" s="19" t="s">
        <v>356</v>
      </c>
    </row>
    <row r="29" spans="1:12">
      <c r="A29" t="s">
        <v>318</v>
      </c>
      <c r="C29" t="s">
        <v>21</v>
      </c>
      <c r="D29" t="s">
        <v>21</v>
      </c>
      <c r="E29" t="s">
        <v>21</v>
      </c>
      <c r="F29" t="s">
        <v>21</v>
      </c>
      <c r="G29" t="s">
        <v>21</v>
      </c>
      <c r="H29" t="s">
        <v>21</v>
      </c>
      <c r="I29" t="s">
        <v>21</v>
      </c>
      <c r="J29" t="s">
        <v>21</v>
      </c>
      <c r="K29" t="s">
        <v>21</v>
      </c>
      <c r="L29" t="s">
        <v>346</v>
      </c>
    </row>
    <row r="30" spans="1:12">
      <c r="A30" t="s">
        <v>357</v>
      </c>
      <c r="C30" t="s">
        <v>21</v>
      </c>
      <c r="D30" t="s">
        <v>21</v>
      </c>
      <c r="E30" t="s">
        <v>21</v>
      </c>
      <c r="F30" t="s">
        <v>21</v>
      </c>
      <c r="G30" t="s">
        <v>21</v>
      </c>
      <c r="H30" t="s">
        <v>21</v>
      </c>
      <c r="I30" t="s">
        <v>21</v>
      </c>
      <c r="J30" t="s">
        <v>21</v>
      </c>
      <c r="K30" t="s">
        <v>21</v>
      </c>
      <c r="L30" t="s">
        <v>346</v>
      </c>
    </row>
    <row r="31" spans="1:12">
      <c r="A31" t="s">
        <v>419</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c r="A32" t="s">
        <v>420</v>
      </c>
      <c r="F32">
        <f xml:space="preserve"> 8.35 + (145.8/226.3)* (18.3-8.35)</f>
        <v>14.760561201944322</v>
      </c>
      <c r="G32">
        <f t="shared" si="2"/>
        <v>16.439438798055676</v>
      </c>
      <c r="H32">
        <f t="shared" si="3"/>
        <v>2.9128966957005804E-2</v>
      </c>
      <c r="I32">
        <v>0.05</v>
      </c>
      <c r="J32">
        <v>2.17</v>
      </c>
    </row>
    <row r="33" spans="1:12">
      <c r="A33" t="s">
        <v>421</v>
      </c>
      <c r="F33">
        <v>8.35</v>
      </c>
      <c r="G33">
        <f t="shared" si="2"/>
        <v>22.85</v>
      </c>
      <c r="H33">
        <f t="shared" si="3"/>
        <v>3.7830336673040817E-2</v>
      </c>
      <c r="I33">
        <v>0.05</v>
      </c>
      <c r="J33">
        <v>2.17</v>
      </c>
    </row>
    <row r="34" spans="1:12">
      <c r="A34" t="s">
        <v>422</v>
      </c>
      <c r="F34">
        <f xml:space="preserve"> 8.35 + (51.9/228.6)* (18.3-8.35)</f>
        <v>10.608989501312337</v>
      </c>
      <c r="G34">
        <f t="shared" si="2"/>
        <v>20.591010498687663</v>
      </c>
      <c r="H34">
        <f t="shared" si="3"/>
        <v>3.4708553522484198E-2</v>
      </c>
      <c r="I34">
        <v>0.05</v>
      </c>
      <c r="J34">
        <v>2.17</v>
      </c>
    </row>
    <row r="35" spans="1:12">
      <c r="A35" t="s">
        <v>425</v>
      </c>
      <c r="F35">
        <f xml:space="preserve"> 8.35 + (177.1/230.8)* (18.3-8.35)</f>
        <v>15.984943674176776</v>
      </c>
      <c r="G35">
        <f t="shared" si="2"/>
        <v>15.215056325823223</v>
      </c>
      <c r="H35">
        <f t="shared" si="3"/>
        <v>2.7534595602459244E-2</v>
      </c>
      <c r="I35">
        <v>0.05</v>
      </c>
      <c r="J35">
        <v>2.17</v>
      </c>
    </row>
    <row r="36" spans="1:12">
      <c r="A36" t="s">
        <v>423</v>
      </c>
      <c r="F36">
        <f xml:space="preserve"> 18.3 + (35.8/266.5)* (31.5-18.3)</f>
        <v>20.073208255159475</v>
      </c>
      <c r="G36">
        <f t="shared" si="2"/>
        <v>11.126791744840524</v>
      </c>
      <c r="H36">
        <f t="shared" si="3"/>
        <v>2.2451526710271889E-2</v>
      </c>
      <c r="I36">
        <v>0.05</v>
      </c>
      <c r="J36">
        <v>2.17</v>
      </c>
      <c r="L36" t="s">
        <v>424</v>
      </c>
    </row>
    <row r="37" spans="1:12">
      <c r="A37" t="s">
        <v>447</v>
      </c>
      <c r="F37">
        <f xml:space="preserve"> 8.35 + (186.1/235.8)* (18.3-8.35)</f>
        <v>16.202820186598814</v>
      </c>
      <c r="G37">
        <f t="shared" si="2"/>
        <v>14.997179813401186</v>
      </c>
      <c r="H37">
        <f t="shared" si="3"/>
        <v>2.7253863391563733E-2</v>
      </c>
      <c r="I37">
        <v>0.05</v>
      </c>
      <c r="J37">
        <v>2.17</v>
      </c>
    </row>
    <row r="38" spans="1:12">
      <c r="A38" t="s">
        <v>448</v>
      </c>
      <c r="F38">
        <f xml:space="preserve"> 8.35 + (174.5/230.4)* (18.3-8.35)</f>
        <v>15.885915798611112</v>
      </c>
      <c r="G38">
        <f t="shared" si="2"/>
        <v>15.314084201388887</v>
      </c>
      <c r="H38">
        <f t="shared" si="3"/>
        <v>2.7662502883388645E-2</v>
      </c>
      <c r="I38">
        <v>0.05</v>
      </c>
      <c r="J38">
        <v>2.17</v>
      </c>
    </row>
    <row r="39" spans="1:12">
      <c r="A39" t="s">
        <v>450</v>
      </c>
      <c r="F39">
        <f xml:space="preserve"> 8.35 + (212.3/241)* (18.3-8.35)</f>
        <v>17.115082987551869</v>
      </c>
      <c r="G39">
        <f t="shared" si="2"/>
        <v>14.08491701244813</v>
      </c>
      <c r="H39">
        <f t="shared" si="3"/>
        <v>2.6089114062275189E-2</v>
      </c>
      <c r="I39">
        <v>0.05</v>
      </c>
      <c r="J39">
        <v>2.17</v>
      </c>
    </row>
    <row r="40" spans="1:12">
      <c r="A40" t="s">
        <v>451</v>
      </c>
      <c r="F40">
        <f xml:space="preserve"> 8.35 + (165.7/229.6)* (18.3-8.35)</f>
        <v>15.530814459930312</v>
      </c>
      <c r="G40">
        <f t="shared" si="2"/>
        <v>15.669185540069687</v>
      </c>
      <c r="H40">
        <f t="shared" si="3"/>
        <v>2.8122718374816082E-2</v>
      </c>
      <c r="I40">
        <v>0.05</v>
      </c>
      <c r="J40">
        <v>2.17</v>
      </c>
      <c r="L40" t="s">
        <v>452</v>
      </c>
    </row>
    <row r="41" spans="1:12">
      <c r="A41" t="s">
        <v>453</v>
      </c>
      <c r="F41">
        <f xml:space="preserve"> 8.35 + (63.1/238.7)* (18.3-8.35)</f>
        <v>10.980268118977797</v>
      </c>
      <c r="G41">
        <f t="shared" si="2"/>
        <v>20.219731881022202</v>
      </c>
      <c r="H41">
        <f t="shared" si="3"/>
        <v>3.4200493652346668E-2</v>
      </c>
      <c r="I41">
        <v>0.05</v>
      </c>
      <c r="J41">
        <v>2.17</v>
      </c>
    </row>
    <row r="42" spans="1:12">
      <c r="A42" t="s">
        <v>454</v>
      </c>
      <c r="F42">
        <f xml:space="preserve"> 8.35 + (242.1/262)* (18.3-8.35)</f>
        <v>17.54425572519084</v>
      </c>
      <c r="G42">
        <f t="shared" si="2"/>
        <v>13.655744274809159</v>
      </c>
      <c r="H42">
        <f t="shared" si="3"/>
        <v>5.109499119861137E-2</v>
      </c>
      <c r="I42">
        <v>0.1</v>
      </c>
      <c r="J42" s="17">
        <v>4.34</v>
      </c>
    </row>
    <row r="43" spans="1:12">
      <c r="A43" t="s">
        <v>455</v>
      </c>
      <c r="F43">
        <v>18.3</v>
      </c>
      <c r="G43">
        <f t="shared" si="2"/>
        <v>12.899999999999999</v>
      </c>
      <c r="H43">
        <f t="shared" si="3"/>
        <v>4.9208827681519053E-2</v>
      </c>
      <c r="I43">
        <v>0.1</v>
      </c>
      <c r="J43" s="17">
        <v>4.34</v>
      </c>
    </row>
    <row r="44" spans="1:12">
      <c r="A44" t="s">
        <v>456</v>
      </c>
      <c r="F44">
        <f xml:space="preserve"> 18.3 + (114.6/278)* (31.5-18.3)</f>
        <v>23.741438848920865</v>
      </c>
      <c r="G44">
        <f t="shared" si="2"/>
        <v>7.4585611510791345</v>
      </c>
      <c r="H44">
        <f t="shared" si="3"/>
        <v>5.500530464216144E-2</v>
      </c>
      <c r="I44">
        <v>0.15</v>
      </c>
      <c r="J44">
        <v>6.51</v>
      </c>
    </row>
    <row r="45" spans="1:12">
      <c r="A45" t="s">
        <v>457</v>
      </c>
      <c r="F45">
        <f xml:space="preserve"> 18.3 + (84.1/275.1)* (31.5-18.3)</f>
        <v>22.335332606324972</v>
      </c>
      <c r="G45">
        <f t="shared" si="2"/>
        <v>8.8646673936750275</v>
      </c>
      <c r="H45">
        <f t="shared" si="3"/>
        <v>5.9553487713183681E-2</v>
      </c>
      <c r="I45">
        <v>0.15</v>
      </c>
      <c r="J45">
        <v>6.51</v>
      </c>
    </row>
    <row r="46" spans="1:12">
      <c r="A46" t="s">
        <v>460</v>
      </c>
      <c r="C46">
        <v>15</v>
      </c>
      <c r="D46">
        <v>115.6</v>
      </c>
      <c r="E46">
        <v>75.5</v>
      </c>
      <c r="F46">
        <f xml:space="preserve"> (E46/D46*5)+C46</f>
        <v>18.265570934256054</v>
      </c>
      <c r="G46">
        <f t="shared" si="2"/>
        <v>12.934429065743945</v>
      </c>
      <c r="H46">
        <f t="shared" si="3"/>
        <v>7.394120467085763E-2</v>
      </c>
      <c r="I46">
        <v>0.15</v>
      </c>
      <c r="J46">
        <v>6.51</v>
      </c>
      <c r="K46" s="1"/>
    </row>
    <row r="47" spans="1:12">
      <c r="A47" t="s">
        <v>464</v>
      </c>
      <c r="F47">
        <v>31.5</v>
      </c>
      <c r="H47" t="s">
        <v>465</v>
      </c>
      <c r="I47">
        <v>0.1</v>
      </c>
      <c r="J47" s="17">
        <v>4.34</v>
      </c>
      <c r="L47" t="s">
        <v>466</v>
      </c>
    </row>
    <row r="48" spans="1:12">
      <c r="A48" t="s">
        <v>472</v>
      </c>
      <c r="F48">
        <v>31.5</v>
      </c>
      <c r="H48" t="s">
        <v>465</v>
      </c>
      <c r="I48">
        <v>0.05</v>
      </c>
      <c r="J48">
        <v>2.17</v>
      </c>
      <c r="L48" t="s">
        <v>473</v>
      </c>
    </row>
    <row r="49" spans="1:12">
      <c r="A49" t="s">
        <v>474</v>
      </c>
      <c r="C49">
        <v>15</v>
      </c>
      <c r="D49">
        <v>108.6</v>
      </c>
      <c r="E49">
        <v>26.8</v>
      </c>
      <c r="F49">
        <f xml:space="preserve"> (E49/D49*5)+C49</f>
        <v>16.233885819521177</v>
      </c>
      <c r="G49">
        <f>$Q$7-F49</f>
        <v>14.966114180478822</v>
      </c>
      <c r="H49">
        <f xml:space="preserve"> $J49 / (2*DEGREES(ATAN(0.5*$R$7 / $G49)))</f>
        <v>5.4427826243110322E-2</v>
      </c>
      <c r="I49">
        <v>0.1</v>
      </c>
      <c r="J49" s="17">
        <v>4.34</v>
      </c>
      <c r="L49" t="s">
        <v>475</v>
      </c>
    </row>
    <row r="50" spans="1:12">
      <c r="A50" t="s">
        <v>490</v>
      </c>
      <c r="F50">
        <v>25</v>
      </c>
      <c r="G50">
        <f>$Q$7-F50</f>
        <v>6.1999999999999993</v>
      </c>
      <c r="H50">
        <f xml:space="preserve"> $J50 / (2*DEGREES(ATAN(0.5*$R$7 / $G50)))</f>
        <v>1.7054763794037576E-2</v>
      </c>
      <c r="I50">
        <v>0.05</v>
      </c>
      <c r="J50">
        <v>2.17</v>
      </c>
      <c r="L50" t="s">
        <v>477</v>
      </c>
    </row>
    <row r="51" spans="1:12">
      <c r="A51" t="s">
        <v>489</v>
      </c>
      <c r="C51">
        <v>15</v>
      </c>
      <c r="D51">
        <v>115.1</v>
      </c>
      <c r="E51">
        <v>38.6</v>
      </c>
      <c r="F51">
        <f xml:space="preserve"> (E51/D51*5)+C51</f>
        <v>16.676802780191139</v>
      </c>
      <c r="G51">
        <f>$Q$7-F51</f>
        <v>14.523197219808861</v>
      </c>
      <c r="H51">
        <f xml:space="preserve"> $J51 / (2*DEGREES(ATAN(0.5*$R$7 / $G51)))</f>
        <v>7.9939455555224637E-2</v>
      </c>
      <c r="I51">
        <v>0.15</v>
      </c>
      <c r="J51">
        <v>6.51</v>
      </c>
      <c r="L51" t="s">
        <v>488</v>
      </c>
    </row>
    <row r="52" spans="1:12">
      <c r="A52" t="s">
        <v>513</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514</v>
      </c>
    </row>
    <row r="53" spans="1:12">
      <c r="A53" t="s">
        <v>517</v>
      </c>
      <c r="L53" t="s">
        <v>518</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c r="A1" s="1" t="s">
        <v>0</v>
      </c>
      <c r="B1" s="1" t="s">
        <v>31</v>
      </c>
      <c r="C1" t="s">
        <v>2</v>
      </c>
      <c r="D1" s="1" t="s">
        <v>276</v>
      </c>
      <c r="E1" s="1" t="s">
        <v>331</v>
      </c>
      <c r="F1" s="1" t="s">
        <v>772</v>
      </c>
      <c r="G1" s="1" t="s">
        <v>771</v>
      </c>
      <c r="H1" s="1" t="s">
        <v>773</v>
      </c>
      <c r="I1" s="1" t="s">
        <v>774</v>
      </c>
      <c r="J1" s="1" t="s">
        <v>337</v>
      </c>
      <c r="K1" s="1" t="s">
        <v>768</v>
      </c>
      <c r="L1" s="1" t="s">
        <v>215</v>
      </c>
      <c r="M1" s="1" t="s">
        <v>775</v>
      </c>
      <c r="N1" s="32" t="s">
        <v>769</v>
      </c>
      <c r="O1" s="32" t="s">
        <v>15</v>
      </c>
    </row>
    <row r="2" spans="1:15">
      <c r="A2" s="1">
        <v>2</v>
      </c>
      <c r="B2" s="1"/>
      <c r="C2" t="str">
        <f>_xlfn.TEXTSPLIT($D2, "_")</f>
        <v>C0080</v>
      </c>
      <c r="D2" s="1" t="s">
        <v>305</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c r="A3" s="1">
        <v>2</v>
      </c>
      <c r="B3" s="1"/>
      <c r="C3" t="str">
        <f t="shared" ref="C3:C26" si="3">_xlfn.TEXTSPLIT($D3, "_")</f>
        <v>C0126</v>
      </c>
      <c r="D3" s="1" t="s">
        <v>315</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c r="A4" s="1">
        <v>2</v>
      </c>
      <c r="B4" s="1"/>
      <c r="C4" t="str">
        <f t="shared" si="3"/>
        <v>C0085</v>
      </c>
      <c r="D4" s="1" t="s">
        <v>316</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c r="A5" s="1">
        <v>2</v>
      </c>
      <c r="B5" s="1"/>
      <c r="C5" t="str">
        <f t="shared" si="3"/>
        <v>C0085</v>
      </c>
      <c r="D5" s="1" t="s">
        <v>317</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c r="A6" s="1">
        <v>2</v>
      </c>
      <c r="B6" s="1"/>
      <c r="C6" t="str">
        <f t="shared" si="3"/>
        <v>C0074</v>
      </c>
      <c r="D6" s="1" t="s">
        <v>404</v>
      </c>
      <c r="E6" s="1"/>
      <c r="F6" s="1">
        <v>200</v>
      </c>
      <c r="G6" s="1">
        <v>103.3</v>
      </c>
      <c r="H6" s="1">
        <v>21.9</v>
      </c>
      <c r="I6" s="1">
        <f t="shared" si="0"/>
        <v>201.06001936108422</v>
      </c>
      <c r="J6" s="1">
        <f t="shared" si="4"/>
        <v>110.93998063891578</v>
      </c>
      <c r="K6" s="1">
        <f t="shared" si="1"/>
        <v>57.59</v>
      </c>
      <c r="L6" s="1">
        <v>0.1</v>
      </c>
      <c r="M6" s="1">
        <f t="shared" si="2"/>
        <v>3.4363508907516056E-2</v>
      </c>
      <c r="N6" s="32" t="s">
        <v>341</v>
      </c>
      <c r="O6" s="32"/>
    </row>
    <row r="7" spans="1:15">
      <c r="A7" s="1">
        <v>2</v>
      </c>
      <c r="B7" s="1"/>
      <c r="C7" t="str">
        <f t="shared" si="3"/>
        <v>C0073</v>
      </c>
      <c r="D7" s="1" t="s">
        <v>407</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c r="A8" s="1">
        <v>2</v>
      </c>
      <c r="B8" s="1"/>
      <c r="C8" t="str">
        <f t="shared" si="3"/>
        <v>C0069</v>
      </c>
      <c r="D8" s="1" t="s">
        <v>446</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c r="A9" s="1">
        <v>2</v>
      </c>
      <c r="B9" s="4">
        <v>45377</v>
      </c>
      <c r="C9" t="str">
        <f t="shared" si="3"/>
        <v>C0077</v>
      </c>
      <c r="D9" s="1" t="s">
        <v>343</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c r="A10" s="1">
        <v>2</v>
      </c>
      <c r="B10" s="4">
        <v>45383</v>
      </c>
      <c r="C10" t="str">
        <f t="shared" si="3"/>
        <v>C0086</v>
      </c>
      <c r="D10" s="1" t="s">
        <v>344</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c r="A11" s="1">
        <v>2</v>
      </c>
      <c r="B11" s="1"/>
      <c r="C11" t="str">
        <f t="shared" si="3"/>
        <v>C0058</v>
      </c>
      <c r="D11" s="1" t="s">
        <v>423</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c r="A12" s="1">
        <v>2</v>
      </c>
      <c r="B12" s="1"/>
      <c r="C12" t="str">
        <f t="shared" si="3"/>
        <v>C0053</v>
      </c>
      <c r="D12" s="1" t="s">
        <v>449</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c r="A13" s="1">
        <v>2</v>
      </c>
      <c r="C13" t="str">
        <f t="shared" si="3"/>
        <v>C0048</v>
      </c>
      <c r="D13" s="1" t="s">
        <v>413</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c r="A14" s="1">
        <v>2</v>
      </c>
      <c r="C14" t="str">
        <f t="shared" si="3"/>
        <v>C0046</v>
      </c>
      <c r="D14" s="1" t="s">
        <v>412</v>
      </c>
      <c r="E14" s="1"/>
      <c r="I14">
        <v>18.3</v>
      </c>
      <c r="J14" s="1">
        <f t="shared" si="4"/>
        <v>293.7</v>
      </c>
      <c r="K14" s="1">
        <f t="shared" si="1"/>
        <v>115.17</v>
      </c>
      <c r="L14" s="1">
        <v>0.05</v>
      </c>
      <c r="M14" s="1">
        <f t="shared" si="2"/>
        <v>4.5073001563095454E-2</v>
      </c>
    </row>
    <row r="15" spans="1:15">
      <c r="A15" s="1">
        <v>2</v>
      </c>
      <c r="C15" t="str">
        <f t="shared" si="3"/>
        <v>C0041</v>
      </c>
      <c r="D15" s="1" t="s">
        <v>411</v>
      </c>
      <c r="E15" s="1"/>
      <c r="I15">
        <f xml:space="preserve"> 8.35 * ( 125.4 / 225.1 )</f>
        <v>4.6516659262549984</v>
      </c>
      <c r="J15" s="1">
        <f t="shared" si="4"/>
        <v>307.34833407374498</v>
      </c>
      <c r="K15" s="1">
        <f t="shared" si="1"/>
        <v>115.17</v>
      </c>
      <c r="L15" s="1">
        <v>0.05</v>
      </c>
      <c r="M15" s="1">
        <f t="shared" si="2"/>
        <v>4.7116716027333458E-2</v>
      </c>
    </row>
    <row r="16" spans="1:15">
      <c r="A16" s="1">
        <v>2</v>
      </c>
      <c r="C16" t="str">
        <f t="shared" si="3"/>
        <v>C0042</v>
      </c>
      <c r="D16" t="s">
        <v>414</v>
      </c>
      <c r="I16">
        <f>18.3+  (31.5-18.3)*(83.2 / 275.5)</f>
        <v>22.286352087114338</v>
      </c>
      <c r="J16" s="1">
        <f t="shared" si="4"/>
        <v>289.71364791288568</v>
      </c>
      <c r="K16" s="1">
        <f t="shared" si="1"/>
        <v>57.59</v>
      </c>
      <c r="L16" s="1">
        <v>0.1</v>
      </c>
      <c r="M16" s="1">
        <f t="shared" si="2"/>
        <v>8.8089315496625159E-2</v>
      </c>
      <c r="O16" s="33" t="s">
        <v>415</v>
      </c>
    </row>
    <row r="17" spans="1:23">
      <c r="A17" s="1">
        <v>2</v>
      </c>
      <c r="C17" t="str">
        <f t="shared" si="3"/>
        <v>C0037</v>
      </c>
      <c r="D17" t="s">
        <v>416</v>
      </c>
      <c r="I17">
        <f>8.35 +  (9.95)*(46.5 / 238.4)</f>
        <v>10.290750838926174</v>
      </c>
      <c r="J17" s="1">
        <f t="shared" si="4"/>
        <v>301.70924916107384</v>
      </c>
      <c r="K17" s="1">
        <f t="shared" si="1"/>
        <v>38.39</v>
      </c>
      <c r="L17" s="1">
        <v>0.15</v>
      </c>
      <c r="M17" s="1">
        <f t="shared" si="2"/>
        <v>0.13735131013781826</v>
      </c>
    </row>
    <row r="18" spans="1:23">
      <c r="A18" s="1">
        <v>2</v>
      </c>
      <c r="C18" t="str">
        <f t="shared" si="3"/>
        <v>C0033</v>
      </c>
      <c r="D18" t="s">
        <v>417</v>
      </c>
      <c r="I18">
        <f>18.3+  (31.5-18.3)*(40.3 / 240)</f>
        <v>20.516500000000001</v>
      </c>
      <c r="J18" s="1">
        <f t="shared" si="4"/>
        <v>291.48349999999999</v>
      </c>
      <c r="K18" s="1">
        <f t="shared" si="1"/>
        <v>115.17</v>
      </c>
      <c r="L18" s="1">
        <v>0.05</v>
      </c>
      <c r="M18" s="1">
        <f t="shared" si="2"/>
        <v>4.4741311817743969E-2</v>
      </c>
      <c r="O18" s="33" t="s">
        <v>418</v>
      </c>
    </row>
    <row r="19" spans="1:23">
      <c r="A19" s="1">
        <v>2</v>
      </c>
      <c r="C19" t="str">
        <f t="shared" si="3"/>
        <v>C0094</v>
      </c>
      <c r="D19" t="s">
        <v>481</v>
      </c>
      <c r="I19">
        <v>15.1</v>
      </c>
      <c r="J19" s="1">
        <f t="shared" si="4"/>
        <v>296.89999999999998</v>
      </c>
      <c r="K19" s="1">
        <f t="shared" si="1"/>
        <v>115.17</v>
      </c>
      <c r="L19" s="15">
        <v>0.05</v>
      </c>
      <c r="M19" s="1">
        <f t="shared" si="2"/>
        <v>4.5551975431436666E-2</v>
      </c>
    </row>
    <row r="20" spans="1:23">
      <c r="A20" s="1">
        <v>2</v>
      </c>
      <c r="C20" t="str">
        <f t="shared" si="3"/>
        <v>C0096</v>
      </c>
      <c r="D20" t="s">
        <v>494</v>
      </c>
      <c r="F20">
        <v>100</v>
      </c>
      <c r="G20">
        <v>120.4</v>
      </c>
      <c r="H20">
        <v>88.3</v>
      </c>
      <c r="I20" s="1">
        <f xml:space="preserve"> (H20 / G20)*5 +F20</f>
        <v>103.66694352159469</v>
      </c>
      <c r="J20" s="1">
        <f t="shared" si="4"/>
        <v>208.3330564784053</v>
      </c>
      <c r="K20" s="1">
        <f t="shared" si="1"/>
        <v>19.2</v>
      </c>
      <c r="L20" s="1">
        <v>0.3</v>
      </c>
      <c r="M20" s="1">
        <f t="shared" si="2"/>
        <v>0.1895140581655243</v>
      </c>
    </row>
    <row r="21" spans="1:23">
      <c r="A21" s="1">
        <v>2</v>
      </c>
      <c r="C21" t="str">
        <f t="shared" si="3"/>
        <v>C0092</v>
      </c>
      <c r="D21" t="s">
        <v>325</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c r="A22" s="1">
        <v>2</v>
      </c>
      <c r="C22" t="str">
        <f t="shared" si="3"/>
        <v>C0097</v>
      </c>
      <c r="D22" t="s">
        <v>506</v>
      </c>
      <c r="I22">
        <v>15</v>
      </c>
      <c r="J22" s="1">
        <f t="shared" si="4"/>
        <v>297</v>
      </c>
      <c r="K22" s="1">
        <f t="shared" si="1"/>
        <v>19.2</v>
      </c>
      <c r="L22" s="1">
        <v>0.3</v>
      </c>
      <c r="M22" s="1">
        <f t="shared" si="2"/>
        <v>0.27007461695743307</v>
      </c>
    </row>
    <row r="23" spans="1:23">
      <c r="A23" s="1">
        <v>2</v>
      </c>
      <c r="C23" t="str">
        <f t="shared" si="3"/>
        <v>C0098</v>
      </c>
      <c r="D23" t="s">
        <v>507</v>
      </c>
      <c r="I23">
        <v>15</v>
      </c>
      <c r="J23" s="1">
        <f t="shared" si="4"/>
        <v>297</v>
      </c>
      <c r="K23" s="1">
        <f t="shared" si="1"/>
        <v>19.2</v>
      </c>
      <c r="L23" s="1">
        <v>0.3</v>
      </c>
      <c r="M23" s="1">
        <f t="shared" si="2"/>
        <v>0.27007461695743307</v>
      </c>
    </row>
    <row r="24" spans="1:23">
      <c r="A24" s="1">
        <v>2</v>
      </c>
      <c r="C24" t="str">
        <f t="shared" si="3"/>
        <v>C0101</v>
      </c>
      <c r="D24" t="s">
        <v>508</v>
      </c>
      <c r="F24">
        <v>50</v>
      </c>
      <c r="G24">
        <v>118.3</v>
      </c>
      <c r="H24">
        <v>82.5</v>
      </c>
      <c r="I24" s="1">
        <f xml:space="preserve"> (H24 / G24)*5 +F24</f>
        <v>53.486897717666949</v>
      </c>
      <c r="J24" s="1">
        <f t="shared" si="4"/>
        <v>258.51310228233308</v>
      </c>
      <c r="K24" s="1">
        <f t="shared" si="1"/>
        <v>38.39</v>
      </c>
      <c r="L24" s="1">
        <v>0.15</v>
      </c>
      <c r="M24" s="1">
        <f t="shared" si="2"/>
        <v>0.1177437993541843</v>
      </c>
    </row>
    <row r="25" spans="1:23">
      <c r="A25" s="1">
        <v>2</v>
      </c>
      <c r="C25" t="str">
        <f t="shared" si="3"/>
        <v>C0103</v>
      </c>
      <c r="D25" t="s">
        <v>509</v>
      </c>
      <c r="I25">
        <v>16</v>
      </c>
      <c r="J25" s="1">
        <f t="shared" si="4"/>
        <v>296</v>
      </c>
      <c r="K25" s="1">
        <f t="shared" si="1"/>
        <v>19.2</v>
      </c>
      <c r="L25" s="1">
        <v>0.3</v>
      </c>
      <c r="M25" s="1">
        <f t="shared" si="2"/>
        <v>0.26916590868943718</v>
      </c>
    </row>
    <row r="26" spans="1:23">
      <c r="A26" s="1">
        <v>2</v>
      </c>
      <c r="B26" s="1"/>
      <c r="C26" t="str">
        <f t="shared" si="3"/>
        <v>C0056</v>
      </c>
      <c r="D26" s="1" t="s">
        <v>447</v>
      </c>
      <c r="E26" s="1"/>
      <c r="F26" s="1"/>
      <c r="G26" s="1"/>
      <c r="H26" s="1"/>
      <c r="I26" s="1">
        <v>2.5</v>
      </c>
      <c r="J26" s="1">
        <f xml:space="preserve"> 312 - I26</f>
        <v>309.5</v>
      </c>
      <c r="K26" s="1">
        <f t="shared" si="1"/>
        <v>115.17</v>
      </c>
      <c r="L26" s="1">
        <v>0.05</v>
      </c>
      <c r="M26" s="1">
        <f t="shared" si="2"/>
        <v>4.7439101129823226E-2</v>
      </c>
      <c r="O26" s="32"/>
    </row>
    <row r="30" spans="1:23">
      <c r="P30" s="1" t="s">
        <v>334</v>
      </c>
      <c r="Q30" s="1" t="s">
        <v>770</v>
      </c>
      <c r="R30" s="1" t="s">
        <v>336</v>
      </c>
      <c r="S30" s="1" t="s">
        <v>767</v>
      </c>
      <c r="T30" s="1" t="s">
        <v>327</v>
      </c>
      <c r="U30" s="1" t="s">
        <v>328</v>
      </c>
      <c r="V30" s="1" t="s">
        <v>408</v>
      </c>
      <c r="W30" s="1" t="s">
        <v>335</v>
      </c>
    </row>
    <row r="31" spans="1:23">
      <c r="P31" s="1">
        <v>0.05</v>
      </c>
      <c r="Q31" s="1">
        <v>115.17</v>
      </c>
      <c r="R31" s="1">
        <v>2.1707000000000001</v>
      </c>
      <c r="S31" s="1">
        <v>312</v>
      </c>
      <c r="T31" s="1">
        <v>25</v>
      </c>
      <c r="U31" s="1">
        <v>315</v>
      </c>
      <c r="V31" s="1">
        <v>18</v>
      </c>
      <c r="W31" s="1" t="s">
        <v>339</v>
      </c>
    </row>
    <row r="32" spans="1:23">
      <c r="P32" s="1">
        <v>0.1</v>
      </c>
      <c r="Q32" s="1">
        <v>57.59</v>
      </c>
      <c r="R32" s="1">
        <v>4.3413899999999996</v>
      </c>
      <c r="S32" s="1"/>
      <c r="T32" s="1"/>
      <c r="U32" s="1"/>
      <c r="V32" s="1"/>
      <c r="W32" s="1"/>
    </row>
    <row r="33" spans="16:23">
      <c r="P33" s="1">
        <v>0.15</v>
      </c>
      <c r="Q33" s="1">
        <v>38.39</v>
      </c>
      <c r="R33" s="1">
        <v>6.5120899999999997</v>
      </c>
      <c r="S33" s="1"/>
      <c r="T33" s="1"/>
      <c r="U33" s="1"/>
      <c r="V33" s="1"/>
      <c r="W33" s="1"/>
    </row>
    <row r="34" spans="16:23">
      <c r="P34" s="1">
        <v>0.2</v>
      </c>
      <c r="Q34" s="1">
        <v>28.79</v>
      </c>
      <c r="R34" s="1">
        <v>8.6827900000000007</v>
      </c>
      <c r="S34" s="1"/>
      <c r="T34" s="1"/>
      <c r="U34" s="1"/>
      <c r="V34" s="1"/>
      <c r="W34" s="1"/>
    </row>
    <row r="35" spans="16:23">
      <c r="P35" s="1">
        <v>0.25</v>
      </c>
      <c r="Q35" s="1">
        <v>23.03</v>
      </c>
    </row>
    <row r="36" spans="16:23">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c r="A1" s="1" t="s">
        <v>64</v>
      </c>
      <c r="B1" s="1" t="s">
        <v>1</v>
      </c>
      <c r="C1" s="1" t="s">
        <v>10</v>
      </c>
      <c r="D1" s="1" t="s">
        <v>260</v>
      </c>
      <c r="E1" s="1" t="s">
        <v>31</v>
      </c>
      <c r="F1" s="1" t="s">
        <v>5</v>
      </c>
      <c r="G1" s="1" t="s">
        <v>3</v>
      </c>
      <c r="H1" s="1" t="s">
        <v>405</v>
      </c>
      <c r="I1" s="1" t="s">
        <v>369</v>
      </c>
      <c r="J1" s="1" t="s">
        <v>431</v>
      </c>
      <c r="K1" s="1" t="s">
        <v>259</v>
      </c>
      <c r="L1" s="1" t="s">
        <v>6</v>
      </c>
      <c r="M1" s="1" t="s">
        <v>65</v>
      </c>
      <c r="N1" s="1" t="s">
        <v>155</v>
      </c>
      <c r="O1" s="1" t="s">
        <v>330</v>
      </c>
      <c r="P1" s="1" t="s">
        <v>15</v>
      </c>
      <c r="S1" s="1" t="s">
        <v>93</v>
      </c>
    </row>
    <row r="2" spans="1:19">
      <c r="A2" s="1">
        <v>2</v>
      </c>
      <c r="B2" s="1">
        <v>2.6</v>
      </c>
      <c r="C2" s="1">
        <v>1</v>
      </c>
      <c r="D2" s="1" t="s">
        <v>40</v>
      </c>
      <c r="E2" s="4">
        <v>45352</v>
      </c>
      <c r="F2" s="3">
        <v>0.78471064814814817</v>
      </c>
      <c r="G2" s="1">
        <v>1.7569999999999999E-2</v>
      </c>
      <c r="K2" s="1" t="s">
        <v>74</v>
      </c>
      <c r="L2" s="3">
        <v>0.75744212962962953</v>
      </c>
      <c r="M2" s="3">
        <f>F2 - L2</f>
        <v>2.7268518518518636E-2</v>
      </c>
    </row>
    <row r="3" spans="1:19">
      <c r="A3" s="1">
        <v>2</v>
      </c>
      <c r="B3" s="1">
        <v>2.6</v>
      </c>
      <c r="C3" s="1">
        <v>1</v>
      </c>
      <c r="D3" s="1" t="s">
        <v>21</v>
      </c>
      <c r="E3" s="4">
        <v>45352</v>
      </c>
      <c r="F3" s="3" t="s">
        <v>21</v>
      </c>
      <c r="G3" s="1" t="s">
        <v>21</v>
      </c>
      <c r="K3" s="1" t="s">
        <v>66</v>
      </c>
      <c r="L3" s="3">
        <v>0.22700231481481481</v>
      </c>
      <c r="M3" s="3"/>
    </row>
    <row r="4" spans="1:19">
      <c r="A4" s="1">
        <v>2</v>
      </c>
      <c r="B4" s="1">
        <v>2.6</v>
      </c>
      <c r="C4" s="1">
        <v>1</v>
      </c>
      <c r="D4" s="1" t="s">
        <v>105</v>
      </c>
      <c r="E4" s="4">
        <v>45353</v>
      </c>
      <c r="F4" s="1" t="s">
        <v>21</v>
      </c>
      <c r="G4" s="1" t="s">
        <v>21</v>
      </c>
      <c r="K4" s="4" t="s">
        <v>73</v>
      </c>
      <c r="L4" s="3">
        <v>0.22784722222222223</v>
      </c>
      <c r="M4" s="1" t="s">
        <v>21</v>
      </c>
      <c r="N4" s="1" t="s">
        <v>21</v>
      </c>
      <c r="P4" s="1" t="s">
        <v>72</v>
      </c>
    </row>
    <row r="5" spans="1:19">
      <c r="A5" s="1">
        <v>2</v>
      </c>
      <c r="B5" s="1">
        <v>2.6</v>
      </c>
      <c r="C5" s="1">
        <v>1</v>
      </c>
      <c r="D5" s="1" t="s">
        <v>56</v>
      </c>
      <c r="E5" s="4">
        <v>45353</v>
      </c>
      <c r="F5" s="1" t="s">
        <v>21</v>
      </c>
      <c r="G5" s="1" t="s">
        <v>21</v>
      </c>
      <c r="K5" s="1" t="s">
        <v>80</v>
      </c>
      <c r="L5" s="3">
        <v>0.76015046296296296</v>
      </c>
      <c r="M5" s="1" t="s">
        <v>21</v>
      </c>
      <c r="P5" s="1" t="s">
        <v>361</v>
      </c>
    </row>
    <row r="6" spans="1:19">
      <c r="A6" s="1">
        <v>2</v>
      </c>
      <c r="B6" s="1">
        <v>2.6</v>
      </c>
      <c r="C6" s="1">
        <v>1</v>
      </c>
      <c r="D6" s="1" t="s">
        <v>58</v>
      </c>
      <c r="E6" s="4">
        <v>45354</v>
      </c>
      <c r="F6" s="1" t="s">
        <v>21</v>
      </c>
      <c r="G6" s="1" t="s">
        <v>21</v>
      </c>
      <c r="K6" s="1" t="s">
        <v>81</v>
      </c>
      <c r="L6" s="3">
        <v>0.23024305555555555</v>
      </c>
      <c r="M6" s="1" t="s">
        <v>21</v>
      </c>
      <c r="N6" s="1" t="s">
        <v>21</v>
      </c>
      <c r="P6" s="1" t="s">
        <v>364</v>
      </c>
    </row>
    <row r="7" spans="1:19">
      <c r="A7" s="1">
        <v>2</v>
      </c>
      <c r="B7" s="1">
        <v>2.6</v>
      </c>
      <c r="C7" s="1">
        <v>1</v>
      </c>
      <c r="D7" s="1" t="s">
        <v>21</v>
      </c>
      <c r="E7" s="4">
        <v>45354</v>
      </c>
      <c r="F7" s="1" t="s">
        <v>21</v>
      </c>
      <c r="G7" s="1" t="s">
        <v>21</v>
      </c>
      <c r="K7" s="1" t="s">
        <v>85</v>
      </c>
      <c r="L7" s="3">
        <v>0.7471875</v>
      </c>
      <c r="M7" s="1" t="s">
        <v>21</v>
      </c>
      <c r="P7" s="1" t="s">
        <v>363</v>
      </c>
    </row>
    <row r="8" spans="1:19">
      <c r="A8" s="1">
        <v>2</v>
      </c>
      <c r="B8" s="1">
        <v>2.6</v>
      </c>
      <c r="C8" s="1">
        <v>1</v>
      </c>
      <c r="D8" s="1" t="s">
        <v>71</v>
      </c>
      <c r="E8" s="4">
        <v>45355</v>
      </c>
      <c r="F8" s="3">
        <v>0.2673726851851852</v>
      </c>
      <c r="G8" s="1">
        <v>0.54100000000000004</v>
      </c>
      <c r="K8" s="1" t="s">
        <v>86</v>
      </c>
      <c r="L8" s="3">
        <v>0.23173611111111111</v>
      </c>
      <c r="M8" s="3">
        <f>F8 - L8</f>
        <v>3.5636574074074084E-2</v>
      </c>
    </row>
    <row r="9" spans="1:19">
      <c r="A9" s="1">
        <v>2</v>
      </c>
      <c r="B9" s="1">
        <v>2.6</v>
      </c>
      <c r="C9" s="1">
        <v>1</v>
      </c>
      <c r="D9" s="1" t="s">
        <v>76</v>
      </c>
      <c r="E9" s="4">
        <v>45355</v>
      </c>
      <c r="F9" s="3">
        <v>0.78221064814814811</v>
      </c>
      <c r="G9" s="1">
        <v>5.7799999999999997E-2</v>
      </c>
      <c r="K9" s="1" t="s">
        <v>90</v>
      </c>
      <c r="L9" s="3">
        <v>0.75074074074074071</v>
      </c>
      <c r="M9" s="3">
        <f>F9 - L9</f>
        <v>3.1469907407407405E-2</v>
      </c>
    </row>
    <row r="10" spans="1:19">
      <c r="A10" s="1">
        <v>2</v>
      </c>
      <c r="B10" s="1">
        <v>2.6</v>
      </c>
      <c r="C10" s="1">
        <v>1</v>
      </c>
      <c r="D10" s="1" t="s">
        <v>87</v>
      </c>
      <c r="E10" s="4">
        <v>45356</v>
      </c>
      <c r="F10" s="3">
        <v>0.27211805555555557</v>
      </c>
      <c r="G10" s="1">
        <v>1.9450000000000001</v>
      </c>
      <c r="K10" s="1" t="s">
        <v>96</v>
      </c>
      <c r="L10" s="3">
        <v>0.23202546296296298</v>
      </c>
      <c r="M10" s="3">
        <f>F10 - L10</f>
        <v>4.0092592592592596E-2</v>
      </c>
    </row>
    <row r="11" spans="1:19">
      <c r="A11" s="1">
        <v>2</v>
      </c>
      <c r="B11" s="1">
        <v>2.6</v>
      </c>
      <c r="C11" s="1">
        <v>1</v>
      </c>
      <c r="D11" s="1" t="s">
        <v>103</v>
      </c>
      <c r="E11" s="4">
        <v>45356</v>
      </c>
      <c r="F11" s="3">
        <v>0.77976851851851858</v>
      </c>
      <c r="G11" s="1">
        <v>0.15620000000000001</v>
      </c>
      <c r="K11" s="1" t="s">
        <v>102</v>
      </c>
      <c r="L11" s="3">
        <v>0.76247685185185177</v>
      </c>
      <c r="M11" s="3">
        <f>F11 - L11</f>
        <v>1.7291666666666816E-2</v>
      </c>
    </row>
    <row r="12" spans="1:19">
      <c r="A12" s="1">
        <v>2</v>
      </c>
      <c r="B12" s="1">
        <v>2.6</v>
      </c>
      <c r="C12" s="1">
        <v>1</v>
      </c>
      <c r="D12" s="1" t="s">
        <v>98</v>
      </c>
      <c r="E12" s="4">
        <v>45357</v>
      </c>
      <c r="F12" s="1" t="s">
        <v>21</v>
      </c>
      <c r="G12" s="1">
        <v>0.14530000000000001</v>
      </c>
      <c r="K12" s="1" t="s">
        <v>21</v>
      </c>
      <c r="L12" s="1" t="s">
        <v>21</v>
      </c>
      <c r="M12" s="1" t="s">
        <v>21</v>
      </c>
      <c r="P12" s="1" t="s">
        <v>101</v>
      </c>
    </row>
    <row r="13" spans="1:19">
      <c r="A13" s="1">
        <v>2</v>
      </c>
      <c r="B13" s="1">
        <v>2.6</v>
      </c>
      <c r="C13" s="1" t="s">
        <v>21</v>
      </c>
      <c r="D13" s="1" t="s">
        <v>110</v>
      </c>
      <c r="E13" s="4">
        <v>45357</v>
      </c>
      <c r="F13" s="1" t="s">
        <v>21</v>
      </c>
      <c r="G13" s="1" t="s">
        <v>21</v>
      </c>
      <c r="K13" s="1" t="s">
        <v>113</v>
      </c>
      <c r="L13" s="3">
        <v>0.74782407407407403</v>
      </c>
      <c r="M13" s="1" t="s">
        <v>21</v>
      </c>
      <c r="N13" s="1" t="s">
        <v>21</v>
      </c>
      <c r="P13" s="1" t="s">
        <v>79</v>
      </c>
    </row>
    <row r="14" spans="1:19">
      <c r="A14" s="1">
        <v>2</v>
      </c>
      <c r="B14" s="1">
        <v>2.6</v>
      </c>
      <c r="C14" s="1">
        <v>1</v>
      </c>
      <c r="D14" s="1" t="s">
        <v>83</v>
      </c>
      <c r="E14" s="4">
        <v>45358</v>
      </c>
      <c r="F14" s="3">
        <v>0.26952546296296298</v>
      </c>
      <c r="G14" s="1">
        <v>1.389</v>
      </c>
      <c r="K14" s="1" t="s">
        <v>112</v>
      </c>
      <c r="L14" s="3">
        <v>0.23011574074074073</v>
      </c>
      <c r="M14" s="3">
        <f t="shared" ref="M14:M34" si="0">F14 - L14</f>
        <v>3.9409722222222249E-2</v>
      </c>
    </row>
    <row r="15" spans="1:19">
      <c r="A15" s="1">
        <v>2</v>
      </c>
      <c r="B15" s="1">
        <v>2.6</v>
      </c>
      <c r="C15" s="1">
        <v>1</v>
      </c>
      <c r="D15" s="1" t="s">
        <v>94</v>
      </c>
      <c r="E15" s="4">
        <v>45358</v>
      </c>
      <c r="F15" s="3">
        <v>0.78515046296296309</v>
      </c>
      <c r="G15" s="1">
        <v>1.7930000000000001E-2</v>
      </c>
      <c r="K15" s="1" t="s">
        <v>120</v>
      </c>
      <c r="L15" s="3">
        <v>0.75884259259259268</v>
      </c>
      <c r="M15" s="3">
        <f t="shared" si="0"/>
        <v>2.6307870370370412E-2</v>
      </c>
    </row>
    <row r="16" spans="1:19">
      <c r="A16" s="1">
        <v>2</v>
      </c>
      <c r="B16" s="1">
        <v>2.6</v>
      </c>
      <c r="C16" s="1">
        <v>1</v>
      </c>
      <c r="D16" s="1" t="s">
        <v>97</v>
      </c>
      <c r="E16" s="4">
        <v>45359</v>
      </c>
      <c r="F16" s="3">
        <v>0.27240740740740743</v>
      </c>
      <c r="G16" s="1">
        <v>2.5299999999999998</v>
      </c>
      <c r="K16" s="1" t="s">
        <v>121</v>
      </c>
      <c r="L16" s="3">
        <v>0.23064814814814816</v>
      </c>
      <c r="M16" s="3">
        <f t="shared" si="0"/>
        <v>4.1759259259259274E-2</v>
      </c>
      <c r="P16" s="1" t="s">
        <v>122</v>
      </c>
    </row>
    <row r="17" spans="1:19">
      <c r="A17" s="1">
        <v>2</v>
      </c>
      <c r="B17" s="1">
        <v>2.6</v>
      </c>
      <c r="C17" s="1">
        <v>1</v>
      </c>
      <c r="D17" s="1" t="s">
        <v>108</v>
      </c>
      <c r="E17" s="4">
        <v>45359</v>
      </c>
      <c r="F17" s="3">
        <v>0.78239583333333329</v>
      </c>
      <c r="G17" s="1">
        <v>4.7600000000000003E-2</v>
      </c>
      <c r="K17" s="1" t="s">
        <v>171</v>
      </c>
      <c r="L17" s="3">
        <v>0.73781249999999998</v>
      </c>
      <c r="M17" s="3">
        <f t="shared" si="0"/>
        <v>4.4583333333333308E-2</v>
      </c>
      <c r="N17" s="1" t="s">
        <v>21</v>
      </c>
      <c r="P17" s="1" t="s">
        <v>172</v>
      </c>
    </row>
    <row r="18" spans="1:19">
      <c r="A18" s="1">
        <v>2</v>
      </c>
      <c r="B18" s="1">
        <v>2.6</v>
      </c>
      <c r="C18" s="1">
        <v>1</v>
      </c>
      <c r="D18" s="1" t="s">
        <v>107</v>
      </c>
      <c r="E18" s="4">
        <v>45362</v>
      </c>
      <c r="F18" s="3">
        <v>0.27355324074074072</v>
      </c>
      <c r="G18" s="1">
        <v>1.2969999999999999</v>
      </c>
      <c r="K18" s="1" t="s">
        <v>173</v>
      </c>
      <c r="L18" s="3">
        <v>0.22348379629629631</v>
      </c>
      <c r="M18" s="3">
        <f t="shared" si="0"/>
        <v>5.0069444444444416E-2</v>
      </c>
      <c r="N18" s="1" t="s">
        <v>21</v>
      </c>
      <c r="P18" s="1" t="s">
        <v>172</v>
      </c>
    </row>
    <row r="19" spans="1:19" s="7" customFormat="1">
      <c r="A19" s="1">
        <v>2</v>
      </c>
      <c r="B19" s="1">
        <v>2.6</v>
      </c>
      <c r="C19" s="1">
        <v>1</v>
      </c>
      <c r="D19" s="1" t="s">
        <v>126</v>
      </c>
      <c r="E19" s="4">
        <v>45362</v>
      </c>
      <c r="F19" s="3">
        <v>0.77763888888888888</v>
      </c>
      <c r="G19" s="1">
        <v>0.1764</v>
      </c>
      <c r="H19" s="1"/>
      <c r="I19" s="1"/>
      <c r="J19" s="1"/>
      <c r="K19" s="1" t="s">
        <v>157</v>
      </c>
      <c r="L19" s="3">
        <v>0.75906249999999997</v>
      </c>
      <c r="M19" s="3">
        <f t="shared" si="0"/>
        <v>1.8576388888888906E-2</v>
      </c>
      <c r="N19" s="3">
        <v>1.9502314814814816E-2</v>
      </c>
      <c r="O19" s="3"/>
      <c r="P19" s="1" t="s">
        <v>366</v>
      </c>
      <c r="Q19" s="1"/>
      <c r="R19" s="1"/>
      <c r="S19" s="1"/>
    </row>
    <row r="20" spans="1:19">
      <c r="A20" s="1">
        <v>2</v>
      </c>
      <c r="B20" s="1">
        <v>2.6</v>
      </c>
      <c r="C20" s="1">
        <v>1</v>
      </c>
      <c r="D20" s="1" t="s">
        <v>125</v>
      </c>
      <c r="E20" s="4">
        <v>45363</v>
      </c>
      <c r="F20" s="3">
        <v>0.26667824074074076</v>
      </c>
      <c r="G20" s="1">
        <v>0.64600000000000002</v>
      </c>
      <c r="K20" s="1" t="s">
        <v>154</v>
      </c>
      <c r="L20" s="3">
        <v>0.22644675925925925</v>
      </c>
      <c r="M20" s="3">
        <f t="shared" si="0"/>
        <v>4.0231481481481507E-2</v>
      </c>
      <c r="N20" s="3">
        <v>4.0254629629629626E-2</v>
      </c>
      <c r="O20" s="3"/>
    </row>
    <row r="21" spans="1:19">
      <c r="A21" s="1">
        <v>2</v>
      </c>
      <c r="B21" s="1">
        <v>2.6</v>
      </c>
      <c r="C21" s="1">
        <v>1</v>
      </c>
      <c r="D21" s="1" t="s">
        <v>115</v>
      </c>
      <c r="E21" s="4">
        <v>45363</v>
      </c>
      <c r="F21" s="3">
        <v>0.77273148148148152</v>
      </c>
      <c r="G21" s="1">
        <v>0.13969999999999999</v>
      </c>
      <c r="K21" s="1" t="s">
        <v>156</v>
      </c>
      <c r="L21" s="3">
        <v>0.75655092592592588</v>
      </c>
      <c r="M21" s="3">
        <f t="shared" si="0"/>
        <v>1.6180555555555642E-2</v>
      </c>
      <c r="N21" s="3">
        <v>1.6226851851851853E-2</v>
      </c>
      <c r="O21" s="3"/>
    </row>
    <row r="22" spans="1:19">
      <c r="A22" s="1">
        <v>2</v>
      </c>
      <c r="B22" s="1">
        <v>2.6</v>
      </c>
      <c r="C22" s="1">
        <v>1</v>
      </c>
      <c r="D22" s="1" t="s">
        <v>147</v>
      </c>
      <c r="E22" s="4">
        <v>45364</v>
      </c>
      <c r="F22" s="3">
        <v>0.26287037037037037</v>
      </c>
      <c r="G22" s="1">
        <v>0.25600000000000001</v>
      </c>
      <c r="K22" s="1" t="s">
        <v>174</v>
      </c>
      <c r="L22" s="3">
        <v>0.2348611111111111</v>
      </c>
      <c r="M22" s="3">
        <f t="shared" si="0"/>
        <v>2.8009259259259262E-2</v>
      </c>
      <c r="N22" s="1" t="s">
        <v>21</v>
      </c>
      <c r="P22" s="1" t="s">
        <v>175</v>
      </c>
    </row>
    <row r="23" spans="1:19">
      <c r="A23" s="1">
        <v>2</v>
      </c>
      <c r="B23" s="1">
        <v>2.6</v>
      </c>
      <c r="C23" s="1">
        <v>1</v>
      </c>
      <c r="D23" s="1" t="s">
        <v>139</v>
      </c>
      <c r="E23" s="4">
        <v>45364</v>
      </c>
      <c r="F23" s="3">
        <v>0.77724537037037034</v>
      </c>
      <c r="G23" s="1">
        <v>0.878</v>
      </c>
      <c r="K23" s="1" t="s">
        <v>176</v>
      </c>
      <c r="L23" s="3">
        <v>0.76083333333333336</v>
      </c>
      <c r="M23" s="3">
        <f t="shared" si="0"/>
        <v>1.6412037037036975E-2</v>
      </c>
      <c r="N23" s="3">
        <v>1.6331018518518519E-2</v>
      </c>
      <c r="O23" s="3"/>
    </row>
    <row r="24" spans="1:19">
      <c r="A24" s="1">
        <v>2</v>
      </c>
      <c r="B24" s="1">
        <v>2.6</v>
      </c>
      <c r="C24" s="1">
        <v>1</v>
      </c>
      <c r="D24" s="1" t="s">
        <v>132</v>
      </c>
      <c r="E24" s="4">
        <v>45365</v>
      </c>
      <c r="F24" s="3">
        <v>0.26702546296296298</v>
      </c>
      <c r="G24" s="1">
        <v>1.6419999999999999</v>
      </c>
      <c r="K24" s="1" t="s">
        <v>178</v>
      </c>
      <c r="L24" s="3">
        <v>0.23493055555555556</v>
      </c>
      <c r="M24" s="3">
        <f t="shared" si="0"/>
        <v>3.2094907407407419E-2</v>
      </c>
      <c r="N24" s="1" t="s">
        <v>21</v>
      </c>
      <c r="P24" s="1" t="s">
        <v>172</v>
      </c>
    </row>
    <row r="25" spans="1:19">
      <c r="A25" s="1">
        <v>2</v>
      </c>
      <c r="B25" s="1">
        <v>2.6</v>
      </c>
      <c r="C25" s="1">
        <v>1</v>
      </c>
      <c r="D25" s="1" t="s">
        <v>137</v>
      </c>
      <c r="E25" s="4">
        <v>45365</v>
      </c>
      <c r="F25" s="3">
        <v>0.78295138888888882</v>
      </c>
      <c r="G25" s="1">
        <v>1.8599999999999998E-2</v>
      </c>
      <c r="K25" s="1" t="s">
        <v>179</v>
      </c>
      <c r="L25" s="3">
        <v>0.75518518518518518</v>
      </c>
      <c r="M25" s="3">
        <f t="shared" si="0"/>
        <v>2.776620370370364E-2</v>
      </c>
      <c r="N25" s="3">
        <v>2.7662037037037037E-2</v>
      </c>
      <c r="O25" s="3"/>
    </row>
    <row r="26" spans="1:19">
      <c r="A26" s="1">
        <v>2</v>
      </c>
      <c r="B26" s="1">
        <v>2.6</v>
      </c>
      <c r="C26" s="1">
        <v>1</v>
      </c>
      <c r="D26" s="1" t="s">
        <v>131</v>
      </c>
      <c r="E26" s="4">
        <v>45366</v>
      </c>
      <c r="F26" s="3">
        <v>0.26596064814814813</v>
      </c>
      <c r="G26" s="1">
        <v>0.74199999999999999</v>
      </c>
      <c r="K26" s="1" t="s">
        <v>180</v>
      </c>
      <c r="L26" s="3">
        <v>0.23423611111111112</v>
      </c>
      <c r="M26" s="3">
        <f t="shared" si="0"/>
        <v>3.1724537037037009E-2</v>
      </c>
      <c r="N26" s="3">
        <v>3.1585648148148147E-2</v>
      </c>
      <c r="O26" s="3"/>
    </row>
    <row r="27" spans="1:19">
      <c r="A27" s="1">
        <v>2</v>
      </c>
      <c r="B27" s="1">
        <v>2.6</v>
      </c>
      <c r="C27" s="1">
        <v>1</v>
      </c>
      <c r="D27" s="1" t="s">
        <v>129</v>
      </c>
      <c r="E27" s="4">
        <v>45366</v>
      </c>
      <c r="F27" s="3">
        <v>0.78123842592592596</v>
      </c>
      <c r="G27" s="1">
        <v>3.56E-2</v>
      </c>
      <c r="K27" s="1" t="s">
        <v>181</v>
      </c>
      <c r="L27" s="3">
        <v>0.75768518518518524</v>
      </c>
      <c r="M27" s="3">
        <f t="shared" si="0"/>
        <v>2.3553240740740722E-2</v>
      </c>
      <c r="N27" s="3">
        <v>2.3506944444444445E-2</v>
      </c>
      <c r="O27" s="3"/>
    </row>
    <row r="28" spans="1:19">
      <c r="A28" s="1">
        <v>2</v>
      </c>
      <c r="B28" s="1">
        <v>2.6</v>
      </c>
      <c r="C28" s="1">
        <v>1</v>
      </c>
      <c r="D28" s="1" t="s">
        <v>147</v>
      </c>
      <c r="E28" s="4">
        <v>45367</v>
      </c>
      <c r="F28" s="3">
        <v>0.26401620370370371</v>
      </c>
      <c r="G28" s="1">
        <v>0.54100000000000004</v>
      </c>
      <c r="K28" s="1" t="s">
        <v>182</v>
      </c>
      <c r="L28" s="3">
        <v>0.2401851851851852</v>
      </c>
      <c r="M28" s="3">
        <f t="shared" si="0"/>
        <v>2.3831018518518515E-2</v>
      </c>
      <c r="N28" s="3">
        <v>2.3692129629629629E-2</v>
      </c>
      <c r="O28" s="3"/>
    </row>
    <row r="29" spans="1:19">
      <c r="A29" s="1">
        <v>2</v>
      </c>
      <c r="B29" s="1">
        <v>2.6</v>
      </c>
      <c r="C29" s="1">
        <v>1</v>
      </c>
      <c r="D29" s="1" t="s">
        <v>144</v>
      </c>
      <c r="E29" s="4">
        <v>45367</v>
      </c>
      <c r="F29" s="3">
        <v>0.78548611111111111</v>
      </c>
      <c r="G29" s="1">
        <v>7.1599999999999997E-3</v>
      </c>
      <c r="K29" s="1" t="s">
        <v>183</v>
      </c>
      <c r="L29" s="3">
        <v>0.75130787037037039</v>
      </c>
      <c r="M29" s="3">
        <f t="shared" si="0"/>
        <v>3.4178240740740717E-2</v>
      </c>
      <c r="N29" s="3">
        <v>3.4201388888888892E-2</v>
      </c>
      <c r="O29" s="3"/>
    </row>
    <row r="30" spans="1:19">
      <c r="A30" s="1">
        <v>2</v>
      </c>
      <c r="B30" s="1">
        <v>2.6</v>
      </c>
      <c r="C30" s="1">
        <v>1</v>
      </c>
      <c r="D30" s="1" t="s">
        <v>142</v>
      </c>
      <c r="E30" s="4">
        <v>45368</v>
      </c>
      <c r="F30" s="3">
        <v>0.2610763888888889</v>
      </c>
      <c r="G30" s="1">
        <v>0.373</v>
      </c>
      <c r="K30" s="1" t="s">
        <v>184</v>
      </c>
      <c r="L30" s="3">
        <v>0.23671296296296296</v>
      </c>
      <c r="M30" s="3">
        <f t="shared" si="0"/>
        <v>2.4363425925925941E-2</v>
      </c>
      <c r="N30" s="12">
        <v>2.5046296296296296E-2</v>
      </c>
      <c r="O30" s="12"/>
      <c r="P30" s="1" t="s">
        <v>172</v>
      </c>
    </row>
    <row r="31" spans="1:19">
      <c r="A31" s="1">
        <v>2</v>
      </c>
      <c r="B31" s="1">
        <v>2.6</v>
      </c>
      <c r="C31" s="1">
        <v>2</v>
      </c>
      <c r="D31" s="1" t="s">
        <v>142</v>
      </c>
      <c r="E31" s="4">
        <v>45368</v>
      </c>
      <c r="F31" s="3">
        <v>0.26609953703703704</v>
      </c>
      <c r="G31" s="1">
        <v>1.1180000000000001</v>
      </c>
      <c r="K31" s="1" t="s">
        <v>184</v>
      </c>
      <c r="L31" s="3">
        <v>0.23671296296296296</v>
      </c>
      <c r="M31" s="3">
        <f t="shared" si="0"/>
        <v>2.9386574074074079E-2</v>
      </c>
      <c r="P31" s="1" t="s">
        <v>172</v>
      </c>
    </row>
    <row r="32" spans="1:19">
      <c r="A32" s="1">
        <v>2</v>
      </c>
      <c r="B32" s="1">
        <v>2.6</v>
      </c>
      <c r="C32" s="1">
        <v>2</v>
      </c>
      <c r="D32" s="1" t="s">
        <v>148</v>
      </c>
      <c r="E32" s="4">
        <v>45368</v>
      </c>
      <c r="F32" s="3">
        <v>0.78359953703703711</v>
      </c>
      <c r="G32" s="1">
        <v>1.208E-2</v>
      </c>
      <c r="K32" s="1" t="s">
        <v>194</v>
      </c>
      <c r="L32" s="3">
        <v>0.75736111111111115</v>
      </c>
      <c r="M32" s="3">
        <f t="shared" si="0"/>
        <v>2.6238425925925957E-2</v>
      </c>
      <c r="N32" s="3">
        <v>2.5833333333333333E-2</v>
      </c>
      <c r="O32" s="3"/>
    </row>
    <row r="33" spans="1:16">
      <c r="A33" s="1">
        <v>2</v>
      </c>
      <c r="B33" s="1">
        <v>2.6</v>
      </c>
      <c r="C33" s="1">
        <v>1</v>
      </c>
      <c r="D33" s="1" t="s">
        <v>148</v>
      </c>
      <c r="E33" s="4">
        <v>45368</v>
      </c>
      <c r="F33" s="3">
        <v>0.77284722222222224</v>
      </c>
      <c r="G33" s="1">
        <v>0.57099999999999995</v>
      </c>
      <c r="K33" s="1" t="s">
        <v>194</v>
      </c>
      <c r="L33" s="3">
        <v>0.75736111111111115</v>
      </c>
      <c r="M33" s="3">
        <f t="shared" si="0"/>
        <v>1.5486111111111089E-2</v>
      </c>
      <c r="N33" s="3">
        <v>1.5069444444444444E-2</v>
      </c>
      <c r="O33" s="3"/>
      <c r="P33" s="1" t="s">
        <v>195</v>
      </c>
    </row>
    <row r="34" spans="1:16">
      <c r="A34" s="1">
        <v>2</v>
      </c>
      <c r="B34" s="1">
        <v>2.6</v>
      </c>
      <c r="C34" s="1">
        <v>1</v>
      </c>
      <c r="D34" s="1" t="s">
        <v>153</v>
      </c>
      <c r="E34" s="4">
        <v>45369</v>
      </c>
      <c r="F34" s="3">
        <v>0.25927083333333334</v>
      </c>
      <c r="G34" s="1">
        <v>8.8200000000000001E-2</v>
      </c>
      <c r="K34" s="1" t="s">
        <v>196</v>
      </c>
      <c r="L34" s="3">
        <v>0.2326388888888889</v>
      </c>
      <c r="M34" s="3">
        <f t="shared" si="0"/>
        <v>2.6631944444444444E-2</v>
      </c>
      <c r="N34" s="3">
        <v>2.6412037037037036E-2</v>
      </c>
      <c r="O34" s="3"/>
    </row>
    <row r="35" spans="1:16">
      <c r="A35" s="1">
        <v>2</v>
      </c>
      <c r="B35" s="1">
        <v>2.6</v>
      </c>
      <c r="C35" s="1" t="s">
        <v>21</v>
      </c>
      <c r="D35" s="1" t="s">
        <v>168</v>
      </c>
      <c r="E35" s="4">
        <v>45369</v>
      </c>
      <c r="F35" s="1" t="s">
        <v>21</v>
      </c>
      <c r="G35" s="1" t="s">
        <v>21</v>
      </c>
      <c r="K35" s="1" t="s">
        <v>198</v>
      </c>
      <c r="L35" s="3">
        <v>0.75791666666666668</v>
      </c>
      <c r="M35" s="1" t="s">
        <v>21</v>
      </c>
      <c r="P35" s="1" t="s">
        <v>169</v>
      </c>
    </row>
    <row r="36" spans="1:16">
      <c r="A36" s="1">
        <v>2</v>
      </c>
      <c r="B36" s="1">
        <v>2.6</v>
      </c>
      <c r="C36" s="1">
        <v>1</v>
      </c>
      <c r="D36" s="1" t="s">
        <v>158</v>
      </c>
      <c r="E36" s="4">
        <v>45370</v>
      </c>
      <c r="F36" s="3">
        <v>0.2697222222222222</v>
      </c>
      <c r="G36" s="1">
        <v>1.069</v>
      </c>
      <c r="K36" s="1" t="s">
        <v>201</v>
      </c>
      <c r="L36" s="3">
        <v>0.26671296296296299</v>
      </c>
      <c r="M36" s="3">
        <f>F36 - L36</f>
        <v>3.0092592592592116E-3</v>
      </c>
      <c r="N36" s="1" t="s">
        <v>21</v>
      </c>
      <c r="P36" s="1" t="s">
        <v>172</v>
      </c>
    </row>
    <row r="37" spans="1:16">
      <c r="A37" s="1">
        <v>2</v>
      </c>
      <c r="B37" s="1">
        <v>2.6</v>
      </c>
      <c r="C37" s="1">
        <v>1</v>
      </c>
      <c r="D37" s="1" t="s">
        <v>164</v>
      </c>
      <c r="E37" s="4">
        <v>45370</v>
      </c>
      <c r="F37" s="3">
        <v>0.77118055555555554</v>
      </c>
      <c r="G37" s="1">
        <v>0.67900000000000005</v>
      </c>
      <c r="K37" s="1" t="s">
        <v>273</v>
      </c>
      <c r="L37" s="3">
        <v>0.75416666666666665</v>
      </c>
      <c r="M37" s="3">
        <f>F37 - L37</f>
        <v>1.7013888888888884E-2</v>
      </c>
      <c r="N37" s="3">
        <v>1.6863425925925928E-2</v>
      </c>
      <c r="O37" s="3"/>
    </row>
    <row r="38" spans="1:16">
      <c r="A38" s="1">
        <v>2</v>
      </c>
      <c r="B38" s="1">
        <v>2.6</v>
      </c>
      <c r="C38" s="1">
        <v>2</v>
      </c>
      <c r="D38" s="1" t="s">
        <v>164</v>
      </c>
      <c r="E38" s="4">
        <v>45370</v>
      </c>
      <c r="F38" s="3">
        <v>0.78053240740740737</v>
      </c>
      <c r="G38" s="1">
        <v>4.8500000000000001E-2</v>
      </c>
      <c r="K38" s="1" t="s">
        <v>273</v>
      </c>
      <c r="L38" s="3">
        <v>0.75416666666666665</v>
      </c>
      <c r="M38" s="3">
        <f>F38 - L38</f>
        <v>2.6365740740740717E-2</v>
      </c>
      <c r="N38" s="3">
        <v>2.6226851851851852E-2</v>
      </c>
      <c r="O38" s="3"/>
    </row>
    <row r="39" spans="1:16">
      <c r="A39" s="1">
        <v>2</v>
      </c>
      <c r="B39" s="1">
        <v>2.6</v>
      </c>
      <c r="C39" s="1" t="s">
        <v>21</v>
      </c>
      <c r="D39" s="1" t="s">
        <v>21</v>
      </c>
      <c r="E39" s="4">
        <v>45371</v>
      </c>
      <c r="F39" s="14" t="s">
        <v>21</v>
      </c>
      <c r="G39" s="1" t="s">
        <v>21</v>
      </c>
      <c r="K39" s="1" t="s">
        <v>21</v>
      </c>
      <c r="L39" s="1" t="s">
        <v>21</v>
      </c>
      <c r="M39" s="1" t="s">
        <v>21</v>
      </c>
      <c r="N39" s="1" t="s">
        <v>21</v>
      </c>
      <c r="P39" s="1" t="s">
        <v>197</v>
      </c>
    </row>
    <row r="40" spans="1:16">
      <c r="A40" s="1">
        <v>2</v>
      </c>
      <c r="B40" s="1">
        <v>2.6</v>
      </c>
      <c r="C40" s="1" t="s">
        <v>21</v>
      </c>
      <c r="D40" s="1" t="s">
        <v>21</v>
      </c>
      <c r="E40" s="4">
        <v>45371</v>
      </c>
      <c r="F40" s="14" t="s">
        <v>21</v>
      </c>
      <c r="G40" s="1" t="s">
        <v>21</v>
      </c>
      <c r="K40" s="1" t="s">
        <v>21</v>
      </c>
      <c r="L40" s="1" t="s">
        <v>21</v>
      </c>
      <c r="M40" s="1" t="s">
        <v>21</v>
      </c>
      <c r="N40" s="1" t="s">
        <v>21</v>
      </c>
      <c r="P40" s="1" t="s">
        <v>200</v>
      </c>
    </row>
    <row r="41" spans="1:16">
      <c r="A41" s="1">
        <v>2</v>
      </c>
      <c r="B41" s="1">
        <v>2.1</v>
      </c>
      <c r="C41" s="1">
        <v>1</v>
      </c>
      <c r="D41" s="1" t="s">
        <v>163</v>
      </c>
      <c r="E41" s="4">
        <v>45372</v>
      </c>
      <c r="F41" s="3">
        <v>0.27496527777777779</v>
      </c>
      <c r="G41" s="1">
        <v>6.28</v>
      </c>
      <c r="K41" s="1" t="s">
        <v>271</v>
      </c>
      <c r="L41" s="3">
        <v>0.26805555555555555</v>
      </c>
      <c r="M41" s="3">
        <f>F41 - L41</f>
        <v>6.9097222222222476E-3</v>
      </c>
      <c r="N41" s="3">
        <v>6.8865740740740745E-3</v>
      </c>
      <c r="O41" s="3"/>
    </row>
    <row r="42" spans="1:16">
      <c r="A42" s="1">
        <v>2</v>
      </c>
      <c r="B42" s="1">
        <v>2.1</v>
      </c>
      <c r="C42" s="1">
        <v>1</v>
      </c>
      <c r="D42" s="1" t="s">
        <v>161</v>
      </c>
      <c r="E42" s="4">
        <v>45372</v>
      </c>
      <c r="F42" s="3">
        <v>0.77909722222222222</v>
      </c>
      <c r="G42" s="1" t="s">
        <v>21</v>
      </c>
      <c r="H42" s="2" t="s">
        <v>377</v>
      </c>
      <c r="I42" s="1">
        <v>7.9299999999999995E-2</v>
      </c>
      <c r="J42" s="1" t="s">
        <v>445</v>
      </c>
      <c r="K42" s="1" t="s">
        <v>21</v>
      </c>
      <c r="L42" s="1" t="s">
        <v>21</v>
      </c>
      <c r="M42" s="1" t="s">
        <v>21</v>
      </c>
      <c r="N42" s="1" t="s">
        <v>21</v>
      </c>
      <c r="P42" s="1" t="s">
        <v>272</v>
      </c>
    </row>
    <row r="43" spans="1:16">
      <c r="A43" s="1">
        <v>2</v>
      </c>
      <c r="B43" s="1">
        <v>2.1</v>
      </c>
      <c r="C43" s="1">
        <v>1</v>
      </c>
      <c r="D43" s="1" t="s">
        <v>159</v>
      </c>
      <c r="E43" s="4">
        <v>45373</v>
      </c>
      <c r="F43" s="3">
        <v>0.26319444444444445</v>
      </c>
      <c r="G43" s="1">
        <v>1.0109999999999999</v>
      </c>
      <c r="K43" s="1" t="s">
        <v>253</v>
      </c>
      <c r="L43" s="3">
        <v>0.22378472222222223</v>
      </c>
      <c r="M43" s="3">
        <f>F43 - L43</f>
        <v>3.9409722222222221E-2</v>
      </c>
      <c r="N43" s="3">
        <v>3.951388888888889E-2</v>
      </c>
      <c r="O43" s="3"/>
    </row>
    <row r="44" spans="1:16">
      <c r="A44" s="1">
        <v>2</v>
      </c>
      <c r="B44" s="1">
        <v>2.1</v>
      </c>
      <c r="C44" s="1">
        <v>1</v>
      </c>
      <c r="D44" s="1" t="s">
        <v>190</v>
      </c>
      <c r="E44" s="4">
        <v>45373</v>
      </c>
      <c r="F44" s="3">
        <v>0.77481481481481485</v>
      </c>
      <c r="G44" s="1">
        <v>0.39</v>
      </c>
      <c r="K44" s="1" t="s">
        <v>254</v>
      </c>
      <c r="L44" s="3">
        <v>0.75416666666666665</v>
      </c>
      <c r="M44" s="3">
        <f>F44 - L44</f>
        <v>2.0648148148148193E-2</v>
      </c>
      <c r="N44" s="3">
        <v>2.0312500000000001E-2</v>
      </c>
      <c r="O44" s="3"/>
    </row>
    <row r="45" spans="1:16">
      <c r="A45" s="1">
        <v>2</v>
      </c>
      <c r="B45" s="1">
        <v>2.1</v>
      </c>
      <c r="C45" s="1">
        <v>1</v>
      </c>
      <c r="D45" s="15" t="s">
        <v>252</v>
      </c>
      <c r="E45" s="4">
        <v>45374</v>
      </c>
      <c r="F45" s="3">
        <v>0.2701041666666667</v>
      </c>
      <c r="G45" s="1">
        <v>2.67</v>
      </c>
      <c r="K45" s="1" t="s">
        <v>255</v>
      </c>
      <c r="L45" s="3">
        <v>0.2399537037037037</v>
      </c>
      <c r="M45" s="3">
        <f>F45 - L45</f>
        <v>3.0150462962963004E-2</v>
      </c>
      <c r="N45" s="3">
        <v>3.0289351851851852E-2</v>
      </c>
      <c r="O45" s="3"/>
    </row>
    <row r="46" spans="1:16">
      <c r="A46" s="1">
        <v>2</v>
      </c>
      <c r="B46" s="1">
        <v>2.1</v>
      </c>
      <c r="C46" s="1">
        <v>1</v>
      </c>
      <c r="D46" s="1" t="s">
        <v>216</v>
      </c>
      <c r="E46" s="4">
        <v>45374</v>
      </c>
      <c r="F46" s="1" t="s">
        <v>21</v>
      </c>
      <c r="G46" s="1" t="s">
        <v>21</v>
      </c>
      <c r="K46" s="1" t="s">
        <v>112</v>
      </c>
      <c r="L46" s="3">
        <v>0.75451388888888893</v>
      </c>
      <c r="M46" s="1" t="s">
        <v>21</v>
      </c>
      <c r="N46" s="1" t="s">
        <v>21</v>
      </c>
      <c r="P46" s="1" t="s">
        <v>169</v>
      </c>
    </row>
    <row r="47" spans="1:16">
      <c r="A47" s="1">
        <v>2</v>
      </c>
      <c r="B47" s="1">
        <v>2.6</v>
      </c>
      <c r="C47" s="1">
        <v>1</v>
      </c>
      <c r="D47" s="1" t="s">
        <v>234</v>
      </c>
      <c r="E47" s="4">
        <v>45375</v>
      </c>
      <c r="F47" s="14">
        <v>0.25738425925925923</v>
      </c>
      <c r="G47" s="7">
        <v>0.1409</v>
      </c>
      <c r="H47" s="7" t="s">
        <v>370</v>
      </c>
      <c r="I47" s="7"/>
      <c r="J47" s="7"/>
      <c r="K47" s="1" t="s">
        <v>256</v>
      </c>
      <c r="L47" s="3">
        <v>0.23355324074074074</v>
      </c>
      <c r="M47" s="3">
        <f>F47 - L47</f>
        <v>2.3831018518518488E-2</v>
      </c>
      <c r="N47" s="3">
        <v>2.3923611111111111E-2</v>
      </c>
      <c r="O47" s="3"/>
    </row>
    <row r="48" spans="1:16">
      <c r="A48" s="1">
        <v>2</v>
      </c>
      <c r="B48" s="1">
        <v>2.6</v>
      </c>
      <c r="C48" s="1">
        <v>2</v>
      </c>
      <c r="D48" s="1" t="s">
        <v>234</v>
      </c>
      <c r="E48" s="4">
        <v>45375</v>
      </c>
      <c r="F48" s="14">
        <v>0.26746527777777779</v>
      </c>
      <c r="G48" s="7">
        <v>0.23799999999999999</v>
      </c>
      <c r="H48" s="7" t="s">
        <v>370</v>
      </c>
      <c r="I48" s="7"/>
      <c r="J48" s="7"/>
      <c r="K48" s="1" t="s">
        <v>256</v>
      </c>
      <c r="L48" s="3">
        <v>0.23355324074074074</v>
      </c>
      <c r="M48" s="3">
        <f>F48 - L48</f>
        <v>3.3912037037037046E-2</v>
      </c>
      <c r="N48" s="3">
        <v>3.4004629629629628E-2</v>
      </c>
      <c r="O48" s="3"/>
    </row>
    <row r="49" spans="1:19">
      <c r="A49" s="1">
        <v>2</v>
      </c>
      <c r="B49" s="1">
        <v>2.6</v>
      </c>
      <c r="C49" s="1">
        <v>1</v>
      </c>
      <c r="D49" s="1" t="s">
        <v>236</v>
      </c>
      <c r="E49" s="4">
        <v>45375</v>
      </c>
      <c r="F49" s="14">
        <v>0.77380787037037035</v>
      </c>
      <c r="G49" s="1">
        <v>0.52900000000000003</v>
      </c>
      <c r="K49" s="1" t="s">
        <v>120</v>
      </c>
      <c r="L49" s="3">
        <v>0.74961805555555561</v>
      </c>
      <c r="M49" s="3">
        <f>F49 - L49</f>
        <v>2.4189814814814747E-2</v>
      </c>
      <c r="N49" s="3">
        <v>2.4328703703703703E-2</v>
      </c>
      <c r="O49" s="3"/>
    </row>
    <row r="50" spans="1:19" s="7" customFormat="1">
      <c r="A50" s="1">
        <v>2</v>
      </c>
      <c r="B50" s="1">
        <v>2.6</v>
      </c>
      <c r="C50" s="1">
        <v>1</v>
      </c>
      <c r="D50" s="1" t="s">
        <v>220</v>
      </c>
      <c r="E50" s="4">
        <v>45376</v>
      </c>
      <c r="F50" s="14" t="s">
        <v>21</v>
      </c>
      <c r="G50" s="1" t="s">
        <v>21</v>
      </c>
      <c r="H50" s="1"/>
      <c r="I50" s="1"/>
      <c r="J50" s="1"/>
      <c r="K50" s="1" t="s">
        <v>257</v>
      </c>
      <c r="L50" s="3">
        <v>0.23734953703703704</v>
      </c>
      <c r="M50" s="3" t="s">
        <v>21</v>
      </c>
      <c r="N50" s="1" t="s">
        <v>21</v>
      </c>
      <c r="O50" s="1"/>
      <c r="P50" s="1" t="s">
        <v>238</v>
      </c>
      <c r="Q50" s="1"/>
      <c r="R50" s="1"/>
      <c r="S50" s="1"/>
    </row>
    <row r="51" spans="1:19">
      <c r="A51" s="1">
        <v>2</v>
      </c>
      <c r="B51" s="1">
        <v>2.6</v>
      </c>
      <c r="C51" s="1">
        <v>1</v>
      </c>
      <c r="D51" s="1" t="s">
        <v>261</v>
      </c>
      <c r="E51" s="4">
        <v>45376</v>
      </c>
      <c r="F51" s="14">
        <v>0.77660879629629631</v>
      </c>
      <c r="G51" s="1">
        <v>0.28000000000000003</v>
      </c>
      <c r="K51" s="1" t="s">
        <v>258</v>
      </c>
      <c r="L51" s="3">
        <v>0.75342592592592594</v>
      </c>
      <c r="M51" s="3">
        <f>F51 - L51</f>
        <v>2.3182870370370368E-2</v>
      </c>
      <c r="N51" s="3">
        <v>2.2905092592592591E-2</v>
      </c>
      <c r="O51" s="3"/>
    </row>
    <row r="52" spans="1:19">
      <c r="A52" s="1">
        <v>2</v>
      </c>
      <c r="B52" s="1">
        <v>2.6</v>
      </c>
      <c r="C52" s="1">
        <v>1</v>
      </c>
      <c r="D52" s="1" t="s">
        <v>223</v>
      </c>
      <c r="E52" s="4">
        <v>45377</v>
      </c>
      <c r="F52" s="14">
        <v>0.25671296296296298</v>
      </c>
      <c r="G52" s="7">
        <v>0.20200000000000001</v>
      </c>
      <c r="I52" s="7"/>
      <c r="J52" s="7"/>
      <c r="K52" s="1" t="s">
        <v>121</v>
      </c>
      <c r="L52" s="3">
        <v>0.23350694444444445</v>
      </c>
      <c r="M52" s="3">
        <f>F52 - L52</f>
        <v>2.3206018518518529E-2</v>
      </c>
      <c r="N52" s="3">
        <v>2.3356481481481482E-2</v>
      </c>
      <c r="O52" s="3"/>
    </row>
    <row r="53" spans="1:19">
      <c r="A53" s="1">
        <v>2</v>
      </c>
      <c r="B53" s="1">
        <v>2.6</v>
      </c>
      <c r="C53" s="1" t="s">
        <v>21</v>
      </c>
      <c r="D53" s="1" t="s">
        <v>21</v>
      </c>
      <c r="E53" s="4">
        <v>45377</v>
      </c>
      <c r="F53" s="14" t="s">
        <v>21</v>
      </c>
      <c r="G53" s="1" t="s">
        <v>21</v>
      </c>
      <c r="K53" s="1" t="s">
        <v>21</v>
      </c>
      <c r="L53" s="1" t="s">
        <v>21</v>
      </c>
      <c r="M53" s="1" t="s">
        <v>21</v>
      </c>
      <c r="N53" s="1" t="s">
        <v>21</v>
      </c>
      <c r="P53" s="1" t="s">
        <v>262</v>
      </c>
    </row>
    <row r="54" spans="1:19">
      <c r="A54" s="1">
        <v>2</v>
      </c>
      <c r="B54" s="1">
        <v>2.6</v>
      </c>
      <c r="C54" s="1">
        <v>1</v>
      </c>
      <c r="D54" s="1" t="s">
        <v>226</v>
      </c>
      <c r="E54" s="4">
        <v>45378</v>
      </c>
      <c r="F54" s="14">
        <v>0.26596064814814813</v>
      </c>
      <c r="G54" s="7">
        <v>2.2799999999999998</v>
      </c>
      <c r="H54" s="7" t="s">
        <v>371</v>
      </c>
      <c r="I54" s="7"/>
      <c r="J54" s="7"/>
      <c r="K54" s="1" t="s">
        <v>406</v>
      </c>
      <c r="L54" s="3">
        <v>0.23856481481481481</v>
      </c>
      <c r="M54" s="3">
        <f>F54 - L54</f>
        <v>2.7395833333333314E-2</v>
      </c>
      <c r="N54" s="3">
        <v>2.75E-2</v>
      </c>
      <c r="O54" s="3"/>
      <c r="P54" s="1" t="s">
        <v>371</v>
      </c>
    </row>
    <row r="55" spans="1:19">
      <c r="A55" s="1">
        <v>2</v>
      </c>
      <c r="B55" s="1">
        <v>2.6</v>
      </c>
      <c r="C55" s="1" t="s">
        <v>21</v>
      </c>
      <c r="D55" s="1" t="s">
        <v>241</v>
      </c>
      <c r="E55" s="4">
        <v>45379</v>
      </c>
      <c r="F55" s="14" t="s">
        <v>21</v>
      </c>
      <c r="G55" s="1" t="s">
        <v>21</v>
      </c>
      <c r="K55" s="1" t="s">
        <v>283</v>
      </c>
      <c r="L55" s="3">
        <v>0.76531249999999995</v>
      </c>
      <c r="M55" s="3" t="s">
        <v>21</v>
      </c>
      <c r="N55" s="3" t="s">
        <v>21</v>
      </c>
      <c r="O55" s="3"/>
      <c r="P55" s="1" t="s">
        <v>169</v>
      </c>
    </row>
    <row r="56" spans="1:19" s="7" customFormat="1">
      <c r="A56" s="1">
        <v>2</v>
      </c>
      <c r="B56" s="1">
        <v>2.6</v>
      </c>
      <c r="C56" s="1">
        <v>1</v>
      </c>
      <c r="D56" s="1" t="s">
        <v>240</v>
      </c>
      <c r="E56" s="4">
        <v>45379</v>
      </c>
      <c r="F56" s="3">
        <v>0.26277777777777778</v>
      </c>
      <c r="G56" s="7">
        <v>1.2869999999999999</v>
      </c>
      <c r="H56" s="1" t="s">
        <v>426</v>
      </c>
      <c r="K56" s="1" t="s">
        <v>284</v>
      </c>
      <c r="L56" s="3">
        <v>0.23756944444444444</v>
      </c>
      <c r="M56" s="3">
        <f>F56 - L56</f>
        <v>2.5208333333333333E-2</v>
      </c>
      <c r="N56" s="3" t="s">
        <v>21</v>
      </c>
      <c r="O56" s="3"/>
      <c r="S56" s="13"/>
    </row>
    <row r="57" spans="1:19">
      <c r="A57" s="1">
        <v>2</v>
      </c>
      <c r="B57" s="1">
        <v>2.6</v>
      </c>
      <c r="C57" s="1">
        <v>1</v>
      </c>
      <c r="D57" s="1" t="s">
        <v>243</v>
      </c>
      <c r="E57" s="4">
        <v>45380</v>
      </c>
      <c r="F57" s="3">
        <v>0.26237268518518519</v>
      </c>
      <c r="G57" s="7">
        <v>0.83099999999999996</v>
      </c>
      <c r="H57" s="1" t="s">
        <v>373</v>
      </c>
      <c r="I57" s="7"/>
      <c r="J57" s="7"/>
      <c r="K57" s="1" t="s">
        <v>295</v>
      </c>
      <c r="L57" s="3">
        <v>0.2282986111111111</v>
      </c>
      <c r="M57" s="3">
        <f>F57 - L57</f>
        <v>3.407407407407409E-2</v>
      </c>
      <c r="N57" s="3">
        <v>3.4189814814814812E-2</v>
      </c>
      <c r="O57" s="3"/>
      <c r="S57" s="2"/>
    </row>
    <row r="58" spans="1:19">
      <c r="A58" s="1">
        <v>2</v>
      </c>
      <c r="B58" s="1">
        <v>2.6</v>
      </c>
      <c r="C58" s="1" t="s">
        <v>21</v>
      </c>
      <c r="D58" s="1" t="s">
        <v>245</v>
      </c>
      <c r="E58" s="4">
        <v>45380</v>
      </c>
      <c r="F58" s="3" t="s">
        <v>21</v>
      </c>
      <c r="G58" s="1" t="s">
        <v>21</v>
      </c>
      <c r="K58" s="1" t="s">
        <v>298</v>
      </c>
      <c r="L58" s="3">
        <v>0.77248842592592593</v>
      </c>
      <c r="M58" s="3" t="s">
        <v>21</v>
      </c>
      <c r="N58" s="3" t="s">
        <v>21</v>
      </c>
      <c r="O58" s="3"/>
      <c r="P58" s="1" t="s">
        <v>169</v>
      </c>
      <c r="S58" s="2"/>
    </row>
    <row r="59" spans="1:19">
      <c r="A59" s="1">
        <v>2</v>
      </c>
      <c r="B59" s="1">
        <v>2.6</v>
      </c>
      <c r="C59" s="1">
        <v>1</v>
      </c>
      <c r="D59" s="1" t="s">
        <v>248</v>
      </c>
      <c r="E59" s="4">
        <v>45381</v>
      </c>
      <c r="F59" s="3" t="s">
        <v>21</v>
      </c>
      <c r="G59" s="1" t="s">
        <v>21</v>
      </c>
      <c r="K59" s="1" t="s">
        <v>375</v>
      </c>
      <c r="L59" s="3">
        <v>0.75232638888888892</v>
      </c>
      <c r="M59" s="3" t="s">
        <v>21</v>
      </c>
      <c r="N59" s="3" t="s">
        <v>21</v>
      </c>
      <c r="O59" s="3"/>
      <c r="P59" s="1" t="s">
        <v>361</v>
      </c>
      <c r="S59" s="2"/>
    </row>
    <row r="60" spans="1:19" s="7" customFormat="1">
      <c r="A60" s="1">
        <v>2</v>
      </c>
      <c r="B60" s="1">
        <v>2.6</v>
      </c>
      <c r="C60" s="1">
        <v>1</v>
      </c>
      <c r="D60" s="1" t="s">
        <v>308</v>
      </c>
      <c r="E60" s="4">
        <v>45381</v>
      </c>
      <c r="F60" s="3">
        <v>0.26086805555555553</v>
      </c>
      <c r="G60" s="7">
        <v>3.05</v>
      </c>
      <c r="H60" s="1" t="s">
        <v>427</v>
      </c>
      <c r="I60" s="7">
        <f xml:space="preserve"> (G60 *(1.004*10^-6)) / (1.081*10^-5)</f>
        <v>0.28327474560592047</v>
      </c>
      <c r="J60" s="7" t="s">
        <v>631</v>
      </c>
      <c r="K60" s="1" t="s">
        <v>309</v>
      </c>
      <c r="L60" s="3">
        <v>0.2303125</v>
      </c>
      <c r="M60" s="3">
        <f>F60 - L60</f>
        <v>3.055555555555553E-2</v>
      </c>
      <c r="N60" s="3" t="s">
        <v>21</v>
      </c>
      <c r="O60" s="3" t="s">
        <v>312</v>
      </c>
      <c r="Q60" s="1"/>
      <c r="S60" s="13"/>
    </row>
    <row r="61" spans="1:19">
      <c r="A61" s="1">
        <v>2</v>
      </c>
      <c r="B61" s="1">
        <v>2.6</v>
      </c>
      <c r="C61" s="1" t="s">
        <v>21</v>
      </c>
      <c r="D61" s="1" t="s">
        <v>21</v>
      </c>
      <c r="E61" s="4">
        <v>45382</v>
      </c>
      <c r="F61" s="3" t="s">
        <v>21</v>
      </c>
      <c r="G61" s="1" t="s">
        <v>21</v>
      </c>
      <c r="K61" s="1" t="s">
        <v>21</v>
      </c>
      <c r="L61" s="3" t="s">
        <v>21</v>
      </c>
      <c r="M61" s="3" t="s">
        <v>21</v>
      </c>
      <c r="N61" s="3" t="s">
        <v>21</v>
      </c>
      <c r="O61" s="3"/>
      <c r="P61" s="1" t="s">
        <v>374</v>
      </c>
      <c r="S61" s="2"/>
    </row>
    <row r="62" spans="1:19">
      <c r="A62" s="1">
        <v>2</v>
      </c>
      <c r="B62" s="1">
        <v>2.6</v>
      </c>
      <c r="C62" s="1">
        <v>1</v>
      </c>
      <c r="D62" s="1" t="s">
        <v>290</v>
      </c>
      <c r="E62" s="4">
        <v>45382</v>
      </c>
      <c r="F62" s="3">
        <v>0.77803240740740742</v>
      </c>
      <c r="G62" s="7">
        <v>0.71299999999999997</v>
      </c>
      <c r="H62" s="1" t="s">
        <v>444</v>
      </c>
      <c r="I62" s="7">
        <f xml:space="preserve"> (G62 *(1.004*10^-6)) / (1.081*10^-5)</f>
        <v>6.6221276595744685E-2</v>
      </c>
      <c r="J62" s="7" t="s">
        <v>631</v>
      </c>
      <c r="K62" s="1" t="s">
        <v>313</v>
      </c>
      <c r="L62" s="3">
        <v>0.75362268518518516</v>
      </c>
      <c r="M62" s="3">
        <f>F62 - L62</f>
        <v>2.4409722222222263E-2</v>
      </c>
      <c r="N62" s="3">
        <v>2.4895833333333332E-2</v>
      </c>
      <c r="O62" s="3" t="s">
        <v>311</v>
      </c>
      <c r="S62" s="2"/>
    </row>
    <row r="63" spans="1:19">
      <c r="A63" s="1">
        <v>2</v>
      </c>
      <c r="B63" s="1">
        <v>2.6</v>
      </c>
      <c r="C63" s="1">
        <v>1</v>
      </c>
      <c r="D63" s="1" t="s">
        <v>274</v>
      </c>
      <c r="E63" s="4">
        <v>45383</v>
      </c>
      <c r="F63" s="3">
        <v>0.27090277777777777</v>
      </c>
      <c r="G63" s="7">
        <v>22.2</v>
      </c>
      <c r="H63" s="1" t="s">
        <v>378</v>
      </c>
      <c r="I63" s="7">
        <f xml:space="preserve"> (G63 *(1.004*10^-6)) / (1.081*10^-5)</f>
        <v>2.0618686401480111</v>
      </c>
      <c r="J63" s="7" t="s">
        <v>631</v>
      </c>
      <c r="K63" s="1" t="s">
        <v>314</v>
      </c>
      <c r="L63" s="3">
        <v>0.22976851851851851</v>
      </c>
      <c r="M63" s="3">
        <f>F63 - L63</f>
        <v>4.1134259259259259E-2</v>
      </c>
      <c r="N63" s="3">
        <v>4.1284722222222223E-2</v>
      </c>
      <c r="O63" s="3" t="s">
        <v>311</v>
      </c>
    </row>
    <row r="64" spans="1:19">
      <c r="A64" s="1">
        <v>2</v>
      </c>
      <c r="B64" s="1">
        <v>2.6</v>
      </c>
      <c r="C64" s="1" t="s">
        <v>21</v>
      </c>
      <c r="D64" s="1" t="s">
        <v>21</v>
      </c>
      <c r="E64" s="4">
        <v>45383</v>
      </c>
      <c r="F64" s="3" t="s">
        <v>21</v>
      </c>
      <c r="G64" s="1" t="s">
        <v>21</v>
      </c>
      <c r="K64" s="1" t="s">
        <v>21</v>
      </c>
      <c r="L64" s="1" t="s">
        <v>21</v>
      </c>
      <c r="M64" s="1" t="s">
        <v>21</v>
      </c>
      <c r="N64" s="1" t="s">
        <v>21</v>
      </c>
      <c r="O64" s="3"/>
      <c r="P64" s="1" t="s">
        <v>333</v>
      </c>
    </row>
    <row r="65" spans="1:16" s="7" customFormat="1">
      <c r="A65" s="1">
        <v>2</v>
      </c>
      <c r="B65" s="1">
        <v>2.6</v>
      </c>
      <c r="C65" s="1" t="s">
        <v>21</v>
      </c>
      <c r="D65" s="1" t="s">
        <v>21</v>
      </c>
      <c r="E65" s="4">
        <v>45384</v>
      </c>
      <c r="F65" s="3" t="s">
        <v>21</v>
      </c>
      <c r="G65" s="1" t="s">
        <v>21</v>
      </c>
      <c r="H65" s="1"/>
      <c r="I65" s="1"/>
      <c r="J65" s="1"/>
      <c r="K65" s="1" t="s">
        <v>21</v>
      </c>
      <c r="L65" s="1" t="s">
        <v>21</v>
      </c>
      <c r="M65" s="1" t="s">
        <v>21</v>
      </c>
      <c r="N65" s="1" t="s">
        <v>21</v>
      </c>
      <c r="O65" s="8"/>
      <c r="P65" s="1" t="s">
        <v>379</v>
      </c>
    </row>
    <row r="66" spans="1:16" s="7" customFormat="1">
      <c r="A66" s="1">
        <v>2</v>
      </c>
      <c r="B66" s="1">
        <v>2.6</v>
      </c>
      <c r="C66" s="1" t="s">
        <v>21</v>
      </c>
      <c r="D66" s="1" t="s">
        <v>21</v>
      </c>
      <c r="E66" s="4">
        <v>45384</v>
      </c>
      <c r="F66" s="3" t="s">
        <v>21</v>
      </c>
      <c r="G66" s="1" t="s">
        <v>21</v>
      </c>
      <c r="H66" s="1"/>
      <c r="I66" s="1"/>
      <c r="J66" s="1"/>
      <c r="K66" s="1" t="s">
        <v>21</v>
      </c>
      <c r="L66" s="1" t="s">
        <v>21</v>
      </c>
      <c r="M66" s="1" t="s">
        <v>21</v>
      </c>
      <c r="N66" s="1" t="s">
        <v>21</v>
      </c>
      <c r="O66" s="8"/>
      <c r="P66" s="1" t="s">
        <v>383</v>
      </c>
    </row>
    <row r="67" spans="1:16">
      <c r="A67" s="1">
        <v>2</v>
      </c>
      <c r="B67" s="1">
        <v>2.6</v>
      </c>
      <c r="C67" s="1">
        <v>1</v>
      </c>
      <c r="D67" t="s">
        <v>285</v>
      </c>
      <c r="E67" s="4">
        <v>45385</v>
      </c>
      <c r="F67" s="3">
        <v>0.78233796296296299</v>
      </c>
      <c r="G67" s="1" t="s">
        <v>21</v>
      </c>
      <c r="H67" s="1" t="s">
        <v>359</v>
      </c>
      <c r="I67" s="21">
        <f xml:space="preserve"> (0.1331*(1.004*10^-6)) / (1.081*10^-5)</f>
        <v>1.2361924144310825E-2</v>
      </c>
      <c r="J67" s="1" t="s">
        <v>443</v>
      </c>
      <c r="K67" s="1" t="s">
        <v>21</v>
      </c>
      <c r="L67" s="1" t="s">
        <v>21</v>
      </c>
      <c r="M67" s="1" t="s">
        <v>21</v>
      </c>
      <c r="N67" s="1" t="s">
        <v>21</v>
      </c>
      <c r="O67" s="1" t="s">
        <v>21</v>
      </c>
    </row>
    <row r="68" spans="1:16">
      <c r="A68" s="1">
        <v>2</v>
      </c>
      <c r="B68" s="1">
        <v>2.6</v>
      </c>
      <c r="C68" s="1" t="s">
        <v>21</v>
      </c>
      <c r="D68" s="1" t="s">
        <v>21</v>
      </c>
      <c r="E68" s="4">
        <v>45385</v>
      </c>
      <c r="F68" s="3" t="s">
        <v>21</v>
      </c>
      <c r="G68" s="1" t="s">
        <v>21</v>
      </c>
      <c r="K68" s="1" t="s">
        <v>21</v>
      </c>
      <c r="L68" s="1" t="s">
        <v>21</v>
      </c>
      <c r="M68" s="1" t="s">
        <v>21</v>
      </c>
      <c r="N68" s="1" t="s">
        <v>21</v>
      </c>
      <c r="P68" s="1" t="s">
        <v>379</v>
      </c>
    </row>
    <row r="69" spans="1:16">
      <c r="A69" s="1">
        <v>2</v>
      </c>
      <c r="B69" s="1">
        <v>2.6</v>
      </c>
      <c r="C69" s="1" t="s">
        <v>21</v>
      </c>
      <c r="D69" s="1" t="s">
        <v>21</v>
      </c>
      <c r="E69" s="4">
        <v>45386</v>
      </c>
      <c r="F69" s="3" t="s">
        <v>21</v>
      </c>
      <c r="G69" s="1" t="s">
        <v>21</v>
      </c>
      <c r="K69" s="1" t="s">
        <v>21</v>
      </c>
      <c r="L69" s="1" t="s">
        <v>21</v>
      </c>
      <c r="M69" s="1" t="s">
        <v>21</v>
      </c>
      <c r="N69" s="1" t="s">
        <v>21</v>
      </c>
      <c r="P69" s="1" t="s">
        <v>379</v>
      </c>
    </row>
    <row r="70" spans="1:16">
      <c r="A70" s="1">
        <v>2</v>
      </c>
      <c r="B70" s="1">
        <v>2.6</v>
      </c>
      <c r="C70" s="1">
        <v>1</v>
      </c>
      <c r="D70" s="1" t="s">
        <v>173</v>
      </c>
      <c r="E70" s="4">
        <v>45386</v>
      </c>
      <c r="F70" s="3">
        <v>0.78053240740740737</v>
      </c>
      <c r="G70" s="7">
        <v>0.25800000000000001</v>
      </c>
      <c r="H70" s="7" t="s">
        <v>376</v>
      </c>
      <c r="I70" s="7">
        <f xml:space="preserve"> (G70 *(1.004*10^-6)) / (1.081*10^-5)</f>
        <v>2.3962257169287699E-2</v>
      </c>
      <c r="J70" s="7" t="s">
        <v>631</v>
      </c>
      <c r="K70" s="1" t="s">
        <v>289</v>
      </c>
      <c r="L70" s="3">
        <v>0.75498842592592597</v>
      </c>
      <c r="M70" s="3">
        <f>F70 - L70</f>
        <v>2.5543981481481404E-2</v>
      </c>
      <c r="N70" s="3">
        <v>2.5694444444444443E-2</v>
      </c>
      <c r="O70" s="3" t="s">
        <v>311</v>
      </c>
    </row>
    <row r="71" spans="1:16">
      <c r="A71" s="1">
        <v>2</v>
      </c>
      <c r="B71" s="1">
        <v>2.6</v>
      </c>
      <c r="C71" s="1" t="s">
        <v>21</v>
      </c>
      <c r="D71" s="1" t="s">
        <v>21</v>
      </c>
      <c r="E71" s="4">
        <v>45387</v>
      </c>
      <c r="F71" s="3" t="s">
        <v>21</v>
      </c>
      <c r="G71" s="1" t="s">
        <v>21</v>
      </c>
      <c r="K71" s="1" t="s">
        <v>21</v>
      </c>
      <c r="L71" s="1" t="s">
        <v>21</v>
      </c>
      <c r="M71" s="1" t="s">
        <v>21</v>
      </c>
      <c r="N71" s="1" t="s">
        <v>21</v>
      </c>
      <c r="P71" s="1" t="s">
        <v>380</v>
      </c>
    </row>
    <row r="72" spans="1:16">
      <c r="A72" s="1">
        <v>2</v>
      </c>
      <c r="B72" s="1">
        <v>2.6</v>
      </c>
      <c r="C72" s="1">
        <v>1</v>
      </c>
      <c r="D72" s="1" t="s">
        <v>357</v>
      </c>
      <c r="E72" s="4">
        <v>45391</v>
      </c>
      <c r="F72" s="3">
        <v>0.2723726851851852</v>
      </c>
      <c r="G72" s="1">
        <v>31.1</v>
      </c>
      <c r="H72" s="7" t="s">
        <v>376</v>
      </c>
      <c r="I72" s="7">
        <f xml:space="preserve"> (G72 *(1.004*10^-6)) / (1.081*10^-5)</f>
        <v>2.8884736355226646</v>
      </c>
      <c r="J72" s="7" t="s">
        <v>631</v>
      </c>
      <c r="K72" s="1" t="s">
        <v>459</v>
      </c>
      <c r="L72" s="3">
        <v>0.23653935185185185</v>
      </c>
      <c r="M72" s="3">
        <f t="shared" ref="M72:M80" si="1">F72 - L72</f>
        <v>3.5833333333333356E-2</v>
      </c>
      <c r="N72" s="3">
        <v>3.5995370370370372E-2</v>
      </c>
      <c r="O72" s="3" t="s">
        <v>311</v>
      </c>
    </row>
    <row r="73" spans="1:16">
      <c r="A73" s="1">
        <v>2</v>
      </c>
      <c r="B73" s="1">
        <v>2.6</v>
      </c>
      <c r="C73" s="1">
        <v>1</v>
      </c>
      <c r="D73" s="1" t="s">
        <v>384</v>
      </c>
      <c r="E73" s="4">
        <v>45392</v>
      </c>
      <c r="F73" s="3">
        <v>0.25964120370370369</v>
      </c>
      <c r="G73" s="1">
        <v>5.79</v>
      </c>
      <c r="H73" s="7" t="s">
        <v>376</v>
      </c>
      <c r="K73" s="1" t="s">
        <v>486</v>
      </c>
      <c r="L73" s="3">
        <v>0.23417824074074073</v>
      </c>
      <c r="M73" s="3">
        <f t="shared" si="1"/>
        <v>2.5462962962962965E-2</v>
      </c>
      <c r="N73" s="3">
        <v>2.5810185185185186E-2</v>
      </c>
      <c r="O73" s="3" t="s">
        <v>311</v>
      </c>
    </row>
    <row r="74" spans="1:16">
      <c r="A74" s="1">
        <v>2</v>
      </c>
      <c r="B74" s="1">
        <v>2.6</v>
      </c>
      <c r="C74" s="1">
        <v>1</v>
      </c>
      <c r="D74" s="1" t="s">
        <v>491</v>
      </c>
      <c r="E74" s="4">
        <v>45391</v>
      </c>
      <c r="F74" s="3">
        <v>0.77521990740740732</v>
      </c>
      <c r="G74" s="1">
        <v>0.307</v>
      </c>
      <c r="H74" s="7" t="s">
        <v>376</v>
      </c>
      <c r="K74" s="1" t="s">
        <v>483</v>
      </c>
      <c r="L74" s="3">
        <v>0.76300925925925922</v>
      </c>
      <c r="M74" s="3">
        <f t="shared" si="1"/>
        <v>1.2210648148148096E-2</v>
      </c>
      <c r="O74" s="3" t="s">
        <v>311</v>
      </c>
    </row>
    <row r="75" spans="1:16">
      <c r="A75" s="1">
        <v>2</v>
      </c>
      <c r="B75" s="1">
        <v>2.6</v>
      </c>
      <c r="C75" s="1">
        <v>1</v>
      </c>
      <c r="D75" s="1" t="s">
        <v>297</v>
      </c>
      <c r="E75" s="4">
        <v>45387</v>
      </c>
      <c r="F75" s="3">
        <v>0.7795023148148148</v>
      </c>
      <c r="G75" s="1">
        <v>0.307</v>
      </c>
      <c r="H75" s="7" t="s">
        <v>376</v>
      </c>
      <c r="K75" s="1" t="s">
        <v>480</v>
      </c>
      <c r="L75" s="3">
        <v>0.76537037037037037</v>
      </c>
      <c r="M75" s="3">
        <f t="shared" si="1"/>
        <v>1.4131944444444433E-2</v>
      </c>
      <c r="N75" s="3">
        <v>1.4282407407407407E-2</v>
      </c>
      <c r="O75" s="3" t="s">
        <v>311</v>
      </c>
    </row>
    <row r="76" spans="1:16">
      <c r="A76" s="1">
        <v>2</v>
      </c>
      <c r="B76" s="1">
        <v>2.6</v>
      </c>
      <c r="C76" s="1">
        <v>1</v>
      </c>
      <c r="D76" s="1" t="s">
        <v>319</v>
      </c>
      <c r="E76" s="4">
        <v>45390</v>
      </c>
      <c r="F76" s="3">
        <v>0.26424768518518515</v>
      </c>
      <c r="G76" s="1">
        <v>0.61099999999999999</v>
      </c>
      <c r="H76" s="7" t="s">
        <v>376</v>
      </c>
      <c r="K76" s="1" t="s">
        <v>471</v>
      </c>
      <c r="L76" s="3">
        <v>0.2351273148148148</v>
      </c>
      <c r="M76" s="3">
        <f t="shared" si="1"/>
        <v>2.9120370370370352E-2</v>
      </c>
      <c r="N76" s="3">
        <v>2.9328703703703704E-2</v>
      </c>
      <c r="O76" s="3" t="s">
        <v>311</v>
      </c>
    </row>
    <row r="77" spans="1:16">
      <c r="A77" s="1">
        <v>2</v>
      </c>
      <c r="B77" s="1">
        <v>2.6</v>
      </c>
      <c r="C77" s="1">
        <v>1</v>
      </c>
      <c r="D77" s="1" t="s">
        <v>461</v>
      </c>
      <c r="E77" s="4">
        <v>45394</v>
      </c>
      <c r="F77" s="3">
        <v>0.76479166666666665</v>
      </c>
      <c r="G77" s="1">
        <v>7.26</v>
      </c>
      <c r="H77" s="7" t="s">
        <v>376</v>
      </c>
      <c r="K77" s="1" t="s">
        <v>502</v>
      </c>
      <c r="L77" s="3">
        <v>0.76234953703703701</v>
      </c>
      <c r="M77" s="3">
        <f t="shared" si="1"/>
        <v>2.4421296296296413E-3</v>
      </c>
      <c r="N77" s="3">
        <v>2.6967592592592594E-3</v>
      </c>
      <c r="O77" s="3" t="s">
        <v>311</v>
      </c>
    </row>
    <row r="78" spans="1:16">
      <c r="A78" s="1">
        <v>2</v>
      </c>
      <c r="B78" s="1">
        <v>2.6</v>
      </c>
      <c r="C78" s="1">
        <v>1</v>
      </c>
      <c r="D78" s="1" t="s">
        <v>470</v>
      </c>
      <c r="E78" s="4">
        <v>45393</v>
      </c>
      <c r="F78" s="3">
        <v>0.25677083333333334</v>
      </c>
      <c r="G78" s="1">
        <v>2.78</v>
      </c>
      <c r="H78" s="7" t="s">
        <v>376</v>
      </c>
      <c r="K78" s="1" t="s">
        <v>503</v>
      </c>
      <c r="L78" s="3">
        <v>0.23177083333333334</v>
      </c>
      <c r="M78" s="3">
        <f t="shared" si="1"/>
        <v>2.4999999999999994E-2</v>
      </c>
      <c r="O78" s="3" t="s">
        <v>311</v>
      </c>
    </row>
    <row r="79" spans="1:16">
      <c r="A79" s="1">
        <v>2</v>
      </c>
      <c r="B79" s="1">
        <v>2.6</v>
      </c>
      <c r="C79" s="1">
        <v>1</v>
      </c>
      <c r="D79" s="1" t="s">
        <v>469</v>
      </c>
      <c r="E79" s="4">
        <v>45393</v>
      </c>
      <c r="F79" s="3">
        <v>0.76993055555555556</v>
      </c>
      <c r="G79" s="1">
        <v>5.25</v>
      </c>
      <c r="H79" s="7" t="s">
        <v>376</v>
      </c>
      <c r="K79" s="1" t="s">
        <v>504</v>
      </c>
      <c r="L79" s="3">
        <v>0.75616898148148148</v>
      </c>
      <c r="M79" s="3">
        <f t="shared" si="1"/>
        <v>1.3761574074074079E-2</v>
      </c>
      <c r="O79" s="3" t="s">
        <v>311</v>
      </c>
    </row>
    <row r="80" spans="1:16">
      <c r="A80" s="1">
        <v>2</v>
      </c>
      <c r="B80" s="1">
        <v>2.6</v>
      </c>
      <c r="C80" s="1">
        <v>1</v>
      </c>
      <c r="D80" s="1" t="s">
        <v>482</v>
      </c>
      <c r="E80" s="4">
        <v>45397</v>
      </c>
      <c r="F80" s="3">
        <v>0.26587962962962963</v>
      </c>
      <c r="G80" s="1">
        <v>21.2</v>
      </c>
      <c r="H80" s="7" t="s">
        <v>376</v>
      </c>
      <c r="K80" s="1" t="s">
        <v>505</v>
      </c>
      <c r="L80" s="3">
        <v>0.2303125</v>
      </c>
      <c r="M80" s="3">
        <f t="shared" si="1"/>
        <v>3.5567129629629629E-2</v>
      </c>
      <c r="N80" s="3">
        <v>3.6412037037037034E-2</v>
      </c>
      <c r="O80" s="3" t="s">
        <v>311</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c r="A1" s="1" t="s">
        <v>64</v>
      </c>
      <c r="B1" s="1" t="s">
        <v>1</v>
      </c>
      <c r="C1" s="1" t="s">
        <v>10</v>
      </c>
      <c r="D1" s="1" t="s">
        <v>260</v>
      </c>
      <c r="E1" s="1" t="s">
        <v>259</v>
      </c>
      <c r="F1" s="1" t="s">
        <v>31</v>
      </c>
      <c r="G1" s="1" t="s">
        <v>5</v>
      </c>
      <c r="H1" s="1" t="s">
        <v>3</v>
      </c>
      <c r="I1" s="1" t="s">
        <v>405</v>
      </c>
      <c r="J1" s="1" t="s">
        <v>369</v>
      </c>
      <c r="K1" s="1" t="s">
        <v>431</v>
      </c>
      <c r="L1" s="1" t="s">
        <v>6</v>
      </c>
      <c r="M1" s="1" t="s">
        <v>65</v>
      </c>
      <c r="N1" s="1" t="s">
        <v>330</v>
      </c>
      <c r="O1" s="1" t="s">
        <v>155</v>
      </c>
      <c r="P1" s="1" t="s">
        <v>15</v>
      </c>
      <c r="S1" s="1" t="s">
        <v>93</v>
      </c>
    </row>
    <row r="2" spans="1:19">
      <c r="A2" s="1">
        <v>1</v>
      </c>
      <c r="B2" s="1">
        <v>1.2</v>
      </c>
      <c r="C2" s="1">
        <v>1</v>
      </c>
      <c r="E2" s="1" t="s">
        <v>67</v>
      </c>
      <c r="F2" s="4">
        <v>45351</v>
      </c>
      <c r="G2" s="3">
        <v>0.78778935185185184</v>
      </c>
      <c r="H2" s="1">
        <v>4.9699999999999996E-3</v>
      </c>
      <c r="L2" s="3">
        <v>0.76006944444444446</v>
      </c>
      <c r="M2" s="3">
        <f>G2 - L2</f>
        <v>2.7719907407407374E-2</v>
      </c>
    </row>
    <row r="3" spans="1:19">
      <c r="A3" s="1">
        <v>1</v>
      </c>
      <c r="B3" s="1">
        <v>1.2</v>
      </c>
      <c r="C3" s="1">
        <v>1</v>
      </c>
      <c r="E3" s="1" t="s">
        <v>66</v>
      </c>
      <c r="F3" s="4">
        <v>45352</v>
      </c>
      <c r="G3" s="3">
        <v>0.24906249999999999</v>
      </c>
      <c r="H3" s="1">
        <v>3.5300000000000002E-3</v>
      </c>
      <c r="L3" s="3">
        <v>0.22700231481481481</v>
      </c>
      <c r="M3" s="3">
        <f>G3 - L3</f>
        <v>2.2060185185185183E-2</v>
      </c>
    </row>
    <row r="4" spans="1:19">
      <c r="A4" s="1">
        <v>1</v>
      </c>
      <c r="B4" s="1">
        <v>1.2</v>
      </c>
      <c r="C4" s="1">
        <v>2</v>
      </c>
      <c r="E4" s="1" t="s">
        <v>66</v>
      </c>
      <c r="F4" s="4">
        <v>45352</v>
      </c>
      <c r="G4" s="3">
        <v>0.27140046296296294</v>
      </c>
      <c r="H4" s="1">
        <v>1.7849999999999999</v>
      </c>
      <c r="L4" s="3">
        <v>0.22700231481481481</v>
      </c>
      <c r="M4" s="3">
        <f>G4 - L4</f>
        <v>4.4398148148148131E-2</v>
      </c>
    </row>
    <row r="5" spans="1:19">
      <c r="A5" s="1">
        <v>1</v>
      </c>
      <c r="B5" s="1">
        <v>1.2</v>
      </c>
      <c r="C5" s="1">
        <v>1</v>
      </c>
      <c r="E5" s="1" t="s">
        <v>74</v>
      </c>
      <c r="F5" s="4">
        <v>45352</v>
      </c>
      <c r="G5" s="1" t="s">
        <v>21</v>
      </c>
      <c r="H5" s="1" t="s">
        <v>21</v>
      </c>
      <c r="L5" s="3">
        <v>0.75744212962962953</v>
      </c>
      <c r="M5" s="1" t="s">
        <v>21</v>
      </c>
    </row>
    <row r="6" spans="1:19">
      <c r="A6" s="1">
        <v>1</v>
      </c>
      <c r="B6" s="1">
        <v>1.2</v>
      </c>
      <c r="C6" s="1">
        <v>1</v>
      </c>
      <c r="E6" s="4" t="s">
        <v>73</v>
      </c>
      <c r="F6" s="4">
        <v>45353</v>
      </c>
      <c r="G6" s="3">
        <v>0.25237268518518519</v>
      </c>
      <c r="H6" s="1">
        <v>1.39E-3</v>
      </c>
      <c r="L6" s="3">
        <v>0.22784722222222223</v>
      </c>
      <c r="M6" s="3">
        <f>G6 - L6</f>
        <v>2.4525462962962957E-2</v>
      </c>
    </row>
    <row r="7" spans="1:19">
      <c r="A7" s="1" t="s">
        <v>21</v>
      </c>
      <c r="B7" s="1" t="s">
        <v>21</v>
      </c>
      <c r="C7" s="1" t="s">
        <v>21</v>
      </c>
      <c r="E7" s="1" t="s">
        <v>80</v>
      </c>
      <c r="F7" s="4">
        <v>45353</v>
      </c>
      <c r="G7" s="1" t="s">
        <v>21</v>
      </c>
      <c r="H7" s="1" t="s">
        <v>21</v>
      </c>
      <c r="L7" s="3">
        <v>0.76015046296296296</v>
      </c>
      <c r="M7" s="1" t="s">
        <v>21</v>
      </c>
      <c r="O7" s="1" t="s">
        <v>21</v>
      </c>
      <c r="P7" s="1" t="s">
        <v>79</v>
      </c>
    </row>
    <row r="8" spans="1:19">
      <c r="A8" s="1">
        <v>1</v>
      </c>
      <c r="B8" s="1">
        <v>1.2</v>
      </c>
      <c r="C8" s="1">
        <v>1</v>
      </c>
      <c r="E8" s="1" t="s">
        <v>81</v>
      </c>
      <c r="F8" s="4">
        <v>45354</v>
      </c>
      <c r="G8" s="3">
        <v>0.25850694444444444</v>
      </c>
      <c r="H8" s="1">
        <v>2.0199999999999999E-2</v>
      </c>
      <c r="L8" s="3">
        <v>0.23024305555555555</v>
      </c>
      <c r="M8" s="3">
        <f>G8 - L8</f>
        <v>2.8263888888888894E-2</v>
      </c>
    </row>
    <row r="9" spans="1:19">
      <c r="A9" s="1" t="s">
        <v>21</v>
      </c>
      <c r="B9" s="1" t="s">
        <v>21</v>
      </c>
      <c r="C9" s="1" t="s">
        <v>21</v>
      </c>
      <c r="E9" s="1" t="s">
        <v>85</v>
      </c>
      <c r="F9" s="4">
        <v>45354</v>
      </c>
      <c r="G9" s="1" t="s">
        <v>21</v>
      </c>
      <c r="H9" s="1" t="s">
        <v>21</v>
      </c>
      <c r="L9" s="3">
        <v>0.7471875</v>
      </c>
      <c r="M9" s="1" t="s">
        <v>21</v>
      </c>
      <c r="O9" s="1" t="s">
        <v>21</v>
      </c>
    </row>
    <row r="10" spans="1:19">
      <c r="A10" s="1">
        <v>1</v>
      </c>
      <c r="B10" s="1">
        <v>1.2</v>
      </c>
      <c r="C10" s="1">
        <v>1</v>
      </c>
      <c r="E10" s="1" t="s">
        <v>86</v>
      </c>
      <c r="F10" s="4">
        <v>45355</v>
      </c>
      <c r="G10" s="3">
        <v>0.25762731481481482</v>
      </c>
      <c r="H10" s="1">
        <v>1.562E-2</v>
      </c>
      <c r="L10" s="3">
        <v>0.23173611111111111</v>
      </c>
      <c r="M10" s="3">
        <f>G10 - L10</f>
        <v>2.5891203703703708E-2</v>
      </c>
    </row>
    <row r="11" spans="1:19">
      <c r="A11" s="1">
        <v>1</v>
      </c>
      <c r="B11" s="1">
        <v>1.2</v>
      </c>
      <c r="C11" s="1">
        <v>1</v>
      </c>
      <c r="E11" s="1" t="s">
        <v>90</v>
      </c>
      <c r="F11" s="4">
        <v>45355</v>
      </c>
      <c r="G11" s="3">
        <v>0.78077546296296285</v>
      </c>
      <c r="H11" s="1">
        <v>0.1085</v>
      </c>
      <c r="L11" s="3">
        <v>0.75074074074074071</v>
      </c>
      <c r="M11" s="3">
        <f>G11 - L11</f>
        <v>3.0034722222222143E-2</v>
      </c>
    </row>
    <row r="12" spans="1:19">
      <c r="A12" s="1">
        <v>1</v>
      </c>
      <c r="B12" s="1">
        <v>1.2</v>
      </c>
      <c r="C12" s="1">
        <v>1</v>
      </c>
      <c r="E12" s="1" t="s">
        <v>96</v>
      </c>
      <c r="F12" s="4">
        <v>45356</v>
      </c>
      <c r="G12" s="3">
        <v>0.25917824074074075</v>
      </c>
      <c r="H12" s="1">
        <v>3.61E-2</v>
      </c>
      <c r="L12" s="3">
        <v>0.23202546296296298</v>
      </c>
      <c r="M12" s="3">
        <f>G12 - L12</f>
        <v>2.7152777777777776E-2</v>
      </c>
    </row>
    <row r="13" spans="1:19">
      <c r="A13" s="1" t="s">
        <v>21</v>
      </c>
      <c r="B13" s="1" t="s">
        <v>21</v>
      </c>
      <c r="C13" s="1" t="s">
        <v>21</v>
      </c>
      <c r="E13" s="1" t="s">
        <v>113</v>
      </c>
      <c r="F13" s="4">
        <v>45357</v>
      </c>
      <c r="G13" s="1" t="s">
        <v>21</v>
      </c>
      <c r="H13" s="1" t="s">
        <v>21</v>
      </c>
      <c r="L13" s="3">
        <v>0.74782407407407403</v>
      </c>
      <c r="M13" s="1" t="s">
        <v>21</v>
      </c>
      <c r="O13" s="1" t="s">
        <v>21</v>
      </c>
      <c r="P13" s="1" t="s">
        <v>79</v>
      </c>
    </row>
    <row r="14" spans="1:19">
      <c r="A14" s="1">
        <v>1</v>
      </c>
      <c r="B14" s="1">
        <v>1.2</v>
      </c>
      <c r="C14" s="1">
        <v>1</v>
      </c>
      <c r="D14" s="1" t="s">
        <v>107</v>
      </c>
      <c r="E14" s="1" t="s">
        <v>112</v>
      </c>
      <c r="F14" s="4">
        <v>45358</v>
      </c>
      <c r="G14" s="3">
        <v>0.25737268518518519</v>
      </c>
      <c r="H14" s="1">
        <v>2.6499999999999999E-2</v>
      </c>
      <c r="L14" s="3">
        <v>0.23011574074074073</v>
      </c>
      <c r="M14" s="3">
        <f t="shared" ref="M14:M25" si="0">G14 - L14</f>
        <v>2.7256944444444459E-2</v>
      </c>
    </row>
    <row r="15" spans="1:19">
      <c r="A15" s="1">
        <v>1</v>
      </c>
      <c r="B15" s="1">
        <v>1.2</v>
      </c>
      <c r="C15" s="1">
        <v>1</v>
      </c>
      <c r="D15" s="1" t="s">
        <v>118</v>
      </c>
      <c r="E15" s="1" t="s">
        <v>120</v>
      </c>
      <c r="F15" s="4">
        <v>45358</v>
      </c>
      <c r="G15" s="3">
        <v>0.78069444444444447</v>
      </c>
      <c r="H15" s="1">
        <v>0.1134</v>
      </c>
      <c r="L15" s="3">
        <v>0.75884259259259268</v>
      </c>
      <c r="M15" s="3">
        <f t="shared" si="0"/>
        <v>2.1851851851851789E-2</v>
      </c>
    </row>
    <row r="16" spans="1:19">
      <c r="A16" s="1">
        <v>1</v>
      </c>
      <c r="B16" s="1">
        <v>1.2</v>
      </c>
      <c r="C16" s="1" t="s">
        <v>114</v>
      </c>
      <c r="D16" s="1" t="s">
        <v>115</v>
      </c>
      <c r="E16" s="1" t="s">
        <v>121</v>
      </c>
      <c r="F16" s="4">
        <v>45359</v>
      </c>
      <c r="G16" s="3">
        <v>0.27071759259259259</v>
      </c>
      <c r="H16" s="1">
        <v>1.899</v>
      </c>
      <c r="L16" s="3">
        <v>0.23064814814814816</v>
      </c>
      <c r="M16" s="3">
        <f t="shared" si="0"/>
        <v>4.0069444444444435E-2</v>
      </c>
      <c r="P16" s="1" t="s">
        <v>122</v>
      </c>
    </row>
    <row r="17" spans="1:16">
      <c r="A17" s="1">
        <v>1</v>
      </c>
      <c r="B17" s="1">
        <v>1.2</v>
      </c>
      <c r="C17" s="1">
        <v>1</v>
      </c>
      <c r="D17" s="1" t="s">
        <v>135</v>
      </c>
      <c r="E17" s="1" t="s">
        <v>171</v>
      </c>
      <c r="F17" s="4">
        <v>45359</v>
      </c>
      <c r="G17" s="3">
        <v>0.78964120370370372</v>
      </c>
      <c r="H17" s="1">
        <v>5.3499999999999997E-3</v>
      </c>
      <c r="L17" s="3">
        <v>0.73781249999999998</v>
      </c>
      <c r="M17" s="3">
        <f t="shared" si="0"/>
        <v>5.1828703703703738E-2</v>
      </c>
      <c r="O17" s="3">
        <v>5.185185185185185E-2</v>
      </c>
    </row>
    <row r="18" spans="1:16">
      <c r="A18" s="1">
        <v>1</v>
      </c>
      <c r="B18" s="1">
        <v>1.2</v>
      </c>
      <c r="C18" s="1">
        <v>1</v>
      </c>
      <c r="D18" s="1" t="s">
        <v>132</v>
      </c>
      <c r="E18" s="1" t="s">
        <v>173</v>
      </c>
      <c r="F18" s="4">
        <v>45362</v>
      </c>
      <c r="G18" s="3">
        <v>0.25252314814814814</v>
      </c>
      <c r="H18" s="1">
        <v>2.5799999999999998E-3</v>
      </c>
      <c r="L18" s="3">
        <v>0.22348379629629631</v>
      </c>
      <c r="M18" s="3">
        <f t="shared" si="0"/>
        <v>2.903935185185183E-2</v>
      </c>
      <c r="O18" s="3">
        <v>2.9050925925925924E-2</v>
      </c>
    </row>
    <row r="19" spans="1:16">
      <c r="A19" s="1">
        <v>1</v>
      </c>
      <c r="B19" s="1">
        <v>1.2</v>
      </c>
      <c r="C19" s="1">
        <v>2</v>
      </c>
      <c r="D19" s="1" t="s">
        <v>132</v>
      </c>
      <c r="E19" s="1" t="s">
        <v>173</v>
      </c>
      <c r="F19" s="4">
        <v>45362</v>
      </c>
      <c r="G19" s="3">
        <v>0.26149305555555558</v>
      </c>
      <c r="H19" s="1">
        <v>3.5999999999999997E-2</v>
      </c>
      <c r="L19" s="3">
        <v>0.22348379629629631</v>
      </c>
      <c r="M19" s="3">
        <f t="shared" si="0"/>
        <v>3.800925925925927E-2</v>
      </c>
      <c r="O19" s="3">
        <v>3.8090277777777778E-2</v>
      </c>
    </row>
    <row r="20" spans="1:16">
      <c r="A20" s="1">
        <v>1</v>
      </c>
      <c r="B20" s="1">
        <v>1.2</v>
      </c>
      <c r="C20" s="1">
        <v>1</v>
      </c>
      <c r="D20" s="1" t="s">
        <v>131</v>
      </c>
      <c r="E20" s="1" t="s">
        <v>157</v>
      </c>
      <c r="F20" s="4">
        <v>45362</v>
      </c>
      <c r="G20" s="3">
        <v>0.78787037037037033</v>
      </c>
      <c r="H20" s="1">
        <v>2.9099999999999998E-3</v>
      </c>
      <c r="L20" s="3">
        <v>0.75906249999999997</v>
      </c>
      <c r="M20" s="3">
        <f t="shared" si="0"/>
        <v>2.8807870370370359E-2</v>
      </c>
    </row>
    <row r="21" spans="1:16">
      <c r="A21" s="1">
        <v>1</v>
      </c>
      <c r="B21" s="1">
        <v>1.2</v>
      </c>
      <c r="C21" s="1">
        <v>1</v>
      </c>
      <c r="D21" s="1" t="s">
        <v>123</v>
      </c>
      <c r="E21" s="1" t="s">
        <v>154</v>
      </c>
      <c r="F21" s="4">
        <v>45363</v>
      </c>
      <c r="G21" s="3">
        <v>0.25710648148148146</v>
      </c>
      <c r="H21" s="1">
        <v>1.6039999999999999E-2</v>
      </c>
      <c r="L21" s="3">
        <v>0.22644675925925925</v>
      </c>
      <c r="M21" s="3">
        <f t="shared" si="0"/>
        <v>3.0659722222222213E-2</v>
      </c>
    </row>
    <row r="22" spans="1:16">
      <c r="A22" s="1">
        <v>1</v>
      </c>
      <c r="B22" s="1">
        <v>1.2</v>
      </c>
      <c r="C22" s="1">
        <v>2</v>
      </c>
      <c r="D22" s="1" t="s">
        <v>123</v>
      </c>
      <c r="E22" s="1" t="s">
        <v>154</v>
      </c>
      <c r="F22" s="4">
        <v>45363</v>
      </c>
      <c r="G22" s="3">
        <v>0.2658449074074074</v>
      </c>
      <c r="H22" s="1">
        <v>0.52400000000000002</v>
      </c>
      <c r="L22" s="3">
        <v>0.22644675925925925</v>
      </c>
      <c r="M22" s="3">
        <f t="shared" si="0"/>
        <v>3.9398148148148154E-2</v>
      </c>
      <c r="O22" s="3">
        <v>3.923611111111111E-2</v>
      </c>
    </row>
    <row r="23" spans="1:16">
      <c r="A23" s="1">
        <v>1</v>
      </c>
      <c r="B23" s="1">
        <v>1.2</v>
      </c>
      <c r="C23" s="1">
        <v>1</v>
      </c>
      <c r="D23" s="1" t="s">
        <v>129</v>
      </c>
      <c r="E23" s="1" t="s">
        <v>156</v>
      </c>
      <c r="F23" s="4">
        <v>45363</v>
      </c>
      <c r="G23" s="3">
        <v>0.77847222222222223</v>
      </c>
      <c r="H23" s="1">
        <v>9.2100000000000001E-2</v>
      </c>
      <c r="L23" s="3">
        <v>0.75655092592592588</v>
      </c>
      <c r="M23" s="3">
        <f t="shared" si="0"/>
        <v>2.1921296296296355E-2</v>
      </c>
      <c r="O23" s="3">
        <v>2.1770833333333333E-2</v>
      </c>
    </row>
    <row r="24" spans="1:16">
      <c r="A24" s="1">
        <v>1</v>
      </c>
      <c r="B24" s="1">
        <v>1.2</v>
      </c>
      <c r="C24" s="1">
        <v>2</v>
      </c>
      <c r="D24" s="1" t="s">
        <v>129</v>
      </c>
      <c r="E24" s="1" t="s">
        <v>156</v>
      </c>
      <c r="F24" s="4">
        <v>45363</v>
      </c>
      <c r="G24" s="3">
        <v>0.7882986111111111</v>
      </c>
      <c r="H24" s="1">
        <v>1.763E-3</v>
      </c>
      <c r="L24" s="3">
        <v>0.75655092592592588</v>
      </c>
      <c r="M24" s="3">
        <f t="shared" si="0"/>
        <v>3.1747685185185226E-2</v>
      </c>
      <c r="O24" s="3">
        <v>3.1689814814814816E-2</v>
      </c>
    </row>
    <row r="25" spans="1:16">
      <c r="A25" s="1">
        <v>1</v>
      </c>
      <c r="B25" s="1">
        <v>1.2</v>
      </c>
      <c r="C25" s="1">
        <v>1</v>
      </c>
      <c r="D25" s="1" t="s">
        <v>140</v>
      </c>
      <c r="E25" s="1" t="s">
        <v>174</v>
      </c>
      <c r="F25" s="4">
        <v>45364</v>
      </c>
      <c r="G25" s="3">
        <v>0.25965277777777779</v>
      </c>
      <c r="H25" s="1">
        <v>1.8499999999999999E-2</v>
      </c>
      <c r="L25" s="3">
        <v>0.2348611111111111</v>
      </c>
      <c r="M25" s="3">
        <f t="shared" si="0"/>
        <v>2.4791666666666684E-2</v>
      </c>
      <c r="O25" s="3">
        <v>2.3831018518518519E-2</v>
      </c>
    </row>
    <row r="26" spans="1:16">
      <c r="A26" s="1">
        <v>1</v>
      </c>
      <c r="B26" s="1">
        <v>1.2</v>
      </c>
      <c r="C26" s="1">
        <v>1</v>
      </c>
      <c r="D26" s="1" t="s">
        <v>145</v>
      </c>
      <c r="E26" s="1" t="s">
        <v>176</v>
      </c>
      <c r="F26" s="4">
        <v>45364</v>
      </c>
      <c r="G26" s="3">
        <v>0.75667824074074075</v>
      </c>
      <c r="H26" s="1" t="s">
        <v>21</v>
      </c>
      <c r="L26" s="3">
        <v>0.76083333333333336</v>
      </c>
      <c r="M26" s="3" t="s">
        <v>21</v>
      </c>
      <c r="O26" s="1" t="s">
        <v>21</v>
      </c>
      <c r="P26" s="1" t="s">
        <v>177</v>
      </c>
    </row>
    <row r="27" spans="1:16">
      <c r="A27" s="1">
        <v>1</v>
      </c>
      <c r="B27" s="1">
        <v>1.2</v>
      </c>
      <c r="C27" s="1">
        <v>2</v>
      </c>
      <c r="D27" s="1" t="s">
        <v>145</v>
      </c>
      <c r="E27" s="1" t="s">
        <v>176</v>
      </c>
      <c r="F27" s="4">
        <v>45364</v>
      </c>
      <c r="G27" s="3">
        <v>0.7806249999999999</v>
      </c>
      <c r="H27" s="1">
        <v>4.6199999999999998E-2</v>
      </c>
      <c r="L27" s="3">
        <v>0.76083333333333336</v>
      </c>
      <c r="M27" s="3">
        <f t="shared" ref="M27:M35" si="1">G27 - L27</f>
        <v>1.9791666666666541E-2</v>
      </c>
      <c r="O27" s="3">
        <v>1.9571759259259261E-2</v>
      </c>
    </row>
    <row r="28" spans="1:16">
      <c r="A28" s="1">
        <v>1</v>
      </c>
      <c r="B28" s="1">
        <v>1.2</v>
      </c>
      <c r="C28" s="1">
        <v>1</v>
      </c>
      <c r="D28" s="1" t="s">
        <v>144</v>
      </c>
      <c r="E28" s="1" t="s">
        <v>178</v>
      </c>
      <c r="F28" s="4">
        <v>45365</v>
      </c>
      <c r="G28" s="3">
        <v>0.25800925925925927</v>
      </c>
      <c r="H28" s="1">
        <v>5.2499999999999998E-2</v>
      </c>
      <c r="L28" s="3">
        <v>0.23493055555555556</v>
      </c>
      <c r="M28" s="3">
        <f t="shared" si="1"/>
        <v>2.3078703703703712E-2</v>
      </c>
      <c r="O28" s="3">
        <v>2.3194444444444445E-2</v>
      </c>
    </row>
    <row r="29" spans="1:16">
      <c r="A29" s="1">
        <v>1</v>
      </c>
      <c r="B29" s="1">
        <v>1.2</v>
      </c>
      <c r="C29" s="1">
        <v>1</v>
      </c>
      <c r="D29" s="1" t="s">
        <v>142</v>
      </c>
      <c r="E29" s="1" t="s">
        <v>179</v>
      </c>
      <c r="F29" s="4">
        <v>45365</v>
      </c>
      <c r="G29" s="3">
        <v>0.78318287037037038</v>
      </c>
      <c r="H29" s="1">
        <v>1.77E-2</v>
      </c>
      <c r="L29" s="3">
        <v>0.75518518518518518</v>
      </c>
      <c r="M29" s="3">
        <f t="shared" si="1"/>
        <v>2.7997685185185195E-2</v>
      </c>
      <c r="O29" s="3">
        <v>2.7719907407407408E-2</v>
      </c>
    </row>
    <row r="30" spans="1:16">
      <c r="A30" s="1">
        <v>1</v>
      </c>
      <c r="B30" s="1">
        <v>1.2</v>
      </c>
      <c r="C30" s="1">
        <v>2</v>
      </c>
      <c r="D30" s="1" t="s">
        <v>142</v>
      </c>
      <c r="E30" s="1" t="s">
        <v>179</v>
      </c>
      <c r="F30" s="4">
        <v>45365</v>
      </c>
      <c r="G30" s="3">
        <v>0.79114583333333344</v>
      </c>
      <c r="H30" s="1">
        <v>8.6E-3</v>
      </c>
      <c r="L30" s="3">
        <v>0.75518518518518518</v>
      </c>
      <c r="M30" s="3">
        <f t="shared" si="1"/>
        <v>3.5960648148148255E-2</v>
      </c>
      <c r="O30" s="3">
        <v>3.5648148148148151E-2</v>
      </c>
      <c r="P30" s="1" t="s">
        <v>187</v>
      </c>
    </row>
    <row r="31" spans="1:16">
      <c r="A31" s="1">
        <v>1</v>
      </c>
      <c r="B31" s="1">
        <v>1.2</v>
      </c>
      <c r="C31" s="1">
        <v>1</v>
      </c>
      <c r="D31" s="1" t="s">
        <v>148</v>
      </c>
      <c r="E31" s="1" t="s">
        <v>180</v>
      </c>
      <c r="F31" s="4">
        <v>45366</v>
      </c>
      <c r="G31" s="3">
        <v>0.25900462962962967</v>
      </c>
      <c r="H31" s="1">
        <v>6.08E-2</v>
      </c>
      <c r="L31" s="3">
        <v>0.23423611111111112</v>
      </c>
      <c r="M31" s="3">
        <f t="shared" si="1"/>
        <v>2.4768518518518551E-2</v>
      </c>
      <c r="O31" s="3">
        <v>2.4444444444444446E-2</v>
      </c>
    </row>
    <row r="32" spans="1:16">
      <c r="A32" s="1">
        <v>1</v>
      </c>
      <c r="B32" s="1">
        <v>1.2</v>
      </c>
      <c r="C32" s="1">
        <v>2</v>
      </c>
      <c r="D32" s="1" t="s">
        <v>148</v>
      </c>
      <c r="E32" s="1" t="s">
        <v>180</v>
      </c>
      <c r="F32" s="4">
        <v>45366</v>
      </c>
      <c r="G32" s="3">
        <v>0.26502314814814815</v>
      </c>
      <c r="H32" s="1">
        <v>0.56100000000000005</v>
      </c>
      <c r="L32" s="3">
        <v>0.23423611111111112</v>
      </c>
      <c r="M32" s="3">
        <f t="shared" si="1"/>
        <v>3.0787037037037029E-2</v>
      </c>
      <c r="O32" s="3">
        <v>3.0497685185185187E-2</v>
      </c>
    </row>
    <row r="33" spans="1:22">
      <c r="A33" s="1">
        <v>1</v>
      </c>
      <c r="B33" s="1">
        <v>1.2</v>
      </c>
      <c r="C33" s="1">
        <v>1</v>
      </c>
      <c r="D33" s="1" t="s">
        <v>149</v>
      </c>
      <c r="E33" s="1" t="s">
        <v>181</v>
      </c>
      <c r="F33" s="4">
        <v>45366</v>
      </c>
      <c r="G33" s="3">
        <v>0.7882986111111111</v>
      </c>
      <c r="H33" s="1">
        <v>1.3699999999999999E-3</v>
      </c>
      <c r="L33" s="3">
        <v>0.75768518518518524</v>
      </c>
      <c r="M33" s="3">
        <f t="shared" si="1"/>
        <v>3.0613425925925863E-2</v>
      </c>
      <c r="O33" s="3">
        <v>3.0243055555555554E-2</v>
      </c>
    </row>
    <row r="34" spans="1:22">
      <c r="A34" s="1">
        <v>1</v>
      </c>
      <c r="B34" s="1">
        <v>1.2</v>
      </c>
      <c r="C34" s="1">
        <v>2</v>
      </c>
      <c r="D34" s="1" t="s">
        <v>151</v>
      </c>
      <c r="E34" s="1" t="s">
        <v>182</v>
      </c>
      <c r="F34" s="4">
        <v>45367</v>
      </c>
      <c r="G34" s="3">
        <v>0.25092592592592594</v>
      </c>
      <c r="H34" s="7">
        <v>0.159</v>
      </c>
      <c r="I34" s="7" t="s">
        <v>403</v>
      </c>
      <c r="J34" s="7">
        <v>5.0600000000000005E-4</v>
      </c>
      <c r="K34" s="7" t="s">
        <v>435</v>
      </c>
      <c r="L34" s="3">
        <v>0.2401851851851852</v>
      </c>
      <c r="M34" s="3">
        <f t="shared" si="1"/>
        <v>1.0740740740740745E-2</v>
      </c>
      <c r="O34" s="3">
        <v>1.0474537037037037E-2</v>
      </c>
    </row>
    <row r="35" spans="1:22">
      <c r="A35" s="1">
        <v>1</v>
      </c>
      <c r="B35" s="1">
        <v>1.2</v>
      </c>
      <c r="C35" s="1">
        <v>1</v>
      </c>
      <c r="D35" s="1" t="s">
        <v>153</v>
      </c>
      <c r="E35" s="1" t="s">
        <v>183</v>
      </c>
      <c r="F35" s="4">
        <v>45367</v>
      </c>
      <c r="G35" s="3">
        <v>0.78707175925925921</v>
      </c>
      <c r="H35" s="1">
        <v>4.5900000000000003E-3</v>
      </c>
      <c r="L35" s="3">
        <v>0.75130787037037039</v>
      </c>
      <c r="M35" s="3">
        <f t="shared" si="1"/>
        <v>3.5763888888888817E-2</v>
      </c>
      <c r="O35" s="3">
        <v>3.5578703703703703E-2</v>
      </c>
      <c r="P35" s="1" t="s">
        <v>188</v>
      </c>
    </row>
    <row r="36" spans="1:22">
      <c r="A36" s="1">
        <v>1</v>
      </c>
      <c r="B36" s="1">
        <v>1.2</v>
      </c>
      <c r="C36" s="1">
        <v>1</v>
      </c>
      <c r="D36" s="1" t="s">
        <v>151</v>
      </c>
      <c r="E36" s="1" t="s">
        <v>182</v>
      </c>
      <c r="F36" s="4">
        <v>45367</v>
      </c>
      <c r="G36" s="1" t="s">
        <v>21</v>
      </c>
      <c r="H36" s="1" t="s">
        <v>21</v>
      </c>
      <c r="L36" s="3">
        <v>0.2401851851851852</v>
      </c>
      <c r="M36" s="1" t="s">
        <v>21</v>
      </c>
      <c r="O36" s="1" t="s">
        <v>21</v>
      </c>
      <c r="P36" s="1" t="s">
        <v>185</v>
      </c>
    </row>
    <row r="37" spans="1:22">
      <c r="A37" s="1">
        <v>1</v>
      </c>
      <c r="B37" s="1">
        <v>1.2</v>
      </c>
      <c r="C37" s="1">
        <v>3</v>
      </c>
      <c r="D37" s="1" t="s">
        <v>151</v>
      </c>
      <c r="E37" s="1" t="s">
        <v>182</v>
      </c>
      <c r="F37" s="4">
        <v>45367</v>
      </c>
      <c r="G37" s="1" t="s">
        <v>21</v>
      </c>
      <c r="H37" s="1" t="s">
        <v>21</v>
      </c>
      <c r="L37" s="3">
        <v>0.2401851851851852</v>
      </c>
      <c r="M37" s="1" t="s">
        <v>21</v>
      </c>
      <c r="O37" s="1" t="s">
        <v>21</v>
      </c>
      <c r="P37" s="1" t="s">
        <v>186</v>
      </c>
    </row>
    <row r="38" spans="1:22">
      <c r="A38" s="1">
        <v>1</v>
      </c>
      <c r="B38" s="1">
        <v>1.2</v>
      </c>
      <c r="C38" s="1">
        <v>1</v>
      </c>
      <c r="D38" s="1" t="s">
        <v>158</v>
      </c>
      <c r="E38" s="1" t="s">
        <v>184</v>
      </c>
      <c r="F38" s="4">
        <v>45368</v>
      </c>
      <c r="G38" s="3">
        <v>0.25017361111111114</v>
      </c>
      <c r="H38" s="7">
        <v>1.1469999999999999E-2</v>
      </c>
      <c r="I38" s="1" t="s">
        <v>438</v>
      </c>
      <c r="L38" s="3">
        <v>0.23671296296296296</v>
      </c>
      <c r="M38" s="3">
        <f t="shared" ref="M38:M44" si="2">G38 - L38</f>
        <v>1.346064814814818E-2</v>
      </c>
      <c r="O38" s="3"/>
    </row>
    <row r="39" spans="1:22">
      <c r="A39" s="1">
        <v>1</v>
      </c>
      <c r="B39" s="1">
        <v>1.2</v>
      </c>
      <c r="C39" s="1">
        <v>2</v>
      </c>
      <c r="D39" s="1" t="s">
        <v>158</v>
      </c>
      <c r="E39" s="1" t="s">
        <v>184</v>
      </c>
      <c r="F39" s="4">
        <v>45368</v>
      </c>
      <c r="G39" s="3">
        <v>0.26189814814814816</v>
      </c>
      <c r="H39" s="1">
        <v>0.39300000000000002</v>
      </c>
      <c r="L39" s="3">
        <v>0.23671296296296296</v>
      </c>
      <c r="M39" s="3">
        <f t="shared" si="2"/>
        <v>2.5185185185185199E-2</v>
      </c>
    </row>
    <row r="40" spans="1:22">
      <c r="A40" s="1">
        <v>1</v>
      </c>
      <c r="B40" s="1">
        <v>1.2</v>
      </c>
      <c r="C40" s="1">
        <v>1</v>
      </c>
      <c r="D40" s="1" t="s">
        <v>164</v>
      </c>
      <c r="E40" s="1" t="s">
        <v>194</v>
      </c>
      <c r="F40" s="4">
        <v>45368</v>
      </c>
      <c r="G40" s="3">
        <v>0.78758101851851858</v>
      </c>
      <c r="H40" s="1">
        <v>1.14E-3</v>
      </c>
      <c r="L40" s="3">
        <v>0.75736111111111115</v>
      </c>
      <c r="M40" s="3">
        <f t="shared" si="2"/>
        <v>3.0219907407407431E-2</v>
      </c>
      <c r="O40" s="3">
        <v>2.9965277777777778E-2</v>
      </c>
      <c r="P40" s="1" t="s">
        <v>193</v>
      </c>
    </row>
    <row r="41" spans="1:22">
      <c r="A41" s="1">
        <v>1</v>
      </c>
      <c r="B41" s="1">
        <v>1.2</v>
      </c>
      <c r="C41" s="1">
        <v>1</v>
      </c>
      <c r="D41" s="1" t="s">
        <v>163</v>
      </c>
      <c r="E41" s="1" t="s">
        <v>196</v>
      </c>
      <c r="F41" s="4">
        <v>45369</v>
      </c>
      <c r="G41" s="3">
        <v>0.24724537037037037</v>
      </c>
      <c r="H41" s="7">
        <v>6.7000000000000002E-3</v>
      </c>
      <c r="I41" s="1" t="s">
        <v>439</v>
      </c>
      <c r="L41" s="3">
        <v>0.2326388888888889</v>
      </c>
      <c r="M41" s="3">
        <f t="shared" si="2"/>
        <v>1.460648148148147E-2</v>
      </c>
      <c r="O41" s="3">
        <v>1.4201388888888888E-2</v>
      </c>
    </row>
    <row r="42" spans="1:22">
      <c r="A42" s="1">
        <v>1</v>
      </c>
      <c r="B42" s="1">
        <v>1.2</v>
      </c>
      <c r="C42" s="1">
        <v>2</v>
      </c>
      <c r="D42" s="1" t="s">
        <v>163</v>
      </c>
      <c r="E42" s="1" t="s">
        <v>196</v>
      </c>
      <c r="F42" s="4">
        <v>45369</v>
      </c>
      <c r="G42" s="3">
        <v>0.25831018518518517</v>
      </c>
      <c r="H42" s="1">
        <v>4.9200000000000001E-2</v>
      </c>
      <c r="L42" s="3">
        <v>0.2326388888888889</v>
      </c>
      <c r="M42" s="3">
        <f t="shared" si="2"/>
        <v>2.5671296296296275E-2</v>
      </c>
      <c r="O42" s="3">
        <v>2.5266203703703704E-2</v>
      </c>
    </row>
    <row r="43" spans="1:22" s="7" customFormat="1">
      <c r="A43" s="1">
        <v>1</v>
      </c>
      <c r="B43" s="1">
        <v>1.2</v>
      </c>
      <c r="C43" s="1">
        <v>1</v>
      </c>
      <c r="D43" s="1" t="s">
        <v>161</v>
      </c>
      <c r="E43" s="1" t="s">
        <v>198</v>
      </c>
      <c r="F43" s="4">
        <v>45369</v>
      </c>
      <c r="G43" s="3">
        <v>0.78405092592592596</v>
      </c>
      <c r="H43" s="7" t="s">
        <v>402</v>
      </c>
      <c r="I43" s="1" t="s">
        <v>209</v>
      </c>
      <c r="J43" s="1">
        <v>9.7699999999999992E-3</v>
      </c>
      <c r="K43" s="7" t="s">
        <v>437</v>
      </c>
      <c r="L43" s="3">
        <v>0.75791666666666668</v>
      </c>
      <c r="M43" s="3">
        <f t="shared" si="2"/>
        <v>2.6134259259259274E-2</v>
      </c>
      <c r="N43" s="1"/>
      <c r="O43" s="3">
        <v>2.5810185185185186E-2</v>
      </c>
      <c r="Q43" s="1"/>
      <c r="R43" s="1"/>
      <c r="S43" s="1"/>
      <c r="T43" s="1"/>
      <c r="U43" s="1"/>
      <c r="V43" s="1"/>
    </row>
    <row r="44" spans="1:22">
      <c r="A44" s="1">
        <v>1</v>
      </c>
      <c r="B44" s="1">
        <v>1.2</v>
      </c>
      <c r="C44" s="1">
        <v>1</v>
      </c>
      <c r="D44" s="1" t="s">
        <v>159</v>
      </c>
      <c r="E44" s="1" t="s">
        <v>199</v>
      </c>
      <c r="F44" s="4">
        <v>45370</v>
      </c>
      <c r="G44" s="3">
        <v>0.26055555555555554</v>
      </c>
      <c r="H44" s="1">
        <v>5.8200000000000002E-2</v>
      </c>
      <c r="L44" s="3">
        <v>0.22921296296296295</v>
      </c>
      <c r="M44" s="3">
        <f t="shared" si="2"/>
        <v>3.1342592592592589E-2</v>
      </c>
      <c r="O44" s="3">
        <v>3.0844907407407408E-2</v>
      </c>
    </row>
    <row r="45" spans="1:22">
      <c r="A45" s="1">
        <v>1</v>
      </c>
      <c r="B45" s="1">
        <v>1.2</v>
      </c>
      <c r="C45" s="1">
        <v>1</v>
      </c>
      <c r="D45" s="1" t="s">
        <v>190</v>
      </c>
      <c r="E45" s="1" t="s">
        <v>386</v>
      </c>
      <c r="F45" s="4">
        <v>45370</v>
      </c>
      <c r="G45" s="3" t="s">
        <v>21</v>
      </c>
      <c r="H45" s="1" t="s">
        <v>21</v>
      </c>
      <c r="L45" s="3" t="s">
        <v>387</v>
      </c>
      <c r="M45" s="1" t="s">
        <v>21</v>
      </c>
      <c r="O45" s="6" t="s">
        <v>21</v>
      </c>
      <c r="P45" s="1" t="s">
        <v>191</v>
      </c>
      <c r="U45" s="2"/>
      <c r="V45" s="2"/>
    </row>
    <row r="46" spans="1:22">
      <c r="A46" s="1">
        <v>1</v>
      </c>
      <c r="B46" s="1">
        <v>1.2</v>
      </c>
      <c r="C46" s="1">
        <v>1</v>
      </c>
      <c r="D46" s="1" t="s">
        <v>202</v>
      </c>
      <c r="E46" s="1" t="s">
        <v>270</v>
      </c>
      <c r="F46" s="4">
        <v>45372</v>
      </c>
      <c r="G46" s="6">
        <v>0.26060185185185186</v>
      </c>
      <c r="H46" s="1">
        <v>0.22700000000000001</v>
      </c>
      <c r="L46" s="3">
        <v>0.22766203703703702</v>
      </c>
      <c r="M46" s="3">
        <f>G46 - L46</f>
        <v>3.2939814814814838E-2</v>
      </c>
      <c r="O46" s="3">
        <v>3.2384259259259258E-2</v>
      </c>
    </row>
    <row r="47" spans="1:22">
      <c r="A47" s="1">
        <v>1</v>
      </c>
      <c r="B47" s="1">
        <v>1.2</v>
      </c>
      <c r="C47" s="1">
        <v>1</v>
      </c>
      <c r="D47" s="1" t="s">
        <v>216</v>
      </c>
      <c r="E47" s="4" t="s">
        <v>21</v>
      </c>
      <c r="F47" s="4">
        <v>45372</v>
      </c>
      <c r="G47" s="6">
        <v>0.77483796296296303</v>
      </c>
      <c r="H47" s="1" t="s">
        <v>21</v>
      </c>
      <c r="I47" s="1" t="s">
        <v>401</v>
      </c>
      <c r="J47" s="1">
        <v>0.54600000000000004</v>
      </c>
      <c r="K47" s="1" t="s">
        <v>442</v>
      </c>
      <c r="L47" s="1" t="s">
        <v>21</v>
      </c>
      <c r="M47" s="1" t="s">
        <v>21</v>
      </c>
      <c r="O47" s="1" t="s">
        <v>21</v>
      </c>
      <c r="P47" s="1" t="s">
        <v>263</v>
      </c>
    </row>
    <row r="48" spans="1:22">
      <c r="A48" s="1">
        <v>1</v>
      </c>
      <c r="B48" s="1">
        <v>1.2</v>
      </c>
      <c r="C48" s="1">
        <v>2</v>
      </c>
      <c r="D48" s="1" t="s">
        <v>216</v>
      </c>
      <c r="E48" s="4" t="s">
        <v>21</v>
      </c>
      <c r="F48" s="4">
        <v>45372</v>
      </c>
      <c r="G48" s="6" t="s">
        <v>21</v>
      </c>
      <c r="H48" s="1" t="s">
        <v>21</v>
      </c>
      <c r="L48" s="1" t="s">
        <v>21</v>
      </c>
      <c r="M48" s="1" t="s">
        <v>21</v>
      </c>
      <c r="O48" s="1" t="s">
        <v>21</v>
      </c>
      <c r="P48" s="1" t="s">
        <v>266</v>
      </c>
    </row>
    <row r="49" spans="1:22">
      <c r="A49" s="1">
        <v>1</v>
      </c>
      <c r="B49" s="1">
        <v>1.2</v>
      </c>
      <c r="C49" s="1">
        <v>1</v>
      </c>
      <c r="D49" s="1" t="s">
        <v>220</v>
      </c>
      <c r="E49" s="1" t="s">
        <v>253</v>
      </c>
      <c r="F49" s="4">
        <v>45373</v>
      </c>
      <c r="G49" s="6">
        <v>0.25677083333333334</v>
      </c>
      <c r="H49" s="1">
        <v>9.2299999999999993E-2</v>
      </c>
      <c r="L49" s="3">
        <v>0.22378472222222223</v>
      </c>
      <c r="M49" s="3">
        <f t="shared" ref="M49:M55" si="3">G49 - L49</f>
        <v>3.2986111111111105E-2</v>
      </c>
      <c r="O49" s="3">
        <v>3.2916666666666664E-2</v>
      </c>
      <c r="P49" s="1" t="s">
        <v>268</v>
      </c>
    </row>
    <row r="50" spans="1:22">
      <c r="A50" s="1">
        <v>1</v>
      </c>
      <c r="B50" s="1">
        <v>1.2</v>
      </c>
      <c r="C50" s="1">
        <v>1</v>
      </c>
      <c r="D50" s="1" t="s">
        <v>221</v>
      </c>
      <c r="E50" s="1" t="s">
        <v>254</v>
      </c>
      <c r="F50" s="4">
        <v>45373</v>
      </c>
      <c r="G50" s="6">
        <v>0.77311342592592591</v>
      </c>
      <c r="H50" s="1">
        <v>0.54600000000000004</v>
      </c>
      <c r="L50" s="3">
        <v>0.75416666666666665</v>
      </c>
      <c r="M50" s="3">
        <f t="shared" si="3"/>
        <v>1.894675925925926E-2</v>
      </c>
      <c r="O50" s="3">
        <v>1.8692129629629628E-2</v>
      </c>
    </row>
    <row r="51" spans="1:22">
      <c r="A51" s="1">
        <v>1</v>
      </c>
      <c r="B51" s="1">
        <v>1.2</v>
      </c>
      <c r="C51" s="1">
        <v>1</v>
      </c>
      <c r="D51" s="1" t="s">
        <v>223</v>
      </c>
      <c r="E51" s="1" t="s">
        <v>255</v>
      </c>
      <c r="F51" s="4">
        <v>45374</v>
      </c>
      <c r="G51" s="6">
        <v>0.25959490740740743</v>
      </c>
      <c r="H51" s="1">
        <v>0.24</v>
      </c>
      <c r="L51" s="3">
        <v>0.2399537037037037</v>
      </c>
      <c r="M51" s="3">
        <f t="shared" si="3"/>
        <v>1.964120370370373E-2</v>
      </c>
      <c r="O51" s="3">
        <v>1.9432870370370371E-2</v>
      </c>
    </row>
    <row r="52" spans="1:22">
      <c r="A52" s="1">
        <v>1</v>
      </c>
      <c r="B52" s="1">
        <v>1.2</v>
      </c>
      <c r="C52" s="1">
        <v>2</v>
      </c>
      <c r="D52" s="1" t="s">
        <v>223</v>
      </c>
      <c r="E52" s="1" t="s">
        <v>255</v>
      </c>
      <c r="F52" s="4">
        <v>45374</v>
      </c>
      <c r="G52" s="6">
        <v>0.26443287037037039</v>
      </c>
      <c r="H52" s="1">
        <v>0.70799999999999996</v>
      </c>
      <c r="L52" s="3">
        <v>0.2399537037037037</v>
      </c>
      <c r="M52" s="3">
        <f t="shared" si="3"/>
        <v>2.4479166666666691E-2</v>
      </c>
      <c r="O52" s="3">
        <v>2.4270833333333332E-2</v>
      </c>
    </row>
    <row r="53" spans="1:22">
      <c r="A53" s="1">
        <v>1</v>
      </c>
      <c r="B53" s="1">
        <v>1.2</v>
      </c>
      <c r="C53" s="1">
        <v>1</v>
      </c>
      <c r="D53" s="1" t="s">
        <v>226</v>
      </c>
      <c r="E53" s="1" t="s">
        <v>112</v>
      </c>
      <c r="F53" s="4">
        <v>45374</v>
      </c>
      <c r="G53" s="6">
        <v>0.77297453703703711</v>
      </c>
      <c r="H53" s="1">
        <v>0.85299999999999998</v>
      </c>
      <c r="L53" s="3">
        <v>0.75451388888888893</v>
      </c>
      <c r="M53" s="3">
        <f t="shared" si="3"/>
        <v>1.8460648148148184E-2</v>
      </c>
      <c r="O53" s="3">
        <v>1.8310185185185186E-2</v>
      </c>
    </row>
    <row r="54" spans="1:22">
      <c r="A54" s="1">
        <v>1</v>
      </c>
      <c r="B54" s="1">
        <v>1.2</v>
      </c>
      <c r="C54" s="1">
        <v>2</v>
      </c>
      <c r="D54" s="1" t="s">
        <v>226</v>
      </c>
      <c r="E54" s="1" t="s">
        <v>112</v>
      </c>
      <c r="F54" s="4">
        <v>45374</v>
      </c>
      <c r="G54" s="6">
        <v>0.78350694444444446</v>
      </c>
      <c r="H54" s="1">
        <v>2.1899999999999999E-2</v>
      </c>
      <c r="L54" s="3">
        <v>0.75451388888888893</v>
      </c>
      <c r="M54" s="3">
        <f t="shared" si="3"/>
        <v>2.8993055555555536E-2</v>
      </c>
      <c r="O54" s="3">
        <v>2.8923611111111112E-2</v>
      </c>
    </row>
    <row r="55" spans="1:22">
      <c r="A55" s="1">
        <v>1</v>
      </c>
      <c r="B55" s="1">
        <v>1.2</v>
      </c>
      <c r="C55" s="1">
        <v>1</v>
      </c>
      <c r="D55" s="1" t="s">
        <v>229</v>
      </c>
      <c r="E55" s="1" t="s">
        <v>256</v>
      </c>
      <c r="F55" s="4">
        <v>45375</v>
      </c>
      <c r="G55" s="6">
        <v>0.26059027777777777</v>
      </c>
      <c r="H55" s="1">
        <v>0.378</v>
      </c>
      <c r="L55" s="3">
        <v>0.23355324074074074</v>
      </c>
      <c r="M55" s="3">
        <f t="shared" si="3"/>
        <v>2.7037037037037026E-2</v>
      </c>
      <c r="O55" s="3">
        <v>2.6793981481481481E-2</v>
      </c>
    </row>
    <row r="56" spans="1:22">
      <c r="A56" s="1">
        <v>1</v>
      </c>
      <c r="B56" s="1">
        <v>1.2</v>
      </c>
      <c r="C56" s="1">
        <v>2</v>
      </c>
      <c r="D56" s="1" t="s">
        <v>229</v>
      </c>
      <c r="E56" s="1" t="s">
        <v>256</v>
      </c>
      <c r="F56" s="4">
        <v>45375</v>
      </c>
      <c r="G56" s="6" t="s">
        <v>21</v>
      </c>
      <c r="H56" s="1" t="s">
        <v>21</v>
      </c>
      <c r="L56" s="3">
        <v>0.23355324074074074</v>
      </c>
      <c r="M56" s="1" t="s">
        <v>21</v>
      </c>
      <c r="O56" s="1" t="s">
        <v>21</v>
      </c>
      <c r="P56" s="1" t="s">
        <v>264</v>
      </c>
    </row>
    <row r="57" spans="1:22">
      <c r="A57" s="1">
        <v>1</v>
      </c>
      <c r="B57" s="1">
        <v>1.2</v>
      </c>
      <c r="C57" s="1">
        <v>1</v>
      </c>
      <c r="D57" s="1" t="s">
        <v>240</v>
      </c>
      <c r="E57" s="1" t="s">
        <v>120</v>
      </c>
      <c r="F57" s="4">
        <v>45375</v>
      </c>
      <c r="G57" s="6">
        <v>0.7900462962962963</v>
      </c>
      <c r="H57" s="1">
        <v>6.8999999999999997E-4</v>
      </c>
      <c r="L57" s="3">
        <v>0.74961805555555561</v>
      </c>
      <c r="M57" s="3">
        <f>G57 - L57</f>
        <v>4.0428240740740695E-2</v>
      </c>
      <c r="O57" s="1" t="s">
        <v>21</v>
      </c>
      <c r="P57" s="1" t="s">
        <v>267</v>
      </c>
    </row>
    <row r="58" spans="1:22">
      <c r="A58" s="1">
        <v>1</v>
      </c>
      <c r="B58" s="1">
        <v>1.2</v>
      </c>
      <c r="C58" s="1">
        <v>1</v>
      </c>
      <c r="D58" s="1" t="s">
        <v>347</v>
      </c>
      <c r="E58" s="1" t="s">
        <v>258</v>
      </c>
      <c r="F58" s="4">
        <v>45376</v>
      </c>
      <c r="G58" s="6">
        <v>0.78878472222222218</v>
      </c>
      <c r="H58" s="1">
        <v>9.3000000000000005E-4</v>
      </c>
      <c r="L58" s="3">
        <v>0.75342592592592594</v>
      </c>
      <c r="M58" s="3">
        <f>G58 - L58</f>
        <v>3.5358796296296235E-2</v>
      </c>
      <c r="O58" s="3">
        <v>3.5474537037037034E-2</v>
      </c>
    </row>
    <row r="59" spans="1:22">
      <c r="A59" s="1">
        <v>1</v>
      </c>
      <c r="B59" s="1">
        <v>1.2</v>
      </c>
      <c r="C59" s="1">
        <v>1</v>
      </c>
      <c r="D59" s="1" t="s">
        <v>241</v>
      </c>
      <c r="E59" s="1" t="s">
        <v>257</v>
      </c>
      <c r="F59" s="4">
        <v>45376</v>
      </c>
      <c r="G59" s="6">
        <v>0.2697222222222222</v>
      </c>
      <c r="H59" s="1">
        <v>3.56</v>
      </c>
      <c r="L59" s="3">
        <v>0.23734953703703704</v>
      </c>
      <c r="M59" s="3">
        <f>G59 - L59</f>
        <v>3.2372685185185157E-2</v>
      </c>
      <c r="O59" s="3">
        <v>3.2569444444444443E-2</v>
      </c>
      <c r="P59" s="3"/>
    </row>
    <row r="60" spans="1:22">
      <c r="A60" s="1">
        <v>1</v>
      </c>
      <c r="B60" s="1">
        <v>1.2</v>
      </c>
      <c r="C60" s="1" t="s">
        <v>21</v>
      </c>
      <c r="D60" s="1" t="s">
        <v>21</v>
      </c>
      <c r="E60" s="1" t="s">
        <v>21</v>
      </c>
      <c r="F60" s="4">
        <v>45377</v>
      </c>
      <c r="G60" s="6" t="s">
        <v>21</v>
      </c>
      <c r="H60" s="1" t="s">
        <v>21</v>
      </c>
      <c r="L60" s="1" t="s">
        <v>21</v>
      </c>
      <c r="M60" s="1" t="s">
        <v>21</v>
      </c>
      <c r="O60" s="1" t="s">
        <v>21</v>
      </c>
      <c r="P60" s="1" t="s">
        <v>265</v>
      </c>
    </row>
    <row r="61" spans="1:22">
      <c r="A61" s="1">
        <v>1</v>
      </c>
      <c r="B61" s="1">
        <v>1.2</v>
      </c>
      <c r="C61" s="1">
        <v>1</v>
      </c>
      <c r="D61" s="1" t="s">
        <v>245</v>
      </c>
      <c r="E61" s="1" t="s">
        <v>121</v>
      </c>
      <c r="F61" s="4">
        <v>45377</v>
      </c>
      <c r="G61" s="6">
        <v>0.25787037037037036</v>
      </c>
      <c r="H61" s="1">
        <v>0.251</v>
      </c>
      <c r="L61" s="3">
        <v>0.23350694444444445</v>
      </c>
      <c r="M61" s="3">
        <f t="shared" ref="M61:M73" si="4">G61 - L61</f>
        <v>2.4363425925925913E-2</v>
      </c>
      <c r="O61" s="3">
        <v>2.4108796296296295E-2</v>
      </c>
    </row>
    <row r="62" spans="1:22">
      <c r="A62" s="1">
        <v>1</v>
      </c>
      <c r="B62" s="1">
        <v>1.2</v>
      </c>
      <c r="C62" s="1">
        <v>2</v>
      </c>
      <c r="D62" s="1" t="s">
        <v>245</v>
      </c>
      <c r="E62" s="1" t="s">
        <v>121</v>
      </c>
      <c r="F62" s="4">
        <v>45377</v>
      </c>
      <c r="G62" s="6">
        <v>0.27064814814814814</v>
      </c>
      <c r="H62" s="1">
        <v>5.0199999999999996</v>
      </c>
      <c r="L62" s="3">
        <v>0.23350694444444445</v>
      </c>
      <c r="M62" s="3">
        <f t="shared" si="4"/>
        <v>3.714120370370369E-2</v>
      </c>
      <c r="O62" s="3">
        <v>3.6851851851851851E-2</v>
      </c>
    </row>
    <row r="63" spans="1:22" s="7" customFormat="1" ht="15" customHeight="1">
      <c r="A63" s="1">
        <v>1</v>
      </c>
      <c r="B63" s="1">
        <v>1.2</v>
      </c>
      <c r="C63" s="1">
        <v>1</v>
      </c>
      <c r="D63" s="1" t="s">
        <v>248</v>
      </c>
      <c r="E63" s="1" t="s">
        <v>406</v>
      </c>
      <c r="F63" s="4">
        <v>45378</v>
      </c>
      <c r="G63" s="6">
        <v>0.25310185185185186</v>
      </c>
      <c r="H63" s="7">
        <v>3.6400000000000002E-2</v>
      </c>
      <c r="I63" s="1" t="s">
        <v>440</v>
      </c>
      <c r="L63" s="3">
        <v>0.23856481481481481</v>
      </c>
      <c r="M63" s="3">
        <f t="shared" si="4"/>
        <v>1.4537037037037043E-2</v>
      </c>
      <c r="N63" s="1"/>
      <c r="O63" s="3">
        <v>1.425925925925926E-2</v>
      </c>
      <c r="Q63" s="1"/>
      <c r="R63" s="1"/>
      <c r="S63" s="1"/>
      <c r="T63" s="1"/>
      <c r="U63" s="1"/>
      <c r="V63" s="1"/>
    </row>
    <row r="64" spans="1:22" s="7" customFormat="1">
      <c r="A64" s="1">
        <v>1</v>
      </c>
      <c r="B64" s="1">
        <v>1.2</v>
      </c>
      <c r="C64" s="1">
        <v>1</v>
      </c>
      <c r="D64" s="1" t="s">
        <v>290</v>
      </c>
      <c r="E64" s="1" t="s">
        <v>291</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c r="A65" s="7">
        <v>1</v>
      </c>
      <c r="B65" s="7">
        <v>1.2</v>
      </c>
      <c r="C65" s="7">
        <v>1</v>
      </c>
      <c r="D65" s="7" t="s">
        <v>274</v>
      </c>
      <c r="E65" s="7" t="s">
        <v>396</v>
      </c>
      <c r="F65" s="9">
        <v>45379</v>
      </c>
      <c r="G65" s="10">
        <v>0.24640046296296297</v>
      </c>
      <c r="H65" s="7" t="s">
        <v>399</v>
      </c>
      <c r="I65" s="7" t="s">
        <v>398</v>
      </c>
      <c r="J65" s="7">
        <v>1.2869999999999999E-2</v>
      </c>
      <c r="K65" s="7" t="s">
        <v>436</v>
      </c>
      <c r="L65" s="8">
        <v>0.23756944444444444</v>
      </c>
      <c r="M65" s="8">
        <f t="shared" si="4"/>
        <v>8.8310185185185297E-3</v>
      </c>
      <c r="O65" s="6">
        <v>8.5416666666666662E-3</v>
      </c>
    </row>
    <row r="66" spans="1:22" s="7" customFormat="1">
      <c r="A66" s="7">
        <v>1</v>
      </c>
      <c r="B66" s="7">
        <v>1.2</v>
      </c>
      <c r="C66" s="7">
        <v>2</v>
      </c>
      <c r="D66" s="7" t="s">
        <v>274</v>
      </c>
      <c r="E66" s="7" t="s">
        <v>396</v>
      </c>
      <c r="F66" s="9">
        <v>45379</v>
      </c>
      <c r="G66" s="10">
        <v>0.25540509259259259</v>
      </c>
      <c r="H66" s="7" t="s">
        <v>400</v>
      </c>
      <c r="I66" s="7" t="s">
        <v>398</v>
      </c>
      <c r="J66" s="7">
        <v>0.14929999999999999</v>
      </c>
      <c r="K66" s="7" t="s">
        <v>435</v>
      </c>
      <c r="L66" s="8">
        <v>0.23756944444444444</v>
      </c>
      <c r="M66" s="8">
        <f t="shared" si="4"/>
        <v>1.7835648148148142E-2</v>
      </c>
      <c r="O66" s="6">
        <v>1.7824074074074076E-2</v>
      </c>
      <c r="Q66" s="11"/>
      <c r="V66" s="13"/>
    </row>
    <row r="67" spans="1:22" s="7" customFormat="1">
      <c r="A67" s="7">
        <v>1</v>
      </c>
      <c r="B67" s="7">
        <v>1.2</v>
      </c>
      <c r="C67" s="7">
        <v>3</v>
      </c>
      <c r="D67" s="7" t="s">
        <v>274</v>
      </c>
      <c r="E67" s="7" t="s">
        <v>396</v>
      </c>
      <c r="F67" s="9">
        <v>45379</v>
      </c>
      <c r="G67" s="10">
        <v>0.26923611111111112</v>
      </c>
      <c r="H67" s="7">
        <v>3.83</v>
      </c>
      <c r="L67" s="8">
        <v>0.23756944444444444</v>
      </c>
      <c r="M67" s="8">
        <f t="shared" si="4"/>
        <v>3.1666666666666676E-2</v>
      </c>
      <c r="O67" s="6">
        <v>3.1296296296296294E-2</v>
      </c>
      <c r="P67" s="7" t="s">
        <v>398</v>
      </c>
      <c r="Q67" s="11"/>
      <c r="V67" s="13"/>
    </row>
    <row r="68" spans="1:22">
      <c r="A68" s="1">
        <v>1</v>
      </c>
      <c r="B68" s="1">
        <v>1.2</v>
      </c>
      <c r="C68" s="1">
        <v>1</v>
      </c>
      <c r="D68" s="1" t="s">
        <v>285</v>
      </c>
      <c r="E68" s="1" t="s">
        <v>397</v>
      </c>
      <c r="F68" s="4">
        <v>45379</v>
      </c>
      <c r="G68" s="6">
        <v>0.78693287037037041</v>
      </c>
      <c r="H68" s="7" t="s">
        <v>395</v>
      </c>
      <c r="I68" s="7" t="s">
        <v>394</v>
      </c>
      <c r="J68" s="7">
        <v>6.5199999999999998E-3</v>
      </c>
      <c r="K68" s="7" t="s">
        <v>433</v>
      </c>
      <c r="L68" s="3">
        <v>0.76531249999999995</v>
      </c>
      <c r="M68" s="3">
        <f t="shared" si="4"/>
        <v>2.1620370370370456E-2</v>
      </c>
      <c r="N68" s="7"/>
      <c r="O68" s="6">
        <v>2.2372685185185186E-2</v>
      </c>
      <c r="R68" s="7"/>
      <c r="S68" s="7"/>
      <c r="T68" s="7"/>
      <c r="U68" s="7"/>
      <c r="V68" s="13"/>
    </row>
    <row r="69" spans="1:22">
      <c r="A69" s="1">
        <v>1</v>
      </c>
      <c r="B69" s="1">
        <v>1.2</v>
      </c>
      <c r="C69" s="1">
        <v>1</v>
      </c>
      <c r="D69" s="1" t="s">
        <v>289</v>
      </c>
      <c r="E69" s="1" t="s">
        <v>295</v>
      </c>
      <c r="F69" s="4">
        <v>45380</v>
      </c>
      <c r="G69" s="6">
        <v>0.25002314814814813</v>
      </c>
      <c r="H69" s="1">
        <v>1.0630000000000001E-2</v>
      </c>
      <c r="L69" s="3">
        <v>0.2282986111111111</v>
      </c>
      <c r="M69" s="3">
        <f t="shared" si="4"/>
        <v>2.1724537037037028E-2</v>
      </c>
      <c r="O69" s="6">
        <v>2.1458333333333333E-2</v>
      </c>
      <c r="P69" s="1" t="s">
        <v>393</v>
      </c>
      <c r="Q69" s="5"/>
    </row>
    <row r="70" spans="1:22">
      <c r="A70" s="1">
        <v>1</v>
      </c>
      <c r="B70" s="1">
        <v>1.2</v>
      </c>
      <c r="C70" s="1">
        <v>2</v>
      </c>
      <c r="D70" s="1" t="s">
        <v>289</v>
      </c>
      <c r="E70" s="1" t="s">
        <v>295</v>
      </c>
      <c r="F70" s="4">
        <v>45380</v>
      </c>
      <c r="G70" s="6">
        <v>0.26598379629629632</v>
      </c>
      <c r="H70" s="1">
        <v>1.5820000000000001</v>
      </c>
      <c r="L70" s="3">
        <v>0.2282986111111111</v>
      </c>
      <c r="M70" s="3">
        <f t="shared" si="4"/>
        <v>3.768518518518521E-2</v>
      </c>
      <c r="O70" s="6">
        <v>3.7384259259259256E-2</v>
      </c>
      <c r="P70" s="1" t="s">
        <v>392</v>
      </c>
      <c r="Q70" s="5"/>
    </row>
    <row r="71" spans="1:22">
      <c r="A71" s="1">
        <v>1</v>
      </c>
      <c r="B71" s="1">
        <v>1.2</v>
      </c>
      <c r="C71" s="1">
        <v>1</v>
      </c>
      <c r="D71" s="1" t="s">
        <v>297</v>
      </c>
      <c r="E71" s="1" t="s">
        <v>298</v>
      </c>
      <c r="F71" s="4">
        <v>45380</v>
      </c>
      <c r="G71" s="6">
        <v>0.78753472222222221</v>
      </c>
      <c r="H71" s="1">
        <v>5.5900000000000004E-3</v>
      </c>
      <c r="L71" s="3">
        <v>0.77248842592592593</v>
      </c>
      <c r="M71" s="3">
        <f t="shared" si="4"/>
        <v>1.504629629629628E-2</v>
      </c>
      <c r="O71" s="3">
        <v>1.4780092592592593E-2</v>
      </c>
      <c r="Q71" s="5"/>
      <c r="V71" s="2"/>
    </row>
    <row r="72" spans="1:22" s="7" customFormat="1">
      <c r="A72" s="1">
        <v>1</v>
      </c>
      <c r="B72" s="1">
        <v>1.2</v>
      </c>
      <c r="C72" s="1">
        <v>1</v>
      </c>
      <c r="D72" s="1" t="s">
        <v>299</v>
      </c>
      <c r="E72" s="1" t="s">
        <v>309</v>
      </c>
      <c r="F72" s="4">
        <v>45381</v>
      </c>
      <c r="G72" s="6">
        <v>0.26030092592592591</v>
      </c>
      <c r="H72" s="7">
        <v>2.4500000000000002</v>
      </c>
      <c r="I72" s="7" t="s">
        <v>429</v>
      </c>
      <c r="J72" s="20">
        <f>( H72 * (1.004*10^-6)) / (1.081*10^-5)</f>
        <v>0.22754856614246069</v>
      </c>
      <c r="K72" s="20" t="s">
        <v>432</v>
      </c>
      <c r="L72" s="3">
        <v>0.2303125</v>
      </c>
      <c r="M72" s="3">
        <f t="shared" si="4"/>
        <v>2.9988425925925905E-2</v>
      </c>
      <c r="N72" s="7" t="s">
        <v>321</v>
      </c>
      <c r="O72" s="10">
        <v>2.9664351851851851E-2</v>
      </c>
      <c r="Q72" s="11" t="s">
        <v>302</v>
      </c>
      <c r="V72" s="13"/>
    </row>
    <row r="73" spans="1:22">
      <c r="A73" s="1">
        <v>1</v>
      </c>
      <c r="B73" s="1">
        <v>1.2</v>
      </c>
      <c r="C73" s="1">
        <v>1</v>
      </c>
      <c r="D73" s="1" t="s">
        <v>300</v>
      </c>
      <c r="E73" s="1" t="s">
        <v>301</v>
      </c>
      <c r="F73" s="4">
        <v>45381</v>
      </c>
      <c r="G73" s="6">
        <v>0.78467592592592594</v>
      </c>
      <c r="H73" s="7">
        <v>5.0099999999999999E-2</v>
      </c>
      <c r="I73" s="7" t="s">
        <v>428</v>
      </c>
      <c r="J73" s="20">
        <f>( H73 * (1.004*10^-6)) / (1.081*10^-5)</f>
        <v>4.6531359851988904E-3</v>
      </c>
      <c r="K73" s="20" t="s">
        <v>432</v>
      </c>
      <c r="L73" s="3">
        <v>0.75232638888888892</v>
      </c>
      <c r="M73" s="3">
        <f t="shared" si="4"/>
        <v>3.2349537037037024E-2</v>
      </c>
      <c r="N73" s="1" t="s">
        <v>322</v>
      </c>
      <c r="O73" s="3">
        <v>3.2141203703703707E-2</v>
      </c>
    </row>
    <row r="74" spans="1:22">
      <c r="A74" s="1">
        <v>1</v>
      </c>
      <c r="B74" s="1">
        <v>1.2</v>
      </c>
      <c r="C74" s="1" t="s">
        <v>21</v>
      </c>
      <c r="D74" s="1" t="s">
        <v>21</v>
      </c>
      <c r="E74" s="1" t="s">
        <v>21</v>
      </c>
      <c r="F74" s="4">
        <v>45382</v>
      </c>
      <c r="G74" s="6" t="s">
        <v>21</v>
      </c>
      <c r="H74" s="1" t="s">
        <v>21</v>
      </c>
      <c r="L74" s="3" t="s">
        <v>21</v>
      </c>
      <c r="M74" s="3" t="s">
        <v>21</v>
      </c>
      <c r="O74" s="3"/>
      <c r="P74" s="1" t="s">
        <v>374</v>
      </c>
    </row>
    <row r="75" spans="1:22" s="7" customFormat="1">
      <c r="A75" s="7">
        <v>1</v>
      </c>
      <c r="B75" s="7">
        <v>1.2</v>
      </c>
      <c r="C75" s="7">
        <v>1</v>
      </c>
      <c r="D75" s="7" t="s">
        <v>319</v>
      </c>
      <c r="E75" s="7" t="s">
        <v>313</v>
      </c>
      <c r="F75" s="9">
        <v>45382</v>
      </c>
      <c r="G75" s="10">
        <v>0.79083333333333328</v>
      </c>
      <c r="H75" s="7" t="s">
        <v>326</v>
      </c>
      <c r="I75" s="11" t="s">
        <v>441</v>
      </c>
      <c r="J75" s="21">
        <f>(0.00477* (1.004*10^-6)) / (1.081*10^-5)</f>
        <v>4.4302312673450507E-4</v>
      </c>
      <c r="K75" s="7" t="s">
        <v>434</v>
      </c>
      <c r="L75" s="8">
        <v>0.75362268518518516</v>
      </c>
      <c r="M75" s="8">
        <f>G75 - L75</f>
        <v>3.7210648148148118E-2</v>
      </c>
      <c r="N75" s="7" t="s">
        <v>311</v>
      </c>
      <c r="O75" s="8">
        <v>3.6944444444444446E-2</v>
      </c>
      <c r="T75" s="13"/>
      <c r="U75" s="13"/>
    </row>
    <row r="76" spans="1:22">
      <c r="A76" s="1">
        <v>1</v>
      </c>
      <c r="B76" s="1">
        <v>1.2</v>
      </c>
      <c r="C76" s="1">
        <v>1</v>
      </c>
      <c r="D76" s="1" t="s">
        <v>318</v>
      </c>
      <c r="E76" s="1" t="s">
        <v>314</v>
      </c>
      <c r="F76" s="4">
        <v>45383</v>
      </c>
      <c r="G76" s="6" t="s">
        <v>21</v>
      </c>
      <c r="H76" s="1" t="s">
        <v>21</v>
      </c>
      <c r="L76" s="3">
        <v>0.22976851851851851</v>
      </c>
      <c r="M76" s="3" t="s">
        <v>21</v>
      </c>
      <c r="O76" s="3" t="s">
        <v>21</v>
      </c>
      <c r="P76" s="5" t="s">
        <v>388</v>
      </c>
      <c r="T76" s="2"/>
      <c r="U76" s="2"/>
    </row>
    <row r="77" spans="1:22" s="7" customFormat="1">
      <c r="A77" s="7">
        <v>1</v>
      </c>
      <c r="B77" s="7">
        <v>1.2</v>
      </c>
      <c r="C77" s="7">
        <v>2</v>
      </c>
      <c r="D77" s="7" t="s">
        <v>318</v>
      </c>
      <c r="E77" s="7" t="s">
        <v>314</v>
      </c>
      <c r="F77" s="9">
        <v>45383</v>
      </c>
      <c r="G77" s="10">
        <v>0.26740740740740743</v>
      </c>
      <c r="H77" s="7">
        <v>14</v>
      </c>
      <c r="I77" s="7" t="s">
        <v>430</v>
      </c>
      <c r="J77" s="20">
        <f>( H77 * (1.004*10^-6)) / (1.081*10^-5)</f>
        <v>1.3002775208140611</v>
      </c>
      <c r="K77" s="20" t="s">
        <v>432</v>
      </c>
      <c r="L77" s="8">
        <v>0.22976851851851851</v>
      </c>
      <c r="M77" s="8">
        <f>G77 - L77</f>
        <v>3.7638888888888916E-2</v>
      </c>
      <c r="N77" s="7" t="s">
        <v>311</v>
      </c>
      <c r="O77" s="10">
        <v>3.7245370370370373E-2</v>
      </c>
      <c r="Q77" s="11"/>
      <c r="U77" s="13"/>
      <c r="V77" s="13"/>
    </row>
    <row r="78" spans="1:22" s="7" customFormat="1">
      <c r="A78" s="1">
        <v>1</v>
      </c>
      <c r="B78" s="1">
        <v>1.2</v>
      </c>
      <c r="C78" s="1" t="s">
        <v>21</v>
      </c>
      <c r="D78" s="1" t="s">
        <v>21</v>
      </c>
      <c r="E78" s="1" t="s">
        <v>21</v>
      </c>
      <c r="F78" s="4">
        <v>45384</v>
      </c>
      <c r="G78" s="3" t="s">
        <v>21</v>
      </c>
      <c r="H78" s="3" t="s">
        <v>21</v>
      </c>
      <c r="I78" s="3"/>
      <c r="J78" s="3"/>
      <c r="K78" s="3"/>
      <c r="L78" s="3" t="s">
        <v>21</v>
      </c>
      <c r="M78" s="3" t="s">
        <v>21</v>
      </c>
      <c r="O78" s="6" t="s">
        <v>21</v>
      </c>
      <c r="P78" s="1" t="s">
        <v>389</v>
      </c>
      <c r="Q78" s="11"/>
      <c r="U78" s="13"/>
      <c r="V78" s="13"/>
    </row>
    <row r="79" spans="1:22" s="7" customFormat="1">
      <c r="A79" s="1">
        <v>1</v>
      </c>
      <c r="B79" s="1">
        <v>1.2</v>
      </c>
      <c r="C79" s="1" t="s">
        <v>21</v>
      </c>
      <c r="D79" s="1" t="s">
        <v>21</v>
      </c>
      <c r="E79" s="1" t="s">
        <v>21</v>
      </c>
      <c r="F79" s="4">
        <v>45384</v>
      </c>
      <c r="G79" s="1" t="s">
        <v>21</v>
      </c>
      <c r="H79" s="1" t="s">
        <v>21</v>
      </c>
      <c r="I79" s="1"/>
      <c r="J79" s="1"/>
      <c r="K79" s="1"/>
      <c r="L79" s="1" t="s">
        <v>21</v>
      </c>
      <c r="M79" s="1" t="s">
        <v>21</v>
      </c>
      <c r="O79" s="6" t="s">
        <v>21</v>
      </c>
      <c r="P79" s="1" t="s">
        <v>391</v>
      </c>
      <c r="Q79" s="11"/>
      <c r="U79" s="13"/>
      <c r="V79" s="13"/>
    </row>
    <row r="80" spans="1:22" s="7" customFormat="1">
      <c r="A80" s="1">
        <v>1</v>
      </c>
      <c r="B80" s="1">
        <v>1.2</v>
      </c>
      <c r="C80" s="1" t="s">
        <v>21</v>
      </c>
      <c r="D80" s="1" t="s">
        <v>21</v>
      </c>
      <c r="E80" s="1" t="s">
        <v>21</v>
      </c>
      <c r="F80" s="4">
        <v>45385</v>
      </c>
      <c r="G80" s="3" t="s">
        <v>21</v>
      </c>
      <c r="H80" s="3" t="s">
        <v>21</v>
      </c>
      <c r="I80" s="3"/>
      <c r="J80" s="3"/>
      <c r="K80" s="3"/>
      <c r="L80" s="3" t="s">
        <v>21</v>
      </c>
      <c r="M80" s="3" t="s">
        <v>21</v>
      </c>
      <c r="O80" s="6" t="s">
        <v>21</v>
      </c>
      <c r="P80" s="1" t="s">
        <v>389</v>
      </c>
      <c r="Q80" s="11"/>
      <c r="U80" s="13"/>
      <c r="V80" s="13"/>
    </row>
    <row r="81" spans="1:16">
      <c r="A81" s="1">
        <v>1</v>
      </c>
      <c r="B81" s="1">
        <v>1.2</v>
      </c>
      <c r="C81" s="1">
        <v>1</v>
      </c>
      <c r="D81" s="1" t="s">
        <v>357</v>
      </c>
      <c r="E81" s="1" t="s">
        <v>21</v>
      </c>
      <c r="F81" s="4">
        <v>45385</v>
      </c>
      <c r="G81" s="6">
        <v>0.79365740740740742</v>
      </c>
      <c r="H81" s="1" t="s">
        <v>21</v>
      </c>
      <c r="I81" s="1" t="s">
        <v>358</v>
      </c>
      <c r="J81" s="1">
        <v>2.331211840888067E-4</v>
      </c>
      <c r="K81" s="1" t="s">
        <v>433</v>
      </c>
      <c r="L81" s="1" t="s">
        <v>21</v>
      </c>
      <c r="M81" s="1" t="s">
        <v>21</v>
      </c>
      <c r="O81" s="1" t="s">
        <v>21</v>
      </c>
    </row>
    <row r="82" spans="1:16">
      <c r="A82" s="1">
        <v>1</v>
      </c>
      <c r="B82" s="1">
        <v>1.2</v>
      </c>
      <c r="C82" s="1" t="s">
        <v>21</v>
      </c>
      <c r="D82" s="1" t="s">
        <v>21</v>
      </c>
      <c r="E82" s="1" t="s">
        <v>21</v>
      </c>
      <c r="F82" s="4">
        <v>45386</v>
      </c>
      <c r="G82" s="6" t="s">
        <v>21</v>
      </c>
      <c r="H82" s="1" t="s">
        <v>21</v>
      </c>
      <c r="J82" s="20"/>
      <c r="L82" s="1" t="s">
        <v>21</v>
      </c>
      <c r="M82" s="1" t="s">
        <v>21</v>
      </c>
      <c r="O82" s="1" t="s">
        <v>21</v>
      </c>
      <c r="P82" s="1" t="s">
        <v>389</v>
      </c>
    </row>
    <row r="83" spans="1:16">
      <c r="A83" s="1">
        <v>1</v>
      </c>
      <c r="B83" s="1">
        <v>1.2</v>
      </c>
      <c r="C83" s="1">
        <v>1</v>
      </c>
      <c r="D83" s="1" t="s">
        <v>384</v>
      </c>
      <c r="E83" s="1" t="s">
        <v>289</v>
      </c>
      <c r="F83" s="4">
        <v>45386</v>
      </c>
      <c r="G83" s="6">
        <v>0.79339120370370364</v>
      </c>
      <c r="H83" s="7">
        <v>2.5100000000000001E-3</v>
      </c>
      <c r="I83" s="7" t="s">
        <v>376</v>
      </c>
      <c r="J83" s="20">
        <f>( H83 * (1.004*10^-6)) / (1.081*10^-5)</f>
        <v>2.331211840888067E-4</v>
      </c>
      <c r="K83" s="20" t="s">
        <v>432</v>
      </c>
      <c r="L83" s="3">
        <v>0.75498842592592597</v>
      </c>
      <c r="M83" s="3">
        <f>G83 - L83</f>
        <v>3.8402777777777675E-2</v>
      </c>
      <c r="N83" s="1" t="s">
        <v>311</v>
      </c>
      <c r="O83" s="3">
        <v>3.8391203703703705E-2</v>
      </c>
    </row>
    <row r="84" spans="1:16">
      <c r="A84" s="1">
        <v>1</v>
      </c>
      <c r="B84" s="1">
        <v>1.2</v>
      </c>
      <c r="C84" s="1" t="s">
        <v>21</v>
      </c>
      <c r="D84" s="1" t="s">
        <v>21</v>
      </c>
      <c r="E84" s="1" t="s">
        <v>21</v>
      </c>
      <c r="F84" s="4">
        <v>45387</v>
      </c>
      <c r="G84" s="1" t="s">
        <v>21</v>
      </c>
      <c r="H84" s="1" t="s">
        <v>21</v>
      </c>
      <c r="L84" s="1" t="s">
        <v>21</v>
      </c>
      <c r="M84" s="1" t="s">
        <v>21</v>
      </c>
      <c r="O84" s="1" t="s">
        <v>21</v>
      </c>
      <c r="P84" s="1" t="s">
        <v>390</v>
      </c>
    </row>
    <row r="85" spans="1:16">
      <c r="A85" s="1">
        <v>1</v>
      </c>
      <c r="B85" s="1">
        <v>1.2</v>
      </c>
      <c r="C85" s="1">
        <v>1</v>
      </c>
      <c r="D85" s="1" t="s">
        <v>458</v>
      </c>
      <c r="E85" s="1" t="s">
        <v>459</v>
      </c>
      <c r="F85" s="4">
        <v>45391</v>
      </c>
      <c r="G85" s="6">
        <v>0.25509259259259259</v>
      </c>
      <c r="H85" s="1">
        <v>0.94899999999999995</v>
      </c>
      <c r="I85" s="7" t="s">
        <v>376</v>
      </c>
      <c r="L85" s="3">
        <v>0.23653935185185185</v>
      </c>
      <c r="M85" s="3">
        <f t="shared" ref="M85:M100" si="5">G85 - L85</f>
        <v>1.8553240740740745E-2</v>
      </c>
      <c r="O85" s="3">
        <v>1.8622685185185187E-2</v>
      </c>
    </row>
    <row r="86" spans="1:16">
      <c r="A86" s="1">
        <v>1</v>
      </c>
      <c r="B86" s="1">
        <v>1.2</v>
      </c>
      <c r="C86" s="1">
        <v>1</v>
      </c>
      <c r="D86" s="1" t="s">
        <v>461</v>
      </c>
      <c r="E86" s="6" t="s">
        <v>462</v>
      </c>
      <c r="F86" s="4">
        <v>45390</v>
      </c>
      <c r="G86" s="6">
        <v>0.79108796296296291</v>
      </c>
      <c r="H86" s="1">
        <v>1.06E-3</v>
      </c>
      <c r="I86" s="7" t="s">
        <v>376</v>
      </c>
      <c r="L86" s="3">
        <v>0.76604166666666662</v>
      </c>
      <c r="M86" s="3">
        <f t="shared" si="5"/>
        <v>2.5046296296296289E-2</v>
      </c>
      <c r="O86" s="1" t="s">
        <v>21</v>
      </c>
    </row>
    <row r="87" spans="1:16">
      <c r="A87" s="1">
        <v>1</v>
      </c>
      <c r="B87" s="1">
        <v>1.2</v>
      </c>
      <c r="C87" s="1">
        <v>1</v>
      </c>
      <c r="D87" s="1" t="s">
        <v>467</v>
      </c>
      <c r="E87" s="1" t="s">
        <v>471</v>
      </c>
      <c r="F87" s="4">
        <v>45390</v>
      </c>
      <c r="G87" s="6">
        <v>0.24300925925925926</v>
      </c>
      <c r="H87" s="1">
        <v>5.1599999999999997E-3</v>
      </c>
      <c r="I87" s="7" t="s">
        <v>376</v>
      </c>
      <c r="L87" s="3">
        <v>0.2351273148148148</v>
      </c>
      <c r="M87" s="3">
        <f t="shared" si="5"/>
        <v>7.8819444444444553E-3</v>
      </c>
      <c r="O87" s="3">
        <v>7.9166666666666673E-3</v>
      </c>
    </row>
    <row r="88" spans="1:16">
      <c r="A88" s="1">
        <v>1</v>
      </c>
      <c r="B88" s="1">
        <v>1.2</v>
      </c>
      <c r="C88" s="1">
        <v>2</v>
      </c>
      <c r="D88" s="1" t="s">
        <v>467</v>
      </c>
      <c r="E88" s="1" t="s">
        <v>471</v>
      </c>
      <c r="F88" s="4">
        <v>45390</v>
      </c>
      <c r="G88" s="6">
        <v>0.25400462962962966</v>
      </c>
      <c r="H88" s="1">
        <v>0.94699999999999995</v>
      </c>
      <c r="I88" s="7" t="s">
        <v>376</v>
      </c>
      <c r="L88" s="3">
        <v>0.2351273148148148</v>
      </c>
      <c r="M88" s="3">
        <f t="shared" si="5"/>
        <v>1.8877314814814861E-2</v>
      </c>
      <c r="O88" s="3">
        <v>1.8622685185185187E-2</v>
      </c>
    </row>
    <row r="89" spans="1:16">
      <c r="A89" s="1">
        <v>1</v>
      </c>
      <c r="B89" s="1">
        <v>1.2</v>
      </c>
      <c r="C89" s="1">
        <v>1</v>
      </c>
      <c r="D89" s="1" t="s">
        <v>468</v>
      </c>
      <c r="E89" s="1" t="s">
        <v>478</v>
      </c>
      <c r="F89" s="4">
        <v>45389</v>
      </c>
      <c r="G89" s="6">
        <v>0.79043981481481473</v>
      </c>
      <c r="H89" s="1">
        <v>1.73E-3</v>
      </c>
      <c r="I89" s="7" t="s">
        <v>376</v>
      </c>
      <c r="L89" s="3">
        <v>0.76695601851851847</v>
      </c>
      <c r="M89" s="3">
        <f t="shared" si="5"/>
        <v>2.3483796296296267E-2</v>
      </c>
      <c r="O89" s="3">
        <v>2.3472222222222221E-2</v>
      </c>
    </row>
    <row r="90" spans="1:16">
      <c r="A90" s="1">
        <v>1</v>
      </c>
      <c r="B90" s="1">
        <v>1.2</v>
      </c>
      <c r="C90" s="1">
        <v>1</v>
      </c>
      <c r="D90" s="1" t="s">
        <v>469</v>
      </c>
      <c r="E90" s="1" t="s">
        <v>479</v>
      </c>
      <c r="F90" s="4">
        <v>45388</v>
      </c>
      <c r="G90" s="6">
        <v>0.78626157407407415</v>
      </c>
      <c r="H90" s="1">
        <v>9.8099999999999993E-3</v>
      </c>
      <c r="I90" s="7" t="s">
        <v>376</v>
      </c>
      <c r="L90" s="3">
        <v>0.7645601851851852</v>
      </c>
      <c r="M90" s="3">
        <f t="shared" si="5"/>
        <v>2.1701388888888951E-2</v>
      </c>
      <c r="O90" s="1" t="s">
        <v>21</v>
      </c>
    </row>
    <row r="91" spans="1:16">
      <c r="A91" s="1">
        <v>1</v>
      </c>
      <c r="B91" s="1">
        <v>1.2</v>
      </c>
      <c r="C91" s="1">
        <v>1</v>
      </c>
      <c r="D91" s="1" t="s">
        <v>470</v>
      </c>
      <c r="E91" s="1" t="s">
        <v>480</v>
      </c>
      <c r="F91" s="4">
        <v>45387</v>
      </c>
      <c r="G91" s="6">
        <v>0.79177083333333342</v>
      </c>
      <c r="H91" s="1">
        <v>2.4099999999999998E-3</v>
      </c>
      <c r="I91" s="7" t="s">
        <v>376</v>
      </c>
      <c r="L91" s="3">
        <v>0.76537037037037037</v>
      </c>
      <c r="M91" s="3">
        <f t="shared" si="5"/>
        <v>2.6400462962963056E-2</v>
      </c>
      <c r="O91" s="3">
        <v>2.6006944444444444E-2</v>
      </c>
    </row>
    <row r="92" spans="1:16">
      <c r="A92" s="1">
        <v>1</v>
      </c>
      <c r="B92" s="1">
        <v>1.2</v>
      </c>
      <c r="C92" s="1">
        <v>1</v>
      </c>
      <c r="D92" s="1" t="s">
        <v>482</v>
      </c>
      <c r="E92" s="1" t="s">
        <v>483</v>
      </c>
      <c r="F92" s="4">
        <v>45391</v>
      </c>
      <c r="G92" s="6">
        <v>0.78599537037037037</v>
      </c>
      <c r="H92" s="1">
        <v>8.2100000000000003E-3</v>
      </c>
      <c r="I92" s="1" t="s">
        <v>376</v>
      </c>
      <c r="L92" s="3">
        <v>0.76300925925925922</v>
      </c>
      <c r="M92" s="3">
        <f t="shared" si="5"/>
        <v>2.2986111111111152E-2</v>
      </c>
      <c r="O92" s="3">
        <v>2.2754629629629628E-2</v>
      </c>
    </row>
    <row r="93" spans="1:16">
      <c r="A93" s="1">
        <v>1</v>
      </c>
      <c r="B93" s="1">
        <v>1.2</v>
      </c>
      <c r="C93" s="1">
        <v>1</v>
      </c>
      <c r="D93" s="1" t="s">
        <v>67</v>
      </c>
      <c r="E93" s="1" t="s">
        <v>486</v>
      </c>
      <c r="F93" s="4">
        <v>45392</v>
      </c>
      <c r="G93" s="6">
        <v>0.23944444444444443</v>
      </c>
      <c r="H93" s="1">
        <v>7.0000000000000001E-3</v>
      </c>
      <c r="I93" s="1" t="s">
        <v>487</v>
      </c>
      <c r="L93" s="3">
        <v>0.23417824074074073</v>
      </c>
      <c r="M93" s="3">
        <f t="shared" si="5"/>
        <v>5.2662037037037035E-3</v>
      </c>
      <c r="O93" s="3">
        <v>4.8611111111111112E-3</v>
      </c>
    </row>
    <row r="94" spans="1:16">
      <c r="A94" s="1">
        <v>1</v>
      </c>
      <c r="B94" s="1">
        <v>1.2</v>
      </c>
      <c r="C94" s="1">
        <v>5</v>
      </c>
      <c r="D94" s="1" t="s">
        <v>66</v>
      </c>
      <c r="E94" s="1" t="s">
        <v>503</v>
      </c>
      <c r="F94" s="4">
        <v>45393</v>
      </c>
      <c r="G94" s="6">
        <v>0.27635416666666668</v>
      </c>
      <c r="H94" s="1">
        <v>25</v>
      </c>
      <c r="I94" s="1" t="s">
        <v>521</v>
      </c>
      <c r="L94" s="3">
        <v>0.23177083333333334</v>
      </c>
      <c r="M94" s="3">
        <f t="shared" si="5"/>
        <v>4.4583333333333336E-2</v>
      </c>
    </row>
    <row r="95" spans="1:16">
      <c r="A95" s="1">
        <v>1</v>
      </c>
      <c r="B95" s="1">
        <v>1.2</v>
      </c>
      <c r="C95" s="1">
        <v>4</v>
      </c>
      <c r="D95" s="1" t="s">
        <v>66</v>
      </c>
      <c r="E95" s="1" t="s">
        <v>503</v>
      </c>
      <c r="F95" s="4">
        <v>45393</v>
      </c>
      <c r="G95" s="6">
        <v>0.24847222222222221</v>
      </c>
      <c r="H95" s="1">
        <v>0.23</v>
      </c>
      <c r="I95" s="1" t="s">
        <v>376</v>
      </c>
      <c r="L95" s="3">
        <v>0.23177083333333334</v>
      </c>
      <c r="M95" s="3">
        <f t="shared" si="5"/>
        <v>1.6701388888888863E-2</v>
      </c>
      <c r="O95" s="3">
        <v>1.6261574074074074E-2</v>
      </c>
    </row>
    <row r="96" spans="1:16">
      <c r="A96" s="1">
        <v>1</v>
      </c>
      <c r="B96" s="1">
        <v>1.2</v>
      </c>
      <c r="C96" s="1">
        <v>3</v>
      </c>
      <c r="D96" s="1" t="s">
        <v>66</v>
      </c>
      <c r="E96" s="1" t="s">
        <v>503</v>
      </c>
      <c r="F96" s="4">
        <v>45393</v>
      </c>
      <c r="G96" s="6">
        <v>0.24243055555555554</v>
      </c>
      <c r="H96" s="1">
        <v>2.3400000000000001E-2</v>
      </c>
      <c r="I96" s="1" t="s">
        <v>376</v>
      </c>
      <c r="L96" s="3">
        <v>0.23177083333333334</v>
      </c>
      <c r="M96" s="3">
        <f t="shared" si="5"/>
        <v>1.0659722222222195E-2</v>
      </c>
      <c r="O96" s="3">
        <v>1.0439814814814815E-2</v>
      </c>
    </row>
    <row r="97" spans="1:16">
      <c r="A97" s="1">
        <v>1</v>
      </c>
      <c r="B97" s="1">
        <v>1.2</v>
      </c>
      <c r="C97" s="1">
        <v>2</v>
      </c>
      <c r="D97" s="1" t="s">
        <v>66</v>
      </c>
      <c r="E97" s="1" t="s">
        <v>503</v>
      </c>
      <c r="F97" s="4">
        <v>45393</v>
      </c>
      <c r="G97" s="6">
        <v>0.2383912037037037</v>
      </c>
      <c r="H97" s="1">
        <v>6.8300000000000001E-3</v>
      </c>
      <c r="I97" s="1" t="s">
        <v>376</v>
      </c>
      <c r="L97" s="3">
        <v>0.23177083333333334</v>
      </c>
      <c r="M97" s="3">
        <f t="shared" si="5"/>
        <v>6.6203703703703598E-3</v>
      </c>
    </row>
    <row r="98" spans="1:16">
      <c r="A98" s="1">
        <v>1</v>
      </c>
      <c r="B98" s="1">
        <v>1.2</v>
      </c>
      <c r="C98" s="1">
        <v>1</v>
      </c>
      <c r="D98" s="1" t="s">
        <v>66</v>
      </c>
      <c r="E98" s="1" t="s">
        <v>503</v>
      </c>
      <c r="F98" s="4">
        <v>45393</v>
      </c>
      <c r="G98" s="6">
        <v>0.23265046296296296</v>
      </c>
      <c r="H98" s="1">
        <v>3.6600000000000001E-3</v>
      </c>
      <c r="I98" s="1" t="s">
        <v>376</v>
      </c>
      <c r="L98" s="3">
        <v>0.23177083333333334</v>
      </c>
      <c r="M98" s="3">
        <f t="shared" si="5"/>
        <v>8.796296296296191E-4</v>
      </c>
    </row>
    <row r="99" spans="1:16">
      <c r="A99" s="1">
        <v>1</v>
      </c>
      <c r="B99" s="1">
        <v>1.2</v>
      </c>
      <c r="C99" s="1">
        <v>1</v>
      </c>
      <c r="D99" s="1" t="s">
        <v>74</v>
      </c>
      <c r="E99" s="1" t="s">
        <v>504</v>
      </c>
      <c r="F99" s="4">
        <v>45393</v>
      </c>
      <c r="G99" s="6">
        <v>0.7855671296296296</v>
      </c>
      <c r="H99" s="1">
        <v>3.5799999999999998E-2</v>
      </c>
      <c r="I99" s="1" t="s">
        <v>376</v>
      </c>
      <c r="L99" s="3">
        <v>0.75616898148148148</v>
      </c>
      <c r="M99" s="3">
        <f t="shared" si="5"/>
        <v>2.9398148148148118E-2</v>
      </c>
      <c r="O99" s="3">
        <v>2.8946759259259259E-2</v>
      </c>
    </row>
    <row r="100" spans="1:16">
      <c r="A100" s="1">
        <v>1</v>
      </c>
      <c r="B100" s="1">
        <v>1.2</v>
      </c>
      <c r="C100" s="1">
        <v>3</v>
      </c>
      <c r="D100" s="1" t="s">
        <v>73</v>
      </c>
      <c r="E100" s="1" t="s">
        <v>522</v>
      </c>
      <c r="F100" s="4">
        <v>45394</v>
      </c>
      <c r="G100" s="6">
        <v>0.27350694444444446</v>
      </c>
      <c r="H100" s="1">
        <v>34.200000000000003</v>
      </c>
      <c r="I100" s="1" t="s">
        <v>376</v>
      </c>
      <c r="L100" s="3">
        <v>0.24976851851851853</v>
      </c>
      <c r="M100" s="3">
        <f t="shared" si="5"/>
        <v>2.3738425925925927E-2</v>
      </c>
    </row>
    <row r="101" spans="1:16">
      <c r="A101" s="1">
        <v>1</v>
      </c>
      <c r="B101" s="1">
        <v>1.2</v>
      </c>
      <c r="C101" s="1">
        <v>2</v>
      </c>
      <c r="D101" s="1" t="s">
        <v>73</v>
      </c>
      <c r="E101" s="1" t="s">
        <v>522</v>
      </c>
      <c r="F101" s="4">
        <v>45394</v>
      </c>
      <c r="G101" s="6">
        <v>0.25049768518518517</v>
      </c>
      <c r="H101" s="1">
        <v>0.14499999999999999</v>
      </c>
      <c r="I101" s="1" t="s">
        <v>376</v>
      </c>
      <c r="L101" s="3">
        <v>0.24976851851851853</v>
      </c>
      <c r="M101" s="3">
        <f t="shared" ref="M101" si="6">G101 - L101</f>
        <v>7.2916666666664187E-4</v>
      </c>
    </row>
    <row r="102" spans="1:16">
      <c r="A102" s="1">
        <v>1</v>
      </c>
      <c r="B102" s="1">
        <v>1.2</v>
      </c>
      <c r="C102" s="1">
        <v>1</v>
      </c>
      <c r="D102" s="1" t="s">
        <v>73</v>
      </c>
      <c r="E102" s="1" t="s">
        <v>522</v>
      </c>
      <c r="F102" s="4">
        <v>45394</v>
      </c>
      <c r="G102" s="6">
        <v>0.23868055555555553</v>
      </c>
      <c r="H102" s="1" t="s">
        <v>21</v>
      </c>
      <c r="I102" s="1" t="s">
        <v>524</v>
      </c>
      <c r="J102" s="1">
        <v>6.8300000000000001E-3</v>
      </c>
      <c r="K102" s="1" t="s">
        <v>525</v>
      </c>
      <c r="L102" s="3">
        <v>0.24976851851851853</v>
      </c>
      <c r="M102" s="3"/>
      <c r="P102" s="1" t="s">
        <v>523</v>
      </c>
    </row>
    <row r="103" spans="1:16">
      <c r="A103" s="1">
        <v>1</v>
      </c>
      <c r="B103" s="1">
        <v>1.2</v>
      </c>
      <c r="C103" s="1">
        <v>1</v>
      </c>
      <c r="D103" s="1" t="s">
        <v>80</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cols>
    <col min="1" max="1" width="19.5" customWidth="1"/>
    <col min="2" max="2" width="18.1640625" customWidth="1"/>
    <col min="3" max="3" width="25.1640625" customWidth="1"/>
    <col min="4" max="4" width="19" customWidth="1"/>
    <col min="5" max="6" width="16.83203125" customWidth="1"/>
  </cols>
  <sheetData>
    <row r="1" spans="1:5">
      <c r="A1" t="s">
        <v>610</v>
      </c>
      <c r="B1" t="s">
        <v>609</v>
      </c>
      <c r="C1" t="s">
        <v>613</v>
      </c>
      <c r="D1" t="s">
        <v>612</v>
      </c>
      <c r="E1" t="s">
        <v>611</v>
      </c>
    </row>
    <row r="2" spans="1:5">
      <c r="A2">
        <v>183</v>
      </c>
      <c r="B2">
        <f xml:space="preserve"> 250/4.34</f>
        <v>57.603686635944705</v>
      </c>
      <c r="C2">
        <f>2*((0.5*$B2)/$A2)</f>
        <v>0.31477424391226616</v>
      </c>
      <c r="D2">
        <f>DEGREES(ATAN($C2))</f>
        <v>17.472659297833538</v>
      </c>
      <c r="E2">
        <f xml:space="preserve"> 1/$D2</f>
        <v>5.7232272601114104E-2</v>
      </c>
    </row>
    <row r="3" spans="1:5">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cols>
    <col min="5" max="5" width="13" customWidth="1"/>
    <col min="6" max="6" width="13.6640625" customWidth="1"/>
    <col min="7" max="7" width="12.83203125" customWidth="1"/>
    <col min="8" max="8" width="13" customWidth="1"/>
    <col min="10" max="11" width="15.33203125" customWidth="1"/>
  </cols>
  <sheetData>
    <row r="2" spans="4:12">
      <c r="D2" s="18"/>
      <c r="E2" s="30"/>
      <c r="F2" s="30"/>
      <c r="G2" s="30"/>
      <c r="H2" s="30"/>
      <c r="I2" s="30"/>
      <c r="J2" s="30"/>
      <c r="K2" s="30"/>
      <c r="L2" s="30"/>
    </row>
    <row r="3" spans="4:12">
      <c r="D3" s="18"/>
      <c r="E3" s="30"/>
    </row>
    <row r="4" spans="4:12">
      <c r="D4" s="18"/>
      <c r="E4" s="30"/>
    </row>
    <row r="5" spans="4:12">
      <c r="D5" s="18"/>
      <c r="E5" s="30"/>
    </row>
    <row r="6" spans="4:12">
      <c r="F6" s="30"/>
      <c r="G6" s="30"/>
      <c r="H6" s="30"/>
    </row>
    <row r="7" spans="4:12">
      <c r="F7" s="30"/>
      <c r="H7" s="30"/>
    </row>
    <row r="8" spans="4:12">
      <c r="F8" s="30"/>
      <c r="H8" s="30"/>
    </row>
    <row r="9" spans="4:12">
      <c r="F9" s="30"/>
      <c r="H9" s="30"/>
    </row>
    <row r="11" spans="4:12">
      <c r="F11" s="30"/>
      <c r="H11" s="30"/>
    </row>
    <row r="12" spans="4:12">
      <c r="F12" s="30"/>
      <c r="H12" s="30"/>
    </row>
    <row r="13" spans="4:12">
      <c r="F13" s="30"/>
      <c r="H13" s="30"/>
    </row>
    <row r="14" spans="4:12">
      <c r="H14" s="30"/>
    </row>
    <row r="15" spans="4:12">
      <c r="D15" s="18"/>
      <c r="E15" s="30"/>
      <c r="H15" s="30"/>
      <c r="I15" s="30"/>
      <c r="J15" s="30"/>
      <c r="K15" s="30"/>
      <c r="L15" s="30"/>
    </row>
    <row r="16" spans="4:12">
      <c r="D16" s="18"/>
      <c r="E16" s="30"/>
      <c r="F16" s="30"/>
      <c r="G16" s="30"/>
      <c r="H16" s="30"/>
      <c r="I16" s="30"/>
      <c r="J16" s="30"/>
      <c r="K16" s="30"/>
      <c r="L16" s="30"/>
    </row>
    <row r="17" spans="1:12">
      <c r="D17" s="18"/>
      <c r="E17" s="30"/>
      <c r="H17" s="30"/>
      <c r="I17" s="30"/>
      <c r="J17" s="30"/>
      <c r="K17" s="30"/>
      <c r="L17" s="30"/>
    </row>
    <row r="18" spans="1:12">
      <c r="D18" s="18"/>
      <c r="E18" s="30"/>
    </row>
    <row r="19" spans="1:12">
      <c r="D19" s="18"/>
      <c r="E19" s="30"/>
      <c r="H19" s="30"/>
      <c r="I19" s="30"/>
      <c r="J19" s="30"/>
      <c r="K19" s="30"/>
      <c r="L19" s="30"/>
    </row>
    <row r="20" spans="1:12">
      <c r="D20" s="18"/>
      <c r="E20" s="30"/>
      <c r="H20" s="30"/>
      <c r="I20" s="30"/>
      <c r="J20" s="30"/>
      <c r="K20" s="30"/>
      <c r="L20" s="30"/>
    </row>
    <row r="21" spans="1:12">
      <c r="A21" s="17"/>
      <c r="D21" s="18"/>
      <c r="E21" s="30"/>
      <c r="H21" s="30"/>
      <c r="I21" s="30"/>
      <c r="J21" s="30"/>
      <c r="K21" s="30"/>
      <c r="L21" s="30"/>
    </row>
    <row r="22" spans="1:12">
      <c r="A22" s="17"/>
      <c r="D22" s="18"/>
      <c r="E22" s="30"/>
      <c r="F22" s="30"/>
      <c r="G22" s="30"/>
      <c r="H22" s="30"/>
      <c r="I22" s="30"/>
      <c r="J22" s="30"/>
      <c r="K22" s="30"/>
      <c r="L22" s="30"/>
    </row>
    <row r="23" spans="1:12">
      <c r="A23" s="17"/>
      <c r="D23" s="18"/>
      <c r="E23" s="30"/>
      <c r="F23" s="30"/>
      <c r="G23" s="30"/>
      <c r="H23" s="30"/>
      <c r="I23" s="30"/>
      <c r="J23" s="30"/>
      <c r="K23" s="30"/>
      <c r="L23" s="30"/>
    </row>
    <row r="24" spans="1:12">
      <c r="A24" s="17"/>
      <c r="D24" s="18"/>
      <c r="E24" s="30"/>
      <c r="F24" s="30"/>
      <c r="G24" s="30"/>
      <c r="H24" s="30"/>
      <c r="I24" s="30"/>
      <c r="J24" s="30"/>
      <c r="K24" s="30"/>
      <c r="L24" s="30"/>
    </row>
    <row r="25" spans="1:12">
      <c r="A25" s="17"/>
      <c r="D25" s="18"/>
      <c r="E25" s="30"/>
      <c r="H25" s="30"/>
      <c r="I25" s="30"/>
      <c r="J25" s="30"/>
      <c r="K25" s="30"/>
      <c r="L25" s="30"/>
    </row>
    <row r="26" spans="1:12">
      <c r="A26" s="17"/>
      <c r="D26" s="18"/>
      <c r="E26" s="30"/>
      <c r="F26" s="30"/>
      <c r="G26" s="30"/>
      <c r="H26" s="30"/>
    </row>
    <row r="27" spans="1:12">
      <c r="D27" s="18"/>
      <c r="E27" s="30"/>
      <c r="H27" s="30"/>
      <c r="I27" s="30"/>
      <c r="J27" s="30"/>
      <c r="K27" s="30"/>
      <c r="L27" s="30"/>
    </row>
    <row r="28" spans="1:12">
      <c r="A28" s="17"/>
      <c r="D28" s="18"/>
      <c r="E28" s="30"/>
      <c r="F28" s="30"/>
      <c r="G28" s="30"/>
      <c r="H28" s="30"/>
      <c r="I28" s="30"/>
      <c r="J28" s="30"/>
      <c r="K28" s="30"/>
      <c r="L28" s="30"/>
    </row>
    <row r="29" spans="1:12">
      <c r="D29" s="18"/>
      <c r="E29" s="30"/>
      <c r="H29" s="30"/>
      <c r="I29" s="30"/>
      <c r="J29" s="30"/>
      <c r="K29" s="30"/>
      <c r="L29" s="30"/>
    </row>
    <row r="30" spans="1:12">
      <c r="D30" s="18"/>
      <c r="E30" s="30"/>
      <c r="F30" s="30"/>
      <c r="H30" s="30"/>
      <c r="I30" s="30"/>
      <c r="J30" s="30"/>
      <c r="K30" s="30"/>
      <c r="L30" s="30"/>
    </row>
    <row r="31" spans="1:12">
      <c r="A31" s="17"/>
      <c r="D31" s="18"/>
      <c r="E31" s="30"/>
      <c r="H31" s="30"/>
      <c r="I31" s="30"/>
      <c r="J31" s="30"/>
      <c r="K31" s="30"/>
      <c r="L31" s="30"/>
    </row>
    <row r="32" spans="1:12">
      <c r="A32" s="17"/>
      <c r="D32" s="18"/>
      <c r="E32" s="30"/>
      <c r="F32" s="30"/>
      <c r="H32" s="30"/>
      <c r="I32" s="30"/>
      <c r="J32" s="30"/>
      <c r="K32" s="30"/>
      <c r="L32" s="30"/>
    </row>
    <row r="33" spans="4:9">
      <c r="D33" s="18"/>
      <c r="E33" s="30"/>
      <c r="G33" s="30"/>
      <c r="H33" s="30"/>
      <c r="I33" s="30"/>
    </row>
    <row r="34" spans="4:9">
      <c r="D34" s="18"/>
      <c r="E34" s="30"/>
      <c r="F34" s="30"/>
      <c r="G34" s="30"/>
      <c r="H34" s="30"/>
      <c r="I34" s="30"/>
    </row>
    <row r="35" spans="4:9">
      <c r="D35" s="18"/>
      <c r="E35" s="30"/>
      <c r="F35" s="30"/>
      <c r="G35" s="30"/>
      <c r="H35" s="30"/>
      <c r="I35" s="30"/>
    </row>
    <row r="36" spans="4:9">
      <c r="D36" s="18"/>
      <c r="E36" s="30"/>
      <c r="F36" s="30"/>
      <c r="G36" s="30"/>
      <c r="H36" s="30"/>
      <c r="I36" s="30"/>
    </row>
    <row r="37" spans="4:9">
      <c r="D37" s="18"/>
      <c r="E37" s="30"/>
      <c r="H37" s="30"/>
      <c r="I37" s="30"/>
    </row>
    <row r="38" spans="4:9">
      <c r="D38" s="18"/>
      <c r="E38" s="30"/>
      <c r="F38" s="30"/>
      <c r="G38" s="30"/>
      <c r="H38" s="30"/>
      <c r="I38" s="30"/>
    </row>
    <row r="39" spans="4:9">
      <c r="D39" s="18"/>
      <c r="E39" s="30"/>
    </row>
    <row r="40" spans="4:9">
      <c r="D40" s="18"/>
      <c r="E40" s="30"/>
      <c r="H40" s="30"/>
      <c r="I40" s="30"/>
    </row>
    <row r="41" spans="4:9">
      <c r="D41" s="18"/>
      <c r="E41" s="30"/>
      <c r="F41" s="30"/>
      <c r="G41" s="30"/>
      <c r="H41" s="30"/>
      <c r="I41" s="30"/>
    </row>
    <row r="42" spans="4:9">
      <c r="D42" s="18"/>
      <c r="E42" s="30"/>
    </row>
    <row r="43" spans="4:9">
      <c r="D43" s="18"/>
      <c r="E43" s="30"/>
      <c r="F43" s="30"/>
      <c r="G43" s="30"/>
      <c r="H43" s="30"/>
      <c r="I43" s="30"/>
    </row>
    <row r="44" spans="4:9">
      <c r="D44" s="18"/>
      <c r="E44" s="30"/>
    </row>
    <row r="45" spans="4:9">
      <c r="D45" s="18"/>
      <c r="E45" s="30"/>
      <c r="F45" s="30"/>
      <c r="G45" s="30"/>
      <c r="H45" s="30"/>
      <c r="I45" s="30"/>
    </row>
    <row r="46" spans="4:9">
      <c r="D46" s="18"/>
      <c r="E46" s="30"/>
      <c r="H46" s="30"/>
      <c r="I46" s="30"/>
    </row>
    <row r="47" spans="4:9">
      <c r="D47" s="18"/>
      <c r="E47" s="30"/>
      <c r="F47" s="30"/>
      <c r="G47" s="30"/>
      <c r="H47" s="30"/>
      <c r="I47" s="30"/>
    </row>
    <row r="48" spans="4:9">
      <c r="D48" s="18"/>
      <c r="E48" s="30"/>
      <c r="F48" s="30"/>
      <c r="G48" s="30"/>
      <c r="H48" s="30"/>
      <c r="I48" s="30"/>
    </row>
    <row r="49" spans="4:9">
      <c r="D49" s="18"/>
      <c r="E49" s="30"/>
      <c r="F49" s="30"/>
      <c r="G49" s="30"/>
      <c r="H49" s="30"/>
      <c r="I49" s="30"/>
    </row>
    <row r="50" spans="4:9">
      <c r="D50" s="18"/>
      <c r="E50" s="30"/>
      <c r="F50" s="30"/>
      <c r="G50" s="30"/>
      <c r="H50" s="30"/>
      <c r="I50" s="30"/>
    </row>
    <row r="51" spans="4:9">
      <c r="D51" s="18"/>
      <c r="E51" s="30"/>
    </row>
    <row r="52" spans="4:9">
      <c r="D52" s="18"/>
      <c r="E52" s="30"/>
      <c r="H52" s="30"/>
      <c r="I52" s="30"/>
    </row>
    <row r="53" spans="4:9">
      <c r="D53" s="18"/>
      <c r="E53" s="30"/>
      <c r="F53" s="30"/>
      <c r="G53" s="30"/>
      <c r="H53" s="30"/>
      <c r="I53" s="30"/>
    </row>
    <row r="54" spans="4:9">
      <c r="D54" s="18"/>
      <c r="E54" s="30"/>
      <c r="H54" s="30"/>
      <c r="I54" s="30"/>
    </row>
    <row r="55" spans="4:9">
      <c r="D55" s="18"/>
      <c r="E55" s="30"/>
      <c r="F55" s="30"/>
      <c r="G55" s="30"/>
      <c r="H55" s="30"/>
      <c r="I55" s="30"/>
    </row>
    <row r="56" spans="4:9">
      <c r="D56" s="18"/>
      <c r="E56" s="30"/>
      <c r="H56" s="30"/>
      <c r="I56" s="30"/>
    </row>
    <row r="57" spans="4:9">
      <c r="D57" s="18"/>
      <c r="E57" s="30"/>
      <c r="F57" s="30"/>
      <c r="H57" s="30"/>
      <c r="I57" s="30"/>
    </row>
    <row r="58" spans="4:9">
      <c r="D58" s="18"/>
      <c r="E58" s="30"/>
      <c r="F58" s="30"/>
      <c r="H58" s="30"/>
      <c r="I58" s="30"/>
    </row>
    <row r="59" spans="4:9">
      <c r="D59" s="18"/>
      <c r="E59" s="30"/>
      <c r="F59" s="30"/>
      <c r="G59" s="30"/>
      <c r="H59" s="30"/>
      <c r="I59" s="30"/>
    </row>
    <row r="60" spans="4:9">
      <c r="D60" s="18"/>
      <c r="E60" s="30"/>
      <c r="F60" s="30"/>
      <c r="G60" s="30"/>
      <c r="H60" s="30"/>
      <c r="I60" s="30"/>
    </row>
    <row r="61" spans="4:9">
      <c r="D61" s="18"/>
      <c r="E61" s="30"/>
      <c r="F61" s="30"/>
      <c r="G61" s="30"/>
      <c r="H61" s="30"/>
      <c r="I61" s="30"/>
    </row>
    <row r="62" spans="4:9">
      <c r="D62" s="18"/>
      <c r="E62" s="30"/>
      <c r="F62" s="30"/>
      <c r="G62" s="30"/>
      <c r="H62" s="30"/>
      <c r="I62" s="30"/>
    </row>
    <row r="63" spans="4:9">
      <c r="D63" s="18"/>
      <c r="E63" s="30"/>
      <c r="F63" s="30"/>
      <c r="G63" s="30"/>
      <c r="H63" s="30"/>
      <c r="I63" s="30"/>
    </row>
    <row r="64" spans="4:9">
      <c r="D64" s="18"/>
      <c r="E64" s="30"/>
      <c r="H64" s="30"/>
      <c r="I64" s="30"/>
    </row>
    <row r="65" spans="4:9">
      <c r="D65" s="18"/>
      <c r="E65" s="30"/>
      <c r="F65" s="30"/>
      <c r="G65" s="30"/>
      <c r="H65" s="30"/>
      <c r="I65" s="30"/>
    </row>
    <row r="66" spans="4:9">
      <c r="D66" s="18"/>
      <c r="E66" s="30"/>
      <c r="H66" s="30"/>
      <c r="I66" s="30"/>
    </row>
    <row r="67" spans="4:9">
      <c r="D67" s="18"/>
      <c r="E67" s="30"/>
      <c r="H67" s="30"/>
      <c r="I67" s="30"/>
    </row>
    <row r="68" spans="4:9">
      <c r="D68" s="18"/>
      <c r="E68" s="30"/>
      <c r="H68" s="30"/>
      <c r="I68" s="30"/>
    </row>
    <row r="69" spans="4:9">
      <c r="D69" s="18"/>
      <c r="E69" s="30"/>
      <c r="F69" s="30"/>
      <c r="H69" s="30"/>
      <c r="I69" s="30"/>
    </row>
    <row r="70" spans="4:9">
      <c r="D70" s="18"/>
      <c r="E70" s="30"/>
      <c r="H70" s="30"/>
      <c r="I70" s="30"/>
    </row>
    <row r="71" spans="4:9">
      <c r="D71" s="18"/>
      <c r="E71" s="30"/>
      <c r="H71" s="30"/>
      <c r="I71" s="30"/>
    </row>
    <row r="72" spans="4:9">
      <c r="D72" s="18"/>
      <c r="E72" s="30"/>
      <c r="F72" s="30"/>
      <c r="H72" s="30"/>
      <c r="I72" s="30"/>
    </row>
    <row r="73" spans="4:9">
      <c r="D73" s="18"/>
      <c r="E73" s="30"/>
      <c r="F73" s="30"/>
      <c r="H73" s="30"/>
      <c r="I73" s="30"/>
    </row>
    <row r="74" spans="4:9">
      <c r="D74" s="18"/>
      <c r="E74" s="30"/>
      <c r="H74" s="30"/>
      <c r="I74" s="30"/>
    </row>
    <row r="75" spans="4:9">
      <c r="D75" s="18"/>
      <c r="E75" s="30"/>
      <c r="H75" s="30"/>
      <c r="I75" s="30"/>
    </row>
    <row r="76" spans="4:9">
      <c r="D76" s="18"/>
      <c r="E76" s="30"/>
      <c r="H76" s="30"/>
      <c r="I76" s="30"/>
    </row>
    <row r="77" spans="4:9">
      <c r="D77" s="18"/>
      <c r="E77" s="30"/>
      <c r="F77" s="30"/>
      <c r="H77" s="30"/>
      <c r="I77" s="30"/>
    </row>
    <row r="78" spans="4:9">
      <c r="D78" s="18"/>
      <c r="E78" s="30"/>
      <c r="F78" s="30"/>
      <c r="H78" s="30"/>
      <c r="I78" s="30"/>
    </row>
    <row r="79" spans="4:9">
      <c r="D79" s="18"/>
      <c r="E79" s="30"/>
      <c r="F79" s="30"/>
    </row>
    <row r="80" spans="4:9">
      <c r="D80" s="18"/>
      <c r="E80" s="30"/>
      <c r="F80" s="30"/>
      <c r="H80" s="30"/>
      <c r="I80" s="30"/>
    </row>
    <row r="81" spans="3:9">
      <c r="D81" s="18"/>
      <c r="E81" s="30"/>
      <c r="H81" s="30"/>
      <c r="I81" s="30"/>
    </row>
    <row r="82" spans="3:9">
      <c r="D82" s="18"/>
      <c r="E82" s="30"/>
      <c r="F82" s="30"/>
      <c r="H82" s="30"/>
      <c r="I82" s="30"/>
    </row>
    <row r="83" spans="3:9">
      <c r="D83" s="18"/>
      <c r="E83" s="30"/>
      <c r="F83" s="30"/>
      <c r="H83" s="30"/>
      <c r="I83" s="30"/>
    </row>
    <row r="84" spans="3:9">
      <c r="C84" s="1"/>
      <c r="D84" s="4"/>
      <c r="E84" s="6"/>
      <c r="F84" s="30"/>
      <c r="H84" s="30"/>
      <c r="I84" s="30"/>
    </row>
    <row r="85" spans="3:9">
      <c r="C85" s="1"/>
      <c r="D85" s="4"/>
      <c r="E85" s="6"/>
      <c r="H85" s="30"/>
      <c r="I85" s="30"/>
    </row>
    <row r="86" spans="3:9">
      <c r="C86" s="1"/>
      <c r="D86" s="4"/>
      <c r="E86" s="6"/>
      <c r="F86" s="30"/>
      <c r="H86" s="30"/>
      <c r="I86" s="30"/>
    </row>
    <row r="87" spans="3:9">
      <c r="C87" s="1"/>
      <c r="D87" s="4"/>
      <c r="E87" s="6"/>
      <c r="F87" s="30"/>
      <c r="H87" s="30"/>
      <c r="I87" s="30"/>
    </row>
    <row r="88" spans="3:9">
      <c r="D88" s="18"/>
      <c r="E88" s="30"/>
      <c r="H88" s="30"/>
      <c r="I88" s="30"/>
    </row>
    <row r="89" spans="3:9">
      <c r="D89" s="18"/>
      <c r="E89" s="30"/>
      <c r="H89" s="30"/>
      <c r="I89" s="30"/>
    </row>
    <row r="90" spans="3:9">
      <c r="D90" s="18"/>
      <c r="E90" s="30"/>
      <c r="F90" s="30"/>
      <c r="G90" s="30"/>
      <c r="H90" s="30"/>
      <c r="I90" s="30"/>
    </row>
    <row r="91" spans="3:9">
      <c r="D91" s="18"/>
      <c r="E91" s="30"/>
      <c r="F91" s="30"/>
      <c r="G91" s="30"/>
      <c r="H91" s="30"/>
      <c r="I91" s="30"/>
    </row>
    <row r="92" spans="3:9">
      <c r="D92" s="18"/>
      <c r="E92" s="30"/>
    </row>
    <row r="93" spans="3:9">
      <c r="D93" s="18"/>
      <c r="E93" s="30"/>
      <c r="H93" s="30"/>
      <c r="I93" s="30"/>
    </row>
    <row r="94" spans="3:9">
      <c r="D94" s="18"/>
      <c r="E94" s="30"/>
      <c r="H94" s="30"/>
      <c r="I94" s="30"/>
    </row>
    <row r="95" spans="3:9">
      <c r="D95" s="18"/>
      <c r="E95" s="30"/>
      <c r="H95" s="30"/>
      <c r="I95" s="30"/>
    </row>
    <row r="96" spans="3:9">
      <c r="D96" s="18"/>
      <c r="E96" s="30"/>
      <c r="F96" s="30"/>
      <c r="H96" s="30"/>
      <c r="I96" s="30"/>
    </row>
    <row r="97" spans="1:9">
      <c r="D97" s="18"/>
      <c r="E97" s="30"/>
      <c r="F97" s="30"/>
      <c r="H97" s="30"/>
      <c r="I97" s="30"/>
    </row>
    <row r="98" spans="1:9">
      <c r="D98" s="18"/>
      <c r="E98" s="30"/>
      <c r="F98" s="30"/>
      <c r="H98" s="30"/>
      <c r="I98" s="30"/>
    </row>
    <row r="99" spans="1:9">
      <c r="D99" s="18"/>
      <c r="E99" s="30"/>
      <c r="F99" s="30"/>
      <c r="H99" s="30"/>
      <c r="I99" s="30"/>
    </row>
    <row r="100" spans="1:9">
      <c r="D100" s="18"/>
      <c r="E100" s="30"/>
      <c r="H100" s="30"/>
      <c r="I100" s="30"/>
    </row>
    <row r="101" spans="1:9">
      <c r="D101" s="18"/>
      <c r="E101" s="30"/>
      <c r="F101" s="30"/>
      <c r="H101" s="30"/>
      <c r="I101" s="30"/>
    </row>
    <row r="102" spans="1:9">
      <c r="D102" s="18"/>
      <c r="E102" s="30"/>
      <c r="F102" s="30"/>
      <c r="H102" s="30"/>
      <c r="I102" s="30"/>
    </row>
    <row r="103" spans="1:9">
      <c r="A103" s="17"/>
      <c r="D103" s="18"/>
      <c r="E103" s="30"/>
      <c r="F103" s="30"/>
    </row>
    <row r="104" spans="1:9">
      <c r="A104" s="17"/>
      <c r="D104" s="18"/>
      <c r="E104" s="30"/>
      <c r="H104" s="30"/>
      <c r="I104" s="30"/>
    </row>
    <row r="105" spans="1:9">
      <c r="A105" s="17"/>
      <c r="D105" s="18"/>
      <c r="E105" s="30"/>
      <c r="F105" s="30"/>
      <c r="H105" s="30"/>
      <c r="I105" s="30"/>
    </row>
    <row r="106" spans="1:9">
      <c r="A106" s="17"/>
      <c r="D106" s="18"/>
      <c r="E106" s="30"/>
      <c r="F106" s="30"/>
      <c r="H106" s="30"/>
      <c r="I106" s="30"/>
    </row>
    <row r="107" spans="1:9">
      <c r="A107" s="17"/>
      <c r="D107" s="18"/>
      <c r="E107" s="30"/>
      <c r="F107" s="30"/>
      <c r="H107" s="30"/>
      <c r="I107" s="30"/>
    </row>
    <row r="108" spans="1:9">
      <c r="A108" s="17"/>
      <c r="D108" s="18"/>
      <c r="E108" s="30"/>
      <c r="H108" s="30"/>
      <c r="I108" s="30"/>
    </row>
    <row r="109" spans="1:9">
      <c r="A109" s="17"/>
      <c r="D109" s="18"/>
      <c r="E109" s="30"/>
      <c r="F109" s="30"/>
      <c r="H109" s="30"/>
      <c r="I109" s="30"/>
    </row>
    <row r="110" spans="1:9">
      <c r="A110" s="17"/>
      <c r="D110" s="18"/>
      <c r="E110" s="30"/>
      <c r="H110" s="30"/>
      <c r="I110" s="30"/>
    </row>
    <row r="111" spans="1:9">
      <c r="A111" s="17"/>
      <c r="D111" s="18"/>
      <c r="E111" s="30"/>
      <c r="F111" s="30"/>
      <c r="G111" s="30"/>
      <c r="H111" s="30"/>
      <c r="I111" s="30"/>
    </row>
    <row r="112" spans="1:9">
      <c r="A112" s="17"/>
      <c r="D112" s="18"/>
      <c r="E112" s="30"/>
      <c r="F112" s="30"/>
      <c r="G112" s="30"/>
      <c r="H112" s="30"/>
      <c r="I112" s="30"/>
    </row>
    <row r="113" spans="1:9">
      <c r="A113" s="17"/>
      <c r="D113" s="18"/>
      <c r="E113" s="30"/>
      <c r="G113" s="30"/>
      <c r="H113" s="30"/>
      <c r="I113" s="30"/>
    </row>
    <row r="114" spans="1:9">
      <c r="A114" s="17"/>
      <c r="D114" s="18"/>
      <c r="E114" s="30"/>
      <c r="F114" s="30"/>
      <c r="G114" s="30"/>
      <c r="H114" s="30"/>
      <c r="I114" s="30"/>
    </row>
    <row r="115" spans="1:9">
      <c r="A115" s="17"/>
      <c r="D115" s="18"/>
      <c r="E115" s="30"/>
      <c r="F115" s="30"/>
      <c r="G115" s="30"/>
    </row>
    <row r="116" spans="1:9">
      <c r="A116" s="17"/>
      <c r="D116" s="18"/>
      <c r="E116" s="30"/>
    </row>
    <row r="117" spans="1:9">
      <c r="A117" s="17"/>
      <c r="D117" s="18"/>
      <c r="E117" s="30"/>
    </row>
    <row r="118" spans="1:9">
      <c r="A118" s="17"/>
      <c r="D118" s="18"/>
      <c r="E118" s="30"/>
      <c r="F118" s="30"/>
      <c r="G118" s="30"/>
      <c r="H118" s="30"/>
      <c r="I118" s="30"/>
    </row>
    <row r="119" spans="1:9">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2026-09-29T10:17:19Z</dcterms:modified>
</cp:coreProperties>
</file>