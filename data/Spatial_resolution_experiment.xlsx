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wsSortMap1.xml" ContentType="application/vnd.ms-excel.wsSortMap+xml"/>
  <Override PartName="/xl/worksheets/wsSortMap2.xml" ContentType="application/vnd.ms-excel.wsSortMap+xml"/>
  <Override PartName="/xl/calcChain.xml" ContentType="application/vnd.openxmlformats-officedocument.spreadsheetml.calcChain+xml"/>
  <Override PartName="/xl/revisions/revisionHeaders.xml" ContentType="application/vnd.openxmlformats-officedocument.spreadsheetml.revisionHeaders+xml"/>
  <Override PartName="/xl/revisions/revisionLog104.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xl/revisions/revisionLog26.xml" ContentType="application/vnd.openxmlformats-officedocument.spreadsheetml.revisionLog+xml"/>
  <Override PartName="/xl/revisions/revisionLog21.xml" ContentType="application/vnd.openxmlformats-officedocument.spreadsheetml.revisionLog+xml"/>
  <Override PartName="/xl/revisions/revisionLog42.xml" ContentType="application/vnd.openxmlformats-officedocument.spreadsheetml.revisionLog+xml"/>
  <Override PartName="/xl/revisions/revisionLog47.xml" ContentType="application/vnd.openxmlformats-officedocument.spreadsheetml.revisionLog+xml"/>
  <Override PartName="/xl/revisions/revisionLog1.xml" ContentType="application/vnd.openxmlformats-officedocument.spreadsheetml.revisionLog+xml"/>
  <Override PartName="/xl/revisions/revisionLog65.xml" ContentType="application/vnd.openxmlformats-officedocument.spreadsheetml.revisionLog+xml"/>
  <Override PartName="/xl/revisions/revisionLog81.xml" ContentType="application/vnd.openxmlformats-officedocument.spreadsheetml.revisionLog+xml"/>
  <Override PartName="/xl/revisions/revisionLog86.xml" ContentType="application/vnd.openxmlformats-officedocument.spreadsheetml.revisionLog+xml"/>
  <Override PartName="/xl/revisions/revisionLog16.xml" ContentType="application/vnd.openxmlformats-officedocument.spreadsheetml.revisionLog+xml"/>
  <Override PartName="/xl/revisions/revisionLog11.xml" ContentType="application/vnd.openxmlformats-officedocument.spreadsheetml.revisionLog+xml"/>
  <Override PartName="/xl/revisions/revisionLog32.xml" ContentType="application/vnd.openxmlformats-officedocument.spreadsheetml.revisionLog+xml"/>
  <Override PartName="/xl/revisions/revisionLog37.xml" ContentType="application/vnd.openxmlformats-officedocument.spreadsheetml.revisionLog+xml"/>
  <Override PartName="/xl/revisions/revisionLog53.xml" ContentType="application/vnd.openxmlformats-officedocument.spreadsheetml.revisionLog+xml"/>
  <Override PartName="/xl/revisions/revisionLog58.xml" ContentType="application/vnd.openxmlformats-officedocument.spreadsheetml.revisionLog+xml"/>
  <Override PartName="/xl/revisions/revisionLog71.xml" ContentType="application/vnd.openxmlformats-officedocument.spreadsheetml.revisionLog+xml"/>
  <Override PartName="/xl/revisions/revisionLog76.xml" ContentType="application/vnd.openxmlformats-officedocument.spreadsheetml.revisionLog+xml"/>
  <Override PartName="/xl/revisions/revisionLog99.xml" ContentType="application/vnd.openxmlformats-officedocument.spreadsheetml.revisionLog+xml"/>
  <Override PartName="/xl/revisions/revisionLog5.xml" ContentType="application/vnd.openxmlformats-officedocument.spreadsheetml.revisionLog+xml"/>
  <Override PartName="/xl/revisions/revisionLog87.xml" ContentType="application/vnd.openxmlformats-officedocument.spreadsheetml.revisionLog+xml"/>
  <Override PartName="/xl/revisions/revisionLog92.xml" ContentType="application/vnd.openxmlformats-officedocument.spreadsheetml.revisionLog+xml"/>
  <Override PartName="/xl/revisions/revisionLog22.xml" ContentType="application/vnd.openxmlformats-officedocument.spreadsheetml.revisionLog+xml"/>
  <Override PartName="/xl/revisions/revisionLog27.xml" ContentType="application/vnd.openxmlformats-officedocument.spreadsheetml.revisionLog+xml"/>
  <Override PartName="/xl/revisions/revisionLog43.xml" ContentType="application/vnd.openxmlformats-officedocument.spreadsheetml.revisionLog+xml"/>
  <Override PartName="/xl/revisions/revisionLog48.xml" ContentType="application/vnd.openxmlformats-officedocument.spreadsheetml.revisionLog+xml"/>
  <Override PartName="/xl/revisions/revisionLog2.xml" ContentType="application/vnd.openxmlformats-officedocument.spreadsheetml.revisionLog+xml"/>
  <Override PartName="/xl/revisions/revisionLog66.xml" ContentType="application/vnd.openxmlformats-officedocument.spreadsheetml.revisionLog+xml"/>
  <Override PartName="/xl/revisions/revisionLog77.xml" ContentType="application/vnd.openxmlformats-officedocument.spreadsheetml.revisionLog+xml"/>
  <Override PartName="/xl/revisions/revisionLog82.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25.xml" ContentType="application/vnd.openxmlformats-officedocument.spreadsheetml.revisionLog+xml"/>
  <Override PartName="/xl/revisions/revisionLog33.xml" ContentType="application/vnd.openxmlformats-officedocument.spreadsheetml.revisionLog+xml"/>
  <Override PartName="/xl/revisions/revisionLog38.xml" ContentType="application/vnd.openxmlformats-officedocument.spreadsheetml.revisionLog+xml"/>
  <Override PartName="/xl/revisions/revisionLog46.xml" ContentType="application/vnd.openxmlformats-officedocument.spreadsheetml.revisionLog+xml"/>
  <Override PartName="/xl/revisions/revisionLog59.xml" ContentType="application/vnd.openxmlformats-officedocument.spreadsheetml.revisionLog+xml"/>
  <Override PartName="/xl/revisions/revisionLog64.xml" ContentType="application/vnd.openxmlformats-officedocument.spreadsheetml.revisionLog+xml"/>
  <Override PartName="/xl/revisions/revisionLog100.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54.xml" ContentType="application/vnd.openxmlformats-officedocument.spreadsheetml.revisionLog+xml"/>
  <Override PartName="/xl/revisions/revisionLog62.xml" ContentType="application/vnd.openxmlformats-officedocument.spreadsheetml.revisionLog+xml"/>
  <Override PartName="/xl/revisions/revisionLog67.xml" ContentType="application/vnd.openxmlformats-officedocument.spreadsheetml.revisionLog+xml"/>
  <Override PartName="/xl/revisions/revisionLog72.xml" ContentType="application/vnd.openxmlformats-officedocument.spreadsheetml.revisionLog+xml"/>
  <Override PartName="/xl/revisions/revisionLog80.xml" ContentType="application/vnd.openxmlformats-officedocument.spreadsheetml.revisionLog+xml"/>
  <Override PartName="/xl/revisions/revisionLog85.xml" ContentType="application/vnd.openxmlformats-officedocument.spreadsheetml.revisionLog+xml"/>
  <Override PartName="/xl/revisions/revisionLog88.xml" ContentType="application/vnd.openxmlformats-officedocument.spreadsheetml.revisionLog+xml"/>
  <Override PartName="/xl/revisions/revisionLog93.xml" ContentType="application/vnd.openxmlformats-officedocument.spreadsheetml.revisionLog+xml"/>
  <Override PartName="/xl/revisions/revisionLog6.xml" ContentType="application/vnd.openxmlformats-officedocument.spreadsheetml.revisionLog+xml"/>
  <Override PartName="/xl/revisions/revisionLog15.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36.xml" ContentType="application/vnd.openxmlformats-officedocument.spreadsheetml.revisionLog+xml"/>
  <Override PartName="/xl/revisions/revisionLog49.xml" ContentType="application/vnd.openxmlformats-officedocument.spreadsheetml.revisionLog+xml"/>
  <Override PartName="/xl/revisions/revisionLog57.xml" ContentType="application/vnd.openxmlformats-officedocument.spreadsheetml.revisionLog+xml"/>
  <Override PartName="/xl/revisions/revisionLog103.xml" ContentType="application/vnd.openxmlformats-officedocument.spreadsheetml.revisionLog+xml"/>
  <Override PartName="/xl/revisions/revisionLog10.xml" ContentType="application/vnd.openxmlformats-officedocument.spreadsheetml.revisionLog+xml"/>
  <Override PartName="/xl/revisions/revisionLog31.xml" ContentType="application/vnd.openxmlformats-officedocument.spreadsheetml.revisionLog+xml"/>
  <Override PartName="/xl/revisions/revisionLog44.xml" ContentType="application/vnd.openxmlformats-officedocument.spreadsheetml.revisionLog+xml"/>
  <Override PartName="/xl/revisions/revisionLog52.xml" ContentType="application/vnd.openxmlformats-officedocument.spreadsheetml.revisionLog+xml"/>
  <Override PartName="/xl/revisions/revisionLog60.xml" ContentType="application/vnd.openxmlformats-officedocument.spreadsheetml.revisionLog+xml"/>
  <Override PartName="/xl/revisions/revisionLog3.xml" ContentType="application/vnd.openxmlformats-officedocument.spreadsheetml.revisionLog+xml"/>
  <Override PartName="/xl/revisions/revisionLog70.xml" ContentType="application/vnd.openxmlformats-officedocument.spreadsheetml.revisionLog+xml"/>
  <Override PartName="/xl/revisions/revisionLog75.xml" ContentType="application/vnd.openxmlformats-officedocument.spreadsheetml.revisionLog+xml"/>
  <Override PartName="/xl/revisions/revisionLog78.xml" ContentType="application/vnd.openxmlformats-officedocument.spreadsheetml.revisionLog+xml"/>
  <Override PartName="/xl/revisions/revisionLog83.xml" ContentType="application/vnd.openxmlformats-officedocument.spreadsheetml.revisionLog+xml"/>
  <Override PartName="/xl/revisions/revisionLog91.xml" ContentType="application/vnd.openxmlformats-officedocument.spreadsheetml.revisionLog+xml"/>
  <Override PartName="/xl/revisions/revisionLog96.xml" ContentType="application/vnd.openxmlformats-officedocument.spreadsheetml.revisionLog+xml"/>
  <Override PartName="/xl/revisions/revisionLog98.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39.xml" ContentType="application/vnd.openxmlformats-officedocument.spreadsheetml.revisionLog+xml"/>
  <Override PartName="/xl/revisions/revisionLog34.xml" ContentType="application/vnd.openxmlformats-officedocument.spreadsheetml.revisionLog+xml"/>
  <Override PartName="/xl/revisions/revisionLog50.xml" ContentType="application/vnd.openxmlformats-officedocument.spreadsheetml.revisionLog+xml"/>
  <Override PartName="/xl/revisions/revisionLog55.xml" ContentType="application/vnd.openxmlformats-officedocument.spreadsheetml.revisionLog+xml"/>
  <Override PartName="/xl/revisions/revisionLog73.xml" ContentType="application/vnd.openxmlformats-officedocument.spreadsheetml.revisionLog+xml"/>
  <Override PartName="/xl/revisions/revisionLog94.xml" ContentType="application/vnd.openxmlformats-officedocument.spreadsheetml.revisionLog+xml"/>
  <Override PartName="/xl/revisions/revisionLog101.xml" ContentType="application/vnd.openxmlformats-officedocument.spreadsheetml.revisionLog+xml"/>
  <Override PartName="/xl/revisions/revisionLog7.xml" ContentType="application/vnd.openxmlformats-officedocument.spreadsheetml.revisionLog+xml"/>
  <Override PartName="/xl/revisions/revisionLog68.xml" ContentType="application/vnd.openxmlformats-officedocument.spreadsheetml.revisionLog+xml"/>
  <Override PartName="/xl/revisions/revisionLog89.xml" ContentType="application/vnd.openxmlformats-officedocument.spreadsheetml.revisionLog+xml"/>
  <Override PartName="/xl/revisions/revisionLog29.xml" ContentType="application/vnd.openxmlformats-officedocument.spreadsheetml.revisionLog+xml"/>
  <Override PartName="/xl/revisions/revisionLog24.xml" ContentType="application/vnd.openxmlformats-officedocument.spreadsheetml.revisionLog+xml"/>
  <Override PartName="/xl/revisions/revisionLog40.xml" ContentType="application/vnd.openxmlformats-officedocument.spreadsheetml.revisionLog+xml"/>
  <Override PartName="/xl/revisions/revisionLog45.xml" ContentType="application/vnd.openxmlformats-officedocument.spreadsheetml.revisionLog+xml"/>
  <Override PartName="/xl/revisions/revisionLog63.xml" ContentType="application/vnd.openxmlformats-officedocument.spreadsheetml.revisionLog+xml"/>
  <Override PartName="/xl/revisions/revisionLog84.xml" ContentType="application/vnd.openxmlformats-officedocument.spreadsheetml.revisionLog+xml"/>
  <Override PartName="/xl/revisions/revisionLog61.xml" ContentType="application/vnd.openxmlformats-officedocument.spreadsheetml.revisionLog+xml"/>
  <Override PartName="/xl/revisions/revisionLog79.xml" ContentType="application/vnd.openxmlformats-officedocument.spreadsheetml.revisionLog+xml"/>
  <Override PartName="/xl/revisions/revisionLog19.xml" ContentType="application/vnd.openxmlformats-officedocument.spreadsheetml.revisionLog+xml"/>
  <Override PartName="/xl/revisions/revisionLog14.xml" ContentType="application/vnd.openxmlformats-officedocument.spreadsheetml.revisionLog+xml"/>
  <Override PartName="/xl/revisions/revisionLog30.xml" ContentType="application/vnd.openxmlformats-officedocument.spreadsheetml.revisionLog+xml"/>
  <Override PartName="/xl/revisions/revisionLog35.xml" ContentType="application/vnd.openxmlformats-officedocument.spreadsheetml.revisionLog+xml"/>
  <Override PartName="/xl/revisions/revisionLog56.xml" ContentType="application/vnd.openxmlformats-officedocument.spreadsheetml.revisionLog+xml"/>
  <Override PartName="/xl/revisions/revisionLog74.xml" ContentType="application/vnd.openxmlformats-officedocument.spreadsheetml.revisionLog+xml"/>
  <Override PartName="/xl/revisions/revisionLog97.xml" ContentType="application/vnd.openxmlformats-officedocument.spreadsheetml.revisionLog+xml"/>
  <Override PartName="/xl/revisions/revisionLog102.xml" ContentType="application/vnd.openxmlformats-officedocument.spreadsheetml.revisionLog+xml"/>
  <Override PartName="/xl/revisions/revisionLog8.xml" ContentType="application/vnd.openxmlformats-officedocument.spreadsheetml.revisionLog+xml"/>
  <Override PartName="/xl/revisions/revisionLog51.xml" ContentType="application/vnd.openxmlformats-officedocument.spreadsheetml.revisionLog+xml"/>
  <Override PartName="/xl/revisions/revisionLog69.xml" ContentType="application/vnd.openxmlformats-officedocument.spreadsheetml.revisionLog+xml"/>
  <Override PartName="/xl/revisions/revisionLog90.xml" ContentType="application/vnd.openxmlformats-officedocument.spreadsheetml.revisionLog+xml"/>
  <Override PartName="/xl/revisions/revisionLog95.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166925"/>
  <mc:AlternateContent xmlns:mc="http://schemas.openxmlformats.org/markup-compatibility/2006">
    <mc:Choice Requires="x15">
      <x15ac:absPath xmlns:x15ac="http://schemas.microsoft.com/office/spreadsheetml/2010/11/ac" url="/Users/andrescheepers/PhD/projects/panama/analyses/spatial_resolution/data/"/>
    </mc:Choice>
  </mc:AlternateContent>
  <xr:revisionPtr revIDLastSave="0" documentId="13_ncr:81_{2E2B5084-EB2C-214B-8E62-AC1BF03B6F35}" xr6:coauthVersionLast="47" xr6:coauthVersionMax="47" xr10:uidLastSave="{00000000-0000-0000-0000-000000000000}"/>
  <bookViews>
    <workbookView xWindow="60" yWindow="500" windowWidth="37480" windowHeight="21100" activeTab="1" xr2:uid="{6E41431A-B2E0-E541-802C-2B37FD253AF0}"/>
  </bookViews>
  <sheets>
    <sheet name="maze1" sheetId="1" r:id="rId1"/>
    <sheet name="maze2" sheetId="2" r:id="rId2"/>
    <sheet name="turning_frequencies_maze1" sheetId="4" r:id="rId3"/>
    <sheet name="turning_frequencies_maze2" sheetId="5" r:id="rId4"/>
    <sheet name="light_levels_maze2" sheetId="6" r:id="rId5"/>
    <sheet name="light_levels_maze1" sheetId="7" r:id="rId6"/>
    <sheet name="Sheet2" sheetId="8" r:id="rId7"/>
    <sheet name="Sheet3" sheetId="3" r:id="rId8"/>
  </sheets>
  <definedNames>
    <definedName name="_xlnm._FilterDatabase" localSheetId="0" hidden="1">maze1!$A$1:$X$338</definedName>
    <definedName name="_xlnm._FilterDatabase" localSheetId="1" hidden="1">maze2!$A$1:$X$262</definedName>
    <definedName name="Z_8A75D892_44B4_104C_BB94_8EB0D0E43396_.wvu.FilterData" localSheetId="0" hidden="1">maze1!$A$1:$X$338</definedName>
    <definedName name="Z_8A75D892_44B4_104C_BB94_8EB0D0E43396_.wvu.FilterData" localSheetId="1" hidden="1">maze2!$A$1:$X$262</definedName>
  </definedNames>
  <calcPr calcId="191029"/>
  <customWorkbookViews>
    <customWorkbookView name="Andre Scheepers - Personal View" guid="{8A75D892-44B4-104C-BB94-8EB0D0E43396}" mergeInterval="0" personalView="1" maximized="1" xWindow="3" yWindow="25" windowWidth="1874" windowHeight="1055"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5" l="1"/>
  <c r="C4" i="5"/>
  <c r="C5" i="5"/>
  <c r="C6" i="5"/>
  <c r="C7" i="5"/>
  <c r="C8" i="5"/>
  <c r="C9" i="5"/>
  <c r="C10" i="5"/>
  <c r="C11" i="5"/>
  <c r="C12" i="5"/>
  <c r="C13" i="5"/>
  <c r="C14" i="5"/>
  <c r="C15" i="5"/>
  <c r="C16" i="5"/>
  <c r="C17" i="5"/>
  <c r="C18" i="5"/>
  <c r="C19" i="5"/>
  <c r="C20" i="5"/>
  <c r="C21" i="5"/>
  <c r="C22" i="5"/>
  <c r="C23" i="5"/>
  <c r="C24" i="5"/>
  <c r="C25" i="5"/>
  <c r="C26" i="5"/>
  <c r="C2" i="5"/>
  <c r="K3" i="5"/>
  <c r="K4" i="5"/>
  <c r="K5" i="5"/>
  <c r="K6" i="5"/>
  <c r="K7" i="5"/>
  <c r="K8" i="5"/>
  <c r="K9" i="5"/>
  <c r="K10" i="5"/>
  <c r="K11" i="5"/>
  <c r="K12" i="5"/>
  <c r="K13" i="5"/>
  <c r="K14" i="5"/>
  <c r="K15" i="5"/>
  <c r="K16" i="5"/>
  <c r="K17" i="5"/>
  <c r="K18" i="5"/>
  <c r="K19" i="5"/>
  <c r="K20" i="5"/>
  <c r="K21" i="5"/>
  <c r="K22" i="5"/>
  <c r="K23" i="5"/>
  <c r="K24" i="5"/>
  <c r="K25" i="5"/>
  <c r="K26" i="5"/>
  <c r="K2" i="5"/>
  <c r="J26" i="5"/>
  <c r="J14" i="5"/>
  <c r="J19" i="5"/>
  <c r="J22" i="5"/>
  <c r="J23" i="5"/>
  <c r="J25" i="5"/>
  <c r="M26" i="5" l="1"/>
  <c r="M23" i="5"/>
  <c r="M25" i="5"/>
  <c r="M19" i="5"/>
  <c r="M22" i="5"/>
  <c r="M14" i="5"/>
  <c r="F2" i="4"/>
  <c r="G2" i="4" s="1"/>
  <c r="H2" i="4" s="1"/>
  <c r="F4" i="4"/>
  <c r="F5" i="4"/>
  <c r="F6" i="4"/>
  <c r="G6" i="4" s="1"/>
  <c r="H6" i="4" s="1"/>
  <c r="F7" i="4"/>
  <c r="G7" i="4" s="1"/>
  <c r="H7" i="4" s="1"/>
  <c r="F8" i="4"/>
  <c r="G8" i="4" s="1"/>
  <c r="H8" i="4" s="1"/>
  <c r="F10" i="4"/>
  <c r="G10" i="4" s="1"/>
  <c r="H10" i="4" s="1"/>
  <c r="F11" i="4"/>
  <c r="G11" i="4" s="1"/>
  <c r="H11" i="4" s="1"/>
  <c r="F13" i="4"/>
  <c r="G13" i="4" s="1"/>
  <c r="H13" i="4" s="1"/>
  <c r="F16" i="4"/>
  <c r="G16" i="4" s="1"/>
  <c r="H16" i="4" s="1"/>
  <c r="F17" i="4"/>
  <c r="F19" i="4"/>
  <c r="F21" i="4"/>
  <c r="F24" i="4"/>
  <c r="G24" i="4" s="1"/>
  <c r="H24" i="4" s="1"/>
  <c r="F27" i="4"/>
  <c r="G27" i="4" s="1"/>
  <c r="H27" i="4" s="1"/>
  <c r="F31" i="4"/>
  <c r="G31" i="4" s="1"/>
  <c r="H31" i="4" s="1"/>
  <c r="F32" i="4"/>
  <c r="G32" i="4" s="1"/>
  <c r="H32" i="4" s="1"/>
  <c r="F34" i="4"/>
  <c r="G34" i="4" s="1"/>
  <c r="H34" i="4" s="1"/>
  <c r="F35" i="4"/>
  <c r="G35" i="4" s="1"/>
  <c r="H35" i="4" s="1"/>
  <c r="F36" i="4"/>
  <c r="G36" i="4" s="1"/>
  <c r="H36" i="4" s="1"/>
  <c r="F37" i="4"/>
  <c r="F38" i="4"/>
  <c r="F39" i="4"/>
  <c r="G39" i="4" s="1"/>
  <c r="H39" i="4" s="1"/>
  <c r="F40" i="4"/>
  <c r="G40" i="4" s="1"/>
  <c r="H40" i="4" s="1"/>
  <c r="F41" i="4"/>
  <c r="G41" i="4" s="1"/>
  <c r="H41" i="4" s="1"/>
  <c r="F42" i="4"/>
  <c r="G42" i="4" s="1"/>
  <c r="H42" i="4" s="1"/>
  <c r="F44" i="4"/>
  <c r="G44" i="4" s="1"/>
  <c r="H44" i="4" s="1"/>
  <c r="F45" i="4"/>
  <c r="G45" i="4" s="1"/>
  <c r="H45" i="4" s="1"/>
  <c r="F46" i="4"/>
  <c r="G46" i="4" s="1"/>
  <c r="H46" i="4" s="1"/>
  <c r="F49" i="4"/>
  <c r="G49" i="4" s="1"/>
  <c r="H49" i="4" s="1"/>
  <c r="F51" i="4"/>
  <c r="F52" i="4"/>
  <c r="G3" i="4"/>
  <c r="H3" i="4" s="1"/>
  <c r="G4" i="4"/>
  <c r="H4" i="4" s="1"/>
  <c r="G5" i="4"/>
  <c r="H5" i="4" s="1"/>
  <c r="G9" i="4"/>
  <c r="H9" i="4" s="1"/>
  <c r="G12" i="4"/>
  <c r="H12" i="4" s="1"/>
  <c r="G17" i="4"/>
  <c r="H17" i="4" s="1"/>
  <c r="G19" i="4"/>
  <c r="H19" i="4" s="1"/>
  <c r="G21" i="4"/>
  <c r="H21" i="4" s="1"/>
  <c r="G25" i="4"/>
  <c r="H25" i="4" s="1"/>
  <c r="G26" i="4"/>
  <c r="H26" i="4" s="1"/>
  <c r="G33" i="4"/>
  <c r="H33" i="4" s="1"/>
  <c r="G37" i="4"/>
  <c r="H37" i="4" s="1"/>
  <c r="G38" i="4"/>
  <c r="H38" i="4" s="1"/>
  <c r="G43" i="4"/>
  <c r="H43" i="4" s="1"/>
  <c r="G50" i="4"/>
  <c r="H50" i="4" s="1"/>
  <c r="G51" i="4"/>
  <c r="H51" i="4" s="1"/>
  <c r="G52" i="4"/>
  <c r="H52" i="4" s="1"/>
  <c r="G278" i="1"/>
  <c r="H278" i="1"/>
  <c r="G277" i="1"/>
  <c r="H277" i="1"/>
  <c r="G276" i="1"/>
  <c r="H276" i="1"/>
  <c r="G275" i="1"/>
  <c r="H275" i="1"/>
  <c r="H274" i="1"/>
  <c r="G273" i="1"/>
  <c r="H273" i="1"/>
  <c r="G272" i="1"/>
  <c r="G271" i="1"/>
  <c r="G269" i="1"/>
  <c r="H272" i="1"/>
  <c r="H271" i="1"/>
  <c r="H270" i="1"/>
  <c r="H269" i="1"/>
  <c r="G268" i="1"/>
  <c r="H268" i="1"/>
  <c r="H266" i="1"/>
  <c r="G221" i="1"/>
  <c r="G223" i="1"/>
  <c r="G224" i="1"/>
  <c r="G227" i="1"/>
  <c r="G228" i="1"/>
  <c r="G230" i="1"/>
  <c r="G231" i="1"/>
  <c r="G233" i="1"/>
  <c r="G235" i="1"/>
  <c r="G238" i="1"/>
  <c r="G239" i="1"/>
  <c r="G241" i="1"/>
  <c r="G265" i="1"/>
  <c r="H265" i="1"/>
  <c r="H264" i="1"/>
  <c r="G263" i="1"/>
  <c r="G262" i="1"/>
  <c r="H263" i="1"/>
  <c r="H262" i="1"/>
  <c r="H261" i="1"/>
  <c r="H260" i="1"/>
  <c r="G260" i="1"/>
  <c r="G259" i="1"/>
  <c r="H259" i="1"/>
  <c r="H258" i="1"/>
  <c r="H257" i="1"/>
  <c r="G256" i="1"/>
  <c r="H256" i="1"/>
  <c r="H255" i="1"/>
  <c r="H254" i="1"/>
  <c r="H253" i="1"/>
  <c r="G252" i="1"/>
  <c r="G250" i="1"/>
  <c r="H252" i="1"/>
  <c r="H251" i="1"/>
  <c r="H250" i="1"/>
  <c r="G249" i="1"/>
  <c r="G248" i="1"/>
  <c r="G246" i="1"/>
  <c r="H249" i="1"/>
  <c r="H248" i="1"/>
  <c r="H247" i="1"/>
  <c r="H246" i="1"/>
  <c r="G245" i="1"/>
  <c r="G244" i="1"/>
  <c r="G243" i="1"/>
  <c r="H245" i="1"/>
  <c r="H244" i="1"/>
  <c r="H243" i="1"/>
  <c r="H242" i="1"/>
  <c r="H239" i="1"/>
  <c r="H238" i="1"/>
  <c r="H237" i="1"/>
  <c r="H236" i="1"/>
  <c r="H235" i="1"/>
  <c r="H234" i="1"/>
  <c r="H233" i="1"/>
  <c r="H232" i="1"/>
  <c r="H231" i="1"/>
  <c r="H230" i="1"/>
  <c r="H229" i="1"/>
  <c r="H228" i="1"/>
  <c r="H227" i="1"/>
  <c r="H226" i="1"/>
  <c r="H225" i="1"/>
  <c r="H224" i="1"/>
  <c r="H223" i="1"/>
  <c r="H222" i="1"/>
  <c r="H221" i="1"/>
  <c r="H220" i="1"/>
  <c r="H219" i="1"/>
  <c r="H217" i="1"/>
  <c r="H216" i="1"/>
  <c r="H215" i="1"/>
  <c r="H215" i="2"/>
  <c r="H214" i="2"/>
  <c r="G213" i="2"/>
  <c r="H213" i="2"/>
  <c r="H212" i="2"/>
  <c r="H211" i="2"/>
  <c r="G211" i="2"/>
  <c r="G220" i="2"/>
  <c r="H220" i="2"/>
  <c r="G219" i="2"/>
  <c r="H219" i="2"/>
  <c r="G218" i="2"/>
  <c r="H218" i="2"/>
  <c r="H217" i="2"/>
  <c r="H213" i="1"/>
  <c r="H212" i="1"/>
  <c r="G211" i="1"/>
  <c r="G209" i="1"/>
  <c r="G208" i="1"/>
  <c r="G207" i="1"/>
  <c r="G206" i="1"/>
  <c r="H211" i="1"/>
  <c r="H210" i="1"/>
  <c r="H209" i="1"/>
  <c r="H208" i="1"/>
  <c r="H207" i="1"/>
  <c r="H206" i="1"/>
  <c r="H205" i="1"/>
  <c r="G204" i="1"/>
  <c r="H204" i="1"/>
  <c r="G203" i="1"/>
  <c r="H203" i="1"/>
  <c r="H202" i="1"/>
  <c r="H201" i="1"/>
  <c r="H200" i="1"/>
  <c r="H210" i="2"/>
  <c r="H199" i="1"/>
  <c r="H198" i="1"/>
  <c r="H197" i="1"/>
  <c r="H196" i="1"/>
  <c r="G199" i="1"/>
  <c r="G198" i="1"/>
  <c r="H209" i="2"/>
  <c r="G209" i="2"/>
  <c r="G258" i="2"/>
  <c r="G208" i="2"/>
  <c r="H258" i="2"/>
  <c r="H208" i="2"/>
  <c r="H195" i="1"/>
  <c r="G195" i="1"/>
  <c r="H167" i="1"/>
  <c r="H317" i="1"/>
  <c r="G167" i="1"/>
  <c r="G317" i="1"/>
  <c r="G171" i="1"/>
  <c r="H171" i="1"/>
  <c r="H319" i="1"/>
  <c r="H169" i="1"/>
  <c r="G169" i="1"/>
  <c r="G319" i="1"/>
  <c r="H203" i="2"/>
  <c r="H202" i="2"/>
  <c r="H201" i="2"/>
  <c r="H255" i="2"/>
  <c r="H207" i="2"/>
  <c r="H206" i="2"/>
  <c r="H205" i="2"/>
  <c r="H257" i="2"/>
  <c r="G206" i="2"/>
  <c r="G205" i="2"/>
  <c r="G257" i="2"/>
  <c r="H194" i="1"/>
  <c r="H193" i="1"/>
  <c r="G194" i="1"/>
  <c r="H204" i="2"/>
  <c r="H256" i="2"/>
  <c r="G204" i="2"/>
  <c r="G256" i="2"/>
  <c r="G203" i="2"/>
  <c r="H192" i="1"/>
  <c r="H191" i="1"/>
  <c r="G192" i="1"/>
  <c r="G191" i="1"/>
  <c r="G190" i="1"/>
  <c r="H170" i="1"/>
  <c r="H320" i="1"/>
  <c r="G320" i="1"/>
  <c r="G170" i="1"/>
  <c r="G172" i="1"/>
  <c r="G177" i="1"/>
  <c r="H177" i="1"/>
  <c r="H172" i="1"/>
  <c r="H321" i="1"/>
  <c r="H254" i="2"/>
  <c r="G254" i="2"/>
  <c r="G187" i="1"/>
  <c r="G186" i="1"/>
  <c r="H186" i="1"/>
  <c r="H190" i="1"/>
  <c r="H189" i="1"/>
  <c r="H188" i="1"/>
  <c r="G252" i="2"/>
  <c r="G253" i="2"/>
  <c r="H253" i="2"/>
  <c r="H252" i="2"/>
  <c r="H251" i="2"/>
  <c r="H200" i="2"/>
  <c r="G251" i="2"/>
  <c r="G200" i="2"/>
  <c r="G177" i="2"/>
  <c r="H177" i="2"/>
  <c r="H151" i="2"/>
  <c r="H181" i="2"/>
  <c r="H182" i="2"/>
  <c r="G182" i="2"/>
  <c r="H188" i="2"/>
  <c r="H233" i="2"/>
  <c r="G233" i="2"/>
  <c r="H196" i="2"/>
  <c r="G196" i="2"/>
  <c r="H248" i="2"/>
  <c r="H247" i="2"/>
  <c r="H246" i="2"/>
  <c r="G248" i="2"/>
  <c r="G247" i="2"/>
  <c r="G250" i="2"/>
  <c r="G199" i="2"/>
  <c r="G198" i="2"/>
  <c r="H199" i="2"/>
  <c r="H198" i="2"/>
  <c r="H197" i="2"/>
  <c r="H250" i="2"/>
  <c r="H249" i="2"/>
  <c r="H185" i="1"/>
  <c r="G185" i="1"/>
  <c r="H184" i="1"/>
  <c r="G184" i="1"/>
  <c r="G245" i="2"/>
  <c r="H244" i="2"/>
  <c r="H245" i="2"/>
  <c r="H195" i="2"/>
  <c r="G182" i="1"/>
  <c r="G333" i="1"/>
  <c r="H182" i="1"/>
  <c r="H181" i="1"/>
  <c r="H333" i="1"/>
  <c r="H332" i="1"/>
  <c r="H243" i="2"/>
  <c r="H242" i="2"/>
  <c r="H241" i="2"/>
  <c r="H240" i="2"/>
  <c r="H194" i="2"/>
  <c r="G243" i="2"/>
  <c r="G242" i="2"/>
  <c r="G241" i="2"/>
  <c r="G240" i="2"/>
  <c r="G194" i="2"/>
  <c r="H180" i="1"/>
  <c r="H331" i="1"/>
  <c r="G180" i="1"/>
  <c r="G331" i="1"/>
  <c r="H238" i="2"/>
  <c r="H193" i="2"/>
  <c r="H192" i="2"/>
  <c r="H191" i="2"/>
  <c r="G239" i="2"/>
  <c r="G193" i="2"/>
  <c r="G192" i="2"/>
  <c r="G191" i="2"/>
  <c r="H179" i="1"/>
  <c r="H330" i="1"/>
  <c r="G179" i="1"/>
  <c r="G330" i="1"/>
  <c r="G190" i="2"/>
  <c r="G237" i="2"/>
  <c r="G236" i="2"/>
  <c r="H190" i="2"/>
  <c r="H237" i="2"/>
  <c r="H236" i="2"/>
  <c r="H178" i="1"/>
  <c r="H329" i="1"/>
  <c r="G178" i="1"/>
  <c r="G329" i="1"/>
  <c r="H189" i="2"/>
  <c r="H235" i="2"/>
  <c r="H234" i="2"/>
  <c r="G189" i="2"/>
  <c r="G235" i="2"/>
  <c r="H187" i="2"/>
  <c r="H232" i="2"/>
  <c r="G187" i="2"/>
  <c r="G232" i="2"/>
  <c r="H176" i="1"/>
  <c r="H327" i="1"/>
  <c r="H326" i="1"/>
  <c r="G176" i="1"/>
  <c r="G327" i="1"/>
  <c r="H324" i="1"/>
  <c r="H325" i="1"/>
  <c r="G175" i="1"/>
  <c r="G325" i="1"/>
  <c r="G230" i="2"/>
  <c r="H173" i="1"/>
  <c r="H323" i="1"/>
  <c r="H322" i="1"/>
  <c r="G173" i="1"/>
  <c r="G323" i="1"/>
  <c r="E3" i="8"/>
  <c r="A3" i="8"/>
  <c r="E2" i="8"/>
  <c r="D2" i="8"/>
  <c r="C3" i="8"/>
  <c r="D3" i="8" s="1"/>
  <c r="C2" i="8"/>
  <c r="B3" i="8"/>
  <c r="B2" i="8"/>
  <c r="H180" i="2"/>
  <c r="G180" i="2"/>
  <c r="H179" i="2"/>
  <c r="G179" i="2"/>
  <c r="G165" i="1"/>
  <c r="H165" i="1"/>
  <c r="H316" i="1"/>
  <c r="H166" i="1"/>
  <c r="G316" i="1"/>
  <c r="G166" i="1"/>
  <c r="G178" i="2"/>
  <c r="G152" i="2"/>
  <c r="H315" i="1"/>
  <c r="H164" i="1"/>
  <c r="G315" i="1"/>
  <c r="G164" i="1"/>
  <c r="G163" i="1"/>
  <c r="H163" i="1"/>
  <c r="G150" i="2"/>
  <c r="G149" i="2"/>
  <c r="G176" i="2"/>
  <c r="H148" i="2"/>
  <c r="G175" i="2"/>
  <c r="G174" i="2"/>
  <c r="G148" i="2"/>
  <c r="G147" i="2"/>
  <c r="H173" i="2"/>
  <c r="H147" i="2"/>
  <c r="G172" i="2"/>
  <c r="G146" i="2"/>
  <c r="H150" i="2"/>
  <c r="H149" i="2"/>
  <c r="H176" i="2"/>
  <c r="H313" i="1"/>
  <c r="H162" i="1"/>
  <c r="G313" i="1"/>
  <c r="G162" i="1"/>
  <c r="H160" i="1"/>
  <c r="H311" i="1"/>
  <c r="G311" i="1"/>
  <c r="H161" i="1"/>
  <c r="G161" i="1"/>
  <c r="H144" i="2"/>
  <c r="H170" i="2"/>
  <c r="G159" i="1"/>
  <c r="H159" i="1"/>
  <c r="H158" i="1"/>
  <c r="H308" i="1"/>
  <c r="H307" i="1"/>
  <c r="G307" i="1"/>
  <c r="G306" i="1"/>
  <c r="H157" i="1"/>
  <c r="H306" i="1"/>
  <c r="H156" i="1"/>
  <c r="G156" i="1"/>
  <c r="G163" i="2"/>
  <c r="H140" i="2"/>
  <c r="H163" i="2"/>
  <c r="H168" i="2"/>
  <c r="H167" i="2"/>
  <c r="H166" i="2"/>
  <c r="G142" i="2"/>
  <c r="G168" i="2"/>
  <c r="G167" i="2"/>
  <c r="G165" i="2"/>
  <c r="H165" i="2"/>
  <c r="H164" i="2"/>
  <c r="G164" i="2"/>
  <c r="H141" i="2"/>
  <c r="H169" i="2"/>
  <c r="G169" i="2"/>
  <c r="G143" i="2"/>
  <c r="H143" i="2"/>
  <c r="G139" i="2"/>
  <c r="H139" i="2"/>
  <c r="H162" i="2"/>
  <c r="G305" i="1"/>
  <c r="H155" i="1"/>
  <c r="H305" i="1"/>
  <c r="G138" i="2"/>
  <c r="H138" i="2"/>
  <c r="G302" i="1"/>
  <c r="H302" i="1"/>
  <c r="H152" i="1"/>
  <c r="H301" i="1"/>
  <c r="G298" i="1"/>
  <c r="H298" i="1"/>
  <c r="G299" i="1"/>
  <c r="H299" i="1"/>
  <c r="G150" i="1"/>
  <c r="H150" i="1"/>
  <c r="H153" i="1"/>
  <c r="G303" i="1"/>
  <c r="H303" i="1"/>
  <c r="H223" i="2"/>
  <c r="G223" i="2"/>
  <c r="G158" i="2"/>
  <c r="G156" i="2"/>
  <c r="H158" i="2"/>
  <c r="G132" i="2"/>
  <c r="H132" i="2"/>
  <c r="G289" i="1"/>
  <c r="H289" i="1"/>
  <c r="H292" i="1"/>
  <c r="G292" i="1"/>
  <c r="H295" i="1"/>
  <c r="H146" i="1"/>
  <c r="H294" i="1"/>
  <c r="G295" i="1"/>
  <c r="G294" i="1"/>
  <c r="G297" i="1"/>
  <c r="H297" i="1"/>
  <c r="H147" i="1"/>
  <c r="H296" i="1"/>
  <c r="G291" i="1"/>
  <c r="H291" i="1"/>
  <c r="H144" i="1"/>
  <c r="H290" i="1"/>
  <c r="G287" i="1"/>
  <c r="G288" i="1"/>
  <c r="G286" i="1"/>
  <c r="H287" i="1"/>
  <c r="H143" i="1"/>
  <c r="H288" i="1"/>
  <c r="H141" i="1"/>
  <c r="H285" i="1"/>
  <c r="G285" i="1"/>
  <c r="G284" i="1"/>
  <c r="H140" i="1"/>
  <c r="H284" i="1"/>
  <c r="G140" i="1"/>
  <c r="H130" i="2"/>
  <c r="H283" i="1"/>
  <c r="H139" i="1"/>
  <c r="G283" i="1"/>
  <c r="G139" i="1"/>
  <c r="H138" i="1"/>
  <c r="H282" i="1"/>
  <c r="H281" i="1"/>
  <c r="H137" i="1"/>
  <c r="G282" i="1"/>
  <c r="G137" i="1"/>
  <c r="G128" i="2"/>
  <c r="H128" i="2"/>
  <c r="H136" i="1"/>
  <c r="G281" i="1"/>
  <c r="G136" i="1"/>
  <c r="H135" i="1"/>
  <c r="G135" i="1"/>
  <c r="G127" i="2"/>
  <c r="H127" i="2"/>
  <c r="G125" i="2"/>
  <c r="H123" i="2"/>
  <c r="G123" i="2"/>
  <c r="H124" i="2"/>
  <c r="G124" i="2"/>
  <c r="M101" i="7"/>
  <c r="M100" i="7"/>
  <c r="M99" i="7"/>
  <c r="M98" i="7"/>
  <c r="M97" i="7"/>
  <c r="M96" i="7"/>
  <c r="M95" i="7"/>
  <c r="M94" i="7"/>
  <c r="H117" i="1"/>
  <c r="H118" i="1"/>
  <c r="H119" i="1"/>
  <c r="H120" i="1"/>
  <c r="H121" i="1"/>
  <c r="H122" i="1"/>
  <c r="G122" i="1"/>
  <c r="H123" i="1"/>
  <c r="G123" i="1"/>
  <c r="H124" i="1"/>
  <c r="H126" i="1"/>
  <c r="H125" i="1"/>
  <c r="G126" i="1"/>
  <c r="G125" i="1"/>
  <c r="G124" i="1"/>
  <c r="I24" i="5"/>
  <c r="M80" i="6"/>
  <c r="M79" i="6"/>
  <c r="M78" i="6"/>
  <c r="M77" i="6"/>
  <c r="G120" i="2"/>
  <c r="G121" i="2"/>
  <c r="H121" i="2"/>
  <c r="H117" i="2"/>
  <c r="G117" i="2"/>
  <c r="G116" i="2"/>
  <c r="H115" i="2"/>
  <c r="H114" i="2"/>
  <c r="G115" i="2"/>
  <c r="G114" i="2"/>
  <c r="I21" i="5"/>
  <c r="M76" i="6"/>
  <c r="H108" i="2"/>
  <c r="G108" i="2"/>
  <c r="M75" i="6"/>
  <c r="H103" i="2"/>
  <c r="G103" i="2"/>
  <c r="M74" i="6"/>
  <c r="H111" i="2"/>
  <c r="G111" i="2"/>
  <c r="M73" i="6"/>
  <c r="I20" i="5"/>
  <c r="J20" i="5" s="1"/>
  <c r="M20" i="5" s="1"/>
  <c r="H112" i="2"/>
  <c r="G112" i="2"/>
  <c r="M93" i="7"/>
  <c r="G116" i="1"/>
  <c r="H115" i="1"/>
  <c r="M92" i="7"/>
  <c r="H114" i="1"/>
  <c r="G114" i="1"/>
  <c r="I72" i="6"/>
  <c r="M72" i="6"/>
  <c r="G110" i="2"/>
  <c r="H110" i="2"/>
  <c r="M91" i="7"/>
  <c r="M90" i="7"/>
  <c r="G106" i="1"/>
  <c r="H106" i="1"/>
  <c r="G109" i="1"/>
  <c r="H107" i="1"/>
  <c r="M89" i="7"/>
  <c r="H109" i="1"/>
  <c r="M88" i="7"/>
  <c r="M87" i="7"/>
  <c r="M86" i="7"/>
  <c r="G112" i="1"/>
  <c r="H112" i="1"/>
  <c r="H111" i="1"/>
  <c r="H110" i="1"/>
  <c r="M85" i="7"/>
  <c r="H113" i="1"/>
  <c r="G113" i="1"/>
  <c r="I67" i="6"/>
  <c r="J75" i="7"/>
  <c r="J72" i="7"/>
  <c r="J73" i="7"/>
  <c r="J77" i="7"/>
  <c r="J83" i="7"/>
  <c r="I70" i="6"/>
  <c r="I63" i="6"/>
  <c r="I62" i="6"/>
  <c r="I60" i="6"/>
  <c r="I18" i="5"/>
  <c r="I17" i="5"/>
  <c r="I16" i="5"/>
  <c r="I15" i="5"/>
  <c r="I13" i="5"/>
  <c r="J13" i="5" s="1"/>
  <c r="M13" i="5" s="1"/>
  <c r="I12" i="5"/>
  <c r="I11" i="5"/>
  <c r="I8" i="5"/>
  <c r="I7" i="5"/>
  <c r="M83" i="7"/>
  <c r="H104" i="1"/>
  <c r="G104" i="1"/>
  <c r="M70" i="6"/>
  <c r="H101" i="2"/>
  <c r="G101" i="2"/>
  <c r="G49" i="2"/>
  <c r="M14" i="6"/>
  <c r="H49" i="2"/>
  <c r="G102" i="1"/>
  <c r="H102" i="1"/>
  <c r="I10" i="5"/>
  <c r="H99" i="2"/>
  <c r="G99" i="2"/>
  <c r="I9" i="5"/>
  <c r="I6" i="5"/>
  <c r="M75" i="7"/>
  <c r="H95" i="1"/>
  <c r="G95" i="1"/>
  <c r="M77" i="7"/>
  <c r="H97" i="1"/>
  <c r="G97" i="1"/>
  <c r="G96" i="1"/>
  <c r="I5" i="5"/>
  <c r="I4" i="5"/>
  <c r="M63" i="6"/>
  <c r="H94" i="2"/>
  <c r="G94" i="2"/>
  <c r="M62" i="6"/>
  <c r="H93" i="2"/>
  <c r="G93" i="2"/>
  <c r="G91" i="2"/>
  <c r="I3" i="5"/>
  <c r="M60" i="6"/>
  <c r="H91" i="2"/>
  <c r="G90" i="2"/>
  <c r="M57" i="6"/>
  <c r="H88" i="2"/>
  <c r="G88" i="2"/>
  <c r="I2" i="5"/>
  <c r="M56" i="6"/>
  <c r="H86" i="2"/>
  <c r="G86" i="2"/>
  <c r="M73" i="7"/>
  <c r="H93" i="1"/>
  <c r="G93" i="1"/>
  <c r="M72" i="7"/>
  <c r="M71" i="7"/>
  <c r="H92" i="1"/>
  <c r="G92" i="1"/>
  <c r="H91" i="1"/>
  <c r="G91" i="1"/>
  <c r="M70" i="7"/>
  <c r="M69" i="7"/>
  <c r="H90" i="1"/>
  <c r="G90" i="1"/>
  <c r="H89" i="1"/>
  <c r="G89" i="1"/>
  <c r="M64" i="7"/>
  <c r="H84" i="1"/>
  <c r="G84" i="1"/>
  <c r="M68" i="7"/>
  <c r="H88" i="1"/>
  <c r="G88" i="1"/>
  <c r="M67" i="7"/>
  <c r="M66" i="7"/>
  <c r="M65" i="7"/>
  <c r="H87" i="1"/>
  <c r="G87" i="1"/>
  <c r="H86" i="1"/>
  <c r="G86" i="1"/>
  <c r="G83" i="1"/>
  <c r="G82" i="1"/>
  <c r="H85" i="1"/>
  <c r="M38" i="6"/>
  <c r="M37" i="6"/>
  <c r="M41" i="6"/>
  <c r="M46" i="7"/>
  <c r="M63" i="7"/>
  <c r="M62" i="7"/>
  <c r="M61" i="7"/>
  <c r="M59" i="7"/>
  <c r="M57" i="7"/>
  <c r="M58" i="7"/>
  <c r="M55" i="7"/>
  <c r="M54" i="7"/>
  <c r="M53" i="7"/>
  <c r="M52" i="7"/>
  <c r="M51" i="7"/>
  <c r="M50" i="7"/>
  <c r="M49" i="7"/>
  <c r="M45" i="6"/>
  <c r="M44" i="6"/>
  <c r="M43" i="6"/>
  <c r="M54" i="6"/>
  <c r="M52" i="6"/>
  <c r="M51" i="6"/>
  <c r="M49" i="6"/>
  <c r="M48" i="6"/>
  <c r="M47" i="6"/>
  <c r="G21" i="2"/>
  <c r="H21" i="2"/>
  <c r="H20" i="2"/>
  <c r="G20" i="2"/>
  <c r="G19" i="2"/>
  <c r="H19" i="2"/>
  <c r="G18" i="2"/>
  <c r="H18" i="2"/>
  <c r="H17" i="2"/>
  <c r="H73" i="2"/>
  <c r="M44" i="7"/>
  <c r="M43" i="7"/>
  <c r="M42" i="7"/>
  <c r="M41" i="7"/>
  <c r="M40" i="7"/>
  <c r="M39" i="7"/>
  <c r="M38" i="7"/>
  <c r="M35" i="7"/>
  <c r="M34" i="7"/>
  <c r="M33" i="7"/>
  <c r="M32" i="7"/>
  <c r="M31" i="7"/>
  <c r="M30" i="7"/>
  <c r="M29" i="7"/>
  <c r="M28" i="7"/>
  <c r="M27" i="7"/>
  <c r="M25" i="7"/>
  <c r="M24" i="7"/>
  <c r="M23" i="7"/>
  <c r="M22" i="7"/>
  <c r="M21" i="7"/>
  <c r="M20" i="7"/>
  <c r="M19" i="7"/>
  <c r="M18" i="7"/>
  <c r="M17" i="7"/>
  <c r="M16" i="7"/>
  <c r="M15" i="7"/>
  <c r="M14" i="7"/>
  <c r="M12" i="7"/>
  <c r="M11" i="7"/>
  <c r="M10" i="7"/>
  <c r="M8" i="7"/>
  <c r="M6" i="7"/>
  <c r="M4" i="7"/>
  <c r="M3" i="7"/>
  <c r="M2" i="7"/>
  <c r="H83" i="1"/>
  <c r="H82" i="1"/>
  <c r="H81" i="1"/>
  <c r="G81" i="2"/>
  <c r="H81" i="2"/>
  <c r="G79" i="1"/>
  <c r="H79" i="1"/>
  <c r="H77" i="1"/>
  <c r="G77" i="1"/>
  <c r="H84" i="2"/>
  <c r="G84" i="2"/>
  <c r="H82" i="2"/>
  <c r="G82" i="2"/>
  <c r="H78" i="1"/>
  <c r="G78" i="1"/>
  <c r="G80" i="2"/>
  <c r="H79" i="2"/>
  <c r="G79" i="2"/>
  <c r="H78" i="2"/>
  <c r="H77" i="2"/>
  <c r="G78" i="2"/>
  <c r="G77" i="2"/>
  <c r="H66" i="1"/>
  <c r="G76" i="1"/>
  <c r="H75" i="1"/>
  <c r="H74" i="1"/>
  <c r="G74" i="1"/>
  <c r="H73" i="1"/>
  <c r="G73" i="1"/>
  <c r="H72" i="1"/>
  <c r="G72" i="1"/>
  <c r="H71" i="1"/>
  <c r="G71" i="1"/>
  <c r="H70" i="1"/>
  <c r="G70" i="1"/>
  <c r="H69" i="1"/>
  <c r="G69" i="1"/>
  <c r="G68" i="1"/>
  <c r="H67" i="1"/>
  <c r="G67" i="1"/>
  <c r="M36" i="6"/>
  <c r="M34" i="6"/>
  <c r="M33" i="6"/>
  <c r="M32" i="6"/>
  <c r="M31" i="6"/>
  <c r="H67" i="2"/>
  <c r="G67" i="2"/>
  <c r="G63" i="1"/>
  <c r="G74" i="2"/>
  <c r="H74" i="2"/>
  <c r="M30" i="6"/>
  <c r="M29" i="6"/>
  <c r="M28" i="6"/>
  <c r="M27" i="6"/>
  <c r="M26" i="6"/>
  <c r="M25" i="6"/>
  <c r="M24" i="6"/>
  <c r="M23" i="6"/>
  <c r="M22" i="6"/>
  <c r="M18" i="6"/>
  <c r="H55" i="2"/>
  <c r="M17" i="6"/>
  <c r="H63" i="2"/>
  <c r="G63" i="2"/>
  <c r="H65" i="2"/>
  <c r="H66" i="2"/>
  <c r="G66" i="2"/>
  <c r="H71" i="2"/>
  <c r="G71" i="2"/>
  <c r="H72" i="2"/>
  <c r="G72" i="2"/>
  <c r="H55" i="1"/>
  <c r="G55" i="1"/>
  <c r="G54" i="1"/>
  <c r="H53" i="1"/>
  <c r="G53" i="1"/>
  <c r="H51" i="1"/>
  <c r="G51" i="1"/>
  <c r="H50" i="1"/>
  <c r="H49" i="1"/>
  <c r="G50" i="1"/>
  <c r="G49" i="1"/>
  <c r="H58" i="1"/>
  <c r="G58" i="1"/>
  <c r="H61" i="1"/>
  <c r="G61" i="1"/>
  <c r="H60" i="1"/>
  <c r="G60" i="1"/>
  <c r="H59" i="1"/>
  <c r="G59" i="1"/>
  <c r="G62" i="1"/>
  <c r="H62" i="1"/>
  <c r="H56" i="1"/>
  <c r="H57" i="1"/>
  <c r="G57" i="1"/>
  <c r="M19" i="6"/>
  <c r="M21" i="6"/>
  <c r="M20" i="6"/>
  <c r="H64" i="2"/>
  <c r="G64" i="2"/>
  <c r="H62" i="2"/>
  <c r="G62" i="2"/>
  <c r="H59" i="2"/>
  <c r="H58" i="2"/>
  <c r="G59" i="2"/>
  <c r="H45" i="1"/>
  <c r="G45" i="1"/>
  <c r="H44" i="1"/>
  <c r="H48" i="1"/>
  <c r="G48" i="1"/>
  <c r="G47" i="1"/>
  <c r="G46" i="1"/>
  <c r="H47" i="1"/>
  <c r="H46" i="1"/>
  <c r="H43" i="1"/>
  <c r="G58" i="2"/>
  <c r="H61" i="2"/>
  <c r="H60" i="2"/>
  <c r="G61" i="2"/>
  <c r="G60" i="2"/>
  <c r="G55" i="2"/>
  <c r="G33" i="1"/>
  <c r="G38" i="1"/>
  <c r="H33" i="1"/>
  <c r="H37" i="1"/>
  <c r="H38" i="1"/>
  <c r="H36" i="1"/>
  <c r="G36" i="1"/>
  <c r="H42" i="1"/>
  <c r="G42" i="1"/>
  <c r="H41" i="1"/>
  <c r="H40" i="1"/>
  <c r="G41" i="1"/>
  <c r="H52" i="2"/>
  <c r="G52" i="2"/>
  <c r="H54" i="2"/>
  <c r="G54" i="2"/>
  <c r="H57" i="2"/>
  <c r="G57" i="2"/>
  <c r="G40" i="1"/>
  <c r="G39" i="1"/>
  <c r="H39" i="1"/>
  <c r="H56" i="2"/>
  <c r="G56" i="2"/>
  <c r="M16" i="6"/>
  <c r="M15" i="6"/>
  <c r="H51" i="2"/>
  <c r="G51" i="2"/>
  <c r="G50" i="2"/>
  <c r="H50" i="2"/>
  <c r="H30" i="1"/>
  <c r="G30" i="1"/>
  <c r="H32" i="1"/>
  <c r="G32" i="1"/>
  <c r="G31" i="1"/>
  <c r="M11" i="6"/>
  <c r="G29" i="1"/>
  <c r="H46" i="2"/>
  <c r="G46" i="2"/>
  <c r="H47" i="2"/>
  <c r="G47" i="2"/>
  <c r="G26" i="1"/>
  <c r="M10" i="6"/>
  <c r="H24" i="1"/>
  <c r="G24" i="1"/>
  <c r="H25" i="1"/>
  <c r="G25" i="1"/>
  <c r="M9" i="6"/>
  <c r="H44" i="2"/>
  <c r="H45" i="2"/>
  <c r="G44" i="2"/>
  <c r="G45" i="2"/>
  <c r="M8" i="6"/>
  <c r="H23" i="1"/>
  <c r="H43" i="2"/>
  <c r="G43" i="2"/>
  <c r="G22" i="1"/>
  <c r="G23" i="1"/>
  <c r="G41" i="2"/>
  <c r="G40" i="2"/>
  <c r="H21" i="1"/>
  <c r="G21" i="1"/>
  <c r="M2" i="6"/>
  <c r="G39" i="2"/>
  <c r="G18" i="1"/>
  <c r="H37" i="2"/>
  <c r="G37" i="2"/>
  <c r="H19" i="1"/>
  <c r="G19" i="1"/>
  <c r="G34" i="2"/>
  <c r="H17" i="1"/>
  <c r="G17" i="1"/>
  <c r="H16" i="1"/>
  <c r="G16" i="1"/>
  <c r="H13" i="1"/>
  <c r="G13" i="1"/>
  <c r="H14" i="1"/>
  <c r="G14" i="1"/>
  <c r="H25" i="2"/>
  <c r="H24" i="2"/>
  <c r="G26" i="2"/>
  <c r="G25" i="2"/>
  <c r="G24" i="2"/>
  <c r="H23" i="2"/>
  <c r="G23" i="2"/>
  <c r="G29" i="2"/>
  <c r="H29" i="2"/>
  <c r="H28" i="2"/>
  <c r="G28" i="2"/>
  <c r="H27" i="2"/>
  <c r="G27" i="2"/>
  <c r="G9" i="1"/>
  <c r="H11" i="1"/>
  <c r="G11" i="1"/>
  <c r="H12" i="1"/>
  <c r="G12" i="1"/>
  <c r="G10" i="1"/>
  <c r="G6" i="1"/>
  <c r="H30" i="2"/>
  <c r="G30" i="2"/>
  <c r="H31" i="2"/>
  <c r="G31" i="2"/>
  <c r="H6" i="1"/>
  <c r="H8" i="1"/>
  <c r="G8" i="1"/>
  <c r="H12" i="2"/>
  <c r="G12" i="2"/>
  <c r="G16" i="2"/>
  <c r="H15" i="2"/>
  <c r="G15" i="2"/>
  <c r="H14" i="2"/>
  <c r="H10" i="2"/>
  <c r="H9" i="2"/>
  <c r="G10" i="2"/>
  <c r="G9" i="2"/>
  <c r="H6" i="2"/>
  <c r="H5" i="2"/>
  <c r="H4" i="2"/>
  <c r="G6" i="2"/>
  <c r="G5" i="2"/>
  <c r="G4" i="2"/>
  <c r="H3" i="2"/>
  <c r="G3" i="2"/>
  <c r="H8" i="2"/>
  <c r="G8" i="2"/>
  <c r="H7" i="2"/>
  <c r="G7" i="2"/>
  <c r="J15" i="5" l="1"/>
  <c r="M15" i="5" s="1"/>
  <c r="J16" i="5"/>
  <c r="M16" i="5" s="1"/>
  <c r="J24" i="5"/>
  <c r="M24" i="5" s="1"/>
  <c r="J8" i="5"/>
  <c r="M8" i="5" s="1"/>
  <c r="J2" i="5"/>
  <c r="M2" i="5" s="1"/>
  <c r="J17" i="5"/>
  <c r="M17" i="5" s="1"/>
  <c r="J18" i="5"/>
  <c r="M18" i="5" s="1"/>
  <c r="J12" i="5"/>
  <c r="M12" i="5" s="1"/>
  <c r="J10" i="5"/>
  <c r="M10" i="5" s="1"/>
  <c r="J7" i="5"/>
  <c r="M7" i="5" s="1"/>
  <c r="J11" i="5"/>
  <c r="M11" i="5" s="1"/>
  <c r="J6" i="5"/>
  <c r="M6" i="5" s="1"/>
  <c r="J4" i="5"/>
  <c r="M4" i="5" s="1"/>
  <c r="J9" i="5"/>
  <c r="M9" i="5" s="1"/>
  <c r="J21" i="5"/>
  <c r="M21" i="5" s="1"/>
  <c r="J5" i="5"/>
  <c r="M5" i="5" s="1"/>
  <c r="J3" i="5"/>
  <c r="M3" i="5" s="1"/>
</calcChain>
</file>

<file path=xl/sharedStrings.xml><?xml version="1.0" encoding="utf-8"?>
<sst xmlns="http://schemas.openxmlformats.org/spreadsheetml/2006/main" count="5591" uniqueCount="808">
  <si>
    <t>ymaze</t>
  </si>
  <si>
    <t>nest</t>
  </si>
  <si>
    <t>video_name</t>
  </si>
  <si>
    <t>light_level_ret</t>
  </si>
  <si>
    <t>t_dep</t>
  </si>
  <si>
    <t>t_ret</t>
  </si>
  <si>
    <t>t_video_start</t>
  </si>
  <si>
    <t>R</t>
  </si>
  <si>
    <t>L</t>
  </si>
  <si>
    <t>C0014</t>
  </si>
  <si>
    <t>bee_flight</t>
  </si>
  <si>
    <t>C0013</t>
  </si>
  <si>
    <t>C0011</t>
  </si>
  <si>
    <t>C0012</t>
  </si>
  <si>
    <t>C0010</t>
  </si>
  <si>
    <t>notes</t>
  </si>
  <si>
    <t>raining, didn’t capture flight. Deleted</t>
  </si>
  <si>
    <t>C0009</t>
  </si>
  <si>
    <t>The video where the bee was lost. And the video that made me think I should have them leave and come back on both sides before starting 'testing'</t>
  </si>
  <si>
    <t>C0005</t>
  </si>
  <si>
    <t>no exit (antennae poked out), deleted</t>
  </si>
  <si>
    <t>NA</t>
  </si>
  <si>
    <t>Saturday 24/02 morning was raining, didn’t do a trial. So perhaps another flight where the pattern was left in the left arm</t>
  </si>
  <si>
    <t>This bee never made it back into the nest. She tried the wrong hole repeatedly, then left into the night. Hopefully shes back tomorrow.</t>
  </si>
  <si>
    <t>C0016</t>
  </si>
  <si>
    <t>bee exited very early in day. No learning flight. Walked around maze for long time, eventually leaving. Probably dispersing female or a male.</t>
  </si>
  <si>
    <t>bee couldn’t geet out of maze, and eventually went back into nest</t>
  </si>
  <si>
    <t>Departure was very early, perhaps because of red lights at site. Or because previous days have been rainy and cloudy, so this morning was comparatively bright. Initial decision was correct, but from the video it didn’t seem as though the bee actually fixated the pattern. seems a fortuitous correct decision.</t>
  </si>
  <si>
    <t>borderline wrong decision</t>
  </si>
  <si>
    <t xml:space="preserve">very strong wrong decision. Untrained individual? Or just low light? I wonder if when they get too close to the pattern they look for the hole instead of the pattern. Or perhaps when they arent looking direcctly ahead they might fixate the outline of the circle for example, or the wall of the arm, which is 'correct' and this urges them on forward. Perhaps adding optic flow would help them aim themselves forward? but then it would also provide them with distance info, which is problematic when moving pattern around (amount optic flow will be out of register with home position). Tough situation. Perhaps Erics method alleviaets this? But in that case, their homes' appearance is out of register with the optic flow patterns. So again there will be a lack of agreement between different cues. </t>
  </si>
  <si>
    <t>date</t>
  </si>
  <si>
    <t>C0017</t>
  </si>
  <si>
    <t>C0018</t>
  </si>
  <si>
    <t>struggled to exit for the longest time despite the entrance of maze being off. Only managed once I added dark curtain to back of maze. Think she is attracted to brightness at back of maze due to open canopy there.</t>
  </si>
  <si>
    <t xml:space="preserve">It's difficult to classify this as a decision because she never left the maze. </t>
  </si>
  <si>
    <t xml:space="preserve">Rained in the morning. No video. Pattern was on Right however and I think entrance was off. So perhaps there was an exit and return while pattern was on right. </t>
  </si>
  <si>
    <t>C0017_2</t>
  </si>
  <si>
    <t xml:space="preserve">bee kept trying to enter but then came back out, as if the wrong nest was attached to the right pattern. The only explanation that makes sense to me (BESIDES MISALIGNED HOLE) is that the bee that exited was a dispersing male (didn’t do a very rigorous orientation flight) and then the bee returning was from the previous nest (2.1). Perhaps disoriented because of the insect trap that was on the previous night. </t>
  </si>
  <si>
    <t>C0021</t>
  </si>
  <si>
    <t xml:space="preserve">Bee didn’t exit the maze with the entrance on. So I don’t classify this as a return or count the decision (though I would call this a correct decision in some sense as she never lands on wrong stimulus).  This is the bee that never tries to long in the afternoon and always struggles to get out, presumably because the back of the maze is bright. </t>
  </si>
  <si>
    <t>C0022</t>
  </si>
  <si>
    <t>First time I tested the bee (switched side while she was out).</t>
  </si>
  <si>
    <t>C0015</t>
  </si>
  <si>
    <t>crawled around maze trying to find exit for an eternity.</t>
  </si>
  <si>
    <t>C0019</t>
  </si>
  <si>
    <t>Never exited maze with the entrance on.</t>
  </si>
  <si>
    <t>C0011_2</t>
  </si>
  <si>
    <t>C0013_2</t>
  </si>
  <si>
    <t>C0014_2</t>
  </si>
  <si>
    <t xml:space="preserve">NEW NEST!!! Bee never managed to exit maze with the entrance on. </t>
  </si>
  <si>
    <t>C0020</t>
  </si>
  <si>
    <t>3 departures and only 2 returns on camera</t>
  </si>
  <si>
    <t>C0024</t>
  </si>
  <si>
    <t>?</t>
  </si>
  <si>
    <t>C0023</t>
  </si>
  <si>
    <t>very short flight. Perhaps because she was moved to position 3, or because it was a new bee?</t>
  </si>
  <si>
    <t>C0025</t>
  </si>
  <si>
    <t>I let her out through the roof thinking I was getting rid of new untrained female. But she came back through entrance. So probably just the same problem of the back of maze being brighter.  She crawled around for ages.</t>
  </si>
  <si>
    <t>no activity. Deleted video</t>
  </si>
  <si>
    <t>C0020_2</t>
  </si>
  <si>
    <t>NEW NEST!!! She didn’t do learning flight and abandoned the nest. Deleted video</t>
  </si>
  <si>
    <t>NEW NEST!!! She didn’t make it back to the maze, I found her where she had exited nest on the previous night (on the spikes). I hope tonight she realizes she is somewhere new. Deleted video</t>
  </si>
  <si>
    <t>maze</t>
  </si>
  <si>
    <t>elapsed_t_ret_on_light_meter_video</t>
  </si>
  <si>
    <t>C0105</t>
  </si>
  <si>
    <t>C0104</t>
  </si>
  <si>
    <t>interesting approach, as if using the white brackets that join the maze boxes as landmarks</t>
  </si>
  <si>
    <t>C0026</t>
  </si>
  <si>
    <t>Very strange and short flight. First exited then immediately re-entered hole. Then exited again, this time surveying the whole Y-maze but not leaving it, almost like an orientation flight. The strange afternoon behaviour continues, or there are two bees in this nest. The mystery continues.</t>
  </si>
  <si>
    <t>C0027</t>
  </si>
  <si>
    <t>This bee did return, but only after I turned the camera off. Later than 06:30 am I think</t>
  </si>
  <si>
    <t>C0107</t>
  </si>
  <si>
    <t>C0106</t>
  </si>
  <si>
    <t>I may have let this bee out. She was in the wrong side when I changed pattern side. I think she was on the pattern when I removed it from the maze</t>
  </si>
  <si>
    <t>C0028</t>
  </si>
  <si>
    <t xml:space="preserve">no return. she didn’t know how to get back into the maze. Cleary she was using the patterns at position 1 as a landark, because she flew right up to the triangle (entrance was off), but then flew off into the canopy. I saw this in real life but cant see her returning in the video however. </t>
  </si>
  <si>
    <t xml:space="preserve">NA </t>
  </si>
  <si>
    <t>no bees exited maze this evening</t>
  </si>
  <si>
    <t>C0108</t>
  </si>
  <si>
    <t>C0110</t>
  </si>
  <si>
    <t>C0034</t>
  </si>
  <si>
    <t>C0033</t>
  </si>
  <si>
    <t>Crawled out of hole and straight back in. Perhaps the black curtain is no good.</t>
  </si>
  <si>
    <t>C0111</t>
  </si>
  <si>
    <t>C0112</t>
  </si>
  <si>
    <t>C0029</t>
  </si>
  <si>
    <t>Struggled to get out for at least 15 minutes</t>
  </si>
  <si>
    <t>Smooth exit</t>
  </si>
  <si>
    <t>C0113</t>
  </si>
  <si>
    <t>C0036</t>
  </si>
  <si>
    <t xml:space="preserve">Struggled to exit for at least 10 min. borderline incorrect decision. Difficult to tell if it is actually incorrect given the graininess of the line. But is basically on the line. </t>
  </si>
  <si>
    <t xml:space="preserve">readme: first thing to note is that the time of return in other sheet is when the bee is first seen in the video, it is not the time of hole entry. So the time you hear the beep on the light level camera (when bee enters hole) will be a several seconds after the time the bee has returned. this doesnt mean the different camera times are not synched. The time of return is very highly correlated with the time of the decision i think. Bees generally race through to the decision chamber. </t>
  </si>
  <si>
    <t>C0035</t>
  </si>
  <si>
    <t xml:space="preserve">I don’t think this decision should be counted if i can help it or if i have enough data. First because i had to disturb her to get her not to go back into her hole, and second because i was still fiddling with the maze when she returned. The reason for the position change was to try and get the bee out of the habit of always going back into the hole in the afternoon after very briefly trying to exit the maze. Was trying to make it easy for her.  </t>
  </si>
  <si>
    <t>C0114</t>
  </si>
  <si>
    <t>C0037</t>
  </si>
  <si>
    <t>C0038</t>
  </si>
  <si>
    <t xml:space="preserve">Didn’t exit maze. Maze was rotated 180 degrees to see if bee would exit more easily. </t>
  </si>
  <si>
    <t>C0031 &amp; C0038 (maze2 video directory)</t>
  </si>
  <si>
    <t>No video this morning. Took a spot reading from the light meter when I heard maze 2 beep for the return of the bee there.</t>
  </si>
  <si>
    <t>C0115</t>
  </si>
  <si>
    <t>C0030</t>
  </si>
  <si>
    <t>C0022_2</t>
  </si>
  <si>
    <t>C0027_2</t>
  </si>
  <si>
    <t>C0031_2</t>
  </si>
  <si>
    <t>C0041</t>
  </si>
  <si>
    <t>C0039</t>
  </si>
  <si>
    <t xml:space="preserve">no activity. Deleted video. She was in nest when I checked later in evening however. Must have returned during day, or it’s a new bee. </t>
  </si>
  <si>
    <t>C0032</t>
  </si>
  <si>
    <t xml:space="preserve">no activity. Video deleted. Perhaps because stick was a bit crushed and it blocked her movement to hole. </t>
  </si>
  <si>
    <t>C0119</t>
  </si>
  <si>
    <t>C0116</t>
  </si>
  <si>
    <t>2?</t>
  </si>
  <si>
    <t>C0046</t>
  </si>
  <si>
    <t>Sides are now switched on camera, since last night. She re-enters hole at 00:35:37</t>
  </si>
  <si>
    <t>C0043</t>
  </si>
  <si>
    <t>Started on position 1 to get her in habit of exiting in the afternoon and through the big hole. She was supposed to be tested on 0.05 today, but forgot to change the pattern side</t>
  </si>
  <si>
    <t>C0121</t>
  </si>
  <si>
    <t>C0124</t>
  </si>
  <si>
    <t>unplugged beedetector on this morning so you wont hear beep to ensure cams are synched.</t>
  </si>
  <si>
    <t>C0052</t>
  </si>
  <si>
    <t xml:space="preserve">A second flight. I still don’t have evidence that there are two bees here, because there has never been an occasion where two bees have left without a return. So im hoping that this is still just one bee making multiple trips. </t>
  </si>
  <si>
    <t>C0044</t>
  </si>
  <si>
    <t>C0042</t>
  </si>
  <si>
    <t xml:space="preserve">Takes over a minute to enter hole. Goes down the wrong arm many times. Interesting. </t>
  </si>
  <si>
    <t>Strangely, she actually tries to enter wrong hole here! She wasn’t fixating the pattern when entering the wrong arm. It did look as though she looked down the maze towards the correct pattern but still flew sideways into the wrong arm. There was some slight interference from me here, but data should be fine still.</t>
  </si>
  <si>
    <t>C0053</t>
  </si>
  <si>
    <t>Wrong decision, but she definitely turns around sooner here than on higher frequency patterns I reckon</t>
  </si>
  <si>
    <t>C0051</t>
  </si>
  <si>
    <t>C0049</t>
  </si>
  <si>
    <t xml:space="preserve">between Saturday the 09/03 and Monday 11/03 pattern was not changed. </t>
  </si>
  <si>
    <t xml:space="preserve">Don’t think this exit was caught on video. Perhaps from night before. </t>
  </si>
  <si>
    <t>C0047</t>
  </si>
  <si>
    <t xml:space="preserve">Wrong decision, but again, very borderline given the low frequency and bright light. </t>
  </si>
  <si>
    <t>C0050</t>
  </si>
  <si>
    <t>again, starts turning before the start of the wrong arm, but then drifts into the wrong arm, so technically a wrong decision but she surely saw it before she crossed the arm line</t>
  </si>
  <si>
    <t>C0048</t>
  </si>
  <si>
    <t>C0047_2</t>
  </si>
  <si>
    <t>? Cant find departure on camera.</t>
  </si>
  <si>
    <t>C0057</t>
  </si>
  <si>
    <t xml:space="preserve">Haha. Such a funny landing on the return in the dark. Flying very slowly and controlled. </t>
  </si>
  <si>
    <t>C0056</t>
  </si>
  <si>
    <t>C0055</t>
  </si>
  <si>
    <t>cant find departure on camera</t>
  </si>
  <si>
    <t>C0054</t>
  </si>
  <si>
    <t>C0058</t>
  </si>
  <si>
    <t>C0059</t>
  </si>
  <si>
    <t>Another borderline incorrect decision</t>
  </si>
  <si>
    <t>C0060</t>
  </si>
  <si>
    <t>beedetector didn’t go off for this exit or the first one either</t>
  </si>
  <si>
    <t>C0061</t>
  </si>
  <si>
    <t>C0111_2</t>
  </si>
  <si>
    <t>actual_beep_time_video</t>
  </si>
  <si>
    <t>C0112_2</t>
  </si>
  <si>
    <t>C0109</t>
  </si>
  <si>
    <t>C0063</t>
  </si>
  <si>
    <t>C0068</t>
  </si>
  <si>
    <t>Been keeping pattern on right for past few sessions as she always guessed incorrectly on the right. I guess an incorrect choice gives more information? Now she guessed correct, will swap to left this evening</t>
  </si>
  <si>
    <t>C0067</t>
  </si>
  <si>
    <t>Added curtain to try get her to come out early and return in brighter light level</t>
  </si>
  <si>
    <t>C0066</t>
  </si>
  <si>
    <t>C0064</t>
  </si>
  <si>
    <t>pre-video start</t>
  </si>
  <si>
    <t xml:space="preserve">Difficult to make out her position of turning around, you have to watch as she enters maze and then it is possible to see. </t>
  </si>
  <si>
    <t>She came out a bit earlier today. Perhaps because I got her out early the previous morning. Or perhaps also because I shined my light a bit much when i checked on the hole this morning. Cant remember if I was trying to get her out early again. She exited through the side of the hole</t>
  </si>
  <si>
    <t>C0062</t>
  </si>
  <si>
    <t>no activity</t>
  </si>
  <si>
    <t>I shined a red light on the nest to try to get the bee to come out early</t>
  </si>
  <si>
    <t>C0125</t>
  </si>
  <si>
    <t>There was no beep on beetector</t>
  </si>
  <si>
    <t>C0127</t>
  </si>
  <si>
    <t>2024-03-13_‏‎05.38.12.MTS</t>
  </si>
  <si>
    <t>There was no beep on beetector. The offset for maze 1 beep was 1 minute 23 seconds, so I will use reading that is 1 minute 23 seconds before 00:40:20</t>
  </si>
  <si>
    <t>2024-03-13_18.15.36.MTS</t>
  </si>
  <si>
    <t>Bee returned before meter was turned on. Could use the first reading when meter was switched on.</t>
  </si>
  <si>
    <t>2024-03-14_05.38.18.MTS</t>
  </si>
  <si>
    <t>2024-03-14_18.07.28.MTS</t>
  </si>
  <si>
    <t>2024-03-15_05.37.18.MTS</t>
  </si>
  <si>
    <t>2024-03-15_18.11.04.MTS</t>
  </si>
  <si>
    <t>2024-03-16_05.45.52.MTS</t>
  </si>
  <si>
    <t>C0114_2</t>
  </si>
  <si>
    <t>C0115_2</t>
  </si>
  <si>
    <t>Didn’t count this as she exited maze and came striaght back</t>
  </si>
  <si>
    <t>couldn’t see return due to condensation on lens and loss of focus</t>
  </si>
  <si>
    <t>BE CAREFUL!!! SOMETIMES LCD DISPLAYS 0.XX INSTEAD OF 1.XX. CAN LEAD TO ORDER OF MAGNITUDE MISTAKE IF YOU'RE NOT CAREFUL ABOUT THE EXPONENT.</t>
  </si>
  <si>
    <t>got the two beetector cables mixed up I think</t>
  </si>
  <si>
    <t>How should I treat two decisions in a row where I havent changed pattern? In theory, the bee will have had a chance to learn some other low frequency feature on the second return. The reason I think of this is given the borderline incorrect decision under darker conditions here versus previous return - perhaps she learned some other feature on the previous return?</t>
  </si>
  <si>
    <t>C0069</t>
  </si>
  <si>
    <t>did not exit maze</t>
  </si>
  <si>
    <t>Completely missed this flight initially. Only noticed it when I was filling in light levels</t>
  </si>
  <si>
    <t>difficult to read lcd light meter</t>
  </si>
  <si>
    <t>2024-03-17_18.10.36.MTS</t>
  </si>
  <si>
    <t>difficult to read lcd again! Had to guess based on exponent changing</t>
  </si>
  <si>
    <t>2024-03-18_05.35.00.MTS</t>
  </si>
  <si>
    <t>Raining morning. No data</t>
  </si>
  <si>
    <t>2024-03-18_18.11.24.MTS</t>
  </si>
  <si>
    <t>2024-03-19_05.30.04.MTS</t>
  </si>
  <si>
    <t>Raining evening. No data</t>
  </si>
  <si>
    <t>2024-03-19_06.24.04.MTS</t>
  </si>
  <si>
    <t>C0071</t>
  </si>
  <si>
    <t xml:space="preserve">*unknown departure time, frist seen outside nest at 00:37:38.
Maze was rotated 180 degrees. Bee did not manage to get back inside. She was confused and still trying to enter from the old direction of the entrance. You can see this in the C0038 video, as the C0031 video cut out. She finall y leaves maze 00:53:59 after adding curtain. But didnt do the orientation flight outside maze I guess. </t>
  </si>
  <si>
    <t>Took the session off to rest.</t>
  </si>
  <si>
    <t xml:space="preserve">*00:49:24  first seen on wrong side, so that puts return time at 06:10:37. 
im unsure of what the decision was. The positioning of light and / or setting of camera (low lux mode) makes it very hard to see bee. I first make her out on wrong side though. Light also went off at start of morning due to cabl emalfunction perhaps. So im not even completely sure she exited maze. </t>
  </si>
  <si>
    <t>Departure is prior to video start.  She left the maze but came straight back, looking a bit disorientated. I wont count that as a decision.</t>
  </si>
  <si>
    <t>Departure is prior to video start. bee is already on the floor in wrong arm right next to decision chamber</t>
  </si>
  <si>
    <t>unknown return time. Video lost focus because I didn’t wipe off camera lens</t>
  </si>
  <si>
    <t>cant see the base numbers, only the exponent :( . But it must be a very low value to the power of -2, because the exponent changes roughly 1 minute later. ~0.0099</t>
  </si>
  <si>
    <t>rested this day</t>
  </si>
  <si>
    <t xml:space="preserve"> NA</t>
  </si>
  <si>
    <t>rain prevented data collection this day</t>
  </si>
  <si>
    <t>VIDEO started 17:55:00 according to the time stamp on original corrupted video. 17:55:24 (10 seconds before other camera) based on comparing beeps between videos. I had to find the time of the double beep on maze 1 video (00:37:20) to find the time of return</t>
  </si>
  <si>
    <t>VIDEO started 17:55:00 according to the time stamp on original corrupted video. 17:55:24 (10 seconds before other camera) based on comparing beeps between videos.  Two exits!? Two bees? I couldn’t find when the bee exited. Perhaps while I was changing patterns after her first return. Seems like bee may have left very ear. Bee returns 00:52:49 on other video</t>
  </si>
  <si>
    <t>patt_freq_ret</t>
  </si>
  <si>
    <t>C0072</t>
  </si>
  <si>
    <t>proper learning flight on departure. Perhaps bc I added long of stripe to bottom of maze. Bee returned before I could switch sides</t>
  </si>
  <si>
    <t xml:space="preserve">Didn’t exit maze. </t>
  </si>
  <si>
    <t>C0075</t>
  </si>
  <si>
    <t>C0076</t>
  </si>
  <si>
    <t>didn’t change pattern for some reason.</t>
  </si>
  <si>
    <t>C0077</t>
  </si>
  <si>
    <t>borderline correct on a much higher freq pattern</t>
  </si>
  <si>
    <t>This may have been a new bee. Very short flight. And I think it was a bit smaller than the other/s id seen in this nest</t>
  </si>
  <si>
    <t>C0078</t>
  </si>
  <si>
    <t>This was very interesting. Went down correct arm, but turned around (almost the reverse of what I expect to see) and then went down incorrect arm and proceeded to try and enter the horizontal pattern. Very strong indication that this was a new bee?</t>
  </si>
  <si>
    <t>Same as the previous flight. Goes down the correct arm, but turns around and goes toward incorrect arm. Very strange. Also made me wondef if its perhaps caused by the fact that I made some other low frequency change, eg. Removing the tape? Or the table leg being a non-symmetrical landmark causing retinotopic mismatch?</t>
  </si>
  <si>
    <t>C0079</t>
  </si>
  <si>
    <t>pre-video start departure. Finally exits maze at 00:24:56</t>
  </si>
  <si>
    <t>Couldn’t find any return on camera. Perhaps because of the low visibilty. I tried to listen for beeps but also didn’t hear one.</t>
  </si>
  <si>
    <t>difficult to see. Didn’t make sure camera lens was clean. But it does look like a correct decision</t>
  </si>
  <si>
    <t>turning_distance_cm</t>
  </si>
  <si>
    <t>C0073</t>
  </si>
  <si>
    <t>So we have a problem with this nest. There is a bee that shows unusual behaviour. She arcs right but never goes further down the tunnel, she then always bends left. If the incorrect pattern is on the right, you might interpret that as her turning around in your turning freq analysis, yielding unusually large turning frequencies. Solution is to only look at the turning distances when the wrong pattern is on the left side perhaps?</t>
  </si>
  <si>
    <t>C0074</t>
  </si>
  <si>
    <t>Again, the strange behaviour. Chooses the correct side initially, but doesn’t go far enough down the tunnel to realise shes chosen correctly (I guess?) and then turns around to investigate wrong arm. Realizes shes in the wrong arm when she travels further down the tunnel than she did in the correct arm.</t>
  </si>
  <si>
    <t>couldnt find any return on camera</t>
  </si>
  <si>
    <t xml:space="preserve">Another example of the strange initial right arcing behaviour I would say. </t>
  </si>
  <si>
    <t>C0080</t>
  </si>
  <si>
    <t>C0081</t>
  </si>
  <si>
    <t>Afternoon off for Tupper talk</t>
  </si>
  <si>
    <t>C0082</t>
  </si>
  <si>
    <t>Another right arc</t>
  </si>
  <si>
    <t>C0083</t>
  </si>
  <si>
    <t>pre-video start departure. A very unexpected correct choice. 0.1cpd pattern, and she turns away from the left while still in the decision chamber. Surprising…</t>
  </si>
  <si>
    <t>cant find the return. Borderline incorrect decision. This and the first flight definitely making me rethink idea that they cant see 0.1. Despite apparent side preference for the left, she nailed this and the subsequent decision on 0.1 cpd</t>
  </si>
  <si>
    <t>C0084</t>
  </si>
  <si>
    <t xml:space="preserve">Incredibly poor visibility. 
technically correct, although she doesn’t go all the way down the track, which is strange and not what I was expecting to see. Was there some other low frequency cue she had become accustomed to while being on the other side? Or is this just variation?
So this is where the strange behaviour perhaps starts. Possible this is the new bee. She first goes left which is correct, but turns around and goes right. She then tries to enter the wrong pattern hole. </t>
  </si>
  <si>
    <t xml:space="preserve">She arcs left, and either sees its wrong at this point, then goes right. Based on previous few videos, I'd say this was a bee that 'believed' the pattern was on the right, ie. had a right side preference. </t>
  </si>
  <si>
    <t>Based on exit behaviour, short flight time and size, I have a hunch this may have been another new bee?</t>
  </si>
  <si>
    <t>C0070</t>
  </si>
  <si>
    <t>C0116_2</t>
  </si>
  <si>
    <t>C0117</t>
  </si>
  <si>
    <t>C0118</t>
  </si>
  <si>
    <t>C0120</t>
  </si>
  <si>
    <t>C0122</t>
  </si>
  <si>
    <t>C0123</t>
  </si>
  <si>
    <t>light_level_video_name</t>
  </si>
  <si>
    <t>maze_video_name</t>
  </si>
  <si>
    <t>C0082_2</t>
  </si>
  <si>
    <t>Tupper talk, no recording</t>
  </si>
  <si>
    <t>This video seems lost. May have mistakenly been deleted?</t>
  </si>
  <si>
    <t>couldn't find return on camera</t>
  </si>
  <si>
    <t>Tupper talk. No recording</t>
  </si>
  <si>
    <t>didn’t exit maze</t>
  </si>
  <si>
    <t>there was no beep in video</t>
  </si>
  <si>
    <t>many beeps because bee struggled to get into the hole</t>
  </si>
  <si>
    <t>No idea where this video is or if it ever existed</t>
  </si>
  <si>
    <t>2024-03-21_05.27.50.MTS</t>
  </si>
  <si>
    <t>2024-03-21_06.26.00.MTS</t>
  </si>
  <si>
    <t>Seem to have lost the video somehow</t>
  </si>
  <si>
    <t>2024-03-19_18.06.00.MTS</t>
  </si>
  <si>
    <t>C0086</t>
  </si>
  <si>
    <t xml:space="preserve">pre-video start departure. </t>
  </si>
  <si>
    <t>screenshot_name</t>
  </si>
  <si>
    <t>min_max_thresh_dist_pixels</t>
  </si>
  <si>
    <t>min_bee_thresh_dist_pixels</t>
  </si>
  <si>
    <t>120.75</t>
  </si>
  <si>
    <t>min_thresh_dist</t>
  </si>
  <si>
    <t>C0086_bf1_t1_merge</t>
  </si>
  <si>
    <t>long time to exit, almost as if it was a new bee</t>
  </si>
  <si>
    <t>C0130</t>
  </si>
  <si>
    <t>C0129</t>
  </si>
  <si>
    <t>C0087</t>
  </si>
  <si>
    <t>C0087_bf1_t1_merge</t>
  </si>
  <si>
    <t>C0087_bf1_t2_merge</t>
  </si>
  <si>
    <t>C0087_bf1_t3_merge</t>
  </si>
  <si>
    <t>C0088</t>
  </si>
  <si>
    <t>C0085</t>
  </si>
  <si>
    <t>C0128</t>
  </si>
  <si>
    <t>C0085_bf1_t1_merge</t>
  </si>
  <si>
    <t>C0085_bf1_t2_merge</t>
  </si>
  <si>
    <t>Another curious example of an initially correct choice, but then turning back and going to wrong side, but then turning back and coming to the correct side again. Perhaps due to low frequency information from the table leg that is not centered?</t>
  </si>
  <si>
    <t>C0131</t>
  </si>
  <si>
    <t>Took morning off</t>
  </si>
  <si>
    <t>C0089</t>
  </si>
  <si>
    <t>C0132</t>
  </si>
  <si>
    <t>C0090</t>
  </si>
  <si>
    <t>C0091</t>
  </si>
  <si>
    <t>C0134</t>
  </si>
  <si>
    <t xml:space="preserve"> </t>
  </si>
  <si>
    <t>C0089_bf1_t1_merge</t>
  </si>
  <si>
    <t>C0091_bf1_t1_merge</t>
  </si>
  <si>
    <t>C0080_bf1_t1_merge</t>
  </si>
  <si>
    <t>slightly blurry video</t>
  </si>
  <si>
    <t>no maze exit. Deleted video</t>
  </si>
  <si>
    <t>C0126</t>
  </si>
  <si>
    <t>C0133_NB_CALIB_FACTOR_MAYBE_WRONG</t>
  </si>
  <si>
    <t>My red light was shining. Might have had some effect on bee</t>
  </si>
  <si>
    <t>1.004x10-6</t>
  </si>
  <si>
    <t>1.004x10-6 OR 1.004x10-5 . Not sure which. But light levels looked too bright, so I guess it was 1.004x10-6</t>
  </si>
  <si>
    <t>C0135_NB_CALIB_FACTOR_APPEARS_DIFF_AGAIN</t>
  </si>
  <si>
    <t>C0136_NB_CALIB_FACTOR_APPEARS_DIFF_AGAIN.</t>
  </si>
  <si>
    <t>C0126_bf1_t1_merge</t>
  </si>
  <si>
    <t>C0085_bf1_t1_linesdrawn</t>
  </si>
  <si>
    <t>C0085_bf1_t2_linesdrawn</t>
  </si>
  <si>
    <t>C0093</t>
  </si>
  <si>
    <t>C0092</t>
  </si>
  <si>
    <t>no exit. Returned to hole only to emerge minutes later.</t>
  </si>
  <si>
    <t>1.004x10-5 / 1.004x10-6 . Not sure which</t>
  </si>
  <si>
    <t xml:space="preserve">1.004x10-5 / 1.004x10-6 . Not sure which. Numbers look similar to numbers I got with 1.004x10-6 factor. </t>
  </si>
  <si>
    <t>C0092_bf1_t3_linesdrawn</t>
  </si>
  <si>
    <t>C0092_bf1_t2_linesdrawn</t>
  </si>
  <si>
    <t>C0092_bf1_t1_linesdrawn</t>
  </si>
  <si>
    <t>. -2.46x10-2</t>
  </si>
  <si>
    <t>stimulus_size_mm</t>
  </si>
  <si>
    <t>arm_length_at_pos_3_mm</t>
  </si>
  <si>
    <t>patt_cycles</t>
  </si>
  <si>
    <t>light_meter_factor_used</t>
  </si>
  <si>
    <t>first_decision</t>
  </si>
  <si>
    <t>No data collection in morning. Analysing data</t>
  </si>
  <si>
    <t>no data collection in evening. Raining / analysis</t>
  </si>
  <si>
    <t>stimulus_frequency_at_314mm_cpd</t>
  </si>
  <si>
    <t>angular_subtense_of_stimulus_at_turn</t>
  </si>
  <si>
    <t>stimulus_cycles</t>
  </si>
  <si>
    <t>viewing_distance</t>
  </si>
  <si>
    <t>recalculated_patt_freq</t>
  </si>
  <si>
    <t>2*Atan(0.5*stimSize/stimDist)</t>
  </si>
  <si>
    <t>arm_length_cm_minus_3mm_pattern</t>
  </si>
  <si>
    <t xml:space="preserve">yes. Ignored first turn in right arm where she goes toward correct pattern but then turns away from it. </t>
  </si>
  <si>
    <t>no activity. Deleted video.  Perhaps an early exit and return?</t>
  </si>
  <si>
    <t>C0077_bf1_t1_linesdrawn</t>
  </si>
  <si>
    <t>C0086_bf1_t1_linesdrawn</t>
  </si>
  <si>
    <t>C0072_bf1_t1_linesdrawn</t>
  </si>
  <si>
    <t>correct decision</t>
  </si>
  <si>
    <t>C0076_2</t>
  </si>
  <si>
    <t>C0077_bf2_t1_linesdrawn</t>
  </si>
  <si>
    <t>Ignoring this video because she tried to enter wrong hole</t>
  </si>
  <si>
    <t>C0079_bf1_t1_linesdrawn</t>
  </si>
  <si>
    <t>C0081_bf1_t1_linesdrawn</t>
  </si>
  <si>
    <t>C0088_bf1_t1_linesdrawn</t>
  </si>
  <si>
    <t>C0088_bf1_t2_linesdrawn</t>
  </si>
  <si>
    <t>C0088_bf1_t3_linesdrawn</t>
  </si>
  <si>
    <t>C0088_bf2_t1_linesdrawn</t>
  </si>
  <si>
    <t xml:space="preserve">Do I count this wrong turn? On the grounds that she does this same weird arc to the left but continues into a full 360 and ends up going to the right in both the preceding and following video, I argue that her turn away from the left was not due to the pattern, but was either due to some other low frequency difference, or simply a habitual flight maneouver. </t>
  </si>
  <si>
    <t>C0094</t>
  </si>
  <si>
    <t>No light meter video</t>
  </si>
  <si>
    <t>No light meter video.</t>
  </si>
  <si>
    <t xml:space="preserve">no maze exit. </t>
  </si>
  <si>
    <t>no maze exit</t>
  </si>
  <si>
    <t>no light meter recording</t>
  </si>
  <si>
    <t>No idea what happened to this video for maze 2. there is a metadata file for the evening, but no video</t>
  </si>
  <si>
    <t>bee couldn’t get back into maze</t>
  </si>
  <si>
    <t>I'm not sure where the video is or what its called. It was written as C0033, but that video is for 7th march. Metadata file for 1st march exists (C0020_M01_2), but no video. tough to tell time of entry with poor lighting angles</t>
  </si>
  <si>
    <t>Negative light readings. Incorrect zeroing? I used the time I heard the beep, not the time she made the first decision, which was about a minute earlier. Im sure 0.2 units is not NB anyway</t>
  </si>
  <si>
    <t xml:space="preserve">No data collection. Raining. Didn’t change pattern back to 0.5 after evening testing. </t>
  </si>
  <si>
    <t>Light level video somehow lost, or never acquired. Technically correct decision. Theres an initial leftward arc (towards correct side) then goes to the right. She gets unusually close to, (OH WAIT, SHE ACTUALLY TRIES TO ENTER) the low frequency (0.05) pattern. Perhaps because shes a new bee, the same that was trying to enter the wrong pattern on the previous day?</t>
  </si>
  <si>
    <t>light_level_proxy</t>
  </si>
  <si>
    <t>These readings are a tad low. And there were negative readings on the light meter. Not zeroed properly? Numbers are not outrageous, but perhaps not perfectly accurate</t>
  </si>
  <si>
    <t>Slightly high. 5v bias was on and there were negative numbers initially. Not zeroed properly?</t>
  </si>
  <si>
    <t>I think this light level was very wrong, hence not even entering it here. Could perhaps be saved, need to rewatch video</t>
  </si>
  <si>
    <t xml:space="preserve">perhaps a tad high? 5v bias was on. Not sure what factor was being used. But the reading is suspiscious seeing as things were going wrong around this time. </t>
  </si>
  <si>
    <t>took morning off</t>
  </si>
  <si>
    <t>C0134_NB_CALIB_FACTOR_MAYBE_WRONG</t>
  </si>
  <si>
    <t>factor change</t>
  </si>
  <si>
    <t>light video missing</t>
  </si>
  <si>
    <t xml:space="preserve">Jumpy light levels in the beginning. </t>
  </si>
  <si>
    <t>no data collection morning. Analysis</t>
  </si>
  <si>
    <t>no data, raining</t>
  </si>
  <si>
    <t>morning off for analysis</t>
  </si>
  <si>
    <t>no data collection in evening. Analysis</t>
  </si>
  <si>
    <t>no data collection afternoon. Analysis</t>
  </si>
  <si>
    <t>C0096</t>
  </si>
  <si>
    <t>Incredibly strange that she couldn’t get into her nest. Presumably an experienced bee, but didn’t want to go down the right arm. Many sessions on the other side, but still, why would she not go to the other side? Polarised light?</t>
  </si>
  <si>
    <t>2024-03-19_18.06.00</t>
  </si>
  <si>
    <t>18.06.00</t>
  </si>
  <si>
    <t>exited hole but then went back in so no maze exit</t>
  </si>
  <si>
    <t>no data collection this morning. Analysis</t>
  </si>
  <si>
    <t>no data collection this morning. Raining</t>
  </si>
  <si>
    <t>no data collection evening. Analysis</t>
  </si>
  <si>
    <t>5v bias was on. Not sure if a problem? Light readings a tad high?</t>
  </si>
  <si>
    <t>5v bias was on</t>
  </si>
  <si>
    <t>Negative numbers. Values droped to -1 x10-1 and then saturated. 5v bias was on</t>
  </si>
  <si>
    <t>*-0.97X10-1</t>
  </si>
  <si>
    <t>C0129_negative_numbers_constrained_range</t>
  </si>
  <si>
    <t>C0130_negative_numbers_constrained_range</t>
  </si>
  <si>
    <t>negative numbers. Values started in the minus and to the power of -1. 5v bias on</t>
  </si>
  <si>
    <t>*-0.28x10-1</t>
  </si>
  <si>
    <t>*-0.92x10-1</t>
  </si>
  <si>
    <t xml:space="preserve">light video missing </t>
  </si>
  <si>
    <t>*0.0099</t>
  </si>
  <si>
    <t xml:space="preserve">Negative numbers, constrained range, 5v bias on. </t>
  </si>
  <si>
    <t>C0074_bf1_t1_linesdrawn</t>
  </si>
  <si>
    <t>light_level_issue</t>
  </si>
  <si>
    <t>C0125_2_negative_numbers</t>
  </si>
  <si>
    <t>C0073_bf1_t1_linesdrawn</t>
  </si>
  <si>
    <t>arm_length_at_pos2_minus_3mmpattern</t>
  </si>
  <si>
    <t>C0054_2</t>
  </si>
  <si>
    <t>Technically wrong decision because she crossed line while flying backwards, but she seemed to see it initially and turned around in the decision chamber, but then lost control, flying backwards into the wrong arm</t>
  </si>
  <si>
    <t>C0041_bf1_t1_linesdrawn</t>
  </si>
  <si>
    <t>C0046_bf1_t1_linesdrawn</t>
  </si>
  <si>
    <t>C0048_bf1_t1_linesdrawn</t>
  </si>
  <si>
    <t>C0042_bf1_t1_linesdrawn</t>
  </si>
  <si>
    <t>many more turns, but the others similar to the first.</t>
  </si>
  <si>
    <t>C0037_bf1_t1_linesdrawn</t>
  </si>
  <si>
    <t>C0033_bf1_t1</t>
  </si>
  <si>
    <t>This was one of the first switches for this bee. Perhaps it explains the close approach</t>
  </si>
  <si>
    <t>C0066_bf2_t1_linesdrawn</t>
  </si>
  <si>
    <t>C0066_bf1_t1_linesdrawn</t>
  </si>
  <si>
    <t>C0067_bf1_t1_linesdrawn</t>
  </si>
  <si>
    <t>C0063_bf2_t1_linesdrawn</t>
  </si>
  <si>
    <t>C0058_bf1_t1_linesdrawn</t>
  </si>
  <si>
    <t xml:space="preserve">Perhaps a better criterion is to use the point at which they stop turning instead of closest distance. This bee loses control after stopping, sending it closer to the pattern than the point he actually realised it was wrong. </t>
  </si>
  <si>
    <t>C0059_bf1_t1_linesdrawn</t>
  </si>
  <si>
    <t xml:space="preserve">** actually, the light level checks out with level from a previous morning. I guess if the zero is quite large, it means the low-light measurements will be nonsense, but it wont have as much of an effect on the brighter measurements.  previous comment -Bullshit light level. Light meter didnt seem zeroed properly. Starting at -1 and had negative light readings at that level. 5v bias was also on. </t>
  </si>
  <si>
    <t>Factor change? Light levels jumpy at start of video, but appear to normalize</t>
  </si>
  <si>
    <t>factor change. But readings did not look weird other than that</t>
  </si>
  <si>
    <t>factor change. This illuminance value is higher than the others around the same time.  Could this be because of the factor I input (1.004x10-6) ? NB I think I may have made the factor x10-5. The reading on screen was 2.45. So to correct do I simply move decimal an extra place, so 2.45 becomes 0.245</t>
  </si>
  <si>
    <t>factor change. Jumpy numbers in the beginning. I'm not sure what was up with the light readings or light meter. Very strange</t>
  </si>
  <si>
    <t>proxy_method</t>
  </si>
  <si>
    <t>factor converted</t>
  </si>
  <si>
    <t>same time following evening</t>
  </si>
  <si>
    <t>same time previous evening and factor converted</t>
  </si>
  <si>
    <t>same time previous morning</t>
  </si>
  <si>
    <t>same time two mornings ago</t>
  </si>
  <si>
    <t>I think this taken from a previous / following morning</t>
  </si>
  <si>
    <t>Numbers too high. Constrained range. Not zeroed properly. 5V bias on</t>
  </si>
  <si>
    <t>number too high. Constrained range. 5v bias on.</t>
  </si>
  <si>
    <t>negative numbers.Not zeroed properly?</t>
  </si>
  <si>
    <t>Not zeroed properly and factor change.</t>
  </si>
  <si>
    <t>not sure</t>
  </si>
  <si>
    <t>same time following evening and factor conversion</t>
  </si>
  <si>
    <t xml:space="preserve">Meter not zeroed propertly again? Values become negative as light level falls to around 10-2, suggesting the zero was too bright. </t>
  </si>
  <si>
    <t>same time previous evening</t>
  </si>
  <si>
    <t>C0069_bf1_t1_linesdrawn</t>
  </si>
  <si>
    <t>C0056_bf1_t1_linesdrawn</t>
  </si>
  <si>
    <t>C0057_bf2_t1_linesdrawn</t>
  </si>
  <si>
    <t>C0053_bf1_t1_linesdrawn</t>
  </si>
  <si>
    <t>C0055_bf2_t1_linesdrawn</t>
  </si>
  <si>
    <t>C0053_bf2_t1_linesdrawn</t>
  </si>
  <si>
    <t>Can I extract more signal from this data? There was a half turn before her full turn away. Is a half turn distinct enough from the approach you see when they make a correct choice to make it useful data?</t>
  </si>
  <si>
    <t>C0053_bf2_t2_linesdrawn</t>
  </si>
  <si>
    <t>C0052_bf1_t1_linesdrawn</t>
  </si>
  <si>
    <t>C0052_bf2_t1_linesdrawn</t>
  </si>
  <si>
    <t>C0049_bf2_t1_linesdrawn</t>
  </si>
  <si>
    <t>C0046_bf2_t1_linesdrawn</t>
  </si>
  <si>
    <t>C0102</t>
  </si>
  <si>
    <t>C0142</t>
  </si>
  <si>
    <t>C0102_bf1_t1_linesdrawn</t>
  </si>
  <si>
    <t>C0101</t>
  </si>
  <si>
    <t>C0141</t>
  </si>
  <si>
    <t>pre-video start departure. Lands on pattern. Takes an age just to get into the maze through the entrance circle. Then takes an age to get into hole. Also because hole was not perfectly aligned</t>
  </si>
  <si>
    <t>C0101_bf1_t1</t>
  </si>
  <si>
    <t>Inf</t>
  </si>
  <si>
    <t>Not sure how I'll treat / visualize these cases where bee actually lands on pattern. Because the frequency of the pattern will be infinite. Can still plot the distance though!</t>
  </si>
  <si>
    <t>C0100</t>
  </si>
  <si>
    <t>C0099</t>
  </si>
  <si>
    <t>C0098</t>
  </si>
  <si>
    <t>C0097</t>
  </si>
  <si>
    <t>C0140</t>
  </si>
  <si>
    <t>C0100_bf1_t1</t>
  </si>
  <si>
    <t>Besides landing on the pattern, there were subsequent turns she made afterwards where she was further away from the pattern. This might be useful data. Perhaps on a second pass over this data I can come up with a better set of rules to squeeze out this data</t>
  </si>
  <si>
    <t>C0100_bf2_t1_linesdrawn</t>
  </si>
  <si>
    <t>One of those rare occasions where the first decision was correct, but the bee fell down short of the pattern, then somehow ended up flying the other way into the  (right) arm allowing a turning distance data point despite the pattern being on the favoured side.</t>
  </si>
  <si>
    <t>Tons of turns in the wrong arm. And a land on the wrong pattern</t>
  </si>
  <si>
    <t>There are tons more turns than this. the average turn might be a bit shorter. I just took the closest approach on the first turn (as in the closest approach before returning back to the decsion chamber).</t>
  </si>
  <si>
    <t>C0139</t>
  </si>
  <si>
    <t>C0138</t>
  </si>
  <si>
    <t>C0137</t>
  </si>
  <si>
    <t>C0094_bf1_t1_linesdrawn</t>
  </si>
  <si>
    <t>C0103</t>
  </si>
  <si>
    <t>C0143</t>
  </si>
  <si>
    <t>pre-video start departure</t>
  </si>
  <si>
    <t>missed return</t>
  </si>
  <si>
    <t>C0144</t>
  </si>
  <si>
    <t>unclear lcd. Roughly the light level.</t>
  </si>
  <si>
    <t>the first of two turns</t>
  </si>
  <si>
    <t>C0104_bf1_t1_linesdrawn</t>
  </si>
  <si>
    <t>C0099_bf1_t1_linesdrawn</t>
  </si>
  <si>
    <t>C0095</t>
  </si>
  <si>
    <t>no activity. Heavy rain. Video deleted</t>
  </si>
  <si>
    <t>Skipped data collection. Looks like it will rain</t>
  </si>
  <si>
    <t>C0096_bf1_t1_linesdrawn</t>
  </si>
  <si>
    <t>No morning or evening data. Went to the beach.</t>
  </si>
  <si>
    <t>no morning data. Went to the beach.</t>
  </si>
  <si>
    <t>Double-wrong pattern test</t>
  </si>
  <si>
    <t xml:space="preserve">Missed her return on camera as she returned very late (around 06:40 if I remember correctly) </t>
  </si>
  <si>
    <t>No maze exit</t>
  </si>
  <si>
    <t>Raining</t>
  </si>
  <si>
    <t>Skipped data collection. Analysis</t>
  </si>
  <si>
    <t>C0148</t>
  </si>
  <si>
    <t>C0145</t>
  </si>
  <si>
    <t>C0146</t>
  </si>
  <si>
    <t>C0150</t>
  </si>
  <si>
    <t>C0097_bf1_t1_linesdrawn</t>
  </si>
  <si>
    <t>C0098_bf1_t1_linesdrawn</t>
  </si>
  <si>
    <t>C0101_bf1_t1_linesdrawn</t>
  </si>
  <si>
    <t>C0103_bf1_t1_linesdrawn</t>
  </si>
  <si>
    <t>no activity. Video deleted</t>
  </si>
  <si>
    <t xml:space="preserve">no activity. Video deleted. I think bee may have abandoned over weekend. </t>
  </si>
  <si>
    <t>C0108_bf1_linesdrawn</t>
  </si>
  <si>
    <t>If I used a different criterion, eg. Distance of closest approach or slowing distance, I'd get a considerably lower frequency here.</t>
  </si>
  <si>
    <t>DIFFICULT TO INTERPRET! Chooses wrong side but turns around. Something low frequency turned her around? Too much testing on the right hand side?</t>
  </si>
  <si>
    <t>Double-wrong stimulus test. It's very strange how the distance of approach to the stimulus doesn’t seem symmetric - they turn earlier when going down the left side, but then approach way closer to the pattern when going to the right. Perhaps this is because they've been trained to 'expect' the correct pattern on the other side? 
Actually tries to enter wrong hole here.</t>
  </si>
  <si>
    <t>C0106_bf1_t1</t>
  </si>
  <si>
    <t>double-wrong stimulus test. More turns than the first one. Actually lands on wrong stimulus when going down right arm .</t>
  </si>
  <si>
    <t>Bit of interference with my red light</t>
  </si>
  <si>
    <t>she didn’t actually enter the hole yet after the first flight. So 2nd and 3rd flights are only technically flights I guess.</t>
  </si>
  <si>
    <t>factor change and light reading is 5 minutes earlier than actual arrival time</t>
  </si>
  <si>
    <t>C0147</t>
  </si>
  <si>
    <t>light level not on at this point</t>
  </si>
  <si>
    <t>light level not on yet.</t>
  </si>
  <si>
    <t>from previous morning roughly same time</t>
  </si>
  <si>
    <t>Need to think about this more deeply. Only technically correct. She goes toward correct pattern but turns away, having obviously not seen it from that distance. How do I analyse this? It's potentially two bits of info: not seeing correct pattern from that distance, and seeing incorrect pattern from the turning distance.</t>
  </si>
  <si>
    <t>cant find any exit on camera nest. I think I might remember there being one though, although definitely no maze exit. Video not deleted in case data can be extracted from her turning away from wrong pattern on other side.</t>
  </si>
  <si>
    <t>Cant find return on camera.</t>
  </si>
  <si>
    <t>C0107_2</t>
  </si>
  <si>
    <t>no activity. Nest may have been abandoned. Didn’t see bee in it this morning. Video deleted</t>
  </si>
  <si>
    <t>NEW NEST! no activity. Deleted video</t>
  </si>
  <si>
    <t>Don’t think there was activity. Hard to tell as I forgot IR lamp off. This may have been when bee left and didn’t come back :( . Video deleted.</t>
  </si>
  <si>
    <t>C0108_2</t>
  </si>
  <si>
    <t>NEW NEST! This one home pattern is horizontal</t>
  </si>
  <si>
    <t>NEW NEST! This one home pattern is vertical. Ie. a bee nest in each arm of maze</t>
  </si>
  <si>
    <t>no activity, video deleted</t>
  </si>
  <si>
    <t xml:space="preserve">Although she does cross the decision line, her first turn away from pattern, as well as her pause and hesitation, are certainly before the decision line. </t>
  </si>
  <si>
    <t>C0110_2</t>
  </si>
  <si>
    <t>NEW NEST WITH HORIZONTAL PATTERN. No activity</t>
  </si>
  <si>
    <t xml:space="preserve">Tried to enter wrong hole! Still learning. Or the pattern is just not 'stripey' enough. </t>
  </si>
  <si>
    <t>Presumably correct decision. very strange. Tries to get into horizontal strip nest, disappears, then re-appears, as if kicked out or couldn’t enter. Then tries to get into vertical strip nest, only to reappear. Previous bee did manage to get into vertical stripe nest. Only 2 possible explanations: 1. bee enters wrong (v stripe) nest and doesnt recognise that its wrong, then chases out v stripe bee. or 2, h stripe bee couldnt get back into her nest for some reason, perhaps cotton wool blocking it or something. I hope she comes home</t>
  </si>
  <si>
    <t>never returns from this flight</t>
  </si>
  <si>
    <t>Claudia says there was a bee that left pre-camera on. Probably was the bee on horizontal. But it did not return :(</t>
  </si>
  <si>
    <t>Tries to enter wrong hole</t>
  </si>
  <si>
    <t>no activity.</t>
  </si>
  <si>
    <t>Tries to enter wrong hole. Still not learned?</t>
  </si>
  <si>
    <t>tries to enter wrong hole!</t>
  </si>
  <si>
    <t>tries to enter wrong hole! Something is up. Should have learned by now. Stimuli too close? Pre video start departure</t>
  </si>
  <si>
    <t>No activity. Video deleted</t>
  </si>
  <si>
    <t>Pre-video start departure</t>
  </si>
  <si>
    <t>Horizontal nest was not in action for a while due to difficulty getting her to come back.</t>
  </si>
  <si>
    <t>No return on camera. Claudia moved stick to table where bee probably returned to given she didn’t really perform a learning flight on the exit</t>
  </si>
  <si>
    <t xml:space="preserve">NEW NEST! </t>
  </si>
  <si>
    <t>NEW NEST! Weird situation however. I think this is the same bee from the 2.7H nest. She just entered this stick bc her other stick was not on the table (previously she returned to maze 1 table and not maze 2 bc she didn’t do learning flight). Hope her exposure to horizontal stripes dont affect decisions.</t>
  </si>
  <si>
    <t>two bees try to return to this maze. The later one is from 2.6V originally. The earlier one I suspect is from 2.7H / 2.9V . She buzzed around in front of horizontal, but then left. Probably to go to her other nest home in front of maze 1. I think I need to stop using this bee. Too difficult.</t>
  </si>
  <si>
    <t>C0131 and C0132</t>
  </si>
  <si>
    <t>pre video start departure. She enters through arm while I am changing pattern. Not counting this</t>
  </si>
  <si>
    <t>Borderline correct, starts her turn before the line but then drifts over</t>
  </si>
  <si>
    <t>C0153 and C0154</t>
  </si>
  <si>
    <t>Pre-video start departure. Tries to enter from the back. Must have gotten out this way prev. Explains why I've not seen much of her</t>
  </si>
  <si>
    <t xml:space="preserve">Was this a correct decision? She turns a bit but then drifts into other chamber and turns some more. I need to compare flight paths when pattern is on the side they first turn into versus when it is on other side to find the body angle which signifies a turn! </t>
  </si>
  <si>
    <t>C0131_2</t>
  </si>
  <si>
    <t>Can barely see anything on this video. Cant tell the decision</t>
  </si>
  <si>
    <t>Cant see anything. Not sure about activity</t>
  </si>
  <si>
    <t>C0068_2</t>
  </si>
  <si>
    <t>C0069_2</t>
  </si>
  <si>
    <t>Pre video start departure. Wrong decision just inside the arm, but due to swerving, she moves deeper. Greatest distance down arm not a good indicator</t>
  </si>
  <si>
    <t>Cant see much, though it does look like a correct first decision</t>
  </si>
  <si>
    <t>pre-video departure</t>
  </si>
  <si>
    <t>initial decision correct, though she makes subsequent incorrect decisions</t>
  </si>
  <si>
    <t>No activity</t>
  </si>
  <si>
    <t>C0133</t>
  </si>
  <si>
    <t>C0135</t>
  </si>
  <si>
    <t>C0136</t>
  </si>
  <si>
    <t>Lighting of video is super bad. forgot lens off, see video C0130 for calibration lines using pattern skewer / stick</t>
  </si>
  <si>
    <t>Tries to enter wrong hole, still hasn’t learned? Need to move pattern back to furthest distance for a session or two to facilitate this?</t>
  </si>
  <si>
    <t>returning from previous night when she couldn’t get in</t>
  </si>
  <si>
    <t xml:space="preserve">Tries to enter wrong hole. </t>
  </si>
  <si>
    <t>Tries to enter wrong hole again, finally enters correct one</t>
  </si>
  <si>
    <t>Didn’t get return, but heard it just after camera off on beetector</t>
  </si>
  <si>
    <t>Tries to enter wrong hole. Leaves maze eventually after not getting into hole</t>
  </si>
  <si>
    <t>I'm not sure whether this is a departure, or the bee from the vertical pattern that entered by pushing through the horizontal bees nest… Strange</t>
  </si>
  <si>
    <t>pre-video start departure. Or didn’t return prev night?</t>
  </si>
  <si>
    <t>cant find departure on video</t>
  </si>
  <si>
    <t>pre-video start departure. Is this part of her entrance routine, or is that a wrong decision. She does the arc left, but barely looks left…</t>
  </si>
  <si>
    <t>pre-video start departure. Tries to enter hole.</t>
  </si>
  <si>
    <t>no activity. Need to fugure out what the original number of this nest was</t>
  </si>
  <si>
    <t>Video cuts out early. No returns. This is the same bee as im currently (02/05) using on the horizontal pattern I think. There was a period where this bee had two homes.</t>
  </si>
  <si>
    <t>Video cuts out early, no return</t>
  </si>
  <si>
    <t>She turns around twice here, first time the turn is within the decision chamber, second it is just inside the wrong arm. So her first decision (first chamber entered) is still technically wrong</t>
  </si>
  <si>
    <t>borderline incorrect. But would suggest very good spatial resolution! Possible?  Perhaps a more reasonable assumption is that she remembered the incorrect turn from her previous flight, and corrected this time? Or maybe this swerve is part of her routine? will need to check previous videos</t>
  </si>
  <si>
    <t xml:space="preserve">Pattern not oriented properly. She returned to an angled pattern. Wasn’t properly vertical.  She also struggled to enter nest. Cant see from video whether she ever did that morning as it cuts off. Entering old data, so I cant remember what happened here. </t>
  </si>
  <si>
    <t>Pre-video start departure. Tries to enter via the stick / sleeve. This stick also looks like boomerang shaped one that was the bees second home.</t>
  </si>
  <si>
    <t>This was the highly social nest where every bee abandoned. At the end of night I switched out nest to the one I am currently using on horizontal.</t>
  </si>
  <si>
    <t>This was the highly social nest where every bee abandoned. At the end of night I switched out nest to the one I am currently (03/05) using on horizontal.</t>
  </si>
  <si>
    <t>Wasnt entering entrance for some reason. Still learning? New bee?</t>
  </si>
  <si>
    <t>C0133 &amp; C0141</t>
  </si>
  <si>
    <t>C0134 &amp; C0141</t>
  </si>
  <si>
    <t>No return. Tries to enter via back  of stick. New bee? Strange she still hasn’t got it.</t>
  </si>
  <si>
    <t>no return on camera. Could it be a new bee? She looked bigger.</t>
  </si>
  <si>
    <t>NEW NEST!!!</t>
  </si>
  <si>
    <t>NEW NEST!!! No activity.</t>
  </si>
  <si>
    <t>I think shes exiting and re-entering from the back!!!</t>
  </si>
  <si>
    <t>FORGOT TO PRESS RECORD THIS EVENING</t>
  </si>
  <si>
    <t>Seems she abandoned</t>
  </si>
  <si>
    <t>seen at 00:33 trying to enter back of nest</t>
  </si>
  <si>
    <t>tries to enter through back at 18:12. she finally got back into nest today after her odyssey. Video deleted, no activity except bee being helped back inside nest.</t>
  </si>
  <si>
    <t>pattern_period_mm</t>
  </si>
  <si>
    <t>viewing_distance_mm</t>
  </si>
  <si>
    <t>spatial_freq</t>
  </si>
  <si>
    <t>degrees_per_cycle</t>
  </si>
  <si>
    <t>tangent_2*(0.5*pp / vd)</t>
  </si>
  <si>
    <t>C0149</t>
  </si>
  <si>
    <t xml:space="preserve">Borderline correct. Not sure whether to consider this as training or decision. </t>
  </si>
  <si>
    <t xml:space="preserve">technically correct, as she drifts into correct arm but doesn’t go down it. But then she is also borderline correct by going towards wrong arm, and U-turning </t>
  </si>
  <si>
    <t>C0120_2</t>
  </si>
  <si>
    <t xml:space="preserve">Cannot for the life of me find when this bee departed. And she must have departed while videos were running bc her head peaked out, unless it was a diff bee. </t>
  </si>
  <si>
    <t>pre-video start departure. This bee never came back prev evening, in video time at least. Never manages to go the opposite side :(</t>
  </si>
  <si>
    <t>C0151</t>
  </si>
  <si>
    <t>No return</t>
  </si>
  <si>
    <t>C0152</t>
  </si>
  <si>
    <t>Bee made it home in the end</t>
  </si>
  <si>
    <t>pre-video start departure. Bee made it home in end</t>
  </si>
  <si>
    <t>cant find dep on video . borderline incorrect</t>
  </si>
  <si>
    <t>C0153</t>
  </si>
  <si>
    <t>C0154</t>
  </si>
  <si>
    <t>Tries to enter wrong hole. Think she also returned much earlier and did the same. Multiple wrong decisions</t>
  </si>
  <si>
    <t>camera was 2.5 minutes ahead. Recalibrated now with macs clock</t>
  </si>
  <si>
    <t>Maze now ready for testing!! perhaps last training session this evening before patterns start to be rotated. bee returns multiple times (00:31:18, 00:33:38) before finally making it into crrect hole</t>
  </si>
  <si>
    <t>conversion factor</t>
  </si>
  <si>
    <t>C0155</t>
  </si>
  <si>
    <t xml:space="preserve">camera was 38 seconds ahead of time, recalibrated with mac clock before afternoon session (11/05) </t>
  </si>
  <si>
    <t>bee returned a few times earlier tried to enter wrong hole, finally managed to turn other way. Still seems to be learning this. hopefully this evening she gets it right without entering wrong hole.  It was very dark to be fair .</t>
  </si>
  <si>
    <t xml:space="preserve">I wonder if this is a second bee, given she didn’t make a wrong choice here, or if the same bee literally got the task betw flight 1 and 2. Two bees seems more likely. </t>
  </si>
  <si>
    <t xml:space="preserve">She didn’t make it in again. Was trying to enter via the back. The stick had fallen off the previous evening, probably why she re-learned that view. </t>
  </si>
  <si>
    <t>C0156</t>
  </si>
  <si>
    <t>Multiple wrong decisions</t>
  </si>
  <si>
    <t>Was busy changing pattern when she returned</t>
  </si>
  <si>
    <t>Testing started. Multiple wrong decisions</t>
  </si>
  <si>
    <t>C0157</t>
  </si>
  <si>
    <t>Cant find return, but could be hidden by blur from nught vision mode. Should look again.</t>
  </si>
  <si>
    <t>Cant find departure. Pre-start?</t>
  </si>
  <si>
    <t>training</t>
  </si>
  <si>
    <t>borderline</t>
  </si>
  <si>
    <t>testing</t>
  </si>
  <si>
    <t>C0158</t>
  </si>
  <si>
    <t>Wrong hole entry. Mustve been horizontal bee, as she was booted from vertical nest. Never got back into her nest</t>
  </si>
  <si>
    <t>Multiple wrong decisions. Never manages to re-enter nest</t>
  </si>
  <si>
    <t>C0159</t>
  </si>
  <si>
    <t>Comes back from prev night I imagine, sees its her hole, but doesn’t enter, just leaves. Probably coming back from prev night. I think its wasting information if I don’t count that as a trip.Could also look at it as multiple correct decisions, or something like this. There are other videos where stuff llike this happens (multiple decisions). I need to decide what to do about that</t>
  </si>
  <si>
    <t>Return from previous night probably. She makes a couple of returns earlier as well I reckon, Where she goes towards the left and literally reverses very nicely showing aversion to the vertical pattern</t>
  </si>
  <si>
    <t>C0160</t>
  </si>
  <si>
    <t>C0161</t>
  </si>
  <si>
    <t>Fogged camera. Cant see anything</t>
  </si>
  <si>
    <t>Doesn’t make it back in nest by video end</t>
  </si>
  <si>
    <t>Fogged camera. Cant see anything. Deleted video</t>
  </si>
  <si>
    <t>C0162</t>
  </si>
  <si>
    <t>Also makes a subseq wrong decision. Could be useful to analyse</t>
  </si>
  <si>
    <t>Multiple (3) wrong decisions. is this the horizontal bee that arrived earlier but never entered hole? Still the same bee that never returned prev night?</t>
  </si>
  <si>
    <t>Pre-start departure. Multiple wrong decisions</t>
  </si>
  <si>
    <t>multiple_decisions</t>
  </si>
  <si>
    <t>1,0</t>
  </si>
  <si>
    <t>0,0,0</t>
  </si>
  <si>
    <t>Not sure if this horizontal bee ever made it back that evening. Couldn’t find departure on vid, but didn’t search too hard</t>
  </si>
  <si>
    <t>training?</t>
  </si>
  <si>
    <t>pre-video start departure. Borderline incorrect</t>
  </si>
  <si>
    <t>testing or training? Not sure what to do with ?H</t>
  </si>
  <si>
    <t>C0163</t>
  </si>
  <si>
    <t>C0135_2</t>
  </si>
  <si>
    <t>0,1</t>
  </si>
  <si>
    <t>C0164</t>
  </si>
  <si>
    <t>same bee as in flight 1. She returned 3 times this morning, second time i stopped her from entering by putting lid in front of entrance. Clearly still learning. Can label previous times when hole was incorrectly entered as training. It is difficult as you might bias results by not also labelling the correct returns as training. Need to be careful about that.</t>
  </si>
  <si>
    <t>Wrong hole entry. Probably the new bee (see next morning same issue). Considering this as training.</t>
  </si>
  <si>
    <t>1,0,1,0,1</t>
  </si>
  <si>
    <t>I cant be sure which bee this was, so this data point should be excluded from analysis.</t>
  </si>
  <si>
    <t xml:space="preserve">Wrong decision, but its very hard to tell if this is a flight control issue. Was she fixating pattern? Looks a lot like she can discriminate the patterns from the decision chamber, as she kept swerving away inside the decision chamber from the wrong pattern. But could this be a side bias thing? Or a re-entry thing. Bees often re-enter the same arm multiple times. Its difficult to say whether a turn in the decision chamber is a turn away from the wrong pattern or a turn toward the correct one. </t>
  </si>
  <si>
    <t>1,1, 1, 0,1,0,1, 1(flying backwards), 1</t>
  </si>
  <si>
    <t>C0152_2</t>
  </si>
  <si>
    <t xml:space="preserve">Technically correct. What does it mean if they turn around in the correct arm? To me its consistant with the idea that the grey stimulus is a negative stimulus to the bee, because they are used to seeing stripes. This could be a result of over-testing one obviously-visible stimulus (ie. 0.1), where the bee becomes accustomed to seeing the stimulus from a certain position. A reason why it is essential to alternate frequency / position. </t>
  </si>
  <si>
    <t>C0165_trim</t>
  </si>
  <si>
    <t>Tries to enter wrong hole again</t>
  </si>
  <si>
    <t>C0166</t>
  </si>
  <si>
    <t>Perhaps its safe to start assuming the bee is trained now - she did not try to enter the wrong hole.</t>
  </si>
  <si>
    <t>Technically correct</t>
  </si>
  <si>
    <t>0,1,0,1,0,1,0,1,0</t>
  </si>
  <si>
    <t>C0065_1</t>
  </si>
  <si>
    <t>C0071_4</t>
  </si>
  <si>
    <t>might be the 'untriained' bee, gets awfully close to the pattern</t>
  </si>
  <si>
    <t>C0072_4</t>
  </si>
  <si>
    <t>C0066_1</t>
  </si>
  <si>
    <t>C0073_4</t>
  </si>
  <si>
    <t>C0076_3</t>
  </si>
  <si>
    <t>C0158_2</t>
  </si>
  <si>
    <t>C0156_2</t>
  </si>
  <si>
    <t>incorrect pattern fell off, so not sure I can count this decision. But would be incorrect</t>
  </si>
  <si>
    <t>as above. This bee enters correct arm though and turns around. This always complicates interpretations. But would be incorrect</t>
  </si>
  <si>
    <t>0, 1</t>
  </si>
  <si>
    <t>C0075_2</t>
  </si>
  <si>
    <t>0,0,0,1</t>
  </si>
  <si>
    <t>Wrong hole entry</t>
  </si>
  <si>
    <t>C0068_3</t>
  </si>
  <si>
    <t>Wrong hole entry. Both bees were entering wrong hole?!</t>
  </si>
  <si>
    <t>C0089_2</t>
  </si>
  <si>
    <t>C0003</t>
  </si>
  <si>
    <t>C0002</t>
  </si>
  <si>
    <t>C0001</t>
  </si>
  <si>
    <t>C0078_2</t>
  </si>
  <si>
    <t>C0077_2</t>
  </si>
  <si>
    <t>never actually enters hole. was this actually a wrong decision (in the sense that the point at which she turned was when she realized she went wrong), or a flight maneouvre? Only way to know is to get more data I guess?</t>
  </si>
  <si>
    <t>No return on camera</t>
  </si>
  <si>
    <t>C0074_2</t>
  </si>
  <si>
    <t>C0153_2</t>
  </si>
  <si>
    <t>C0154_2</t>
  </si>
  <si>
    <t>C0079_2</t>
  </si>
  <si>
    <t>C0159_2</t>
  </si>
  <si>
    <t>1,0,1</t>
  </si>
  <si>
    <t>bee abandoned. Ants in nest. Video deleted</t>
  </si>
  <si>
    <t>C0125_2</t>
  </si>
  <si>
    <t>No activity. Vertical pattern fell off disk, perhaps stopping exit and covering the view of the decision chamber. Video deleted</t>
  </si>
  <si>
    <t>C0137_2</t>
  </si>
  <si>
    <t>C0069_2 (12 MIN VIDEO, THINK THE SAME NIGHT AS C0137_2_</t>
  </si>
  <si>
    <t>this bee understood task (did not enter hole). While this sequence of data is very difficult to use for the binomial statistics, it can potentially be used in the turning distance data</t>
  </si>
  <si>
    <t>C0164_2</t>
  </si>
  <si>
    <t>C0165_2</t>
  </si>
  <si>
    <t>C0169</t>
  </si>
  <si>
    <t>C0173</t>
  </si>
  <si>
    <t>C0172</t>
  </si>
  <si>
    <t>C0171</t>
  </si>
  <si>
    <t>C0170</t>
  </si>
  <si>
    <t>C0067_2</t>
  </si>
  <si>
    <t>C0175</t>
  </si>
  <si>
    <t>C0174</t>
  </si>
  <si>
    <t>C0176</t>
  </si>
  <si>
    <t>C0178</t>
  </si>
  <si>
    <t>C0177</t>
  </si>
  <si>
    <t>forgot to turn on night mode. Video deleted</t>
  </si>
  <si>
    <t>C0180</t>
  </si>
  <si>
    <t>C0179</t>
  </si>
  <si>
    <t>0,1,0,0,1</t>
  </si>
  <si>
    <t>C0181</t>
  </si>
  <si>
    <t>C0182</t>
  </si>
  <si>
    <t>0,</t>
  </si>
  <si>
    <t>C0183</t>
  </si>
  <si>
    <t>Seems like a correct decision lathough she did cross the line</t>
  </si>
  <si>
    <t>C0184</t>
  </si>
  <si>
    <t>C0187</t>
  </si>
  <si>
    <t>C0186</t>
  </si>
  <si>
    <t>C0188</t>
  </si>
  <si>
    <t>C0189</t>
  </si>
  <si>
    <t>C0161_2</t>
  </si>
  <si>
    <t>C0162_2</t>
  </si>
  <si>
    <t>C0163_2</t>
  </si>
  <si>
    <t>C0166_2</t>
  </si>
  <si>
    <t>C0129_2</t>
  </si>
  <si>
    <t>C0190</t>
  </si>
  <si>
    <t>C0191</t>
  </si>
  <si>
    <t>C0192</t>
  </si>
  <si>
    <t>C0193</t>
  </si>
  <si>
    <t>C0194</t>
  </si>
  <si>
    <t>C0195</t>
  </si>
  <si>
    <t>C0196</t>
  </si>
  <si>
    <t>C0197</t>
  </si>
  <si>
    <t>C0198</t>
  </si>
  <si>
    <t>changed the arm angle, so bees behaved strangely. Ignore this data point</t>
  </si>
  <si>
    <t>arm_length_mm_minus_3mm_pattern</t>
  </si>
  <si>
    <t>cycle_width</t>
  </si>
  <si>
    <t>turning_distance_ignored</t>
  </si>
  <si>
    <t>cycle_width_mm</t>
  </si>
  <si>
    <t>distance_between_last_passed_and_next_landmark_(pixels)</t>
  </si>
  <si>
    <t>distance_of_last_passed_landmark_to_arm_start_(mm)</t>
  </si>
  <si>
    <t>dist_last_passed_landmark_to_bee_turn_point_(pixels)</t>
  </si>
  <si>
    <t>turning_distance_mm</t>
  </si>
  <si>
    <t>turning_freq</t>
  </si>
  <si>
    <t>C0126_2</t>
  </si>
  <si>
    <t>She didn’t try to enter wrong hole!!! Although she went the wrong way. She has learned and is ready for testing I reckion. Multiple decisions in this video. The second is wrong. will have to consider this as training. Unfortunately one of the patterns was left at position 1 while the other was at position 2. So I will label both as being at positiotn 1, as we don’t know which pattern they took the informatin from</t>
  </si>
  <si>
    <t>C0127_2</t>
  </si>
  <si>
    <t>flight</t>
  </si>
  <si>
    <t>vertical</t>
  </si>
  <si>
    <t/>
  </si>
  <si>
    <t>horizontal</t>
  </si>
  <si>
    <t>ELTD</t>
  </si>
  <si>
    <t>ELTR</t>
  </si>
  <si>
    <t>cycle_width_dep</t>
  </si>
  <si>
    <t>cycle_width_ret</t>
  </si>
  <si>
    <t>side_home_ret</t>
  </si>
  <si>
    <t>side_home_dep</t>
  </si>
  <si>
    <t>position_ret</t>
  </si>
  <si>
    <t>position_dep</t>
  </si>
  <si>
    <t>home_orient</t>
  </si>
  <si>
    <t>contrast_ret</t>
  </si>
  <si>
    <t>contrast_dep</t>
  </si>
  <si>
    <t xml:space="preserve">I had switched sides by the time already before she left , so she didn’t get switched and she started on 0.05. She finally leaves after about 8 minutes of struggling.
Was this the second flight? Flight was initially coded as 2?, but I removed in order to make r processing simpler. </t>
  </si>
  <si>
    <t>training_or_test</t>
  </si>
  <si>
    <t xml:space="preserve">analysis complete? </t>
  </si>
  <si>
    <t>no</t>
  </si>
  <si>
    <t>analysis complete?</t>
  </si>
  <si>
    <t>1.1.24</t>
  </si>
  <si>
    <t>2.1.24</t>
  </si>
  <si>
    <t>3.1.24</t>
  </si>
  <si>
    <t>4.1.24</t>
  </si>
  <si>
    <t>5.1.24</t>
  </si>
  <si>
    <t>1.2.24</t>
  </si>
  <si>
    <t>2.2.24</t>
  </si>
  <si>
    <t>3.2.24</t>
  </si>
  <si>
    <t>4.2.24</t>
  </si>
  <si>
    <t>5.2.24</t>
  </si>
  <si>
    <t>6.2.24</t>
  </si>
  <si>
    <t>7.2.24</t>
  </si>
  <si>
    <t>8.2.24</t>
  </si>
  <si>
    <t>9.2.24</t>
  </si>
  <si>
    <t>10.2.24</t>
  </si>
  <si>
    <t>11.2.24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</si>
</sst>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5" x14ac:knownFonts="1">
    <font>
      <sz val="12"/>
      <color theme="1"/>
      <name val="Calibri"/>
      <family val="2"/>
      <scheme val="minor"/>
    </font>
    <font>
      <sz val="8"/>
      <name val="Calibri"/>
      <family val="2"/>
      <scheme val="minor"/>
    </font>
    <font>
      <sz val="12"/>
      <color rgb="FFFF0000"/>
      <name val="Calibri"/>
      <family val="2"/>
      <scheme val="minor"/>
    </font>
    <font>
      <sz val="12"/>
      <color rgb="FF000000"/>
      <name val="Calibri"/>
      <family val="2"/>
      <scheme val="minor"/>
    </font>
    <font>
      <sz val="12"/>
      <color rgb="FF1111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36">
    <xf numFmtId="0" fontId="0" fillId="0" borderId="0" xfId="0"/>
    <xf numFmtId="0" fontId="0" fillId="0" borderId="0" xfId="0" applyAlignment="1">
      <alignment horizontal="left"/>
    </xf>
    <xf numFmtId="2" fontId="0" fillId="0" borderId="0" xfId="0" applyNumberFormat="1" applyAlignment="1">
      <alignment horizontal="left"/>
    </xf>
    <xf numFmtId="21" fontId="0" fillId="0" borderId="0" xfId="0" applyNumberFormat="1" applyAlignment="1">
      <alignment horizontal="left"/>
    </xf>
    <xf numFmtId="14" fontId="0" fillId="0" borderId="0" xfId="0" applyNumberFormat="1" applyAlignment="1">
      <alignment horizontal="left"/>
    </xf>
    <xf numFmtId="49" fontId="0" fillId="0" borderId="0" xfId="0" applyNumberFormat="1" applyAlignment="1">
      <alignment horizontal="left"/>
    </xf>
    <xf numFmtId="164" fontId="0" fillId="0" borderId="0" xfId="0" applyNumberFormat="1" applyAlignment="1">
      <alignment horizontal="left"/>
    </xf>
    <xf numFmtId="0" fontId="2" fillId="0" borderId="0" xfId="0" applyFont="1" applyAlignment="1">
      <alignment horizontal="left"/>
    </xf>
    <xf numFmtId="21" fontId="2" fillId="0" borderId="0" xfId="0" applyNumberFormat="1" applyFont="1" applyAlignment="1">
      <alignment horizontal="left"/>
    </xf>
    <xf numFmtId="14" fontId="2" fillId="0" borderId="0" xfId="0" applyNumberFormat="1" applyFont="1" applyAlignment="1">
      <alignment horizontal="left"/>
    </xf>
    <xf numFmtId="164" fontId="2" fillId="0" borderId="0" xfId="0" applyNumberFormat="1" applyFont="1" applyAlignment="1">
      <alignment horizontal="left"/>
    </xf>
    <xf numFmtId="49" fontId="2" fillId="0" borderId="0" xfId="0" applyNumberFormat="1" applyFont="1" applyAlignment="1">
      <alignment horizontal="left"/>
    </xf>
    <xf numFmtId="46" fontId="0" fillId="0" borderId="0" xfId="0" applyNumberFormat="1" applyAlignment="1">
      <alignment horizontal="left"/>
    </xf>
    <xf numFmtId="2" fontId="2" fillId="0" borderId="0" xfId="0" applyNumberFormat="1" applyFont="1" applyAlignment="1">
      <alignment horizontal="left"/>
    </xf>
    <xf numFmtId="21" fontId="4" fillId="0" borderId="0" xfId="0" applyNumberFormat="1" applyFont="1" applyAlignment="1">
      <alignment horizontal="left"/>
    </xf>
    <xf numFmtId="0" fontId="3" fillId="0" borderId="0" xfId="0" applyFont="1" applyAlignment="1">
      <alignment horizontal="left"/>
    </xf>
    <xf numFmtId="0" fontId="0" fillId="0" borderId="0" xfId="0" applyAlignment="1">
      <alignment horizontal="left" vertical="top"/>
    </xf>
    <xf numFmtId="0" fontId="3" fillId="0" borderId="0" xfId="0" applyFont="1"/>
    <xf numFmtId="14" fontId="0" fillId="0" borderId="0" xfId="0" applyNumberFormat="1"/>
    <xf numFmtId="0" fontId="0" fillId="2" borderId="0" xfId="0" applyFill="1"/>
    <xf numFmtId="0" fontId="2" fillId="0" borderId="0" xfId="0" quotePrefix="1" applyFont="1" applyAlignment="1">
      <alignment horizontal="left"/>
    </xf>
    <xf numFmtId="0" fontId="0" fillId="0" borderId="0" xfId="0" quotePrefix="1" applyAlignment="1">
      <alignment horizontal="left"/>
    </xf>
    <xf numFmtId="2" fontId="3" fillId="0" borderId="0" xfId="0" applyNumberFormat="1" applyFont="1" applyAlignment="1">
      <alignment horizontal="left"/>
    </xf>
    <xf numFmtId="14" fontId="3" fillId="0" borderId="0" xfId="0" applyNumberFormat="1" applyFont="1" applyAlignment="1">
      <alignment horizontal="left"/>
    </xf>
    <xf numFmtId="0" fontId="0" fillId="0" borderId="0" xfId="0" applyAlignment="1">
      <alignment horizontal="left" wrapText="1"/>
    </xf>
    <xf numFmtId="21" fontId="3" fillId="0" borderId="0" xfId="0" applyNumberFormat="1" applyFont="1" applyAlignment="1">
      <alignment horizontal="left"/>
    </xf>
    <xf numFmtId="14" fontId="0" fillId="3" borderId="0" xfId="0" applyNumberFormat="1" applyFill="1" applyAlignment="1">
      <alignment horizontal="left"/>
    </xf>
    <xf numFmtId="0" fontId="0" fillId="2" borderId="0" xfId="0" applyFill="1" applyAlignment="1">
      <alignment horizontal="left"/>
    </xf>
    <xf numFmtId="21" fontId="0" fillId="0" borderId="0" xfId="0" applyNumberFormat="1"/>
    <xf numFmtId="14" fontId="0" fillId="2" borderId="0" xfId="0" applyNumberFormat="1" applyFill="1" applyAlignment="1">
      <alignment horizontal="left"/>
    </xf>
    <xf numFmtId="0" fontId="0" fillId="0" borderId="0" xfId="0" applyAlignment="1">
      <alignment horizontal="left" shrinkToFit="1"/>
    </xf>
    <xf numFmtId="0" fontId="0" fillId="0" borderId="0" xfId="0" applyAlignment="1">
      <alignment shrinkToFit="1"/>
    </xf>
    <xf numFmtId="21" fontId="0" fillId="2" borderId="0" xfId="0" applyNumberFormat="1" applyFill="1" applyAlignment="1">
      <alignment horizontal="left"/>
    </xf>
    <xf numFmtId="0" fontId="0" fillId="3" borderId="0" xfId="0" applyFill="1" applyAlignment="1">
      <alignment horizontal="left"/>
    </xf>
    <xf numFmtId="21" fontId="0" fillId="3" borderId="0" xfId="0" applyNumberFormat="1" applyFill="1" applyAlignment="1">
      <alignment horizontal="left"/>
    </xf>
    <xf numFmtId="0" fontId="0" fillId="0" borderId="0" xfId="0" applyFill="1" applyAlignment="1">
      <alignment horizontal="left"/>
    </xf>
  </cellXfs>
  <cellStyles count="1">
    <cellStyle name="Normal" xfId="0" builtinId="0"/>
  </cellStyles>
  <dxfs count="0"/>
  <tableStyles count="0" defaultTableStyle="TableStyleMedium2" defaultPivotStyle="PivotStyleLight16"/>
  <colors>
    <mruColors>
      <color rgb="FFFBFF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revisionHeaders" Target="revisions/revisionHeader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usernames" Target="revisions/userNames.xml"/></Relationships>
</file>

<file path=xl/revisions/_rels/revisionHeaders.xml.rels><?xml version="1.0" encoding="UTF-8" standalone="yes"?>
<Relationships xmlns="http://schemas.openxmlformats.org/package/2006/relationships"><Relationship Id="rId26" Type="http://schemas.openxmlformats.org/officeDocument/2006/relationships/revisionLog" Target="revisionLog26.xml"/><Relationship Id="rId21" Type="http://schemas.openxmlformats.org/officeDocument/2006/relationships/revisionLog" Target="revisionLog21.xml"/><Relationship Id="rId42" Type="http://schemas.openxmlformats.org/officeDocument/2006/relationships/revisionLog" Target="revisionLog42.xml"/><Relationship Id="rId47" Type="http://schemas.openxmlformats.org/officeDocument/2006/relationships/revisionLog" Target="revisionLog47.xml"/><Relationship Id="rId63" Type="http://schemas.openxmlformats.org/officeDocument/2006/relationships/revisionLog" Target="revisionLog1.xml"/><Relationship Id="rId68" Type="http://schemas.openxmlformats.org/officeDocument/2006/relationships/revisionLog" Target="revisionLog65.xml"/><Relationship Id="rId84" Type="http://schemas.openxmlformats.org/officeDocument/2006/relationships/revisionLog" Target="revisionLog81.xml"/><Relationship Id="rId89" Type="http://schemas.openxmlformats.org/officeDocument/2006/relationships/revisionLog" Target="revisionLog86.xml"/><Relationship Id="rId16" Type="http://schemas.openxmlformats.org/officeDocument/2006/relationships/revisionLog" Target="revisionLog16.xml"/><Relationship Id="rId107" Type="http://schemas.openxmlformats.org/officeDocument/2006/relationships/revisionLog" Target="revisionLog104.xml"/><Relationship Id="rId11" Type="http://schemas.openxmlformats.org/officeDocument/2006/relationships/revisionLog" Target="revisionLog11.xml"/><Relationship Id="rId32" Type="http://schemas.openxmlformats.org/officeDocument/2006/relationships/revisionLog" Target="revisionLog32.xml"/><Relationship Id="rId37" Type="http://schemas.openxmlformats.org/officeDocument/2006/relationships/revisionLog" Target="revisionLog37.xml"/><Relationship Id="rId53" Type="http://schemas.openxmlformats.org/officeDocument/2006/relationships/revisionLog" Target="revisionLog53.xml"/><Relationship Id="rId58" Type="http://schemas.openxmlformats.org/officeDocument/2006/relationships/revisionLog" Target="revisionLog58.xml"/><Relationship Id="rId74" Type="http://schemas.openxmlformats.org/officeDocument/2006/relationships/revisionLog" Target="revisionLog71.xml"/><Relationship Id="rId79" Type="http://schemas.openxmlformats.org/officeDocument/2006/relationships/revisionLog" Target="revisionLog76.xml"/><Relationship Id="rId102" Type="http://schemas.openxmlformats.org/officeDocument/2006/relationships/revisionLog" Target="revisionLog99.xml"/><Relationship Id="rId5" Type="http://schemas.openxmlformats.org/officeDocument/2006/relationships/revisionLog" Target="revisionLog5.xml"/><Relationship Id="rId90" Type="http://schemas.openxmlformats.org/officeDocument/2006/relationships/revisionLog" Target="revisionLog87.xml"/><Relationship Id="rId95" Type="http://schemas.openxmlformats.org/officeDocument/2006/relationships/revisionLog" Target="revisionLog92.xml"/><Relationship Id="rId22" Type="http://schemas.openxmlformats.org/officeDocument/2006/relationships/revisionLog" Target="revisionLog22.xml"/><Relationship Id="rId27" Type="http://schemas.openxmlformats.org/officeDocument/2006/relationships/revisionLog" Target="revisionLog27.xml"/><Relationship Id="rId43" Type="http://schemas.openxmlformats.org/officeDocument/2006/relationships/revisionLog" Target="revisionLog43.xml"/><Relationship Id="rId48" Type="http://schemas.openxmlformats.org/officeDocument/2006/relationships/revisionLog" Target="revisionLog48.xml"/><Relationship Id="rId64" Type="http://schemas.openxmlformats.org/officeDocument/2006/relationships/revisionLog" Target="revisionLog2.xml"/><Relationship Id="rId69" Type="http://schemas.openxmlformats.org/officeDocument/2006/relationships/revisionLog" Target="revisionLog66.xml"/><Relationship Id="rId80" Type="http://schemas.openxmlformats.org/officeDocument/2006/relationships/revisionLog" Target="revisionLog77.xml"/><Relationship Id="rId85" Type="http://schemas.openxmlformats.org/officeDocument/2006/relationships/revisionLog" Target="revisionLog82.xml"/><Relationship Id="rId12" Type="http://schemas.openxmlformats.org/officeDocument/2006/relationships/revisionLog" Target="revisionLog12.xml"/><Relationship Id="rId17" Type="http://schemas.openxmlformats.org/officeDocument/2006/relationships/revisionLog" Target="revisionLog17.xml"/><Relationship Id="rId25" Type="http://schemas.openxmlformats.org/officeDocument/2006/relationships/revisionLog" Target="revisionLog25.xml"/><Relationship Id="rId33" Type="http://schemas.openxmlformats.org/officeDocument/2006/relationships/revisionLog" Target="revisionLog33.xml"/><Relationship Id="rId38" Type="http://schemas.openxmlformats.org/officeDocument/2006/relationships/revisionLog" Target="revisionLog38.xml"/><Relationship Id="rId46" Type="http://schemas.openxmlformats.org/officeDocument/2006/relationships/revisionLog" Target="revisionLog46.xml"/><Relationship Id="rId59" Type="http://schemas.openxmlformats.org/officeDocument/2006/relationships/revisionLog" Target="revisionLog59.xml"/><Relationship Id="rId67" Type="http://schemas.openxmlformats.org/officeDocument/2006/relationships/revisionLog" Target="revisionLog64.xml"/><Relationship Id="rId103" Type="http://schemas.openxmlformats.org/officeDocument/2006/relationships/revisionLog" Target="revisionLog100.xml"/><Relationship Id="rId20" Type="http://schemas.openxmlformats.org/officeDocument/2006/relationships/revisionLog" Target="revisionLog20.xml"/><Relationship Id="rId41" Type="http://schemas.openxmlformats.org/officeDocument/2006/relationships/revisionLog" Target="revisionLog41.xml"/><Relationship Id="rId54" Type="http://schemas.openxmlformats.org/officeDocument/2006/relationships/revisionLog" Target="revisionLog54.xml"/><Relationship Id="rId62" Type="http://schemas.openxmlformats.org/officeDocument/2006/relationships/revisionLog" Target="revisionLog62.xml"/><Relationship Id="rId70" Type="http://schemas.openxmlformats.org/officeDocument/2006/relationships/revisionLog" Target="revisionLog67.xml"/><Relationship Id="rId75" Type="http://schemas.openxmlformats.org/officeDocument/2006/relationships/revisionLog" Target="revisionLog72.xml"/><Relationship Id="rId83" Type="http://schemas.openxmlformats.org/officeDocument/2006/relationships/revisionLog" Target="revisionLog80.xml"/><Relationship Id="rId88" Type="http://schemas.openxmlformats.org/officeDocument/2006/relationships/revisionLog" Target="revisionLog85.xml"/><Relationship Id="rId91" Type="http://schemas.openxmlformats.org/officeDocument/2006/relationships/revisionLog" Target="revisionLog88.xml"/><Relationship Id="rId96" Type="http://schemas.openxmlformats.org/officeDocument/2006/relationships/revisionLog" Target="revisionLog93.xml"/><Relationship Id="rId6" Type="http://schemas.openxmlformats.org/officeDocument/2006/relationships/revisionLog" Target="revisionLog6.xml"/><Relationship Id="rId15" Type="http://schemas.openxmlformats.org/officeDocument/2006/relationships/revisionLog" Target="revisionLog15.xml"/><Relationship Id="rId23" Type="http://schemas.openxmlformats.org/officeDocument/2006/relationships/revisionLog" Target="revisionLog23.xml"/><Relationship Id="rId28" Type="http://schemas.openxmlformats.org/officeDocument/2006/relationships/revisionLog" Target="revisionLog28.xml"/><Relationship Id="rId36" Type="http://schemas.openxmlformats.org/officeDocument/2006/relationships/revisionLog" Target="revisionLog36.xml"/><Relationship Id="rId49" Type="http://schemas.openxmlformats.org/officeDocument/2006/relationships/revisionLog" Target="revisionLog49.xml"/><Relationship Id="rId57" Type="http://schemas.openxmlformats.org/officeDocument/2006/relationships/revisionLog" Target="revisionLog57.xml"/><Relationship Id="rId106" Type="http://schemas.openxmlformats.org/officeDocument/2006/relationships/revisionLog" Target="revisionLog103.xml"/><Relationship Id="rId10" Type="http://schemas.openxmlformats.org/officeDocument/2006/relationships/revisionLog" Target="revisionLog10.xml"/><Relationship Id="rId31" Type="http://schemas.openxmlformats.org/officeDocument/2006/relationships/revisionLog" Target="revisionLog31.xml"/><Relationship Id="rId44" Type="http://schemas.openxmlformats.org/officeDocument/2006/relationships/revisionLog" Target="revisionLog44.xml"/><Relationship Id="rId52" Type="http://schemas.openxmlformats.org/officeDocument/2006/relationships/revisionLog" Target="revisionLog52.xml"/><Relationship Id="rId60" Type="http://schemas.openxmlformats.org/officeDocument/2006/relationships/revisionLog" Target="revisionLog60.xml"/><Relationship Id="rId65" Type="http://schemas.openxmlformats.org/officeDocument/2006/relationships/revisionLog" Target="revisionLog3.xml"/><Relationship Id="rId73" Type="http://schemas.openxmlformats.org/officeDocument/2006/relationships/revisionLog" Target="revisionLog70.xml"/><Relationship Id="rId78" Type="http://schemas.openxmlformats.org/officeDocument/2006/relationships/revisionLog" Target="revisionLog75.xml"/><Relationship Id="rId81" Type="http://schemas.openxmlformats.org/officeDocument/2006/relationships/revisionLog" Target="revisionLog78.xml"/><Relationship Id="rId86" Type="http://schemas.openxmlformats.org/officeDocument/2006/relationships/revisionLog" Target="revisionLog83.xml"/><Relationship Id="rId94" Type="http://schemas.openxmlformats.org/officeDocument/2006/relationships/revisionLog" Target="revisionLog91.xml"/><Relationship Id="rId99" Type="http://schemas.openxmlformats.org/officeDocument/2006/relationships/revisionLog" Target="revisionLog96.xml"/><Relationship Id="rId101" Type="http://schemas.openxmlformats.org/officeDocument/2006/relationships/revisionLog" Target="revisionLog98.xml"/><Relationship Id="rId4" Type="http://schemas.openxmlformats.org/officeDocument/2006/relationships/revisionLog" Target="revisionLog4.xml"/><Relationship Id="rId9" Type="http://schemas.openxmlformats.org/officeDocument/2006/relationships/revisionLog" Target="revisionLog9.xml"/><Relationship Id="rId13" Type="http://schemas.openxmlformats.org/officeDocument/2006/relationships/revisionLog" Target="revisionLog13.xml"/><Relationship Id="rId18" Type="http://schemas.openxmlformats.org/officeDocument/2006/relationships/revisionLog" Target="revisionLog18.xml"/><Relationship Id="rId39" Type="http://schemas.openxmlformats.org/officeDocument/2006/relationships/revisionLog" Target="revisionLog39.xml"/><Relationship Id="rId34" Type="http://schemas.openxmlformats.org/officeDocument/2006/relationships/revisionLog" Target="revisionLog34.xml"/><Relationship Id="rId50" Type="http://schemas.openxmlformats.org/officeDocument/2006/relationships/revisionLog" Target="revisionLog50.xml"/><Relationship Id="rId55" Type="http://schemas.openxmlformats.org/officeDocument/2006/relationships/revisionLog" Target="revisionLog55.xml"/><Relationship Id="rId76" Type="http://schemas.openxmlformats.org/officeDocument/2006/relationships/revisionLog" Target="revisionLog73.xml"/><Relationship Id="rId97" Type="http://schemas.openxmlformats.org/officeDocument/2006/relationships/revisionLog" Target="revisionLog94.xml"/><Relationship Id="rId104" Type="http://schemas.openxmlformats.org/officeDocument/2006/relationships/revisionLog" Target="revisionLog101.xml"/><Relationship Id="rId7" Type="http://schemas.openxmlformats.org/officeDocument/2006/relationships/revisionLog" Target="revisionLog7.xml"/><Relationship Id="rId71" Type="http://schemas.openxmlformats.org/officeDocument/2006/relationships/revisionLog" Target="revisionLog68.xml"/><Relationship Id="rId92" Type="http://schemas.openxmlformats.org/officeDocument/2006/relationships/revisionLog" Target="revisionLog89.xml"/><Relationship Id="rId29" Type="http://schemas.openxmlformats.org/officeDocument/2006/relationships/revisionLog" Target="revisionLog29.xml"/><Relationship Id="rId24" Type="http://schemas.openxmlformats.org/officeDocument/2006/relationships/revisionLog" Target="revisionLog24.xml"/><Relationship Id="rId40" Type="http://schemas.openxmlformats.org/officeDocument/2006/relationships/revisionLog" Target="revisionLog40.xml"/><Relationship Id="rId45" Type="http://schemas.openxmlformats.org/officeDocument/2006/relationships/revisionLog" Target="revisionLog45.xml"/><Relationship Id="rId66" Type="http://schemas.openxmlformats.org/officeDocument/2006/relationships/revisionLog" Target="revisionLog63.xml"/><Relationship Id="rId87" Type="http://schemas.openxmlformats.org/officeDocument/2006/relationships/revisionLog" Target="revisionLog84.xml"/><Relationship Id="rId61" Type="http://schemas.openxmlformats.org/officeDocument/2006/relationships/revisionLog" Target="revisionLog61.xml"/><Relationship Id="rId82" Type="http://schemas.openxmlformats.org/officeDocument/2006/relationships/revisionLog" Target="revisionLog79.xml"/><Relationship Id="rId19" Type="http://schemas.openxmlformats.org/officeDocument/2006/relationships/revisionLog" Target="revisionLog19.xml"/><Relationship Id="rId14" Type="http://schemas.openxmlformats.org/officeDocument/2006/relationships/revisionLog" Target="revisionLog14.xml"/><Relationship Id="rId30" Type="http://schemas.openxmlformats.org/officeDocument/2006/relationships/revisionLog" Target="revisionLog30.xml"/><Relationship Id="rId35" Type="http://schemas.openxmlformats.org/officeDocument/2006/relationships/revisionLog" Target="revisionLog35.xml"/><Relationship Id="rId56" Type="http://schemas.openxmlformats.org/officeDocument/2006/relationships/revisionLog" Target="revisionLog56.xml"/><Relationship Id="rId77" Type="http://schemas.openxmlformats.org/officeDocument/2006/relationships/revisionLog" Target="revisionLog74.xml"/><Relationship Id="rId100" Type="http://schemas.openxmlformats.org/officeDocument/2006/relationships/revisionLog" Target="revisionLog97.xml"/><Relationship Id="rId105" Type="http://schemas.openxmlformats.org/officeDocument/2006/relationships/revisionLog" Target="revisionLog102.xml"/><Relationship Id="rId8" Type="http://schemas.openxmlformats.org/officeDocument/2006/relationships/revisionLog" Target="revisionLog8.xml"/><Relationship Id="rId51" Type="http://schemas.openxmlformats.org/officeDocument/2006/relationships/revisionLog" Target="revisionLog51.xml"/><Relationship Id="rId72" Type="http://schemas.openxmlformats.org/officeDocument/2006/relationships/revisionLog" Target="revisionLog69.xml"/><Relationship Id="rId93" Type="http://schemas.openxmlformats.org/officeDocument/2006/relationships/revisionLog" Target="revisionLog90.xml"/><Relationship Id="rId98" Type="http://schemas.openxmlformats.org/officeDocument/2006/relationships/revisionLog" Target="revisionLog95.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BDD3C7D9-DAFD-FC40-B458-980F807E664F}" diskRevisions="1" revisionId="11931" version="107">
  <header guid="{CA1DC199-90D0-B44B-A584-B7049611C0AB}" dateTime="2024-10-06T21:56:15" maxSheetId="9" userName="Andre Scheepers" r:id="rId4" minRId="54" maxRId="82">
    <sheetIdMap count="8">
      <sheetId val="1"/>
      <sheetId val="2"/>
      <sheetId val="3"/>
      <sheetId val="4"/>
      <sheetId val="5"/>
      <sheetId val="6"/>
      <sheetId val="7"/>
      <sheetId val="8"/>
    </sheetIdMap>
  </header>
  <header guid="{99D9DD07-712B-8742-89CD-1D9151A47FA7}" dateTime="2025-03-14T14:16:39" maxSheetId="9" userName="Andre Scheepers" r:id="rId5" minRId="83" maxRId="84">
    <sheetIdMap count="8">
      <sheetId val="1"/>
      <sheetId val="2"/>
      <sheetId val="3"/>
      <sheetId val="4"/>
      <sheetId val="5"/>
      <sheetId val="6"/>
      <sheetId val="7"/>
      <sheetId val="8"/>
    </sheetIdMap>
  </header>
  <header guid="{39621D2D-CD13-4B43-B179-6F3F4790881F}" dateTime="2025-04-01T09:28:14" maxSheetId="9" userName="Andre Scheepers" r:id="rId6" minRId="85" maxRId="86">
    <sheetIdMap count="8">
      <sheetId val="1"/>
      <sheetId val="2"/>
      <sheetId val="3"/>
      <sheetId val="4"/>
      <sheetId val="5"/>
      <sheetId val="6"/>
      <sheetId val="7"/>
      <sheetId val="8"/>
    </sheetIdMap>
  </header>
  <header guid="{9AA92E24-C9BD-734B-A564-9966E12B2431}" dateTime="2025-05-05T14:18:46" maxSheetId="9" userName="Andre Scheepers" r:id="rId7" minRId="87" maxRId="1330">
    <sheetIdMap count="8">
      <sheetId val="1"/>
      <sheetId val="2"/>
      <sheetId val="4"/>
      <sheetId val="5"/>
      <sheetId val="6"/>
      <sheetId val="7"/>
      <sheetId val="8"/>
      <sheetId val="3"/>
    </sheetIdMap>
  </header>
  <header guid="{4CC9DF0B-96F7-EF4B-B949-46EED8BDE8AF}" dateTime="2025-07-07T14:58:26" maxSheetId="9" userName="Andre Scheepers" r:id="rId8">
    <sheetIdMap count="8">
      <sheetId val="1"/>
      <sheetId val="2"/>
      <sheetId val="4"/>
      <sheetId val="5"/>
      <sheetId val="6"/>
      <sheetId val="7"/>
      <sheetId val="8"/>
      <sheetId val="3"/>
    </sheetIdMap>
  </header>
  <header guid="{0D18E071-0B29-D544-95A3-295C7A7411A8}" dateTime="2026-09-26T17:36:09" maxSheetId="9" userName="Andre Scheepers" r:id="rId9" minRId="1331">
    <sheetIdMap count="8">
      <sheetId val="1"/>
      <sheetId val="2"/>
      <sheetId val="4"/>
      <sheetId val="5"/>
      <sheetId val="6"/>
      <sheetId val="7"/>
      <sheetId val="8"/>
      <sheetId val="3"/>
    </sheetIdMap>
  </header>
  <header guid="{E8369E63-AAE5-A34A-973A-966041A896DB}" dateTime="2026-09-28T13:35:59" maxSheetId="9" userName="Andre Scheepers" r:id="rId10" minRId="1332" maxRId="1850">
    <sheetIdMap count="8">
      <sheetId val="1"/>
      <sheetId val="2"/>
      <sheetId val="4"/>
      <sheetId val="5"/>
      <sheetId val="6"/>
      <sheetId val="7"/>
      <sheetId val="8"/>
      <sheetId val="3"/>
    </sheetIdMap>
  </header>
  <header guid="{9F18CD0E-4A65-734F-9045-FD0F764C3870}" dateTime="2026-09-28T13:43:41" maxSheetId="9" userName="Andre Scheepers" r:id="rId11" minRId="1851" maxRId="1952">
    <sheetIdMap count="8">
      <sheetId val="1"/>
      <sheetId val="2"/>
      <sheetId val="4"/>
      <sheetId val="5"/>
      <sheetId val="6"/>
      <sheetId val="7"/>
      <sheetId val="8"/>
      <sheetId val="3"/>
    </sheetIdMap>
  </header>
  <header guid="{B3BDDCB3-D6FF-D149-A655-177E607C3CFC}" dateTime="2026-09-28T13:48:15" maxSheetId="9" userName="Andre Scheepers" r:id="rId12" minRId="1953" maxRId="2092">
    <sheetIdMap count="8">
      <sheetId val="1"/>
      <sheetId val="2"/>
      <sheetId val="4"/>
      <sheetId val="5"/>
      <sheetId val="6"/>
      <sheetId val="7"/>
      <sheetId val="8"/>
      <sheetId val="3"/>
    </sheetIdMap>
  </header>
  <header guid="{733DE833-7552-564C-8A4B-71F254E4B35D}" dateTime="2026-09-28T14:22:23" maxSheetId="9" userName="Andre Scheepers" r:id="rId13" minRId="2093" maxRId="2432">
    <sheetIdMap count="8">
      <sheetId val="1"/>
      <sheetId val="2"/>
      <sheetId val="4"/>
      <sheetId val="5"/>
      <sheetId val="6"/>
      <sheetId val="7"/>
      <sheetId val="8"/>
      <sheetId val="3"/>
    </sheetIdMap>
  </header>
  <header guid="{8A833C4B-7400-BD4C-AE4A-B11D145375AA}" dateTime="2026-09-28T14:22:35" maxSheetId="9" userName="Andre Scheepers" r:id="rId14" minRId="2433">
    <sheetIdMap count="8">
      <sheetId val="1"/>
      <sheetId val="2"/>
      <sheetId val="4"/>
      <sheetId val="5"/>
      <sheetId val="6"/>
      <sheetId val="7"/>
      <sheetId val="8"/>
      <sheetId val="3"/>
    </sheetIdMap>
  </header>
  <header guid="{417BF796-5AE3-FC48-8CEA-1B558DF2C531}" dateTime="2026-09-28T14:22:59" maxSheetId="9" userName="Andre Scheepers" r:id="rId15" minRId="2434" maxRId="2635">
    <sheetIdMap count="8">
      <sheetId val="1"/>
      <sheetId val="2"/>
      <sheetId val="4"/>
      <sheetId val="5"/>
      <sheetId val="6"/>
      <sheetId val="7"/>
      <sheetId val="8"/>
      <sheetId val="3"/>
    </sheetIdMap>
  </header>
  <header guid="{19DA5A11-08A3-0246-8852-C78AF0925209}" dateTime="2026-09-28T14:23:13" maxSheetId="9" userName="Andre Scheepers" r:id="rId16" minRId="2636" maxRId="2637">
    <sheetIdMap count="8">
      <sheetId val="1"/>
      <sheetId val="2"/>
      <sheetId val="4"/>
      <sheetId val="5"/>
      <sheetId val="6"/>
      <sheetId val="7"/>
      <sheetId val="8"/>
      <sheetId val="3"/>
    </sheetIdMap>
  </header>
  <header guid="{99940802-D612-2942-8A65-C3AA46566E35}" dateTime="2026-09-28T14:27:28" maxSheetId="9" userName="Andre Scheepers" r:id="rId17" minRId="2638" maxRId="2771">
    <sheetIdMap count="8">
      <sheetId val="1"/>
      <sheetId val="2"/>
      <sheetId val="4"/>
      <sheetId val="5"/>
      <sheetId val="6"/>
      <sheetId val="7"/>
      <sheetId val="8"/>
      <sheetId val="3"/>
    </sheetIdMap>
  </header>
  <header guid="{6ADDBE8B-5C2B-DC47-ABDA-EB28D14A32F8}" dateTime="2026-09-28T14:27:56" maxSheetId="9" userName="Andre Scheepers" r:id="rId18" minRId="2772" maxRId="3178">
    <sheetIdMap count="8">
      <sheetId val="1"/>
      <sheetId val="2"/>
      <sheetId val="4"/>
      <sheetId val="5"/>
      <sheetId val="6"/>
      <sheetId val="7"/>
      <sheetId val="8"/>
      <sheetId val="3"/>
    </sheetIdMap>
  </header>
  <header guid="{56FAC279-B8A4-ED4F-A2D1-E1DB6B6D1431}" dateTime="2026-09-28T14:29:16" maxSheetId="9" userName="Andre Scheepers" r:id="rId19" minRId="3179" maxRId="3381">
    <sheetIdMap count="8">
      <sheetId val="1"/>
      <sheetId val="2"/>
      <sheetId val="4"/>
      <sheetId val="5"/>
      <sheetId val="6"/>
      <sheetId val="7"/>
      <sheetId val="8"/>
      <sheetId val="3"/>
    </sheetIdMap>
  </header>
  <header guid="{F6C0EB98-35BD-FA46-96A8-D1014FCAE087}" dateTime="2026-09-28T14:29:23" maxSheetId="9" userName="Andre Scheepers" r:id="rId20" minRId="3382">
    <sheetIdMap count="8">
      <sheetId val="1"/>
      <sheetId val="2"/>
      <sheetId val="4"/>
      <sheetId val="5"/>
      <sheetId val="6"/>
      <sheetId val="7"/>
      <sheetId val="8"/>
      <sheetId val="3"/>
    </sheetIdMap>
  </header>
  <header guid="{8F840B2E-9034-474C-AED4-EA603C8E171A}" dateTime="2026-09-28T14:34:47" maxSheetId="9" userName="Andre Scheepers" r:id="rId21" minRId="3383">
    <sheetIdMap count="8">
      <sheetId val="1"/>
      <sheetId val="2"/>
      <sheetId val="4"/>
      <sheetId val="5"/>
      <sheetId val="6"/>
      <sheetId val="7"/>
      <sheetId val="8"/>
      <sheetId val="3"/>
    </sheetIdMap>
  </header>
  <header guid="{968A580D-6000-194F-80E4-DDA8405FE2CE}" dateTime="2026-09-28T14:37:16" maxSheetId="9" userName="Andre Scheepers" r:id="rId22" minRId="3384" maxRId="3388">
    <sheetIdMap count="8">
      <sheetId val="1"/>
      <sheetId val="2"/>
      <sheetId val="4"/>
      <sheetId val="5"/>
      <sheetId val="6"/>
      <sheetId val="7"/>
      <sheetId val="8"/>
      <sheetId val="3"/>
    </sheetIdMap>
  </header>
  <header guid="{8339A0B5-D1DE-2B43-9D5B-795482C0AE2E}" dateTime="2026-09-28T14:41:21" maxSheetId="9" userName="Andre Scheepers" r:id="rId23" minRId="3389" maxRId="4095">
    <sheetIdMap count="8">
      <sheetId val="1"/>
      <sheetId val="2"/>
      <sheetId val="4"/>
      <sheetId val="5"/>
      <sheetId val="6"/>
      <sheetId val="7"/>
      <sheetId val="8"/>
      <sheetId val="3"/>
    </sheetIdMap>
  </header>
  <header guid="{41142227-5D4A-5541-8404-7C07F1F353AC}" dateTime="2026-09-28T14:41:24" maxSheetId="9" userName="Andre Scheepers" r:id="rId24" minRId="4096">
    <sheetIdMap count="8">
      <sheetId val="1"/>
      <sheetId val="2"/>
      <sheetId val="4"/>
      <sheetId val="5"/>
      <sheetId val="6"/>
      <sheetId val="7"/>
      <sheetId val="8"/>
      <sheetId val="3"/>
    </sheetIdMap>
  </header>
  <header guid="{D8EA2DDB-0F31-6C4D-9DDC-C66E9CFD55CB}" dateTime="2026-09-28T14:44:06" maxSheetId="9" userName="Andre Scheepers" r:id="rId25" minRId="4097" maxRId="4280">
    <sheetIdMap count="8">
      <sheetId val="1"/>
      <sheetId val="2"/>
      <sheetId val="4"/>
      <sheetId val="5"/>
      <sheetId val="6"/>
      <sheetId val="7"/>
      <sheetId val="8"/>
      <sheetId val="3"/>
    </sheetIdMap>
  </header>
  <header guid="{0476FDFD-AB74-E649-B50F-619DFB78C449}" dateTime="2026-09-28T14:44:24" maxSheetId="9" userName="Andre Scheepers" r:id="rId26" minRId="4281" maxRId="4282">
    <sheetIdMap count="8">
      <sheetId val="1"/>
      <sheetId val="2"/>
      <sheetId val="4"/>
      <sheetId val="5"/>
      <sheetId val="6"/>
      <sheetId val="7"/>
      <sheetId val="8"/>
      <sheetId val="3"/>
    </sheetIdMap>
  </header>
  <header guid="{305D257D-91F2-0040-864D-3334BD48C1A9}" dateTime="2026-09-28T14:46:06" maxSheetId="9" userName="Andre Scheepers" r:id="rId27" minRId="4283" maxRId="4294">
    <sheetIdMap count="8">
      <sheetId val="1"/>
      <sheetId val="2"/>
      <sheetId val="4"/>
      <sheetId val="5"/>
      <sheetId val="6"/>
      <sheetId val="7"/>
      <sheetId val="8"/>
      <sheetId val="3"/>
    </sheetIdMap>
  </header>
  <header guid="{19F4F1E5-A444-E041-857F-B62BEA09DCD4}" dateTime="2026-09-28T15:00:29" maxSheetId="9" userName="Andre Scheepers" r:id="rId28" minRId="4295" maxRId="4298">
    <sheetIdMap count="8">
      <sheetId val="1"/>
      <sheetId val="2"/>
      <sheetId val="4"/>
      <sheetId val="5"/>
      <sheetId val="6"/>
      <sheetId val="7"/>
      <sheetId val="8"/>
      <sheetId val="3"/>
    </sheetIdMap>
  </header>
  <header guid="{552DB072-98BD-1546-A61F-B0AF8D1AB825}" dateTime="2026-09-28T15:11:32" maxSheetId="9" userName="Andre Scheepers" r:id="rId29" minRId="4299" maxRId="4320">
    <sheetIdMap count="8">
      <sheetId val="1"/>
      <sheetId val="2"/>
      <sheetId val="4"/>
      <sheetId val="5"/>
      <sheetId val="6"/>
      <sheetId val="7"/>
      <sheetId val="8"/>
      <sheetId val="3"/>
    </sheetIdMap>
  </header>
  <header guid="{EDAA31BA-DC36-D540-8595-6667767C6778}" dateTime="2026-09-28T15:11:38" maxSheetId="9" userName="Andre Scheepers" r:id="rId30" minRId="4321">
    <sheetIdMap count="8">
      <sheetId val="1"/>
      <sheetId val="2"/>
      <sheetId val="4"/>
      <sheetId val="5"/>
      <sheetId val="6"/>
      <sheetId val="7"/>
      <sheetId val="8"/>
      <sheetId val="3"/>
    </sheetIdMap>
  </header>
  <header guid="{73250149-4581-AA44-8B6C-04CFE7030063}" dateTime="2026-09-28T15:14:02" maxSheetId="9" userName="Andre Scheepers" r:id="rId31" minRId="4322" maxRId="4328">
    <sheetIdMap count="8">
      <sheetId val="1"/>
      <sheetId val="2"/>
      <sheetId val="4"/>
      <sheetId val="5"/>
      <sheetId val="6"/>
      <sheetId val="7"/>
      <sheetId val="8"/>
      <sheetId val="3"/>
    </sheetIdMap>
  </header>
  <header guid="{70203CD7-07CC-5A4C-851B-139E33567CA8}" dateTime="2026-09-28T15:15:31" maxSheetId="9" userName="Andre Scheepers" r:id="rId32" minRId="4329" maxRId="4347">
    <sheetIdMap count="8">
      <sheetId val="1"/>
      <sheetId val="2"/>
      <sheetId val="4"/>
      <sheetId val="5"/>
      <sheetId val="6"/>
      <sheetId val="7"/>
      <sheetId val="8"/>
      <sheetId val="3"/>
    </sheetIdMap>
  </header>
  <header guid="{623EF2B2-A038-AC4D-B917-272AC9B65C3E}" dateTime="2026-09-28T15:16:40" maxSheetId="9" userName="Andre Scheepers" r:id="rId33" minRId="4348" maxRId="4357">
    <sheetIdMap count="8">
      <sheetId val="1"/>
      <sheetId val="2"/>
      <sheetId val="4"/>
      <sheetId val="5"/>
      <sheetId val="6"/>
      <sheetId val="7"/>
      <sheetId val="8"/>
      <sheetId val="3"/>
    </sheetIdMap>
  </header>
  <header guid="{B09CEF93-8FBF-B34C-9623-6FC490B4AFF3}" dateTime="2026-09-28T15:16:53" maxSheetId="9" userName="Andre Scheepers" r:id="rId34" minRId="4358">
    <sheetIdMap count="8">
      <sheetId val="1"/>
      <sheetId val="2"/>
      <sheetId val="4"/>
      <sheetId val="5"/>
      <sheetId val="6"/>
      <sheetId val="7"/>
      <sheetId val="8"/>
      <sheetId val="3"/>
    </sheetIdMap>
  </header>
  <header guid="{56053D20-C7E9-0345-9880-325D71E1F39C}" dateTime="2026-09-28T15:19:45" maxSheetId="9" userName="Andre Scheepers" r:id="rId35" minRId="4359" maxRId="4766">
    <sheetIdMap count="8">
      <sheetId val="1"/>
      <sheetId val="2"/>
      <sheetId val="4"/>
      <sheetId val="5"/>
      <sheetId val="6"/>
      <sheetId val="7"/>
      <sheetId val="8"/>
      <sheetId val="3"/>
    </sheetIdMap>
  </header>
  <header guid="{41D76D17-DB45-7043-8EDD-EF02F697ED89}" dateTime="2026-09-28T16:56:45" maxSheetId="9" userName="Andre Scheepers" r:id="rId36" minRId="4767" maxRId="5352">
    <sheetIdMap count="8">
      <sheetId val="1"/>
      <sheetId val="2"/>
      <sheetId val="4"/>
      <sheetId val="5"/>
      <sheetId val="6"/>
      <sheetId val="7"/>
      <sheetId val="8"/>
      <sheetId val="3"/>
    </sheetIdMap>
  </header>
  <header guid="{B6DBE197-2A5C-4E4E-A820-C4C5DC0D3852}" dateTime="2026-09-28T16:57:37" maxSheetId="9" userName="Andre Scheepers" r:id="rId37" minRId="5353" maxRId="5356">
    <sheetIdMap count="8">
      <sheetId val="1"/>
      <sheetId val="2"/>
      <sheetId val="4"/>
      <sheetId val="5"/>
      <sheetId val="6"/>
      <sheetId val="7"/>
      <sheetId val="8"/>
      <sheetId val="3"/>
    </sheetIdMap>
  </header>
  <header guid="{18FFE898-02EF-F943-B90A-75431CA1241E}" dateTime="2026-09-28T16:58:04" maxSheetId="9" userName="Andre Scheepers" r:id="rId38" minRId="5357" maxRId="5364">
    <sheetIdMap count="8">
      <sheetId val="1"/>
      <sheetId val="2"/>
      <sheetId val="4"/>
      <sheetId val="5"/>
      <sheetId val="6"/>
      <sheetId val="7"/>
      <sheetId val="8"/>
      <sheetId val="3"/>
    </sheetIdMap>
  </header>
  <header guid="{E2B3EAFA-693D-394E-83F5-C8B4DB43756F}" dateTime="2026-09-28T18:15:42" maxSheetId="9" userName="Andre Scheepers" r:id="rId39" minRId="5365" maxRId="6577">
    <sheetIdMap count="8">
      <sheetId val="1"/>
      <sheetId val="2"/>
      <sheetId val="4"/>
      <sheetId val="5"/>
      <sheetId val="6"/>
      <sheetId val="7"/>
      <sheetId val="8"/>
      <sheetId val="3"/>
    </sheetIdMap>
  </header>
  <header guid="{B74E3A17-9C9E-0F43-9992-8099846CC268}" dateTime="2026-09-28T18:16:17" maxSheetId="9" userName="Andre Scheepers" r:id="rId40" minRId="6580" maxRId="6581">
    <sheetIdMap count="8">
      <sheetId val="1"/>
      <sheetId val="2"/>
      <sheetId val="4"/>
      <sheetId val="5"/>
      <sheetId val="6"/>
      <sheetId val="7"/>
      <sheetId val="8"/>
      <sheetId val="3"/>
    </sheetIdMap>
  </header>
  <header guid="{0DA71E9A-78BC-204D-A326-D42F3DAE13B2}" dateTime="2026-09-28T18:16:44" maxSheetId="9" userName="Andre Scheepers" r:id="rId41" minRId="6582" maxRId="6583">
    <sheetIdMap count="8">
      <sheetId val="1"/>
      <sheetId val="2"/>
      <sheetId val="4"/>
      <sheetId val="5"/>
      <sheetId val="6"/>
      <sheetId val="7"/>
      <sheetId val="8"/>
      <sheetId val="3"/>
    </sheetIdMap>
  </header>
  <header guid="{1C4BB7D8-6277-5141-BD09-36B0197E6506}" dateTime="2026-09-28T18:29:45" maxSheetId="9" userName="Andre Scheepers" r:id="rId42" minRId="6584">
    <sheetIdMap count="8">
      <sheetId val="1"/>
      <sheetId val="2"/>
      <sheetId val="4"/>
      <sheetId val="5"/>
      <sheetId val="6"/>
      <sheetId val="7"/>
      <sheetId val="8"/>
      <sheetId val="3"/>
    </sheetIdMap>
  </header>
  <header guid="{8E296134-6B9A-3A45-99FB-5F9D8DEE989D}" dateTime="2026-09-28T18:30:10" maxSheetId="9" userName="Andre Scheepers" r:id="rId43" minRId="6585">
    <sheetIdMap count="8">
      <sheetId val="1"/>
      <sheetId val="2"/>
      <sheetId val="4"/>
      <sheetId val="5"/>
      <sheetId val="6"/>
      <sheetId val="7"/>
      <sheetId val="8"/>
      <sheetId val="3"/>
    </sheetIdMap>
  </header>
  <header guid="{73E93051-CE7E-CC44-B86F-FB2A5AD07B3C}" dateTime="2026-09-28T18:38:34" maxSheetId="9" userName="Andre Scheepers" r:id="rId44" minRId="6586">
    <sheetIdMap count="8">
      <sheetId val="1"/>
      <sheetId val="2"/>
      <sheetId val="4"/>
      <sheetId val="5"/>
      <sheetId val="6"/>
      <sheetId val="7"/>
      <sheetId val="8"/>
      <sheetId val="3"/>
    </sheetIdMap>
  </header>
  <header guid="{66D8678A-6D12-A449-801F-2D59F59525F5}" dateTime="2026-09-28T18:42:51" maxSheetId="9" userName="Andre Scheepers" r:id="rId45" minRId="6587" maxRId="6880">
    <sheetIdMap count="8">
      <sheetId val="1"/>
      <sheetId val="2"/>
      <sheetId val="4"/>
      <sheetId val="5"/>
      <sheetId val="6"/>
      <sheetId val="7"/>
      <sheetId val="8"/>
      <sheetId val="3"/>
    </sheetIdMap>
  </header>
  <header guid="{1FB0A6A8-0262-C64B-9DC5-CF356D5F3A2E}" dateTime="2026-09-28T18:53:03" maxSheetId="9" userName="Andre Scheepers" r:id="rId46" minRId="6881" maxRId="7145">
    <sheetIdMap count="8">
      <sheetId val="1"/>
      <sheetId val="2"/>
      <sheetId val="4"/>
      <sheetId val="5"/>
      <sheetId val="6"/>
      <sheetId val="7"/>
      <sheetId val="8"/>
      <sheetId val="3"/>
    </sheetIdMap>
  </header>
  <header guid="{14D6E1F7-AB57-9648-8209-AD898E8CEBC8}" dateTime="2026-09-28T18:54:08" maxSheetId="9" userName="Andre Scheepers" r:id="rId47" minRId="7148" maxRId="7825">
    <sheetIdMap count="8">
      <sheetId val="1"/>
      <sheetId val="2"/>
      <sheetId val="4"/>
      <sheetId val="5"/>
      <sheetId val="6"/>
      <sheetId val="7"/>
      <sheetId val="8"/>
      <sheetId val="3"/>
    </sheetIdMap>
  </header>
  <header guid="{99AA157D-89A8-D24C-948C-5200C13CC35E}" dateTime="2026-09-28T19:06:38" maxSheetId="9" userName="Andre Scheepers" r:id="rId48" minRId="7826" maxRId="7898">
    <sheetIdMap count="8">
      <sheetId val="1"/>
      <sheetId val="2"/>
      <sheetId val="4"/>
      <sheetId val="5"/>
      <sheetId val="6"/>
      <sheetId val="7"/>
      <sheetId val="8"/>
      <sheetId val="3"/>
    </sheetIdMap>
  </header>
  <header guid="{B89B9D2D-545D-9F42-99B4-5841168B44AA}" dateTime="2026-09-29T12:17:19" maxSheetId="9" userName="Andre Scheepers" r:id="rId49" minRId="7899">
    <sheetIdMap count="8">
      <sheetId val="1"/>
      <sheetId val="2"/>
      <sheetId val="4"/>
      <sheetId val="5"/>
      <sheetId val="6"/>
      <sheetId val="7"/>
      <sheetId val="8"/>
      <sheetId val="3"/>
    </sheetIdMap>
  </header>
  <header guid="{ACEC0B86-39A8-134E-B374-E90D877A69D8}" dateTime="2026-09-29T15:16:29" maxSheetId="9" userName="Andre Scheepers" r:id="rId50" minRId="7900" maxRId="7901">
    <sheetIdMap count="8">
      <sheetId val="1"/>
      <sheetId val="2"/>
      <sheetId val="4"/>
      <sheetId val="5"/>
      <sheetId val="6"/>
      <sheetId val="7"/>
      <sheetId val="8"/>
      <sheetId val="3"/>
    </sheetIdMap>
  </header>
  <header guid="{862A83D5-7B1E-AF4B-B26C-3C4FCFC50891}" dateTime="2026-09-29T15:30:15" maxSheetId="9" userName="Andre Scheepers" r:id="rId51">
    <sheetIdMap count="8">
      <sheetId val="1"/>
      <sheetId val="2"/>
      <sheetId val="4"/>
      <sheetId val="5"/>
      <sheetId val="6"/>
      <sheetId val="7"/>
      <sheetId val="8"/>
      <sheetId val="3"/>
    </sheetIdMap>
  </header>
  <header guid="{1D7C1F56-DEAD-E147-8E12-1EBA307B34E5}" dateTime="2026-09-29T15:31:16" maxSheetId="9" userName="Andre Scheepers" r:id="rId52">
    <sheetIdMap count="8">
      <sheetId val="1"/>
      <sheetId val="2"/>
      <sheetId val="4"/>
      <sheetId val="5"/>
      <sheetId val="6"/>
      <sheetId val="7"/>
      <sheetId val="8"/>
      <sheetId val="3"/>
    </sheetIdMap>
  </header>
  <header guid="{4F4B0B84-E98F-D44C-8EF6-FFEF6DB1B1A5}" dateTime="2026-09-29T15:37:07" maxSheetId="9" userName="Andre Scheepers" r:id="rId53">
    <sheetIdMap count="8">
      <sheetId val="1"/>
      <sheetId val="2"/>
      <sheetId val="4"/>
      <sheetId val="5"/>
      <sheetId val="6"/>
      <sheetId val="7"/>
      <sheetId val="8"/>
      <sheetId val="3"/>
    </sheetIdMap>
  </header>
  <header guid="{2BE1D440-B071-FB47-9A13-99989B8F14C3}" dateTime="2026-09-29T15:37:25" maxSheetId="9" userName="Andre Scheepers" r:id="rId54">
    <sheetIdMap count="8">
      <sheetId val="1"/>
      <sheetId val="2"/>
      <sheetId val="4"/>
      <sheetId val="5"/>
      <sheetId val="6"/>
      <sheetId val="7"/>
      <sheetId val="8"/>
      <sheetId val="3"/>
    </sheetIdMap>
  </header>
  <header guid="{7E9ABEFF-AA53-794F-B32F-315075794F41}" dateTime="2026-09-29T15:38:12" maxSheetId="9" userName="Andre Scheepers" r:id="rId55" minRId="7902">
    <sheetIdMap count="8">
      <sheetId val="1"/>
      <sheetId val="2"/>
      <sheetId val="4"/>
      <sheetId val="5"/>
      <sheetId val="6"/>
      <sheetId val="7"/>
      <sheetId val="8"/>
      <sheetId val="3"/>
    </sheetIdMap>
  </header>
  <header guid="{39D571B3-A9F3-554B-A78E-1014341D853D}" dateTime="2026-09-29T15:41:55" maxSheetId="9" userName="Andre Scheepers" r:id="rId56" minRId="7903" maxRId="8576">
    <sheetIdMap count="8">
      <sheetId val="1"/>
      <sheetId val="2"/>
      <sheetId val="4"/>
      <sheetId val="5"/>
      <sheetId val="6"/>
      <sheetId val="7"/>
      <sheetId val="8"/>
      <sheetId val="3"/>
    </sheetIdMap>
  </header>
  <header guid="{97156208-2669-D14D-8C16-7C34DF1B3B77}" dateTime="2026-09-29T15:43:11" maxSheetId="9" userName="Andre Scheepers" r:id="rId57" minRId="8577" maxRId="8791">
    <sheetIdMap count="8">
      <sheetId val="1"/>
      <sheetId val="2"/>
      <sheetId val="4"/>
      <sheetId val="5"/>
      <sheetId val="6"/>
      <sheetId val="7"/>
      <sheetId val="8"/>
      <sheetId val="3"/>
    </sheetIdMap>
  </header>
  <header guid="{1765A7D1-68CD-8345-A446-E0920C33A179}" dateTime="2026-09-29T15:46:30" maxSheetId="9" userName="Andre Scheepers" r:id="rId58" minRId="8792" maxRId="9468">
    <sheetIdMap count="8">
      <sheetId val="1"/>
      <sheetId val="2"/>
      <sheetId val="4"/>
      <sheetId val="5"/>
      <sheetId val="6"/>
      <sheetId val="7"/>
      <sheetId val="8"/>
      <sheetId val="3"/>
    </sheetIdMap>
  </header>
  <header guid="{B1A9D911-F7D6-554B-8634-35963F97B9D8}" dateTime="2026-09-29T16:03:20" maxSheetId="9" userName="Andre Scheepers" r:id="rId59" minRId="9469" maxRId="9996">
    <sheetIdMap count="8">
      <sheetId val="1"/>
      <sheetId val="2"/>
      <sheetId val="4"/>
      <sheetId val="5"/>
      <sheetId val="6"/>
      <sheetId val="7"/>
      <sheetId val="8"/>
      <sheetId val="3"/>
    </sheetIdMap>
  </header>
  <header guid="{B47CABE0-EF07-FE42-9DA0-E8F7BFBE8C36}" dateTime="2026-09-29T16:04:06" maxSheetId="9" userName="Andre Scheepers" r:id="rId60" minRId="9997">
    <sheetIdMap count="8">
      <sheetId val="1"/>
      <sheetId val="2"/>
      <sheetId val="4"/>
      <sheetId val="5"/>
      <sheetId val="6"/>
      <sheetId val="7"/>
      <sheetId val="8"/>
      <sheetId val="3"/>
    </sheetIdMap>
  </header>
  <header guid="{81453B1E-9852-C64E-B060-0CB20CAD7F71}" dateTime="2026-10-01T17:50:11" maxSheetId="9" userName="Andre Scheepers" r:id="rId61" minRId="9998">
    <sheetIdMap count="8">
      <sheetId val="1"/>
      <sheetId val="2"/>
      <sheetId val="4"/>
      <sheetId val="5"/>
      <sheetId val="6"/>
      <sheetId val="7"/>
      <sheetId val="8"/>
      <sheetId val="3"/>
    </sheetIdMap>
  </header>
  <header guid="{1B18514A-F0B2-184F-90DD-096313373203}" dateTime="2026-10-01T17:50:27" maxSheetId="9" userName="Andre Scheepers" r:id="rId62" minRId="10001">
    <sheetIdMap count="8">
      <sheetId val="1"/>
      <sheetId val="2"/>
      <sheetId val="4"/>
      <sheetId val="5"/>
      <sheetId val="6"/>
      <sheetId val="7"/>
      <sheetId val="8"/>
      <sheetId val="3"/>
    </sheetIdMap>
  </header>
  <header guid="{69928E7C-64DE-874A-AF69-34D787343FC4}" dateTime="2026-10-06T17:21:05" maxSheetId="9" userName="Andre Scheepers" r:id="rId63" minRId="10002">
    <sheetIdMap count="8">
      <sheetId val="1"/>
      <sheetId val="2"/>
      <sheetId val="4"/>
      <sheetId val="5"/>
      <sheetId val="6"/>
      <sheetId val="7"/>
      <sheetId val="8"/>
      <sheetId val="3"/>
    </sheetIdMap>
  </header>
  <header guid="{1AC6537C-5D92-1E43-97FE-6814D9EEDDDF}" dateTime="2026-10-06T17:21:10" maxSheetId="9" userName="Andre Scheepers" r:id="rId64" minRId="10005">
    <sheetIdMap count="8">
      <sheetId val="1"/>
      <sheetId val="2"/>
      <sheetId val="4"/>
      <sheetId val="5"/>
      <sheetId val="6"/>
      <sheetId val="7"/>
      <sheetId val="8"/>
      <sheetId val="3"/>
    </sheetIdMap>
  </header>
  <header guid="{694910E4-4676-1B40-8527-348198463C11}" dateTime="2026-10-06T17:37:21" maxSheetId="9" userName="Andre Scheepers" r:id="rId65" minRId="10006" maxRId="10007">
    <sheetIdMap count="8">
      <sheetId val="1"/>
      <sheetId val="2"/>
      <sheetId val="4"/>
      <sheetId val="5"/>
      <sheetId val="6"/>
      <sheetId val="7"/>
      <sheetId val="8"/>
      <sheetId val="3"/>
    </sheetIdMap>
  </header>
  <header guid="{5FFC2E97-9CA9-8940-AF23-909F620EE05A}" dateTime="2026-10-06T17:39:10" maxSheetId="9" userName="Andre Scheepers" r:id="rId66" minRId="10008">
    <sheetIdMap count="8">
      <sheetId val="1"/>
      <sheetId val="2"/>
      <sheetId val="4"/>
      <sheetId val="5"/>
      <sheetId val="6"/>
      <sheetId val="7"/>
      <sheetId val="8"/>
      <sheetId val="3"/>
    </sheetIdMap>
  </header>
  <header guid="{04EAB5B6-CD78-FA4B-8402-0C94AC1CBEF2}" dateTime="2026-10-06T17:39:18" maxSheetId="9" userName="Andre Scheepers" r:id="rId67" minRId="10009" maxRId="10010">
    <sheetIdMap count="8">
      <sheetId val="1"/>
      <sheetId val="2"/>
      <sheetId val="4"/>
      <sheetId val="5"/>
      <sheetId val="6"/>
      <sheetId val="7"/>
      <sheetId val="8"/>
      <sheetId val="3"/>
    </sheetIdMap>
  </header>
  <header guid="{03D9690B-1288-984E-BEBC-AF618E0B27D5}" dateTime="2026-10-06T17:43:27" maxSheetId="9" userName="Andre Scheepers" r:id="rId68" minRId="10011" maxRId="10013">
    <sheetIdMap count="8">
      <sheetId val="1"/>
      <sheetId val="2"/>
      <sheetId val="4"/>
      <sheetId val="5"/>
      <sheetId val="6"/>
      <sheetId val="7"/>
      <sheetId val="8"/>
      <sheetId val="3"/>
    </sheetIdMap>
  </header>
  <header guid="{3ACD8EEE-D91D-6D40-B637-D6DB89F732DE}" dateTime="2026-10-06T17:43:33" maxSheetId="9" userName="Andre Scheepers" r:id="rId69" minRId="10014" maxRId="10015">
    <sheetIdMap count="8">
      <sheetId val="1"/>
      <sheetId val="2"/>
      <sheetId val="4"/>
      <sheetId val="5"/>
      <sheetId val="6"/>
      <sheetId val="7"/>
      <sheetId val="8"/>
      <sheetId val="3"/>
    </sheetIdMap>
  </header>
  <header guid="{CE25B20A-8851-AA41-99CD-58C39E50312C}" dateTime="2026-10-06T17:51:40" maxSheetId="9" userName="Andre Scheepers" r:id="rId70" minRId="10016" maxRId="10019">
    <sheetIdMap count="8">
      <sheetId val="1"/>
      <sheetId val="2"/>
      <sheetId val="4"/>
      <sheetId val="5"/>
      <sheetId val="6"/>
      <sheetId val="7"/>
      <sheetId val="8"/>
      <sheetId val="3"/>
    </sheetIdMap>
  </header>
  <header guid="{C0512C5C-C285-AB44-9DBA-D96CA85BD417}" dateTime="2026-10-06T17:53:38" maxSheetId="9" userName="Andre Scheepers" r:id="rId71" minRId="10020">
    <sheetIdMap count="8">
      <sheetId val="1"/>
      <sheetId val="2"/>
      <sheetId val="4"/>
      <sheetId val="5"/>
      <sheetId val="6"/>
      <sheetId val="7"/>
      <sheetId val="8"/>
      <sheetId val="3"/>
    </sheetIdMap>
  </header>
  <header guid="{AACE9893-5BD8-8345-BE90-60D7E9345E52}" dateTime="2026-10-14T14:22:23" maxSheetId="9" userName="Andre Scheepers" r:id="rId72" minRId="10021" maxRId="10022">
    <sheetIdMap count="8">
      <sheetId val="1"/>
      <sheetId val="2"/>
      <sheetId val="4"/>
      <sheetId val="5"/>
      <sheetId val="6"/>
      <sheetId val="7"/>
      <sheetId val="8"/>
      <sheetId val="3"/>
    </sheetIdMap>
  </header>
  <header guid="{0F3AD532-998E-E34A-B165-CE5C77BA84A0}" dateTime="2026-10-14T14:22:40" maxSheetId="9" userName="Andre Scheepers" r:id="rId73" minRId="10025" maxRId="10026">
    <sheetIdMap count="8">
      <sheetId val="1"/>
      <sheetId val="2"/>
      <sheetId val="4"/>
      <sheetId val="5"/>
      <sheetId val="6"/>
      <sheetId val="7"/>
      <sheetId val="8"/>
      <sheetId val="3"/>
    </sheetIdMap>
  </header>
  <header guid="{FC89A3B0-CCF2-534C-8244-AA730B7DFBD7}" dateTime="2026-10-14T14:25:14" maxSheetId="9" userName="Andre Scheepers" r:id="rId74" minRId="10027" maxRId="10058">
    <sheetIdMap count="8">
      <sheetId val="1"/>
      <sheetId val="2"/>
      <sheetId val="4"/>
      <sheetId val="5"/>
      <sheetId val="6"/>
      <sheetId val="7"/>
      <sheetId val="8"/>
      <sheetId val="3"/>
    </sheetIdMap>
  </header>
  <header guid="{94F7EEF4-557D-B943-9E98-3A49BC566FDE}" dateTime="2026-10-14T14:32:47" maxSheetId="9" userName="Andre Scheepers" r:id="rId75" minRId="10059" maxRId="10320">
    <sheetIdMap count="8">
      <sheetId val="1"/>
      <sheetId val="2"/>
      <sheetId val="4"/>
      <sheetId val="5"/>
      <sheetId val="6"/>
      <sheetId val="7"/>
      <sheetId val="8"/>
      <sheetId val="3"/>
    </sheetIdMap>
  </header>
  <header guid="{B3103FF9-A101-7040-8F23-7160A9512931}" dateTime="2026-10-14T14:33:23" maxSheetId="9" userName="Andre Scheepers" r:id="rId76" minRId="10321">
    <sheetIdMap count="8">
      <sheetId val="1"/>
      <sheetId val="2"/>
      <sheetId val="4"/>
      <sheetId val="5"/>
      <sheetId val="6"/>
      <sheetId val="7"/>
      <sheetId val="8"/>
      <sheetId val="3"/>
    </sheetIdMap>
  </header>
  <header guid="{12DA7EAF-FDAE-E747-824E-2DEEA778CF70}" dateTime="2026-10-14T15:02:08" maxSheetId="9" userName="Andre Scheepers" r:id="rId77" minRId="10322" maxRId="10658">
    <sheetIdMap count="8">
      <sheetId val="1"/>
      <sheetId val="2"/>
      <sheetId val="4"/>
      <sheetId val="5"/>
      <sheetId val="6"/>
      <sheetId val="7"/>
      <sheetId val="8"/>
      <sheetId val="3"/>
    </sheetIdMap>
  </header>
  <header guid="{4DE04022-EFC5-3443-8E83-22E08F82BC45}" dateTime="2026-10-14T15:02:52" maxSheetId="9" userName="Andre Scheepers" r:id="rId78" minRId="10661">
    <sheetIdMap count="8">
      <sheetId val="1"/>
      <sheetId val="2"/>
      <sheetId val="4"/>
      <sheetId val="5"/>
      <sheetId val="6"/>
      <sheetId val="7"/>
      <sheetId val="8"/>
      <sheetId val="3"/>
    </sheetIdMap>
  </header>
  <header guid="{861CA41A-564E-BB45-AC58-F56EC3A81A42}" dateTime="2026-10-14T15:04:58" maxSheetId="9" userName="Andre Scheepers" r:id="rId79" minRId="10662" maxRId="11000">
    <sheetIdMap count="8">
      <sheetId val="1"/>
      <sheetId val="2"/>
      <sheetId val="4"/>
      <sheetId val="5"/>
      <sheetId val="6"/>
      <sheetId val="7"/>
      <sheetId val="8"/>
      <sheetId val="3"/>
    </sheetIdMap>
  </header>
  <header guid="{FD548CF5-43BA-874B-B0C7-6DD0B7F39B06}" dateTime="2026-10-14T15:16:18" maxSheetId="9" userName="Andre Scheepers" r:id="rId80" minRId="11001" maxRId="11256">
    <sheetIdMap count="8">
      <sheetId val="1"/>
      <sheetId val="2"/>
      <sheetId val="4"/>
      <sheetId val="5"/>
      <sheetId val="6"/>
      <sheetId val="7"/>
      <sheetId val="8"/>
      <sheetId val="3"/>
    </sheetIdMap>
  </header>
  <header guid="{CCC5B0C4-E895-E346-A833-19CB4C5D8ED8}" dateTime="2026-10-14T15:21:38" maxSheetId="9" userName="Andre Scheepers" r:id="rId81" minRId="11257" maxRId="11262">
    <sheetIdMap count="8">
      <sheetId val="1"/>
      <sheetId val="2"/>
      <sheetId val="4"/>
      <sheetId val="5"/>
      <sheetId val="6"/>
      <sheetId val="7"/>
      <sheetId val="8"/>
      <sheetId val="3"/>
    </sheetIdMap>
  </header>
  <header guid="{278D4BAC-9012-CF42-B373-C16537EF027B}" dateTime="2026-10-14T15:25:08" maxSheetId="9" userName="Andre Scheepers" r:id="rId82" minRId="11263" maxRId="11306">
    <sheetIdMap count="8">
      <sheetId val="1"/>
      <sheetId val="2"/>
      <sheetId val="4"/>
      <sheetId val="5"/>
      <sheetId val="6"/>
      <sheetId val="7"/>
      <sheetId val="8"/>
      <sheetId val="3"/>
    </sheetIdMap>
  </header>
  <header guid="{1F4DB6E7-2732-2B45-A262-4EACC7A38947}" dateTime="2026-10-14T15:26:08" maxSheetId="9" userName="Andre Scheepers" r:id="rId83" minRId="11307" maxRId="11310">
    <sheetIdMap count="8">
      <sheetId val="1"/>
      <sheetId val="2"/>
      <sheetId val="4"/>
      <sheetId val="5"/>
      <sheetId val="6"/>
      <sheetId val="7"/>
      <sheetId val="8"/>
      <sheetId val="3"/>
    </sheetIdMap>
  </header>
  <header guid="{E4ACF936-F92C-5A40-AE33-19F39753D9A9}" dateTime="2026-10-14T15:36:22" maxSheetId="9" userName="Andre Scheepers" r:id="rId84" minRId="11311">
    <sheetIdMap count="8">
      <sheetId val="1"/>
      <sheetId val="2"/>
      <sheetId val="4"/>
      <sheetId val="5"/>
      <sheetId val="6"/>
      <sheetId val="7"/>
      <sheetId val="8"/>
      <sheetId val="3"/>
    </sheetIdMap>
  </header>
  <header guid="{F865A31F-8A16-A646-944E-34379B83D597}" dateTime="2026-10-14T15:36:47" maxSheetId="9" userName="Andre Scheepers" r:id="rId85" minRId="11312">
    <sheetIdMap count="8">
      <sheetId val="1"/>
      <sheetId val="2"/>
      <sheetId val="4"/>
      <sheetId val="5"/>
      <sheetId val="6"/>
      <sheetId val="7"/>
      <sheetId val="8"/>
      <sheetId val="3"/>
    </sheetIdMap>
  </header>
  <header guid="{E28CFFA7-8405-124E-9418-2A7A6FC91580}" dateTime="2026-10-14T15:39:14" maxSheetId="9" userName="Andre Scheepers" r:id="rId86" minRId="11313">
    <sheetIdMap count="8">
      <sheetId val="1"/>
      <sheetId val="2"/>
      <sheetId val="4"/>
      <sheetId val="5"/>
      <sheetId val="6"/>
      <sheetId val="7"/>
      <sheetId val="8"/>
      <sheetId val="3"/>
    </sheetIdMap>
  </header>
  <header guid="{098BE9B6-75FA-FA48-A822-B5FDBB645D01}" dateTime="2026-10-14T15:39:28" maxSheetId="9" userName="Andre Scheepers" r:id="rId87" minRId="11316">
    <sheetIdMap count="8">
      <sheetId val="1"/>
      <sheetId val="2"/>
      <sheetId val="4"/>
      <sheetId val="5"/>
      <sheetId val="6"/>
      <sheetId val="7"/>
      <sheetId val="8"/>
      <sheetId val="3"/>
    </sheetIdMap>
  </header>
  <header guid="{3C4105B2-69C4-CE49-AC67-9B46EF4777E8}" dateTime="2026-10-14T15:41:32" maxSheetId="9" userName="Andre Scheepers" r:id="rId88">
    <sheetIdMap count="8">
      <sheetId val="1"/>
      <sheetId val="2"/>
      <sheetId val="4"/>
      <sheetId val="5"/>
      <sheetId val="6"/>
      <sheetId val="7"/>
      <sheetId val="8"/>
      <sheetId val="3"/>
    </sheetIdMap>
  </header>
  <header guid="{50B0DD95-9A48-8B45-BC43-054935E73FF4}" dateTime="2026-10-14T15:51:44" maxSheetId="9" userName="Andre Scheepers" r:id="rId89" minRId="11317">
    <sheetIdMap count="8">
      <sheetId val="1"/>
      <sheetId val="2"/>
      <sheetId val="4"/>
      <sheetId val="5"/>
      <sheetId val="6"/>
      <sheetId val="7"/>
      <sheetId val="8"/>
      <sheetId val="3"/>
    </sheetIdMap>
  </header>
  <header guid="{C78A79E9-56E5-E24D-9521-60F4E253CBE0}" dateTime="2026-10-14T15:51:54" maxSheetId="9" userName="Andre Scheepers" r:id="rId90" minRId="11318">
    <sheetIdMap count="8">
      <sheetId val="1"/>
      <sheetId val="2"/>
      <sheetId val="4"/>
      <sheetId val="5"/>
      <sheetId val="6"/>
      <sheetId val="7"/>
      <sheetId val="8"/>
      <sheetId val="3"/>
    </sheetIdMap>
  </header>
  <header guid="{4CDAE617-740E-0747-942A-2CAF3107C4B3}" dateTime="2026-10-14T15:52:06" maxSheetId="9" userName="Andre Scheepers" r:id="rId91" minRId="11319">
    <sheetIdMap count="8">
      <sheetId val="1"/>
      <sheetId val="2"/>
      <sheetId val="4"/>
      <sheetId val="5"/>
      <sheetId val="6"/>
      <sheetId val="7"/>
      <sheetId val="8"/>
      <sheetId val="3"/>
    </sheetIdMap>
  </header>
  <header guid="{849B4DEA-448A-A340-80EF-00682CE20F34}" dateTime="2026-10-14T15:52:20" maxSheetId="9" userName="Andre Scheepers" r:id="rId92" minRId="11320">
    <sheetIdMap count="8">
      <sheetId val="1"/>
      <sheetId val="2"/>
      <sheetId val="4"/>
      <sheetId val="5"/>
      <sheetId val="6"/>
      <sheetId val="7"/>
      <sheetId val="8"/>
      <sheetId val="3"/>
    </sheetIdMap>
  </header>
  <header guid="{01EF3698-8678-8343-BDF5-C8F66F19AF81}" dateTime="2026-10-14T15:52:30" maxSheetId="9" userName="Andre Scheepers" r:id="rId93">
    <sheetIdMap count="8">
      <sheetId val="1"/>
      <sheetId val="2"/>
      <sheetId val="4"/>
      <sheetId val="5"/>
      <sheetId val="6"/>
      <sheetId val="7"/>
      <sheetId val="8"/>
      <sheetId val="3"/>
    </sheetIdMap>
  </header>
  <header guid="{2BA7B3B9-4A47-A741-987F-CBD679322E96}" dateTime="2026-10-14T15:53:16" maxSheetId="9" userName="Andre Scheepers" r:id="rId94" minRId="11321" maxRId="11322">
    <sheetIdMap count="8">
      <sheetId val="1"/>
      <sheetId val="2"/>
      <sheetId val="4"/>
      <sheetId val="5"/>
      <sheetId val="6"/>
      <sheetId val="7"/>
      <sheetId val="8"/>
      <sheetId val="3"/>
    </sheetIdMap>
  </header>
  <header guid="{6F4042EE-CB09-9E4E-8C15-6200308DE1F3}" dateTime="2026-10-14T15:53:42" maxSheetId="9" userName="Andre Scheepers" r:id="rId95" minRId="11323">
    <sheetIdMap count="8">
      <sheetId val="1"/>
      <sheetId val="2"/>
      <sheetId val="4"/>
      <sheetId val="5"/>
      <sheetId val="6"/>
      <sheetId val="7"/>
      <sheetId val="8"/>
      <sheetId val="3"/>
    </sheetIdMap>
  </header>
  <header guid="{DD4F297E-ED44-654E-8FF5-1C680A3ABB3E}" dateTime="2026-10-14T15:53:55" maxSheetId="9" userName="Andre Scheepers" r:id="rId96" minRId="11326">
    <sheetIdMap count="8">
      <sheetId val="1"/>
      <sheetId val="2"/>
      <sheetId val="4"/>
      <sheetId val="5"/>
      <sheetId val="6"/>
      <sheetId val="7"/>
      <sheetId val="8"/>
      <sheetId val="3"/>
    </sheetIdMap>
  </header>
  <header guid="{95135F41-4759-4E47-A3F0-1FDEE0E1F954}" dateTime="2026-10-14T15:54:54" maxSheetId="9" userName="Andre Scheepers" r:id="rId97" minRId="11327">
    <sheetIdMap count="8">
      <sheetId val="1"/>
      <sheetId val="2"/>
      <sheetId val="4"/>
      <sheetId val="5"/>
      <sheetId val="6"/>
      <sheetId val="7"/>
      <sheetId val="8"/>
      <sheetId val="3"/>
    </sheetIdMap>
  </header>
  <header guid="{A0B3DADC-7F04-364E-8E95-6EF4A3C875E1}" dateTime="2026-10-14T15:55:07" maxSheetId="9" userName="Andre Scheepers" r:id="rId98" minRId="11328">
    <sheetIdMap count="8">
      <sheetId val="1"/>
      <sheetId val="2"/>
      <sheetId val="4"/>
      <sheetId val="5"/>
      <sheetId val="6"/>
      <sheetId val="7"/>
      <sheetId val="8"/>
      <sheetId val="3"/>
    </sheetIdMap>
  </header>
  <header guid="{B3B3041C-98C3-1F4D-B5CE-B0DF14B229E6}" dateTime="2026-10-14T15:55:54" maxSheetId="9" userName="Andre Scheepers" r:id="rId99" minRId="11329" maxRId="11330">
    <sheetIdMap count="8">
      <sheetId val="1"/>
      <sheetId val="2"/>
      <sheetId val="4"/>
      <sheetId val="5"/>
      <sheetId val="6"/>
      <sheetId val="7"/>
      <sheetId val="8"/>
      <sheetId val="3"/>
    </sheetIdMap>
  </header>
  <header guid="{9E2EB213-8B98-6E4C-B256-4AAF22D1167B}" dateTime="2026-10-14T15:56:03" maxSheetId="9" userName="Andre Scheepers" r:id="rId100" minRId="11331">
    <sheetIdMap count="8">
      <sheetId val="1"/>
      <sheetId val="2"/>
      <sheetId val="4"/>
      <sheetId val="5"/>
      <sheetId val="6"/>
      <sheetId val="7"/>
      <sheetId val="8"/>
      <sheetId val="3"/>
    </sheetIdMap>
  </header>
  <header guid="{F459EB48-95FF-1C43-823D-009CB8517359}" dateTime="2026-10-14T15:57:04" maxSheetId="9" userName="Andre Scheepers" r:id="rId101" minRId="11332">
    <sheetIdMap count="8">
      <sheetId val="1"/>
      <sheetId val="2"/>
      <sheetId val="4"/>
      <sheetId val="5"/>
      <sheetId val="6"/>
      <sheetId val="7"/>
      <sheetId val="8"/>
      <sheetId val="3"/>
    </sheetIdMap>
  </header>
  <header guid="{0BA90447-7BA8-454E-80A2-272BE62D9E4E}" dateTime="2026-10-14T15:57:29" maxSheetId="9" userName="Andre Scheepers" r:id="rId102" minRId="11333" maxRId="11668">
    <sheetIdMap count="8">
      <sheetId val="1"/>
      <sheetId val="2"/>
      <sheetId val="4"/>
      <sheetId val="5"/>
      <sheetId val="6"/>
      <sheetId val="7"/>
      <sheetId val="8"/>
      <sheetId val="3"/>
    </sheetIdMap>
  </header>
  <header guid="{BE227D4B-4B60-1D4B-B9D9-A928837D45F0}" dateTime="2026-10-14T15:57:57" maxSheetId="9" userName="Andre Scheepers" r:id="rId103" minRId="11669" maxRId="11926">
    <sheetIdMap count="8">
      <sheetId val="1"/>
      <sheetId val="2"/>
      <sheetId val="4"/>
      <sheetId val="5"/>
      <sheetId val="6"/>
      <sheetId val="7"/>
      <sheetId val="8"/>
      <sheetId val="3"/>
    </sheetIdMap>
  </header>
  <header guid="{51652089-090F-DD4B-A958-5562892A10E9}" dateTime="2026-10-14T15:58:03" maxSheetId="9" userName="Andre Scheepers" r:id="rId104" minRId="11927">
    <sheetIdMap count="8">
      <sheetId val="1"/>
      <sheetId val="2"/>
      <sheetId val="4"/>
      <sheetId val="5"/>
      <sheetId val="6"/>
      <sheetId val="7"/>
      <sheetId val="8"/>
      <sheetId val="3"/>
    </sheetIdMap>
  </header>
  <header guid="{53445C55-A21E-9542-B322-C1BF83535512}" dateTime="2026-10-14T15:58:27" maxSheetId="9" userName="Andre Scheepers" r:id="rId105" minRId="11928" maxRId="11929">
    <sheetIdMap count="8">
      <sheetId val="1"/>
      <sheetId val="2"/>
      <sheetId val="4"/>
      <sheetId val="5"/>
      <sheetId val="6"/>
      <sheetId val="7"/>
      <sheetId val="8"/>
      <sheetId val="3"/>
    </sheetIdMap>
  </header>
  <header guid="{CCEEEEBF-C6CE-604B-B580-11A12BD542F2}" dateTime="2026-10-14T16:27:50" maxSheetId="9" userName="Andre Scheepers" r:id="rId106" minRId="11930">
    <sheetIdMap count="8">
      <sheetId val="1"/>
      <sheetId val="2"/>
      <sheetId val="4"/>
      <sheetId val="5"/>
      <sheetId val="6"/>
      <sheetId val="7"/>
      <sheetId val="8"/>
      <sheetId val="3"/>
    </sheetIdMap>
  </header>
  <header guid="{BDD3C7D9-DAFD-FC40-B458-980F807E664F}" dateTime="2026-10-14T16:27:54" maxSheetId="9" userName="Andre Scheepers" r:id="rId107" minRId="11931">
    <sheetIdMap count="8">
      <sheetId val="1"/>
      <sheetId val="2"/>
      <sheetId val="4"/>
      <sheetId val="5"/>
      <sheetId val="6"/>
      <sheetId val="7"/>
      <sheetId val="8"/>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02" sId="2">
    <oc r="W1" t="inlineStr">
      <is>
        <t>training_or_testing</t>
      </is>
    </oc>
    <nc r="W1" t="inlineStr">
      <is>
        <t>training_or_test</t>
      </is>
    </nc>
  </rcc>
  <rcv guid="{8A75D892-44B4-104C-BB94-8EB0D0E43396}" action="delete"/>
  <rdn rId="0" localSheetId="1" customView="1" name="Z_8A75D892_44B4_104C_BB94_8EB0D0E43396_.wvu.FilterData" hidden="1" oldHidden="1">
    <formula>maze1!$A$1:$W$338</formula>
    <oldFormula>maze1!$A$1:$W$338</oldFormula>
  </rdn>
  <rdn rId="0" localSheetId="2" customView="1" name="Z_8A75D892_44B4_104C_BB94_8EB0D0E43396_.wvu.FilterData" hidden="1" oldHidden="1">
    <formula>maze2!$A$1:$W$263</formula>
    <oldFormula>maze2!$A$1:$W$263</oldFormula>
  </rdn>
  <rcv guid="{8A75D892-44B4-104C-BB94-8EB0D0E43396}" action="add"/>
</revisions>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05" sId="1">
    <oc r="W1" t="inlineStr">
      <is>
        <t>training_or_testing</t>
      </is>
    </oc>
    <nc r="W1" t="inlineStr">
      <is>
        <t>training_or_test</t>
      </is>
    </nc>
  </rcc>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06" sId="1">
    <oc r="L13" t="inlineStr">
      <is>
        <t>?</t>
      </is>
    </oc>
    <nc r="L13" t="inlineStr">
      <is>
        <t>R</t>
      </is>
    </nc>
  </rcc>
  <rcc rId="10007" sId="1">
    <oc r="M13" t="inlineStr">
      <is>
        <t>?</t>
      </is>
    </oc>
    <nc r="M13" t="inlineStr">
      <is>
        <t>R</t>
      </is>
    </nc>
  </rcc>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54" sId="5" ref="A28:XFD28" action="insertRow"/>
  <rm rId="55" sheetId="5" source="A26:XFD26" destination="A28:XFD28" sourceSheetId="5">
    <rfmt sheetId="5" xfDxf="1" sqref="A28:XFD28" start="0" length="0"/>
    <rfmt sheetId="5" sqref="B28" start="0" length="0">
      <dxf>
        <alignment horizontal="left" vertical="top"/>
      </dxf>
    </rfmt>
    <rfmt sheetId="5" sqref="C28" start="0" length="0">
      <dxf>
        <alignment horizontal="left" vertical="top"/>
      </dxf>
    </rfmt>
    <rfmt sheetId="5" sqref="D28" start="0" length="0">
      <dxf>
        <alignment horizontal="left" vertical="top"/>
      </dxf>
    </rfmt>
    <rfmt sheetId="5" sqref="E28" start="0" length="0">
      <dxf>
        <alignment horizontal="left" vertical="top"/>
      </dxf>
    </rfmt>
    <rfmt sheetId="5" sqref="F28" start="0" length="0">
      <dxf>
        <alignment horizontal="left" vertical="top"/>
      </dxf>
    </rfmt>
    <rfmt sheetId="5" sqref="G28" start="0" length="0">
      <dxf>
        <alignment horizontal="left" vertical="top"/>
      </dxf>
    </rfmt>
    <rfmt sheetId="5" sqref="H28" start="0" length="0">
      <dxf>
        <alignment horizontal="left" vertical="top"/>
      </dxf>
    </rfmt>
    <rfmt sheetId="5" sqref="I28" start="0" length="0">
      <dxf>
        <alignment horizontal="left" vertical="top"/>
      </dxf>
    </rfmt>
    <rfmt sheetId="5" sqref="J28" start="0" length="0">
      <dxf>
        <alignment horizontal="left" vertical="top"/>
      </dxf>
    </rfmt>
    <rfmt sheetId="5" sqref="K28" start="0" length="0">
      <dxf>
        <alignment horizontal="left" vertical="top"/>
      </dxf>
    </rfmt>
    <rfmt sheetId="5" sqref="L28" start="0" length="0">
      <dxf>
        <alignment horizontal="left" vertical="top"/>
      </dxf>
    </rfmt>
    <rfmt sheetId="5" sqref="M28" start="0" length="0">
      <dxf>
        <alignment horizontal="left" vertical="top"/>
      </dxf>
    </rfmt>
    <rfmt sheetId="5" sqref="N28" start="0" length="0">
      <dxf>
        <alignment vertical="top" shrinkToFit="1"/>
      </dxf>
    </rfmt>
    <rfmt sheetId="5" sqref="O28" start="0" length="0">
      <dxf>
        <alignment horizontal="left" vertical="top" shrinkToFit="1"/>
      </dxf>
    </rfmt>
  </rm>
  <rrc rId="56" sId="5" ref="A26:XFD26" action="deleteRow">
    <rfmt sheetId="5" xfDxf="1" sqref="A26:XFD26" start="0" length="0"/>
    <rfmt sheetId="5" sqref="N26" start="0" length="0">
      <dxf>
        <alignment vertical="top" shrinkToFit="1"/>
      </dxf>
    </rfmt>
    <rfmt sheetId="5" sqref="O26" start="0" length="0">
      <dxf>
        <alignment vertical="top" shrinkToFit="1"/>
      </dxf>
    </rfmt>
  </rrc>
  <rrc rId="57" sId="5" ref="A1:A1048576" action="insertCol"/>
  <rm rId="58" sheetId="5" source="D1:D1048576" destination="A1:A1048576" sourceSheetId="5">
    <rfmt sheetId="5" xfDxf="1" sqref="A1:A1048576" start="0" length="0"/>
  </rm>
  <rrc rId="59" sId="5" ref="D1:D1048576" action="deleteCol">
    <rfmt sheetId="5" xfDxf="1" sqref="D1:D1048576" start="0" length="0"/>
  </rrc>
  <rrc rId="60" sId="5" ref="B1:B1048576" action="insertCol"/>
  <rm rId="61" sheetId="5" source="E1:E1048576" destination="B1:B1048576" sourceSheetId="5">
    <rfmt sheetId="5" xfDxf="1" sqref="B1:B1048576" start="0" length="0"/>
    <rfmt sheetId="5" sqref="B1" start="0" length="0">
      <dxf>
        <alignment horizontal="left" vertical="top"/>
      </dxf>
    </rfmt>
    <rfmt sheetId="5" sqref="B2" start="0" length="0">
      <dxf>
        <alignment horizontal="left" vertical="top"/>
      </dxf>
    </rfmt>
    <rfmt sheetId="5" sqref="B3" start="0" length="0">
      <dxf>
        <alignment horizontal="left" vertical="top"/>
      </dxf>
    </rfmt>
    <rfmt sheetId="5" sqref="B4" start="0" length="0">
      <dxf>
        <alignment horizontal="left" vertical="top"/>
      </dxf>
    </rfmt>
    <rfmt sheetId="5" sqref="B5" start="0" length="0">
      <dxf>
        <alignment horizontal="left" vertical="top"/>
      </dxf>
    </rfmt>
    <rfmt sheetId="5" sqref="B6" start="0" length="0">
      <dxf>
        <alignment horizontal="left" vertical="top"/>
      </dxf>
    </rfmt>
    <rfmt sheetId="5" sqref="B7" start="0" length="0">
      <dxf>
        <alignment horizontal="left" vertical="top"/>
      </dxf>
    </rfmt>
    <rfmt sheetId="5" sqref="B8" start="0" length="0">
      <dxf>
        <alignment horizontal="left" vertical="top"/>
      </dxf>
    </rfmt>
    <rfmt sheetId="5" sqref="B9" start="0" length="0">
      <dxf>
        <alignment horizontal="left" vertical="top"/>
      </dxf>
    </rfmt>
    <rfmt sheetId="5" sqref="B10" start="0" length="0">
      <dxf>
        <alignment horizontal="left" vertical="top"/>
      </dxf>
    </rfmt>
    <rfmt sheetId="5" sqref="B11" start="0" length="0">
      <dxf>
        <alignment horizontal="left" vertical="top"/>
      </dxf>
    </rfmt>
    <rfmt sheetId="5" sqref="B12" start="0" length="0">
      <dxf>
        <alignment horizontal="left" vertical="top"/>
      </dxf>
    </rfmt>
    <rfmt sheetId="5" sqref="B13" start="0" length="0">
      <dxf>
        <alignment horizontal="left" vertical="top"/>
      </dxf>
    </rfmt>
    <rfmt sheetId="5" sqref="B14" start="0" length="0">
      <dxf>
        <alignment horizontal="left" vertical="top"/>
      </dxf>
    </rfmt>
    <rfmt sheetId="5" sqref="B15" start="0" length="0">
      <dxf>
        <alignment horizontal="left" vertical="top"/>
      </dxf>
    </rfmt>
    <rfmt sheetId="5" sqref="B16" start="0" length="0">
      <dxf>
        <alignment horizontal="left" vertical="top"/>
      </dxf>
    </rfmt>
    <rfmt sheetId="5" sqref="B17" start="0" length="0">
      <dxf>
        <alignment horizontal="left" vertical="top"/>
      </dxf>
    </rfmt>
    <rfmt sheetId="5" sqref="B18" start="0" length="0">
      <dxf>
        <alignment horizontal="left" vertical="top"/>
      </dxf>
    </rfmt>
    <rfmt sheetId="5" sqref="B19" start="0" length="0">
      <dxf>
        <alignment horizontal="left" vertical="top"/>
      </dxf>
    </rfmt>
    <rfmt sheetId="5" sqref="B20" start="0" length="0">
      <dxf>
        <alignment horizontal="left" vertical="top"/>
      </dxf>
    </rfmt>
    <rfmt sheetId="5" sqref="B21" start="0" length="0">
      <dxf>
        <alignment horizontal="left" vertical="top"/>
      </dxf>
    </rfmt>
    <rfmt sheetId="5" sqref="B22" start="0" length="0">
      <dxf>
        <alignment horizontal="left" vertical="top"/>
      </dxf>
    </rfmt>
    <rfmt sheetId="5" sqref="B23" start="0" length="0">
      <dxf>
        <alignment horizontal="left" vertical="top"/>
      </dxf>
    </rfmt>
    <rfmt sheetId="5" sqref="B24" start="0" length="0">
      <dxf>
        <alignment horizontal="left" vertical="top"/>
      </dxf>
    </rfmt>
    <rfmt sheetId="5" sqref="B25" start="0" length="0">
      <dxf>
        <alignment horizontal="left" vertical="top"/>
      </dxf>
    </rfmt>
    <rfmt sheetId="5" sqref="B26" start="0" length="0">
      <dxf>
        <alignment horizontal="left" vertical="top"/>
      </dxf>
    </rfmt>
    <rfmt sheetId="5" sqref="B27" start="0" length="0">
      <dxf>
        <alignment horizontal="left" vertical="top"/>
      </dxf>
    </rfmt>
    <rfmt sheetId="5" sqref="B28" start="0" length="0">
      <dxf>
        <alignment horizontal="left" vertical="top"/>
      </dxf>
    </rfmt>
    <rfmt sheetId="5" sqref="B29" start="0" length="0">
      <dxf>
        <alignment horizontal="left" vertical="top"/>
      </dxf>
    </rfmt>
    <rfmt sheetId="5" sqref="B30" start="0" length="0">
      <dxf>
        <alignment horizontal="left" vertical="top"/>
      </dxf>
    </rfmt>
    <rfmt sheetId="5" sqref="B31" start="0" length="0">
      <dxf>
        <alignment horizontal="left" vertical="top"/>
      </dxf>
    </rfmt>
    <rfmt sheetId="5" sqref="B32" start="0" length="0">
      <dxf>
        <alignment horizontal="left" vertical="top"/>
      </dxf>
    </rfmt>
    <rfmt sheetId="5" sqref="B33" start="0" length="0">
      <dxf>
        <alignment horizontal="left" vertical="top"/>
      </dxf>
    </rfmt>
    <rfmt sheetId="5" sqref="B34" start="0" length="0">
      <dxf>
        <alignment horizontal="left" vertical="top"/>
      </dxf>
    </rfmt>
    <rfmt sheetId="5" sqref="B35" start="0" length="0">
      <dxf>
        <alignment horizontal="left" vertical="top"/>
      </dxf>
    </rfmt>
    <rfmt sheetId="5" sqref="B36" start="0" length="0">
      <dxf>
        <alignment horizontal="left" vertical="top"/>
      </dxf>
    </rfmt>
    <rfmt sheetId="5" sqref="B37" start="0" length="0">
      <dxf>
        <alignment horizontal="left" vertical="top"/>
      </dxf>
    </rfmt>
    <rfmt sheetId="5" sqref="B38" start="0" length="0">
      <dxf>
        <alignment horizontal="left" vertical="top"/>
      </dxf>
    </rfmt>
    <rfmt sheetId="5" sqref="B39" start="0" length="0">
      <dxf>
        <alignment horizontal="left" vertical="top"/>
      </dxf>
    </rfmt>
    <rfmt sheetId="5" sqref="B40" start="0" length="0">
      <dxf>
        <alignment horizontal="left" vertical="top"/>
      </dxf>
    </rfmt>
    <rfmt sheetId="5" sqref="B41" start="0" length="0">
      <dxf>
        <alignment horizontal="left" vertical="top"/>
      </dxf>
    </rfmt>
    <rfmt sheetId="5" sqref="B42" start="0" length="0">
      <dxf>
        <alignment horizontal="left" vertical="top"/>
      </dxf>
    </rfmt>
    <rfmt sheetId="5" sqref="B43" start="0" length="0">
      <dxf>
        <alignment horizontal="left" vertical="top"/>
      </dxf>
    </rfmt>
    <rfmt sheetId="5" sqref="B44" start="0" length="0">
      <dxf>
        <alignment horizontal="left" vertical="top"/>
      </dxf>
    </rfmt>
    <rfmt sheetId="5" sqref="B45" start="0" length="0">
      <dxf>
        <alignment horizontal="left" vertical="top"/>
      </dxf>
    </rfmt>
    <rfmt sheetId="5" sqref="B46" start="0" length="0">
      <dxf>
        <alignment horizontal="left" vertical="top"/>
      </dxf>
    </rfmt>
  </rm>
  <rrc rId="62" sId="5" ref="E1:E1048576" action="deleteCol">
    <rfmt sheetId="5" xfDxf="1" sqref="E1:E1048576" start="0" length="0"/>
  </rrc>
  <rrc rId="63" sId="5" ref="A27:XFD27" action="deleteRow">
    <rfmt sheetId="5" xfDxf="1" sqref="A27:XFD27" start="0" length="0"/>
    <rcc rId="0" sId="5" dxf="1">
      <nc r="A27">
        <v>2</v>
      </nc>
      <ndxf>
        <alignment horizontal="left" vertical="top"/>
      </ndxf>
    </rcc>
    <rcc rId="0" sId="5">
      <nc r="C27">
        <f>_xlfn.TEXTSPLIT($D27, "_")</f>
      </nc>
    </rcc>
    <rcc rId="0" sId="5">
      <nc r="D27" t="inlineStr">
        <is>
          <t>C0105_bf1_t1</t>
        </is>
      </nc>
    </rcc>
    <rcc rId="0" sId="5" dxf="1">
      <nc r="K27">
        <f>VLOOKUP(L27, $P$51:$R$56, 2, FALSE)</f>
      </nc>
      <ndxf>
        <alignment horizontal="left" vertical="top"/>
      </ndxf>
    </rcc>
    <rfmt sheetId="5" sqref="N27" start="0" length="0">
      <dxf>
        <alignment vertical="top" shrinkToFit="1"/>
      </dxf>
    </rfmt>
    <rcc rId="0" sId="5" dxf="1">
      <nc r="O27" t="inlineStr">
        <is>
          <t xml:space="preserve">This wrong turn comes from a technically correct decision. Need to think about what this means more deeply. </t>
        </is>
      </nc>
      <ndxf>
        <alignment vertical="top" shrinkToFit="1"/>
      </ndxf>
    </rcc>
  </rrc>
  <rrc rId="64" sId="5" ref="A27:XFD27" action="deleteRow">
    <rfmt sheetId="5" xfDxf="1" sqref="A27:XFD27" start="0" length="0"/>
    <rcc rId="0" sId="5" dxf="1">
      <nc r="A27">
        <v>2</v>
      </nc>
      <ndxf>
        <alignment horizontal="left" vertical="top"/>
      </ndxf>
    </rcc>
    <rfmt sheetId="5" sqref="B27" start="0" length="0">
      <dxf>
        <alignment horizontal="left" vertical="top"/>
      </dxf>
    </rfmt>
    <rcc rId="0" sId="5">
      <nc r="C27">
        <f>_xlfn.TEXTSPLIT($D27, "_")</f>
      </nc>
    </rcc>
    <rcc rId="0" sId="5" dxf="1">
      <nc r="D27" t="inlineStr">
        <is>
          <t>C0068</t>
        </is>
      </nc>
      <ndxf>
        <alignment horizontal="left" vertical="top"/>
      </ndxf>
    </rcc>
    <rfmt sheetId="5" sqref="E27" start="0" length="0">
      <dxf>
        <alignment horizontal="left" vertical="top"/>
      </dxf>
    </rfmt>
    <rfmt sheetId="5" sqref="F27" start="0" length="0">
      <dxf>
        <alignment horizontal="left" vertical="top"/>
      </dxf>
    </rfmt>
    <rfmt sheetId="5" sqref="G27" start="0" length="0">
      <dxf>
        <alignment horizontal="left" vertical="top"/>
      </dxf>
    </rfmt>
    <rfmt sheetId="5" sqref="H27" start="0" length="0">
      <dxf>
        <alignment horizontal="left" vertical="top"/>
      </dxf>
    </rfmt>
    <rfmt sheetId="5" sqref="I27" start="0" length="0">
      <dxf>
        <alignment horizontal="left" vertical="top"/>
      </dxf>
    </rfmt>
    <rcc rId="0" sId="5" dxf="1">
      <nc r="J27">
        <f xml:space="preserve"> 312 - I27</f>
      </nc>
      <ndxf>
        <alignment horizontal="left" vertical="top"/>
      </ndxf>
    </rcc>
    <rcc rId="0" sId="5" dxf="1">
      <nc r="K27">
        <f>VLOOKUP(L27, $P$50:$R$55, 2, FALSE)</f>
      </nc>
      <ndxf>
        <alignment horizontal="left" vertical="top"/>
      </ndxf>
    </rcc>
    <rfmt sheetId="5" sqref="L27" start="0" length="0">
      <dxf>
        <alignment horizontal="left" vertical="top"/>
      </dxf>
    </rfmt>
    <rcc rId="0" sId="5" dxf="1">
      <nc r="M27">
        <f>1/((2*DEGREES(ATAN(0.5*$K27/$J27))))</f>
      </nc>
      <ndxf>
        <alignment horizontal="left" vertical="top"/>
      </ndxf>
    </rcc>
    <rfmt sheetId="5" sqref="N27" start="0" length="0">
      <dxf>
        <alignment horizontal="left" vertical="top" shrinkToFit="1"/>
      </dxf>
    </rfmt>
    <rfmt sheetId="5" sqref="O27" start="0" length="0">
      <dxf>
        <alignment horizontal="left" vertical="top" shrinkToFit="1"/>
      </dxf>
    </rfmt>
    <rfmt sheetId="5" sqref="Q27" start="0" length="0">
      <dxf>
        <alignment horizontal="left" vertical="top"/>
      </dxf>
    </rfmt>
    <rfmt sheetId="5" sqref="R27" start="0" length="0">
      <dxf>
        <alignment horizontal="left" vertical="top"/>
      </dxf>
    </rfmt>
    <rfmt sheetId="5" sqref="S27" start="0" length="0">
      <dxf>
        <alignment horizontal="left" vertical="top"/>
      </dxf>
    </rfmt>
    <rfmt sheetId="5" sqref="T27" start="0" length="0">
      <dxf>
        <alignment horizontal="left" vertical="top"/>
      </dxf>
    </rfmt>
    <rfmt sheetId="5" sqref="U27" start="0" length="0">
      <dxf>
        <alignment horizontal="left" vertical="top"/>
      </dxf>
    </rfmt>
    <rfmt sheetId="5" sqref="V27" start="0" length="0">
      <dxf>
        <alignment horizontal="left" vertical="top"/>
      </dxf>
    </rfmt>
    <rfmt sheetId="5" sqref="W27" start="0" length="0">
      <dxf>
        <alignment horizontal="left" vertical="top"/>
      </dxf>
    </rfmt>
    <rfmt sheetId="5" sqref="X27" start="0" length="0">
      <dxf>
        <alignment horizontal="left" vertical="top"/>
      </dxf>
    </rfmt>
  </rrc>
  <rrc rId="65" sId="5" ref="A27:XFD27" action="deleteRow">
    <rfmt sheetId="5" xfDxf="1" sqref="A27:XFD27" start="0" length="0"/>
    <rcc rId="0" sId="5" dxf="1">
      <nc r="A27">
        <v>2</v>
      </nc>
      <ndxf>
        <alignment horizontal="left" vertical="top"/>
      </ndxf>
    </rcc>
    <rfmt sheetId="5" sqref="B27" start="0" length="0">
      <dxf>
        <alignment horizontal="left" vertical="top"/>
      </dxf>
    </rfmt>
    <rcc rId="0" sId="5">
      <nc r="C27">
        <f>_xlfn.TEXTSPLIT($D27, "_")</f>
      </nc>
    </rcc>
    <rcc rId="0" sId="5" dxf="1">
      <nc r="D27" t="inlineStr">
        <is>
          <t>C0067</t>
        </is>
      </nc>
      <ndxf>
        <alignment horizontal="left" vertical="top"/>
      </ndxf>
    </rcc>
    <rfmt sheetId="5" sqref="E27" start="0" length="0">
      <dxf>
        <alignment horizontal="left" vertical="top"/>
      </dxf>
    </rfmt>
    <rfmt sheetId="5" sqref="F27" start="0" length="0">
      <dxf>
        <alignment horizontal="left" vertical="top"/>
      </dxf>
    </rfmt>
    <rfmt sheetId="5" sqref="G27" start="0" length="0">
      <dxf>
        <alignment horizontal="left" vertical="top"/>
      </dxf>
    </rfmt>
    <rfmt sheetId="5" sqref="H27" start="0" length="0">
      <dxf>
        <alignment horizontal="left" vertical="top"/>
      </dxf>
    </rfmt>
    <rfmt sheetId="5" sqref="I27" start="0" length="0">
      <dxf>
        <alignment horizontal="left" vertical="top"/>
      </dxf>
    </rfmt>
    <rcc rId="0" sId="5" dxf="1">
      <nc r="J27">
        <f xml:space="preserve"> 312 - I27</f>
      </nc>
      <ndxf>
        <alignment horizontal="left" vertical="top"/>
      </ndxf>
    </rcc>
    <rcc rId="0" sId="5" dxf="1">
      <nc r="K27">
        <f>VLOOKUP(L27, $P$49:$R$54, 2, FALSE)</f>
      </nc>
      <ndxf>
        <alignment horizontal="left" vertical="top"/>
      </ndxf>
    </rcc>
    <rfmt sheetId="5" sqref="L27" start="0" length="0">
      <dxf>
        <alignment horizontal="left" vertical="top"/>
      </dxf>
    </rfmt>
    <rcc rId="0" sId="5" dxf="1">
      <nc r="M27">
        <f>1/((2*DEGREES(ATAN(0.5*$K27/$J27))))</f>
      </nc>
      <ndxf>
        <alignment horizontal="left" vertical="top"/>
      </ndxf>
    </rcc>
    <rfmt sheetId="5" sqref="N27" start="0" length="0">
      <dxf>
        <alignment horizontal="left" vertical="top" shrinkToFit="1"/>
      </dxf>
    </rfmt>
    <rfmt sheetId="5" sqref="O27" start="0" length="0">
      <dxf>
        <alignment horizontal="left" vertical="top" shrinkToFit="1"/>
      </dxf>
    </rfmt>
    <rfmt sheetId="5" sqref="Q27" start="0" length="0">
      <dxf>
        <alignment horizontal="left" vertical="top"/>
      </dxf>
    </rfmt>
    <rfmt sheetId="5" sqref="R27" start="0" length="0">
      <dxf>
        <alignment horizontal="left" vertical="top"/>
      </dxf>
    </rfmt>
    <rfmt sheetId="5" sqref="S27" start="0" length="0">
      <dxf>
        <alignment horizontal="left" vertical="top"/>
      </dxf>
    </rfmt>
    <rfmt sheetId="5" sqref="T27" start="0" length="0">
      <dxf>
        <alignment horizontal="left" vertical="top"/>
      </dxf>
    </rfmt>
    <rfmt sheetId="5" sqref="U27" start="0" length="0">
      <dxf>
        <alignment horizontal="left" vertical="top"/>
      </dxf>
    </rfmt>
    <rfmt sheetId="5" sqref="V27" start="0" length="0">
      <dxf>
        <alignment horizontal="left" vertical="top"/>
      </dxf>
    </rfmt>
    <rfmt sheetId="5" sqref="W27" start="0" length="0">
      <dxf>
        <alignment horizontal="left" vertical="top"/>
      </dxf>
    </rfmt>
    <rfmt sheetId="5" sqref="X27" start="0" length="0">
      <dxf>
        <alignment horizontal="left" vertical="top"/>
      </dxf>
    </rfmt>
  </rrc>
  <rrc rId="66" sId="5" ref="A27:XFD27" action="deleteRow">
    <rfmt sheetId="5" xfDxf="1" sqref="A27:XFD27" start="0" length="0"/>
    <rcc rId="0" sId="5" dxf="1">
      <nc r="A27">
        <v>2</v>
      </nc>
      <ndxf>
        <alignment horizontal="left" vertical="top"/>
      </ndxf>
    </rcc>
    <rfmt sheetId="5" sqref="B27" start="0" length="0">
      <dxf>
        <alignment horizontal="left" vertical="top"/>
      </dxf>
    </rfmt>
    <rcc rId="0" sId="5">
      <nc r="C27">
        <f>_xlfn.TEXTSPLIT($D27, "_")</f>
      </nc>
    </rcc>
    <rcc rId="0" sId="5" dxf="1">
      <nc r="D27" t="inlineStr">
        <is>
          <t>C0066</t>
        </is>
      </nc>
      <ndxf>
        <alignment horizontal="left" vertical="top"/>
      </ndxf>
    </rcc>
    <rfmt sheetId="5" sqref="E27" start="0" length="0">
      <dxf>
        <alignment horizontal="left" vertical="top"/>
      </dxf>
    </rfmt>
    <rfmt sheetId="5" sqref="F27" start="0" length="0">
      <dxf>
        <alignment horizontal="left" vertical="top"/>
      </dxf>
    </rfmt>
    <rfmt sheetId="5" sqref="G27" start="0" length="0">
      <dxf>
        <alignment horizontal="left" vertical="top"/>
      </dxf>
    </rfmt>
    <rfmt sheetId="5" sqref="H27" start="0" length="0">
      <dxf>
        <alignment horizontal="left" vertical="top"/>
      </dxf>
    </rfmt>
    <rfmt sheetId="5" sqref="I27" start="0" length="0">
      <dxf>
        <alignment horizontal="left" vertical="top"/>
      </dxf>
    </rfmt>
    <rcc rId="0" sId="5" dxf="1">
      <nc r="J27">
        <f xml:space="preserve"> 312 - I27</f>
      </nc>
      <ndxf>
        <alignment horizontal="left" vertical="top"/>
      </ndxf>
    </rcc>
    <rcc rId="0" sId="5" dxf="1">
      <nc r="K27">
        <f>VLOOKUP(L27, $P$48:$R$53, 2, FALSE)</f>
      </nc>
      <ndxf>
        <alignment horizontal="left" vertical="top"/>
      </ndxf>
    </rcc>
    <rfmt sheetId="5" sqref="L27" start="0" length="0">
      <dxf>
        <alignment horizontal="left" vertical="top"/>
      </dxf>
    </rfmt>
    <rcc rId="0" sId="5" dxf="1">
      <nc r="M27">
        <f>1/((2*DEGREES(ATAN(0.5*$K27/$J27))))</f>
      </nc>
      <ndxf>
        <alignment horizontal="left" vertical="top"/>
      </ndxf>
    </rcc>
    <rfmt sheetId="5" sqref="N27" start="0" length="0">
      <dxf>
        <alignment horizontal="left" vertical="top" shrinkToFit="1"/>
      </dxf>
    </rfmt>
    <rfmt sheetId="5" sqref="O27" start="0" length="0">
      <dxf>
        <alignment horizontal="left" vertical="top" shrinkToFit="1"/>
      </dxf>
    </rfmt>
  </rrc>
  <rrc rId="67" sId="5" ref="A27:XFD27" action="deleteRow">
    <rfmt sheetId="5" xfDxf="1" sqref="A27:XFD27" start="0" length="0"/>
    <rcc rId="0" sId="5" dxf="1">
      <nc r="A27">
        <v>2</v>
      </nc>
      <ndxf>
        <alignment horizontal="left" vertical="top"/>
      </ndxf>
    </rcc>
    <rfmt sheetId="5" sqref="B27" start="0" length="0">
      <dxf>
        <alignment horizontal="left" vertical="top"/>
      </dxf>
    </rfmt>
    <rcc rId="0" sId="5">
      <nc r="C27">
        <f>_xlfn.TEXTSPLIT($D27, "_")</f>
      </nc>
    </rcc>
    <rcc rId="0" sId="5" dxf="1">
      <nc r="D27" t="inlineStr">
        <is>
          <t>C0064</t>
        </is>
      </nc>
      <ndxf>
        <alignment horizontal="left" vertical="top"/>
      </ndxf>
    </rcc>
    <rfmt sheetId="5" sqref="E27" start="0" length="0">
      <dxf>
        <alignment horizontal="left" vertical="top"/>
      </dxf>
    </rfmt>
    <rfmt sheetId="5" sqref="F27" start="0" length="0">
      <dxf>
        <alignment horizontal="left" vertical="top"/>
      </dxf>
    </rfmt>
    <rfmt sheetId="5" sqref="G27" start="0" length="0">
      <dxf>
        <alignment horizontal="left" vertical="top"/>
      </dxf>
    </rfmt>
    <rfmt sheetId="5" sqref="H27" start="0" length="0">
      <dxf>
        <alignment horizontal="left" vertical="top"/>
      </dxf>
    </rfmt>
    <rfmt sheetId="5" sqref="I27" start="0" length="0">
      <dxf>
        <alignment horizontal="left" vertical="top"/>
      </dxf>
    </rfmt>
    <rcc rId="0" sId="5" dxf="1">
      <nc r="J27">
        <f xml:space="preserve"> 312 - I27</f>
      </nc>
      <ndxf>
        <alignment horizontal="left" vertical="top"/>
      </ndxf>
    </rcc>
    <rcc rId="0" sId="5" dxf="1">
      <nc r="K27">
        <f>VLOOKUP(L27, $P$47:$R$52, 2, FALSE)</f>
      </nc>
      <ndxf>
        <alignment horizontal="left" vertical="top"/>
      </ndxf>
    </rcc>
    <rfmt sheetId="5" sqref="L27" start="0" length="0">
      <dxf>
        <alignment horizontal="left" vertical="top"/>
      </dxf>
    </rfmt>
    <rcc rId="0" sId="5" dxf="1">
      <nc r="M27">
        <f>1/((2*DEGREES(ATAN(0.5*$K27/$J27))))</f>
      </nc>
      <ndxf>
        <alignment horizontal="left" vertical="top"/>
      </ndxf>
    </rcc>
    <rfmt sheetId="5" sqref="N27" start="0" length="0">
      <dxf>
        <alignment horizontal="left" vertical="top" shrinkToFit="1"/>
      </dxf>
    </rfmt>
    <rfmt sheetId="5" sqref="O27" start="0" length="0">
      <dxf>
        <alignment horizontal="left" vertical="top" shrinkToFit="1"/>
      </dxf>
    </rfmt>
  </rrc>
  <rrc rId="68" sId="5" ref="A27:XFD27" action="deleteRow">
    <rfmt sheetId="5" xfDxf="1" sqref="A27:XFD27" start="0" length="0"/>
    <rcc rId="0" sId="5" dxf="1">
      <nc r="A27">
        <v>2</v>
      </nc>
      <ndxf>
        <alignment horizontal="left" vertical="top"/>
      </ndxf>
    </rcc>
    <rfmt sheetId="5" sqref="B27" start="0" length="0">
      <dxf>
        <alignment horizontal="left" vertical="top"/>
      </dxf>
    </rfmt>
    <rcc rId="0" sId="5">
      <nc r="C27">
        <f>_xlfn.TEXTSPLIT($D27, "_")</f>
      </nc>
    </rcc>
    <rcc rId="0" sId="5" dxf="1">
      <nc r="D27" t="inlineStr">
        <is>
          <t>C0063</t>
        </is>
      </nc>
      <ndxf>
        <alignment horizontal="left" vertical="top"/>
      </ndxf>
    </rcc>
    <rfmt sheetId="5" sqref="E27" start="0" length="0">
      <dxf>
        <alignment horizontal="left" vertical="top"/>
      </dxf>
    </rfmt>
    <rfmt sheetId="5" sqref="F27" start="0" length="0">
      <dxf>
        <alignment horizontal="left" vertical="top"/>
      </dxf>
    </rfmt>
    <rfmt sheetId="5" sqref="G27" start="0" length="0">
      <dxf>
        <alignment horizontal="left" vertical="top"/>
      </dxf>
    </rfmt>
    <rfmt sheetId="5" sqref="H27" start="0" length="0">
      <dxf>
        <alignment horizontal="left" vertical="top"/>
      </dxf>
    </rfmt>
    <rfmt sheetId="5" sqref="I27" start="0" length="0">
      <dxf>
        <alignment horizontal="left" vertical="top"/>
      </dxf>
    </rfmt>
    <rcc rId="0" sId="5" dxf="1">
      <nc r="J27">
        <f xml:space="preserve"> 312 - I27</f>
      </nc>
      <ndxf>
        <alignment horizontal="left" vertical="top"/>
      </ndxf>
    </rcc>
    <rcc rId="0" sId="5" dxf="1">
      <nc r="K27">
        <f>VLOOKUP(L27, $P$46:$R$51, 2, FALSE)</f>
      </nc>
      <ndxf>
        <alignment horizontal="left" vertical="top"/>
      </ndxf>
    </rcc>
    <rfmt sheetId="5" sqref="L27" start="0" length="0">
      <dxf>
        <alignment horizontal="left" vertical="top"/>
      </dxf>
    </rfmt>
    <rcc rId="0" sId="5" dxf="1">
      <nc r="M27">
        <f>1/((2*DEGREES(ATAN(0.5*$K27/$J27))))</f>
      </nc>
      <ndxf>
        <alignment horizontal="left" vertical="top"/>
      </ndxf>
    </rcc>
    <rfmt sheetId="5" sqref="N27" start="0" length="0">
      <dxf>
        <alignment horizontal="left" vertical="top" shrinkToFit="1"/>
      </dxf>
    </rfmt>
    <rfmt sheetId="5" sqref="O27" start="0" length="0">
      <dxf>
        <alignment horizontal="left" vertical="top" shrinkToFit="1"/>
      </dxf>
    </rfmt>
  </rrc>
  <rrc rId="69" sId="5" ref="A27:XFD27" action="deleteRow">
    <rfmt sheetId="5" xfDxf="1" sqref="A27:XFD27" start="0" length="0"/>
    <rcc rId="0" sId="5" dxf="1">
      <nc r="A27">
        <v>2</v>
      </nc>
      <ndxf>
        <alignment horizontal="left" vertical="top"/>
      </ndxf>
    </rcc>
    <rfmt sheetId="5" sqref="B27" start="0" length="0">
      <dxf>
        <alignment horizontal="left" vertical="top"/>
      </dxf>
    </rfmt>
    <rcc rId="0" sId="5">
      <nc r="C27">
        <f>_xlfn.TEXTSPLIT($D27, "_")</f>
      </nc>
    </rcc>
    <rcc rId="0" sId="5" dxf="1">
      <nc r="D27" t="inlineStr">
        <is>
          <t>C0062</t>
        </is>
      </nc>
      <ndxf>
        <alignment horizontal="left" vertical="top"/>
      </ndxf>
    </rcc>
    <rfmt sheetId="5" sqref="E27" start="0" length="0">
      <dxf>
        <alignment horizontal="left" vertical="top"/>
      </dxf>
    </rfmt>
    <rfmt sheetId="5" sqref="F27" start="0" length="0">
      <dxf>
        <alignment horizontal="left" vertical="top"/>
      </dxf>
    </rfmt>
    <rfmt sheetId="5" sqref="G27" start="0" length="0">
      <dxf>
        <alignment horizontal="left" vertical="top"/>
      </dxf>
    </rfmt>
    <rfmt sheetId="5" sqref="H27" start="0" length="0">
      <dxf>
        <alignment horizontal="left" vertical="top"/>
      </dxf>
    </rfmt>
    <rfmt sheetId="5" sqref="I27" start="0" length="0">
      <dxf>
        <alignment horizontal="left" vertical="top"/>
      </dxf>
    </rfmt>
    <rcc rId="0" sId="5" dxf="1">
      <nc r="J27">
        <f xml:space="preserve"> 312 - I27</f>
      </nc>
      <ndxf>
        <alignment horizontal="left" vertical="top"/>
      </ndxf>
    </rcc>
    <rcc rId="0" sId="5" dxf="1">
      <nc r="K27">
        <f>VLOOKUP(L27, $P$45:$R$50, 2, FALSE)</f>
      </nc>
      <ndxf>
        <alignment horizontal="left" vertical="top"/>
      </ndxf>
    </rcc>
    <rfmt sheetId="5" sqref="L27" start="0" length="0">
      <dxf>
        <alignment horizontal="left" vertical="top"/>
      </dxf>
    </rfmt>
    <rcc rId="0" sId="5" dxf="1">
      <nc r="M27">
        <f>1/((2*DEGREES(ATAN(0.5*$K27/$J27))))</f>
      </nc>
      <ndxf>
        <alignment horizontal="left" vertical="top"/>
      </ndxf>
    </rcc>
    <rfmt sheetId="5" sqref="N27" start="0" length="0">
      <dxf>
        <alignment horizontal="left" vertical="top" shrinkToFit="1"/>
      </dxf>
    </rfmt>
    <rfmt sheetId="5" sqref="O27" start="0" length="0">
      <dxf>
        <alignment horizontal="left" vertical="top" shrinkToFit="1"/>
      </dxf>
    </rfmt>
  </rrc>
  <rrc rId="70" sId="5" ref="A27:XFD27" action="deleteRow">
    <rfmt sheetId="5" xfDxf="1" sqref="A27:XFD27" start="0" length="0"/>
    <rcc rId="0" sId="5" dxf="1">
      <nc r="A27">
        <v>2</v>
      </nc>
      <ndxf>
        <alignment horizontal="left" vertical="top"/>
      </ndxf>
    </rcc>
    <rfmt sheetId="5" sqref="B27" start="0" length="0">
      <dxf>
        <alignment horizontal="left" vertical="top"/>
      </dxf>
    </rfmt>
    <rcc rId="0" sId="5">
      <nc r="C27">
        <f>_xlfn.TEXTSPLIT($D27, "_")</f>
      </nc>
    </rcc>
    <rcc rId="0" sId="5" dxf="1">
      <nc r="D27" t="inlineStr">
        <is>
          <t>C0075</t>
        </is>
      </nc>
      <ndxf>
        <alignment horizontal="left" vertical="top"/>
      </ndxf>
    </rcc>
    <rfmt sheetId="5" sqref="E27" start="0" length="0">
      <dxf>
        <alignment horizontal="left" vertical="top"/>
      </dxf>
    </rfmt>
    <rcc rId="0" sId="5" dxf="1">
      <nc r="F27" t="inlineStr">
        <is>
          <t>NA</t>
        </is>
      </nc>
      <ndxf>
        <alignment horizontal="left" vertical="top"/>
      </ndxf>
    </rcc>
    <rcc rId="0" sId="5" dxf="1">
      <nc r="G27" t="inlineStr">
        <is>
          <t>NA</t>
        </is>
      </nc>
      <ndxf>
        <alignment horizontal="left" vertical="top"/>
      </ndxf>
    </rcc>
    <rcc rId="0" sId="5" dxf="1">
      <nc r="H27" t="inlineStr">
        <is>
          <t>NA</t>
        </is>
      </nc>
      <ndxf>
        <alignment horizontal="left" vertical="top"/>
      </ndxf>
    </rcc>
    <rcc rId="0" sId="5" dxf="1">
      <nc r="I27" t="inlineStr">
        <is>
          <t>NA</t>
        </is>
      </nc>
      <ndxf>
        <alignment horizontal="left" vertical="top"/>
      </ndxf>
    </rcc>
    <rcc rId="0" sId="5" dxf="1">
      <nc r="J27">
        <f xml:space="preserve"> 312 - I27</f>
      </nc>
      <ndxf>
        <alignment horizontal="left" vertical="top"/>
      </ndxf>
    </rcc>
    <rcc rId="0" sId="5" dxf="1">
      <nc r="K27">
        <f>VLOOKUP(L27, $P$44:$R$49, 2, FALSE)</f>
      </nc>
      <ndxf>
        <alignment horizontal="left" vertical="top"/>
      </ndxf>
    </rcc>
    <rcc rId="0" sId="5" dxf="1">
      <nc r="L27" t="inlineStr">
        <is>
          <t>NA</t>
        </is>
      </nc>
      <ndxf>
        <alignment horizontal="left" vertical="top"/>
      </ndxf>
    </rcc>
    <rcc rId="0" sId="5" dxf="1">
      <nc r="M27">
        <f>1/((2*DEGREES(ATAN(0.5*$K27/$J27))))</f>
      </nc>
      <ndxf>
        <alignment horizontal="left" vertical="top"/>
      </ndxf>
    </rcc>
    <rcc rId="0" sId="5" dxf="1">
      <nc r="N27" t="inlineStr">
        <is>
          <t>NA</t>
        </is>
      </nc>
      <ndxf>
        <alignment horizontal="left" vertical="top" shrinkToFit="1"/>
      </ndxf>
    </rcc>
    <rcc rId="0" sId="5" dxf="1">
      <nc r="O27" t="inlineStr">
        <is>
          <t>no return on camera</t>
        </is>
      </nc>
      <ndxf>
        <alignment horizontal="left" vertical="top" shrinkToFit="1"/>
      </ndxf>
    </rcc>
  </rrc>
  <rrc rId="71" sId="5" ref="A27:XFD27" action="deleteRow">
    <rfmt sheetId="5" xfDxf="1" sqref="A27:XFD27" start="0" length="0"/>
    <rcc rId="0" sId="5" dxf="1">
      <nc r="A27">
        <v>2</v>
      </nc>
      <ndxf>
        <alignment horizontal="left" vertical="top"/>
      </ndxf>
    </rcc>
    <rfmt sheetId="5" sqref="B27" start="0" length="0">
      <dxf>
        <alignment horizontal="left" vertical="top"/>
      </dxf>
    </rfmt>
    <rcc rId="0" sId="5">
      <nc r="C27">
        <f>_xlfn.TEXTSPLIT($D27, "_")</f>
      </nc>
    </rcc>
    <rcc rId="0" sId="5" dxf="1">
      <nc r="D27" t="inlineStr">
        <is>
          <t>C0078</t>
        </is>
      </nc>
      <ndxf>
        <alignment horizontal="left" vertical="top"/>
      </ndxf>
    </rcc>
    <rfmt sheetId="5" sqref="E27" start="0" length="0">
      <dxf>
        <alignment horizontal="left" vertical="top"/>
      </dxf>
    </rfmt>
    <rcc rId="0" sId="5" dxf="1">
      <nc r="F27" t="inlineStr">
        <is>
          <t>NA</t>
        </is>
      </nc>
      <ndxf>
        <alignment horizontal="left" vertical="top"/>
      </ndxf>
    </rcc>
    <rcc rId="0" sId="5" dxf="1">
      <nc r="G27" t="inlineStr">
        <is>
          <t>NA</t>
        </is>
      </nc>
      <ndxf>
        <alignment horizontal="left" vertical="top"/>
      </ndxf>
    </rcc>
    <rcc rId="0" sId="5" dxf="1">
      <nc r="H27" t="inlineStr">
        <is>
          <t>NA</t>
        </is>
      </nc>
      <ndxf>
        <alignment horizontal="left" vertical="top"/>
      </ndxf>
    </rcc>
    <rcc rId="0" sId="5" dxf="1">
      <nc r="I27" t="inlineStr">
        <is>
          <t>NA</t>
        </is>
      </nc>
      <ndxf>
        <alignment horizontal="left" vertical="top"/>
      </ndxf>
    </rcc>
    <rcc rId="0" sId="5" dxf="1">
      <nc r="J27">
        <f xml:space="preserve"> 312 - I27</f>
      </nc>
      <ndxf>
        <alignment horizontal="left" vertical="top"/>
      </ndxf>
    </rcc>
    <rcc rId="0" sId="5" dxf="1">
      <nc r="K27">
        <f>VLOOKUP(L27, $P$43:$R$48, 2, FALSE)</f>
      </nc>
      <ndxf>
        <alignment horizontal="left" vertical="top"/>
      </ndxf>
    </rcc>
    <rcc rId="0" sId="5" dxf="1">
      <nc r="L27" t="inlineStr">
        <is>
          <t>NA</t>
        </is>
      </nc>
      <ndxf>
        <alignment horizontal="left" vertical="top"/>
      </ndxf>
    </rcc>
    <rcc rId="0" sId="5" dxf="1">
      <nc r="M27">
        <f>1/((2*DEGREES(ATAN(0.5*$K27/$J27))))</f>
      </nc>
      <ndxf>
        <alignment horizontal="left" vertical="top"/>
      </ndxf>
    </rcc>
    <rcc rId="0" sId="5" dxf="1">
      <nc r="N27" t="inlineStr">
        <is>
          <t>yes. First turn ignored in right arm</t>
        </is>
      </nc>
      <ndxf>
        <alignment horizontal="left" vertical="top" shrinkToFit="1"/>
      </ndxf>
    </rcc>
    <rfmt sheetId="5" sqref="O27" start="0" length="0">
      <dxf>
        <alignment horizontal="left" vertical="top" shrinkToFit="1"/>
      </dxf>
    </rfmt>
  </rrc>
  <rrc rId="72" sId="5" ref="A27:XFD27" action="deleteRow">
    <rfmt sheetId="5" xfDxf="1" sqref="A27:XFD27" start="0" length="0"/>
    <rcc rId="0" sId="5" dxf="1">
      <nc r="A27">
        <v>2</v>
      </nc>
      <ndxf>
        <alignment horizontal="left" vertical="top"/>
      </ndxf>
    </rcc>
    <rfmt sheetId="5" sqref="B27" start="0" length="0">
      <dxf>
        <alignment horizontal="left" vertical="top"/>
      </dxf>
    </rfmt>
    <rcc rId="0" sId="5">
      <nc r="C27">
        <f>_xlfn.TEXTSPLIT($D27, "_")</f>
      </nc>
    </rcc>
    <rcc rId="0" sId="5" dxf="1">
      <nc r="D27" t="inlineStr">
        <is>
          <t>C0082</t>
        </is>
      </nc>
      <ndxf>
        <alignment horizontal="left" vertical="top"/>
      </ndxf>
    </rcc>
    <rfmt sheetId="5" sqref="E27" start="0" length="0">
      <dxf>
        <alignment horizontal="left" vertical="top"/>
      </dxf>
    </rfmt>
    <rcc rId="0" sId="5" dxf="1">
      <nc r="F27" t="inlineStr">
        <is>
          <t>NA</t>
        </is>
      </nc>
      <ndxf>
        <alignment horizontal="left" vertical="top"/>
      </ndxf>
    </rcc>
    <rcc rId="0" sId="5" dxf="1">
      <nc r="G27" t="inlineStr">
        <is>
          <t>NA</t>
        </is>
      </nc>
      <ndxf>
        <alignment horizontal="left" vertical="top"/>
      </ndxf>
    </rcc>
    <rcc rId="0" sId="5" dxf="1">
      <nc r="H27" t="inlineStr">
        <is>
          <t>NA</t>
        </is>
      </nc>
      <ndxf>
        <alignment horizontal="left" vertical="top"/>
      </ndxf>
    </rcc>
    <rcc rId="0" sId="5" dxf="1">
      <nc r="I27" t="inlineStr">
        <is>
          <t>NA</t>
        </is>
      </nc>
      <ndxf>
        <alignment horizontal="left" vertical="top"/>
      </ndxf>
    </rcc>
    <rcc rId="0" sId="5" dxf="1">
      <nc r="J27">
        <f xml:space="preserve"> 312 - I27</f>
      </nc>
      <ndxf>
        <alignment horizontal="left" vertical="top"/>
      </ndxf>
    </rcc>
    <rcc rId="0" sId="5" dxf="1">
      <nc r="K27">
        <f>VLOOKUP(L27, $P$42:$R$47, 2, FALSE)</f>
      </nc>
      <ndxf>
        <alignment horizontal="left" vertical="top"/>
      </ndxf>
    </rcc>
    <rcc rId="0" sId="5" dxf="1">
      <nc r="L27" t="inlineStr">
        <is>
          <t>NA</t>
        </is>
      </nc>
      <ndxf>
        <alignment horizontal="left" vertical="top"/>
      </ndxf>
    </rcc>
    <rcc rId="0" sId="5" dxf="1">
      <nc r="M27">
        <f>1/((2*DEGREES(ATAN(0.5*$K27/$J27))))</f>
      </nc>
      <ndxf>
        <alignment horizontal="left" vertical="top"/>
      </ndxf>
    </rcc>
    <rfmt sheetId="5" sqref="N27" start="0" length="0">
      <dxf>
        <alignment horizontal="left" vertical="top" shrinkToFit="1"/>
      </dxf>
    </rfmt>
    <rfmt sheetId="5" sqref="O27" start="0" length="0">
      <dxf>
        <alignment horizontal="left" vertical="top" shrinkToFit="1"/>
      </dxf>
    </rfmt>
  </rrc>
  <rrc rId="73" sId="5" ref="A27:XFD27" action="deleteRow">
    <rfmt sheetId="5" xfDxf="1" sqref="A27:XFD27" start="0" length="0"/>
    <rcc rId="0" sId="5" dxf="1">
      <nc r="A27">
        <v>2</v>
      </nc>
      <ndxf>
        <alignment horizontal="left" vertical="top"/>
      </ndxf>
    </rcc>
    <rcc rId="0" sId="5" dxf="1" numFmtId="19">
      <nc r="B27">
        <v>45385</v>
      </nc>
      <ndxf>
        <numFmt numFmtId="19" formatCode="yyyy/mm/dd"/>
        <alignment horizontal="left" vertical="top"/>
      </ndxf>
    </rcc>
    <rcc rId="0" sId="5">
      <nc r="C27">
        <f>_xlfn.TEXTSPLIT($D27, "_")</f>
      </nc>
    </rcc>
    <rcc rId="0" sId="5" dxf="1">
      <nc r="D27" t="inlineStr">
        <is>
          <t>C0087</t>
        </is>
      </nc>
      <ndxf>
        <alignment horizontal="left" vertical="top"/>
      </ndxf>
    </rcc>
    <rfmt sheetId="5" sqref="E27" start="0" length="0">
      <dxf>
        <alignment horizontal="left" vertical="top"/>
      </dxf>
    </rfmt>
    <rcc rId="0" sId="5" dxf="1">
      <nc r="F27" t="inlineStr">
        <is>
          <t>NA</t>
        </is>
      </nc>
      <ndxf>
        <alignment horizontal="left" vertical="top"/>
      </ndxf>
    </rcc>
    <rcc rId="0" sId="5" dxf="1">
      <nc r="G27" t="inlineStr">
        <is>
          <t>NA</t>
        </is>
      </nc>
      <ndxf>
        <alignment horizontal="left" vertical="top"/>
      </ndxf>
    </rcc>
    <rcc rId="0" sId="5" dxf="1">
      <nc r="H27" t="inlineStr">
        <is>
          <t>NA</t>
        </is>
      </nc>
      <ndxf>
        <alignment horizontal="left" vertical="top"/>
      </ndxf>
    </rcc>
    <rcc rId="0" sId="5" dxf="1">
      <nc r="I27" t="inlineStr">
        <is>
          <t>NA</t>
        </is>
      </nc>
      <ndxf>
        <alignment horizontal="left" vertical="top"/>
      </ndxf>
    </rcc>
    <rcc rId="0" sId="5" dxf="1">
      <nc r="J27">
        <f xml:space="preserve"> 312 - I27</f>
      </nc>
      <ndxf>
        <alignment horizontal="left" vertical="top"/>
      </ndxf>
    </rcc>
    <rcc rId="0" sId="5" dxf="1">
      <nc r="K27">
        <f>VLOOKUP(L27, $P$41:$R$46, 2, FALSE)</f>
      </nc>
      <ndxf>
        <alignment horizontal="left" vertical="top"/>
      </ndxf>
    </rcc>
    <rcc rId="0" sId="5" dxf="1">
      <nc r="L27" t="inlineStr">
        <is>
          <t>NA</t>
        </is>
      </nc>
      <ndxf>
        <alignment horizontal="left" vertical="top"/>
      </ndxf>
    </rcc>
    <rcc rId="0" sId="5" dxf="1">
      <nc r="M27">
        <f>1/((2*DEGREES(ATAN(0.5*$K27/$J27))))</f>
      </nc>
      <ndxf>
        <alignment horizontal="left" vertical="top"/>
      </ndxf>
    </rcc>
    <rcc rId="0" sId="5" dxf="1">
      <nc r="N27" t="inlineStr">
        <is>
          <t>yes. First turn ignored in right arm</t>
        </is>
      </nc>
      <ndxf>
        <alignment horizontal="left" vertical="top" shrinkToFit="1"/>
      </ndxf>
    </rcc>
    <rfmt sheetId="5" sqref="O27" start="0" length="0">
      <dxf>
        <alignment horizontal="left" vertical="top" shrinkToFit="1"/>
      </dxf>
    </rfmt>
  </rrc>
  <rrc rId="74" sId="5" ref="A27:XFD27" action="deleteRow">
    <rfmt sheetId="5" xfDxf="1" sqref="A27:XFD27" start="0" length="0"/>
    <rcc rId="0" sId="5" dxf="1">
      <nc r="A27">
        <v>2</v>
      </nc>
      <ndxf>
        <alignment horizontal="left" vertical="top"/>
      </ndxf>
    </rcc>
    <rcc rId="0" sId="5" dxf="1">
      <nc r="B27" t="inlineStr">
        <is>
          <t>NA</t>
        </is>
      </nc>
      <ndxf>
        <alignment horizontal="left" vertical="top"/>
      </ndxf>
    </rcc>
    <rcc rId="0" sId="5">
      <nc r="C27">
        <f>_xlfn.TEXTSPLIT($D27, "_")</f>
      </nc>
    </rcc>
    <rcc rId="0" sId="5" dxf="1">
      <nc r="D27" t="inlineStr">
        <is>
          <t>C0057</t>
        </is>
      </nc>
      <ndxf>
        <alignment horizontal="left" vertical="top"/>
      </ndxf>
    </rcc>
    <rfmt sheetId="5" sqref="E27" start="0" length="0">
      <dxf>
        <alignment horizontal="left" vertical="top"/>
      </dxf>
    </rfmt>
    <rcc rId="0" sId="5" dxf="1">
      <nc r="F27" t="inlineStr">
        <is>
          <t>NA</t>
        </is>
      </nc>
      <ndxf>
        <alignment horizontal="left" vertical="top"/>
      </ndxf>
    </rcc>
    <rcc rId="0" sId="5" dxf="1">
      <nc r="G27" t="inlineStr">
        <is>
          <t>NA</t>
        </is>
      </nc>
      <ndxf>
        <alignment horizontal="left" vertical="top"/>
      </ndxf>
    </rcc>
    <rcc rId="0" sId="5" dxf="1">
      <nc r="H27" t="inlineStr">
        <is>
          <t>NA</t>
        </is>
      </nc>
      <ndxf>
        <alignment horizontal="left" vertical="top"/>
      </ndxf>
    </rcc>
    <rcc rId="0" sId="5" dxf="1">
      <nc r="I27" t="inlineStr">
        <is>
          <t>NA</t>
        </is>
      </nc>
      <ndxf>
        <alignment horizontal="left" vertical="top"/>
      </ndxf>
    </rcc>
    <rcc rId="0" sId="5" dxf="1">
      <nc r="J27">
        <f xml:space="preserve"> 312 - I27</f>
      </nc>
      <ndxf>
        <alignment horizontal="left" vertical="top"/>
      </ndxf>
    </rcc>
    <rcc rId="0" sId="5" dxf="1">
      <nc r="K27">
        <f>VLOOKUP(L27, $P$40:$R$45, 2, FALSE)</f>
      </nc>
      <ndxf>
        <alignment horizontal="left" vertical="top"/>
      </ndxf>
    </rcc>
    <rcc rId="0" sId="5" dxf="1">
      <nc r="L27" t="inlineStr">
        <is>
          <t>NA</t>
        </is>
      </nc>
      <ndxf>
        <alignment horizontal="left" vertical="top"/>
      </ndxf>
    </rcc>
    <rcc rId="0" sId="5" dxf="1">
      <nc r="M27">
        <f>1/((2*DEGREES(ATAN(0.5*$K27/$J27))))</f>
      </nc>
      <ndxf>
        <alignment horizontal="left" vertical="top"/>
      </ndxf>
    </rcc>
    <rfmt sheetId="5" sqref="N27" start="0" length="0">
      <dxf>
        <alignment vertical="top" shrinkToFit="1"/>
      </dxf>
    </rfmt>
    <rcc rId="0" sId="5" dxf="1">
      <nc r="O27" t="inlineStr">
        <is>
          <t>correct decision</t>
        </is>
      </nc>
      <ndxf>
        <alignment horizontal="left" vertical="top" shrinkToFit="1"/>
      </ndxf>
    </rcc>
  </rrc>
  <rrc rId="75" sId="5" ref="A27:XFD27" action="deleteRow">
    <rfmt sheetId="5" xfDxf="1" sqref="A27:XFD27" start="0" length="0"/>
    <rcc rId="0" sId="5" dxf="1">
      <nc r="A27">
        <v>2</v>
      </nc>
      <ndxf>
        <alignment horizontal="left" vertical="top"/>
      </ndxf>
    </rcc>
    <rcc rId="0" sId="5" dxf="1">
      <nc r="B27" t="inlineStr">
        <is>
          <t>NA</t>
        </is>
      </nc>
      <ndxf>
        <alignment horizontal="left" vertical="top"/>
      </ndxf>
    </rcc>
    <rcc rId="0" sId="5">
      <nc r="C27">
        <f>_xlfn.TEXTSPLIT($D27, "_")</f>
      </nc>
    </rcc>
    <rcc rId="0" sId="5" dxf="1">
      <nc r="D27" t="inlineStr">
        <is>
          <t>C0070</t>
        </is>
      </nc>
      <ndxf>
        <alignment horizontal="left" vertical="top"/>
      </ndxf>
    </rcc>
    <rfmt sheetId="5" sqref="E27" start="0" length="0">
      <dxf>
        <alignment horizontal="left" vertical="top"/>
      </dxf>
    </rfmt>
    <rcc rId="0" sId="5" dxf="1">
      <nc r="F27" t="inlineStr">
        <is>
          <t>NA</t>
        </is>
      </nc>
      <ndxf>
        <alignment horizontal="left" vertical="top"/>
      </ndxf>
    </rcc>
    <rcc rId="0" sId="5" dxf="1">
      <nc r="G27" t="inlineStr">
        <is>
          <t>NA</t>
        </is>
      </nc>
      <ndxf>
        <alignment horizontal="left" vertical="top"/>
      </ndxf>
    </rcc>
    <rcc rId="0" sId="5" dxf="1">
      <nc r="H27" t="inlineStr">
        <is>
          <t>NA</t>
        </is>
      </nc>
      <ndxf>
        <alignment horizontal="left" vertical="top"/>
      </ndxf>
    </rcc>
    <rcc rId="0" sId="5" dxf="1">
      <nc r="I27" t="inlineStr">
        <is>
          <t>NA</t>
        </is>
      </nc>
      <ndxf>
        <alignment horizontal="left" vertical="top"/>
      </ndxf>
    </rcc>
    <rcc rId="0" sId="5" dxf="1">
      <nc r="J27">
        <f xml:space="preserve"> 312 - I27</f>
      </nc>
      <ndxf>
        <alignment horizontal="left" vertical="top"/>
      </ndxf>
    </rcc>
    <rcc rId="0" sId="5" dxf="1">
      <nc r="K27">
        <f>VLOOKUP(L27, $P$39:$R$44, 2, FALSE)</f>
      </nc>
      <ndxf>
        <alignment horizontal="left" vertical="top"/>
      </ndxf>
    </rcc>
    <rcc rId="0" sId="5" dxf="1">
      <nc r="L27" t="inlineStr">
        <is>
          <t>NA</t>
        </is>
      </nc>
      <ndxf>
        <alignment horizontal="left" vertical="top"/>
      </ndxf>
    </rcc>
    <rcc rId="0" sId="5" dxf="1">
      <nc r="M27">
        <f>1/((2*DEGREES(ATAN(0.5*$K27/$J27))))</f>
      </nc>
      <ndxf>
        <alignment horizontal="left" vertical="top"/>
      </ndxf>
    </rcc>
    <rcc rId="0" sId="5" dxf="1">
      <nc r="N27" t="inlineStr">
        <is>
          <t>NA</t>
        </is>
      </nc>
      <ndxf>
        <alignment horizontal="left" vertical="top" shrinkToFit="1"/>
      </ndxf>
    </rcc>
    <rcc rId="0" sId="5" dxf="1">
      <nc r="O27" t="inlineStr">
        <is>
          <t>correct decision</t>
        </is>
      </nc>
      <ndxf>
        <alignment horizontal="left" vertical="top" shrinkToFit="1"/>
      </ndxf>
    </rcc>
  </rrc>
  <rrc rId="76" sId="5" ref="A27:XFD27" action="deleteRow">
    <rfmt sheetId="5" xfDxf="1" sqref="A27:XFD27" start="0" length="0"/>
    <rcc rId="0" sId="5" dxf="1">
      <nc r="A27">
        <v>2</v>
      </nc>
      <ndxf>
        <alignment horizontal="left" vertical="top"/>
      </ndxf>
    </rcc>
    <rfmt sheetId="5" sqref="B27" start="0" length="0">
      <dxf>
        <alignment horizontal="left" vertical="top"/>
      </dxf>
    </rfmt>
    <rcc rId="0" sId="5">
      <nc r="C27">
        <f>_xlfn.TEXTSPLIT($D27, "_")</f>
      </nc>
    </rcc>
    <rcc rId="0" sId="5" dxf="1">
      <nc r="D27" t="inlineStr">
        <is>
          <t>C0082_2</t>
        </is>
      </nc>
      <ndxf>
        <alignment horizontal="left" vertical="top"/>
      </ndxf>
    </rcc>
    <rfmt sheetId="5" sqref="E27" start="0" length="0">
      <dxf>
        <alignment horizontal="left" vertical="top"/>
      </dxf>
    </rfmt>
    <rcc rId="0" sId="5" dxf="1">
      <nc r="F27" t="inlineStr">
        <is>
          <t>NA</t>
        </is>
      </nc>
      <ndxf>
        <alignment horizontal="left" vertical="top"/>
      </ndxf>
    </rcc>
    <rcc rId="0" sId="5" dxf="1">
      <nc r="G27" t="inlineStr">
        <is>
          <t>NA</t>
        </is>
      </nc>
      <ndxf>
        <alignment horizontal="left" vertical="top"/>
      </ndxf>
    </rcc>
    <rcc rId="0" sId="5" dxf="1">
      <nc r="H27" t="inlineStr">
        <is>
          <t>NA</t>
        </is>
      </nc>
      <ndxf>
        <alignment horizontal="left" vertical="top"/>
      </ndxf>
    </rcc>
    <rcc rId="0" sId="5" dxf="1">
      <nc r="I27" t="inlineStr">
        <is>
          <t>NA</t>
        </is>
      </nc>
      <ndxf>
        <alignment horizontal="left" vertical="top"/>
      </ndxf>
    </rcc>
    <rcc rId="0" sId="5" dxf="1">
      <nc r="J27">
        <f xml:space="preserve"> 312 - I27</f>
      </nc>
      <ndxf>
        <alignment horizontal="left" vertical="top"/>
      </ndxf>
    </rcc>
    <rcc rId="0" sId="5" dxf="1">
      <nc r="K27">
        <f>VLOOKUP(L27, $P$38:$R$43, 2, FALSE)</f>
      </nc>
      <ndxf>
        <alignment horizontal="left" vertical="top"/>
      </ndxf>
    </rcc>
    <rcc rId="0" sId="5" dxf="1">
      <nc r="L27" t="inlineStr">
        <is>
          <t>NA</t>
        </is>
      </nc>
      <ndxf>
        <alignment horizontal="left" vertical="top"/>
      </ndxf>
    </rcc>
    <rcc rId="0" sId="5" dxf="1">
      <nc r="M27">
        <f>1/((2*DEGREES(ATAN(0.5*$K27/$J27))))</f>
      </nc>
      <ndxf>
        <alignment horizontal="left" vertical="top"/>
      </ndxf>
    </rcc>
    <rcc rId="0" sId="5" dxf="1">
      <nc r="N27" t="inlineStr">
        <is>
          <t>yes. Ignored first turn in right arm. In a previous video (C0074), the bee turns in the right arm despite the correct pattern being there. Evidence that this is just a habit turn for her.</t>
        </is>
      </nc>
      <ndxf>
        <alignment horizontal="left" vertical="top" shrinkToFit="1"/>
      </ndxf>
    </rcc>
    <rfmt sheetId="5" sqref="O27" start="0" length="0">
      <dxf>
        <alignment horizontal="left" vertical="top" shrinkToFit="1"/>
      </dxf>
    </rfmt>
  </rrc>
  <rrc rId="77" sId="5" ref="A27:XFD27" action="deleteRow">
    <rfmt sheetId="5" xfDxf="1" sqref="A27:XFD27" start="0" length="0"/>
    <rcc rId="0" sId="5" dxf="1">
      <nc r="A27">
        <v>2</v>
      </nc>
      <ndxf>
        <alignment horizontal="left" vertical="top"/>
      </ndxf>
    </rcc>
    <rcc rId="0" sId="5" dxf="1">
      <nc r="B27" t="inlineStr">
        <is>
          <t>NA</t>
        </is>
      </nc>
      <ndxf>
        <alignment horizontal="left" vertical="top"/>
      </ndxf>
    </rcc>
    <rcc rId="0" sId="5">
      <nc r="C27">
        <f>_xlfn.TEXTSPLIT($D27, "_")</f>
      </nc>
    </rcc>
    <rcc rId="0" sId="5" dxf="1">
      <nc r="D27" t="inlineStr">
        <is>
          <t>C0054</t>
        </is>
      </nc>
      <ndxf>
        <alignment horizontal="left" vertical="top"/>
      </ndxf>
    </rcc>
    <rfmt sheetId="5" sqref="E27" start="0" length="0">
      <dxf>
        <alignment horizontal="left" vertical="top"/>
      </dxf>
    </rfmt>
    <rcc rId="0" sId="5" dxf="1">
      <nc r="F27" t="inlineStr">
        <is>
          <t>NA</t>
        </is>
      </nc>
      <ndxf>
        <alignment horizontal="left" vertical="top"/>
      </ndxf>
    </rcc>
    <rcc rId="0" sId="5" dxf="1">
      <nc r="G27" t="inlineStr">
        <is>
          <t>NA</t>
        </is>
      </nc>
      <ndxf>
        <alignment horizontal="left" vertical="top"/>
      </ndxf>
    </rcc>
    <rcc rId="0" sId="5" dxf="1">
      <nc r="H27" t="inlineStr">
        <is>
          <t>NA</t>
        </is>
      </nc>
      <ndxf>
        <alignment horizontal="left" vertical="top"/>
      </ndxf>
    </rcc>
    <rcc rId="0" sId="5" dxf="1">
      <nc r="I27" t="inlineStr">
        <is>
          <t>NA</t>
        </is>
      </nc>
      <ndxf>
        <alignment horizontal="left" vertical="top"/>
      </ndxf>
    </rcc>
    <rcc rId="0" sId="5" dxf="1">
      <nc r="J27">
        <f xml:space="preserve"> 312 - I27</f>
      </nc>
      <ndxf>
        <alignment horizontal="left" vertical="top"/>
      </ndxf>
    </rcc>
    <rcc rId="0" sId="5" dxf="1">
      <nc r="K27">
        <f>VLOOKUP(L27, $P$37:$R$42, 2, FALSE)</f>
      </nc>
      <ndxf>
        <alignment horizontal="left" vertical="top"/>
      </ndxf>
    </rcc>
    <rcc rId="0" sId="5" dxf="1">
      <nc r="L27" t="inlineStr">
        <is>
          <t>NA</t>
        </is>
      </nc>
      <ndxf>
        <alignment horizontal="left" vertical="top"/>
      </ndxf>
    </rcc>
    <rcc rId="0" sId="5" dxf="1">
      <nc r="M27">
        <f>1/((2*DEGREES(ATAN(0.5*$K27/$J27))))</f>
      </nc>
      <ndxf>
        <alignment horizontal="left" vertical="top"/>
      </ndxf>
    </rcc>
    <rfmt sheetId="5" sqref="N27" start="0" length="0">
      <dxf>
        <alignment vertical="top" shrinkToFit="1"/>
      </dxf>
    </rfmt>
    <rcc rId="0" sId="5" dxf="1">
      <nc r="O27" t="inlineStr">
        <is>
          <t>correct decision</t>
        </is>
      </nc>
      <ndxf>
        <alignment horizontal="left" vertical="top" shrinkToFit="1"/>
      </ndxf>
    </rcc>
  </rrc>
  <rrc rId="78" sId="5" ref="A27:XFD27" action="deleteRow">
    <rfmt sheetId="5" xfDxf="1" sqref="A27:XFD27" start="0" length="0"/>
    <rcc rId="0" sId="5" dxf="1">
      <nc r="A27">
        <v>2</v>
      </nc>
      <ndxf>
        <alignment horizontal="left" vertical="top"/>
      </ndxf>
    </rcc>
    <rcc rId="0" sId="5">
      <nc r="B27" t="inlineStr">
        <is>
          <t>NA</t>
        </is>
      </nc>
    </rcc>
    <rcc rId="0" sId="5">
      <nc r="C27">
        <f>_xlfn.TEXTSPLIT($D27, "_")</f>
      </nc>
    </rcc>
    <rcc rId="0" sId="5" dxf="1">
      <nc r="D27" t="inlineStr">
        <is>
          <t>C0051</t>
        </is>
      </nc>
      <ndxf>
        <alignment horizontal="left" vertical="top"/>
      </ndxf>
    </rcc>
    <rfmt sheetId="5" sqref="E27" start="0" length="0">
      <dxf>
        <alignment horizontal="left" vertical="top"/>
      </dxf>
    </rfmt>
    <rcc rId="0" sId="5">
      <nc r="F27" t="inlineStr">
        <is>
          <t>NA</t>
        </is>
      </nc>
    </rcc>
    <rcc rId="0" sId="5">
      <nc r="G27" t="inlineStr">
        <is>
          <t>NA</t>
        </is>
      </nc>
    </rcc>
    <rcc rId="0" sId="5">
      <nc r="H27" t="inlineStr">
        <is>
          <t>NA</t>
        </is>
      </nc>
    </rcc>
    <rcc rId="0" sId="5">
      <nc r="I27" t="inlineStr">
        <is>
          <t>NA</t>
        </is>
      </nc>
    </rcc>
    <rcc rId="0" sId="5" dxf="1">
      <nc r="J27">
        <f xml:space="preserve"> 312 - I27</f>
      </nc>
      <ndxf>
        <alignment horizontal="left" vertical="top"/>
      </ndxf>
    </rcc>
    <rcc rId="0" sId="5" dxf="1">
      <nc r="K27">
        <f>VLOOKUP(L27, $P$36:$R$41, 2, FALSE)</f>
      </nc>
      <ndxf>
        <alignment horizontal="left" vertical="top"/>
      </ndxf>
    </rcc>
    <rcc rId="0" sId="5">
      <nc r="L27" t="inlineStr">
        <is>
          <t>NA</t>
        </is>
      </nc>
    </rcc>
    <rcc rId="0" sId="5" dxf="1">
      <nc r="M27">
        <f>1/((2*DEGREES(ATAN(0.5*$K27/$J27))))</f>
      </nc>
      <ndxf>
        <alignment horizontal="left" vertical="top"/>
      </ndxf>
    </rcc>
    <rfmt sheetId="5" sqref="N27" start="0" length="0">
      <dxf>
        <alignment vertical="top" shrinkToFit="1"/>
      </dxf>
    </rfmt>
    <rcc rId="0" sId="5" dxf="1">
      <nc r="O27" t="inlineStr">
        <is>
          <t>correct decision</t>
        </is>
      </nc>
      <ndxf>
        <alignment vertical="top" shrinkToFit="1"/>
      </ndxf>
    </rcc>
  </rrc>
  <rrc rId="79" sId="5" ref="A27:XFD27" action="deleteRow">
    <rfmt sheetId="5" xfDxf="1" sqref="A27:XFD27" start="0" length="0"/>
    <rcc rId="0" sId="5" dxf="1">
      <nc r="A27">
        <v>2</v>
      </nc>
      <ndxf>
        <alignment horizontal="left" vertical="top"/>
      </ndxf>
    </rcc>
    <rcc rId="0" sId="5">
      <nc r="B27" t="inlineStr">
        <is>
          <t>NA</t>
        </is>
      </nc>
    </rcc>
    <rcc rId="0" sId="5">
      <nc r="C27">
        <f>_xlfn.TEXTSPLIT($D27, "_")</f>
      </nc>
    </rcc>
    <rcc rId="0" sId="5" dxf="1">
      <nc r="D27" t="inlineStr">
        <is>
          <t>C0054_2</t>
        </is>
      </nc>
      <ndxf>
        <alignment horizontal="left" vertical="top"/>
      </ndxf>
    </rcc>
    <rfmt sheetId="5" sqref="E27" start="0" length="0">
      <dxf>
        <alignment horizontal="left" vertical="top"/>
      </dxf>
    </rfmt>
    <rcc rId="0" sId="5">
      <nc r="F27" t="inlineStr">
        <is>
          <t>NA</t>
        </is>
      </nc>
    </rcc>
    <rcc rId="0" sId="5">
      <nc r="G27" t="inlineStr">
        <is>
          <t>NA</t>
        </is>
      </nc>
    </rcc>
    <rcc rId="0" sId="5">
      <nc r="H27" t="inlineStr">
        <is>
          <t>NA</t>
        </is>
      </nc>
    </rcc>
    <rcc rId="0" sId="5">
      <nc r="I27" t="inlineStr">
        <is>
          <t>NA</t>
        </is>
      </nc>
    </rcc>
    <rcc rId="0" sId="5" dxf="1">
      <nc r="J27">
        <f xml:space="preserve"> 312 - I27</f>
      </nc>
      <ndxf>
        <alignment horizontal="left" vertical="top"/>
      </ndxf>
    </rcc>
    <rcc rId="0" sId="5" dxf="1">
      <nc r="K27">
        <f>VLOOKUP(L27, $P$35:$R$40, 2, FALSE)</f>
      </nc>
      <ndxf>
        <alignment horizontal="left" vertical="top"/>
      </ndxf>
    </rcc>
    <rcc rId="0" sId="5">
      <nc r="L27" t="inlineStr">
        <is>
          <t>NA</t>
        </is>
      </nc>
    </rcc>
    <rcc rId="0" sId="5" dxf="1">
      <nc r="M27">
        <f>1/((2*DEGREES(ATAN(0.5*$K27/$J27))))</f>
      </nc>
      <ndxf>
        <alignment horizontal="left" vertical="top"/>
      </ndxf>
    </rcc>
    <rfmt sheetId="5" sqref="N27" start="0" length="0">
      <dxf>
        <alignment vertical="top" shrinkToFit="1"/>
      </dxf>
    </rfmt>
    <rcc rId="0" sId="5" dxf="1">
      <nc r="O27" t="inlineStr">
        <is>
          <t>correct decision</t>
        </is>
      </nc>
      <ndxf>
        <alignment vertical="top" shrinkToFit="1"/>
      </ndxf>
    </rcc>
  </rrc>
  <rrc rId="80" sId="5" ref="A27:XFD27" action="deleteRow">
    <rfmt sheetId="5" xfDxf="1" sqref="A27:XFD27" start="0" length="0"/>
    <rcc rId="0" sId="5" dxf="1">
      <nc r="A27">
        <v>2</v>
      </nc>
      <ndxf>
        <alignment horizontal="left" vertical="top"/>
      </ndxf>
    </rcc>
    <rcc rId="0" sId="5">
      <nc r="B27" t="inlineStr">
        <is>
          <t>NA</t>
        </is>
      </nc>
    </rcc>
    <rcc rId="0" sId="5">
      <nc r="C27">
        <f>_xlfn.TEXTSPLIT($D27, "_")</f>
      </nc>
    </rcc>
    <rcc rId="0" sId="5" dxf="1">
      <nc r="D27" t="inlineStr">
        <is>
          <t>C0050</t>
        </is>
      </nc>
      <ndxf>
        <alignment horizontal="left" vertical="top"/>
      </ndxf>
    </rcc>
    <rfmt sheetId="5" sqref="E27" start="0" length="0">
      <dxf>
        <alignment horizontal="left" vertical="top"/>
      </dxf>
    </rfmt>
    <rcc rId="0" sId="5">
      <nc r="F27" t="inlineStr">
        <is>
          <t>NA</t>
        </is>
      </nc>
    </rcc>
    <rcc rId="0" sId="5">
      <nc r="G27" t="inlineStr">
        <is>
          <t>NA</t>
        </is>
      </nc>
    </rcc>
    <rcc rId="0" sId="5">
      <nc r="H27" t="inlineStr">
        <is>
          <t>NA</t>
        </is>
      </nc>
    </rcc>
    <rcc rId="0" sId="5">
      <nc r="I27" t="inlineStr">
        <is>
          <t>NA</t>
        </is>
      </nc>
    </rcc>
    <rcc rId="0" sId="5" dxf="1">
      <nc r="J27">
        <f xml:space="preserve"> 312 - I27</f>
      </nc>
      <ndxf>
        <alignment horizontal="left" vertical="top"/>
      </ndxf>
    </rcc>
    <rcc rId="0" sId="5" dxf="1">
      <nc r="K27">
        <f>VLOOKUP(L27, $P$34:$R$39, 2, FALSE)</f>
      </nc>
      <ndxf>
        <alignment horizontal="left" vertical="top"/>
      </ndxf>
    </rcc>
    <rcc rId="0" sId="5">
      <nc r="L27" t="inlineStr">
        <is>
          <t>NA</t>
        </is>
      </nc>
    </rcc>
    <rcc rId="0" sId="5" dxf="1">
      <nc r="M27">
        <f>1/((2*DEGREES(ATAN(0.5*$K27/$J27))))</f>
      </nc>
      <ndxf>
        <alignment horizontal="left" vertical="top"/>
      </ndxf>
    </rcc>
    <rfmt sheetId="5" sqref="N27" start="0" length="0">
      <dxf>
        <alignment vertical="top" shrinkToFit="1"/>
      </dxf>
    </rfmt>
    <rcc rId="0" sId="5" dxf="1">
      <nc r="O27" t="inlineStr">
        <is>
          <t>correct decision</t>
        </is>
      </nc>
      <ndxf>
        <alignment vertical="top" shrinkToFit="1"/>
      </ndxf>
    </rcc>
  </rrc>
  <rrc rId="81" sId="5" ref="A27:XFD27" action="deleteRow">
    <rfmt sheetId="5" xfDxf="1" sqref="A27:XFD27" start="0" length="0"/>
    <rcc rId="0" sId="5" dxf="1">
      <nc r="A27">
        <v>2</v>
      </nc>
      <ndxf>
        <alignment horizontal="left" vertical="top"/>
      </ndxf>
    </rcc>
    <rcc rId="0" sId="5">
      <nc r="B27" t="inlineStr">
        <is>
          <t>NA</t>
        </is>
      </nc>
    </rcc>
    <rcc rId="0" sId="5">
      <nc r="C27">
        <f>_xlfn.TEXTSPLIT($D27, "_")</f>
      </nc>
    </rcc>
    <rcc rId="0" sId="5" dxf="1">
      <nc r="D27" t="inlineStr">
        <is>
          <t>C0044</t>
        </is>
      </nc>
      <ndxf>
        <alignment horizontal="left" vertical="top"/>
      </ndxf>
    </rcc>
    <rfmt sheetId="5" sqref="E27" start="0" length="0">
      <dxf>
        <alignment horizontal="left" vertical="top"/>
      </dxf>
    </rfmt>
    <rcc rId="0" sId="5">
      <nc r="F27" t="inlineStr">
        <is>
          <t>NA</t>
        </is>
      </nc>
    </rcc>
    <rcc rId="0" sId="5">
      <nc r="G27" t="inlineStr">
        <is>
          <t>NA</t>
        </is>
      </nc>
    </rcc>
    <rcc rId="0" sId="5">
      <nc r="H27" t="inlineStr">
        <is>
          <t>NA</t>
        </is>
      </nc>
    </rcc>
    <rcc rId="0" sId="5">
      <nc r="I27" t="inlineStr">
        <is>
          <t>NA</t>
        </is>
      </nc>
    </rcc>
    <rcc rId="0" sId="5" dxf="1">
      <nc r="J27">
        <f xml:space="preserve"> 312 - I27</f>
      </nc>
      <ndxf>
        <alignment horizontal="left" vertical="top"/>
      </ndxf>
    </rcc>
    <rcc rId="0" sId="5" dxf="1">
      <nc r="K27">
        <f>VLOOKUP(L27, $P$33:$R$38, 2, FALSE)</f>
      </nc>
      <ndxf>
        <alignment horizontal="left" vertical="top"/>
      </ndxf>
    </rcc>
    <rcc rId="0" sId="5">
      <nc r="L27" t="inlineStr">
        <is>
          <t>NA</t>
        </is>
      </nc>
    </rcc>
    <rcc rId="0" sId="5" dxf="1">
      <nc r="M27">
        <f>1/((2*DEGREES(ATAN(0.5*$K27/$J27))))</f>
      </nc>
      <ndxf>
        <alignment horizontal="left" vertical="top"/>
      </ndxf>
    </rcc>
    <rfmt sheetId="5" sqref="N27" start="0" length="0">
      <dxf>
        <alignment vertical="top" shrinkToFit="1"/>
      </dxf>
    </rfmt>
    <rcc rId="0" sId="5" dxf="1">
      <nc r="O27" t="inlineStr">
        <is>
          <t>correct decision</t>
        </is>
      </nc>
      <ndxf>
        <alignment vertical="top" shrinkToFit="1"/>
      </ndxf>
    </rcc>
  </rrc>
  <rrc rId="82" sId="5" ref="A27:XFD27" action="deleteRow">
    <rfmt sheetId="5" xfDxf="1" sqref="A27:XFD27" start="0" length="0"/>
    <rcc rId="0" sId="5" dxf="1">
      <nc r="A27">
        <v>2</v>
      </nc>
      <ndxf>
        <alignment horizontal="left" vertical="top"/>
      </ndxf>
    </rcc>
    <rcc rId="0" sId="5">
      <nc r="B27" t="inlineStr">
        <is>
          <t>NA</t>
        </is>
      </nc>
    </rcc>
    <rcc rId="0" sId="5">
      <nc r="C27">
        <f>_xlfn.TEXTSPLIT($D27, "_")</f>
      </nc>
    </rcc>
    <rcc rId="0" sId="5">
      <nc r="D27" t="inlineStr">
        <is>
          <t>C0039</t>
        </is>
      </nc>
    </rcc>
    <rcc rId="0" sId="5">
      <nc r="F27" t="inlineStr">
        <is>
          <t>NA</t>
        </is>
      </nc>
    </rcc>
    <rcc rId="0" sId="5">
      <nc r="G27" t="inlineStr">
        <is>
          <t>NA</t>
        </is>
      </nc>
    </rcc>
    <rcc rId="0" sId="5">
      <nc r="H27" t="inlineStr">
        <is>
          <t>NA</t>
        </is>
      </nc>
    </rcc>
    <rcc rId="0" sId="5">
      <nc r="I27" t="inlineStr">
        <is>
          <t>NA</t>
        </is>
      </nc>
    </rcc>
    <rcc rId="0" sId="5" dxf="1">
      <nc r="J27">
        <f xml:space="preserve"> 312 - I27</f>
      </nc>
      <ndxf>
        <alignment horizontal="left" vertical="top"/>
      </ndxf>
    </rcc>
    <rcc rId="0" sId="5" dxf="1">
      <nc r="K27">
        <f>VLOOKUP(L27, $P$32:$R$37, 2, FALSE)</f>
      </nc>
      <ndxf>
        <alignment horizontal="left" vertical="top"/>
      </ndxf>
    </rcc>
    <rcc rId="0" sId="5">
      <nc r="L27" t="inlineStr">
        <is>
          <t>NA</t>
        </is>
      </nc>
    </rcc>
    <rcc rId="0" sId="5" dxf="1">
      <nc r="M27">
        <f>1/((2*DEGREES(ATAN(0.5*$K27/$J27))))</f>
      </nc>
      <ndxf>
        <alignment horizontal="left" vertical="top"/>
      </ndxf>
    </rcc>
    <rfmt sheetId="5" sqref="N27" start="0" length="0">
      <dxf>
        <alignment vertical="top" shrinkToFit="1"/>
      </dxf>
    </rfmt>
    <rcc rId="0" sId="5" dxf="1">
      <nc r="O27" t="inlineStr">
        <is>
          <t>Ignoring this trial, as she actually tried to enter the hole.</t>
        </is>
      </nc>
      <ndxf>
        <alignment vertical="top" shrinkToFit="1"/>
      </ndxf>
    </rcc>
  </rrc>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P1:P1048576">
    <dxf>
      <fill>
        <patternFill patternType="solid">
          <bgColor rgb="FFFF0000"/>
        </patternFill>
      </fill>
    </dxf>
  </rfmt>
  <rfmt sheetId="1" sqref="Q1:Q1048576">
    <dxf>
      <fill>
        <patternFill patternType="solid">
          <bgColor rgb="FFFF0000"/>
        </patternFill>
      </fill>
    </dxf>
  </rfmt>
  <rrc rId="83" sId="1" ref="R1:R1048576" action="insertCol"/>
  <rfmt sheetId="1" sqref="R1:R1048576">
    <dxf>
      <fill>
        <patternFill patternType="none">
          <bgColor auto="1"/>
        </patternFill>
      </fill>
    </dxf>
  </rfmt>
  <rcc rId="84" sId="1">
    <nc r="R1" t="inlineStr">
      <is>
        <t>cycle_width</t>
      </is>
    </nc>
  </rcc>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5" sId="2" ref="P1:P1048576" action="insertCol"/>
  <rcc rId="86" sId="2">
    <nc r="P1" t="inlineStr">
      <is>
        <t>cycle_width</t>
      </is>
    </nc>
  </rcc>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7" sId="3">
    <oc r="A1" t="inlineStr">
      <is>
        <t>nest</t>
      </is>
    </oc>
    <nc r="A1"/>
  </rcc>
  <rcc rId="88" sId="3">
    <oc r="B1" t="inlineStr">
      <is>
        <t>bee_flight</t>
      </is>
    </oc>
    <nc r="B1"/>
  </rcc>
  <rcc rId="89" sId="3">
    <oc r="C1" t="inlineStr">
      <is>
        <t>video_name</t>
      </is>
    </oc>
    <nc r="C1"/>
  </rcc>
  <rcc rId="90" sId="3">
    <oc r="D1" t="inlineStr">
      <is>
        <t>date</t>
      </is>
    </oc>
    <nc r="D1"/>
  </rcc>
  <rcc rId="91" sId="3">
    <oc r="E1" t="inlineStr">
      <is>
        <t>t_video_start</t>
      </is>
    </oc>
    <nc r="E1"/>
  </rcc>
  <rcc rId="92" sId="3">
    <oc r="F1" t="inlineStr">
      <is>
        <t>elapse_t_dep</t>
      </is>
    </oc>
    <nc r="F1"/>
  </rcc>
  <rcc rId="93" sId="3">
    <oc r="G1" t="inlineStr">
      <is>
        <t>t_dep</t>
      </is>
    </oc>
    <nc r="G1"/>
  </rcc>
  <rcc rId="94" sId="3">
    <oc r="H1" t="inlineStr">
      <is>
        <t>elapse_t_ret</t>
      </is>
    </oc>
    <nc r="H1"/>
  </rcc>
  <rcc rId="95" sId="3">
    <oc r="I1" t="inlineStr">
      <is>
        <t>t_ret</t>
      </is>
    </oc>
    <nc r="I1"/>
  </rcc>
  <rcc rId="96" sId="3">
    <oc r="J1" t="inlineStr">
      <is>
        <t>side_dpatt_dep</t>
      </is>
    </oc>
    <nc r="J1"/>
  </rcc>
  <rcc rId="97" sId="3">
    <oc r="K1" t="inlineStr">
      <is>
        <t>side_dpatt_ret</t>
      </is>
    </oc>
    <nc r="K1"/>
  </rcc>
  <rcc rId="98" sId="3">
    <oc r="L1" t="inlineStr">
      <is>
        <t>first_decision</t>
      </is>
    </oc>
    <nc r="L1"/>
  </rcc>
  <rcc rId="99" sId="3">
    <oc r="M1" t="inlineStr">
      <is>
        <t>notes</t>
      </is>
    </oc>
    <nc r="M1"/>
  </rcc>
  <rcc rId="100" sId="3">
    <oc r="P1" t="inlineStr">
      <is>
        <t xml:space="preserve">NB. Left and right was defined by facing the entrance that faced the center of our forest clearing, </t>
      </is>
    </oc>
    <nc r="P1"/>
  </rcc>
  <rcc rId="101" sId="3">
    <oc r="A2">
      <v>1</v>
    </oc>
    <nc r="A2"/>
  </rcc>
  <rcc rId="102" sId="3">
    <oc r="C2" t="inlineStr">
      <is>
        <t>C0114</t>
      </is>
    </oc>
    <nc r="C2"/>
  </rcc>
  <rcc rId="103" sId="3" numFmtId="19">
    <oc r="D2">
      <v>45417</v>
    </oc>
    <nc r="D2"/>
  </rcc>
  <rcc rId="104" sId="3" numFmtId="26">
    <oc r="E2">
      <v>0.75337962962962968</v>
    </oc>
    <nc r="E2"/>
  </rcc>
  <rcc rId="105" sId="3" numFmtId="26">
    <oc r="F2">
      <v>2.3506944444444445E-2</v>
    </oc>
    <nc r="F2"/>
  </rcc>
  <rcc rId="106" sId="3">
    <oc r="G2">
      <f>$E2 +$F2</f>
    </oc>
    <nc r="G2"/>
  </rcc>
  <rcc rId="107" sId="3" numFmtId="26">
    <oc r="H2">
      <v>2.5868055555555554E-2</v>
    </oc>
    <nc r="H2"/>
  </rcc>
  <rcc rId="108" sId="3">
    <oc r="I2">
      <f>$E2+$H2</f>
    </oc>
    <nc r="I2"/>
  </rcc>
  <rcc rId="109" sId="3">
    <oc r="A3">
      <v>2</v>
    </oc>
    <nc r="A3"/>
  </rcc>
  <rcc rId="110" sId="3">
    <oc r="C3" t="inlineStr">
      <is>
        <t>C0114</t>
      </is>
    </oc>
    <nc r="C3"/>
  </rcc>
  <rcc rId="111" sId="3" numFmtId="19">
    <oc r="D3">
      <v>45417</v>
    </oc>
    <nc r="D3"/>
  </rcc>
  <rcc rId="112" sId="3" numFmtId="26">
    <oc r="E3">
      <v>0.75337962962962968</v>
    </oc>
    <nc r="E3"/>
  </rcc>
  <rcc rId="113" sId="3">
    <oc r="F3" t="inlineStr">
      <is>
        <t>NA</t>
      </is>
    </oc>
    <nc r="F3"/>
  </rcc>
  <rcc rId="114" sId="3">
    <oc r="G3" t="inlineStr">
      <is>
        <t>NA</t>
      </is>
    </oc>
    <nc r="G3"/>
  </rcc>
  <rcc rId="115" sId="3">
    <oc r="H3" t="inlineStr">
      <is>
        <t>NA</t>
      </is>
    </oc>
    <nc r="H3"/>
  </rcc>
  <rcc rId="116" sId="3">
    <oc r="I3" t="inlineStr">
      <is>
        <t>NA</t>
      </is>
    </oc>
    <nc r="I3"/>
  </rcc>
  <rcc rId="117" sId="3">
    <oc r="M3" t="inlineStr">
      <is>
        <t>no activity</t>
      </is>
    </oc>
    <nc r="M3"/>
  </rcc>
  <rcc rId="118" sId="3">
    <oc r="A4">
      <v>1</v>
    </oc>
    <nc r="A4"/>
  </rcc>
  <rcc rId="119" sId="3">
    <oc r="C4" t="inlineStr">
      <is>
        <t>C0115</t>
      </is>
    </oc>
    <nc r="C4"/>
  </rcc>
  <rcc rId="120" sId="3" numFmtId="19">
    <oc r="D4">
      <v>45418</v>
    </oc>
    <nc r="D4"/>
  </rcc>
  <rcc rId="121" sId="3" numFmtId="26">
    <oc r="E4">
      <v>0.2240625</v>
    </oc>
    <nc r="E4"/>
  </rcc>
  <rcc rId="122" sId="3">
    <oc r="F4" t="inlineStr">
      <is>
        <t>NA</t>
      </is>
    </oc>
    <nc r="F4"/>
  </rcc>
  <rcc rId="123" sId="3">
    <oc r="G4" t="inlineStr">
      <is>
        <t>NA</t>
      </is>
    </oc>
    <nc r="G4"/>
  </rcc>
  <rcc rId="124" sId="3">
    <oc r="H4" t="inlineStr">
      <is>
        <t>NA</t>
      </is>
    </oc>
    <nc r="H4"/>
  </rcc>
  <rcc rId="125" sId="3">
    <oc r="I4" t="inlineStr">
      <is>
        <t>NA</t>
      </is>
    </oc>
    <nc r="I4"/>
  </rcc>
  <rcc rId="126" sId="3">
    <oc r="M4" t="inlineStr">
      <is>
        <t>cant see any activity</t>
      </is>
    </oc>
    <nc r="M4"/>
  </rcc>
  <rcc rId="127" sId="3">
    <oc r="A5">
      <v>2</v>
    </oc>
    <nc r="A5"/>
  </rcc>
  <rcc rId="128" sId="3">
    <oc r="C5" t="inlineStr">
      <is>
        <t>C0115</t>
      </is>
    </oc>
    <nc r="C5"/>
  </rcc>
  <rcc rId="129" sId="3" numFmtId="19">
    <oc r="D5">
      <v>45418</v>
    </oc>
    <nc r="D5"/>
  </rcc>
  <rcc rId="130" sId="3" numFmtId="26">
    <oc r="E5">
      <v>0.2240625</v>
    </oc>
    <nc r="E5"/>
  </rcc>
  <rcc rId="131" sId="3">
    <oc r="F5" t="inlineStr">
      <is>
        <t>NA</t>
      </is>
    </oc>
    <nc r="F5"/>
  </rcc>
  <rcc rId="132" sId="3">
    <oc r="G5" t="inlineStr">
      <is>
        <t>NA</t>
      </is>
    </oc>
    <nc r="G5"/>
  </rcc>
  <rcc rId="133" sId="3">
    <oc r="H5" t="inlineStr">
      <is>
        <t>NA</t>
      </is>
    </oc>
    <nc r="H5"/>
  </rcc>
  <rcc rId="134" sId="3">
    <oc r="I5" t="inlineStr">
      <is>
        <t>NA</t>
      </is>
    </oc>
    <nc r="I5"/>
  </rcc>
  <rcc rId="135" sId="3">
    <oc r="M5" t="inlineStr">
      <is>
        <t>cant see any activity</t>
      </is>
    </oc>
    <nc r="M5"/>
  </rcc>
  <rcc rId="136" sId="3">
    <oc r="A6" t="inlineStr">
      <is>
        <t>?</t>
      </is>
    </oc>
    <nc r="A6"/>
  </rcc>
  <rcc rId="137" sId="3">
    <oc r="B6">
      <v>1</v>
    </oc>
    <nc r="B6"/>
  </rcc>
  <rcc rId="138" sId="3">
    <oc r="C6" t="inlineStr">
      <is>
        <t>C0117</t>
      </is>
    </oc>
    <nc r="C6"/>
  </rcc>
  <rcc rId="139" sId="3" numFmtId="26">
    <oc r="F6">
      <v>1.712962962962963E-3</v>
    </oc>
    <nc r="F6"/>
  </rcc>
  <rcc rId="140" sId="3" numFmtId="26">
    <oc r="H6">
      <v>1.3541666666666667E-2</v>
    </oc>
    <nc r="H6"/>
  </rcc>
  <rcc rId="141" sId="3">
    <oc r="A7" t="inlineStr">
      <is>
        <t>?</t>
      </is>
    </oc>
    <nc r="A7"/>
  </rcc>
  <rcc rId="142" sId="3">
    <oc r="B7">
      <v>2</v>
    </oc>
    <nc r="B7"/>
  </rcc>
  <rcc rId="143" sId="3" numFmtId="26">
    <oc r="F7">
      <v>1.4652777777777778E-2</v>
    </oc>
    <nc r="F7"/>
  </rcc>
  <rcc rId="144" sId="3" numFmtId="26">
    <oc r="H7">
      <v>1.9942129629629629E-2</v>
    </oc>
    <nc r="H7"/>
  </rcc>
  <rcc rId="145" sId="3">
    <oc r="B8">
      <v>3</v>
    </oc>
    <nc r="B8"/>
  </rcc>
  <rcc rId="146" sId="3" numFmtId="26">
    <oc r="H8">
      <v>3.0624999999999999E-2</v>
    </oc>
    <nc r="H8"/>
  </rcc>
  <rcc rId="147" sId="3">
    <oc r="A9" t="inlineStr">
      <is>
        <t>?</t>
      </is>
    </oc>
    <nc r="A9"/>
  </rcc>
  <rcc rId="148" sId="3">
    <oc r="B9">
      <v>1</v>
    </oc>
    <nc r="B9"/>
  </rcc>
  <rcc rId="149" sId="3" numFmtId="26">
    <oc r="F9">
      <v>1.7106481481481483E-2</v>
    </oc>
    <nc r="F9"/>
  </rcc>
  <rcc rId="150" sId="3" numFmtId="26">
    <oc r="H9">
      <v>2.4189814814814813E-2</v>
    </oc>
    <nc r="H9"/>
  </rcc>
  <rcc rId="151" sId="3">
    <oc r="C10" t="inlineStr">
      <is>
        <t>C0139</t>
      </is>
    </oc>
    <nc r="C10"/>
  </rcc>
  <rcc rId="152" sId="3">
    <oc r="A11" t="inlineStr">
      <is>
        <t>L1</t>
      </is>
    </oc>
    <nc r="A11"/>
  </rcc>
  <rcc rId="153" sId="3">
    <oc r="B11">
      <v>1</v>
    </oc>
    <nc r="B11"/>
  </rcc>
  <rcc rId="154" sId="3">
    <oc r="C11" t="inlineStr">
      <is>
        <t>C0144</t>
      </is>
    </oc>
    <nc r="C11"/>
  </rcc>
  <rcc rId="155" sId="3" numFmtId="26">
    <oc r="F11">
      <v>1.2951388888888889E-2</v>
    </oc>
    <nc r="F11"/>
  </rcc>
  <rcc rId="156" sId="3">
    <oc r="H11" t="inlineStr">
      <is>
        <t>NA</t>
      </is>
    </oc>
    <nc r="H11"/>
  </rcc>
  <rcc rId="157" sId="3">
    <oc r="M11" t="inlineStr">
      <is>
        <t>She didn’t manage to return</t>
      </is>
    </oc>
    <nc r="M11"/>
  </rcc>
  <rcc rId="158" sId="3">
    <oc r="A12" t="inlineStr">
      <is>
        <t>r1</t>
      </is>
    </oc>
    <nc r="A12"/>
  </rcc>
  <rcc rId="159" sId="3">
    <oc r="B12">
      <v>1</v>
    </oc>
    <nc r="B12"/>
  </rcc>
  <rcc rId="160" sId="3">
    <oc r="C12" t="inlineStr">
      <is>
        <t>C0144</t>
      </is>
    </oc>
    <nc r="C12"/>
  </rcc>
  <rcc rId="161" sId="3" numFmtId="26">
    <oc r="F12">
      <v>1.3541666666666667E-2</v>
    </oc>
    <nc r="F12"/>
  </rcc>
  <rcc rId="162" sId="3" numFmtId="26">
    <oc r="H12">
      <v>1.7696759259259259E-2</v>
    </oc>
    <nc r="H12"/>
  </rcc>
  <rcc rId="163" sId="3">
    <oc r="A13" t="inlineStr">
      <is>
        <t>r1</t>
      </is>
    </oc>
    <nc r="A13"/>
  </rcc>
  <rcc rId="164" sId="3">
    <oc r="B13">
      <v>2</v>
    </oc>
    <nc r="B13"/>
  </rcc>
  <rcc rId="165" sId="3">
    <oc r="C13" t="inlineStr">
      <is>
        <t>C0144</t>
      </is>
    </oc>
    <nc r="C13"/>
  </rcc>
  <rcc rId="166" sId="3" numFmtId="26">
    <oc r="F13">
      <v>2.0370370370370372E-2</v>
    </oc>
    <nc r="F13"/>
  </rcc>
  <rcc rId="167" sId="3" numFmtId="26">
    <oc r="H13">
      <v>2.7800925925925927E-2</v>
    </oc>
    <nc r="H13"/>
  </rcc>
  <rcc rId="168" sId="3">
    <oc r="A14" t="inlineStr">
      <is>
        <t>r1</t>
      </is>
    </oc>
    <nc r="A14"/>
  </rcc>
  <rcc rId="169" sId="3">
    <oc r="B14">
      <v>3</v>
    </oc>
    <nc r="B14"/>
  </rcc>
  <rcc rId="170" sId="3">
    <oc r="C14" t="inlineStr">
      <is>
        <t>C0144</t>
      </is>
    </oc>
    <nc r="C14"/>
  </rcc>
  <rcc rId="171" sId="3" numFmtId="26">
    <oc r="H14">
      <v>3.0787037037037036E-2</v>
    </oc>
    <nc r="H14"/>
  </rcc>
  <rcc rId="172" sId="3">
    <oc r="A15" t="inlineStr">
      <is>
        <t>r1</t>
      </is>
    </oc>
    <nc r="A15"/>
  </rcc>
  <rcc rId="173" sId="3">
    <oc r="B15">
      <v>1</v>
    </oc>
    <nc r="B15"/>
  </rcc>
  <rcc rId="174" sId="3">
    <oc r="C15" t="inlineStr">
      <is>
        <t>C0121</t>
      </is>
    </oc>
    <nc r="C15"/>
  </rcc>
  <rcc rId="175" sId="3" numFmtId="19">
    <oc r="D15">
      <v>45421</v>
    </oc>
    <nc r="D15"/>
  </rcc>
  <rcc rId="176" sId="3" numFmtId="26">
    <oc r="E15">
      <v>0.22563657407407409</v>
    </oc>
    <nc r="E15"/>
  </rcc>
  <rcc rId="177" sId="3">
    <oc r="F15" t="inlineStr">
      <is>
        <t>NA</t>
      </is>
    </oc>
    <nc r="F15"/>
  </rcc>
  <rcc rId="178" sId="3">
    <oc r="G15" t="inlineStr">
      <is>
        <t>NA</t>
      </is>
    </oc>
    <nc r="G15"/>
  </rcc>
  <rcc rId="179" sId="3" numFmtId="26">
    <oc r="H15">
      <v>1.5486111111111112E-2</v>
    </oc>
    <nc r="H15"/>
  </rcc>
  <rcc rId="180" sId="3">
    <oc r="I15">
      <f>$E15+$H15</f>
    </oc>
    <nc r="I15"/>
  </rcc>
  <rcc rId="181" sId="3">
    <oc r="A16" t="inlineStr">
      <is>
        <t>r1</t>
      </is>
    </oc>
    <nc r="A16"/>
  </rcc>
  <rcc rId="182" sId="3">
    <oc r="B16">
      <v>2</v>
    </oc>
    <nc r="B16"/>
  </rcc>
  <rcc rId="183" sId="3">
    <oc r="C16" t="inlineStr">
      <is>
        <t>C0121</t>
      </is>
    </oc>
    <nc r="C16"/>
  </rcc>
  <rcc rId="184" sId="3" numFmtId="19">
    <oc r="D16">
      <v>45421</v>
    </oc>
    <nc r="D16"/>
  </rcc>
  <rcc rId="185" sId="3" numFmtId="26">
    <oc r="E16">
      <v>0.22563657407407409</v>
    </oc>
    <nc r="E16"/>
  </rcc>
  <rcc rId="186" sId="3" numFmtId="26">
    <oc r="F16">
      <v>6.122685185185185E-3</v>
    </oc>
    <nc r="F16"/>
  </rcc>
  <rcc rId="187" sId="3">
    <oc r="G16">
      <f>$E16 +$F16</f>
    </oc>
    <nc r="G16"/>
  </rcc>
  <rcc rId="188" sId="3" numFmtId="26">
    <oc r="H16">
      <v>1.9050925925925926E-2</v>
    </oc>
    <nc r="H16"/>
  </rcc>
  <rcc rId="189" sId="3">
    <oc r="I16">
      <f>$E16+$H16</f>
    </oc>
    <nc r="I16"/>
  </rcc>
  <rcc rId="190" sId="3">
    <oc r="A17" t="inlineStr">
      <is>
        <t>L1</t>
      </is>
    </oc>
    <nc r="A17"/>
  </rcc>
  <rcc rId="191" sId="3">
    <oc r="B17">
      <v>1</v>
    </oc>
    <nc r="B17"/>
  </rcc>
  <rcc rId="192" sId="3">
    <oc r="C17" t="inlineStr">
      <is>
        <t>C0121</t>
      </is>
    </oc>
    <nc r="C17"/>
  </rcc>
  <rcc rId="193" sId="3" numFmtId="19">
    <oc r="D17">
      <v>45421</v>
    </oc>
    <nc r="D17"/>
  </rcc>
  <rcc rId="194" sId="3" numFmtId="26">
    <oc r="E17">
      <v>0.22563657407407409</v>
    </oc>
    <nc r="E17"/>
  </rcc>
  <rcc rId="195" sId="3">
    <oc r="F17" t="inlineStr">
      <is>
        <t>NA</t>
      </is>
    </oc>
    <nc r="F17"/>
  </rcc>
  <rcc rId="196" sId="3">
    <oc r="G17" t="inlineStr">
      <is>
        <t>NA</t>
      </is>
    </oc>
    <nc r="G17"/>
  </rcc>
  <rcc rId="197" sId="3" numFmtId="26">
    <oc r="H17">
      <v>1.9907407407407408E-2</v>
    </oc>
    <nc r="H17"/>
  </rcc>
  <rcc rId="198" sId="3">
    <oc r="I17">
      <f>$E17+$H17</f>
    </oc>
    <nc r="I17"/>
  </rcc>
  <rcc rId="199" sId="3">
    <oc r="M17" t="inlineStr">
      <is>
        <t>removed bag on her side to help her get in as she didn’t return to nest prev night</t>
      </is>
    </oc>
    <nc r="M17"/>
  </rcc>
  <rcc rId="200" sId="3">
    <oc r="A18" t="inlineStr">
      <is>
        <t>L1</t>
      </is>
    </oc>
    <nc r="A18"/>
  </rcc>
  <rcc rId="201" sId="3">
    <oc r="B18">
      <v>1</v>
    </oc>
    <nc r="B18"/>
  </rcc>
  <rcc rId="202" sId="3">
    <oc r="C18" t="inlineStr">
      <is>
        <t>C0122</t>
      </is>
    </oc>
    <nc r="C18"/>
  </rcc>
  <rcc rId="203" sId="3" numFmtId="19">
    <oc r="D18">
      <v>45421</v>
    </oc>
    <nc r="D18"/>
  </rcc>
  <rcc rId="204" sId="3" numFmtId="26">
    <oc r="E18">
      <v>0.77575231481481477</v>
    </oc>
    <nc r="E18"/>
  </rcc>
  <rcc rId="205" sId="3">
    <oc r="F18" t="inlineStr">
      <is>
        <t>NA</t>
      </is>
    </oc>
    <nc r="F18"/>
  </rcc>
  <rcc rId="206" sId="3">
    <oc r="G18" t="inlineStr">
      <is>
        <t>NA</t>
      </is>
    </oc>
    <nc r="G18"/>
  </rcc>
  <rcc rId="207" sId="3">
    <oc r="H18" t="inlineStr">
      <is>
        <t>NA</t>
      </is>
    </oc>
    <nc r="H18"/>
  </rcc>
  <rcc rId="208" sId="3">
    <oc r="I18" t="inlineStr">
      <is>
        <t>NA</t>
      </is>
    </oc>
    <nc r="I18"/>
  </rcc>
  <rcc rId="209" sId="3">
    <oc r="M18" t="inlineStr">
      <is>
        <t>pre-video start departure, I think. She returns, but doesn’t enter nest, things look too different.</t>
      </is>
    </oc>
    <nc r="M18"/>
  </rcc>
  <rcc rId="210" sId="3">
    <oc r="A19" t="inlineStr">
      <is>
        <t>r1</t>
      </is>
    </oc>
    <nc r="A19"/>
  </rcc>
  <rcc rId="211" sId="3">
    <oc r="B19">
      <v>1</v>
    </oc>
    <nc r="B19"/>
  </rcc>
  <rcc rId="212" sId="3">
    <oc r="C19" t="inlineStr">
      <is>
        <t>C0122</t>
      </is>
    </oc>
    <nc r="C19"/>
  </rcc>
  <rcc rId="213" sId="3" numFmtId="19">
    <oc r="D19">
      <v>45421</v>
    </oc>
    <nc r="D19"/>
  </rcc>
  <rcc rId="214" sId="3" numFmtId="26">
    <oc r="E19">
      <v>0.77575231481481477</v>
    </oc>
    <nc r="E19"/>
  </rcc>
  <rcc rId="215" sId="3">
    <oc r="F19" t="inlineStr">
      <is>
        <t>NA</t>
      </is>
    </oc>
    <nc r="F19"/>
  </rcc>
  <rcc rId="216" sId="3">
    <oc r="G19" t="inlineStr">
      <is>
        <t>NA</t>
      </is>
    </oc>
    <nc r="G19"/>
  </rcc>
  <rcc rId="217" sId="3" numFmtId="26">
    <oc r="H19">
      <v>2.7430555555555554E-3</v>
    </oc>
    <nc r="H19"/>
  </rcc>
  <rcc rId="218" sId="3">
    <oc r="I19">
      <f>$E19+$H19</f>
    </oc>
    <nc r="I19"/>
  </rcc>
  <rcc rId="219" sId="3">
    <oc r="A20" t="inlineStr">
      <is>
        <t>r1</t>
      </is>
    </oc>
    <nc r="A20"/>
  </rcc>
  <rcc rId="220" sId="3">
    <oc r="B20">
      <v>2</v>
    </oc>
    <nc r="B20"/>
  </rcc>
  <rcc rId="221" sId="3">
    <oc r="C20" t="inlineStr">
      <is>
        <t>C0122</t>
      </is>
    </oc>
    <nc r="C20"/>
  </rcc>
  <rcc rId="222" sId="3" numFmtId="19">
    <oc r="D20">
      <v>45421</v>
    </oc>
    <nc r="D20"/>
  </rcc>
  <rcc rId="223" sId="3" numFmtId="26">
    <oc r="E20">
      <v>0.77575231481481477</v>
    </oc>
    <nc r="E20"/>
  </rcc>
  <rcc rId="224" sId="3">
    <oc r="F20" t="inlineStr">
      <is>
        <t>NA</t>
      </is>
    </oc>
    <nc r="F20"/>
  </rcc>
  <rcc rId="225" sId="3">
    <oc r="G20" t="inlineStr">
      <is>
        <t>NA</t>
      </is>
    </oc>
    <nc r="G20"/>
  </rcc>
  <rcc rId="226" sId="3" numFmtId="26">
    <oc r="H20">
      <v>5.8101851851851856E-3</v>
    </oc>
    <nc r="H20"/>
  </rcc>
  <rcc rId="227" sId="3">
    <oc r="I20">
      <f>$E20+$H20</f>
    </oc>
    <nc r="I20"/>
  </rcc>
  <rcc rId="228" sId="3">
    <oc r="A21" t="inlineStr">
      <is>
        <t>r1</t>
      </is>
    </oc>
    <nc r="A21"/>
  </rcc>
  <rcc rId="229" sId="3">
    <oc r="B21">
      <v>3</v>
    </oc>
    <nc r="B21"/>
  </rcc>
  <rcc rId="230" sId="3">
    <oc r="C21" t="inlineStr">
      <is>
        <t>C0122</t>
      </is>
    </oc>
    <nc r="C21"/>
  </rcc>
  <rcc rId="231" sId="3" numFmtId="19">
    <oc r="D21">
      <v>45421</v>
    </oc>
    <nc r="D21"/>
  </rcc>
  <rcc rId="232" sId="3" numFmtId="26">
    <oc r="E21">
      <v>0.77575231481481477</v>
    </oc>
    <nc r="E21"/>
  </rcc>
  <rcc rId="233" sId="3">
    <oc r="F21" t="inlineStr">
      <is>
        <t>NA</t>
      </is>
    </oc>
    <nc r="F21"/>
  </rcc>
  <rcc rId="234" sId="3">
    <oc r="G21" t="inlineStr">
      <is>
        <t>NA</t>
      </is>
    </oc>
    <nc r="G21"/>
  </rcc>
  <rcc rId="235" sId="3" numFmtId="26">
    <oc r="H21">
      <v>7.4999999999999997E-3</v>
    </oc>
    <nc r="H21"/>
  </rcc>
  <rcc rId="236" sId="3">
    <oc r="I21">
      <f>$E21+$H21</f>
    </oc>
    <nc r="I21"/>
  </rcc>
  <rcc rId="237" sId="3">
    <oc r="A22" t="inlineStr">
      <is>
        <t>r1</t>
      </is>
    </oc>
    <nc r="A22"/>
  </rcc>
  <rcc rId="238" sId="3">
    <oc r="B22">
      <v>4</v>
    </oc>
    <nc r="B22"/>
  </rcc>
  <rcc rId="239" sId="3">
    <oc r="C22" t="inlineStr">
      <is>
        <t>C0122</t>
      </is>
    </oc>
    <nc r="C22"/>
  </rcc>
  <rcc rId="240" sId="3" numFmtId="19">
    <oc r="D22">
      <v>45421</v>
    </oc>
    <nc r="D22"/>
  </rcc>
  <rcc rId="241" sId="3" numFmtId="26">
    <oc r="E22">
      <v>0.77575231481481477</v>
    </oc>
    <nc r="E22"/>
  </rcc>
  <rcc rId="242" sId="3" numFmtId="26">
    <oc r="F22">
      <v>2.0138888888888888E-3</v>
    </oc>
    <nc r="F22"/>
  </rcc>
  <rcc rId="243" sId="3">
    <oc r="G22">
      <f>$E22 +$F22</f>
    </oc>
    <nc r="G22"/>
  </rcc>
  <rcc rId="244" sId="3" numFmtId="26">
    <oc r="H22">
      <v>1.0069444444444445E-2</v>
    </oc>
    <nc r="H22"/>
  </rcc>
  <rcc rId="245" sId="3">
    <oc r="I22">
      <f>$E22+$H22</f>
    </oc>
    <nc r="I22"/>
  </rcc>
  <rcc rId="246" sId="3">
    <oc r="A23" t="inlineStr">
      <is>
        <t>r1</t>
      </is>
    </oc>
    <nc r="A23"/>
  </rcc>
  <rcc rId="247" sId="3">
    <oc r="B23">
      <v>5</v>
    </oc>
    <nc r="B23"/>
  </rcc>
  <rcc rId="248" sId="3">
    <oc r="C23" t="inlineStr">
      <is>
        <t>C0122</t>
      </is>
    </oc>
    <nc r="C23"/>
  </rcc>
  <rcc rId="249" sId="3" numFmtId="19">
    <oc r="D23">
      <v>45421</v>
    </oc>
    <nc r="D23"/>
  </rcc>
  <rcc rId="250" sId="3" numFmtId="26">
    <oc r="E23">
      <v>0.77575231481481477</v>
    </oc>
    <nc r="E23"/>
  </rcc>
  <rcc rId="251" sId="3" numFmtId="26">
    <oc r="F23">
      <v>7.858796296296296E-3</v>
    </oc>
    <nc r="F23"/>
  </rcc>
  <rcc rId="252" sId="3">
    <oc r="G23">
      <f>$E23 +$F23</f>
    </oc>
    <nc r="G23"/>
  </rcc>
  <rcc rId="253" sId="3" numFmtId="26">
    <oc r="H23">
      <v>1.2233796296296296E-2</v>
    </oc>
    <nc r="H23"/>
  </rcc>
  <rcc rId="254" sId="3">
    <oc r="I23">
      <f>$E23+$H23</f>
    </oc>
    <nc r="I23"/>
  </rcc>
  <rcc rId="255" sId="3">
    <oc r="A24" t="inlineStr">
      <is>
        <t>r1</t>
      </is>
    </oc>
    <nc r="A24"/>
  </rcc>
  <rcc rId="256" sId="3">
    <oc r="B24">
      <v>6</v>
    </oc>
    <nc r="B24"/>
  </rcc>
  <rcc rId="257" sId="3">
    <oc r="C24" t="inlineStr">
      <is>
        <t>C0122</t>
      </is>
    </oc>
    <nc r="C24"/>
  </rcc>
  <rcc rId="258" sId="3" numFmtId="19">
    <oc r="D24">
      <v>45421</v>
    </oc>
    <nc r="D24"/>
  </rcc>
  <rcc rId="259" sId="3" numFmtId="26">
    <oc r="E24">
      <v>0.77575231481481477</v>
    </oc>
    <nc r="E24"/>
  </rcc>
  <rcc rId="260" sId="3" numFmtId="26">
    <oc r="F24">
      <v>1.3414351851851853E-2</v>
    </oc>
    <nc r="F24"/>
  </rcc>
  <rcc rId="261" sId="3">
    <oc r="G24">
      <f>$E24 +$F24</f>
    </oc>
    <nc r="G24"/>
  </rcc>
  <rcc rId="262" sId="3" numFmtId="26">
    <oc r="H24">
      <v>1.457175925925926E-2</v>
    </oc>
    <nc r="H24"/>
  </rcc>
  <rcc rId="263" sId="3">
    <oc r="I24">
      <f>$E24+$H24</f>
    </oc>
    <nc r="I24"/>
  </rcc>
  <rcc rId="264" sId="3">
    <oc r="A25" t="inlineStr">
      <is>
        <t>r1</t>
      </is>
    </oc>
    <nc r="A25"/>
  </rcc>
  <rcc rId="265" sId="3">
    <oc r="B25">
      <v>1</v>
    </oc>
    <nc r="B25"/>
  </rcc>
  <rcc rId="266" sId="3">
    <oc r="C25" t="inlineStr">
      <is>
        <t>C0123</t>
      </is>
    </oc>
    <nc r="C25"/>
  </rcc>
  <rcc rId="267" sId="3" numFmtId="19">
    <oc r="D25">
      <v>45422</v>
    </oc>
    <nc r="D25"/>
  </rcc>
  <rcc rId="268" sId="3" numFmtId="26">
    <oc r="E25">
      <v>0.22280092592592593</v>
    </oc>
    <nc r="E25"/>
  </rcc>
  <rcc rId="269" sId="3">
    <oc r="F25" t="inlineStr">
      <is>
        <t>NA</t>
      </is>
    </oc>
    <nc r="F25"/>
  </rcc>
  <rcc rId="270" sId="3">
    <oc r="G25" t="inlineStr">
      <is>
        <t>NA</t>
      </is>
    </oc>
    <nc r="G25"/>
  </rcc>
  <rcc rId="271" sId="3" numFmtId="26">
    <oc r="H25">
      <v>2.0729166666666667E-2</v>
    </oc>
    <nc r="H25"/>
  </rcc>
  <rcc rId="272" sId="3">
    <oc r="I25">
      <f>$E25+$H25</f>
    </oc>
    <nc r="I25"/>
  </rcc>
  <rcc rId="273" sId="3">
    <oc r="A26" t="inlineStr">
      <is>
        <t>r1</t>
      </is>
    </oc>
    <nc r="A26"/>
  </rcc>
  <rcc rId="274" sId="3">
    <oc r="B26">
      <v>2</v>
    </oc>
    <nc r="B26"/>
  </rcc>
  <rcc rId="275" sId="3">
    <oc r="C26" t="inlineStr">
      <is>
        <t>C0123</t>
      </is>
    </oc>
    <nc r="C26"/>
  </rcc>
  <rcc rId="276" sId="3" numFmtId="19">
    <oc r="D26">
      <v>45422</v>
    </oc>
    <nc r="D26"/>
  </rcc>
  <rcc rId="277" sId="3" numFmtId="26">
    <oc r="E26">
      <v>0.22280092592592593</v>
    </oc>
    <nc r="E26"/>
  </rcc>
  <rcc rId="278" sId="3" numFmtId="26">
    <oc r="F26">
      <v>1.34375E-2</v>
    </oc>
    <nc r="F26"/>
  </rcc>
  <rcc rId="279" sId="3">
    <oc r="G26">
      <f>$E26 +$F26</f>
    </oc>
    <nc r="G26"/>
  </rcc>
  <rcc rId="280" sId="3">
    <oc r="H26" t="inlineStr">
      <is>
        <t>NA</t>
      </is>
    </oc>
    <nc r="H26"/>
  </rcc>
  <rcc rId="281" sId="3">
    <oc r="I26" t="inlineStr">
      <is>
        <t>NA</t>
      </is>
    </oc>
    <nc r="I26"/>
  </rcc>
  <rcc rId="282" sId="3">
    <oc r="M26" t="inlineStr">
      <is>
        <t>Did not return. Difficult to tell from video how many bees did not make it back to nest, but at least one I think.</t>
      </is>
    </oc>
    <nc r="M26"/>
  </rcc>
  <rcc rId="283" sId="3">
    <oc r="A27" t="inlineStr">
      <is>
        <t>L1</t>
      </is>
    </oc>
    <nc r="A27"/>
  </rcc>
  <rcc rId="284" sId="3">
    <oc r="B27">
      <v>1</v>
    </oc>
    <nc r="B27"/>
  </rcc>
  <rcc rId="285" sId="3">
    <oc r="C27" t="inlineStr">
      <is>
        <t>C0123</t>
      </is>
    </oc>
    <nc r="C27"/>
  </rcc>
  <rcc rId="286" sId="3" numFmtId="19">
    <oc r="D27">
      <v>45422</v>
    </oc>
    <nc r="D27"/>
  </rcc>
  <rcc rId="287" sId="3" numFmtId="26">
    <oc r="E27">
      <v>0.22280092592592593</v>
    </oc>
    <nc r="E27"/>
  </rcc>
  <rcc rId="288" sId="3">
    <oc r="F27" t="inlineStr">
      <is>
        <t>NA</t>
      </is>
    </oc>
    <nc r="F27"/>
  </rcc>
  <rcc rId="289" sId="3">
    <oc r="G27" t="inlineStr">
      <is>
        <t>NA</t>
      </is>
    </oc>
    <nc r="G27"/>
  </rcc>
  <rcc rId="290" sId="3" numFmtId="26">
    <oc r="H27">
      <v>1.8032407407407407E-2</v>
    </oc>
    <nc r="H27"/>
  </rcc>
  <rcc rId="291" sId="3">
    <oc r="I27">
      <f>$E27+$H27</f>
    </oc>
    <nc r="I27"/>
  </rcc>
  <rcc rId="292" sId="3">
    <oc r="M27" t="inlineStr">
      <is>
        <t>Returned from previous night</t>
      </is>
    </oc>
    <nc r="M27"/>
  </rcc>
  <rcc rId="293" sId="3">
    <oc r="A28" t="inlineStr">
      <is>
        <t>r1</t>
      </is>
    </oc>
    <nc r="A28"/>
  </rcc>
  <rcc rId="294" sId="3">
    <oc r="B28">
      <v>1</v>
    </oc>
    <nc r="B28"/>
  </rcc>
  <rcc rId="295" sId="3">
    <oc r="C28" t="inlineStr">
      <is>
        <t>C0124</t>
      </is>
    </oc>
    <nc r="C28"/>
  </rcc>
  <rcc rId="296" sId="3" numFmtId="19">
    <oc r="D28">
      <v>45422</v>
    </oc>
    <nc r="D28"/>
  </rcc>
  <rcc rId="297" sId="3" numFmtId="26">
    <oc r="E28">
      <v>0.76055555555555554</v>
    </oc>
    <nc r="E28"/>
  </rcc>
  <rcc rId="298" sId="3" numFmtId="26">
    <oc r="F28">
      <v>1.0451388888888889E-2</v>
    </oc>
    <nc r="F28"/>
  </rcc>
  <rcc rId="299" sId="3">
    <oc r="G28">
      <f>$E28 +$F28</f>
    </oc>
    <nc r="G28"/>
  </rcc>
  <rcc rId="300" sId="3" numFmtId="26">
    <oc r="H28">
      <v>1.6481481481481482E-2</v>
    </oc>
    <nc r="H28"/>
  </rcc>
  <rcc rId="301" sId="3">
    <oc r="I28">
      <f>$E28+$H28</f>
    </oc>
    <nc r="I28"/>
  </rcc>
  <rcc rId="302" sId="3">
    <oc r="A29" t="inlineStr">
      <is>
        <t>L1</t>
      </is>
    </oc>
    <nc r="A29"/>
  </rcc>
  <rcc rId="303" sId="3">
    <oc r="B29">
      <v>1</v>
    </oc>
    <nc r="B29"/>
  </rcc>
  <rcc rId="304" sId="3">
    <oc r="C29" t="inlineStr">
      <is>
        <t>C0124</t>
      </is>
    </oc>
    <nc r="C29"/>
  </rcc>
  <rcc rId="305" sId="3" numFmtId="19">
    <oc r="D29">
      <v>45422</v>
    </oc>
    <nc r="D29"/>
  </rcc>
  <rcc rId="306" sId="3" numFmtId="26">
    <oc r="E29">
      <v>0.76055555555555554</v>
    </oc>
    <nc r="E29"/>
  </rcc>
  <rcc rId="307" sId="3">
    <oc r="F29" t="inlineStr">
      <is>
        <t>NA</t>
      </is>
    </oc>
    <nc r="F29"/>
  </rcc>
  <rcc rId="308" sId="3" numFmtId="26">
    <oc r="H29">
      <v>2.2465277777777778E-2</v>
    </oc>
    <nc r="H29"/>
  </rcc>
  <rcc rId="309" sId="3">
    <oc r="I29">
      <f>$E29+$H29</f>
    </oc>
    <nc r="I29"/>
  </rcc>
  <rcc rId="310" sId="3">
    <oc r="A30" t="inlineStr">
      <is>
        <t>L1</t>
      </is>
    </oc>
    <nc r="A30"/>
  </rcc>
  <rcc rId="311" sId="3">
    <oc r="B30">
      <v>1</v>
    </oc>
    <nc r="B30"/>
  </rcc>
  <rcc rId="312" sId="3">
    <oc r="C30" t="inlineStr">
      <is>
        <t>C0125</t>
      </is>
    </oc>
    <nc r="C30"/>
  </rcc>
  <rcc rId="313" sId="3" numFmtId="19">
    <oc r="D30">
      <v>45423</v>
    </oc>
    <nc r="D30"/>
  </rcc>
  <rcc rId="314" sId="3" numFmtId="26">
    <oc r="E30">
      <v>0.22274305555555557</v>
    </oc>
    <nc r="E30"/>
  </rcc>
  <rcc rId="315" sId="3" numFmtId="26">
    <oc r="F30">
      <v>1.0763888888888889E-2</v>
    </oc>
    <nc r="F30"/>
  </rcc>
  <rcc rId="316" sId="3" numFmtId="26">
    <oc r="H30">
      <v>2.5057870370370369E-2</v>
    </oc>
    <nc r="H30"/>
  </rcc>
  <rcc rId="317" sId="3">
    <oc r="I30">
      <f>$E30+$H30</f>
    </oc>
    <nc r="I30"/>
  </rcc>
  <rcc rId="318" sId="3">
    <oc r="M30" t="inlineStr">
      <is>
        <t>Metal disk had epoxy on it, meaning the sleeve was not tight, that’s the only way I can explain why it seems from these videos as though there were very many entrances and bees entered the wrong nests. Returns and tries to enter wrong hole at 00:18:30</t>
      </is>
    </oc>
    <nc r="M30"/>
  </rcc>
  <rcc rId="319" sId="3">
    <oc r="A31" t="inlineStr">
      <is>
        <t>r1</t>
      </is>
    </oc>
    <nc r="A31"/>
  </rcc>
  <rcc rId="320" sId="3">
    <oc r="B31">
      <v>1</v>
    </oc>
    <nc r="B31"/>
  </rcc>
  <rcc rId="321" sId="3">
    <oc r="C31" t="inlineStr">
      <is>
        <t>C0125</t>
      </is>
    </oc>
    <nc r="C31"/>
  </rcc>
  <rcc rId="322" sId="3" numFmtId="19">
    <oc r="D31">
      <v>45423</v>
    </oc>
    <nc r="D31"/>
  </rcc>
  <rcc rId="323" sId="3" numFmtId="26">
    <oc r="E31">
      <v>0.22274305555555557</v>
    </oc>
    <nc r="E31"/>
  </rcc>
  <rcc rId="324" sId="3">
    <oc r="F31" t="inlineStr">
      <is>
        <t>NA</t>
      </is>
    </oc>
    <nc r="F31"/>
  </rcc>
  <rcc rId="325" sId="3">
    <oc r="G31" t="inlineStr">
      <is>
        <t>NA</t>
      </is>
    </oc>
    <nc r="G31"/>
  </rcc>
  <rcc rId="326" sId="3" numFmtId="26">
    <oc r="H31">
      <v>2.3449074074074074E-2</v>
    </oc>
    <nc r="H31"/>
  </rcc>
  <rcc rId="327" sId="3">
    <oc r="I31">
      <f>$E31+$H31</f>
    </oc>
    <nc r="I31"/>
  </rcc>
  <rcc rId="328" sId="3">
    <oc r="M31" t="inlineStr">
      <is>
        <t xml:space="preserve">Pre-video start departure or she slipped out back because epoxy prevented tight fit. Metal disk had epoxy on it, meaning the sleeve was not tight, that’s the only way I can explain why it seems from these videos as though there were very many entrances and bees entered the wrong nests. </t>
      </is>
    </oc>
    <nc r="M31"/>
  </rcc>
  <rcc rId="329" sId="3">
    <oc r="A32" t="inlineStr">
      <is>
        <t>NA</t>
      </is>
    </oc>
    <nc r="A32"/>
  </rcc>
  <rcc rId="330" sId="3">
    <oc r="B32" t="inlineStr">
      <is>
        <t>NA</t>
      </is>
    </oc>
    <nc r="B32"/>
  </rcc>
  <rcc rId="331" sId="3">
    <oc r="C32" t="inlineStr">
      <is>
        <t>NA</t>
      </is>
    </oc>
    <nc r="C32"/>
  </rcc>
  <rcc rId="332" sId="3" numFmtId="19">
    <oc r="D32">
      <v>45423</v>
    </oc>
    <nc r="D32"/>
  </rcc>
  <rcc rId="333" sId="3">
    <oc r="E32" t="inlineStr">
      <is>
        <t>NA</t>
      </is>
    </oc>
    <nc r="E32"/>
  </rcc>
  <rcc rId="334" sId="3">
    <oc r="F32" t="inlineStr">
      <is>
        <t>NA</t>
      </is>
    </oc>
    <nc r="F32"/>
  </rcc>
  <rcc rId="335" sId="3">
    <oc r="G32" t="inlineStr">
      <is>
        <t>NA</t>
      </is>
    </oc>
    <nc r="G32"/>
  </rcc>
  <rcc rId="336" sId="3">
    <oc r="H32" t="inlineStr">
      <is>
        <t>NA</t>
      </is>
    </oc>
    <nc r="H32"/>
  </rcc>
  <rcc rId="337" sId="3">
    <oc r="I32" t="inlineStr">
      <is>
        <t>NA</t>
      </is>
    </oc>
    <nc r="I32"/>
  </rcc>
  <rcc rId="338" sId="3">
    <oc r="M32" t="inlineStr">
      <is>
        <t xml:space="preserve">camera was 1 minute ahead previously. Recalibrated ahead of evening session 11/05 </t>
      </is>
    </oc>
    <nc r="M32"/>
  </rcc>
  <rcc rId="339" sId="3">
    <oc r="A33" t="inlineStr">
      <is>
        <t>r1</t>
      </is>
    </oc>
    <nc r="A33"/>
  </rcc>
  <rcc rId="340" sId="3">
    <oc r="B33">
      <v>1</v>
    </oc>
    <nc r="B33"/>
  </rcc>
  <rcc rId="341" sId="3">
    <oc r="C33" t="inlineStr">
      <is>
        <t>C0126</t>
      </is>
    </oc>
    <nc r="C33"/>
  </rcc>
  <rcc rId="342" sId="3" numFmtId="19">
    <oc r="D33">
      <v>45424</v>
    </oc>
    <nc r="D33"/>
  </rcc>
  <rcc rId="343" sId="3" numFmtId="26">
    <oc r="E33">
      <v>0.22568287037037038</v>
    </oc>
    <nc r="E33"/>
  </rcc>
  <rcc rId="344" sId="3">
    <oc r="F33" t="inlineStr">
      <is>
        <t>NA</t>
      </is>
    </oc>
    <nc r="F33"/>
  </rcc>
  <rcc rId="345" sId="3">
    <oc r="G33" t="inlineStr">
      <is>
        <t>NA</t>
      </is>
    </oc>
    <nc r="G33"/>
  </rcc>
  <rcc rId="346" sId="3" numFmtId="26">
    <oc r="H33">
      <v>1.7939814814814815E-2</v>
    </oc>
    <nc r="H33"/>
  </rcc>
  <rcc rId="347" sId="3">
    <oc r="I33">
      <f>$E33+$H33</f>
    </oc>
    <nc r="I33"/>
  </rcc>
  <rcc rId="348" sId="3">
    <oc r="J33" t="inlineStr">
      <is>
        <t>L</t>
      </is>
    </oc>
    <nc r="J33"/>
  </rcc>
  <rcc rId="349" sId="3">
    <oc r="K33" t="inlineStr">
      <is>
        <t>R</t>
      </is>
    </oc>
    <nc r="K33"/>
  </rcc>
  <rcc rId="350" sId="3">
    <oc r="L33">
      <v>0</v>
    </oc>
    <nc r="L33"/>
  </rcc>
  <rcc rId="351" sId="3">
    <oc r="M33" t="inlineStr">
      <is>
        <t>I changed pattern before starting video, and seeing as I cant find departure on video, she must have left while patter was still on left side. This bee has finally got it correct on the opposite side.</t>
      </is>
    </oc>
    <nc r="M33"/>
  </rcc>
  <rcc rId="352" sId="3">
    <oc r="A34" t="inlineStr">
      <is>
        <t>r1</t>
      </is>
    </oc>
    <nc r="A34"/>
  </rcc>
  <rcc rId="353" sId="3">
    <oc r="B34">
      <v>2</v>
    </oc>
    <nc r="B34"/>
  </rcc>
  <rcc rId="354" sId="3">
    <oc r="C34" t="inlineStr">
      <is>
        <t>C0126</t>
      </is>
    </oc>
    <nc r="C34"/>
  </rcc>
  <rcc rId="355" sId="3" numFmtId="19">
    <oc r="D34">
      <v>45424</v>
    </oc>
    <nc r="D34"/>
  </rcc>
  <rcc rId="356" sId="3" numFmtId="26">
    <oc r="E34">
      <v>0.22568287037037038</v>
    </oc>
    <nc r="E34"/>
  </rcc>
  <rcc rId="357" sId="3" numFmtId="26">
    <oc r="F34">
      <v>9.6990740740740735E-3</v>
    </oc>
    <nc r="F34"/>
  </rcc>
  <rcc rId="358" sId="3">
    <oc r="G34">
      <f>$E34 +$F34</f>
    </oc>
    <nc r="G34"/>
  </rcc>
  <rcc rId="359" sId="3" numFmtId="26">
    <oc r="H34">
      <v>1.9849537037037037E-2</v>
    </oc>
    <nc r="H34"/>
  </rcc>
  <rcc rId="360" sId="3">
    <oc r="I34">
      <f>$E34+$H34</f>
    </oc>
    <nc r="I34"/>
  </rcc>
  <rcc rId="361" sId="3">
    <oc r="J34" t="inlineStr">
      <is>
        <t>R</t>
      </is>
    </oc>
    <nc r="J34"/>
  </rcc>
  <rcc rId="362" sId="3">
    <oc r="K34" t="inlineStr">
      <is>
        <t>R</t>
      </is>
    </oc>
    <nc r="K34"/>
  </rcc>
  <rcc rId="363" sId="3">
    <oc r="L34">
      <v>1</v>
    </oc>
    <nc r="L34"/>
  </rcc>
  <rcc rId="364" sId="3">
    <oc r="A35" t="inlineStr">
      <is>
        <t>r1</t>
      </is>
    </oc>
    <nc r="A35"/>
  </rcc>
  <rcc rId="365" sId="3">
    <oc r="B35">
      <v>3</v>
    </oc>
    <nc r="B35"/>
  </rcc>
  <rcc rId="366" sId="3">
    <oc r="C35" t="inlineStr">
      <is>
        <t>C0126</t>
      </is>
    </oc>
    <nc r="C35"/>
  </rcc>
  <rcc rId="367" sId="3" numFmtId="19">
    <oc r="D35">
      <v>45424</v>
    </oc>
    <nc r="D35"/>
  </rcc>
  <rcc rId="368" sId="3" numFmtId="26">
    <oc r="E35">
      <v>0.22568287037037038</v>
    </oc>
    <nc r="E35"/>
  </rcc>
  <rcc rId="369" sId="3" numFmtId="26">
    <oc r="F35">
      <v>2.0347222222222221E-2</v>
    </oc>
    <nc r="F35"/>
  </rcc>
  <rcc rId="370" sId="3">
    <oc r="G35">
      <f>$E35 +$F35</f>
    </oc>
    <nc r="G35"/>
  </rcc>
  <rcc rId="371" sId="3" numFmtId="26">
    <oc r="H35">
      <v>2.0486111111111111E-2</v>
    </oc>
    <nc r="H35"/>
  </rcc>
  <rcc rId="372" sId="3">
    <oc r="I35">
      <f>$E35+$H35</f>
    </oc>
    <nc r="I35"/>
  </rcc>
  <rcc rId="373" sId="3">
    <oc r="J35" t="inlineStr">
      <is>
        <t>R</t>
      </is>
    </oc>
    <nc r="J35"/>
  </rcc>
  <rcc rId="374" sId="3">
    <oc r="K35" t="inlineStr">
      <is>
        <t>R</t>
      </is>
    </oc>
    <nc r="K35"/>
  </rcc>
  <rcc rId="375" sId="3">
    <oc r="L35">
      <v>1</v>
    </oc>
    <nc r="L35"/>
  </rcc>
  <rcc rId="376" sId="3">
    <oc r="M35" t="inlineStr">
      <is>
        <t>This is the only bee that I know the departure and return are of the same bee</t>
      </is>
    </oc>
    <nc r="M35"/>
  </rcc>
  <rcc rId="377" sId="3">
    <oc r="A36" t="inlineStr">
      <is>
        <t>r1</t>
      </is>
    </oc>
    <nc r="A36"/>
  </rcc>
  <rcc rId="378" sId="3">
    <oc r="B36">
      <v>4</v>
    </oc>
    <nc r="B36"/>
  </rcc>
  <rcc rId="379" sId="3">
    <oc r="C36" t="inlineStr">
      <is>
        <t>C0126</t>
      </is>
    </oc>
    <nc r="C36"/>
  </rcc>
  <rcc rId="380" sId="3" numFmtId="19">
    <oc r="D36">
      <v>45424</v>
    </oc>
    <nc r="D36"/>
  </rcc>
  <rcc rId="381" sId="3" numFmtId="26">
    <oc r="E36">
      <v>0.22568287037037038</v>
    </oc>
    <nc r="E36"/>
  </rcc>
  <rcc rId="382" sId="3" numFmtId="26">
    <oc r="F36">
      <v>1.9050925925925926E-2</v>
    </oc>
    <nc r="F36"/>
  </rcc>
  <rcc rId="383" sId="3">
    <oc r="G36">
      <f>$E36 +$F36</f>
    </oc>
    <nc r="G36"/>
  </rcc>
  <rcc rId="384" sId="3" numFmtId="26">
    <oc r="H36">
      <v>2.5648148148148149E-2</v>
    </oc>
    <nc r="H36"/>
  </rcc>
  <rcc rId="385" sId="3">
    <oc r="I36">
      <f>$E36+$H36</f>
    </oc>
    <nc r="I36"/>
  </rcc>
  <rcc rId="386" sId="3">
    <oc r="J36" t="inlineStr">
      <is>
        <t>R</t>
      </is>
    </oc>
    <nc r="J36"/>
  </rcc>
  <rcc rId="387" sId="3">
    <oc r="K36" t="inlineStr">
      <is>
        <t>L</t>
      </is>
    </oc>
    <nc r="K36"/>
  </rcc>
  <rcc rId="388" sId="3">
    <oc r="L36">
      <v>1</v>
    </oc>
    <nc r="L36"/>
  </rcc>
  <rcc rId="389" sId="3">
    <oc r="A37" t="inlineStr">
      <is>
        <t>L1</t>
      </is>
    </oc>
    <nc r="A37"/>
  </rcc>
  <rcc rId="390" sId="3">
    <oc r="B37">
      <v>1</v>
    </oc>
    <nc r="B37"/>
  </rcc>
  <rcc rId="391" sId="3">
    <oc r="C37" t="inlineStr">
      <is>
        <t>C0126</t>
      </is>
    </oc>
    <nc r="C37"/>
  </rcc>
  <rcc rId="392" sId="3" numFmtId="19">
    <oc r="D37">
      <v>45424</v>
    </oc>
    <nc r="D37"/>
  </rcc>
  <rcc rId="393" sId="3" numFmtId="26">
    <oc r="E37">
      <v>0.22568287037037038</v>
    </oc>
    <nc r="E37"/>
  </rcc>
  <rcc rId="394" sId="3">
    <oc r="F37" t="inlineStr">
      <is>
        <t>NA</t>
      </is>
    </oc>
    <nc r="F37"/>
  </rcc>
  <rcc rId="395" sId="3">
    <oc r="G37" t="inlineStr">
      <is>
        <t>NA</t>
      </is>
    </oc>
    <nc r="G37"/>
  </rcc>
  <rcc rId="396" sId="3" numFmtId="26">
    <oc r="H37">
      <v>3.2199074074074074E-2</v>
    </oc>
    <nc r="H37"/>
  </rcc>
  <rcc rId="397" sId="3">
    <oc r="I37">
      <f>$E37+$H37</f>
    </oc>
    <nc r="I37"/>
  </rcc>
  <rcc rId="398" sId="3">
    <oc r="J37" t="inlineStr">
      <is>
        <t>R</t>
      </is>
    </oc>
    <nc r="J37"/>
  </rcc>
  <rcc rId="399" sId="3">
    <oc r="K37" t="inlineStr">
      <is>
        <t>R</t>
      </is>
    </oc>
    <nc r="K37"/>
  </rcc>
  <rcc rId="400" sId="3">
    <oc r="L37">
      <v>1</v>
    </oc>
    <nc r="L37"/>
  </rcc>
  <rcc rId="401" sId="3">
    <oc r="A38" t="inlineStr">
      <is>
        <t>r1</t>
      </is>
    </oc>
    <nc r="A38"/>
  </rcc>
  <rcc rId="402" sId="3">
    <oc r="B38">
      <v>1</v>
    </oc>
    <nc r="B38"/>
  </rcc>
  <rcc rId="403" sId="3">
    <oc r="C38" t="inlineStr">
      <is>
        <t>C0127</t>
      </is>
    </oc>
    <nc r="C38"/>
  </rcc>
  <rcc rId="404" sId="3" numFmtId="19">
    <oc r="D38">
      <v>45424</v>
    </oc>
    <nc r="D38"/>
  </rcc>
  <rcc rId="405" sId="3" numFmtId="26">
    <oc r="E38">
      <v>0.76817129629629632</v>
    </oc>
    <nc r="E38"/>
  </rcc>
  <rcc rId="406" sId="3" numFmtId="26">
    <oc r="F38">
      <v>3.0902777777777777E-3</v>
    </oc>
    <nc r="F38"/>
  </rcc>
  <rcc rId="407" sId="3">
    <oc r="G38">
      <f>$E38 +$F38</f>
    </oc>
    <nc r="G38"/>
  </rcc>
  <rcc rId="408" sId="3" numFmtId="26">
    <oc r="H38">
      <v>2.1215277777777777E-2</v>
    </oc>
    <nc r="H38"/>
  </rcc>
  <rcc rId="409" sId="3">
    <oc r="I38">
      <f>$E38+$H38</f>
    </oc>
    <nc r="I38"/>
  </rcc>
  <rcc rId="410" sId="3">
    <oc r="J38" t="inlineStr">
      <is>
        <t>R</t>
      </is>
    </oc>
    <nc r="J38"/>
  </rcc>
  <rcc rId="411" sId="3">
    <oc r="K38" t="inlineStr">
      <is>
        <t>R</t>
      </is>
    </oc>
    <nc r="K38"/>
  </rcc>
  <rcc rId="412" sId="3">
    <oc r="L38">
      <v>1</v>
    </oc>
    <nc r="L38"/>
  </rcc>
  <rcc rId="413" sId="3">
    <oc r="A39" t="inlineStr">
      <is>
        <t>L1</t>
      </is>
    </oc>
    <nc r="A39"/>
  </rcc>
  <rcc rId="414" sId="3">
    <oc r="B39" t="inlineStr">
      <is>
        <t>NA</t>
      </is>
    </oc>
    <nc r="B39"/>
  </rcc>
  <rcc rId="415" sId="3">
    <oc r="C39" t="inlineStr">
      <is>
        <t>C0127</t>
      </is>
    </oc>
    <nc r="C39"/>
  </rcc>
  <rcc rId="416" sId="3" numFmtId="19">
    <oc r="D39">
      <v>45424</v>
    </oc>
    <nc r="D39"/>
  </rcc>
  <rcc rId="417" sId="3" numFmtId="26">
    <oc r="E39">
      <v>0.76817129629629632</v>
    </oc>
    <nc r="E39"/>
  </rcc>
  <rcc rId="418" sId="3">
    <oc r="F39" t="inlineStr">
      <is>
        <t>NA</t>
      </is>
    </oc>
    <nc r="F39"/>
  </rcc>
  <rcc rId="419" sId="3">
    <oc r="G39" t="inlineStr">
      <is>
        <t>NA</t>
      </is>
    </oc>
    <nc r="G39"/>
  </rcc>
  <rcc rId="420" sId="3">
    <oc r="H39" t="inlineStr">
      <is>
        <t>NA</t>
      </is>
    </oc>
    <nc r="H39"/>
  </rcc>
  <rcc rId="421" sId="3">
    <oc r="I39" t="inlineStr">
      <is>
        <t>NA</t>
      </is>
    </oc>
    <nc r="I39"/>
  </rcc>
  <rcc rId="422" sId="3">
    <oc r="J39" t="inlineStr">
      <is>
        <t>L</t>
      </is>
    </oc>
    <nc r="J39"/>
  </rcc>
  <rcc rId="423" sId="3">
    <oc r="K39" t="inlineStr">
      <is>
        <t>L</t>
      </is>
    </oc>
    <nc r="K39"/>
  </rcc>
  <rcc rId="424" sId="3">
    <oc r="L39" t="inlineStr">
      <is>
        <t>NA</t>
      </is>
    </oc>
    <nc r="L39"/>
  </rcc>
  <rcc rId="425" sId="3">
    <oc r="M39" t="inlineStr">
      <is>
        <t>no activity</t>
      </is>
    </oc>
    <nc r="M39"/>
  </rcc>
  <rcc rId="426" sId="3">
    <oc r="A40" t="inlineStr">
      <is>
        <t>r1</t>
      </is>
    </oc>
    <nc r="A40"/>
  </rcc>
  <rcc rId="427" sId="3">
    <oc r="B40">
      <v>1</v>
    </oc>
    <nc r="B40"/>
  </rcc>
  <rcc rId="428" sId="3">
    <oc r="C40" t="inlineStr">
      <is>
        <t>C0128</t>
      </is>
    </oc>
    <nc r="C40"/>
  </rcc>
  <rcc rId="429" sId="3" numFmtId="19">
    <oc r="D40">
      <v>45425</v>
    </oc>
    <nc r="D40"/>
  </rcc>
  <rcc rId="430" sId="3" numFmtId="26">
    <oc r="E40">
      <v>0.21982638888888889</v>
    </oc>
    <nc r="E40"/>
  </rcc>
  <rcc rId="431" sId="3">
    <oc r="F40" t="inlineStr">
      <is>
        <t>NA</t>
      </is>
    </oc>
    <nc r="F40"/>
  </rcc>
  <rcc rId="432" sId="3">
    <oc r="G40" t="inlineStr">
      <is>
        <t>NA</t>
      </is>
    </oc>
    <nc r="G40"/>
  </rcc>
  <rcc rId="433" sId="3" numFmtId="26">
    <oc r="H40">
      <v>1.1458333333333333E-2</v>
    </oc>
    <nc r="H40"/>
  </rcc>
  <rcc rId="434" sId="3">
    <oc r="I40">
      <f>$E40+$H40</f>
    </oc>
    <nc r="I40"/>
  </rcc>
  <rcc rId="435" sId="3">
    <oc r="J40" t="inlineStr">
      <is>
        <t>L</t>
      </is>
    </oc>
    <nc r="J40"/>
  </rcc>
  <rcc rId="436" sId="3">
    <oc r="K40" t="inlineStr">
      <is>
        <t>L</t>
      </is>
    </oc>
    <nc r="K40"/>
  </rcc>
  <rcc rId="437" sId="3">
    <oc r="L40">
      <v>1</v>
    </oc>
    <nc r="L40"/>
  </rcc>
  <rcc rId="438" sId="3">
    <oc r="M40" t="inlineStr">
      <is>
        <t>pre-start departure</t>
      </is>
    </oc>
    <nc r="M40"/>
  </rcc>
  <rcc rId="439" sId="3">
    <oc r="A41" t="inlineStr">
      <is>
        <t>r1</t>
      </is>
    </oc>
    <nc r="A41"/>
  </rcc>
  <rcc rId="440" sId="3">
    <oc r="B41">
      <v>2</v>
    </oc>
    <nc r="B41"/>
  </rcc>
  <rcc rId="441" sId="3">
    <oc r="C41" t="inlineStr">
      <is>
        <t>C0128</t>
      </is>
    </oc>
    <nc r="C41"/>
  </rcc>
  <rcc rId="442" sId="3" numFmtId="19">
    <oc r="D41">
      <v>45425</v>
    </oc>
    <nc r="D41"/>
  </rcc>
  <rcc rId="443" sId="3" numFmtId="26">
    <oc r="E41">
      <v>0.21982638888888889</v>
    </oc>
    <nc r="E41"/>
  </rcc>
  <rcc rId="444" sId="3" numFmtId="26">
    <oc r="F41">
      <v>1.3541666666666667E-2</v>
    </oc>
    <nc r="F41"/>
  </rcc>
  <rcc rId="445" sId="3">
    <oc r="G41">
      <f>$E41 +$F41</f>
    </oc>
    <nc r="G41"/>
  </rcc>
  <rcc rId="446" sId="3" numFmtId="26">
    <oc r="H41">
      <v>2.4305555555555556E-2</v>
    </oc>
    <nc r="H41"/>
  </rcc>
  <rcc rId="447" sId="3">
    <oc r="I41">
      <f>$E41+$H41</f>
    </oc>
    <nc r="I41"/>
  </rcc>
  <rcc rId="448" sId="3">
    <oc r="J41" t="inlineStr">
      <is>
        <t>L</t>
      </is>
    </oc>
    <nc r="J41"/>
  </rcc>
  <rcc rId="449" sId="3">
    <oc r="K41" t="inlineStr">
      <is>
        <t>R</t>
      </is>
    </oc>
    <nc r="K41"/>
  </rcc>
  <rcc rId="450" sId="3">
    <oc r="L41">
      <v>1</v>
    </oc>
    <nc r="L41"/>
  </rcc>
  <rcc rId="451" sId="3">
    <oc r="A42" t="inlineStr">
      <is>
        <t>L1</t>
      </is>
    </oc>
    <nc r="A42"/>
  </rcc>
  <rcc rId="452" sId="3">
    <oc r="B42" t="inlineStr">
      <is>
        <t>NA</t>
      </is>
    </oc>
    <nc r="B42"/>
  </rcc>
  <rcc rId="453" sId="3">
    <oc r="C42" t="inlineStr">
      <is>
        <t>C0128</t>
      </is>
    </oc>
    <nc r="C42"/>
  </rcc>
  <rcc rId="454" sId="3" numFmtId="19">
    <oc r="D42">
      <v>45425</v>
    </oc>
    <nc r="D42"/>
  </rcc>
  <rcc rId="455" sId="3" numFmtId="26">
    <oc r="E42">
      <v>0.21982638888888889</v>
    </oc>
    <nc r="E42"/>
  </rcc>
  <rcc rId="456" sId="3">
    <oc r="F42" t="inlineStr">
      <is>
        <t>NA</t>
      </is>
    </oc>
    <nc r="F42"/>
  </rcc>
  <rcc rId="457" sId="3">
    <oc r="G42" t="inlineStr">
      <is>
        <t>NA</t>
      </is>
    </oc>
    <nc r="G42"/>
  </rcc>
  <rcc rId="458" sId="3">
    <oc r="H42" t="inlineStr">
      <is>
        <t>NA</t>
      </is>
    </oc>
    <nc r="H42"/>
  </rcc>
  <rcc rId="459" sId="3">
    <oc r="I42" t="inlineStr">
      <is>
        <t>NA</t>
      </is>
    </oc>
    <nc r="I42"/>
  </rcc>
  <rcc rId="460" sId="3">
    <oc r="J42" t="inlineStr">
      <is>
        <t>R</t>
      </is>
    </oc>
    <nc r="J42"/>
  </rcc>
  <rcc rId="461" sId="3">
    <oc r="K42" t="inlineStr">
      <is>
        <t>L</t>
      </is>
    </oc>
    <nc r="K42"/>
  </rcc>
  <rcc rId="462" sId="3">
    <oc r="L42" t="inlineStr">
      <is>
        <t>NA</t>
      </is>
    </oc>
    <nc r="L42"/>
  </rcc>
  <rcc rId="463" sId="3">
    <oc r="M42" t="inlineStr">
      <is>
        <t>no activity</t>
      </is>
    </oc>
    <nc r="M42"/>
  </rcc>
  <rcc rId="464" sId="3">
    <oc r="A43" t="inlineStr">
      <is>
        <t>r1</t>
      </is>
    </oc>
    <nc r="A43"/>
  </rcc>
  <rcc rId="465" sId="3">
    <oc r="B43">
      <v>1</v>
    </oc>
    <nc r="B43"/>
  </rcc>
  <rcc rId="466" sId="3">
    <oc r="C43" t="inlineStr">
      <is>
        <t>C0129</t>
      </is>
    </oc>
    <nc r="C43"/>
  </rcc>
  <rcc rId="467" sId="3" numFmtId="19">
    <oc r="D43">
      <v>45425</v>
    </oc>
    <nc r="D43"/>
  </rcc>
  <rcc rId="468" sId="3" numFmtId="26">
    <oc r="E43">
      <v>0.76304398148148145</v>
    </oc>
    <nc r="E43"/>
  </rcc>
  <rcc rId="469" sId="3" numFmtId="26">
    <oc r="F43">
      <v>5.8796296296296296E-3</v>
    </oc>
    <nc r="F43"/>
  </rcc>
  <rcc rId="470" sId="3">
    <oc r="G43">
      <f>$E43 +$F43</f>
    </oc>
    <nc r="G43"/>
  </rcc>
  <rcc rId="471" sId="3" numFmtId="26">
    <oc r="H43">
      <v>1.6319444444444445E-2</v>
    </oc>
    <nc r="H43"/>
  </rcc>
  <rcc rId="472" sId="3">
    <oc r="I43">
      <f>$E43+$H43</f>
    </oc>
    <nc r="I43"/>
  </rcc>
  <rcc rId="473" sId="3">
    <oc r="J43" t="inlineStr">
      <is>
        <t>R</t>
      </is>
    </oc>
    <nc r="J43"/>
  </rcc>
  <rcc rId="474" sId="3">
    <oc r="K43" t="inlineStr">
      <is>
        <t>R</t>
      </is>
    </oc>
    <nc r="K43"/>
  </rcc>
  <rcc rId="475" sId="3">
    <oc r="L43">
      <v>1</v>
    </oc>
    <nc r="L43"/>
  </rcc>
  <rcc rId="476" sId="3">
    <oc r="A44" t="inlineStr">
      <is>
        <t>L1</t>
      </is>
    </oc>
    <nc r="A44"/>
  </rcc>
  <rcc rId="477" sId="3">
    <oc r="B44" t="inlineStr">
      <is>
        <t>NA</t>
      </is>
    </oc>
    <nc r="B44"/>
  </rcc>
  <rcc rId="478" sId="3">
    <oc r="C44" t="inlineStr">
      <is>
        <t>C0129</t>
      </is>
    </oc>
    <nc r="C44"/>
  </rcc>
  <rcc rId="479" sId="3" numFmtId="19">
    <oc r="D44">
      <v>45425</v>
    </oc>
    <nc r="D44"/>
  </rcc>
  <rcc rId="480" sId="3" numFmtId="26">
    <oc r="E44">
      <v>0.76304398148148145</v>
    </oc>
    <nc r="E44"/>
  </rcc>
  <rcc rId="481" sId="3">
    <oc r="F44" t="inlineStr">
      <is>
        <t>NA</t>
      </is>
    </oc>
    <nc r="F44"/>
  </rcc>
  <rcc rId="482" sId="3">
    <oc r="G44" t="inlineStr">
      <is>
        <t>NA</t>
      </is>
    </oc>
    <nc r="G44"/>
  </rcc>
  <rcc rId="483" sId="3">
    <oc r="H44" t="inlineStr">
      <is>
        <t>NA</t>
      </is>
    </oc>
    <nc r="H44"/>
  </rcc>
  <rcc rId="484" sId="3">
    <oc r="I44" t="inlineStr">
      <is>
        <t>NA</t>
      </is>
    </oc>
    <nc r="I44"/>
  </rcc>
  <rcc rId="485" sId="3">
    <oc r="J44" t="inlineStr">
      <is>
        <t>R</t>
      </is>
    </oc>
    <nc r="J44"/>
  </rcc>
  <rcc rId="486" sId="3">
    <oc r="K44" t="inlineStr">
      <is>
        <t>L</t>
      </is>
    </oc>
    <nc r="K44"/>
  </rcc>
  <rcc rId="487" sId="3">
    <oc r="L44" t="inlineStr">
      <is>
        <t>NA</t>
      </is>
    </oc>
    <nc r="L44"/>
  </rcc>
  <rcc rId="488" sId="3">
    <oc r="M44" t="inlineStr">
      <is>
        <t>no activity, nest probably abandoned</t>
      </is>
    </oc>
    <nc r="M44"/>
  </rcc>
  <rcc rId="489" sId="3">
    <oc r="A45" t="inlineStr">
      <is>
        <t>r1</t>
      </is>
    </oc>
    <nc r="A45"/>
  </rcc>
  <rcc rId="490" sId="3">
    <oc r="B45">
      <v>1</v>
    </oc>
    <nc r="B45"/>
  </rcc>
  <rcc rId="491" sId="3">
    <oc r="C45" t="inlineStr">
      <is>
        <t>C0130</t>
      </is>
    </oc>
    <nc r="C45"/>
  </rcc>
  <rcc rId="492" sId="3" numFmtId="19">
    <oc r="D45">
      <v>45426</v>
    </oc>
    <nc r="D45"/>
  </rcc>
  <rcc rId="493" sId="3" numFmtId="26">
    <oc r="E45">
      <v>0.22405092592592593</v>
    </oc>
    <nc r="E45"/>
  </rcc>
  <rcc rId="494" sId="3">
    <oc r="F45" t="inlineStr">
      <is>
        <t>NA</t>
      </is>
    </oc>
    <nc r="F45"/>
  </rcc>
  <rcc rId="495" sId="3">
    <oc r="G45" t="inlineStr">
      <is>
        <t>NA</t>
      </is>
    </oc>
    <nc r="G45"/>
  </rcc>
  <rcc rId="496" sId="3" numFmtId="26">
    <oc r="H45">
      <v>1.9074074074074073E-2</v>
    </oc>
    <nc r="H45"/>
  </rcc>
  <rcc rId="497" sId="3">
    <oc r="I45">
      <f>$E45+$H45</f>
    </oc>
    <nc r="I45"/>
  </rcc>
  <rcc rId="498" sId="3">
    <oc r="J45" t="inlineStr">
      <is>
        <t>R</t>
      </is>
    </oc>
    <nc r="J45"/>
  </rcc>
  <rcc rId="499" sId="3">
    <oc r="K45" t="inlineStr">
      <is>
        <t>L</t>
      </is>
    </oc>
    <nc r="K45"/>
  </rcc>
  <rcc rId="500" sId="3">
    <oc r="L45">
      <v>1</v>
    </oc>
    <nc r="L45"/>
  </rcc>
  <rcc rId="501" sId="3">
    <oc r="M45" t="inlineStr">
      <is>
        <t>Pre-video start departure. pattern was flipped (top to bottom) by mistake. But she still got it right</t>
      </is>
    </oc>
    <nc r="M45"/>
  </rcc>
  <rcc rId="502" sId="3">
    <oc r="A46" t="inlineStr">
      <is>
        <t>r1</t>
      </is>
    </oc>
    <nc r="A46"/>
  </rcc>
  <rcc rId="503" sId="3">
    <oc r="B46">
      <v>1</v>
    </oc>
    <nc r="B46"/>
  </rcc>
  <rcc rId="504" sId="3">
    <oc r="C46" t="inlineStr">
      <is>
        <t>C0134</t>
      </is>
    </oc>
    <nc r="C46"/>
  </rcc>
  <rcc rId="505" sId="3" numFmtId="19">
    <oc r="D46">
      <v>45427</v>
    </oc>
    <nc r="D46"/>
  </rcc>
  <rcc rId="506" sId="3" numFmtId="26">
    <oc r="E46">
      <v>0.21755787037037036</v>
    </oc>
    <nc r="E46"/>
  </rcc>
  <rcc rId="507" sId="3">
    <oc r="F46" t="inlineStr">
      <is>
        <t>NA</t>
      </is>
    </oc>
    <nc r="F46"/>
  </rcc>
  <rcc rId="508" sId="3">
    <oc r="G46" t="inlineStr">
      <is>
        <t>NA</t>
      </is>
    </oc>
    <nc r="G46"/>
  </rcc>
  <rcc rId="509" sId="3" numFmtId="26">
    <oc r="H46">
      <v>1.6458333333333332E-2</v>
    </oc>
    <nc r="H46"/>
  </rcc>
  <rcc rId="510" sId="3">
    <oc r="I46">
      <f>$E46+$H46</f>
    </oc>
    <nc r="I46"/>
  </rcc>
  <rcc rId="511" sId="3">
    <oc r="J46" t="inlineStr">
      <is>
        <t>R</t>
      </is>
    </oc>
    <nc r="J46"/>
  </rcc>
  <rcc rId="512" sId="3">
    <oc r="K46" t="inlineStr">
      <is>
        <t>R</t>
      </is>
    </oc>
    <nc r="K46"/>
  </rcc>
  <rcc rId="513" sId="3">
    <oc r="L46">
      <v>0</v>
    </oc>
    <nc r="L46"/>
  </rcc>
  <rcc rId="514" sId="3">
    <oc r="M46" t="inlineStr">
      <is>
        <t>pre-start departure</t>
      </is>
    </oc>
    <nc r="M46"/>
  </rcc>
  <rcc rId="515" sId="3">
    <oc r="A47" t="inlineStr">
      <is>
        <t>r1</t>
      </is>
    </oc>
    <nc r="A47"/>
  </rcc>
  <rcc rId="516" sId="3">
    <oc r="B47">
      <v>2</v>
    </oc>
    <nc r="B47"/>
  </rcc>
  <rcc rId="517" sId="3">
    <oc r="C47" t="inlineStr">
      <is>
        <t>C0134</t>
      </is>
    </oc>
    <nc r="C47"/>
  </rcc>
  <rcc rId="518" sId="3" numFmtId="19">
    <oc r="D47">
      <v>45427</v>
    </oc>
    <nc r="D47"/>
  </rcc>
  <rcc rId="519" sId="3" numFmtId="26">
    <oc r="E47">
      <v>0.21755787037037036</v>
    </oc>
    <nc r="E47"/>
  </rcc>
  <rcc rId="520" sId="3" numFmtId="26">
    <oc r="F47">
      <v>1.7928240740740741E-2</v>
    </oc>
    <nc r="F47"/>
  </rcc>
  <rcc rId="521" sId="3">
    <oc r="G47">
      <f>$E47 +$F47</f>
    </oc>
    <nc r="G47"/>
  </rcc>
  <rcc rId="522" sId="3" numFmtId="26">
    <oc r="H47">
      <v>2.9074074074074075E-2</v>
    </oc>
    <nc r="H47"/>
  </rcc>
  <rcc rId="523" sId="3">
    <oc r="I47">
      <f>$E47+$H47</f>
    </oc>
    <nc r="I47"/>
  </rcc>
  <rcc rId="524" sId="3">
    <oc r="J47" t="inlineStr">
      <is>
        <t>R</t>
      </is>
    </oc>
    <nc r="J47"/>
  </rcc>
  <rcc rId="525" sId="3">
    <oc r="K47" t="inlineStr">
      <is>
        <t>R</t>
      </is>
    </oc>
    <nc r="K47"/>
  </rcc>
  <rcc rId="526" sId="3">
    <oc r="L47">
      <v>0</v>
    </oc>
    <nc r="L47"/>
  </rcc>
  <rcc rId="527" sId="3">
    <oc r="A48" t="inlineStr">
      <is>
        <t>r1</t>
      </is>
    </oc>
    <nc r="A48"/>
  </rcc>
  <rcc rId="528" sId="3">
    <oc r="B48">
      <v>1</v>
    </oc>
    <nc r="B48"/>
  </rcc>
  <rcc rId="529" sId="3">
    <oc r="C48" t="inlineStr">
      <is>
        <t>C0163</t>
      </is>
    </oc>
    <nc r="C48"/>
  </rcc>
  <rcc rId="530" sId="3" numFmtId="19">
    <oc r="D48">
      <v>45427</v>
    </oc>
    <nc r="D48"/>
  </rcc>
  <rcc rId="531" sId="3" numFmtId="26">
    <oc r="E48">
      <v>0.75754629629629633</v>
    </oc>
    <nc r="E48"/>
  </rcc>
  <rcc rId="532" sId="3" numFmtId="26">
    <oc r="F48">
      <v>1.1851851851851851E-2</v>
    </oc>
    <nc r="F48"/>
  </rcc>
  <rcc rId="533" sId="3">
    <oc r="G48">
      <f>$E48 +$F48</f>
    </oc>
    <nc r="G48"/>
  </rcc>
  <rcc rId="534" sId="3" numFmtId="26">
    <oc r="H48">
      <v>2.6226851851851852E-2</v>
    </oc>
    <nc r="H48"/>
  </rcc>
  <rcc rId="535" sId="3">
    <oc r="I48">
      <f>$E48+$H48</f>
    </oc>
    <nc r="I48"/>
  </rcc>
  <rcc rId="536" sId="3">
    <oc r="J48" t="inlineStr">
      <is>
        <t>R</t>
      </is>
    </oc>
    <nc r="J48"/>
  </rcc>
  <rcc rId="537" sId="3">
    <oc r="K48" t="inlineStr">
      <is>
        <t>L</t>
      </is>
    </oc>
    <nc r="K48"/>
  </rcc>
  <rcc rId="538" sId="3">
    <oc r="L48">
      <v>1</v>
    </oc>
    <nc r="L48"/>
  </rcc>
  <rcc rId="539" sId="3">
    <oc r="A49" t="inlineStr">
      <is>
        <t>r1</t>
      </is>
    </oc>
    <nc r="A49"/>
  </rcc>
  <rcc rId="540" sId="3">
    <oc r="B49">
      <v>1</v>
    </oc>
    <nc r="B49"/>
  </rcc>
  <rcc rId="541" sId="3">
    <oc r="C49" t="inlineStr">
      <is>
        <t>C0136</t>
      </is>
    </oc>
    <nc r="C49"/>
  </rcc>
  <rcc rId="542" sId="3" numFmtId="19">
    <oc r="D49">
      <v>45428</v>
    </oc>
    <nc r="D49"/>
  </rcc>
  <rcc rId="543" sId="3" numFmtId="26">
    <oc r="E49">
      <v>0.22225694444444444</v>
    </oc>
    <nc r="E49"/>
  </rcc>
  <rcc rId="544" sId="3">
    <oc r="F49" t="inlineStr">
      <is>
        <t>NA</t>
      </is>
    </oc>
    <nc r="F49"/>
  </rcc>
  <rcc rId="545" sId="3">
    <oc r="G49" t="inlineStr">
      <is>
        <t>NA</t>
      </is>
    </oc>
    <nc r="G49"/>
  </rcc>
  <rcc rId="546" sId="3" numFmtId="26">
    <oc r="H49">
      <v>1.9849537037037037E-2</v>
    </oc>
    <nc r="H49"/>
  </rcc>
  <rcc rId="547" sId="3">
    <oc r="I49">
      <f>$E49+$H49</f>
    </oc>
    <nc r="I49"/>
  </rcc>
  <rcc rId="548" sId="3">
    <oc r="J49" t="inlineStr">
      <is>
        <t>L</t>
      </is>
    </oc>
    <nc r="J49"/>
  </rcc>
  <rcc rId="549" sId="3">
    <oc r="K49" t="inlineStr">
      <is>
        <t>R</t>
      </is>
    </oc>
    <nc r="K49"/>
  </rcc>
  <rcc rId="550" sId="3">
    <oc r="L49">
      <v>0</v>
    </oc>
    <nc r="L49"/>
  </rcc>
  <rcc rId="551" sId="3">
    <oc r="A50" t="inlineStr">
      <is>
        <t>r1</t>
      </is>
    </oc>
    <nc r="A50"/>
  </rcc>
  <rcc rId="552" sId="3">
    <oc r="B50">
      <v>2</v>
    </oc>
    <nc r="B50"/>
  </rcc>
  <rcc rId="553" sId="3">
    <oc r="C50" t="inlineStr">
      <is>
        <t>C0136</t>
      </is>
    </oc>
    <nc r="C50"/>
  </rcc>
  <rcc rId="554" sId="3" numFmtId="19">
    <oc r="D50">
      <v>45428</v>
    </oc>
    <nc r="D50"/>
  </rcc>
  <rcc rId="555" sId="3" numFmtId="26">
    <oc r="E50">
      <v>0.22225694444444444</v>
    </oc>
    <nc r="E50"/>
  </rcc>
  <rcc rId="556" sId="3" numFmtId="26">
    <oc r="F50">
      <v>1.7418981481481483E-2</v>
    </oc>
    <nc r="F50"/>
  </rcc>
  <rcc rId="557" sId="3">
    <oc r="G50">
      <f>$E50 +$F50</f>
    </oc>
    <nc r="G50"/>
  </rcc>
  <rcc rId="558" sId="3" numFmtId="26">
    <oc r="H50">
      <v>2.1712962962962962E-2</v>
    </oc>
    <nc r="H50"/>
  </rcc>
  <rcc rId="559" sId="3">
    <oc r="I50">
      <f>$E50+$H50</f>
    </oc>
    <nc r="I50"/>
  </rcc>
  <rcc rId="560" sId="3">
    <oc r="J50" t="inlineStr">
      <is>
        <t>R</t>
      </is>
    </oc>
    <nc r="J50"/>
  </rcc>
  <rcc rId="561" sId="3">
    <oc r="K50" t="inlineStr">
      <is>
        <t>R</t>
      </is>
    </oc>
    <nc r="K50"/>
  </rcc>
  <rcc rId="562" sId="3">
    <oc r="L50">
      <v>1</v>
    </oc>
    <nc r="L50"/>
  </rcc>
  <rcc rId="563" sId="3">
    <oc r="A51" t="inlineStr">
      <is>
        <t>r1</t>
      </is>
    </oc>
    <nc r="A51"/>
  </rcc>
  <rcc rId="564" sId="3">
    <oc r="B51" t="inlineStr">
      <is>
        <t>NA</t>
      </is>
    </oc>
    <nc r="B51"/>
  </rcc>
  <rcc rId="565" sId="3">
    <oc r="C51" t="inlineStr">
      <is>
        <t>C0137</t>
      </is>
    </oc>
    <nc r="C51"/>
  </rcc>
  <rcc rId="566" sId="3" numFmtId="19">
    <oc r="D51">
      <v>45428</v>
    </oc>
    <nc r="D51"/>
  </rcc>
  <rcc rId="567" sId="3" numFmtId="26">
    <oc r="E51">
      <v>0.75386574074074075</v>
    </oc>
    <nc r="E51"/>
  </rcc>
  <rcc rId="568" sId="3">
    <oc r="F51" t="inlineStr">
      <is>
        <t>NA</t>
      </is>
    </oc>
    <nc r="F51"/>
  </rcc>
  <rcc rId="569" sId="3">
    <oc r="G51" t="inlineStr">
      <is>
        <t>NA</t>
      </is>
    </oc>
    <nc r="G51"/>
  </rcc>
  <rcc rId="570" sId="3">
    <oc r="H51" t="inlineStr">
      <is>
        <t>NA</t>
      </is>
    </oc>
    <nc r="H51"/>
  </rcc>
  <rcc rId="571" sId="3">
    <oc r="I51" t="inlineStr">
      <is>
        <t>NA</t>
      </is>
    </oc>
    <nc r="I51"/>
  </rcc>
  <rcc rId="572" sId="3">
    <oc r="J51" t="inlineStr">
      <is>
        <t>L</t>
      </is>
    </oc>
    <nc r="J51"/>
  </rcc>
  <rcc rId="573" sId="3">
    <oc r="K51" t="inlineStr">
      <is>
        <t>R</t>
      </is>
    </oc>
    <nc r="K51"/>
  </rcc>
  <rcc rId="574" sId="3">
    <oc r="L51" t="inlineStr">
      <is>
        <t>NA</t>
      </is>
    </oc>
    <nc r="L51"/>
  </rcc>
  <rcc rId="575" sId="3">
    <oc r="M51" t="inlineStr">
      <is>
        <t>no activity, or cant see the activity due to fog</t>
      </is>
    </oc>
    <nc r="M51"/>
  </rcc>
  <rcc rId="576" sId="3">
    <oc r="A52" t="inlineStr">
      <is>
        <t>r1</t>
      </is>
    </oc>
    <nc r="A52"/>
  </rcc>
  <rcc rId="577" sId="3">
    <oc r="B52">
      <v>1</v>
    </oc>
    <nc r="B52"/>
  </rcc>
  <rcc rId="578" sId="3">
    <oc r="C52" t="inlineStr">
      <is>
        <t>C0138</t>
      </is>
    </oc>
    <nc r="C52"/>
  </rcc>
  <rcc rId="579" sId="3" numFmtId="19">
    <oc r="D52">
      <v>45429</v>
    </oc>
    <nc r="D52"/>
  </rcc>
  <rcc rId="580" sId="3" numFmtId="26">
    <oc r="E52">
      <v>0.21700231481481483</v>
    </oc>
    <nc r="E52"/>
  </rcc>
  <rcc rId="581" sId="3" numFmtId="26">
    <oc r="H52">
      <v>1.9270833333333334E-2</v>
    </oc>
    <nc r="H52"/>
  </rcc>
  <rcc rId="582" sId="3">
    <oc r="I52">
      <f>$E52+$H52</f>
    </oc>
    <nc r="I52"/>
  </rcc>
  <rcc rId="583" sId="3">
    <oc r="J52" t="inlineStr">
      <is>
        <t>R</t>
      </is>
    </oc>
    <nc r="J52"/>
  </rcc>
  <rcc rId="584" sId="3">
    <oc r="K52" t="inlineStr">
      <is>
        <t>L</t>
      </is>
    </oc>
    <nc r="K52"/>
  </rcc>
  <rcc rId="585" sId="3">
    <oc r="L52">
      <v>1</v>
    </oc>
    <nc r="L52"/>
  </rcc>
  <rcc rId="586" sId="3">
    <oc r="A53" t="inlineStr">
      <is>
        <t>r1</t>
      </is>
    </oc>
    <nc r="A53"/>
  </rcc>
  <rcc rId="587" sId="3">
    <oc r="B53">
      <v>1</v>
    </oc>
    <nc r="B53"/>
  </rcc>
  <rcc rId="588" sId="3">
    <oc r="C53" t="inlineStr">
      <is>
        <t>C0133_2</t>
      </is>
    </oc>
    <nc r="C53"/>
  </rcc>
  <rcc rId="589" sId="3" numFmtId="19">
    <oc r="D53">
      <v>45429</v>
    </oc>
    <nc r="D53"/>
  </rcc>
  <rcc rId="590" sId="3" numFmtId="26">
    <oc r="E53">
      <v>0.76005787037037043</v>
    </oc>
    <nc r="E53"/>
  </rcc>
  <rcc rId="591" sId="3" numFmtId="26">
    <oc r="F53">
      <v>8.0324074074074082E-3</v>
    </oc>
    <nc r="F53"/>
  </rcc>
  <rcc rId="592" sId="3">
    <oc r="G53">
      <f>$E53 +$F53</f>
    </oc>
    <nc r="G53"/>
  </rcc>
  <rcc rId="593" sId="3" numFmtId="26">
    <oc r="H53">
      <v>1.9108796296296297E-2</v>
    </oc>
    <nc r="H53"/>
  </rcc>
  <rcc rId="594" sId="3">
    <oc r="I53">
      <f>$E53+$H53</f>
    </oc>
    <nc r="I53"/>
  </rcc>
  <rcc rId="595" sId="3">
    <oc r="J53" t="inlineStr">
      <is>
        <t>L</t>
      </is>
    </oc>
    <nc r="J53"/>
  </rcc>
  <rcc rId="596" sId="3">
    <oc r="K53" t="inlineStr">
      <is>
        <t>R</t>
      </is>
    </oc>
    <nc r="K53"/>
  </rcc>
  <rcc rId="597" sId="3">
    <oc r="L53">
      <v>1</v>
    </oc>
    <nc r="L53"/>
  </rcc>
  <rcc rId="598" sId="3">
    <oc r="M53" t="inlineStr">
      <is>
        <t xml:space="preserve">Makes two returns, the first time there is no decision (00:25:28). She simply sees pattern is wrong and flies away. </t>
      </is>
    </oc>
    <nc r="M53"/>
  </rcc>
  <rcc rId="599" sId="3">
    <oc r="A54" t="inlineStr">
      <is>
        <t>r1</t>
      </is>
    </oc>
    <nc r="A54"/>
  </rcc>
  <rcc rId="600" sId="3">
    <oc r="B54">
      <v>1</v>
    </oc>
    <nc r="B54"/>
  </rcc>
  <rcc rId="601" sId="3">
    <oc r="C54" t="inlineStr">
      <is>
        <t>C0134_2</t>
      </is>
    </oc>
    <nc r="C54"/>
  </rcc>
  <rcc rId="602" sId="3" numFmtId="19">
    <oc r="D54">
      <v>45430</v>
    </oc>
    <nc r="D54"/>
  </rcc>
  <rcc rId="603" sId="3" numFmtId="26">
    <oc r="E54">
      <v>0.2202662037037037</v>
    </oc>
    <nc r="E54"/>
  </rcc>
  <rcc rId="604" sId="3">
    <oc r="F54" t="inlineStr">
      <is>
        <t>NA</t>
      </is>
    </oc>
    <nc r="F54"/>
  </rcc>
  <rcc rId="605" sId="3">
    <oc r="G54" t="inlineStr">
      <is>
        <t>NA</t>
      </is>
    </oc>
    <nc r="G54"/>
  </rcc>
  <rcc rId="606" sId="3" numFmtId="26">
    <oc r="H54">
      <v>1.2777777777777779E-2</v>
    </oc>
    <nc r="H54"/>
  </rcc>
  <rcc rId="607" sId="3">
    <oc r="I54">
      <f>$E54+$H54</f>
    </oc>
    <nc r="I54"/>
  </rcc>
  <rcc rId="608" sId="3">
    <oc r="J54" t="inlineStr">
      <is>
        <t>R</t>
      </is>
    </oc>
    <nc r="J54"/>
  </rcc>
  <rcc rId="609" sId="3">
    <oc r="K54" t="inlineStr">
      <is>
        <t>R</t>
      </is>
    </oc>
    <nc r="K54"/>
  </rcc>
  <rcc rId="610" sId="3">
    <oc r="L54">
      <v>0</v>
    </oc>
    <nc r="L54"/>
  </rcc>
  <rcc rId="611" sId="3">
    <oc r="M54" t="inlineStr">
      <is>
        <t>doesn’t enter hole, but does land on diskt</t>
      </is>
    </oc>
    <nc r="M54"/>
  </rcc>
  <rcc rId="612" sId="3">
    <oc r="A55" t="inlineStr">
      <is>
        <t>r1</t>
      </is>
    </oc>
    <nc r="A55"/>
  </rcc>
  <rcc rId="613" sId="3">
    <oc r="B55">
      <v>2</v>
    </oc>
    <nc r="B55"/>
  </rcc>
  <rcc rId="614" sId="3">
    <oc r="C55" t="inlineStr">
      <is>
        <t>C0134_2</t>
      </is>
    </oc>
    <nc r="C55"/>
  </rcc>
  <rcc rId="615" sId="3" numFmtId="19">
    <oc r="D55">
      <v>45430</v>
    </oc>
    <nc r="D55"/>
  </rcc>
  <rcc rId="616" sId="3" numFmtId="26">
    <oc r="E55">
      <v>0.2202662037037037</v>
    </oc>
    <nc r="E55"/>
  </rcc>
  <rcc rId="617" sId="3" numFmtId="26">
    <oc r="F55">
      <v>1.4328703703703703E-2</v>
    </oc>
    <nc r="F55"/>
  </rcc>
  <rcc rId="618" sId="3">
    <oc r="G55">
      <f>$E55 +$F55</f>
    </oc>
    <nc r="G55"/>
  </rcc>
  <rcc rId="619" sId="3" numFmtId="26">
    <oc r="H55">
      <v>2.0787037037037038E-2</v>
    </oc>
    <nc r="H55"/>
  </rcc>
  <rcc rId="620" sId="3">
    <oc r="I55">
      <f>$E55+$H55</f>
    </oc>
    <nc r="I55"/>
  </rcc>
  <rcc rId="621" sId="3">
    <oc r="J55" t="inlineStr">
      <is>
        <t>R</t>
      </is>
    </oc>
    <nc r="J55"/>
  </rcc>
  <rcc rId="622" sId="3">
    <oc r="K55" t="inlineStr">
      <is>
        <t>R</t>
      </is>
    </oc>
    <nc r="K55"/>
  </rcc>
  <rcc rId="623" sId="3">
    <oc r="L55">
      <v>1</v>
    </oc>
    <nc r="L55"/>
  </rcc>
  <rcc rId="624" sId="3">
    <oc r="A56" t="inlineStr">
      <is>
        <t>r1</t>
      </is>
    </oc>
    <nc r="A56"/>
  </rcc>
  <rcc rId="625" sId="3">
    <oc r="B56">
      <v>3</v>
    </oc>
    <nc r="B56"/>
  </rcc>
  <rcc rId="626" sId="3">
    <oc r="C56" t="inlineStr">
      <is>
        <t>C0134_2</t>
      </is>
    </oc>
    <nc r="C56"/>
  </rcc>
  <rcc rId="627" sId="3" numFmtId="19">
    <oc r="D56">
      <v>45430</v>
    </oc>
    <nc r="D56"/>
  </rcc>
  <rcc rId="628" sId="3" numFmtId="26">
    <oc r="E56">
      <v>0.2202662037037037</v>
    </oc>
    <nc r="E56"/>
  </rcc>
  <rcc rId="629" sId="3">
    <oc r="F56" t="inlineStr">
      <is>
        <t>NA</t>
      </is>
    </oc>
    <nc r="F56"/>
  </rcc>
  <rcc rId="630" sId="3">
    <oc r="G56" t="inlineStr">
      <is>
        <t>NA</t>
      </is>
    </oc>
    <nc r="G56"/>
  </rcc>
  <rcc rId="631" sId="3" numFmtId="26">
    <oc r="H56">
      <v>3.3344907407407406E-2</v>
    </oc>
    <nc r="H56"/>
  </rcc>
  <rcc rId="632" sId="3">
    <oc r="I56">
      <f>$E56+$H56</f>
    </oc>
    <nc r="I56"/>
  </rcc>
  <rcc rId="633" sId="3">
    <oc r="J56" t="inlineStr">
      <is>
        <t>R</t>
      </is>
    </oc>
    <nc r="J56"/>
  </rcc>
  <rcc rId="634" sId="3">
    <oc r="K56" t="inlineStr">
      <is>
        <t>R</t>
      </is>
    </oc>
    <nc r="K56"/>
  </rcc>
  <rcc rId="635" sId="3">
    <oc r="L56">
      <v>0</v>
    </oc>
    <nc r="L56"/>
  </rcc>
  <rcc rId="636" sId="3">
    <oc r="A57" t="inlineStr">
      <is>
        <t>r1</t>
      </is>
    </oc>
    <nc r="A57"/>
  </rcc>
  <rcc rId="637" sId="3">
    <oc r="B57">
      <v>1</v>
    </oc>
    <nc r="B57"/>
  </rcc>
  <rcc rId="638" sId="3">
    <oc r="C57" t="inlineStr">
      <is>
        <t>C0135</t>
      </is>
    </oc>
    <nc r="C57"/>
  </rcc>
  <rcc rId="639" sId="3" numFmtId="19">
    <oc r="D57">
      <v>45430</v>
    </oc>
    <nc r="D57"/>
  </rcc>
  <rcc rId="640" sId="3" numFmtId="26">
    <oc r="E57">
      <v>0.75574074074074071</v>
    </oc>
    <nc r="E57"/>
  </rcc>
  <rcc rId="641" sId="3" numFmtId="26">
    <oc r="F57">
      <v>1.1527777777777777E-2</v>
    </oc>
    <nc r="F57"/>
  </rcc>
  <rcc rId="642" sId="3" numFmtId="26">
    <oc r="H57">
      <v>2.6990740740740742E-2</v>
    </oc>
    <nc r="H57"/>
  </rcc>
  <rcc rId="643" sId="3">
    <oc r="I57">
      <f>$E57+$H57</f>
    </oc>
    <nc r="I57"/>
  </rcc>
  <rcc rId="644" sId="3">
    <oc r="J57" t="inlineStr">
      <is>
        <t>R</t>
      </is>
    </oc>
    <nc r="J57"/>
  </rcc>
  <rcc rId="645" sId="3">
    <oc r="K57" t="inlineStr">
      <is>
        <t>L</t>
      </is>
    </oc>
    <nc r="K57"/>
  </rcc>
  <rcc rId="646" sId="3">
    <oc r="L57">
      <v>0</v>
    </oc>
    <nc r="L57"/>
  </rcc>
  <rcc rId="647" sId="3">
    <oc r="A58" t="inlineStr">
      <is>
        <t>r1</t>
      </is>
    </oc>
    <nc r="A58"/>
  </rcc>
  <rcc rId="648" sId="3">
    <oc r="B58">
      <v>1</v>
    </oc>
    <nc r="B58"/>
  </rcc>
  <rcc rId="649" sId="3">
    <oc r="C58" t="inlineStr">
      <is>
        <t>C0135</t>
      </is>
    </oc>
    <nc r="C58"/>
  </rcc>
  <rcc rId="650" sId="3" numFmtId="19">
    <oc r="D58">
      <v>45430</v>
    </oc>
    <nc r="D58"/>
  </rcc>
  <rcc rId="651" sId="3" numFmtId="26">
    <oc r="E58">
      <v>0.75574074074074071</v>
    </oc>
    <nc r="E58"/>
  </rcc>
  <rcc rId="652" sId="3" numFmtId="26">
    <oc r="F58">
      <v>2.5497685185185186E-2</v>
    </oc>
    <nc r="F58"/>
  </rcc>
  <rcc rId="653" sId="3" numFmtId="26">
    <oc r="H58">
      <v>3.3136574074074075E-2</v>
    </oc>
    <nc r="H58"/>
  </rcc>
  <rcc rId="654" sId="3">
    <oc r="I58">
      <f>$E58+$H58</f>
    </oc>
    <nc r="I58"/>
  </rcc>
  <rcc rId="655" sId="3">
    <oc r="J58" t="inlineStr">
      <is>
        <t>L</t>
      </is>
    </oc>
    <nc r="J58"/>
  </rcc>
  <rcc rId="656" sId="3">
    <oc r="K58" t="inlineStr">
      <is>
        <t>L</t>
      </is>
    </oc>
    <nc r="K58"/>
  </rcc>
  <rcc rId="657" sId="3">
    <oc r="L58">
      <v>0</v>
    </oc>
    <nc r="L58"/>
  </rcc>
  <rcc rId="658" sId="3">
    <oc r="A59" t="inlineStr">
      <is>
        <t>r1</t>
      </is>
    </oc>
    <nc r="A59"/>
  </rcc>
  <rcc rId="659" sId="3">
    <oc r="B59">
      <v>1</v>
    </oc>
    <nc r="B59"/>
  </rcc>
  <rcc rId="660" sId="3">
    <oc r="C59" t="inlineStr">
      <is>
        <t>C0141_2</t>
      </is>
    </oc>
    <nc r="C59"/>
  </rcc>
  <rcc rId="661" sId="3" numFmtId="19">
    <oc r="D59">
      <v>45437</v>
    </oc>
    <nc r="D59"/>
  </rcc>
  <rcc rId="662" sId="3" numFmtId="26">
    <oc r="E59">
      <v>0.75298611111111113</v>
    </oc>
    <nc r="E59"/>
  </rcc>
  <rcc rId="663" sId="3" numFmtId="26">
    <oc r="F59">
      <v>7.3842592592592597E-3</v>
    </oc>
    <nc r="F59"/>
  </rcc>
  <rcc rId="664" sId="3">
    <oc r="G59">
      <f>$E59 +$F59</f>
    </oc>
    <nc r="G59"/>
  </rcc>
  <rcc rId="665" sId="3" numFmtId="26">
    <oc r="H59">
      <v>4.4571759259259262E-2</v>
    </oc>
    <nc r="H59"/>
  </rcc>
  <rcc rId="666" sId="3">
    <oc r="I59">
      <f>$E59+$H59</f>
    </oc>
    <nc r="I59"/>
  </rcc>
  <rcc rId="667" sId="3">
    <oc r="J59" t="inlineStr">
      <is>
        <t>L</t>
      </is>
    </oc>
    <nc r="J59"/>
  </rcc>
  <rcc rId="668" sId="3">
    <oc r="K59" t="inlineStr">
      <is>
        <t>R</t>
      </is>
    </oc>
    <nc r="K59"/>
  </rcc>
  <rcc rId="669" sId="3">
    <oc r="L59">
      <v>1</v>
    </oc>
    <nc r="L59"/>
  </rcc>
  <rcc rId="670" sId="3">
    <oc r="A60" t="inlineStr">
      <is>
        <t>r1</t>
      </is>
    </oc>
    <nc r="A60"/>
  </rcc>
  <rcc rId="671" sId="3">
    <oc r="B60">
      <v>1</v>
    </oc>
    <nc r="B60"/>
  </rcc>
  <rcc rId="672" sId="3">
    <oc r="C60" t="inlineStr">
      <is>
        <t>C0142_2</t>
      </is>
    </oc>
    <nc r="C60"/>
  </rcc>
  <rcc rId="673" sId="3" numFmtId="19">
    <oc r="D60">
      <v>45438</v>
    </oc>
    <nc r="D60"/>
  </rcc>
  <rcc rId="674" sId="3" numFmtId="26">
    <oc r="E60">
      <v>0.22259259259259259</v>
    </oc>
    <nc r="E60"/>
  </rcc>
  <rcc rId="675" sId="3" numFmtId="26">
    <oc r="F60">
      <v>6.6087962962962966E-3</v>
    </oc>
    <nc r="F60"/>
  </rcc>
  <rcc rId="676" sId="3">
    <oc r="G60">
      <f>$E60 +$F60</f>
    </oc>
    <nc r="G60"/>
  </rcc>
  <rcc rId="677" sId="3" numFmtId="26">
    <oc r="H60">
      <v>2.4456018518518519E-2</v>
    </oc>
    <nc r="H60"/>
  </rcc>
  <rcc rId="678" sId="3">
    <oc r="I60">
      <f>$E60+$H60</f>
    </oc>
    <nc r="I60"/>
  </rcc>
  <rcc rId="679" sId="3">
    <oc r="J60" t="inlineStr">
      <is>
        <t>R</t>
      </is>
    </oc>
    <nc r="J60"/>
  </rcc>
  <rcc rId="680" sId="3">
    <oc r="K60" t="inlineStr">
      <is>
        <t>L</t>
      </is>
    </oc>
    <nc r="K60"/>
  </rcc>
  <rcc rId="681" sId="3">
    <oc r="L60">
      <v>1</v>
    </oc>
    <nc r="L60"/>
  </rcc>
  <rcc rId="682" sId="3">
    <oc r="A61" t="inlineStr">
      <is>
        <t>r1</t>
      </is>
    </oc>
    <nc r="A61"/>
  </rcc>
  <rcc rId="683" sId="3">
    <oc r="B61">
      <v>1</v>
    </oc>
    <nc r="B61"/>
  </rcc>
  <rcc rId="684" sId="3">
    <oc r="C61" t="inlineStr">
      <is>
        <t>C0088</t>
      </is>
    </oc>
    <nc r="C61"/>
  </rcc>
  <rcc rId="685" sId="3" numFmtId="19">
    <oc r="D61">
      <v>45435</v>
    </oc>
    <nc r="D61"/>
  </rcc>
  <rcc rId="686" sId="3" numFmtId="26">
    <oc r="E61">
      <v>0.22121527777777777</v>
    </oc>
    <nc r="E61"/>
  </rcc>
  <rcc rId="687" sId="3" numFmtId="26">
    <oc r="F61">
      <v>2.5613425925925925E-2</v>
    </oc>
    <nc r="F61"/>
  </rcc>
  <rcc rId="688" sId="3">
    <oc r="G61">
      <f>$E61 +$F61</f>
    </oc>
    <nc r="G61"/>
  </rcc>
  <rcc rId="689" sId="3" numFmtId="26">
    <oc r="H61">
      <v>4.0601851851851854E-2</v>
    </oc>
    <nc r="H61"/>
  </rcc>
  <rcc rId="690" sId="3">
    <oc r="I61">
      <f>$E61+$H61</f>
    </oc>
    <nc r="I61"/>
  </rcc>
  <rcc rId="691" sId="3">
    <oc r="J61" t="inlineStr">
      <is>
        <t>R</t>
      </is>
    </oc>
    <nc r="J61"/>
  </rcc>
  <rcc rId="692" sId="3">
    <oc r="K61" t="inlineStr">
      <is>
        <t>R</t>
      </is>
    </oc>
    <nc r="K61"/>
  </rcc>
  <rcc rId="693" sId="3">
    <oc r="L61">
      <v>1</v>
    </oc>
    <nc r="L61"/>
  </rcc>
  <rcc rId="694" sId="3">
    <oc r="A62" t="inlineStr">
      <is>
        <t>r1</t>
      </is>
    </oc>
    <nc r="A62"/>
  </rcc>
  <rcc rId="695" sId="3">
    <oc r="B62">
      <v>1</v>
    </oc>
    <nc r="B62"/>
  </rcc>
  <rcc rId="696" sId="3">
    <oc r="C62" t="inlineStr">
      <is>
        <t>C0087</t>
      </is>
    </oc>
    <nc r="C62"/>
  </rcc>
  <rcc rId="697" sId="3" numFmtId="19">
    <oc r="D62">
      <v>45434</v>
    </oc>
    <nc r="D62"/>
  </rcc>
  <rcc rId="698" sId="3" numFmtId="26">
    <oc r="E62">
      <v>0.76553240740740736</v>
    </oc>
    <nc r="E62"/>
  </rcc>
  <rcc rId="699" sId="3" numFmtId="26">
    <oc r="F62">
      <v>2.1180555555555558E-3</v>
    </oc>
    <nc r="F62"/>
  </rcc>
  <rcc rId="700" sId="3">
    <oc r="G62">
      <f>$E62 +$F62</f>
    </oc>
    <nc r="G62"/>
  </rcc>
  <rcc rId="701" sId="3" numFmtId="26">
    <oc r="H62">
      <v>1.6944444444444446E-2</v>
    </oc>
    <nc r="H62"/>
  </rcc>
  <rcc rId="702" sId="3">
    <oc r="I62">
      <f>$E62+$H62</f>
    </oc>
    <nc r="I62"/>
  </rcc>
  <rcc rId="703" sId="3">
    <oc r="J62" t="inlineStr">
      <is>
        <t>L</t>
      </is>
    </oc>
    <nc r="J62"/>
  </rcc>
  <rcc rId="704" sId="3">
    <oc r="K62" t="inlineStr">
      <is>
        <t>L</t>
      </is>
    </oc>
    <nc r="K62"/>
  </rcc>
  <rcc rId="705" sId="3">
    <oc r="L62">
      <v>1</v>
    </oc>
    <nc r="L62"/>
  </rcc>
  <rcc rId="706" sId="3">
    <oc r="A63" t="inlineStr">
      <is>
        <t>r1</t>
      </is>
    </oc>
    <nc r="A63"/>
  </rcc>
  <rcc rId="707" sId="3">
    <oc r="B63">
      <v>2</v>
    </oc>
    <nc r="B63"/>
  </rcc>
  <rcc rId="708" sId="3">
    <oc r="C63" t="inlineStr">
      <is>
        <t>C0087</t>
      </is>
    </oc>
    <nc r="C63"/>
  </rcc>
  <rcc rId="709" sId="3" numFmtId="19">
    <oc r="D63">
      <v>45434</v>
    </oc>
    <nc r="D63"/>
  </rcc>
  <rcc rId="710" sId="3" numFmtId="26">
    <oc r="E63">
      <v>0.76553240740740736</v>
    </oc>
    <nc r="E63"/>
  </rcc>
  <rcc rId="711" sId="3" numFmtId="26">
    <oc r="F63">
      <v>1.3657407407407408E-2</v>
    </oc>
    <nc r="F63"/>
  </rcc>
  <rcc rId="712" sId="3">
    <oc r="G63">
      <f>$E63 +$F63</f>
    </oc>
    <nc r="G63"/>
  </rcc>
  <rcc rId="713" sId="3" numFmtId="26">
    <oc r="H63">
      <v>3.0243055555555554E-2</v>
    </oc>
    <nc r="H63"/>
  </rcc>
  <rcc rId="714" sId="3">
    <oc r="I63">
      <f>$E63+$H63</f>
    </oc>
    <nc r="I63"/>
  </rcc>
  <rcc rId="715" sId="3">
    <oc r="J63" t="inlineStr">
      <is>
        <t>L</t>
      </is>
    </oc>
    <nc r="J63"/>
  </rcc>
  <rcc rId="716" sId="3">
    <oc r="K63" t="inlineStr">
      <is>
        <t>L</t>
      </is>
    </oc>
    <nc r="K63"/>
  </rcc>
  <rcc rId="717" sId="3">
    <oc r="L63">
      <v>1</v>
    </oc>
    <nc r="L63"/>
  </rcc>
  <rcc rId="718" sId="3">
    <oc r="M63" t="inlineStr">
      <is>
        <t>This was her 3rd or 4th return, but the only time she landed on disk. Never goes back into nest before video ends. First returns at 00:40:08</t>
      </is>
    </oc>
    <nc r="M63"/>
  </rcc>
  <rcc rId="719" sId="3">
    <oc r="A64" t="inlineStr">
      <is>
        <t>r1</t>
      </is>
    </oc>
    <nc r="A64"/>
  </rcc>
  <rcc rId="720" sId="3">
    <oc r="B64">
      <v>1</v>
    </oc>
    <nc r="B64"/>
  </rcc>
  <rcc rId="721" sId="3">
    <oc r="C64" t="inlineStr">
      <is>
        <t>C0086</t>
      </is>
    </oc>
    <nc r="C64"/>
  </rcc>
  <rcc rId="722" sId="3" numFmtId="19">
    <oc r="D64">
      <v>45434</v>
    </oc>
    <nc r="D64"/>
  </rcc>
  <rcc rId="723" sId="3" numFmtId="26">
    <oc r="E64">
      <v>0.22146990740740741</v>
    </oc>
    <nc r="E64"/>
  </rcc>
  <rcc rId="724" sId="3" numFmtId="26">
    <oc r="H64">
      <v>1.5405092592592592E-2</v>
    </oc>
    <nc r="H64"/>
  </rcc>
  <rcc rId="725" sId="3">
    <oc r="I64">
      <f>$E64+$H64</f>
    </oc>
    <nc r="I64"/>
  </rcc>
  <rcc rId="726" sId="3">
    <oc r="J64" t="inlineStr">
      <is>
        <t>R</t>
      </is>
    </oc>
    <nc r="J64"/>
  </rcc>
  <rcc rId="727" sId="3">
    <oc r="K64" t="inlineStr">
      <is>
        <t>L</t>
      </is>
    </oc>
    <nc r="K64"/>
  </rcc>
  <rcc rId="728" sId="3">
    <oc r="L64">
      <v>0</v>
    </oc>
    <nc r="L64"/>
  </rcc>
  <rcc rId="729" sId="3">
    <oc r="A65" t="inlineStr">
      <is>
        <t>r1</t>
      </is>
    </oc>
    <nc r="A65"/>
  </rcc>
  <rcc rId="730" sId="3">
    <oc r="B65">
      <v>2</v>
    </oc>
    <nc r="B65"/>
  </rcc>
  <rcc rId="731" sId="3">
    <oc r="C65" t="inlineStr">
      <is>
        <t>C0086</t>
      </is>
    </oc>
    <nc r="C65"/>
  </rcc>
  <rcc rId="732" sId="3" numFmtId="19">
    <oc r="D65">
      <v>45434</v>
    </oc>
    <nc r="D65"/>
  </rcc>
  <rcc rId="733" sId="3" numFmtId="26">
    <oc r="E65">
      <v>0.22146990740740741</v>
    </oc>
    <nc r="E65"/>
  </rcc>
  <rcc rId="734" sId="3" numFmtId="26">
    <oc r="F65">
      <v>1.7453703703703704E-2</v>
    </oc>
    <nc r="F65"/>
  </rcc>
  <rcc rId="735" sId="3">
    <oc r="G65">
      <f>$E65 +$F65</f>
    </oc>
    <nc r="G65"/>
  </rcc>
  <rcc rId="736" sId="3" numFmtId="26">
    <oc r="H65">
      <v>2.5833333333333333E-2</v>
    </oc>
    <nc r="H65"/>
  </rcc>
  <rcc rId="737" sId="3">
    <oc r="I65">
      <f>$E65+$H65</f>
    </oc>
    <nc r="I65"/>
  </rcc>
  <rcc rId="738" sId="3">
    <oc r="J65" t="inlineStr">
      <is>
        <t>L</t>
      </is>
    </oc>
    <nc r="J65"/>
  </rcc>
  <rcc rId="739" sId="3">
    <oc r="K65" t="inlineStr">
      <is>
        <t>L</t>
      </is>
    </oc>
    <nc r="K65"/>
  </rcc>
  <rcc rId="740" sId="3">
    <oc r="L65">
      <v>0</v>
    </oc>
    <nc r="L65"/>
  </rcc>
  <rcc rId="741" sId="3">
    <oc r="A66" t="inlineStr">
      <is>
        <t>r1</t>
      </is>
    </oc>
    <nc r="A66"/>
  </rcc>
  <rcc rId="742" sId="3">
    <oc r="B66">
      <v>1</v>
    </oc>
    <nc r="B66"/>
  </rcc>
  <rcc rId="743" sId="3">
    <oc r="C66" t="inlineStr">
      <is>
        <t>C0004</t>
      </is>
    </oc>
    <nc r="C66"/>
  </rcc>
  <rcc rId="744" sId="3" numFmtId="19">
    <oc r="D66">
      <v>45436</v>
    </oc>
    <nc r="D66"/>
  </rcc>
  <rcc rId="745" sId="3" numFmtId="26">
    <oc r="E66">
      <v>0.22917824074074075</v>
    </oc>
    <nc r="E66"/>
  </rcc>
  <rcc rId="746" sId="3" numFmtId="26">
    <oc r="H66">
      <v>1.3587962962962963E-2</v>
    </oc>
    <nc r="H66"/>
  </rcc>
  <rcc rId="747" sId="3">
    <oc r="I66">
      <f>$E66+$H66</f>
    </oc>
    <nc r="I66"/>
  </rcc>
  <rcc rId="748" sId="3">
    <oc r="J66" t="inlineStr">
      <is>
        <t>R</t>
      </is>
    </oc>
    <nc r="J66"/>
  </rcc>
  <rcc rId="749" sId="3">
    <oc r="K66" t="inlineStr">
      <is>
        <t>L</t>
      </is>
    </oc>
    <nc r="K66"/>
  </rcc>
  <rcc rId="750" sId="3">
    <oc r="L66">
      <v>0</v>
    </oc>
    <nc r="L66"/>
  </rcc>
  <rcc rId="751" sId="3">
    <oc r="A67" t="inlineStr">
      <is>
        <t>r1</t>
      </is>
    </oc>
    <nc r="A67"/>
  </rcc>
  <rcc rId="752" sId="3">
    <oc r="B67">
      <v>2</v>
    </oc>
    <nc r="B67"/>
  </rcc>
  <rcc rId="753" sId="3">
    <oc r="C67" t="inlineStr">
      <is>
        <t>C0004</t>
      </is>
    </oc>
    <nc r="C67"/>
  </rcc>
  <rcc rId="754" sId="3" numFmtId="19">
    <oc r="D67">
      <v>45436</v>
    </oc>
    <nc r="D67"/>
  </rcc>
  <rcc rId="755" sId="3" numFmtId="26">
    <oc r="E67">
      <v>0.22917824074074075</v>
    </oc>
    <nc r="E67"/>
  </rcc>
  <rcc rId="756" sId="3" numFmtId="26">
    <oc r="H67">
      <v>1.9837962962962963E-2</v>
    </oc>
    <nc r="H67"/>
  </rcc>
  <rcc rId="757" sId="3">
    <oc r="I67">
      <f>$E67+$H67</f>
    </oc>
    <nc r="I67"/>
  </rcc>
  <rcc rId="758" sId="3">
    <oc r="J67" t="inlineStr">
      <is>
        <t>R</t>
      </is>
    </oc>
    <nc r="J67"/>
  </rcc>
  <rcc rId="759" sId="3">
    <oc r="K67" t="inlineStr">
      <is>
        <t>L</t>
      </is>
    </oc>
    <nc r="K67"/>
  </rcc>
  <rcc rId="760" sId="3">
    <oc r="L67">
      <v>1</v>
    </oc>
    <nc r="L67"/>
  </rcc>
  <rcc rId="761" sId="3">
    <oc r="A68" t="inlineStr">
      <is>
        <t>r1</t>
      </is>
    </oc>
    <nc r="A68"/>
  </rcc>
  <rcc rId="762" sId="3">
    <oc r="B68">
      <v>1</v>
    </oc>
    <nc r="B68"/>
  </rcc>
  <rcc rId="763" sId="3">
    <oc r="C68" t="inlineStr">
      <is>
        <t>C0140</t>
      </is>
    </oc>
    <nc r="C68"/>
  </rcc>
  <rcc rId="764" sId="3" numFmtId="19">
    <oc r="D68">
      <v>45433</v>
    </oc>
    <nc r="D68"/>
  </rcc>
  <rcc rId="765" sId="3" numFmtId="26">
    <oc r="E68">
      <v>0.76710648148148153</v>
    </oc>
    <nc r="E68"/>
  </rcc>
  <rcc rId="766" sId="3" numFmtId="26">
    <oc r="H68">
      <v>1.4444444444444444E-2</v>
    </oc>
    <nc r="H68"/>
  </rcc>
  <rcc rId="767" sId="3">
    <oc r="I68">
      <f>$E68+$H68</f>
    </oc>
    <nc r="I68"/>
  </rcc>
  <rcc rId="768" sId="3">
    <oc r="J68" t="inlineStr">
      <is>
        <t>R</t>
      </is>
    </oc>
    <nc r="J68"/>
  </rcc>
  <rcc rId="769" sId="3">
    <oc r="K68" t="inlineStr">
      <is>
        <t>R</t>
      </is>
    </oc>
    <nc r="K68"/>
  </rcc>
  <rcc rId="770" sId="3">
    <oc r="L68">
      <v>1</v>
    </oc>
    <nc r="L68"/>
  </rcc>
  <rcc rId="771" sId="3">
    <oc r="A69" t="inlineStr">
      <is>
        <t>r1</t>
      </is>
    </oc>
    <nc r="A69"/>
  </rcc>
  <rcc rId="772" sId="3">
    <oc r="B69">
      <v>2</v>
    </oc>
    <nc r="B69"/>
  </rcc>
  <rcc rId="773" sId="3">
    <oc r="C69" t="inlineStr">
      <is>
        <t>C0140</t>
      </is>
    </oc>
    <nc r="C69"/>
  </rcc>
  <rcc rId="774" sId="3" numFmtId="19">
    <oc r="D69">
      <v>45433</v>
    </oc>
    <nc r="D69"/>
  </rcc>
  <rcc rId="775" sId="3" numFmtId="26">
    <oc r="E69">
      <v>0.76710648148148153</v>
    </oc>
    <nc r="E69"/>
  </rcc>
  <rcc rId="776" sId="3" numFmtId="26">
    <oc r="F69">
      <v>7.6504629629629631E-3</v>
    </oc>
    <nc r="F69"/>
  </rcc>
  <rcc rId="777" sId="3" numFmtId="26">
    <oc r="H69">
      <v>2.2303240740740742E-2</v>
    </oc>
    <nc r="H69"/>
  </rcc>
  <rcc rId="778" sId="3">
    <oc r="I69">
      <f>$E69+$H69</f>
    </oc>
    <nc r="I69"/>
  </rcc>
  <rcc rId="779" sId="3">
    <oc r="J69" t="inlineStr">
      <is>
        <t>R</t>
      </is>
    </oc>
    <nc r="J69"/>
  </rcc>
  <rcc rId="780" sId="3">
    <oc r="K69" t="inlineStr">
      <is>
        <t>R</t>
      </is>
    </oc>
    <nc r="K69"/>
  </rcc>
  <rcc rId="781" sId="3">
    <oc r="L69">
      <v>1</v>
    </oc>
    <nc r="L69"/>
  </rcc>
  <rcc rId="782" sId="3">
    <oc r="A70" t="inlineStr">
      <is>
        <t>r1</t>
      </is>
    </oc>
    <nc r="A70"/>
  </rcc>
  <rcc rId="783" sId="3">
    <oc r="B70">
      <v>1</v>
    </oc>
    <nc r="B70"/>
  </rcc>
  <rcc rId="784" sId="3">
    <oc r="C70" t="inlineStr">
      <is>
        <t>C0139_2</t>
      </is>
    </oc>
    <nc r="C70"/>
  </rcc>
  <rcc rId="785" sId="3" numFmtId="19">
    <oc r="D70">
      <v>45433</v>
    </oc>
    <nc r="D70"/>
  </rcc>
  <rcc rId="786" sId="3" numFmtId="26">
    <oc r="E70">
      <v>0.22061342592592592</v>
    </oc>
    <nc r="E70"/>
  </rcc>
  <rcc rId="787" sId="3" numFmtId="26">
    <oc r="H70">
      <v>1.0034722222222223E-2</v>
    </oc>
    <nc r="H70"/>
  </rcc>
  <rcc rId="788" sId="3">
    <oc r="I70">
      <f>$E70+$H70</f>
    </oc>
    <nc r="I70"/>
  </rcc>
  <rcc rId="789" sId="3">
    <oc r="J70" t="inlineStr">
      <is>
        <t>L</t>
      </is>
    </oc>
    <nc r="J70"/>
  </rcc>
  <rcc rId="790" sId="3">
    <oc r="K70" t="inlineStr">
      <is>
        <t>L</t>
      </is>
    </oc>
    <nc r="K70"/>
  </rcc>
  <rcc rId="791" sId="3">
    <oc r="L70">
      <v>0</v>
    </oc>
    <nc r="L70"/>
  </rcc>
  <rcc rId="792" sId="3">
    <oc r="A71" t="inlineStr">
      <is>
        <t>r1</t>
      </is>
    </oc>
    <nc r="A71"/>
  </rcc>
  <rcc rId="793" sId="3">
    <oc r="B71">
      <v>2</v>
    </oc>
    <nc r="B71"/>
  </rcc>
  <rcc rId="794" sId="3">
    <oc r="C71" t="inlineStr">
      <is>
        <t>C0139_2</t>
      </is>
    </oc>
    <nc r="C71"/>
  </rcc>
  <rcc rId="795" sId="3" numFmtId="19">
    <oc r="D71">
      <v>45433</v>
    </oc>
    <nc r="D71"/>
  </rcc>
  <rcc rId="796" sId="3" numFmtId="26">
    <oc r="E71">
      <v>0.22061342592592592</v>
    </oc>
    <nc r="E71"/>
  </rcc>
  <rcc rId="797" sId="3" numFmtId="26">
    <oc r="H71">
      <v>2.2789351851851852E-2</v>
    </oc>
    <nc r="H71"/>
  </rcc>
  <rcc rId="798" sId="3">
    <oc r="I71">
      <f>$E71+$H71</f>
    </oc>
    <nc r="I71"/>
  </rcc>
  <rcc rId="799" sId="3">
    <oc r="J71" t="inlineStr">
      <is>
        <t>L</t>
      </is>
    </oc>
    <nc r="J71"/>
  </rcc>
  <rcc rId="800" sId="3">
    <oc r="K71" t="inlineStr">
      <is>
        <t>R</t>
      </is>
    </oc>
    <nc r="K71"/>
  </rcc>
  <rcc rId="801" sId="3">
    <oc r="L71">
      <v>0</v>
    </oc>
    <nc r="L71"/>
  </rcc>
  <rcc rId="802" sId="3">
    <oc r="A72" t="inlineStr">
      <is>
        <t>r1</t>
      </is>
    </oc>
    <nc r="A72"/>
  </rcc>
  <rcc rId="803" sId="3">
    <oc r="B72">
      <v>3</v>
    </oc>
    <nc r="B72"/>
  </rcc>
  <rcc rId="804" sId="3">
    <oc r="C72" t="inlineStr">
      <is>
        <t>C0139_2</t>
      </is>
    </oc>
    <nc r="C72"/>
  </rcc>
  <rcc rId="805" sId="3" numFmtId="19">
    <oc r="D72">
      <v>45433</v>
    </oc>
    <nc r="D72"/>
  </rcc>
  <rcc rId="806" sId="3" numFmtId="26">
    <oc r="E72">
      <v>0.22061342592592592</v>
    </oc>
    <nc r="E72"/>
  </rcc>
  <rcc rId="807" sId="3" numFmtId="26">
    <oc r="F72">
      <v>1.5983796296296298E-2</v>
    </oc>
    <nc r="F72"/>
  </rcc>
  <rcc rId="808" sId="3" numFmtId="26">
    <oc r="H72">
      <v>3.050925925925926E-2</v>
    </oc>
    <nc r="H72"/>
  </rcc>
  <rcc rId="809" sId="3">
    <oc r="I72">
      <f>$E72+$H72</f>
    </oc>
    <nc r="I72"/>
  </rcc>
  <rcc rId="810" sId="3">
    <oc r="J72" t="inlineStr">
      <is>
        <t>R</t>
      </is>
    </oc>
    <nc r="J72"/>
  </rcc>
  <rcc rId="811" sId="3">
    <oc r="K72" t="inlineStr">
      <is>
        <t>R</t>
      </is>
    </oc>
    <nc r="K72"/>
  </rcc>
  <rcc rId="812" sId="3">
    <oc r="L72">
      <v>0</v>
    </oc>
    <nc r="L72"/>
  </rcc>
  <rcc rId="813" sId="3">
    <oc r="A73" t="inlineStr">
      <is>
        <t>r1</t>
      </is>
    </oc>
    <nc r="A73"/>
  </rcc>
  <rcc rId="814" sId="3">
    <oc r="B73">
      <v>4</v>
    </oc>
    <nc r="B73"/>
  </rcc>
  <rcc rId="815" sId="3">
    <oc r="C73" t="inlineStr">
      <is>
        <t>C0139_2</t>
      </is>
    </oc>
    <nc r="C73"/>
  </rcc>
  <rcc rId="816" sId="3" numFmtId="19">
    <oc r="D73">
      <v>45433</v>
    </oc>
    <nc r="D73"/>
  </rcc>
  <rcc rId="817" sId="3" numFmtId="26">
    <oc r="E73">
      <v>0.22061342592592592</v>
    </oc>
    <nc r="E73"/>
  </rcc>
  <rcc rId="818" sId="3" numFmtId="26">
    <oc r="F73">
      <v>2.5462962962962962E-2</v>
    </oc>
    <nc r="F73"/>
  </rcc>
  <rcc rId="819" sId="3" numFmtId="26">
    <oc r="H73">
      <v>3.30787037037037E-2</v>
    </oc>
    <nc r="H73"/>
  </rcc>
  <rcc rId="820" sId="3">
    <oc r="I73">
      <f>$E73+$H73</f>
    </oc>
    <nc r="I73"/>
  </rcc>
  <rcc rId="821" sId="3">
    <oc r="J73" t="inlineStr">
      <is>
        <t>R</t>
      </is>
    </oc>
    <nc r="J73"/>
  </rcc>
  <rcc rId="822" sId="3">
    <oc r="K73" t="inlineStr">
      <is>
        <t>R</t>
      </is>
    </oc>
    <nc r="K73"/>
  </rcc>
  <rcc rId="823" sId="3">
    <oc r="L73">
      <v>1</v>
    </oc>
    <nc r="L73"/>
  </rcc>
  <rcc rId="824" sId="3">
    <oc r="A74" t="inlineStr">
      <is>
        <t>r1</t>
      </is>
    </oc>
    <nc r="A74"/>
  </rcc>
  <rcc rId="825" sId="3">
    <oc r="B74">
      <v>1</v>
    </oc>
    <nc r="B74"/>
  </rcc>
  <rcc rId="826" sId="3">
    <oc r="C74" t="inlineStr">
      <is>
        <t>C0138_2</t>
      </is>
    </oc>
    <nc r="C74"/>
  </rcc>
  <rcc rId="827" sId="3" numFmtId="19">
    <oc r="D74">
      <v>45432</v>
    </oc>
    <nc r="D74"/>
  </rcc>
  <rcc rId="828" sId="3" numFmtId="26">
    <oc r="E74">
      <v>0.22245370370370371</v>
    </oc>
    <nc r="E74"/>
  </rcc>
  <rcc rId="829" sId="3" numFmtId="26">
    <oc r="H74">
      <v>1.5671296296296298E-2</v>
    </oc>
    <nc r="H74"/>
  </rcc>
  <rcc rId="830" sId="3">
    <oc r="I74">
      <f>$E74+$H74</f>
    </oc>
    <nc r="I74"/>
  </rcc>
  <rcc rId="831" sId="3">
    <oc r="J74" t="inlineStr">
      <is>
        <t>R</t>
      </is>
    </oc>
    <nc r="J74"/>
  </rcc>
  <rcc rId="832" sId="3">
    <oc r="K74" t="inlineStr">
      <is>
        <t>L</t>
      </is>
    </oc>
    <nc r="K74"/>
  </rcc>
  <rcc rId="833" sId="3">
    <oc r="L74">
      <v>0</v>
    </oc>
    <nc r="L74"/>
  </rcc>
  <rcc rId="834" sId="3">
    <oc r="A75" t="inlineStr">
      <is>
        <t>r1</t>
      </is>
    </oc>
    <nc r="A75"/>
  </rcc>
  <rcc rId="835" sId="3">
    <oc r="B75">
      <v>2</v>
    </oc>
    <nc r="B75"/>
  </rcc>
  <rcc rId="836" sId="3">
    <oc r="C75" t="inlineStr">
      <is>
        <t>C0138_2</t>
      </is>
    </oc>
    <nc r="C75"/>
  </rcc>
  <rcc rId="837" sId="3" numFmtId="19">
    <oc r="D75">
      <v>45432</v>
    </oc>
    <nc r="D75"/>
  </rcc>
  <rcc rId="838" sId="3" numFmtId="26">
    <oc r="E75">
      <v>0.22245370370370371</v>
    </oc>
    <nc r="E75"/>
  </rcc>
  <rcc rId="839" sId="3" numFmtId="26">
    <oc r="H75">
      <v>1.5844907407407408E-2</v>
    </oc>
    <nc r="H75"/>
  </rcc>
  <rcc rId="840" sId="3">
    <oc r="I75">
      <f>$E75+$H75</f>
    </oc>
    <nc r="I75"/>
  </rcc>
  <rcc rId="841" sId="3">
    <oc r="J75" t="inlineStr">
      <is>
        <t>R</t>
      </is>
    </oc>
    <nc r="J75"/>
  </rcc>
  <rcc rId="842" sId="3">
    <oc r="K75" t="inlineStr">
      <is>
        <t>L</t>
      </is>
    </oc>
    <nc r="K75"/>
  </rcc>
  <rcc rId="843" sId="3">
    <oc r="L75">
      <v>1</v>
    </oc>
    <nc r="L75"/>
  </rcc>
  <rcc rId="844" sId="3">
    <oc r="A76" t="inlineStr">
      <is>
        <t>r1</t>
      </is>
    </oc>
    <nc r="A76"/>
  </rcc>
  <rcc rId="845" sId="3">
    <oc r="B76">
      <v>3</v>
    </oc>
    <nc r="B76"/>
  </rcc>
  <rcc rId="846" sId="3">
    <oc r="C76" t="inlineStr">
      <is>
        <t>C0138_2</t>
      </is>
    </oc>
    <nc r="C76"/>
  </rcc>
  <rcc rId="847" sId="3" numFmtId="19">
    <oc r="D76">
      <v>45432</v>
    </oc>
    <nc r="D76"/>
  </rcc>
  <rcc rId="848" sId="3" numFmtId="26">
    <oc r="E76">
      <v>0.22245370370370371</v>
    </oc>
    <nc r="E76"/>
  </rcc>
  <rcc rId="849" sId="3" numFmtId="26">
    <oc r="H76">
      <v>2.1377314814814814E-2</v>
    </oc>
    <nc r="H76"/>
  </rcc>
  <rcc rId="850" sId="3">
    <oc r="I76">
      <f>$E76+$H76</f>
    </oc>
    <nc r="I76"/>
  </rcc>
  <rcc rId="851" sId="3">
    <oc r="J76" t="inlineStr">
      <is>
        <t>R</t>
      </is>
    </oc>
    <nc r="J76"/>
  </rcc>
  <rcc rId="852" sId="3">
    <oc r="K76" t="inlineStr">
      <is>
        <t>L</t>
      </is>
    </oc>
    <nc r="K76"/>
  </rcc>
  <rcc rId="853" sId="3">
    <oc r="L76">
      <v>0</v>
    </oc>
    <nc r="L76"/>
  </rcc>
  <rcc rId="854" sId="3">
    <oc r="A77" t="inlineStr">
      <is>
        <t>r1</t>
      </is>
    </oc>
    <nc r="A77"/>
  </rcc>
  <rcc rId="855" sId="3">
    <oc r="B77">
      <v>4</v>
    </oc>
    <nc r="B77"/>
  </rcc>
  <rcc rId="856" sId="3">
    <oc r="C77" t="inlineStr">
      <is>
        <t>C0138_2</t>
      </is>
    </oc>
    <nc r="C77"/>
  </rcc>
  <rcc rId="857" sId="3" numFmtId="19">
    <oc r="D77">
      <v>45432</v>
    </oc>
    <nc r="D77"/>
  </rcc>
  <rcc rId="858" sId="3" numFmtId="26">
    <oc r="E77">
      <v>0.22245370370370371</v>
    </oc>
    <nc r="E77"/>
  </rcc>
  <rcc rId="859" sId="3" numFmtId="26">
    <oc r="F77">
      <v>1.894675925925926E-2</v>
    </oc>
    <nc r="F77"/>
  </rcc>
  <rcc rId="860" sId="3" numFmtId="26">
    <oc r="H77">
      <v>2.8472222222222222E-2</v>
    </oc>
    <nc r="H77"/>
  </rcc>
  <rcc rId="861" sId="3">
    <oc r="I77">
      <f>$E77+$H77</f>
    </oc>
    <nc r="I77"/>
  </rcc>
  <rcc rId="862" sId="3">
    <oc r="J77" t="inlineStr">
      <is>
        <t>L</t>
      </is>
    </oc>
    <nc r="J77"/>
  </rcc>
  <rcc rId="863" sId="3">
    <oc r="K77" t="inlineStr">
      <is>
        <t>L</t>
      </is>
    </oc>
    <nc r="K77"/>
  </rcc>
  <rcc rId="864" sId="3">
    <oc r="L77">
      <v>0</v>
    </oc>
    <nc r="L77"/>
  </rcc>
  <rcc rId="865" sId="3">
    <oc r="A78" t="inlineStr">
      <is>
        <t>r1</t>
      </is>
    </oc>
    <nc r="A78"/>
  </rcc>
  <rcc rId="866" sId="3">
    <oc r="B78">
      <v>5</v>
    </oc>
    <nc r="B78"/>
  </rcc>
  <rcc rId="867" sId="3">
    <oc r="C78" t="inlineStr">
      <is>
        <t>C0138_2</t>
      </is>
    </oc>
    <nc r="C78"/>
  </rcc>
  <rcc rId="868" sId="3" numFmtId="19">
    <oc r="D78">
      <v>45432</v>
    </oc>
    <nc r="D78"/>
  </rcc>
  <rcc rId="869" sId="3" numFmtId="26">
    <oc r="E78">
      <v>0.22245370370370371</v>
    </oc>
    <nc r="E78"/>
  </rcc>
  <rcc rId="870" sId="3" numFmtId="26">
    <oc r="F78">
      <v>2.3831018518518519E-2</v>
    </oc>
    <nc r="F78"/>
  </rcc>
  <rcc rId="871" sId="3" numFmtId="26">
    <oc r="H78">
      <v>2.9768518518518517E-2</v>
    </oc>
    <nc r="H78"/>
  </rcc>
  <rcc rId="872" sId="3">
    <oc r="I78">
      <f>$E78+$H78</f>
    </oc>
    <nc r="I78"/>
  </rcc>
  <rcc rId="873" sId="3">
    <oc r="J78" t="inlineStr">
      <is>
        <t>L</t>
      </is>
    </oc>
    <nc r="J78"/>
  </rcc>
  <rcc rId="874" sId="3">
    <oc r="K78" t="inlineStr">
      <is>
        <t>L</t>
      </is>
    </oc>
    <nc r="K78"/>
  </rcc>
  <rcc rId="875" sId="3">
    <oc r="L78">
      <v>0</v>
    </oc>
    <nc r="L78"/>
  </rcc>
  <rcc rId="876" sId="3">
    <oc r="A79" t="inlineStr">
      <is>
        <t>r1</t>
      </is>
    </oc>
    <nc r="A79"/>
  </rcc>
  <rcc rId="877" sId="3">
    <oc r="B79">
      <v>1</v>
    </oc>
    <nc r="B79"/>
  </rcc>
  <rcc rId="878" sId="3">
    <oc r="C79" t="inlineStr">
      <is>
        <t>C0137_2</t>
      </is>
    </oc>
    <nc r="C79"/>
  </rcc>
  <rcc rId="879" sId="3" numFmtId="19">
    <oc r="D79">
      <v>45431</v>
    </oc>
    <nc r="D79"/>
  </rcc>
  <rcc rId="880" sId="3" numFmtId="26">
    <oc r="E79">
      <v>0.76153935185185184</v>
    </oc>
    <nc r="E79"/>
  </rcc>
  <rcc rId="881" sId="3" numFmtId="26">
    <oc r="F79">
      <v>2.0023148148148148E-2</v>
    </oc>
    <nc r="F79"/>
  </rcc>
  <rcc rId="882" sId="3">
    <oc r="G79" t="inlineStr">
      <is>
        <t>NA</t>
      </is>
    </oc>
    <nc r="G79"/>
  </rcc>
  <rcc rId="883" sId="3">
    <oc r="H79" t="inlineStr">
      <is>
        <t>NA</t>
      </is>
    </oc>
    <nc r="H79"/>
  </rcc>
  <rcc rId="884" sId="3">
    <oc r="I79" t="inlineStr">
      <is>
        <t>NA</t>
      </is>
    </oc>
    <nc r="I79"/>
  </rcc>
  <rcc rId="885" sId="3">
    <oc r="J79" t="inlineStr">
      <is>
        <t>R</t>
      </is>
    </oc>
    <nc r="J79"/>
  </rcc>
  <rcc rId="886" sId="3">
    <oc r="K79" t="inlineStr">
      <is>
        <t>R</t>
      </is>
    </oc>
    <nc r="K79"/>
  </rcc>
  <rcc rId="887" sId="3">
    <oc r="L79" t="inlineStr">
      <is>
        <t>NA</t>
      </is>
    </oc>
    <nc r="L79"/>
  </rcc>
  <rcc rId="888" sId="3">
    <oc r="M79" t="inlineStr">
      <is>
        <t>No return data bc I used camera to record maze 2 bc battery of maze 2 camera dies halway through</t>
      </is>
    </oc>
    <nc r="M79"/>
  </rcc>
  <rcc rId="889" sId="3">
    <oc r="A80" t="inlineStr">
      <is>
        <t>r1</t>
      </is>
    </oc>
    <nc r="A80"/>
  </rcc>
  <rcc rId="890" sId="3">
    <oc r="B80">
      <v>1</v>
    </oc>
    <nc r="B80"/>
  </rcc>
  <rcc rId="891" sId="3">
    <oc r="C80" t="inlineStr">
      <is>
        <t>C0136_2</t>
      </is>
    </oc>
    <nc r="C80"/>
  </rcc>
  <rcc rId="892" sId="3" numFmtId="19">
    <oc r="D80">
      <v>45431</v>
    </oc>
    <nc r="D80"/>
  </rcc>
  <rcc rId="893" sId="3" numFmtId="26">
    <oc r="E80">
      <v>0.21937499999999999</v>
    </oc>
    <nc r="E80"/>
  </rcc>
  <rcc rId="894" sId="3" numFmtId="26">
    <oc r="H80">
      <v>9.3055555555555548E-3</v>
    </oc>
    <nc r="H80"/>
  </rcc>
  <rcc rId="895" sId="3">
    <oc r="I80">
      <f>$E80+$H80</f>
    </oc>
    <nc r="I80"/>
  </rcc>
  <rcc rId="896" sId="3">
    <oc r="J80" t="inlineStr">
      <is>
        <t>L</t>
      </is>
    </oc>
    <nc r="J80"/>
  </rcc>
  <rcc rId="897" sId="3">
    <oc r="K80" t="inlineStr">
      <is>
        <t>L</t>
      </is>
    </oc>
    <nc r="K80"/>
  </rcc>
  <rcc rId="898" sId="3">
    <oc r="L80">
      <v>0</v>
    </oc>
    <nc r="L80"/>
  </rcc>
  <rcc rId="899" sId="3">
    <oc r="A81" t="inlineStr">
      <is>
        <t>r1</t>
      </is>
    </oc>
    <nc r="A81"/>
  </rcc>
  <rcc rId="900" sId="3">
    <oc r="B81">
      <v>2</v>
    </oc>
    <nc r="B81"/>
  </rcc>
  <rcc rId="901" sId="3">
    <oc r="C81" t="inlineStr">
      <is>
        <t>C0136_2</t>
      </is>
    </oc>
    <nc r="C81"/>
  </rcc>
  <rcc rId="902" sId="3" numFmtId="19">
    <oc r="D81">
      <v>45431</v>
    </oc>
    <nc r="D81"/>
  </rcc>
  <rcc rId="903" sId="3" numFmtId="26">
    <oc r="E81">
      <v>0.21937499999999999</v>
    </oc>
    <nc r="E81"/>
  </rcc>
  <rcc rId="904" sId="3" numFmtId="26">
    <oc r="H81">
      <v>1.6250000000000001E-2</v>
    </oc>
    <nc r="H81"/>
  </rcc>
  <rcc rId="905" sId="3">
    <oc r="I81">
      <f>$E81+$H81</f>
    </oc>
    <nc r="I81"/>
  </rcc>
  <rcc rId="906" sId="3">
    <oc r="J81" t="inlineStr">
      <is>
        <t>L</t>
      </is>
    </oc>
    <nc r="J81"/>
  </rcc>
  <rcc rId="907" sId="3">
    <oc r="K81" t="inlineStr">
      <is>
        <t>L</t>
      </is>
    </oc>
    <nc r="K81"/>
  </rcc>
  <rcc rId="908" sId="3">
    <oc r="L81">
      <v>1</v>
    </oc>
    <nc r="L81"/>
  </rcc>
  <rcc rId="909" sId="3">
    <oc r="A82" t="inlineStr">
      <is>
        <t>r1</t>
      </is>
    </oc>
    <nc r="A82"/>
  </rcc>
  <rcc rId="910" sId="3">
    <oc r="B82">
      <v>3</v>
    </oc>
    <nc r="B82"/>
  </rcc>
  <rcc rId="911" sId="3">
    <oc r="C82" t="inlineStr">
      <is>
        <t>C0136_2</t>
      </is>
    </oc>
    <nc r="C82"/>
  </rcc>
  <rcc rId="912" sId="3" numFmtId="19">
    <oc r="D82">
      <v>45431</v>
    </oc>
    <nc r="D82"/>
  </rcc>
  <rcc rId="913" sId="3" numFmtId="26">
    <oc r="E82">
      <v>0.21937499999999999</v>
    </oc>
    <nc r="E82"/>
  </rcc>
  <rcc rId="914" sId="3" numFmtId="26">
    <oc r="F82">
      <v>1.1041666666666667E-2</v>
    </oc>
    <nc r="F82"/>
  </rcc>
  <rcc rId="915" sId="3" numFmtId="26">
    <oc r="H82">
      <v>1.8252314814814815E-2</v>
    </oc>
    <nc r="H82"/>
  </rcc>
  <rcc rId="916" sId="3">
    <oc r="I82">
      <f>$E82+$H82</f>
    </oc>
    <nc r="I82"/>
  </rcc>
  <rcc rId="917" sId="3">
    <oc r="J82" t="inlineStr">
      <is>
        <t>L</t>
      </is>
    </oc>
    <nc r="J82"/>
  </rcc>
  <rcc rId="918" sId="3">
    <oc r="K82" t="inlineStr">
      <is>
        <t>L</t>
      </is>
    </oc>
    <nc r="K82"/>
  </rcc>
  <rcc rId="919" sId="3">
    <oc r="L82">
      <v>0</v>
    </oc>
    <nc r="L82"/>
  </rcc>
  <rcc rId="920" sId="3">
    <oc r="A83" t="inlineStr">
      <is>
        <t>r1</t>
      </is>
    </oc>
    <nc r="A83"/>
  </rcc>
  <rcc rId="921" sId="3">
    <oc r="B83">
      <v>4</v>
    </oc>
    <nc r="B83"/>
  </rcc>
  <rcc rId="922" sId="3">
    <oc r="C83" t="inlineStr">
      <is>
        <t>C0136_2</t>
      </is>
    </oc>
    <nc r="C83"/>
  </rcc>
  <rcc rId="923" sId="3" numFmtId="19">
    <oc r="D83">
      <v>45431</v>
    </oc>
    <nc r="D83"/>
  </rcc>
  <rcc rId="924" sId="3" numFmtId="26">
    <oc r="E83">
      <v>0.21937499999999999</v>
    </oc>
    <nc r="E83"/>
  </rcc>
  <rcc rId="925" sId="3" numFmtId="26">
    <oc r="F83">
      <v>2.0150462962962964E-2</v>
    </oc>
    <nc r="F83"/>
  </rcc>
  <rcc rId="926" sId="3" numFmtId="26">
    <oc r="H83">
      <v>2.3854166666666666E-2</v>
    </oc>
    <nc r="H83"/>
  </rcc>
  <rcc rId="927" sId="3">
    <oc r="I83">
      <f>$E83+$H83</f>
    </oc>
    <nc r="I83"/>
  </rcc>
  <rcc rId="928" sId="3">
    <oc r="J83" t="inlineStr">
      <is>
        <t>L</t>
      </is>
    </oc>
    <nc r="J83"/>
  </rcc>
  <rcc rId="929" sId="3">
    <oc r="K83" t="inlineStr">
      <is>
        <t>L</t>
      </is>
    </oc>
    <nc r="K83"/>
  </rcc>
  <rcc rId="930" sId="3">
    <oc r="L83">
      <v>1</v>
    </oc>
    <nc r="L83"/>
  </rcc>
  <rcc rId="931" sId="3">
    <oc r="A84" t="inlineStr">
      <is>
        <t>r1</t>
      </is>
    </oc>
    <nc r="A84"/>
  </rcc>
  <rcc rId="932" sId="3">
    <oc r="B84">
      <v>1</v>
    </oc>
    <nc r="B84"/>
  </rcc>
  <rcc rId="933" sId="3">
    <oc r="C84" t="inlineStr">
      <is>
        <t>C0167</t>
      </is>
    </oc>
    <nc r="C84"/>
  </rcc>
  <rcc rId="934" sId="3" numFmtId="19">
    <oc r="D84">
      <v>45438</v>
    </oc>
    <nc r="D84"/>
  </rcc>
  <rcc rId="935" sId="3" numFmtId="23">
    <oc r="E84">
      <v>0.75898148148148148</v>
    </oc>
    <nc r="E84"/>
  </rcc>
  <rcc rId="936" sId="3" numFmtId="26">
    <oc r="F84">
      <v>8.1250000000000003E-3</v>
    </oc>
    <nc r="F84"/>
  </rcc>
  <rcc rId="937" sId="3" numFmtId="26">
    <oc r="H84">
      <v>2.627314814814815E-2</v>
    </oc>
    <nc r="H84"/>
  </rcc>
  <rcc rId="938" sId="3">
    <oc r="I84">
      <f>$E84+$H84</f>
    </oc>
    <nc r="I84"/>
  </rcc>
  <rcc rId="939" sId="3">
    <oc r="J84" t="inlineStr">
      <is>
        <t>L</t>
      </is>
    </oc>
    <nc r="J84"/>
  </rcc>
  <rcc rId="940" sId="3">
    <oc r="K84" t="inlineStr">
      <is>
        <t>R</t>
      </is>
    </oc>
    <nc r="K84"/>
  </rcc>
  <rcc rId="941" sId="3">
    <oc r="L84">
      <v>0</v>
    </oc>
    <nc r="L84"/>
  </rcc>
  <rcc rId="942" sId="3">
    <oc r="A85" t="inlineStr">
      <is>
        <t>r1</t>
      </is>
    </oc>
    <nc r="A85"/>
  </rcc>
  <rcc rId="943" sId="3">
    <oc r="B85">
      <v>1</v>
    </oc>
    <nc r="B85"/>
  </rcc>
  <rcc rId="944" sId="3">
    <oc r="C85" t="inlineStr">
      <is>
        <t>C0168</t>
      </is>
    </oc>
    <nc r="C85"/>
  </rcc>
  <rcc rId="945" sId="3" numFmtId="19">
    <oc r="D85">
      <v>45439</v>
    </oc>
    <nc r="D85"/>
  </rcc>
  <rcc rId="946" sId="3" numFmtId="23">
    <oc r="E85">
      <v>0.21839120370370371</v>
    </oc>
    <nc r="E85"/>
  </rcc>
  <rcc rId="947" sId="3" numFmtId="26">
    <oc r="H85">
      <v>1.2083333333333333E-2</v>
    </oc>
    <nc r="H85"/>
  </rcc>
  <rcc rId="948" sId="3">
    <oc r="I85">
      <f>$E85+$H85</f>
    </oc>
    <nc r="I85"/>
  </rcc>
  <rcc rId="949" sId="3">
    <oc r="J85" t="inlineStr">
      <is>
        <t>R</t>
      </is>
    </oc>
    <nc r="J85"/>
  </rcc>
  <rcc rId="950" sId="3">
    <oc r="K85" t="inlineStr">
      <is>
        <t>R</t>
      </is>
    </oc>
    <nc r="K85"/>
  </rcc>
  <rcc rId="951" sId="3">
    <oc r="L85">
      <v>1</v>
    </oc>
    <nc r="L85"/>
  </rcc>
  <rcc rId="952" sId="3">
    <oc r="A86" t="inlineStr">
      <is>
        <t>r1</t>
      </is>
    </oc>
    <nc r="A86"/>
  </rcc>
  <rcc rId="953" sId="3">
    <oc r="B86">
      <v>2</v>
    </oc>
    <nc r="B86"/>
  </rcc>
  <rcc rId="954" sId="3">
    <oc r="C86" t="inlineStr">
      <is>
        <t>C0168</t>
      </is>
    </oc>
    <nc r="C86"/>
  </rcc>
  <rcc rId="955" sId="3" numFmtId="19">
    <oc r="D86">
      <v>45439</v>
    </oc>
    <nc r="D86"/>
  </rcc>
  <rcc rId="956" sId="3" numFmtId="23">
    <oc r="E86">
      <v>0.21839120370370371</v>
    </oc>
    <nc r="E86"/>
  </rcc>
  <rcc rId="957" sId="3" numFmtId="26">
    <oc r="F86">
      <v>1.3009259259259259E-2</v>
    </oc>
    <nc r="F86"/>
  </rcc>
  <rcc rId="958" sId="3" numFmtId="26">
    <oc r="H86">
      <v>3.9039351851851853E-2</v>
    </oc>
    <nc r="H86"/>
  </rcc>
  <rcc rId="959" sId="3">
    <oc r="I86">
      <f>$E86+$H86</f>
    </oc>
    <nc r="I86"/>
  </rcc>
  <rcc rId="960" sId="3">
    <oc r="J86" t="inlineStr">
      <is>
        <t>R</t>
      </is>
    </oc>
    <nc r="J86"/>
  </rcc>
  <rcc rId="961" sId="3">
    <oc r="K86" t="inlineStr">
      <is>
        <t>R</t>
      </is>
    </oc>
    <nc r="K86"/>
  </rcc>
  <rcc rId="962" sId="3">
    <oc r="L86">
      <v>0</v>
    </oc>
    <nc r="L86"/>
  </rcc>
  <rcc rId="963" sId="3">
    <oc r="A87" t="inlineStr">
      <is>
        <t>r1</t>
      </is>
    </oc>
    <nc r="A87"/>
  </rcc>
  <rcc rId="964" sId="3">
    <oc r="B87">
      <v>3</v>
    </oc>
    <nc r="B87"/>
  </rcc>
  <rcc rId="965" sId="3">
    <oc r="C87" t="inlineStr">
      <is>
        <t>C0168</t>
      </is>
    </oc>
    <nc r="C87"/>
  </rcc>
  <rcc rId="966" sId="3" numFmtId="19">
    <oc r="D87">
      <v>45439</v>
    </oc>
    <nc r="D87"/>
  </rcc>
  <rcc rId="967" sId="3" numFmtId="23">
    <oc r="E87">
      <v>0.21839120370370371</v>
    </oc>
    <nc r="E87"/>
  </rcc>
  <rcc rId="968" sId="3" numFmtId="26">
    <oc r="F87">
      <v>1.3009259259259259E-2</v>
    </oc>
    <nc r="F87"/>
  </rcc>
  <rcc rId="969" sId="3">
    <oc r="H87" t="inlineStr">
      <is>
        <t>NA</t>
      </is>
    </oc>
    <nc r="H87"/>
  </rcc>
  <rcc rId="970" sId="3">
    <oc r="I87" t="inlineStr">
      <is>
        <t>NA</t>
      </is>
    </oc>
    <nc r="I87"/>
  </rcc>
  <rcc rId="971" sId="3">
    <oc r="J87" t="inlineStr">
      <is>
        <t>R</t>
      </is>
    </oc>
    <nc r="J87"/>
  </rcc>
  <rcc rId="972" sId="3">
    <oc r="K87" t="inlineStr">
      <is>
        <t>R</t>
      </is>
    </oc>
    <nc r="K87"/>
  </rcc>
  <rcc rId="973" sId="3">
    <oc r="L87" t="inlineStr">
      <is>
        <t>NA</t>
      </is>
    </oc>
    <nc r="L87"/>
  </rcc>
  <rcc rId="974" sId="3">
    <oc r="A88" t="inlineStr">
      <is>
        <t>r1</t>
      </is>
    </oc>
    <nc r="A88"/>
  </rcc>
  <rcc rId="975" sId="3">
    <oc r="B88">
      <v>1</v>
    </oc>
    <nc r="B88"/>
  </rcc>
  <rcc rId="976" sId="3">
    <oc r="C88" t="inlineStr">
      <is>
        <t>C0167_2</t>
      </is>
    </oc>
    <nc r="C88"/>
  </rcc>
  <rcc rId="977" sId="3" numFmtId="19">
    <oc r="D88">
      <v>45443</v>
    </oc>
    <nc r="D88"/>
  </rcc>
  <rcc rId="978" sId="3" numFmtId="26">
    <oc r="E88">
      <v>0.76233796296296297</v>
    </oc>
    <nc r="E88"/>
  </rcc>
  <rcc rId="979" sId="3" numFmtId="26">
    <oc r="H88">
      <v>2.8715277777777777E-2</v>
    </oc>
    <nc r="H88"/>
  </rcc>
  <rcc rId="980" sId="3">
    <oc r="I88">
      <f>$E88+$H88</f>
    </oc>
    <nc r="I88"/>
  </rcc>
  <rcc rId="981" sId="3">
    <oc r="J88" t="inlineStr">
      <is>
        <t>R</t>
      </is>
    </oc>
    <nc r="J88"/>
  </rcc>
  <rcc rId="982" sId="3">
    <oc r="K88" t="inlineStr">
      <is>
        <t>L</t>
      </is>
    </oc>
    <nc r="K88"/>
  </rcc>
  <rcc rId="983" sId="3">
    <oc r="L88">
      <v>0</v>
    </oc>
    <nc r="L88"/>
  </rcc>
  <rcc rId="984" sId="3">
    <oc r="A89" t="inlineStr">
      <is>
        <t>r1</t>
      </is>
    </oc>
    <nc r="A89"/>
  </rcc>
  <rcc rId="985" sId="3">
    <oc r="B89">
      <v>2</v>
    </oc>
    <nc r="B89"/>
  </rcc>
  <rcc rId="986" sId="3">
    <oc r="C89" t="inlineStr">
      <is>
        <t>C0167_2</t>
      </is>
    </oc>
    <nc r="C89"/>
  </rcc>
  <rcc rId="987" sId="3" numFmtId="19">
    <oc r="D89">
      <v>45443</v>
    </oc>
    <nc r="D89"/>
  </rcc>
  <rcc rId="988" sId="3" numFmtId="26">
    <oc r="E89">
      <v>0.76233796296296297</v>
    </oc>
    <nc r="E89"/>
  </rcc>
  <rcc rId="989" sId="3" numFmtId="26">
    <oc r="H89">
      <v>2.8796296296296296E-2</v>
    </oc>
    <nc r="H89"/>
  </rcc>
  <rcc rId="990" sId="3">
    <oc r="I89">
      <f>$E89+$H89</f>
    </oc>
    <nc r="I89"/>
  </rcc>
  <rcc rId="991" sId="3">
    <oc r="J89" t="inlineStr">
      <is>
        <t>R</t>
      </is>
    </oc>
    <nc r="J89"/>
  </rcc>
  <rcc rId="992" sId="3">
    <oc r="K89" t="inlineStr">
      <is>
        <t>L</t>
      </is>
    </oc>
    <nc r="K89"/>
  </rcc>
  <rcc rId="993" sId="3">
    <oc r="L89">
      <v>0</v>
    </oc>
    <nc r="L89"/>
  </rcc>
  <rcc rId="994" sId="3">
    <oc r="A90" t="inlineStr">
      <is>
        <t>r1</t>
      </is>
    </oc>
    <nc r="A90"/>
  </rcc>
  <rcc rId="995" sId="3">
    <oc r="B90">
      <v>3</v>
    </oc>
    <nc r="B90"/>
  </rcc>
  <rcc rId="996" sId="3">
    <oc r="C90" t="inlineStr">
      <is>
        <t>C0167_2</t>
      </is>
    </oc>
    <nc r="C90"/>
  </rcc>
  <rcc rId="997" sId="3" numFmtId="19">
    <oc r="D90">
      <v>45443</v>
    </oc>
    <nc r="D90"/>
  </rcc>
  <rcc rId="998" sId="3" numFmtId="26">
    <oc r="E90">
      <v>0.76233796296296297</v>
    </oc>
    <nc r="E90"/>
  </rcc>
  <rcc rId="999" sId="3" numFmtId="26">
    <oc r="F90">
      <v>3.0497685185185187E-2</v>
    </oc>
    <nc r="F90"/>
  </rcc>
  <rcc rId="1000" sId="3">
    <oc r="G90">
      <f>$E90 +$F90</f>
    </oc>
    <nc r="G90"/>
  </rcc>
  <rcc rId="1001" sId="3" numFmtId="26">
    <oc r="H90">
      <v>3.5370370370370371E-2</v>
    </oc>
    <nc r="H90"/>
  </rcc>
  <rcc rId="1002" sId="3">
    <oc r="I90">
      <f>$E90+$H90</f>
    </oc>
    <nc r="I90"/>
  </rcc>
  <rcc rId="1003" sId="3">
    <oc r="J90" t="inlineStr">
      <is>
        <t>R</t>
      </is>
    </oc>
    <nc r="J90"/>
  </rcc>
  <rcc rId="1004" sId="3">
    <oc r="K90" t="inlineStr">
      <is>
        <t>L</t>
      </is>
    </oc>
    <nc r="K90"/>
  </rcc>
  <rcc rId="1005" sId="3">
    <oc r="L90">
      <v>0</v>
    </oc>
    <nc r="L90"/>
  </rcc>
  <rcc rId="1006" sId="3">
    <oc r="A91" t="inlineStr">
      <is>
        <t>r1</t>
      </is>
    </oc>
    <nc r="A91"/>
  </rcc>
  <rcc rId="1007" sId="3">
    <oc r="B91">
      <v>1</v>
    </oc>
    <nc r="B91"/>
  </rcc>
  <rcc rId="1008" sId="3">
    <oc r="C91" t="inlineStr">
      <is>
        <t>C0173</t>
      </is>
    </oc>
    <nc r="C91"/>
  </rcc>
  <rcc rId="1009" sId="3" numFmtId="19">
    <oc r="D91">
      <v>45447</v>
    </oc>
    <nc r="D91"/>
  </rcc>
  <rcc rId="1010" sId="3" numFmtId="26">
    <oc r="E91">
      <v>0.22120370370370371</v>
    </oc>
    <nc r="E91"/>
  </rcc>
  <rcc rId="1011" sId="3" numFmtId="26">
    <oc r="F91">
      <v>1.1909722222222223E-2</v>
    </oc>
    <nc r="F91"/>
  </rcc>
  <rcc rId="1012" sId="3">
    <oc r="G91">
      <f>$E91 +$F91</f>
    </oc>
    <nc r="G91"/>
  </rcc>
  <rcc rId="1013" sId="3" numFmtId="26">
    <oc r="H91">
      <v>2.5462962962962962E-2</v>
    </oc>
    <nc r="H91"/>
  </rcc>
  <rcc rId="1014" sId="3">
    <oc r="I91">
      <f>$E91+$H91</f>
    </oc>
    <nc r="I91"/>
  </rcc>
  <rcc rId="1015" sId="3">
    <oc r="J91" t="inlineStr">
      <is>
        <t>R</t>
      </is>
    </oc>
    <nc r="J91"/>
  </rcc>
  <rcc rId="1016" sId="3">
    <oc r="K91" t="inlineStr">
      <is>
        <t>R</t>
      </is>
    </oc>
    <nc r="K91"/>
  </rcc>
  <rcc rId="1017" sId="3">
    <oc r="L91">
      <v>1</v>
    </oc>
    <nc r="L91"/>
  </rcc>
  <rcc rId="1018" sId="3">
    <oc r="A92" t="inlineStr">
      <is>
        <t>r1</t>
      </is>
    </oc>
    <nc r="A92"/>
  </rcc>
  <rcc rId="1019" sId="3">
    <oc r="B92" t="inlineStr">
      <is>
        <t>NA</t>
      </is>
    </oc>
    <nc r="B92"/>
  </rcc>
  <rcc rId="1020" sId="3">
    <oc r="C92" t="inlineStr">
      <is>
        <t>C0172</t>
      </is>
    </oc>
    <nc r="C92"/>
  </rcc>
  <rcc rId="1021" sId="3" numFmtId="19">
    <oc r="D92">
      <v>45446</v>
    </oc>
    <nc r="D92"/>
  </rcc>
  <rcc rId="1022" sId="3" numFmtId="26">
    <oc r="E92">
      <v>0.76931712962962961</v>
    </oc>
    <nc r="E92"/>
  </rcc>
  <rcc rId="1023" sId="3">
    <oc r="F92" t="inlineStr">
      <is>
        <t>NA</t>
      </is>
    </oc>
    <nc r="F92"/>
  </rcc>
  <rcc rId="1024" sId="3">
    <oc r="G92" t="inlineStr">
      <is>
        <t>NA</t>
      </is>
    </oc>
    <nc r="G92"/>
  </rcc>
  <rcc rId="1025" sId="3">
    <oc r="H92" t="inlineStr">
      <is>
        <t>NA</t>
      </is>
    </oc>
    <nc r="H92"/>
  </rcc>
  <rcc rId="1026" sId="3">
    <oc r="I92" t="inlineStr">
      <is>
        <t>NA</t>
      </is>
    </oc>
    <nc r="I92"/>
  </rcc>
  <rcc rId="1027" sId="3">
    <oc r="J92" t="inlineStr">
      <is>
        <t>L</t>
      </is>
    </oc>
    <nc r="J92"/>
  </rcc>
  <rcc rId="1028" sId="3">
    <oc r="K92" t="inlineStr">
      <is>
        <t>L</t>
      </is>
    </oc>
    <nc r="K92"/>
  </rcc>
  <rcc rId="1029" sId="3">
    <oc r="L92" t="inlineStr">
      <is>
        <t>NA</t>
      </is>
    </oc>
    <nc r="L92"/>
  </rcc>
  <rcc rId="1030" sId="3">
    <oc r="M92" t="inlineStr">
      <is>
        <t>no activity. Video deleted</t>
      </is>
    </oc>
    <nc r="M92"/>
  </rcc>
  <rcc rId="1031" sId="3">
    <oc r="A93" t="inlineStr">
      <is>
        <t>r1</t>
      </is>
    </oc>
    <nc r="A93"/>
  </rcc>
  <rcc rId="1032" sId="3">
    <oc r="B93">
      <v>1</v>
    </oc>
    <nc r="B93"/>
  </rcc>
  <rcc rId="1033" sId="3">
    <oc r="C93" t="inlineStr">
      <is>
        <t>C0171</t>
      </is>
    </oc>
    <nc r="C93"/>
  </rcc>
  <rcc rId="1034" sId="3" numFmtId="19">
    <oc r="D93">
      <v>45446</v>
    </oc>
    <nc r="D93"/>
  </rcc>
  <rcc rId="1035" sId="3" numFmtId="26">
    <oc r="E93">
      <v>0.22300925925925927</v>
    </oc>
    <nc r="E93"/>
  </rcc>
  <rcc rId="1036" sId="3" numFmtId="26">
    <oc r="H93">
      <v>8.9120370370370378E-3</v>
    </oc>
    <nc r="H93"/>
  </rcc>
  <rcc rId="1037" sId="3">
    <oc r="I93">
      <f>$E93+$H93</f>
    </oc>
    <nc r="I93"/>
  </rcc>
  <rcc rId="1038" sId="3">
    <oc r="J93" t="inlineStr">
      <is>
        <t>R</t>
      </is>
    </oc>
    <nc r="J93"/>
  </rcc>
  <rcc rId="1039" sId="3">
    <oc r="K93" t="inlineStr">
      <is>
        <t>L</t>
      </is>
    </oc>
    <nc r="K93"/>
  </rcc>
  <rcc rId="1040" sId="3">
    <oc r="L93">
      <v>1</v>
    </oc>
    <nc r="L93"/>
  </rcc>
  <rcc rId="1041" sId="3">
    <oc r="A94" t="inlineStr">
      <is>
        <t>r1</t>
      </is>
    </oc>
    <nc r="A94"/>
  </rcc>
  <rcc rId="1042" sId="3">
    <oc r="B94">
      <v>2</v>
    </oc>
    <nc r="B94"/>
  </rcc>
  <rcc rId="1043" sId="3">
    <oc r="C94" t="inlineStr">
      <is>
        <t>C0171</t>
      </is>
    </oc>
    <nc r="C94"/>
  </rcc>
  <rcc rId="1044" sId="3" numFmtId="19">
    <oc r="D94">
      <v>45446</v>
    </oc>
    <nc r="D94"/>
  </rcc>
  <rcc rId="1045" sId="3" numFmtId="26">
    <oc r="E94">
      <v>0.22300925925925927</v>
    </oc>
    <nc r="E94"/>
  </rcc>
  <rcc rId="1046" sId="3" numFmtId="26">
    <oc r="H94">
      <v>1.8078703703703704E-2</v>
    </oc>
    <nc r="H94"/>
  </rcc>
  <rcc rId="1047" sId="3">
    <oc r="I94">
      <f>$E94+$H94</f>
    </oc>
    <nc r="I94"/>
  </rcc>
  <rcc rId="1048" sId="3">
    <oc r="J94" t="inlineStr">
      <is>
        <t>R</t>
      </is>
    </oc>
    <nc r="J94"/>
  </rcc>
  <rcc rId="1049" sId="3">
    <oc r="K94" t="inlineStr">
      <is>
        <t>L</t>
      </is>
    </oc>
    <nc r="K94"/>
  </rcc>
  <rcc rId="1050" sId="3">
    <oc r="L94">
      <v>0</v>
    </oc>
    <nc r="L94"/>
  </rcc>
  <rcc rId="1051" sId="3">
    <oc r="A95" t="inlineStr">
      <is>
        <t>r1</t>
      </is>
    </oc>
    <nc r="A95"/>
  </rcc>
  <rcc rId="1052" sId="3">
    <oc r="B95">
      <v>3</v>
    </oc>
    <nc r="B95"/>
  </rcc>
  <rcc rId="1053" sId="3">
    <oc r="C95" t="inlineStr">
      <is>
        <t>C0171</t>
      </is>
    </oc>
    <nc r="C95"/>
  </rcc>
  <rcc rId="1054" sId="3" numFmtId="19">
    <oc r="D95">
      <v>45446</v>
    </oc>
    <nc r="D95"/>
  </rcc>
  <rcc rId="1055" sId="3" numFmtId="26">
    <oc r="E95">
      <v>0.22300925925925927</v>
    </oc>
    <nc r="E95"/>
  </rcc>
  <rcc rId="1056" sId="3" numFmtId="26">
    <oc r="H95">
      <v>2.1724537037037039E-2</v>
    </oc>
    <nc r="H95"/>
  </rcc>
  <rcc rId="1057" sId="3">
    <oc r="I95">
      <f>$E95+$H95</f>
    </oc>
    <nc r="I95"/>
  </rcc>
  <rcc rId="1058" sId="3">
    <oc r="J95" t="inlineStr">
      <is>
        <t>R</t>
      </is>
    </oc>
    <nc r="J95"/>
  </rcc>
  <rcc rId="1059" sId="3">
    <oc r="K95" t="inlineStr">
      <is>
        <t>L</t>
      </is>
    </oc>
    <nc r="K95"/>
  </rcc>
  <rcc rId="1060" sId="3">
    <oc r="L95">
      <v>1</v>
    </oc>
    <nc r="L95"/>
  </rcc>
  <rcc rId="1061" sId="3">
    <oc r="A96" t="inlineStr">
      <is>
        <t>r1</t>
      </is>
    </oc>
    <nc r="A96"/>
  </rcc>
  <rcc rId="1062" sId="3">
    <oc r="B96">
      <v>4</v>
    </oc>
    <nc r="B96"/>
  </rcc>
  <rcc rId="1063" sId="3">
    <oc r="C96" t="inlineStr">
      <is>
        <t>C0171</t>
      </is>
    </oc>
    <nc r="C96"/>
  </rcc>
  <rcc rId="1064" sId="3" numFmtId="19">
    <oc r="D96">
      <v>45446</v>
    </oc>
    <nc r="D96"/>
  </rcc>
  <rcc rId="1065" sId="3" numFmtId="26">
    <oc r="E96">
      <v>0.22300925925925927</v>
    </oc>
    <nc r="E96"/>
  </rcc>
  <rcc rId="1066" sId="3" numFmtId="26">
    <oc r="F96">
      <v>1.9027777777777779E-2</v>
    </oc>
    <nc r="F96"/>
  </rcc>
  <rcc rId="1067" sId="3" numFmtId="26">
    <oc r="H96">
      <v>3.1284722222222221E-2</v>
    </oc>
    <nc r="H96"/>
  </rcc>
  <rcc rId="1068" sId="3">
    <oc r="I96">
      <f>$E96+$H96</f>
    </oc>
    <nc r="I96"/>
  </rcc>
  <rcc rId="1069" sId="3">
    <oc r="J96" t="inlineStr">
      <is>
        <t>L</t>
      </is>
    </oc>
    <nc r="J96"/>
  </rcc>
  <rcc rId="1070" sId="3">
    <oc r="K96" t="inlineStr">
      <is>
        <t>L</t>
      </is>
    </oc>
    <nc r="K96"/>
  </rcc>
  <rcc rId="1071" sId="3">
    <oc r="L96">
      <v>0</v>
    </oc>
    <nc r="L96"/>
  </rcc>
  <rcc rId="1072" sId="3">
    <oc r="A97" t="inlineStr">
      <is>
        <t>r1</t>
      </is>
    </oc>
    <nc r="A97"/>
  </rcc>
  <rcc rId="1073" sId="3">
    <oc r="B97">
      <v>1</v>
    </oc>
    <nc r="B97"/>
  </rcc>
  <rcc rId="1074" sId="3">
    <oc r="C97" t="inlineStr">
      <is>
        <t>C0170</t>
      </is>
    </oc>
    <nc r="C97"/>
  </rcc>
  <rcc rId="1075" sId="3" numFmtId="19">
    <oc r="D97">
      <v>45445</v>
    </oc>
    <nc r="D97"/>
  </rcc>
  <rcc rId="1076" sId="3" numFmtId="26">
    <oc r="E97">
      <v>0.7683564814814815</v>
    </oc>
    <nc r="E97"/>
  </rcc>
  <rcc rId="1077" sId="3" numFmtId="26">
    <oc r="F97">
      <v>2.488425925925926E-3</v>
    </oc>
    <nc r="F97"/>
  </rcc>
  <rcc rId="1078" sId="3" numFmtId="26">
    <oc r="H97">
      <v>1.4166666666666666E-2</v>
    </oc>
    <nc r="H97"/>
  </rcc>
  <rcc rId="1079" sId="3">
    <oc r="I97">
      <f>$E97+$H97</f>
    </oc>
    <nc r="I97"/>
  </rcc>
  <rcc rId="1080" sId="3">
    <oc r="J97" t="inlineStr">
      <is>
        <t>R</t>
      </is>
    </oc>
    <nc r="J97"/>
  </rcc>
  <rcc rId="1081" sId="3">
    <oc r="K97" t="inlineStr">
      <is>
        <t>R</t>
      </is>
    </oc>
    <nc r="K97"/>
  </rcc>
  <rcc rId="1082" sId="3">
    <oc r="L97">
      <v>1</v>
    </oc>
    <nc r="L97"/>
  </rcc>
  <rcc rId="1083" sId="3">
    <oc r="A98" t="inlineStr">
      <is>
        <t>r1</t>
      </is>
    </oc>
    <nc r="A98"/>
  </rcc>
  <rcc rId="1084" sId="3">
    <oc r="B98">
      <v>2</v>
    </oc>
    <nc r="B98"/>
  </rcc>
  <rcc rId="1085" sId="3">
    <oc r="C98" t="inlineStr">
      <is>
        <t>C0170</t>
      </is>
    </oc>
    <nc r="C98"/>
  </rcc>
  <rcc rId="1086" sId="3" numFmtId="19">
    <oc r="D98">
      <v>45445</v>
    </oc>
    <nc r="D98"/>
  </rcc>
  <rcc rId="1087" sId="3" numFmtId="26">
    <oc r="E98">
      <v>0.7683564814814815</v>
    </oc>
    <nc r="E98"/>
  </rcc>
  <rcc rId="1088" sId="3" numFmtId="26">
    <oc r="F98">
      <v>1.2083333333333333E-2</v>
    </oc>
    <nc r="F98"/>
  </rcc>
  <rcc rId="1089" sId="3" numFmtId="26">
    <oc r="H98">
      <v>2.8611111111111111E-2</v>
    </oc>
    <nc r="H98"/>
  </rcc>
  <rcc rId="1090" sId="3">
    <oc r="I98">
      <f>$E98+$H98</f>
    </oc>
    <nc r="I98"/>
  </rcc>
  <rcc rId="1091" sId="3">
    <oc r="J98" t="inlineStr">
      <is>
        <t>R</t>
      </is>
    </oc>
    <nc r="J98"/>
  </rcc>
  <rcc rId="1092" sId="3">
    <oc r="K98" t="inlineStr">
      <is>
        <t>R</t>
      </is>
    </oc>
    <nc r="K98"/>
  </rcc>
  <rcc rId="1093" sId="3">
    <oc r="L98">
      <v>1</v>
    </oc>
    <nc r="L98"/>
  </rcc>
  <rcc rId="1094" sId="3">
    <oc r="A99" t="inlineStr">
      <is>
        <t>r1</t>
      </is>
    </oc>
    <nc r="A99"/>
  </rcc>
  <rcc rId="1095" sId="3">
    <oc r="B99">
      <v>3</v>
    </oc>
    <nc r="B99"/>
  </rcc>
  <rcc rId="1096" sId="3">
    <oc r="C99" t="inlineStr">
      <is>
        <t>C0170</t>
      </is>
    </oc>
    <nc r="C99"/>
  </rcc>
  <rcc rId="1097" sId="3" numFmtId="19">
    <oc r="D99">
      <v>45445</v>
    </oc>
    <nc r="D99"/>
  </rcc>
  <rcc rId="1098" sId="3" numFmtId="26">
    <oc r="E99">
      <v>0.7683564814814815</v>
    </oc>
    <nc r="E99"/>
  </rcc>
  <rcc rId="1099" sId="3" numFmtId="26">
    <oc r="F99">
      <v>1.4618055555555556E-2</v>
    </oc>
    <nc r="F99"/>
  </rcc>
  <rcc rId="1100" sId="3" numFmtId="26">
    <oc r="H99">
      <v>3.0972222222222224E-2</v>
    </oc>
    <nc r="H99"/>
  </rcc>
  <rcc rId="1101" sId="3">
    <oc r="I99">
      <f>$E99+$H99</f>
    </oc>
    <nc r="I99"/>
  </rcc>
  <rcc rId="1102" sId="3">
    <oc r="J99" t="inlineStr">
      <is>
        <t>R</t>
      </is>
    </oc>
    <nc r="J99"/>
  </rcc>
  <rcc rId="1103" sId="3">
    <oc r="K99" t="inlineStr">
      <is>
        <t>R</t>
      </is>
    </oc>
    <nc r="K99"/>
  </rcc>
  <rcc rId="1104" sId="3">
    <oc r="L99">
      <v>1</v>
    </oc>
    <nc r="L99"/>
  </rcc>
  <rcc rId="1105" sId="3">
    <oc r="A100" t="inlineStr">
      <is>
        <t>r1</t>
      </is>
    </oc>
    <nc r="A100"/>
  </rcc>
  <rcc rId="1106" sId="3">
    <oc r="B100">
      <v>1</v>
    </oc>
    <nc r="B100"/>
  </rcc>
  <rcc rId="1107" sId="3">
    <oc r="C100" t="inlineStr">
      <is>
        <t>C0169</t>
      </is>
    </oc>
    <nc r="C100"/>
  </rcc>
  <rcc rId="1108" sId="3" numFmtId="19">
    <oc r="D100">
      <v>45445</v>
    </oc>
    <nc r="D100"/>
  </rcc>
  <rcc rId="1109" sId="3" numFmtId="26">
    <oc r="E100">
      <v>0.23495370370370369</v>
    </oc>
    <nc r="E100"/>
  </rcc>
  <rcc rId="1110" sId="3" numFmtId="26">
    <oc r="H100">
      <v>2.3263888888888887E-3</v>
    </oc>
    <nc r="H100"/>
  </rcc>
  <rcc rId="1111" sId="3">
    <oc r="I100">
      <f>$E100+$H100</f>
    </oc>
    <nc r="I100"/>
  </rcc>
  <rcc rId="1112" sId="3">
    <oc r="J100" t="inlineStr">
      <is>
        <t>L</t>
      </is>
    </oc>
    <nc r="J100"/>
  </rcc>
  <rcc rId="1113" sId="3">
    <oc r="K100" t="inlineStr">
      <is>
        <t>R</t>
      </is>
    </oc>
    <nc r="K100"/>
  </rcc>
  <rcc rId="1114" sId="3">
    <oc r="L100">
      <v>1</v>
    </oc>
    <nc r="L100"/>
  </rcc>
  <rcc rId="1115" sId="3">
    <oc r="A101" t="inlineStr">
      <is>
        <t>r1</t>
      </is>
    </oc>
    <nc r="A101"/>
  </rcc>
  <rcc rId="1116" sId="3">
    <oc r="B101">
      <v>2</v>
    </oc>
    <nc r="B101"/>
  </rcc>
  <rcc rId="1117" sId="3">
    <oc r="C101" t="inlineStr">
      <is>
        <t>C0169</t>
      </is>
    </oc>
    <nc r="C101"/>
  </rcc>
  <rcc rId="1118" sId="3" numFmtId="19">
    <oc r="D101">
      <v>45445</v>
    </oc>
    <nc r="D101"/>
  </rcc>
  <rcc rId="1119" sId="3" numFmtId="26">
    <oc r="E101">
      <v>0.23495370370370369</v>
    </oc>
    <nc r="E101"/>
  </rcc>
  <rcc rId="1120" sId="3" numFmtId="26">
    <oc r="F101">
      <v>3.2754629629629631E-3</v>
    </oc>
    <nc r="F101"/>
  </rcc>
  <rcc rId="1121" sId="3" numFmtId="26">
    <oc r="H101">
      <v>1.0543981481481482E-2</v>
    </oc>
    <nc r="H101"/>
  </rcc>
  <rcc rId="1122" sId="3">
    <oc r="I101">
      <f>$E101+$H101</f>
    </oc>
    <nc r="I101"/>
  </rcc>
  <rcc rId="1123" sId="3">
    <oc r="J101" t="inlineStr">
      <is>
        <t>R</t>
      </is>
    </oc>
    <nc r="J101"/>
  </rcc>
  <rcc rId="1124" sId="3">
    <oc r="K101" t="inlineStr">
      <is>
        <t>R</t>
      </is>
    </oc>
    <nc r="K101"/>
  </rcc>
  <rcc rId="1125" sId="3">
    <oc r="L101">
      <v>1</v>
    </oc>
    <nc r="L101"/>
  </rcc>
  <rcc rId="1126" sId="3">
    <oc r="A102" t="inlineStr">
      <is>
        <t>r1</t>
      </is>
    </oc>
    <nc r="A102"/>
  </rcc>
  <rcc rId="1127" sId="3">
    <oc r="B102">
      <v>3</v>
    </oc>
    <nc r="B102"/>
  </rcc>
  <rcc rId="1128" sId="3">
    <oc r="C102" t="inlineStr">
      <is>
        <t>C0169</t>
      </is>
    </oc>
    <nc r="C102"/>
  </rcc>
  <rcc rId="1129" sId="3" numFmtId="19">
    <oc r="D102">
      <v>45445</v>
    </oc>
    <nc r="D102"/>
  </rcc>
  <rcc rId="1130" sId="3" numFmtId="26">
    <oc r="E102">
      <v>0.23495370370370369</v>
    </oc>
    <nc r="E102"/>
  </rcc>
  <rcc rId="1131" sId="3" numFmtId="26">
    <oc r="F102">
      <v>1.1319444444444444E-2</v>
    </oc>
    <nc r="F102"/>
  </rcc>
  <rcc rId="1132" sId="3" numFmtId="26">
    <oc r="H102">
      <v>2.3043981481481481E-2</v>
    </oc>
    <nc r="H102"/>
  </rcc>
  <rcc rId="1133" sId="3">
    <oc r="I102">
      <f>$E102+$H102</f>
    </oc>
    <nc r="I102"/>
  </rcc>
  <rcc rId="1134" sId="3">
    <oc r="J102" t="inlineStr">
      <is>
        <t>R</t>
      </is>
    </oc>
    <nc r="J102"/>
  </rcc>
  <rcc rId="1135" sId="3">
    <oc r="K102" t="inlineStr">
      <is>
        <t>R</t>
      </is>
    </oc>
    <nc r="K102"/>
  </rcc>
  <rcc rId="1136" sId="3">
    <oc r="L102">
      <v>1</v>
    </oc>
    <nc r="L102"/>
  </rcc>
  <rcc rId="1137" sId="3">
    <oc r="A103" t="inlineStr">
      <is>
        <t>r1</t>
      </is>
    </oc>
    <nc r="A103"/>
  </rcc>
  <rcc rId="1138" sId="3">
    <oc r="B103">
      <v>4</v>
    </oc>
    <nc r="B103"/>
  </rcc>
  <rcc rId="1139" sId="3">
    <oc r="C103" t="inlineStr">
      <is>
        <t>C0169</t>
      </is>
    </oc>
    <nc r="C103"/>
  </rcc>
  <rcc rId="1140" sId="3" numFmtId="19">
    <oc r="D103">
      <v>45445</v>
    </oc>
    <nc r="D103"/>
  </rcc>
  <rcc rId="1141" sId="3" numFmtId="26">
    <oc r="E103">
      <v>0.23495370370370369</v>
    </oc>
    <nc r="E103"/>
  </rcc>
  <rcc rId="1142" sId="3" numFmtId="26">
    <oc r="F103">
      <v>2.3680555555555555E-2</v>
    </oc>
    <nc r="F103"/>
  </rcc>
  <rcc rId="1143" sId="3">
    <oc r="H103" t="inlineStr">
      <is>
        <t>NA</t>
      </is>
    </oc>
    <nc r="H103"/>
  </rcc>
  <rcc rId="1144" sId="3">
    <oc r="J103" t="inlineStr">
      <is>
        <t>R</t>
      </is>
    </oc>
    <nc r="J103"/>
  </rcc>
  <rcc rId="1145" sId="3">
    <oc r="K103" t="inlineStr">
      <is>
        <t>R</t>
      </is>
    </oc>
    <nc r="K103"/>
  </rcc>
  <rcc rId="1146" sId="3">
    <oc r="L103" t="inlineStr">
      <is>
        <t>NA</t>
      </is>
    </oc>
    <nc r="L103"/>
  </rcc>
  <rcc rId="1147" sId="3">
    <oc r="A104" t="inlineStr">
      <is>
        <t>r1</t>
      </is>
    </oc>
    <nc r="A104"/>
  </rcc>
  <rcc rId="1148" sId="3">
    <oc r="B104">
      <v>1</v>
    </oc>
    <nc r="B104"/>
  </rcc>
  <rcc rId="1149" sId="3">
    <oc r="C104" t="inlineStr">
      <is>
        <t>C0168_2</t>
      </is>
    </oc>
    <nc r="C104"/>
  </rcc>
  <rcc rId="1150" sId="3" numFmtId="19">
    <oc r="D104">
      <v>45444</v>
    </oc>
    <nc r="D104"/>
  </rcc>
  <rcc rId="1151" sId="3" numFmtId="26">
    <oc r="E104">
      <v>0.22562499999999999</v>
    </oc>
    <nc r="E104"/>
  </rcc>
  <rcc rId="1152" sId="3" numFmtId="26">
    <oc r="H104">
      <v>2.2916666666666667E-3</v>
    </oc>
    <nc r="H104"/>
  </rcc>
  <rcc rId="1153" sId="3">
    <oc r="I104">
      <f>$E104+$H104</f>
    </oc>
    <nc r="I104"/>
  </rcc>
  <rcc rId="1154" sId="3">
    <oc r="J104" t="inlineStr">
      <is>
        <t>L</t>
      </is>
    </oc>
    <nc r="J104"/>
  </rcc>
  <rcc rId="1155" sId="3">
    <oc r="K104" t="inlineStr">
      <is>
        <t>L</t>
      </is>
    </oc>
    <nc r="K104"/>
  </rcc>
  <rcc rId="1156" sId="3">
    <oc r="L104" t="inlineStr">
      <is>
        <t>NA</t>
      </is>
    </oc>
    <nc r="L104"/>
  </rcc>
  <rcc rId="1157" sId="3">
    <oc r="A105" t="inlineStr">
      <is>
        <t>r1</t>
      </is>
    </oc>
    <nc r="A105"/>
  </rcc>
  <rcc rId="1158" sId="3">
    <oc r="B105">
      <v>2</v>
    </oc>
    <nc r="B105"/>
  </rcc>
  <rcc rId="1159" sId="3">
    <oc r="C105" t="inlineStr">
      <is>
        <t>C0168_2</t>
      </is>
    </oc>
    <nc r="C105"/>
  </rcc>
  <rcc rId="1160" sId="3" numFmtId="19">
    <oc r="D105">
      <v>45444</v>
    </oc>
    <nc r="D105"/>
  </rcc>
  <rcc rId="1161" sId="3" numFmtId="26">
    <oc r="E105">
      <v>0.22562499999999999</v>
    </oc>
    <nc r="E105"/>
  </rcc>
  <rcc rId="1162" sId="3" numFmtId="26">
    <oc r="F105">
      <v>3.2175925925925926E-3</v>
    </oc>
    <nc r="F105"/>
  </rcc>
  <rcc rId="1163" sId="3" numFmtId="26">
    <oc r="H105">
      <v>1.3877314814814815E-2</v>
    </oc>
    <nc r="H105"/>
  </rcc>
  <rcc rId="1164" sId="3">
    <oc r="I105">
      <f>$E105+$H105</f>
    </oc>
    <nc r="I105"/>
  </rcc>
  <rcc rId="1165" sId="3">
    <oc r="J105" t="inlineStr">
      <is>
        <t>L</t>
      </is>
    </oc>
    <nc r="J105"/>
  </rcc>
  <rcc rId="1166" sId="3">
    <oc r="K105" t="inlineStr">
      <is>
        <t>L</t>
      </is>
    </oc>
    <nc r="K105"/>
  </rcc>
  <rcc rId="1167" sId="3">
    <oc r="L105">
      <v>0</v>
    </oc>
    <nc r="L105"/>
  </rcc>
  <rcc rId="1168" sId="3">
    <oc r="A106" t="inlineStr">
      <is>
        <t>r1</t>
      </is>
    </oc>
    <nc r="A106"/>
  </rcc>
  <rcc rId="1169" sId="3">
    <oc r="B106">
      <v>3</v>
    </oc>
    <nc r="B106"/>
  </rcc>
  <rcc rId="1170" sId="3">
    <oc r="C106" t="inlineStr">
      <is>
        <t>C0168_2</t>
      </is>
    </oc>
    <nc r="C106"/>
  </rcc>
  <rcc rId="1171" sId="3" numFmtId="19">
    <oc r="D106">
      <v>45444</v>
    </oc>
    <nc r="D106"/>
  </rcc>
  <rcc rId="1172" sId="3" numFmtId="26">
    <oc r="E106">
      <v>0.22562499999999999</v>
    </oc>
    <nc r="E106"/>
  </rcc>
  <rcc rId="1173" sId="3" numFmtId="26">
    <oc r="F106">
      <v>1.5995370370370372E-2</v>
    </oc>
    <nc r="F106"/>
  </rcc>
  <rcc rId="1174" sId="3" numFmtId="26">
    <oc r="H106">
      <v>2.2997685185185184E-2</v>
    </oc>
    <nc r="H106"/>
  </rcc>
  <rcc rId="1175" sId="3">
    <oc r="I106">
      <f>$E106+$H106</f>
    </oc>
    <nc r="I106"/>
  </rcc>
  <rcc rId="1176" sId="3">
    <oc r="J106" t="inlineStr">
      <is>
        <t>L</t>
      </is>
    </oc>
    <nc r="J106"/>
  </rcc>
  <rcc rId="1177" sId="3">
    <oc r="K106" t="inlineStr">
      <is>
        <t>L</t>
      </is>
    </oc>
    <nc r="K106"/>
  </rcc>
  <rcc rId="1178" sId="3">
    <oc r="L106">
      <v>0</v>
    </oc>
    <nc r="L106"/>
  </rcc>
  <rcc rId="1179" sId="3">
    <oc r="A107" t="inlineStr">
      <is>
        <t>r1</t>
      </is>
    </oc>
    <nc r="A107"/>
  </rcc>
  <rcc rId="1180" sId="3">
    <oc r="B107">
      <v>4</v>
    </oc>
    <nc r="B107"/>
  </rcc>
  <rcc rId="1181" sId="3">
    <oc r="C107" t="inlineStr">
      <is>
        <t>C0168_2</t>
      </is>
    </oc>
    <nc r="C107"/>
  </rcc>
  <rcc rId="1182" sId="3" numFmtId="19">
    <oc r="D107">
      <v>45444</v>
    </oc>
    <nc r="D107"/>
  </rcc>
  <rcc rId="1183" sId="3" numFmtId="26">
    <oc r="E107">
      <v>0.22562499999999999</v>
    </oc>
    <nc r="E107"/>
  </rcc>
  <rcc rId="1184" sId="3" numFmtId="26">
    <oc r="F107">
      <v>1.5995370370370372E-2</v>
    </oc>
    <nc r="F107"/>
  </rcc>
  <rcc rId="1185" sId="3" numFmtId="26">
    <oc r="H107">
      <v>3.1018518518518518E-2</v>
    </oc>
    <nc r="H107"/>
  </rcc>
  <rcc rId="1186" sId="3">
    <oc r="I107">
      <f>$E107+$H107</f>
    </oc>
    <nc r="I107"/>
  </rcc>
  <rcc rId="1187" sId="3">
    <oc r="J107" t="inlineStr">
      <is>
        <t>L</t>
      </is>
    </oc>
    <nc r="J107"/>
  </rcc>
  <rcc rId="1188" sId="3">
    <oc r="K107" t="inlineStr">
      <is>
        <t>L</t>
      </is>
    </oc>
    <nc r="K107"/>
  </rcc>
  <rcc rId="1189" sId="3">
    <oc r="L107">
      <v>0</v>
    </oc>
    <nc r="L107"/>
  </rcc>
  <rcc rId="1190" sId="3">
    <oc r="A108" t="inlineStr">
      <is>
        <t>r1</t>
      </is>
    </oc>
    <nc r="A108"/>
  </rcc>
  <rcc rId="1191" sId="3">
    <oc r="B108">
      <v>1</v>
    </oc>
    <nc r="B108"/>
  </rcc>
  <rcc rId="1192" sId="3">
    <oc r="C108" t="inlineStr">
      <is>
        <t>C0174</t>
      </is>
    </oc>
    <nc r="C108"/>
  </rcc>
  <rcc rId="1193" sId="3" numFmtId="19">
    <oc r="D108">
      <v>45448</v>
    </oc>
    <nc r="D108"/>
  </rcc>
  <rcc rId="1194" sId="3" numFmtId="26">
    <oc r="E108">
      <v>0.22292824074074075</v>
    </oc>
    <nc r="E108"/>
  </rcc>
  <rcc rId="1195" sId="3" numFmtId="26">
    <oc r="H108">
      <v>1.4467592592592593E-2</v>
    </oc>
    <nc r="H108"/>
  </rcc>
  <rcc rId="1196" sId="3">
    <oc r="I108">
      <f>$E108+$H108</f>
    </oc>
    <nc r="I108"/>
  </rcc>
  <rcc rId="1197" sId="3">
    <oc r="J108" t="inlineStr">
      <is>
        <t>R</t>
      </is>
    </oc>
    <nc r="J108"/>
  </rcc>
  <rcc rId="1198" sId="3">
    <oc r="K108" t="inlineStr">
      <is>
        <t>L</t>
      </is>
    </oc>
    <nc r="K108"/>
  </rcc>
  <rcc rId="1199" sId="3">
    <oc r="L108">
      <v>1</v>
    </oc>
    <nc r="L108"/>
  </rcc>
  <rcc rId="1200" sId="3">
    <oc r="A109" t="inlineStr">
      <is>
        <t>r1</t>
      </is>
    </oc>
    <nc r="A109"/>
  </rcc>
  <rcc rId="1201" sId="3">
    <oc r="B109">
      <v>2</v>
    </oc>
    <nc r="B109"/>
  </rcc>
  <rcc rId="1202" sId="3">
    <oc r="C109" t="inlineStr">
      <is>
        <t>C0174</t>
      </is>
    </oc>
    <nc r="C109"/>
  </rcc>
  <rcc rId="1203" sId="3" numFmtId="19">
    <oc r="D109">
      <v>45448</v>
    </oc>
    <nc r="D109"/>
  </rcc>
  <rcc rId="1204" sId="3" numFmtId="26">
    <oc r="E109">
      <v>0.22292824074074075</v>
    </oc>
    <nc r="E109"/>
  </rcc>
  <rcc rId="1205" sId="3" numFmtId="26">
    <oc r="F109">
      <v>1.5810185185185184E-2</v>
    </oc>
    <nc r="F109"/>
  </rcc>
  <rcc rId="1206" sId="3" numFmtId="26">
    <oc r="H109">
      <v>2.5057870370370369E-2</v>
    </oc>
    <nc r="H109"/>
  </rcc>
  <rcc rId="1207" sId="3">
    <oc r="I109">
      <f>$E109+$H109</f>
    </oc>
    <nc r="I109"/>
  </rcc>
  <rcc rId="1208" sId="3">
    <oc r="J109" t="inlineStr">
      <is>
        <t>L</t>
      </is>
    </oc>
    <nc r="J109"/>
  </rcc>
  <rcc rId="1209" sId="3">
    <oc r="K109" t="inlineStr">
      <is>
        <t>L</t>
      </is>
    </oc>
    <nc r="K109"/>
  </rcc>
  <rcc rId="1210" sId="3">
    <oc r="L109">
      <v>1</v>
    </oc>
    <nc r="L109"/>
  </rcc>
  <rcc rId="1211" sId="3">
    <oc r="A110" t="inlineStr">
      <is>
        <t>r1</t>
      </is>
    </oc>
    <nc r="A110"/>
  </rcc>
  <rcc rId="1212" sId="3">
    <oc r="B110">
      <v>1</v>
    </oc>
    <nc r="B110"/>
  </rcc>
  <rcc rId="1213" sId="3">
    <oc r="C110" t="inlineStr">
      <is>
        <t>C0176</t>
      </is>
    </oc>
    <nc r="C110"/>
  </rcc>
  <rcc rId="1214" sId="3" numFmtId="19">
    <oc r="D110">
      <v>45449</v>
    </oc>
    <nc r="D110"/>
  </rcc>
  <rcc rId="1215" sId="3" numFmtId="26">
    <oc r="E110">
      <v>0.22288194444444445</v>
    </oc>
    <nc r="E110"/>
  </rcc>
  <rcc rId="1216" sId="3" numFmtId="26">
    <oc r="H110">
      <v>2.2453703703703705E-2</v>
    </oc>
    <nc r="H110"/>
  </rcc>
  <rcc rId="1217" sId="3">
    <oc r="I110">
      <f>$E110+$H110</f>
    </oc>
    <nc r="I110"/>
  </rcc>
  <rcc rId="1218" sId="3">
    <oc r="J110" t="inlineStr">
      <is>
        <t>R</t>
      </is>
    </oc>
    <nc r="J110"/>
  </rcc>
  <rcc rId="1219" sId="3">
    <oc r="K110" t="inlineStr">
      <is>
        <t>R</t>
      </is>
    </oc>
    <nc r="K110"/>
  </rcc>
  <rcc rId="1220" sId="3">
    <oc r="L110">
      <v>1</v>
    </oc>
    <nc r="L110"/>
  </rcc>
  <rcc rId="1221" sId="3">
    <oc r="A111" t="inlineStr">
      <is>
        <t>r1</t>
      </is>
    </oc>
    <nc r="A111"/>
  </rcc>
  <rcc rId="1222" sId="3">
    <oc r="B111">
      <v>1</v>
    </oc>
    <nc r="B111"/>
  </rcc>
  <rcc rId="1223" sId="3">
    <oc r="C111" t="inlineStr">
      <is>
        <t>C0175</t>
      </is>
    </oc>
    <nc r="C111"/>
  </rcc>
  <rcc rId="1224" sId="3" numFmtId="19">
    <oc r="D111">
      <v>45448</v>
    </oc>
    <nc r="D111"/>
  </rcc>
  <rcc rId="1225" sId="3" numFmtId="26">
    <oc r="E111">
      <v>0.76597222222222228</v>
    </oc>
    <nc r="E111"/>
  </rcc>
  <rcc rId="1226" sId="3" numFmtId="26">
    <oc r="F111">
      <v>3.5532407407407409E-3</v>
    </oc>
    <nc r="F111"/>
  </rcc>
  <rcc rId="1227" sId="3">
    <oc r="G111">
      <f>$E111 +$F111</f>
    </oc>
    <nc r="G111"/>
  </rcc>
  <rcc rId="1228" sId="3" numFmtId="26">
    <oc r="H111">
      <v>1.6053240740740739E-2</v>
    </oc>
    <nc r="H111"/>
  </rcc>
  <rcc rId="1229" sId="3">
    <oc r="I111">
      <f>$E111+$H111</f>
    </oc>
    <nc r="I111"/>
  </rcc>
  <rcc rId="1230" sId="3">
    <oc r="J111" t="inlineStr">
      <is>
        <t>L</t>
      </is>
    </oc>
    <nc r="J111"/>
  </rcc>
  <rcc rId="1231" sId="3">
    <oc r="K111" t="inlineStr">
      <is>
        <t>L</t>
      </is>
    </oc>
    <nc r="K111"/>
  </rcc>
  <rcc rId="1232" sId="3">
    <oc r="L111">
      <v>1</v>
    </oc>
    <nc r="L111"/>
  </rcc>
  <rcc rId="1233" sId="3">
    <oc r="A112" t="inlineStr">
      <is>
        <t>r1</t>
      </is>
    </oc>
    <nc r="A112"/>
  </rcc>
  <rcc rId="1234" sId="3">
    <oc r="B112">
      <v>1</v>
    </oc>
    <nc r="B112"/>
  </rcc>
  <rcc rId="1235" sId="3">
    <oc r="C112" t="inlineStr">
      <is>
        <t>C0178</t>
      </is>
    </oc>
    <nc r="C112"/>
  </rcc>
  <rcc rId="1236" sId="3" numFmtId="19">
    <oc r="D112">
      <v>45450</v>
    </oc>
    <nc r="D112"/>
  </rcc>
  <rcc rId="1237" sId="3" numFmtId="26">
    <oc r="E112">
      <v>0.22208333333333333</v>
    </oc>
    <nc r="E112"/>
  </rcc>
  <rcc rId="1238" sId="3" numFmtId="26">
    <oc r="F112">
      <v>8.1944444444444452E-3</v>
    </oc>
    <nc r="F112"/>
  </rcc>
  <rcc rId="1239" sId="3">
    <oc r="G112">
      <f>$E112 +$F112</f>
    </oc>
    <nc r="G112"/>
  </rcc>
  <rcc rId="1240" sId="3" numFmtId="26">
    <oc r="H112">
      <v>2.6724537037037036E-2</v>
    </oc>
    <nc r="H112"/>
  </rcc>
  <rcc rId="1241" sId="3">
    <oc r="I112">
      <f>$E112+$H112</f>
    </oc>
    <nc r="I112"/>
  </rcc>
  <rcc rId="1242" sId="3">
    <oc r="J112" t="inlineStr">
      <is>
        <t>L</t>
      </is>
    </oc>
    <nc r="J112"/>
  </rcc>
  <rcc rId="1243" sId="3">
    <oc r="K112" t="inlineStr">
      <is>
        <t>R</t>
      </is>
    </oc>
    <nc r="K112"/>
  </rcc>
  <rcc rId="1244" sId="3">
    <oc r="L112">
      <v>1</v>
    </oc>
    <nc r="L112"/>
  </rcc>
  <rcc rId="1245" sId="3">
    <oc r="A113" t="inlineStr">
      <is>
        <t>r1</t>
      </is>
    </oc>
    <nc r="A113"/>
  </rcc>
  <rcc rId="1246" sId="3">
    <oc r="B113">
      <v>1</v>
    </oc>
    <nc r="B113"/>
  </rcc>
  <rcc rId="1247" sId="3">
    <oc r="C113" t="inlineStr">
      <is>
        <t>C0177</t>
      </is>
    </oc>
    <nc r="C113"/>
  </rcc>
  <rcc rId="1248" sId="3" numFmtId="19">
    <oc r="D113">
      <v>45449</v>
    </oc>
    <nc r="D113"/>
  </rcc>
  <rcc rId="1249" sId="3" numFmtId="26">
    <oc r="E113">
      <v>0.76804398148148145</v>
    </oc>
    <nc r="E113"/>
  </rcc>
  <rcc rId="1250" sId="3">
    <oc r="G113">
      <f>$E113 +$F113</f>
    </oc>
    <nc r="G113"/>
  </rcc>
  <rcc rId="1251" sId="3" numFmtId="26">
    <oc r="H113">
      <v>2.0081018518518519E-2</v>
    </oc>
    <nc r="H113"/>
  </rcc>
  <rcc rId="1252" sId="3">
    <oc r="I113">
      <f>$E113+$H113</f>
    </oc>
    <nc r="I113"/>
  </rcc>
  <rcc rId="1253" sId="3">
    <oc r="J113" t="inlineStr">
      <is>
        <t>R</t>
      </is>
    </oc>
    <nc r="J113"/>
  </rcc>
  <rcc rId="1254" sId="3">
    <oc r="K113" t="inlineStr">
      <is>
        <t>L</t>
      </is>
    </oc>
    <nc r="K113"/>
  </rcc>
  <rcc rId="1255" sId="3">
    <oc r="L113">
      <v>1</v>
    </oc>
    <nc r="L113"/>
  </rcc>
  <rcc rId="1256" sId="3">
    <oc r="A114" t="inlineStr">
      <is>
        <t>r1</t>
      </is>
    </oc>
    <nc r="A114"/>
  </rcc>
  <rcc rId="1257" sId="3">
    <oc r="B114">
      <v>1</v>
    </oc>
    <nc r="B114"/>
  </rcc>
  <rcc rId="1258" sId="3">
    <oc r="C114" t="inlineStr">
      <is>
        <t>C0179</t>
      </is>
    </oc>
    <nc r="C114"/>
  </rcc>
  <rcc rId="1259" sId="3" numFmtId="19">
    <oc r="D114">
      <v>45450</v>
    </oc>
    <nc r="D114"/>
  </rcc>
  <rcc rId="1260" sId="3" numFmtId="26">
    <oc r="E114">
      <v>0.76629629629629625</v>
    </oc>
    <nc r="E114"/>
  </rcc>
  <rcc rId="1261" sId="3" numFmtId="26">
    <oc r="F114">
      <v>9.8842592592592593E-3</v>
    </oc>
    <nc r="F114"/>
  </rcc>
  <rcc rId="1262" sId="3">
    <oc r="G114">
      <f>$E114 +$F114</f>
    </oc>
    <nc r="G114"/>
  </rcc>
  <rcc rId="1263" sId="3" numFmtId="26">
    <oc r="H114">
      <v>2.2974537037037036E-2</v>
    </oc>
    <nc r="H114"/>
  </rcc>
  <rcc rId="1264" sId="3">
    <oc r="I114">
      <f>$E114+$H114</f>
    </oc>
    <nc r="I114"/>
  </rcc>
  <rcc rId="1265" sId="3">
    <oc r="J114" t="inlineStr">
      <is>
        <t>R</t>
      </is>
    </oc>
    <nc r="J114"/>
  </rcc>
  <rcc rId="1266" sId="3">
    <oc r="K114" t="inlineStr">
      <is>
        <t>L</t>
      </is>
    </oc>
    <nc r="K114"/>
  </rcc>
  <rcc rId="1267" sId="3">
    <oc r="L114">
      <v>1</v>
    </oc>
    <nc r="L114"/>
  </rcc>
  <rcc rId="1268" sId="3">
    <oc r="A115" t="inlineStr">
      <is>
        <t>r1</t>
      </is>
    </oc>
    <nc r="A115"/>
  </rcc>
  <rcc rId="1269" sId="3">
    <oc r="B115">
      <v>1</v>
    </oc>
    <nc r="B115"/>
  </rcc>
  <rcc rId="1270" sId="3">
    <oc r="C115" t="inlineStr">
      <is>
        <t>C0180</t>
      </is>
    </oc>
    <nc r="C115"/>
  </rcc>
  <rcc rId="1271" sId="3" numFmtId="19">
    <oc r="D115">
      <v>45451</v>
    </oc>
    <nc r="D115"/>
  </rcc>
  <rcc rId="1272" sId="3" numFmtId="26">
    <oc r="E115">
      <v>0.21954861111111112</v>
    </oc>
    <nc r="E115"/>
  </rcc>
  <rcc rId="1273" sId="3" numFmtId="26">
    <oc r="F115">
      <v>1.1516203703703704E-2</v>
    </oc>
    <nc r="F115"/>
  </rcc>
  <rcc rId="1274" sId="3">
    <oc r="G115">
      <f>$E115 +$F115</f>
    </oc>
    <nc r="G115"/>
  </rcc>
  <rcc rId="1275" sId="3">
    <oc r="H115" t="inlineStr">
      <is>
        <t>NA</t>
      </is>
    </oc>
    <nc r="H115"/>
  </rcc>
  <rcc rId="1276" sId="3">
    <oc r="J115" t="inlineStr">
      <is>
        <t>L</t>
      </is>
    </oc>
    <nc r="J115"/>
  </rcc>
  <rcc rId="1277" sId="3">
    <oc r="K115" t="inlineStr">
      <is>
        <t>L</t>
      </is>
    </oc>
    <nc r="K115"/>
  </rcc>
  <rcc rId="1278" sId="3">
    <oc r="L115" t="inlineStr">
      <is>
        <t>NA</t>
      </is>
    </oc>
    <nc r="L115"/>
  </rcc>
  <rcc rId="1279" sId="3">
    <oc r="M115" t="inlineStr">
      <is>
        <t xml:space="preserve">no return. </t>
      </is>
    </oc>
    <nc r="M115"/>
  </rcc>
  <rcc rId="1280" sId="3">
    <oc r="A116" t="inlineStr">
      <is>
        <t>r1</t>
      </is>
    </oc>
    <nc r="A116"/>
  </rcc>
  <rcc rId="1281" sId="3">
    <oc r="B116">
      <v>1</v>
    </oc>
    <nc r="B116"/>
  </rcc>
  <rcc rId="1282" sId="3">
    <oc r="C116" t="inlineStr">
      <is>
        <t>C0181</t>
      </is>
    </oc>
    <nc r="C116"/>
  </rcc>
  <rcc rId="1283" sId="3" numFmtId="19">
    <oc r="D116">
      <v>45451</v>
    </oc>
    <nc r="D116"/>
  </rcc>
  <rcc rId="1284" sId="3" numFmtId="26">
    <oc r="E116">
      <v>0.7720717592592593</v>
    </oc>
    <nc r="E116"/>
  </rcc>
  <rcc rId="1285" sId="3">
    <oc r="F116" t="inlineStr">
      <is>
        <t>NA</t>
      </is>
    </oc>
    <nc r="F116"/>
  </rcc>
  <rcc rId="1286" sId="3">
    <oc r="G116" t="inlineStr">
      <is>
        <t>NA</t>
      </is>
    </oc>
    <nc r="G116"/>
  </rcc>
  <rcc rId="1287" sId="3">
    <oc r="H116" t="inlineStr">
      <is>
        <t>NA</t>
      </is>
    </oc>
    <nc r="H116"/>
  </rcc>
  <rcc rId="1288" sId="3">
    <oc r="I116" t="inlineStr">
      <is>
        <t>NA</t>
      </is>
    </oc>
    <nc r="I116"/>
  </rcc>
  <rcc rId="1289" sId="3">
    <oc r="J116" t="inlineStr">
      <is>
        <t>L</t>
      </is>
    </oc>
    <nc r="J116"/>
  </rcc>
  <rcc rId="1290" sId="3">
    <oc r="K116" t="inlineStr">
      <is>
        <t>R</t>
      </is>
    </oc>
    <nc r="K116"/>
  </rcc>
  <rcc rId="1291" sId="3">
    <oc r="L116" t="inlineStr">
      <is>
        <t>NA</t>
      </is>
    </oc>
    <nc r="L116"/>
  </rcc>
  <rcc rId="1292" sId="3">
    <oc r="M116" t="inlineStr">
      <is>
        <t>no activity. Bee may have died / abandoned. Video deleted</t>
      </is>
    </oc>
    <nc r="M116"/>
  </rcc>
  <rcc rId="1293" sId="3">
    <oc r="A117" t="inlineStr">
      <is>
        <t>r1</t>
      </is>
    </oc>
    <nc r="A117"/>
  </rcc>
  <rcc rId="1294" sId="3">
    <oc r="B117">
      <v>1</v>
    </oc>
    <nc r="B117"/>
  </rcc>
  <rcc rId="1295" sId="3">
    <oc r="C117" t="inlineStr">
      <is>
        <t>C0182</t>
      </is>
    </oc>
    <nc r="C117"/>
  </rcc>
  <rcc rId="1296" sId="3" numFmtId="19">
    <oc r="D117">
      <v>45452</v>
    </oc>
    <nc r="D117"/>
  </rcc>
  <rcc rId="1297" sId="3" numFmtId="26">
    <oc r="E117">
      <v>0.21922453703703704</v>
    </oc>
    <nc r="E117"/>
  </rcc>
  <rcc rId="1298" sId="3">
    <oc r="F117" t="inlineStr">
      <is>
        <t>NA</t>
      </is>
    </oc>
    <nc r="F117"/>
  </rcc>
  <rcc rId="1299" sId="3">
    <oc r="G117" t="inlineStr">
      <is>
        <t>NA</t>
      </is>
    </oc>
    <nc r="G117"/>
  </rcc>
  <rcc rId="1300" sId="3">
    <oc r="H117" t="inlineStr">
      <is>
        <t>NA</t>
      </is>
    </oc>
    <nc r="H117"/>
  </rcc>
  <rcc rId="1301" sId="3">
    <oc r="I117" t="inlineStr">
      <is>
        <t>NA</t>
      </is>
    </oc>
    <nc r="I117"/>
  </rcc>
  <rcc rId="1302" sId="3">
    <oc r="J117" t="inlineStr">
      <is>
        <t>R</t>
      </is>
    </oc>
    <nc r="J117"/>
  </rcc>
  <rcc rId="1303" sId="3">
    <oc r="K117" t="inlineStr">
      <is>
        <t>R</t>
      </is>
    </oc>
    <nc r="K117"/>
  </rcc>
  <rcc rId="1304" sId="3">
    <oc r="L117" t="inlineStr">
      <is>
        <t>NA</t>
      </is>
    </oc>
    <nc r="L117"/>
  </rcc>
  <rcc rId="1305" sId="3">
    <oc r="M117" t="inlineStr">
      <is>
        <t>no activity. Video deleted</t>
      </is>
    </oc>
    <nc r="M117"/>
  </rcc>
  <rcc rId="1306" sId="3">
    <oc r="A118" t="inlineStr">
      <is>
        <t>r1</t>
      </is>
    </oc>
    <nc r="A118"/>
  </rcc>
  <rcc rId="1307" sId="3">
    <oc r="B118">
      <v>1</v>
    </oc>
    <nc r="B118"/>
  </rcc>
  <rcc rId="1308" sId="3">
    <oc r="C118" t="inlineStr">
      <is>
        <t>C0185</t>
      </is>
    </oc>
    <nc r="C118"/>
  </rcc>
  <rcc rId="1309" sId="3" numFmtId="19">
    <oc r="D118">
      <v>45453</v>
    </oc>
    <nc r="D118"/>
  </rcc>
  <rcc rId="1310" sId="3" numFmtId="26">
    <oc r="E118">
      <v>0.21704861111111112</v>
    </oc>
    <nc r="E118"/>
  </rcc>
  <rcc rId="1311" sId="3" numFmtId="26">
    <oc r="F118">
      <v>1.0995370370370371E-3</v>
    </oc>
    <nc r="F118"/>
  </rcc>
  <rcc rId="1312" sId="3">
    <oc r="G118">
      <f>$E118 +$F118</f>
    </oc>
    <nc r="G118"/>
  </rcc>
  <rcc rId="1313" sId="3" numFmtId="26">
    <oc r="H118">
      <v>1.3553240740740741E-2</v>
    </oc>
    <nc r="H118"/>
  </rcc>
  <rcc rId="1314" sId="3">
    <oc r="I118">
      <f>$E118+$H118</f>
    </oc>
    <nc r="I118"/>
  </rcc>
  <rcc rId="1315" sId="3">
    <oc r="J118" t="inlineStr">
      <is>
        <t>R</t>
      </is>
    </oc>
    <nc r="J118"/>
  </rcc>
  <rcc rId="1316" sId="3">
    <oc r="K118" t="inlineStr">
      <is>
        <t>L</t>
      </is>
    </oc>
    <nc r="K118"/>
  </rcc>
  <rcc rId="1317" sId="3">
    <oc r="L118">
      <v>1</v>
    </oc>
    <nc r="L118"/>
  </rcc>
  <rcc rId="1318" sId="3">
    <oc r="A119" t="inlineStr">
      <is>
        <t>r1</t>
      </is>
    </oc>
    <nc r="A119"/>
  </rcc>
  <rcc rId="1319" sId="3">
    <oc r="B119">
      <v>2</v>
    </oc>
    <nc r="B119"/>
  </rcc>
  <rcc rId="1320" sId="3">
    <oc r="C119" t="inlineStr">
      <is>
        <t>C0185</t>
      </is>
    </oc>
    <nc r="C119"/>
  </rcc>
  <rcc rId="1321" sId="3" numFmtId="19">
    <oc r="D119">
      <v>45453</v>
    </oc>
    <nc r="D119"/>
  </rcc>
  <rcc rId="1322" sId="3" numFmtId="26">
    <oc r="E119">
      <v>0.21704861111111112</v>
    </oc>
    <nc r="E119"/>
  </rcc>
  <rcc rId="1323" sId="3" numFmtId="26">
    <oc r="F119">
      <v>1.412037037037037E-2</v>
    </oc>
    <nc r="F119"/>
  </rcc>
  <rcc rId="1324" sId="3">
    <oc r="G119">
      <f>$E119 +$F119</f>
    </oc>
    <nc r="G119"/>
  </rcc>
  <rcc rId="1325" sId="3" numFmtId="26">
    <oc r="H119">
      <v>2.8877314814814814E-2</v>
    </oc>
    <nc r="H119"/>
  </rcc>
  <rcc rId="1326" sId="3">
    <oc r="I119">
      <f>$E119+$H119</f>
    </oc>
    <nc r="I119"/>
  </rcc>
  <rcc rId="1327" sId="3">
    <oc r="J119" t="inlineStr">
      <is>
        <t>L</t>
      </is>
    </oc>
    <nc r="J119"/>
  </rcc>
  <rcc rId="1328" sId="3">
    <oc r="K119" t="inlineStr">
      <is>
        <t>L</t>
      </is>
    </oc>
    <nc r="K119"/>
  </rcc>
  <rcc rId="1329" sId="3">
    <oc r="L119">
      <v>1</v>
    </oc>
    <nc r="L119"/>
  </rcc>
  <rcv guid="{8A75D892-44B4-104C-BB94-8EB0D0E43396}" action="delete"/>
  <rcv guid="{8A75D892-44B4-104C-BB94-8EB0D0E43396}" action="add"/>
  <rsnm rId="1330" sheetId="3" oldName="[Spatial_resolution_experiment.xlsx]dorsal_canopy_exp" newName="[Spatial_resolution_experiment.xlsx]Sheet3"/>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8A75D892-44B4-104C-BB94-8EB0D0E43396}" action="delete"/>
  <rcv guid="{8A75D892-44B4-104C-BB94-8EB0D0E43396}" action="add"/>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331" sId="1">
    <oc r="C1" t="inlineStr">
      <is>
        <t>bee_flight</t>
      </is>
    </oc>
    <nc r="C1" t="inlineStr">
      <is>
        <t>flight</t>
      </is>
    </nc>
  </rcc>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332" sId="1" ref="V1:V1048576" action="deleteCol">
    <undo index="1" exp="ref" v="1" dr="V104" r="X104" sId="1"/>
    <undo index="1" exp="ref" v="1" dr="V97" r="X97" sId="1"/>
    <undo index="1" exp="ref" v="1" dr="V93" r="X93" sId="1"/>
    <undo index="1" exp="ref" v="1" dr="V92" r="X92" sId="1"/>
    <rfmt sheetId="1" xfDxf="1" sqref="V1:V1048576" start="0" length="0">
      <dxf>
        <alignment horizontal="left"/>
      </dxf>
    </rfmt>
    <rcc rId="0" sId="1" dxf="1">
      <nc r="V1" t="inlineStr">
        <is>
          <t>light_level_ret</t>
        </is>
      </nc>
      <ndxf>
        <numFmt numFmtId="2" formatCode="0.00"/>
      </ndxf>
    </rcc>
    <rcc rId="0" sId="1">
      <nc r="V7" t="inlineStr">
        <is>
          <t>NA</t>
        </is>
      </nc>
    </rcc>
    <rcc rId="0" sId="1">
      <nc r="V10" t="inlineStr">
        <is>
          <t>NA</t>
        </is>
      </nc>
    </rcc>
    <rcc rId="0" sId="1">
      <nc r="V14">
        <v>4.9699999999999996E-3</v>
      </nc>
    </rcc>
    <rcc rId="0" sId="1">
      <nc r="V15" t="inlineStr">
        <is>
          <t>NA</t>
        </is>
      </nc>
    </rcc>
    <rcc rId="0" sId="1">
      <nc r="V16">
        <v>3.5300000000000002E-3</v>
      </nc>
    </rcc>
    <rcc rId="0" sId="1">
      <nc r="V17">
        <v>1.7849999999999999</v>
      </nc>
    </rcc>
    <rcc rId="0" sId="1">
      <nc r="V18" t="inlineStr">
        <is>
          <t>NA</t>
        </is>
      </nc>
    </rcc>
    <rcc rId="0" sId="1">
      <nc r="V19">
        <v>1.39E-3</v>
      </nc>
    </rcc>
    <rcc rId="0" sId="1">
      <nc r="V20" t="inlineStr">
        <is>
          <t>NA</t>
        </is>
      </nc>
    </rcc>
    <rcc rId="0" sId="1">
      <nc r="V21">
        <v>2.0199999999999999E-2</v>
      </nc>
    </rcc>
    <rcc rId="0" sId="1">
      <nc r="V22" t="inlineStr">
        <is>
          <t>NA</t>
        </is>
      </nc>
    </rcc>
    <rcc rId="0" sId="1">
      <nc r="V23">
        <v>1.562E-2</v>
      </nc>
    </rcc>
    <rcc rId="0" sId="1">
      <nc r="V24">
        <v>0.1085</v>
      </nc>
    </rcc>
    <rcc rId="0" sId="1">
      <nc r="V25">
        <v>3.61E-2</v>
      </nc>
    </rcc>
    <rcc rId="0" sId="1">
      <nc r="V26" t="inlineStr">
        <is>
          <t>NA</t>
        </is>
      </nc>
    </rcc>
    <rcc rId="0" sId="1">
      <nc r="V27" t="inlineStr">
        <is>
          <t>NA</t>
        </is>
      </nc>
    </rcc>
    <rcc rId="0" sId="1">
      <nc r="V28" t="inlineStr">
        <is>
          <t>NA</t>
        </is>
      </nc>
    </rcc>
    <rcc rId="0" sId="1">
      <nc r="V29">
        <v>2.6499999999999999E-2</v>
      </nc>
    </rcc>
    <rcc rId="0" sId="1">
      <nc r="V30">
        <v>0.1134</v>
      </nc>
    </rcc>
    <rcc rId="0" sId="1">
      <nc r="V31" t="inlineStr">
        <is>
          <t>NA</t>
        </is>
      </nc>
    </rcc>
    <rcc rId="0" sId="1">
      <nc r="V32">
        <v>1.899</v>
      </nc>
    </rcc>
    <rcc rId="0" sId="1">
      <nc r="V34" t="inlineStr">
        <is>
          <t>NA</t>
        </is>
      </nc>
    </rcc>
    <rcc rId="0" sId="1">
      <nc r="V35" t="inlineStr">
        <is>
          <t>NA</t>
        </is>
      </nc>
    </rcc>
    <rcc rId="0" sId="1">
      <nc r="V36">
        <v>2.9099999999999998E-3</v>
      </nc>
    </rcc>
    <rcc rId="0" sId="1">
      <nc r="V37">
        <v>2.5799999999999998E-3</v>
      </nc>
    </rcc>
    <rcc rId="0" sId="1">
      <nc r="V38">
        <v>3.5999999999999997E-2</v>
      </nc>
    </rcc>
    <rcc rId="0" sId="1">
      <nc r="V39">
        <v>1.6039999999999999E-2</v>
      </nc>
    </rcc>
    <rcc rId="0" sId="1">
      <nc r="V40">
        <v>0.52400000000000002</v>
      </nc>
    </rcc>
    <rcc rId="0" sId="1">
      <nc r="V41">
        <v>9.2100000000000001E-2</v>
      </nc>
    </rcc>
    <rcc rId="0" sId="1">
      <nc r="V42">
        <v>1.763E-3</v>
      </nc>
    </rcc>
    <rcc rId="0" sId="1">
      <nc r="V43">
        <v>1.8499999999999999E-2</v>
      </nc>
    </rcc>
    <rcc rId="0" sId="1">
      <nc r="V44" t="inlineStr">
        <is>
          <t>NA</t>
        </is>
      </nc>
    </rcc>
    <rcc rId="0" sId="1">
      <nc r="V45">
        <v>4.6199999999999998E-2</v>
      </nc>
    </rcc>
    <rcc rId="0" sId="1">
      <nc r="V46">
        <v>1.77E-2</v>
      </nc>
    </rcc>
    <rcc rId="0" sId="1">
      <nc r="V47">
        <v>8.6E-3</v>
      </nc>
    </rcc>
    <rcc rId="0" sId="1">
      <nc r="V48">
        <v>5.2499999999999998E-2</v>
      </nc>
    </rcc>
    <rcc rId="0" sId="1">
      <nc r="V49">
        <v>6.08E-2</v>
      </nc>
    </rcc>
    <rcc rId="0" sId="1">
      <nc r="V50">
        <v>0.56100000000000005</v>
      </nc>
    </rcc>
    <rcc rId="0" sId="1">
      <nc r="V51">
        <v>1.3699999999999999E-3</v>
      </nc>
    </rcc>
    <rcc rId="0" sId="1">
      <nc r="V52" t="inlineStr">
        <is>
          <t>NA</t>
        </is>
      </nc>
    </rcc>
    <rcc rId="0" sId="1" dxf="1">
      <nc r="V53" t="inlineStr">
        <is>
          <t>*0.159</t>
        </is>
      </nc>
      <ndxf>
        <font>
          <sz val="12"/>
          <color rgb="FFFF0000"/>
          <name val="Calibri"/>
          <family val="2"/>
          <scheme val="minor"/>
        </font>
      </ndxf>
    </rcc>
    <rcc rId="0" sId="1">
      <nc r="V54" t="inlineStr">
        <is>
          <t>NA</t>
        </is>
      </nc>
    </rcc>
    <rcc rId="0" sId="1">
      <nc r="V55">
        <v>4.5900000000000003E-3</v>
      </nc>
    </rcc>
    <rcc rId="0" sId="1" dxf="1">
      <nc r="V56">
        <v>1.1469999999999999E-2</v>
      </nc>
      <ndxf>
        <font>
          <sz val="12"/>
          <color rgb="FFFF0000"/>
          <name val="Calibri"/>
          <family val="2"/>
          <scheme val="minor"/>
        </font>
      </ndxf>
    </rcc>
    <rcc rId="0" sId="1">
      <nc r="V57">
        <v>0.39300000000000002</v>
      </nc>
    </rcc>
    <rcc rId="0" sId="1">
      <nc r="V58">
        <v>1.14E-3</v>
      </nc>
    </rcc>
    <rcc rId="0" sId="1" dxf="1">
      <nc r="V59" t="inlineStr">
        <is>
          <t>*0.0099</t>
        </is>
      </nc>
      <ndxf>
        <font>
          <sz val="12"/>
          <color rgb="FFFF0000"/>
          <name val="Calibri"/>
          <family val="2"/>
          <scheme val="minor"/>
        </font>
      </ndxf>
    </rcc>
    <rcc rId="0" sId="1" dxf="1">
      <nc r="V60">
        <v>6.7000000000000002E-3</v>
      </nc>
      <ndxf>
        <font>
          <sz val="12"/>
          <color rgb="FFFF0000"/>
          <name val="Calibri"/>
          <family val="2"/>
          <scheme val="minor"/>
        </font>
      </ndxf>
    </rcc>
    <rcc rId="0" sId="1">
      <nc r="V61">
        <v>4.9200000000000001E-2</v>
      </nc>
    </rcc>
    <rcc rId="0" sId="1">
      <nc r="V62">
        <v>5.8200000000000002E-2</v>
      </nc>
    </rcc>
    <rcc rId="0" sId="1">
      <nc r="V63" t="inlineStr">
        <is>
          <t>NA</t>
        </is>
      </nc>
    </rcc>
    <rcc rId="0" sId="1">
      <nc r="V64" t="inlineStr">
        <is>
          <t>NA</t>
        </is>
      </nc>
    </rcc>
    <rcc rId="0" sId="1">
      <nc r="V65" t="inlineStr">
        <is>
          <t>NA</t>
        </is>
      </nc>
    </rcc>
    <rcc rId="0" sId="1">
      <nc r="V66">
        <v>0.22700000000000001</v>
      </nc>
    </rcc>
    <rcc rId="0" sId="1">
      <nc r="V67" t="inlineStr">
        <is>
          <t>NA</t>
        </is>
      </nc>
    </rcc>
    <rcc rId="0" sId="1">
      <nc r="V68" t="inlineStr">
        <is>
          <t>NA</t>
        </is>
      </nc>
    </rcc>
    <rcc rId="0" sId="1">
      <nc r="V69">
        <v>9.2299999999999993E-2</v>
      </nc>
    </rcc>
    <rcc rId="0" sId="1">
      <nc r="V70">
        <v>0.54600000000000004</v>
      </nc>
    </rcc>
    <rcc rId="0" sId="1">
      <nc r="V71">
        <v>0.24</v>
      </nc>
    </rcc>
    <rcc rId="0" sId="1">
      <nc r="V72">
        <v>0.70799999999999996</v>
      </nc>
    </rcc>
    <rcc rId="0" sId="1">
      <nc r="V73">
        <v>0.85299999999999998</v>
      </nc>
    </rcc>
    <rcc rId="0" sId="1">
      <nc r="V74">
        <v>2.1899999999999999E-2</v>
      </nc>
    </rcc>
    <rcc rId="0" sId="1">
      <nc r="V75">
        <v>0.378</v>
      </nc>
    </rcc>
    <rcc rId="0" sId="1">
      <nc r="V76" t="inlineStr">
        <is>
          <t>NA</t>
        </is>
      </nc>
    </rcc>
    <rcc rId="0" sId="1">
      <nc r="V77">
        <v>6.8999999999999997E-4</v>
      </nc>
    </rcc>
    <rcc rId="0" sId="1">
      <nc r="V78">
        <v>9.3000000000000005E-4</v>
      </nc>
    </rcc>
    <rcc rId="0" sId="1">
      <nc r="V79">
        <v>3.56</v>
      </nc>
    </rcc>
    <rcc rId="0" sId="1">
      <nc r="V80" t="inlineStr">
        <is>
          <t>NA</t>
        </is>
      </nc>
    </rcc>
    <rcc rId="0" sId="1">
      <nc r="V81">
        <v>0.251</v>
      </nc>
    </rcc>
    <rcc rId="0" sId="1" dxf="1">
      <nc r="V82">
        <v>5.0199999999999996</v>
      </nc>
      <ndxf>
        <font>
          <sz val="12"/>
          <color rgb="FF000000"/>
          <name val="Calibri"/>
          <family val="2"/>
          <scheme val="minor"/>
        </font>
      </ndxf>
    </rcc>
    <rcc rId="0" sId="1" dxf="1">
      <nc r="V83">
        <v>3.6400000000000002E-2</v>
      </nc>
      <ndxf>
        <font>
          <sz val="12"/>
          <color rgb="FFFF0000"/>
          <name val="Calibri"/>
          <family val="2"/>
          <scheme val="minor"/>
        </font>
      </ndxf>
    </rcc>
    <rcc rId="0" sId="1" dxf="1">
      <nc r="V84">
        <v>6.28E-3</v>
      </nc>
      <ndxf>
        <font>
          <sz val="12"/>
          <color rgb="FF000000"/>
          <name val="Calibri"/>
          <family val="2"/>
          <scheme val="minor"/>
        </font>
      </ndxf>
    </rcc>
    <rcc rId="0" sId="1" dxf="1">
      <nc r="V85" t="inlineStr">
        <is>
          <t>*-0.28x10-1</t>
        </is>
      </nc>
      <ndxf>
        <font>
          <sz val="12"/>
          <color rgb="FFFF0000"/>
          <name val="Calibri"/>
          <family val="2"/>
          <scheme val="minor"/>
        </font>
      </ndxf>
    </rcc>
    <rcc rId="0" sId="1" dxf="1">
      <nc r="V86" t="inlineStr">
        <is>
          <t>*-0.92x10-1</t>
        </is>
      </nc>
      <ndxf>
        <font>
          <sz val="12"/>
          <color rgb="FFFF0000"/>
          <name val="Calibri"/>
          <family val="2"/>
          <scheme val="minor"/>
        </font>
      </ndxf>
    </rcc>
    <rcc rId="0" sId="1" dxf="1">
      <nc r="V87">
        <v>3.83</v>
      </nc>
      <ndxf>
        <font>
          <sz val="12"/>
          <color rgb="FFFF0000"/>
          <name val="Calibri"/>
          <family val="2"/>
          <scheme val="minor"/>
        </font>
      </ndxf>
    </rcc>
    <rcc rId="0" sId="1" dxf="1">
      <nc r="V88" t="inlineStr">
        <is>
          <t>*-0.97X10-1</t>
        </is>
      </nc>
      <ndxf>
        <font>
          <sz val="12"/>
          <color rgb="FFFF0000"/>
          <name val="Calibri"/>
          <family val="2"/>
          <scheme val="minor"/>
        </font>
      </ndxf>
    </rcc>
    <rcc rId="0" sId="1">
      <nc r="V89">
        <v>1.0630000000000001E-2</v>
      </nc>
    </rcc>
    <rcc rId="0" sId="1">
      <nc r="V90">
        <v>1.5820000000000001</v>
      </nc>
    </rcc>
    <rcc rId="0" sId="1">
      <nc r="V91">
        <v>5.5900000000000004E-3</v>
      </nc>
    </rcc>
    <rcc rId="0" sId="1" dxf="1">
      <nc r="V92">
        <v>2.4500000000000002</v>
      </nc>
      <ndxf>
        <font>
          <sz val="12"/>
          <color rgb="FFFF0000"/>
          <name val="Calibri"/>
          <family val="2"/>
          <scheme val="minor"/>
        </font>
      </ndxf>
    </rcc>
    <rcc rId="0" sId="1" dxf="1">
      <nc r="V93">
        <v>5.0099999999999999E-2</v>
      </nc>
      <ndxf>
        <font>
          <sz val="12"/>
          <color rgb="FFFF0000"/>
          <name val="Calibri"/>
          <family val="2"/>
          <scheme val="minor"/>
        </font>
      </ndxf>
    </rcc>
    <rcc rId="0" sId="1">
      <nc r="V94" t="inlineStr">
        <is>
          <t>NA</t>
        </is>
      </nc>
    </rcc>
    <rcc rId="0" sId="1" dxf="1">
      <nc r="V95" t="inlineStr">
        <is>
          <t>*-2.46x10-2</t>
        </is>
      </nc>
      <ndxf>
        <font>
          <sz val="12"/>
          <color rgb="FFFF0000"/>
          <name val="Calibri"/>
          <family val="2"/>
          <scheme val="minor"/>
        </font>
      </ndxf>
    </rcc>
    <rcc rId="0" sId="1">
      <nc r="V96" t="inlineStr">
        <is>
          <t>NA</t>
        </is>
      </nc>
    </rcc>
    <rcc rId="0" sId="1" dxf="1">
      <nc r="V97">
        <v>14</v>
      </nc>
      <ndxf>
        <font>
          <sz val="12"/>
          <color rgb="FFFF0000"/>
          <name val="Calibri"/>
          <family val="2"/>
          <scheme val="minor"/>
        </font>
      </ndxf>
    </rcc>
    <rcc rId="0" sId="1">
      <nc r="V98" t="inlineStr">
        <is>
          <t>NA</t>
        </is>
      </nc>
    </rcc>
    <rcc rId="0" sId="1">
      <nc r="V99" t="inlineStr">
        <is>
          <t>NA</t>
        </is>
      </nc>
    </rcc>
    <rcc rId="0" sId="1">
      <nc r="V100" t="inlineStr">
        <is>
          <t>NA</t>
        </is>
      </nc>
    </rcc>
    <rcc rId="0" sId="1">
      <nc r="V101" t="inlineStr">
        <is>
          <t>NA</t>
        </is>
      </nc>
    </rcc>
    <rcc rId="0" sId="1">
      <nc r="V102" t="inlineStr">
        <is>
          <t>NA</t>
        </is>
      </nc>
    </rcc>
    <rcc rId="0" sId="1">
      <nc r="V103" t="inlineStr">
        <is>
          <t>NA</t>
        </is>
      </nc>
    </rcc>
    <rcc rId="0" sId="1" dxf="1">
      <nc r="V104">
        <v>2.5100000000000001E-3</v>
      </nc>
      <ndxf>
        <font>
          <sz val="12"/>
          <color rgb="FFFF0000"/>
          <name val="Calibri"/>
          <family val="2"/>
          <scheme val="minor"/>
        </font>
      </ndxf>
    </rcc>
    <rcc rId="0" sId="1">
      <nc r="V105" t="inlineStr">
        <is>
          <t>NA</t>
        </is>
      </nc>
    </rcc>
    <rcc rId="0" sId="1">
      <nc r="V106">
        <v>2.4099999999999998E-3</v>
      </nc>
    </rcc>
    <rcc rId="0" sId="1">
      <nc r="V107">
        <v>9.8099999999999993E-3</v>
      </nc>
    </rcc>
    <rcc rId="0" sId="1">
      <nc r="V108" t="inlineStr">
        <is>
          <t>NA</t>
        </is>
      </nc>
    </rcc>
    <rcc rId="0" sId="1">
      <nc r="V109">
        <v>1.73E-3</v>
      </nc>
    </rcc>
    <rcc rId="0" sId="1">
      <nc r="V110">
        <v>1.06E-3</v>
      </nc>
    </rcc>
    <rcc rId="0" sId="1">
      <nc r="V111">
        <v>5.1599999999999997E-3</v>
      </nc>
    </rcc>
    <rcc rId="0" sId="1">
      <nc r="V112">
        <v>0.94699999999999995</v>
      </nc>
    </rcc>
    <rcc rId="0" sId="1">
      <nc r="V113">
        <v>0.94899999999999995</v>
      </nc>
    </rcc>
    <rcc rId="0" sId="1">
      <nc r="V114">
        <v>8.2100000000000003E-3</v>
      </nc>
    </rcc>
    <rcc rId="0" sId="1">
      <nc r="V115">
        <v>7.0000000000000001E-3</v>
      </nc>
    </rcc>
    <rcc rId="0" sId="1">
      <nc r="V116" t="inlineStr">
        <is>
          <t>NA</t>
        </is>
      </nc>
    </rcc>
    <rcc rId="0" sId="1">
      <nc r="V127" t="inlineStr">
        <is>
          <t>NA</t>
        </is>
      </nc>
    </rcc>
    <rcc rId="0" sId="1">
      <nc r="V128" t="inlineStr">
        <is>
          <t>NA</t>
        </is>
      </nc>
    </rcc>
    <rcc rId="0" sId="1">
      <nc r="V129" t="inlineStr">
        <is>
          <t>NA</t>
        </is>
      </nc>
    </rcc>
    <rcc rId="0" sId="1">
      <nc r="V130" t="inlineStr">
        <is>
          <t>NA</t>
        </is>
      </nc>
    </rcc>
    <rcc rId="0" sId="1">
      <nc r="V131" t="inlineStr">
        <is>
          <t>NA</t>
        </is>
      </nc>
    </rcc>
    <rcc rId="0" sId="1">
      <nc r="V132" t="inlineStr">
        <is>
          <t>NA</t>
        </is>
      </nc>
    </rcc>
    <rcc rId="0" sId="1">
      <nc r="V133" t="inlineStr">
        <is>
          <t>NA</t>
        </is>
      </nc>
    </rcc>
    <rcc rId="0" sId="1">
      <nc r="V134" t="inlineStr">
        <is>
          <t>NA</t>
        </is>
      </nc>
    </rcc>
    <rcc rId="0" sId="1">
      <nc r="V135" t="inlineStr">
        <is>
          <t>NA</t>
        </is>
      </nc>
    </rcc>
    <rcc rId="0" sId="1">
      <nc r="V136" t="inlineStr">
        <is>
          <t>NA</t>
        </is>
      </nc>
    </rcc>
    <rcc rId="0" sId="1">
      <nc r="V137" t="inlineStr">
        <is>
          <t>NA</t>
        </is>
      </nc>
    </rcc>
    <rcc rId="0" sId="1">
      <nc r="V138" t="inlineStr">
        <is>
          <t>NA</t>
        </is>
      </nc>
    </rcc>
    <rcc rId="0" sId="1">
      <nc r="V139" t="inlineStr">
        <is>
          <t>NA</t>
        </is>
      </nc>
    </rcc>
    <rcc rId="0" sId="1">
      <nc r="V140" t="inlineStr">
        <is>
          <t>NA</t>
        </is>
      </nc>
    </rcc>
    <rcc rId="0" sId="1">
      <nc r="V141" t="inlineStr">
        <is>
          <t>NA</t>
        </is>
      </nc>
    </rcc>
    <rcc rId="0" sId="1">
      <nc r="V142" t="inlineStr">
        <is>
          <t>NA</t>
        </is>
      </nc>
    </rcc>
    <rcc rId="0" sId="1">
      <nc r="V143" t="inlineStr">
        <is>
          <t>NA</t>
        </is>
      </nc>
    </rcc>
    <rcc rId="0" sId="1">
      <nc r="V144" t="inlineStr">
        <is>
          <t>NA</t>
        </is>
      </nc>
    </rcc>
    <rcc rId="0" sId="1">
      <nc r="V145" t="inlineStr">
        <is>
          <t>NA</t>
        </is>
      </nc>
    </rcc>
    <rcc rId="0" sId="1">
      <nc r="V146" t="inlineStr">
        <is>
          <t>NA</t>
        </is>
      </nc>
    </rcc>
    <rcc rId="0" sId="1">
      <nc r="V147" t="inlineStr">
        <is>
          <t>NA</t>
        </is>
      </nc>
    </rcc>
    <rcc rId="0" sId="1">
      <nc r="V148" t="inlineStr">
        <is>
          <t>NA</t>
        </is>
      </nc>
    </rcc>
    <rcc rId="0" sId="1">
      <nc r="V149" t="inlineStr">
        <is>
          <t>NA</t>
        </is>
      </nc>
    </rcc>
    <rcc rId="0" sId="1">
      <nc r="V150" t="inlineStr">
        <is>
          <t>NA</t>
        </is>
      </nc>
    </rcc>
    <rcc rId="0" sId="1">
      <nc r="V151" t="inlineStr">
        <is>
          <t>NA</t>
        </is>
      </nc>
    </rcc>
    <rcc rId="0" sId="1">
      <nc r="V152" t="inlineStr">
        <is>
          <t>NA</t>
        </is>
      </nc>
    </rcc>
    <rcc rId="0" sId="1">
      <nc r="V153" t="inlineStr">
        <is>
          <t>NA</t>
        </is>
      </nc>
    </rcc>
    <rcc rId="0" sId="1">
      <nc r="V154" t="inlineStr">
        <is>
          <t>NA</t>
        </is>
      </nc>
    </rcc>
    <rcc rId="0" sId="1">
      <nc r="V155" t="inlineStr">
        <is>
          <t>NA</t>
        </is>
      </nc>
    </rcc>
    <rcc rId="0" sId="1">
      <nc r="V156" t="inlineStr">
        <is>
          <t>NA</t>
        </is>
      </nc>
    </rcc>
    <rcc rId="0" sId="1" dxf="1">
      <nc r="V157" t="inlineStr">
        <is>
          <t>NA</t>
        </is>
      </nc>
      <ndxf>
        <font>
          <sz val="12"/>
          <color rgb="FF000000"/>
          <name val="Calibri"/>
          <family val="2"/>
          <scheme val="minor"/>
        </font>
      </ndxf>
    </rcc>
    <rcc rId="0" sId="1">
      <nc r="V158" t="inlineStr">
        <is>
          <t>NA</t>
        </is>
      </nc>
    </rcc>
    <rcc rId="0" sId="1">
      <nc r="V159" t="inlineStr">
        <is>
          <t>NA</t>
        </is>
      </nc>
    </rcc>
    <rcc rId="0" sId="1">
      <nc r="V160" t="inlineStr">
        <is>
          <t>NA</t>
        </is>
      </nc>
    </rcc>
    <rcc rId="0" sId="1">
      <nc r="V161" t="inlineStr">
        <is>
          <t>NA</t>
        </is>
      </nc>
    </rcc>
    <rcc rId="0" sId="1" dxf="1">
      <nc r="V162" t="inlineStr">
        <is>
          <t>NA</t>
        </is>
      </nc>
      <ndxf>
        <font>
          <sz val="12"/>
          <color rgb="FF000000"/>
          <name val="Calibri"/>
          <family val="2"/>
          <scheme val="minor"/>
        </font>
      </ndxf>
    </rcc>
    <rcc rId="0" sId="1">
      <nc r="V163" t="inlineStr">
        <is>
          <t>NA</t>
        </is>
      </nc>
    </rcc>
    <rcc rId="0" sId="1">
      <nc r="V164" t="inlineStr">
        <is>
          <t>NA</t>
        </is>
      </nc>
    </rcc>
    <rcc rId="0" sId="1">
      <nc r="V165" t="inlineStr">
        <is>
          <t>NA</t>
        </is>
      </nc>
    </rcc>
    <rcc rId="0" sId="1" dxf="1">
      <nc r="V166" t="inlineStr">
        <is>
          <t>NA</t>
        </is>
      </nc>
      <ndxf>
        <font>
          <sz val="12"/>
          <color rgb="FF000000"/>
          <name val="Calibri"/>
          <family val="2"/>
          <scheme val="minor"/>
        </font>
      </ndxf>
    </rcc>
    <rcc rId="0" sId="1" dxf="1">
      <nc r="V167" t="inlineStr">
        <is>
          <t>NA</t>
        </is>
      </nc>
      <ndxf>
        <font>
          <sz val="12"/>
          <color rgb="FF000000"/>
          <name val="Calibri"/>
          <family val="2"/>
          <scheme val="minor"/>
        </font>
      </ndxf>
    </rcc>
    <rcc rId="0" sId="1" dxf="1">
      <nc r="V168" t="inlineStr">
        <is>
          <t>NA</t>
        </is>
      </nc>
      <ndxf>
        <font>
          <sz val="12"/>
          <color rgb="FF000000"/>
          <name val="Calibri"/>
          <family val="2"/>
          <scheme val="minor"/>
        </font>
      </ndxf>
    </rcc>
    <rcc rId="0" sId="1" dxf="1">
      <nc r="V169" t="inlineStr">
        <is>
          <t>NA</t>
        </is>
      </nc>
      <ndxf>
        <font>
          <sz val="12"/>
          <color rgb="FF000000"/>
          <name val="Calibri"/>
          <family val="2"/>
          <scheme val="minor"/>
        </font>
      </ndxf>
    </rcc>
    <rcc rId="0" sId="1" dxf="1">
      <nc r="V170" t="inlineStr">
        <is>
          <t>NA</t>
        </is>
      </nc>
      <ndxf>
        <font>
          <sz val="12"/>
          <color rgb="FF000000"/>
          <name val="Calibri"/>
          <family val="2"/>
          <scheme val="minor"/>
        </font>
      </ndxf>
    </rcc>
    <rcc rId="0" sId="1" dxf="1">
      <nc r="V171" t="inlineStr">
        <is>
          <t>NA</t>
        </is>
      </nc>
      <ndxf>
        <font>
          <sz val="12"/>
          <color rgb="FF000000"/>
          <name val="Calibri"/>
          <family val="2"/>
          <scheme val="minor"/>
        </font>
      </ndxf>
    </rcc>
    <rcc rId="0" sId="1" dxf="1">
      <nc r="V172" t="inlineStr">
        <is>
          <t>NA</t>
        </is>
      </nc>
      <ndxf>
        <font>
          <sz val="12"/>
          <color rgb="FF000000"/>
          <name val="Calibri"/>
          <family val="2"/>
          <scheme val="minor"/>
        </font>
      </ndxf>
    </rcc>
    <rcc rId="0" sId="1" dxf="1">
      <nc r="V173" t="inlineStr">
        <is>
          <t>NA</t>
        </is>
      </nc>
      <ndxf>
        <font>
          <sz val="12"/>
          <color rgb="FF000000"/>
          <name val="Calibri"/>
          <family val="2"/>
          <scheme val="minor"/>
        </font>
      </ndxf>
    </rcc>
    <rcc rId="0" sId="1" dxf="1">
      <nc r="V174" t="inlineStr">
        <is>
          <t>NA</t>
        </is>
      </nc>
      <ndxf>
        <font>
          <sz val="12"/>
          <color rgb="FF000000"/>
          <name val="Calibri"/>
          <family val="2"/>
          <scheme val="minor"/>
        </font>
      </ndxf>
    </rcc>
    <rcc rId="0" sId="1" dxf="1">
      <nc r="V175" t="inlineStr">
        <is>
          <t>NA</t>
        </is>
      </nc>
      <ndxf>
        <font>
          <sz val="12"/>
          <color rgb="FF000000"/>
          <name val="Calibri"/>
          <family val="2"/>
          <scheme val="minor"/>
        </font>
      </ndxf>
    </rcc>
    <rcc rId="0" sId="1" dxf="1">
      <nc r="V176" t="inlineStr">
        <is>
          <t>NA</t>
        </is>
      </nc>
      <ndxf>
        <font>
          <sz val="12"/>
          <color rgb="FF000000"/>
          <name val="Calibri"/>
          <family val="2"/>
          <scheme val="minor"/>
        </font>
      </ndxf>
    </rcc>
    <rcc rId="0" sId="1" dxf="1">
      <nc r="V177" t="inlineStr">
        <is>
          <t>NA</t>
        </is>
      </nc>
      <ndxf>
        <font>
          <sz val="12"/>
          <color rgb="FF000000"/>
          <name val="Calibri"/>
          <family val="2"/>
          <scheme val="minor"/>
        </font>
      </ndxf>
    </rcc>
    <rcc rId="0" sId="1" dxf="1">
      <nc r="V178" t="inlineStr">
        <is>
          <t>NA</t>
        </is>
      </nc>
      <ndxf>
        <font>
          <sz val="12"/>
          <color rgb="FF000000"/>
          <name val="Calibri"/>
          <family val="2"/>
          <scheme val="minor"/>
        </font>
      </ndxf>
    </rcc>
    <rcc rId="0" sId="1" dxf="1">
      <nc r="V179" t="inlineStr">
        <is>
          <t>NA</t>
        </is>
      </nc>
      <ndxf>
        <font>
          <sz val="12"/>
          <color rgb="FF000000"/>
          <name val="Calibri"/>
          <family val="2"/>
          <scheme val="minor"/>
        </font>
      </ndxf>
    </rcc>
    <rcc rId="0" sId="1" dxf="1">
      <nc r="V180" t="inlineStr">
        <is>
          <t>NA</t>
        </is>
      </nc>
      <ndxf>
        <font>
          <sz val="12"/>
          <color rgb="FF000000"/>
          <name val="Calibri"/>
          <family val="2"/>
          <scheme val="minor"/>
        </font>
      </ndxf>
    </rcc>
    <rcc rId="0" sId="1" dxf="1">
      <nc r="V181" t="inlineStr">
        <is>
          <t>NA</t>
        </is>
      </nc>
      <ndxf>
        <font>
          <sz val="12"/>
          <color rgb="FF000000"/>
          <name val="Calibri"/>
          <family val="2"/>
          <scheme val="minor"/>
        </font>
      </ndxf>
    </rcc>
    <rcc rId="0" sId="1" dxf="1">
      <nc r="V182" t="inlineStr">
        <is>
          <t>NA</t>
        </is>
      </nc>
      <ndxf>
        <font>
          <sz val="12"/>
          <color rgb="FF000000"/>
          <name val="Calibri"/>
          <family val="2"/>
          <scheme val="minor"/>
        </font>
      </ndxf>
    </rcc>
    <rcc rId="0" sId="1" dxf="1">
      <nc r="V183" t="inlineStr">
        <is>
          <t>NA</t>
        </is>
      </nc>
      <ndxf>
        <font>
          <sz val="12"/>
          <color rgb="FF000000"/>
          <name val="Calibri"/>
          <family val="2"/>
          <scheme val="minor"/>
        </font>
      </ndxf>
    </rcc>
    <rcc rId="0" sId="1" dxf="1">
      <nc r="V184" t="inlineStr">
        <is>
          <t>NA</t>
        </is>
      </nc>
      <ndxf>
        <font>
          <sz val="12"/>
          <color rgb="FF000000"/>
          <name val="Calibri"/>
          <family val="2"/>
          <scheme val="minor"/>
        </font>
      </ndxf>
    </rcc>
    <rcc rId="0" sId="1" dxf="1">
      <nc r="V185" t="inlineStr">
        <is>
          <t>NA</t>
        </is>
      </nc>
      <ndxf>
        <font>
          <sz val="12"/>
          <color rgb="FF000000"/>
          <name val="Calibri"/>
          <family val="2"/>
          <scheme val="minor"/>
        </font>
      </ndxf>
    </rcc>
    <rcc rId="0" sId="1" dxf="1">
      <nc r="V186" t="inlineStr">
        <is>
          <t>NA</t>
        </is>
      </nc>
      <ndxf>
        <font>
          <sz val="12"/>
          <color rgb="FF000000"/>
          <name val="Calibri"/>
          <family val="2"/>
          <scheme val="minor"/>
        </font>
      </ndxf>
    </rcc>
    <rcc rId="0" sId="1" dxf="1">
      <nc r="V187" t="inlineStr">
        <is>
          <t>NA</t>
        </is>
      </nc>
      <ndxf>
        <font>
          <sz val="12"/>
          <color rgb="FF000000"/>
          <name val="Calibri"/>
          <family val="2"/>
          <scheme val="minor"/>
        </font>
      </ndxf>
    </rcc>
    <rcc rId="0" sId="1" dxf="1">
      <nc r="V188" t="inlineStr">
        <is>
          <t>NA</t>
        </is>
      </nc>
      <ndxf>
        <font>
          <sz val="12"/>
          <color rgb="FF000000"/>
          <name val="Calibri"/>
          <family val="2"/>
          <scheme val="minor"/>
        </font>
      </ndxf>
    </rcc>
    <rcc rId="0" sId="1" dxf="1">
      <nc r="V189" t="inlineStr">
        <is>
          <t>NA</t>
        </is>
      </nc>
      <ndxf>
        <font>
          <sz val="12"/>
          <color rgb="FF000000"/>
          <name val="Calibri"/>
          <family val="2"/>
          <scheme val="minor"/>
        </font>
      </ndxf>
    </rcc>
    <rcc rId="0" sId="1" dxf="1">
      <nc r="V190" t="inlineStr">
        <is>
          <t>NA</t>
        </is>
      </nc>
      <ndxf>
        <font>
          <sz val="12"/>
          <color rgb="FF000000"/>
          <name val="Calibri"/>
          <family val="2"/>
          <scheme val="minor"/>
        </font>
      </ndxf>
    </rcc>
    <rcc rId="0" sId="1" dxf="1">
      <nc r="V191" t="inlineStr">
        <is>
          <t>NA</t>
        </is>
      </nc>
      <ndxf>
        <font>
          <sz val="12"/>
          <color rgb="FF000000"/>
          <name val="Calibri"/>
          <family val="2"/>
          <scheme val="minor"/>
        </font>
      </ndxf>
    </rcc>
    <rcc rId="0" sId="1" dxf="1">
      <nc r="V192" t="inlineStr">
        <is>
          <t>NA</t>
        </is>
      </nc>
      <ndxf>
        <font>
          <sz val="12"/>
          <color rgb="FF000000"/>
          <name val="Calibri"/>
          <family val="2"/>
          <scheme val="minor"/>
        </font>
      </ndxf>
    </rcc>
    <rcc rId="0" sId="1" dxf="1">
      <nc r="V193" t="inlineStr">
        <is>
          <t>NA</t>
        </is>
      </nc>
      <ndxf>
        <font>
          <sz val="12"/>
          <color rgb="FF000000"/>
          <name val="Calibri"/>
          <family val="2"/>
          <scheme val="minor"/>
        </font>
      </ndxf>
    </rcc>
    <rcc rId="0" sId="1" dxf="1">
      <nc r="V194" t="inlineStr">
        <is>
          <t>NA</t>
        </is>
      </nc>
      <ndxf>
        <font>
          <sz val="12"/>
          <color rgb="FF000000"/>
          <name val="Calibri"/>
          <family val="2"/>
          <scheme val="minor"/>
        </font>
      </ndxf>
    </rcc>
    <rcc rId="0" sId="1" dxf="1">
      <nc r="V195" t="inlineStr">
        <is>
          <t>NA</t>
        </is>
      </nc>
      <ndxf>
        <font>
          <sz val="12"/>
          <color rgb="FF000000"/>
          <name val="Calibri"/>
          <family val="2"/>
          <scheme val="minor"/>
        </font>
      </ndxf>
    </rcc>
    <rcc rId="0" sId="1" dxf="1">
      <nc r="V196" t="inlineStr">
        <is>
          <t>NA</t>
        </is>
      </nc>
      <ndxf>
        <font>
          <sz val="12"/>
          <color rgb="FF000000"/>
          <name val="Calibri"/>
          <family val="2"/>
          <scheme val="minor"/>
        </font>
      </ndxf>
    </rcc>
    <rcc rId="0" sId="1" dxf="1">
      <nc r="V197" t="inlineStr">
        <is>
          <t>NA</t>
        </is>
      </nc>
      <ndxf>
        <font>
          <sz val="12"/>
          <color rgb="FF000000"/>
          <name val="Calibri"/>
          <family val="2"/>
          <scheme val="minor"/>
        </font>
      </ndxf>
    </rcc>
    <rcc rId="0" sId="1" dxf="1">
      <nc r="V198" t="inlineStr">
        <is>
          <t>NA</t>
        </is>
      </nc>
      <ndxf>
        <font>
          <sz val="12"/>
          <color rgb="FF000000"/>
          <name val="Calibri"/>
          <family val="2"/>
          <scheme val="minor"/>
        </font>
      </ndxf>
    </rcc>
    <rcc rId="0" sId="1" dxf="1">
      <nc r="V199" t="inlineStr">
        <is>
          <t>NA</t>
        </is>
      </nc>
      <ndxf>
        <font>
          <sz val="12"/>
          <color rgb="FF000000"/>
          <name val="Calibri"/>
          <family val="2"/>
          <scheme val="minor"/>
        </font>
      </ndxf>
    </rcc>
    <rcc rId="0" sId="1" dxf="1">
      <nc r="V200" t="inlineStr">
        <is>
          <t>NA</t>
        </is>
      </nc>
      <ndxf>
        <font>
          <sz val="12"/>
          <color rgb="FF000000"/>
          <name val="Calibri"/>
          <family val="2"/>
          <scheme val="minor"/>
        </font>
      </ndxf>
    </rcc>
    <rcc rId="0" sId="1" dxf="1">
      <nc r="V201" t="inlineStr">
        <is>
          <t>NA</t>
        </is>
      </nc>
      <ndxf>
        <font>
          <sz val="12"/>
          <color rgb="FF000000"/>
          <name val="Calibri"/>
          <family val="2"/>
          <scheme val="minor"/>
        </font>
      </ndxf>
    </rcc>
    <rcc rId="0" sId="1" dxf="1">
      <nc r="V202" t="inlineStr">
        <is>
          <t>NA</t>
        </is>
      </nc>
      <ndxf>
        <font>
          <sz val="12"/>
          <color rgb="FF000000"/>
          <name val="Calibri"/>
          <family val="2"/>
          <scheme val="minor"/>
        </font>
      </ndxf>
    </rcc>
    <rcc rId="0" sId="1" dxf="1">
      <nc r="V203" t="inlineStr">
        <is>
          <t>NA</t>
        </is>
      </nc>
      <ndxf>
        <font>
          <sz val="12"/>
          <color rgb="FF000000"/>
          <name val="Calibri"/>
          <family val="2"/>
          <scheme val="minor"/>
        </font>
      </ndxf>
    </rcc>
    <rcc rId="0" sId="1" dxf="1">
      <nc r="V204" t="inlineStr">
        <is>
          <t>NA</t>
        </is>
      </nc>
      <ndxf>
        <numFmt numFmtId="164" formatCode="[$-F400]h:mm:ss\ AM/PM"/>
      </ndxf>
    </rcc>
    <rcc rId="0" sId="1" dxf="1">
      <nc r="V205" t="inlineStr">
        <is>
          <t>NA</t>
        </is>
      </nc>
      <ndxf>
        <font>
          <sz val="12"/>
          <color rgb="FF000000"/>
          <name val="Calibri"/>
          <family val="2"/>
          <scheme val="minor"/>
        </font>
      </ndxf>
    </rcc>
    <rcc rId="0" sId="1" dxf="1">
      <nc r="V206" t="inlineStr">
        <is>
          <t>NA</t>
        </is>
      </nc>
      <ndxf>
        <font>
          <sz val="12"/>
          <color rgb="FF000000"/>
          <name val="Calibri"/>
          <family val="2"/>
          <scheme val="minor"/>
        </font>
      </ndxf>
    </rcc>
    <rcc rId="0" sId="1" dxf="1">
      <nc r="V207" t="inlineStr">
        <is>
          <t>NA</t>
        </is>
      </nc>
      <ndxf>
        <font>
          <sz val="12"/>
          <color rgb="FF000000"/>
          <name val="Calibri"/>
          <family val="2"/>
          <scheme val="minor"/>
        </font>
      </ndxf>
    </rcc>
    <rcc rId="0" sId="1" dxf="1">
      <nc r="V208" t="inlineStr">
        <is>
          <t>NA</t>
        </is>
      </nc>
      <ndxf>
        <font>
          <sz val="12"/>
          <color rgb="FF000000"/>
          <name val="Calibri"/>
          <family val="2"/>
          <scheme val="minor"/>
        </font>
      </ndxf>
    </rcc>
    <rcc rId="0" sId="1" dxf="1">
      <nc r="V209" t="inlineStr">
        <is>
          <t>NA</t>
        </is>
      </nc>
      <ndxf>
        <font>
          <sz val="12"/>
          <color rgb="FF000000"/>
          <name val="Calibri"/>
          <family val="2"/>
          <scheme val="minor"/>
        </font>
      </ndxf>
    </rcc>
    <rcc rId="0" sId="1" dxf="1">
      <nc r="V210" t="inlineStr">
        <is>
          <t>NA</t>
        </is>
      </nc>
      <ndxf>
        <font>
          <sz val="12"/>
          <color rgb="FF000000"/>
          <name val="Calibri"/>
          <family val="2"/>
          <scheme val="minor"/>
        </font>
      </ndxf>
    </rcc>
    <rcc rId="0" sId="1" dxf="1">
      <nc r="V211" t="inlineStr">
        <is>
          <t>NA</t>
        </is>
      </nc>
      <ndxf>
        <font>
          <sz val="12"/>
          <color rgb="FF000000"/>
          <name val="Calibri"/>
          <family val="2"/>
          <scheme val="minor"/>
        </font>
      </ndxf>
    </rcc>
    <rcc rId="0" sId="1" dxf="1">
      <nc r="V212" t="inlineStr">
        <is>
          <t>NA</t>
        </is>
      </nc>
      <ndxf>
        <font>
          <sz val="12"/>
          <color rgb="FF000000"/>
          <name val="Calibri"/>
          <family val="2"/>
          <scheme val="minor"/>
        </font>
      </ndxf>
    </rcc>
    <rcc rId="0" sId="1" dxf="1">
      <nc r="V213" t="inlineStr">
        <is>
          <t>NA</t>
        </is>
      </nc>
      <ndxf>
        <font>
          <sz val="12"/>
          <color rgb="FF000000"/>
          <name val="Calibri"/>
          <family val="2"/>
          <scheme val="minor"/>
        </font>
      </ndxf>
    </rcc>
    <rcc rId="0" sId="1" dxf="1">
      <nc r="V214" t="inlineStr">
        <is>
          <t>NA</t>
        </is>
      </nc>
      <ndxf>
        <font>
          <sz val="12"/>
          <color rgb="FF000000"/>
          <name val="Calibri"/>
          <family val="2"/>
          <scheme val="minor"/>
        </font>
      </ndxf>
    </rcc>
    <rcc rId="0" sId="1" dxf="1">
      <nc r="V215" t="inlineStr">
        <is>
          <t>NA</t>
        </is>
      </nc>
      <ndxf>
        <font>
          <sz val="12"/>
          <color rgb="FF000000"/>
          <name val="Calibri"/>
          <family val="2"/>
          <scheme val="minor"/>
        </font>
      </ndxf>
    </rcc>
    <rcc rId="0" sId="1" dxf="1">
      <nc r="V216" t="inlineStr">
        <is>
          <t>NA</t>
        </is>
      </nc>
      <ndxf>
        <font>
          <sz val="12"/>
          <color rgb="FF000000"/>
          <name val="Calibri"/>
          <family val="2"/>
          <scheme val="minor"/>
        </font>
      </ndxf>
    </rcc>
    <rcc rId="0" sId="1" dxf="1">
      <nc r="V217" t="inlineStr">
        <is>
          <t>NA</t>
        </is>
      </nc>
      <ndxf>
        <font>
          <sz val="12"/>
          <color rgb="FF000000"/>
          <name val="Calibri"/>
          <family val="2"/>
          <scheme val="minor"/>
        </font>
      </ndxf>
    </rcc>
    <rcc rId="0" sId="1" dxf="1">
      <nc r="V218" t="inlineStr">
        <is>
          <t>NA</t>
        </is>
      </nc>
      <ndxf>
        <font>
          <sz val="12"/>
          <color rgb="FF000000"/>
          <name val="Calibri"/>
          <family val="2"/>
          <scheme val="minor"/>
        </font>
      </ndxf>
    </rcc>
    <rcc rId="0" sId="1" dxf="1">
      <nc r="V219" t="inlineStr">
        <is>
          <t>NA</t>
        </is>
      </nc>
      <ndxf>
        <font>
          <sz val="12"/>
          <color rgb="FF000000"/>
          <name val="Calibri"/>
          <family val="2"/>
          <scheme val="minor"/>
        </font>
      </ndxf>
    </rcc>
    <rcc rId="0" sId="1" dxf="1">
      <nc r="V220" t="inlineStr">
        <is>
          <t>NA</t>
        </is>
      </nc>
      <ndxf>
        <font>
          <sz val="12"/>
          <color rgb="FF000000"/>
          <name val="Calibri"/>
          <family val="2"/>
          <scheme val="minor"/>
        </font>
      </ndxf>
    </rcc>
    <rcc rId="0" sId="1" dxf="1">
      <nc r="V221" t="inlineStr">
        <is>
          <t>NA</t>
        </is>
      </nc>
      <ndxf>
        <font>
          <sz val="12"/>
          <color rgb="FF000000"/>
          <name val="Calibri"/>
          <family val="2"/>
          <scheme val="minor"/>
        </font>
      </ndxf>
    </rcc>
    <rcc rId="0" sId="1" dxf="1">
      <nc r="V222" t="inlineStr">
        <is>
          <t>NA</t>
        </is>
      </nc>
      <ndxf>
        <font>
          <sz val="12"/>
          <color rgb="FF000000"/>
          <name val="Calibri"/>
          <family val="2"/>
          <scheme val="minor"/>
        </font>
      </ndxf>
    </rcc>
    <rcc rId="0" sId="1" dxf="1">
      <nc r="V223" t="inlineStr">
        <is>
          <t>NA</t>
        </is>
      </nc>
      <ndxf>
        <font>
          <sz val="12"/>
          <color rgb="FF000000"/>
          <name val="Calibri"/>
          <family val="2"/>
          <scheme val="minor"/>
        </font>
      </ndxf>
    </rcc>
    <rcc rId="0" sId="1" dxf="1">
      <nc r="V224" t="inlineStr">
        <is>
          <t>NA</t>
        </is>
      </nc>
      <ndxf>
        <font>
          <sz val="12"/>
          <color rgb="FF000000"/>
          <name val="Calibri"/>
          <family val="2"/>
          <scheme val="minor"/>
        </font>
      </ndxf>
    </rcc>
    <rcc rId="0" sId="1" dxf="1">
      <nc r="V225" t="inlineStr">
        <is>
          <t>NA</t>
        </is>
      </nc>
      <ndxf>
        <font>
          <sz val="12"/>
          <color rgb="FF000000"/>
          <name val="Calibri"/>
          <family val="2"/>
          <scheme val="minor"/>
        </font>
      </ndxf>
    </rcc>
    <rcc rId="0" sId="1" dxf="1">
      <nc r="V226" t="inlineStr">
        <is>
          <t>NA</t>
        </is>
      </nc>
      <ndxf>
        <numFmt numFmtId="164" formatCode="[$-F400]h:mm:ss\ AM/PM"/>
      </ndxf>
    </rcc>
    <rcc rId="0" sId="1" dxf="1">
      <nc r="V227" t="inlineStr">
        <is>
          <t>NA</t>
        </is>
      </nc>
      <ndxf>
        <font>
          <sz val="12"/>
          <color rgb="FF000000"/>
          <name val="Calibri"/>
          <family val="2"/>
          <scheme val="minor"/>
        </font>
      </ndxf>
    </rcc>
    <rcc rId="0" sId="1" dxf="1">
      <nc r="V228" t="inlineStr">
        <is>
          <t>NA</t>
        </is>
      </nc>
      <ndxf>
        <font>
          <sz val="12"/>
          <color rgb="FF000000"/>
          <name val="Calibri"/>
          <family val="2"/>
          <scheme val="minor"/>
        </font>
      </ndxf>
    </rcc>
    <rcc rId="0" sId="1" dxf="1">
      <nc r="V229" t="inlineStr">
        <is>
          <t>NA</t>
        </is>
      </nc>
      <ndxf>
        <font>
          <sz val="12"/>
          <color rgb="FF000000"/>
          <name val="Calibri"/>
          <family val="2"/>
          <scheme val="minor"/>
        </font>
      </ndxf>
    </rcc>
    <rcc rId="0" sId="1" dxf="1">
      <nc r="V230" t="inlineStr">
        <is>
          <t>NA</t>
        </is>
      </nc>
      <ndxf>
        <font>
          <sz val="12"/>
          <color rgb="FF000000"/>
          <name val="Calibri"/>
          <family val="2"/>
          <scheme val="minor"/>
        </font>
      </ndxf>
    </rcc>
    <rcc rId="0" sId="1" dxf="1">
      <nc r="V231" t="inlineStr">
        <is>
          <t>NA</t>
        </is>
      </nc>
      <ndxf>
        <font>
          <sz val="12"/>
          <color rgb="FF000000"/>
          <name val="Calibri"/>
          <family val="2"/>
          <scheme val="minor"/>
        </font>
      </ndxf>
    </rcc>
    <rcc rId="0" sId="1" dxf="1">
      <nc r="V232" t="inlineStr">
        <is>
          <t>NA</t>
        </is>
      </nc>
      <ndxf>
        <font>
          <sz val="12"/>
          <color rgb="FF000000"/>
          <name val="Calibri"/>
          <family val="2"/>
          <scheme val="minor"/>
        </font>
      </ndxf>
    </rcc>
    <rcc rId="0" sId="1" dxf="1">
      <nc r="V233" t="inlineStr">
        <is>
          <t>NA</t>
        </is>
      </nc>
      <ndxf>
        <font>
          <sz val="12"/>
          <color rgb="FF000000"/>
          <name val="Calibri"/>
          <family val="2"/>
          <scheme val="minor"/>
        </font>
      </ndxf>
    </rcc>
    <rcc rId="0" sId="1" dxf="1">
      <nc r="V234" t="inlineStr">
        <is>
          <t>NA</t>
        </is>
      </nc>
      <ndxf>
        <font>
          <sz val="12"/>
          <color rgb="FF000000"/>
          <name val="Calibri"/>
          <family val="2"/>
          <scheme val="minor"/>
        </font>
      </ndxf>
    </rcc>
    <rcc rId="0" sId="1" dxf="1">
      <nc r="V235" t="inlineStr">
        <is>
          <t>NA</t>
        </is>
      </nc>
      <ndxf>
        <font>
          <sz val="12"/>
          <color rgb="FF000000"/>
          <name val="Calibri"/>
          <family val="2"/>
          <scheme val="minor"/>
        </font>
      </ndxf>
    </rcc>
    <rcc rId="0" sId="1" dxf="1">
      <nc r="V236" t="inlineStr">
        <is>
          <t>NA</t>
        </is>
      </nc>
      <ndxf>
        <font>
          <sz val="12"/>
          <color rgb="FF000000"/>
          <name val="Calibri"/>
          <family val="2"/>
          <scheme val="minor"/>
        </font>
      </ndxf>
    </rcc>
    <rcc rId="0" sId="1" dxf="1">
      <nc r="V237" t="inlineStr">
        <is>
          <t>NA</t>
        </is>
      </nc>
      <ndxf>
        <font>
          <sz val="12"/>
          <color rgb="FF000000"/>
          <name val="Calibri"/>
          <family val="2"/>
          <scheme val="minor"/>
        </font>
      </ndxf>
    </rcc>
    <rcc rId="0" sId="1" dxf="1">
      <nc r="V238" t="inlineStr">
        <is>
          <t>NA</t>
        </is>
      </nc>
      <ndxf>
        <font>
          <sz val="12"/>
          <color rgb="FF000000"/>
          <name val="Calibri"/>
          <family val="2"/>
          <scheme val="minor"/>
        </font>
      </ndxf>
    </rcc>
    <rcc rId="0" sId="1" dxf="1">
      <nc r="V239" t="inlineStr">
        <is>
          <t>NA</t>
        </is>
      </nc>
      <ndxf>
        <font>
          <sz val="12"/>
          <color rgb="FF000000"/>
          <name val="Calibri"/>
          <family val="2"/>
          <scheme val="minor"/>
        </font>
      </ndxf>
    </rcc>
    <rcc rId="0" sId="1" dxf="1">
      <nc r="V240" t="inlineStr">
        <is>
          <t>NA</t>
        </is>
      </nc>
      <ndxf>
        <font>
          <sz val="12"/>
          <color rgb="FF000000"/>
          <name val="Calibri"/>
          <family val="2"/>
          <scheme val="minor"/>
        </font>
      </ndxf>
    </rcc>
    <rcc rId="0" sId="1" dxf="1">
      <nc r="V241" t="inlineStr">
        <is>
          <t>NA</t>
        </is>
      </nc>
      <ndxf>
        <font>
          <sz val="12"/>
          <color rgb="FF000000"/>
          <name val="Calibri"/>
          <family val="2"/>
          <scheme val="minor"/>
        </font>
      </ndxf>
    </rcc>
    <rcc rId="0" sId="1" dxf="1">
      <nc r="V242" t="inlineStr">
        <is>
          <t>NA</t>
        </is>
      </nc>
      <ndxf>
        <font>
          <sz val="12"/>
          <color rgb="FF000000"/>
          <name val="Calibri"/>
          <family val="2"/>
          <scheme val="minor"/>
        </font>
      </ndxf>
    </rcc>
    <rcc rId="0" sId="1" dxf="1">
      <nc r="V243" t="inlineStr">
        <is>
          <t>NA</t>
        </is>
      </nc>
      <ndxf>
        <font>
          <sz val="12"/>
          <color rgb="FF000000"/>
          <name val="Calibri"/>
          <family val="2"/>
          <scheme val="minor"/>
        </font>
      </ndxf>
    </rcc>
    <rcc rId="0" sId="1" dxf="1">
      <nc r="V244" t="inlineStr">
        <is>
          <t>NA</t>
        </is>
      </nc>
      <ndxf>
        <font>
          <sz val="12"/>
          <color rgb="FF000000"/>
          <name val="Calibri"/>
          <family val="2"/>
          <scheme val="minor"/>
        </font>
      </ndxf>
    </rcc>
    <rcc rId="0" sId="1" dxf="1">
      <nc r="V245" t="inlineStr">
        <is>
          <t>NA</t>
        </is>
      </nc>
      <ndxf>
        <font>
          <sz val="12"/>
          <color rgb="FF000000"/>
          <name val="Calibri"/>
          <family val="2"/>
          <scheme val="minor"/>
        </font>
      </ndxf>
    </rcc>
    <rcc rId="0" sId="1" dxf="1">
      <nc r="V246" t="inlineStr">
        <is>
          <t>NA</t>
        </is>
      </nc>
      <ndxf>
        <font>
          <sz val="12"/>
          <color rgb="FF000000"/>
          <name val="Calibri"/>
          <family val="2"/>
          <scheme val="minor"/>
        </font>
      </ndxf>
    </rcc>
    <rcc rId="0" sId="1" dxf="1">
      <nc r="V247" t="inlineStr">
        <is>
          <t>NA</t>
        </is>
      </nc>
      <ndxf>
        <font>
          <sz val="12"/>
          <color rgb="FF000000"/>
          <name val="Calibri"/>
          <family val="2"/>
          <scheme val="minor"/>
        </font>
      </ndxf>
    </rcc>
    <rcc rId="0" sId="1" dxf="1">
      <nc r="V248" t="inlineStr">
        <is>
          <t>NA</t>
        </is>
      </nc>
      <ndxf>
        <font>
          <sz val="12"/>
          <color rgb="FF000000"/>
          <name val="Calibri"/>
          <family val="2"/>
          <scheme val="minor"/>
        </font>
      </ndxf>
    </rcc>
    <rcc rId="0" sId="1" dxf="1">
      <nc r="V249" t="inlineStr">
        <is>
          <t>NA</t>
        </is>
      </nc>
      <ndxf>
        <font>
          <sz val="12"/>
          <color rgb="FF000000"/>
          <name val="Calibri"/>
          <family val="2"/>
          <scheme val="minor"/>
        </font>
      </ndxf>
    </rcc>
    <rcc rId="0" sId="1" dxf="1">
      <nc r="V250" t="inlineStr">
        <is>
          <t>NA</t>
        </is>
      </nc>
      <ndxf>
        <font>
          <sz val="12"/>
          <color rgb="FF000000"/>
          <name val="Calibri"/>
          <family val="2"/>
          <scheme val="minor"/>
        </font>
      </ndxf>
    </rcc>
    <rcc rId="0" sId="1" dxf="1">
      <nc r="V251" t="inlineStr">
        <is>
          <t>NA</t>
        </is>
      </nc>
      <ndxf>
        <font>
          <sz val="12"/>
          <color rgb="FF000000"/>
          <name val="Calibri"/>
          <family val="2"/>
          <scheme val="minor"/>
        </font>
      </ndxf>
    </rcc>
    <rcc rId="0" sId="1" dxf="1">
      <nc r="V252" t="inlineStr">
        <is>
          <t>NA</t>
        </is>
      </nc>
      <ndxf>
        <font>
          <sz val="12"/>
          <color rgb="FF000000"/>
          <name val="Calibri"/>
          <family val="2"/>
          <scheme val="minor"/>
        </font>
      </ndxf>
    </rcc>
    <rcc rId="0" sId="1" dxf="1">
      <nc r="V253" t="inlineStr">
        <is>
          <t>NA</t>
        </is>
      </nc>
      <ndxf>
        <font>
          <sz val="12"/>
          <color rgb="FF000000"/>
          <name val="Calibri"/>
          <family val="2"/>
          <scheme val="minor"/>
        </font>
      </ndxf>
    </rcc>
    <rcc rId="0" sId="1" dxf="1">
      <nc r="V254" t="inlineStr">
        <is>
          <t>NA</t>
        </is>
      </nc>
      <ndxf>
        <font>
          <sz val="12"/>
          <color rgb="FF000000"/>
          <name val="Calibri"/>
          <family val="2"/>
          <scheme val="minor"/>
        </font>
      </ndxf>
    </rcc>
    <rcc rId="0" sId="1" dxf="1">
      <nc r="V255" t="inlineStr">
        <is>
          <t>NA</t>
        </is>
      </nc>
      <ndxf>
        <font>
          <sz val="12"/>
          <color rgb="FF000000"/>
          <name val="Calibri"/>
          <family val="2"/>
          <scheme val="minor"/>
        </font>
      </ndxf>
    </rcc>
    <rcc rId="0" sId="1" dxf="1">
      <nc r="V256" t="inlineStr">
        <is>
          <t>NA</t>
        </is>
      </nc>
      <ndxf>
        <font>
          <sz val="12"/>
          <color rgb="FF000000"/>
          <name val="Calibri"/>
          <family val="2"/>
          <scheme val="minor"/>
        </font>
      </ndxf>
    </rcc>
    <rcc rId="0" sId="1" dxf="1">
      <nc r="V257" t="inlineStr">
        <is>
          <t>NA</t>
        </is>
      </nc>
      <ndxf>
        <font>
          <sz val="12"/>
          <color rgb="FF000000"/>
          <name val="Calibri"/>
          <family val="2"/>
          <scheme val="minor"/>
        </font>
      </ndxf>
    </rcc>
    <rcc rId="0" sId="1" dxf="1">
      <nc r="V258" t="inlineStr">
        <is>
          <t>NA</t>
        </is>
      </nc>
      <ndxf>
        <font>
          <sz val="12"/>
          <color rgb="FF000000"/>
          <name val="Calibri"/>
          <family val="2"/>
          <scheme val="minor"/>
        </font>
      </ndxf>
    </rcc>
    <rcc rId="0" sId="1" dxf="1">
      <nc r="V259" t="inlineStr">
        <is>
          <t>NA</t>
        </is>
      </nc>
      <ndxf>
        <font>
          <sz val="12"/>
          <color rgb="FF000000"/>
          <name val="Calibri"/>
          <family val="2"/>
          <scheme val="minor"/>
        </font>
      </ndxf>
    </rcc>
    <rcc rId="0" sId="1" dxf="1">
      <nc r="V260" t="inlineStr">
        <is>
          <t>NA</t>
        </is>
      </nc>
      <ndxf>
        <font>
          <sz val="12"/>
          <color rgb="FF000000"/>
          <name val="Calibri"/>
          <family val="2"/>
          <scheme val="minor"/>
        </font>
      </ndxf>
    </rcc>
    <rcc rId="0" sId="1" dxf="1">
      <nc r="V261" t="inlineStr">
        <is>
          <t>NA</t>
        </is>
      </nc>
      <ndxf>
        <font>
          <sz val="12"/>
          <color rgb="FF000000"/>
          <name val="Calibri"/>
          <family val="2"/>
          <scheme val="minor"/>
        </font>
      </ndxf>
    </rcc>
    <rcc rId="0" sId="1" dxf="1">
      <nc r="V262" t="inlineStr">
        <is>
          <t>NA</t>
        </is>
      </nc>
      <ndxf>
        <font>
          <sz val="12"/>
          <color rgb="FF000000"/>
          <name val="Calibri"/>
          <family val="2"/>
          <scheme val="minor"/>
        </font>
      </ndxf>
    </rcc>
    <rcc rId="0" sId="1" dxf="1">
      <nc r="V263" t="inlineStr">
        <is>
          <t>NA</t>
        </is>
      </nc>
      <ndxf>
        <font>
          <sz val="12"/>
          <color rgb="FF000000"/>
          <name val="Calibri"/>
          <family val="2"/>
          <scheme val="minor"/>
        </font>
      </ndxf>
    </rcc>
    <rcc rId="0" sId="1" dxf="1">
      <nc r="V264" t="inlineStr">
        <is>
          <t>NA</t>
        </is>
      </nc>
      <ndxf>
        <font>
          <sz val="12"/>
          <color rgb="FF000000"/>
          <name val="Calibri"/>
          <family val="2"/>
          <scheme val="minor"/>
        </font>
      </ndxf>
    </rcc>
    <rcc rId="0" sId="1" dxf="1">
      <nc r="V265" t="inlineStr">
        <is>
          <t>NA</t>
        </is>
      </nc>
      <ndxf>
        <font>
          <sz val="12"/>
          <color rgb="FF000000"/>
          <name val="Calibri"/>
          <family val="2"/>
          <scheme val="minor"/>
        </font>
      </ndxf>
    </rcc>
    <rcc rId="0" sId="1" dxf="1">
      <nc r="V266" t="inlineStr">
        <is>
          <t>NA</t>
        </is>
      </nc>
      <ndxf>
        <font>
          <sz val="12"/>
          <color rgb="FF000000"/>
          <name val="Calibri"/>
          <family val="2"/>
          <scheme val="minor"/>
        </font>
      </ndxf>
    </rcc>
    <rcc rId="0" sId="1" dxf="1">
      <nc r="V267" t="inlineStr">
        <is>
          <t>NA</t>
        </is>
      </nc>
      <ndxf>
        <font>
          <sz val="12"/>
          <color rgb="FF000000"/>
          <name val="Calibri"/>
          <family val="2"/>
          <scheme val="minor"/>
        </font>
      </ndxf>
    </rcc>
    <rcc rId="0" sId="1" dxf="1">
      <nc r="V268" t="inlineStr">
        <is>
          <t>NA</t>
        </is>
      </nc>
      <ndxf>
        <font>
          <sz val="12"/>
          <color rgb="FF000000"/>
          <name val="Calibri"/>
          <family val="2"/>
          <scheme val="minor"/>
        </font>
      </ndxf>
    </rcc>
    <rcc rId="0" sId="1" dxf="1">
      <nc r="V269" t="inlineStr">
        <is>
          <t>NA</t>
        </is>
      </nc>
      <ndxf>
        <font>
          <sz val="12"/>
          <color rgb="FF000000"/>
          <name val="Calibri"/>
          <family val="2"/>
          <scheme val="minor"/>
        </font>
      </ndxf>
    </rcc>
    <rcc rId="0" sId="1" dxf="1">
      <nc r="V270" t="inlineStr">
        <is>
          <t>NA</t>
        </is>
      </nc>
      <ndxf>
        <font>
          <sz val="12"/>
          <color rgb="FF000000"/>
          <name val="Calibri"/>
          <family val="2"/>
          <scheme val="minor"/>
        </font>
      </ndxf>
    </rcc>
    <rcc rId="0" sId="1" dxf="1">
      <nc r="V271" t="inlineStr">
        <is>
          <t>NA</t>
        </is>
      </nc>
      <ndxf>
        <font>
          <sz val="12"/>
          <color rgb="FF000000"/>
          <name val="Calibri"/>
          <family val="2"/>
          <scheme val="minor"/>
        </font>
      </ndxf>
    </rcc>
    <rcc rId="0" sId="1" dxf="1">
      <nc r="V272" t="inlineStr">
        <is>
          <t>NA</t>
        </is>
      </nc>
      <ndxf>
        <font>
          <sz val="12"/>
          <color rgb="FF000000"/>
          <name val="Calibri"/>
          <family val="2"/>
          <scheme val="minor"/>
        </font>
      </ndxf>
    </rcc>
    <rcc rId="0" sId="1" dxf="1">
      <nc r="V273" t="inlineStr">
        <is>
          <t>NA</t>
        </is>
      </nc>
      <ndxf>
        <font>
          <sz val="12"/>
          <color rgb="FF000000"/>
          <name val="Calibri"/>
          <family val="2"/>
          <scheme val="minor"/>
        </font>
      </ndxf>
    </rcc>
    <rcc rId="0" sId="1" dxf="1">
      <nc r="V274" t="inlineStr">
        <is>
          <t>NA</t>
        </is>
      </nc>
      <ndxf>
        <font>
          <sz val="12"/>
          <color rgb="FF000000"/>
          <name val="Calibri"/>
          <family val="2"/>
          <scheme val="minor"/>
        </font>
      </ndxf>
    </rcc>
    <rcc rId="0" sId="1" dxf="1">
      <nc r="V275" t="inlineStr">
        <is>
          <t>NA</t>
        </is>
      </nc>
      <ndxf>
        <font>
          <sz val="12"/>
          <color rgb="FF000000"/>
          <name val="Calibri"/>
          <family val="2"/>
          <scheme val="minor"/>
        </font>
      </ndxf>
    </rcc>
  </rrc>
  <rrc rId="1333" sId="1" ref="V1:V1048576" action="deleteCol">
    <rfmt sheetId="1" xfDxf="1" sqref="V1:V1048576" start="0" length="0">
      <dxf>
        <alignment horizontal="left"/>
      </dxf>
    </rfmt>
    <rcc rId="0" sId="1" dxf="1">
      <nc r="V1" t="inlineStr">
        <is>
          <t>light_level_issue</t>
        </is>
      </nc>
      <ndxf>
        <numFmt numFmtId="2" formatCode="0.00"/>
      </ndxf>
    </rcc>
    <rcc rId="0" sId="1">
      <nc r="V44" t="inlineStr">
        <is>
          <t>Bee returned before meter turned on</t>
        </is>
      </nc>
    </rcc>
    <rcc rId="0" sId="1" dxf="1">
      <nc r="V53" t="inlineStr">
        <is>
          <t xml:space="preserve">Negative numbers, constrained range, 5v bias on. </t>
        </is>
      </nc>
      <ndxf>
        <font>
          <sz val="12"/>
          <color rgb="FFFF0000"/>
          <name val="Calibri"/>
          <family val="2"/>
          <scheme val="minor"/>
        </font>
      </ndxf>
    </rcc>
    <rcc rId="0" sId="1">
      <nc r="V56" t="inlineStr">
        <is>
          <t>number much higher than previous morning</t>
        </is>
      </nc>
    </rcc>
    <rcc rId="0" sId="1">
      <nc r="V59" t="inlineStr">
        <is>
          <t>cant see the base numbers, only the exponent :( . But it must be a very low value to the power of -2, because the exponent changes roughly 1 minute later. ~0.0099</t>
        </is>
      </nc>
    </rcc>
    <rcc rId="0" sId="1">
      <nc r="V60" t="inlineStr">
        <is>
          <t>number too high. Constrained range. 5v bias on.</t>
        </is>
      </nc>
    </rcc>
    <rcc rId="0" sId="1">
      <nc r="V67" t="inlineStr">
        <is>
          <t xml:space="preserve">light video missing </t>
        </is>
      </nc>
    </rcc>
    <rcc rId="0" sId="1" dxf="1">
      <nc r="V85" t="inlineStr">
        <is>
          <t>negative numbers. Values started in the minus and to the power of -1. 5v bias on</t>
        </is>
      </nc>
      <ndxf>
        <font>
          <sz val="12"/>
          <color rgb="FFFF0000"/>
          <name val="Calibri"/>
          <family val="2"/>
          <scheme val="minor"/>
        </font>
      </ndxf>
    </rcc>
    <rcc rId="0" sId="1" dxf="1">
      <nc r="V86" t="inlineStr">
        <is>
          <t>negative numbers. Values started in the minus and to the power of -1. 5v bias on</t>
        </is>
      </nc>
      <ndxf>
        <font>
          <sz val="12"/>
          <color rgb="FFFF0000"/>
          <name val="Calibri"/>
          <family val="2"/>
          <scheme val="minor"/>
        </font>
      </ndxf>
    </rcc>
    <rcc rId="0" sId="1">
      <nc r="V87" t="inlineStr">
        <is>
          <t>negative numbers, constrained range, and 5v bias on</t>
        </is>
      </nc>
    </rcc>
    <rcc rId="0" sId="1" dxf="1">
      <nc r="V88" t="inlineStr">
        <is>
          <t>Negative numbers. Values droped to -1 x10-1 and then saturated. 5v bias was on</t>
        </is>
      </nc>
      <ndxf>
        <font>
          <sz val="12"/>
          <color rgb="FFFF0000"/>
          <name val="Calibri"/>
          <family val="2"/>
          <scheme val="minor"/>
        </font>
      </ndxf>
    </rcc>
    <rcc rId="0" sId="1" dxf="1">
      <nc r="V92" t="inlineStr">
        <is>
          <t>factor change. This illuminance value is higher than the others around the same time.  Could this be because of the factor I input (1.004x10-6) ? NB I think I may have made the factor x10-5. The reading on screen was 2.45. So to correct do I simply move decimal an extra place, so 2.45 becomes 0.245</t>
        </is>
      </nc>
      <ndxf>
        <font>
          <sz val="12"/>
          <color rgb="FFFF0000"/>
          <name val="Calibri"/>
          <family val="2"/>
          <scheme val="minor"/>
        </font>
      </ndxf>
    </rcc>
    <rcc rId="0" sId="1" dxf="1">
      <nc r="V93" t="inlineStr">
        <is>
          <t>factor change. But readings did not look weird other than that</t>
        </is>
      </nc>
      <ndxf>
        <font>
          <sz val="12"/>
          <color rgb="FFFF0000"/>
          <name val="Calibri"/>
          <family val="2"/>
          <scheme val="minor"/>
        </font>
      </ndxf>
    </rcc>
    <rcc rId="0" sId="1" dxf="1">
      <nc r="V95" t="inlineStr">
        <is>
          <t>Not zeroed properly and factor change.</t>
        </is>
      </nc>
      <ndxf>
        <font>
          <sz val="12"/>
          <color rgb="FFFF0000"/>
          <name val="Calibri"/>
          <family val="2"/>
          <scheme val="minor"/>
        </font>
        <numFmt numFmtId="30" formatCode="@"/>
      </ndxf>
    </rcc>
    <rcc rId="0" sId="1" dxf="1">
      <nc r="V97" t="inlineStr">
        <is>
          <t>factor change. Jumpy numbers in the beginning. I'm not sure what was up with the light readings or light meter. Very strange</t>
        </is>
      </nc>
      <ndxf>
        <font>
          <sz val="12"/>
          <color rgb="FFFF0000"/>
          <name val="Calibri"/>
          <family val="2"/>
          <scheme val="minor"/>
        </font>
      </ndxf>
    </rcc>
    <rcc rId="0" sId="1">
      <nc r="V102" t="inlineStr">
        <is>
          <t>missing light video</t>
        </is>
      </nc>
    </rcc>
    <rcc rId="0" sId="1" dxf="1">
      <nc r="V104" t="inlineStr">
        <is>
          <t>factor change</t>
        </is>
      </nc>
      <ndxf>
        <font>
          <sz val="12"/>
          <color rgb="FFFF0000"/>
          <name val="Calibri"/>
          <family val="2"/>
          <scheme val="minor"/>
        </font>
      </ndxf>
    </rcc>
    <rcc rId="0" sId="1" dxf="1">
      <nc r="V106" t="inlineStr">
        <is>
          <t>factor change</t>
        </is>
      </nc>
      <ndxf>
        <font>
          <sz val="12"/>
          <color rgb="FFFF0000"/>
          <name val="Calibri"/>
          <family val="2"/>
          <scheme val="minor"/>
        </font>
      </ndxf>
    </rcc>
    <rcc rId="0" sId="1" dxf="1">
      <nc r="V107" t="inlineStr">
        <is>
          <t>factor change</t>
        </is>
      </nc>
      <ndxf>
        <font>
          <sz val="12"/>
          <color rgb="FFFF0000"/>
          <name val="Calibri"/>
          <family val="2"/>
          <scheme val="minor"/>
        </font>
      </ndxf>
    </rcc>
    <rcc rId="0" sId="1">
      <nc r="V108" t="inlineStr">
        <is>
          <t>NA</t>
        </is>
      </nc>
    </rcc>
    <rcc rId="0" sId="1" dxf="1">
      <nc r="V109" t="inlineStr">
        <is>
          <t>factor change</t>
        </is>
      </nc>
      <ndxf>
        <font>
          <sz val="12"/>
          <color rgb="FFFF0000"/>
          <name val="Calibri"/>
          <family val="2"/>
          <scheme val="minor"/>
        </font>
      </ndxf>
    </rcc>
    <rcc rId="0" sId="1" dxf="1">
      <nc r="V110" t="inlineStr">
        <is>
          <t>factor change</t>
        </is>
      </nc>
      <ndxf>
        <font>
          <sz val="12"/>
          <color rgb="FFFF0000"/>
          <name val="Calibri"/>
          <family val="2"/>
          <scheme val="minor"/>
        </font>
      </ndxf>
    </rcc>
    <rcc rId="0" sId="1" dxf="1">
      <nc r="V111" t="inlineStr">
        <is>
          <t>factor change</t>
        </is>
      </nc>
      <ndxf>
        <font>
          <sz val="12"/>
          <color rgb="FFFF0000"/>
          <name val="Calibri"/>
          <family val="2"/>
          <scheme val="minor"/>
        </font>
      </ndxf>
    </rcc>
    <rcc rId="0" sId="1" dxf="1">
      <nc r="V112" t="inlineStr">
        <is>
          <t>factor change</t>
        </is>
      </nc>
      <ndxf>
        <font>
          <sz val="12"/>
          <color rgb="FFFF0000"/>
          <name val="Calibri"/>
          <family val="2"/>
          <scheme val="minor"/>
        </font>
      </ndxf>
    </rcc>
    <rcc rId="0" sId="1" dxf="1">
      <nc r="V113" t="inlineStr">
        <is>
          <t>factor change</t>
        </is>
      </nc>
      <ndxf>
        <font>
          <sz val="12"/>
          <color rgb="FFFF0000"/>
          <name val="Calibri"/>
          <family val="2"/>
          <scheme val="minor"/>
        </font>
      </ndxf>
    </rcc>
    <rcc rId="0" sId="1">
      <nc r="V114" t="inlineStr">
        <is>
          <t>factor change</t>
        </is>
      </nc>
    </rcc>
    <rcc rId="0" sId="1">
      <nc r="V115" t="inlineStr">
        <is>
          <t>unclear lcd. Roughly the light level.</t>
        </is>
      </nc>
    </rcc>
    <rcc rId="0" sId="1">
      <nc r="V116" t="inlineStr">
        <is>
          <t>NA</t>
        </is>
      </nc>
    </rcc>
    <rcc rId="0" sId="1">
      <nc r="V127" t="inlineStr">
        <is>
          <t>NA</t>
        </is>
      </nc>
    </rcc>
    <rcc rId="0" sId="1">
      <nc r="V128" t="inlineStr">
        <is>
          <t>NA</t>
        </is>
      </nc>
    </rcc>
    <rcc rId="0" sId="1">
      <nc r="V129" t="inlineStr">
        <is>
          <t>NA</t>
        </is>
      </nc>
    </rcc>
    <rcc rId="0" sId="1">
      <nc r="V130" t="inlineStr">
        <is>
          <t>NA</t>
        </is>
      </nc>
    </rcc>
    <rcc rId="0" sId="1">
      <nc r="V131" t="inlineStr">
        <is>
          <t>NA</t>
        </is>
      </nc>
    </rcc>
    <rcc rId="0" sId="1">
      <nc r="V132" t="inlineStr">
        <is>
          <t>NA</t>
        </is>
      </nc>
    </rcc>
    <rcc rId="0" sId="1">
      <nc r="V133" t="inlineStr">
        <is>
          <t>NA</t>
        </is>
      </nc>
    </rcc>
    <rcc rId="0" sId="1">
      <nc r="V134" t="inlineStr">
        <is>
          <t>NA</t>
        </is>
      </nc>
    </rcc>
    <rcc rId="0" sId="1">
      <nc r="V135" t="inlineStr">
        <is>
          <t>didn’t setup light meter</t>
        </is>
      </nc>
    </rcc>
    <rcc rId="0" sId="1">
      <nc r="V136" t="inlineStr">
        <is>
          <t>NA</t>
        </is>
      </nc>
    </rcc>
    <rcc rId="0" sId="1">
      <nc r="V137" t="inlineStr">
        <is>
          <t>didn’t setup light meter</t>
        </is>
      </nc>
    </rcc>
    <rcc rId="0" sId="1">
      <nc r="V138" t="inlineStr">
        <is>
          <t>didn’t setup light meter</t>
        </is>
      </nc>
    </rcc>
    <rcc rId="0" sId="1">
      <nc r="V139" t="inlineStr">
        <is>
          <t>didn’t setup light meter</t>
        </is>
      </nc>
    </rcc>
    <rcc rId="0" sId="1">
      <nc r="V140" t="inlineStr">
        <is>
          <t>didn’t setup light meter</t>
        </is>
      </nc>
    </rcc>
    <rcc rId="0" sId="1">
      <nc r="V141" t="inlineStr">
        <is>
          <t>didn’t setup light meter</t>
        </is>
      </nc>
    </rcc>
    <rcc rId="0" sId="1">
      <nc r="V142" t="inlineStr">
        <is>
          <t>didn’t setup light meter</t>
        </is>
      </nc>
    </rcc>
    <rcc rId="0" sId="1" dxf="1">
      <nc r="V143" t="inlineStr">
        <is>
          <t>didn’t setup light meter</t>
        </is>
      </nc>
      <ndxf>
        <font>
          <sz val="12"/>
          <color rgb="FF000000"/>
          <name val="Calibri"/>
          <family val="2"/>
          <scheme val="minor"/>
        </font>
      </ndxf>
    </rcc>
    <rcc rId="0" sId="1" dxf="1">
      <nc r="V144" t="inlineStr">
        <is>
          <t>didn’t setup light meter</t>
        </is>
      </nc>
      <ndxf>
        <font>
          <sz val="12"/>
          <color rgb="FF000000"/>
          <name val="Calibri"/>
          <family val="2"/>
          <scheme val="minor"/>
        </font>
      </ndxf>
    </rcc>
    <rcc rId="0" sId="1" dxf="1">
      <nc r="V145" t="inlineStr">
        <is>
          <t>didn’t setup light meter</t>
        </is>
      </nc>
      <ndxf>
        <font>
          <sz val="12"/>
          <color rgb="FF000000"/>
          <name val="Calibri"/>
          <family val="2"/>
          <scheme val="minor"/>
        </font>
      </ndxf>
    </rcc>
    <rcc rId="0" sId="1" dxf="1">
      <nc r="V146" t="inlineStr">
        <is>
          <t>didn’t setup light meter</t>
        </is>
      </nc>
      <ndxf>
        <font>
          <sz val="12"/>
          <color rgb="FF000000"/>
          <name val="Calibri"/>
          <family val="2"/>
          <scheme val="minor"/>
        </font>
      </ndxf>
    </rcc>
    <rcc rId="0" sId="1" dxf="1">
      <nc r="V147" t="inlineStr">
        <is>
          <t>didn’t setup light meter</t>
        </is>
      </nc>
      <ndxf>
        <font>
          <sz val="12"/>
          <color rgb="FF000000"/>
          <name val="Calibri"/>
          <family val="2"/>
          <scheme val="minor"/>
        </font>
      </ndxf>
    </rcc>
    <rcc rId="0" sId="1" dxf="1">
      <nc r="V148" t="inlineStr">
        <is>
          <t>didn’t setup light meter</t>
        </is>
      </nc>
      <ndxf>
        <font>
          <sz val="12"/>
          <color rgb="FF000000"/>
          <name val="Calibri"/>
          <family val="2"/>
          <scheme val="minor"/>
        </font>
      </ndxf>
    </rcc>
    <rcc rId="0" sId="1" dxf="1">
      <nc r="V149" t="inlineStr">
        <is>
          <t>didn’t setup light meter</t>
        </is>
      </nc>
      <ndxf>
        <font>
          <sz val="12"/>
          <color rgb="FF000000"/>
          <name val="Calibri"/>
          <family val="2"/>
          <scheme val="minor"/>
        </font>
      </ndxf>
    </rcc>
    <rcc rId="0" sId="1" dxf="1">
      <nc r="V150" t="inlineStr">
        <is>
          <t>didn’t setup light meter</t>
        </is>
      </nc>
      <ndxf>
        <font>
          <sz val="12"/>
          <color rgb="FF000000"/>
          <name val="Calibri"/>
          <family val="2"/>
          <scheme val="minor"/>
        </font>
      </ndxf>
    </rcc>
    <rcc rId="0" sId="1" dxf="1">
      <nc r="V151" t="inlineStr">
        <is>
          <t>didn’t setup light meter</t>
        </is>
      </nc>
      <ndxf>
        <font>
          <sz val="12"/>
          <color rgb="FF000000"/>
          <name val="Calibri"/>
          <family val="2"/>
          <scheme val="minor"/>
        </font>
      </ndxf>
    </rcc>
    <rcc rId="0" sId="1" dxf="1">
      <nc r="V152" t="inlineStr">
        <is>
          <t>didn’t setup light meter</t>
        </is>
      </nc>
      <ndxf>
        <font>
          <sz val="12"/>
          <color rgb="FF000000"/>
          <name val="Calibri"/>
          <family val="2"/>
          <scheme val="minor"/>
        </font>
      </ndxf>
    </rcc>
    <rcc rId="0" sId="1" dxf="1">
      <nc r="V153" t="inlineStr">
        <is>
          <t>didn’t setup light meter</t>
        </is>
      </nc>
      <ndxf>
        <font>
          <sz val="12"/>
          <color rgb="FF000000"/>
          <name val="Calibri"/>
          <family val="2"/>
          <scheme val="minor"/>
        </font>
      </ndxf>
    </rcc>
    <rcc rId="0" sId="1" dxf="1">
      <nc r="V154" t="inlineStr">
        <is>
          <t>didn’t setup light meter</t>
        </is>
      </nc>
      <ndxf>
        <font>
          <sz val="12"/>
          <color rgb="FF000000"/>
          <name val="Calibri"/>
          <family val="2"/>
          <scheme val="minor"/>
        </font>
      </ndxf>
    </rcc>
    <rcc rId="0" sId="1" dxf="1">
      <nc r="V155" t="inlineStr">
        <is>
          <t>didn’t setup light meter</t>
        </is>
      </nc>
      <ndxf>
        <font>
          <sz val="12"/>
          <color rgb="FF000000"/>
          <name val="Calibri"/>
          <family val="2"/>
          <scheme val="minor"/>
        </font>
      </ndxf>
    </rcc>
    <rcc rId="0" sId="1" dxf="1">
      <nc r="V156" t="inlineStr">
        <is>
          <t>didn’t setup light meter</t>
        </is>
      </nc>
      <ndxf>
        <font>
          <sz val="12"/>
          <color rgb="FF000000"/>
          <name val="Calibri"/>
          <family val="2"/>
          <scheme val="minor"/>
        </font>
      </ndxf>
    </rcc>
    <rcc rId="0" sId="1" dxf="1">
      <nc r="V157" t="inlineStr">
        <is>
          <t>didn’t setup light meter</t>
        </is>
      </nc>
      <ndxf>
        <font>
          <sz val="12"/>
          <color rgb="FF000000"/>
          <name val="Calibri"/>
          <family val="2"/>
          <scheme val="minor"/>
        </font>
      </ndxf>
    </rcc>
    <rcc rId="0" sId="1" dxf="1">
      <nc r="V158" t="inlineStr">
        <is>
          <t>didn’t setup light meter</t>
        </is>
      </nc>
      <ndxf>
        <font>
          <sz val="12"/>
          <color rgb="FF000000"/>
          <name val="Calibri"/>
          <family val="2"/>
          <scheme val="minor"/>
        </font>
      </ndxf>
    </rcc>
    <rcc rId="0" sId="1" dxf="1">
      <nc r="V159" t="inlineStr">
        <is>
          <t>didn’t setup light meter</t>
        </is>
      </nc>
      <ndxf>
        <font>
          <sz val="12"/>
          <color rgb="FF000000"/>
          <name val="Calibri"/>
          <family val="2"/>
          <scheme val="minor"/>
        </font>
      </ndxf>
    </rcc>
    <rcc rId="0" sId="1" dxf="1">
      <nc r="V160" t="inlineStr">
        <is>
          <t>didn’t setup light meter</t>
        </is>
      </nc>
      <ndxf>
        <font>
          <sz val="12"/>
          <color rgb="FF000000"/>
          <name val="Calibri"/>
          <family val="2"/>
          <scheme val="minor"/>
        </font>
      </ndxf>
    </rcc>
    <rcc rId="0" sId="1" dxf="1">
      <nc r="V161" t="inlineStr">
        <is>
          <t>didn’t setup light meter</t>
        </is>
      </nc>
      <ndxf>
        <font>
          <sz val="12"/>
          <color rgb="FF000000"/>
          <name val="Calibri"/>
          <family val="2"/>
          <scheme val="minor"/>
        </font>
      </ndxf>
    </rcc>
    <rcc rId="0" sId="1" dxf="1">
      <nc r="V162" t="inlineStr">
        <is>
          <t>didn’t setup light meter</t>
        </is>
      </nc>
      <ndxf>
        <font>
          <sz val="12"/>
          <color rgb="FF000000"/>
          <name val="Calibri"/>
          <family val="2"/>
          <scheme val="minor"/>
        </font>
      </ndxf>
    </rcc>
    <rcc rId="0" sId="1" dxf="1">
      <nc r="V163" t="inlineStr">
        <is>
          <t>didn’t setup light meter</t>
        </is>
      </nc>
      <ndxf>
        <font>
          <sz val="12"/>
          <color rgb="FF000000"/>
          <name val="Calibri"/>
          <family val="2"/>
          <scheme val="minor"/>
        </font>
      </ndxf>
    </rcc>
    <rcc rId="0" sId="1" dxf="1">
      <nc r="V164" t="inlineStr">
        <is>
          <t>didn’t setup light meter</t>
        </is>
      </nc>
      <ndxf>
        <font>
          <sz val="12"/>
          <color rgb="FF000000"/>
          <name val="Calibri"/>
          <family val="2"/>
          <scheme val="minor"/>
        </font>
      </ndxf>
    </rcc>
    <rcc rId="0" sId="1" dxf="1">
      <nc r="V165" t="inlineStr">
        <is>
          <t>didn’t setup light meter</t>
        </is>
      </nc>
      <ndxf>
        <font>
          <sz val="12"/>
          <color rgb="FF000000"/>
          <name val="Calibri"/>
          <family val="2"/>
          <scheme val="minor"/>
        </font>
      </ndxf>
    </rcc>
    <rcc rId="0" sId="1" dxf="1">
      <nc r="V166" t="inlineStr">
        <is>
          <t>didn’t setup light meter</t>
        </is>
      </nc>
      <ndxf>
        <font>
          <sz val="12"/>
          <color rgb="FF000000"/>
          <name val="Calibri"/>
          <family val="2"/>
          <scheme val="minor"/>
        </font>
      </ndxf>
    </rcc>
    <rcc rId="0" sId="1" dxf="1">
      <nc r="V167" t="inlineStr">
        <is>
          <t>didn’t setup light meter</t>
        </is>
      </nc>
      <ndxf>
        <font>
          <sz val="12"/>
          <color rgb="FF000000"/>
          <name val="Calibri"/>
          <family val="2"/>
          <scheme val="minor"/>
        </font>
      </ndxf>
    </rcc>
    <rcc rId="0" sId="1" dxf="1">
      <nc r="V168" t="inlineStr">
        <is>
          <t>didn’t setup light meter</t>
        </is>
      </nc>
      <ndxf>
        <font>
          <sz val="12"/>
          <color rgb="FF000000"/>
          <name val="Calibri"/>
          <family val="2"/>
          <scheme val="minor"/>
        </font>
      </ndxf>
    </rcc>
    <rcc rId="0" sId="1" dxf="1">
      <nc r="V169" t="inlineStr">
        <is>
          <t>didn’t setup light meter</t>
        </is>
      </nc>
      <ndxf>
        <font>
          <sz val="12"/>
          <color rgb="FF000000"/>
          <name val="Calibri"/>
          <family val="2"/>
          <scheme val="minor"/>
        </font>
      </ndxf>
    </rcc>
    <rcc rId="0" sId="1" dxf="1">
      <nc r="V170" t="inlineStr">
        <is>
          <t>didn’t setup light meter</t>
        </is>
      </nc>
      <ndxf>
        <font>
          <sz val="12"/>
          <color rgb="FF000000"/>
          <name val="Calibri"/>
          <family val="2"/>
          <scheme val="minor"/>
        </font>
      </ndxf>
    </rcc>
    <rcc rId="0" sId="1" dxf="1">
      <nc r="V171" t="inlineStr">
        <is>
          <t>didn’t setup light meter</t>
        </is>
      </nc>
      <ndxf>
        <font>
          <sz val="12"/>
          <color rgb="FF000000"/>
          <name val="Calibri"/>
          <family val="2"/>
          <scheme val="minor"/>
        </font>
      </ndxf>
    </rcc>
    <rcc rId="0" sId="1" dxf="1">
      <nc r="V172" t="inlineStr">
        <is>
          <t>didn’t setup light meter</t>
        </is>
      </nc>
      <ndxf>
        <font>
          <sz val="12"/>
          <color rgb="FF000000"/>
          <name val="Calibri"/>
          <family val="2"/>
          <scheme val="minor"/>
        </font>
      </ndxf>
    </rcc>
    <rcc rId="0" sId="1" dxf="1">
      <nc r="V173" t="inlineStr">
        <is>
          <t>didn’t setup light meter</t>
        </is>
      </nc>
      <ndxf>
        <font>
          <sz val="12"/>
          <color rgb="FF000000"/>
          <name val="Calibri"/>
          <family val="2"/>
          <scheme val="minor"/>
        </font>
      </ndxf>
    </rcc>
    <rcc rId="0" sId="1" dxf="1">
      <nc r="V174" t="inlineStr">
        <is>
          <t>didn’t setup light meter</t>
        </is>
      </nc>
      <ndxf>
        <font>
          <sz val="12"/>
          <color rgb="FF000000"/>
          <name val="Calibri"/>
          <family val="2"/>
          <scheme val="minor"/>
        </font>
      </ndxf>
    </rcc>
    <rcc rId="0" sId="1" dxf="1">
      <nc r="V175" t="inlineStr">
        <is>
          <t>didn’t setup light meter</t>
        </is>
      </nc>
      <ndxf>
        <font>
          <sz val="12"/>
          <color rgb="FF000000"/>
          <name val="Calibri"/>
          <family val="2"/>
          <scheme val="minor"/>
        </font>
      </ndxf>
    </rcc>
    <rcc rId="0" sId="1" dxf="1">
      <nc r="V176" t="inlineStr">
        <is>
          <t>didn’t setup light meter</t>
        </is>
      </nc>
      <ndxf>
        <font>
          <sz val="12"/>
          <color rgb="FF000000"/>
          <name val="Calibri"/>
          <family val="2"/>
          <scheme val="minor"/>
        </font>
      </ndxf>
    </rcc>
    <rcc rId="0" sId="1" dxf="1">
      <nc r="V177" t="inlineStr">
        <is>
          <t>didn’t setup light meter</t>
        </is>
      </nc>
      <ndxf>
        <font>
          <sz val="12"/>
          <color rgb="FF000000"/>
          <name val="Calibri"/>
          <family val="2"/>
          <scheme val="minor"/>
        </font>
      </ndxf>
    </rcc>
    <rcc rId="0" sId="1" dxf="1">
      <nc r="V178" t="inlineStr">
        <is>
          <t>didn’t setup light meter</t>
        </is>
      </nc>
      <ndxf>
        <font>
          <sz val="12"/>
          <color rgb="FF000000"/>
          <name val="Calibri"/>
          <family val="2"/>
          <scheme val="minor"/>
        </font>
      </ndxf>
    </rcc>
    <rcc rId="0" sId="1" dxf="1">
      <nc r="V179" t="inlineStr">
        <is>
          <t>didn’t setup light meter</t>
        </is>
      </nc>
      <ndxf>
        <font>
          <sz val="12"/>
          <color rgb="FF000000"/>
          <name val="Calibri"/>
          <family val="2"/>
          <scheme val="minor"/>
        </font>
      </ndxf>
    </rcc>
    <rcc rId="0" sId="1" dxf="1">
      <nc r="V180" t="inlineStr">
        <is>
          <t>didn’t setup light meter</t>
        </is>
      </nc>
      <ndxf>
        <font>
          <sz val="12"/>
          <color rgb="FF000000"/>
          <name val="Calibri"/>
          <family val="2"/>
          <scheme val="minor"/>
        </font>
      </ndxf>
    </rcc>
    <rcc rId="0" sId="1" dxf="1">
      <nc r="V181" t="inlineStr">
        <is>
          <t>didn’t setup light meter</t>
        </is>
      </nc>
      <ndxf>
        <font>
          <sz val="12"/>
          <color rgb="FF000000"/>
          <name val="Calibri"/>
          <family val="2"/>
          <scheme val="minor"/>
        </font>
      </ndxf>
    </rcc>
    <rcc rId="0" sId="1" dxf="1">
      <nc r="V182" t="inlineStr">
        <is>
          <t>didn’t setup light meter</t>
        </is>
      </nc>
      <ndxf>
        <font>
          <sz val="12"/>
          <color rgb="FF000000"/>
          <name val="Calibri"/>
          <family val="2"/>
          <scheme val="minor"/>
        </font>
      </ndxf>
    </rcc>
    <rcc rId="0" sId="1" dxf="1">
      <nc r="V183" t="inlineStr">
        <is>
          <t>didn’t setup light meter</t>
        </is>
      </nc>
      <ndxf>
        <font>
          <sz val="12"/>
          <color rgb="FF000000"/>
          <name val="Calibri"/>
          <family val="2"/>
          <scheme val="minor"/>
        </font>
      </ndxf>
    </rcc>
    <rcc rId="0" sId="1" dxf="1">
      <nc r="V184" t="inlineStr">
        <is>
          <t>didn’t setup light meter</t>
        </is>
      </nc>
      <ndxf>
        <font>
          <sz val="12"/>
          <color rgb="FF000000"/>
          <name val="Calibri"/>
          <family val="2"/>
          <scheme val="minor"/>
        </font>
      </ndxf>
    </rcc>
    <rcc rId="0" sId="1" dxf="1">
      <nc r="V185" t="inlineStr">
        <is>
          <t>didn’t setup light meter</t>
        </is>
      </nc>
      <ndxf>
        <font>
          <sz val="12"/>
          <color rgb="FF000000"/>
          <name val="Calibri"/>
          <family val="2"/>
          <scheme val="minor"/>
        </font>
      </ndxf>
    </rcc>
    <rcc rId="0" sId="1" dxf="1">
      <nc r="V186" t="inlineStr">
        <is>
          <t>didn’t setup light meter</t>
        </is>
      </nc>
      <ndxf>
        <font>
          <sz val="12"/>
          <color rgb="FF000000"/>
          <name val="Calibri"/>
          <family val="2"/>
          <scheme val="minor"/>
        </font>
      </ndxf>
    </rcc>
    <rcc rId="0" sId="1" dxf="1">
      <nc r="V187" t="inlineStr">
        <is>
          <t>didn’t setup light meter</t>
        </is>
      </nc>
      <ndxf>
        <font>
          <sz val="12"/>
          <color rgb="FF000000"/>
          <name val="Calibri"/>
          <family val="2"/>
          <scheme val="minor"/>
        </font>
      </ndxf>
    </rcc>
    <rcc rId="0" sId="1" dxf="1">
      <nc r="V188" t="inlineStr">
        <is>
          <t>didn’t setup light meter</t>
        </is>
      </nc>
      <ndxf>
        <font>
          <sz val="12"/>
          <color rgb="FF000000"/>
          <name val="Calibri"/>
          <family val="2"/>
          <scheme val="minor"/>
        </font>
      </ndxf>
    </rcc>
    <rcc rId="0" sId="1" dxf="1">
      <nc r="V189" t="inlineStr">
        <is>
          <t>didn’t setup light meter</t>
        </is>
      </nc>
      <ndxf>
        <font>
          <sz val="12"/>
          <color rgb="FF000000"/>
          <name val="Calibri"/>
          <family val="2"/>
          <scheme val="minor"/>
        </font>
      </ndxf>
    </rcc>
    <rcc rId="0" sId="1" dxf="1">
      <nc r="V190" t="inlineStr">
        <is>
          <t>didn’t setup light meter</t>
        </is>
      </nc>
      <ndxf>
        <font>
          <sz val="12"/>
          <color rgb="FF000000"/>
          <name val="Calibri"/>
          <family val="2"/>
          <scheme val="minor"/>
        </font>
      </ndxf>
    </rcc>
    <rcc rId="0" sId="1" dxf="1">
      <nc r="V191" t="inlineStr">
        <is>
          <t>didn’t setup light meter</t>
        </is>
      </nc>
      <ndxf>
        <font>
          <sz val="12"/>
          <color rgb="FF000000"/>
          <name val="Calibri"/>
          <family val="2"/>
          <scheme val="minor"/>
        </font>
      </ndxf>
    </rcc>
    <rcc rId="0" sId="1" dxf="1">
      <nc r="V192" t="inlineStr">
        <is>
          <t>didn’t setup light meter</t>
        </is>
      </nc>
      <ndxf>
        <font>
          <sz val="12"/>
          <color rgb="FF000000"/>
          <name val="Calibri"/>
          <family val="2"/>
          <scheme val="minor"/>
        </font>
      </ndxf>
    </rcc>
    <rcc rId="0" sId="1" dxf="1">
      <nc r="V193" t="inlineStr">
        <is>
          <t>didn’t setup light meter</t>
        </is>
      </nc>
      <ndxf>
        <font>
          <sz val="12"/>
          <color rgb="FF000000"/>
          <name val="Calibri"/>
          <family val="2"/>
          <scheme val="minor"/>
        </font>
      </ndxf>
    </rcc>
    <rcc rId="0" sId="1" dxf="1">
      <nc r="V194" t="inlineStr">
        <is>
          <t>didn’t setup light meter</t>
        </is>
      </nc>
      <ndxf>
        <font>
          <sz val="12"/>
          <color rgb="FF000000"/>
          <name val="Calibri"/>
          <family val="2"/>
          <scheme val="minor"/>
        </font>
      </ndxf>
    </rcc>
    <rcc rId="0" sId="1" dxf="1">
      <nc r="V195" t="inlineStr">
        <is>
          <t>didn’t setup light meter</t>
        </is>
      </nc>
      <ndxf>
        <font>
          <sz val="12"/>
          <color rgb="FF000000"/>
          <name val="Calibri"/>
          <family val="2"/>
          <scheme val="minor"/>
        </font>
      </ndxf>
    </rcc>
    <rcc rId="0" sId="1" dxf="1">
      <nc r="V196" t="inlineStr">
        <is>
          <t>didn’t setup light meter</t>
        </is>
      </nc>
      <ndxf>
        <font>
          <sz val="12"/>
          <color rgb="FF000000"/>
          <name val="Calibri"/>
          <family val="2"/>
          <scheme val="minor"/>
        </font>
      </ndxf>
    </rcc>
    <rcc rId="0" sId="1" dxf="1">
      <nc r="V197" t="inlineStr">
        <is>
          <t>didn’t setup light meter</t>
        </is>
      </nc>
      <ndxf>
        <font>
          <sz val="12"/>
          <color rgb="FF000000"/>
          <name val="Calibri"/>
          <family val="2"/>
          <scheme val="minor"/>
        </font>
      </ndxf>
    </rcc>
    <rcc rId="0" sId="1" dxf="1">
      <nc r="V198" t="inlineStr">
        <is>
          <t>didn’t setup light meter</t>
        </is>
      </nc>
      <ndxf>
        <font>
          <sz val="12"/>
          <color rgb="FF000000"/>
          <name val="Calibri"/>
          <family val="2"/>
          <scheme val="minor"/>
        </font>
      </ndxf>
    </rcc>
    <rcc rId="0" sId="1" dxf="1">
      <nc r="V199" t="inlineStr">
        <is>
          <t>didn’t setup light meter</t>
        </is>
      </nc>
      <ndxf>
        <font>
          <sz val="12"/>
          <color rgb="FF000000"/>
          <name val="Calibri"/>
          <family val="2"/>
          <scheme val="minor"/>
        </font>
      </ndxf>
    </rcc>
    <rcc rId="0" sId="1" dxf="1">
      <nc r="V200" t="inlineStr">
        <is>
          <t>didn’t setup light meter</t>
        </is>
      </nc>
      <ndxf>
        <font>
          <sz val="12"/>
          <color rgb="FF000000"/>
          <name val="Calibri"/>
          <family val="2"/>
          <scheme val="minor"/>
        </font>
      </ndxf>
    </rcc>
    <rcc rId="0" sId="1" dxf="1">
      <nc r="V201" t="inlineStr">
        <is>
          <t>didn’t setup light meter</t>
        </is>
      </nc>
      <ndxf>
        <font>
          <sz val="12"/>
          <color rgb="FF000000"/>
          <name val="Calibri"/>
          <family val="2"/>
          <scheme val="minor"/>
        </font>
      </ndxf>
    </rcc>
    <rcc rId="0" sId="1" dxf="1">
      <nc r="V202" t="inlineStr">
        <is>
          <t>didn’t setup light meter</t>
        </is>
      </nc>
      <ndxf>
        <font>
          <sz val="12"/>
          <color rgb="FF000000"/>
          <name val="Calibri"/>
          <family val="2"/>
          <scheme val="minor"/>
        </font>
      </ndxf>
    </rcc>
    <rcc rId="0" sId="1" dxf="1">
      <nc r="V203" t="inlineStr">
        <is>
          <t>didn’t setup light meter</t>
        </is>
      </nc>
      <ndxf>
        <font>
          <sz val="12"/>
          <color rgb="FF000000"/>
          <name val="Calibri"/>
          <family val="2"/>
          <scheme val="minor"/>
        </font>
      </ndxf>
    </rcc>
    <rcc rId="0" sId="1" dxf="1">
      <nc r="V204" t="inlineStr">
        <is>
          <t>NA</t>
        </is>
      </nc>
      <ndxf>
        <numFmt numFmtId="164" formatCode="[$-F400]h:mm:ss\ AM/PM"/>
      </ndxf>
    </rcc>
    <rcc rId="0" sId="1" dxf="1">
      <nc r="V205" t="inlineStr">
        <is>
          <t>didn’t setup light meter</t>
        </is>
      </nc>
      <ndxf>
        <font>
          <sz val="12"/>
          <color rgb="FF000000"/>
          <name val="Calibri"/>
          <family val="2"/>
          <scheme val="minor"/>
        </font>
      </ndxf>
    </rcc>
    <rcc rId="0" sId="1" dxf="1">
      <nc r="V206" t="inlineStr">
        <is>
          <t>didn’t setup light meter</t>
        </is>
      </nc>
      <ndxf>
        <font>
          <sz val="12"/>
          <color rgb="FF000000"/>
          <name val="Calibri"/>
          <family val="2"/>
          <scheme val="minor"/>
        </font>
      </ndxf>
    </rcc>
    <rcc rId="0" sId="1" dxf="1">
      <nc r="V207" t="inlineStr">
        <is>
          <t>didn’t setup light meter</t>
        </is>
      </nc>
      <ndxf>
        <font>
          <sz val="12"/>
          <color rgb="FF000000"/>
          <name val="Calibri"/>
          <family val="2"/>
          <scheme val="minor"/>
        </font>
      </ndxf>
    </rcc>
    <rcc rId="0" sId="1" dxf="1">
      <nc r="V208" t="inlineStr">
        <is>
          <t>didn’t setup light meter</t>
        </is>
      </nc>
      <ndxf>
        <font>
          <sz val="12"/>
          <color rgb="FF000000"/>
          <name val="Calibri"/>
          <family val="2"/>
          <scheme val="minor"/>
        </font>
      </ndxf>
    </rcc>
    <rcc rId="0" sId="1" dxf="1">
      <nc r="V209" t="inlineStr">
        <is>
          <t>didn’t setup light meter</t>
        </is>
      </nc>
      <ndxf>
        <font>
          <sz val="12"/>
          <color rgb="FF000000"/>
          <name val="Calibri"/>
          <family val="2"/>
          <scheme val="minor"/>
        </font>
      </ndxf>
    </rcc>
    <rcc rId="0" sId="1" dxf="1">
      <nc r="V210" t="inlineStr">
        <is>
          <t>didn’t setup light meter</t>
        </is>
      </nc>
      <ndxf>
        <font>
          <sz val="12"/>
          <color rgb="FF000000"/>
          <name val="Calibri"/>
          <family val="2"/>
          <scheme val="minor"/>
        </font>
      </ndxf>
    </rcc>
    <rcc rId="0" sId="1" dxf="1">
      <nc r="V211" t="inlineStr">
        <is>
          <t>didn’t setup light meter</t>
        </is>
      </nc>
      <ndxf>
        <font>
          <sz val="12"/>
          <color rgb="FF000000"/>
          <name val="Calibri"/>
          <family val="2"/>
          <scheme val="minor"/>
        </font>
      </ndxf>
    </rcc>
    <rcc rId="0" sId="1" dxf="1">
      <nc r="V212" t="inlineStr">
        <is>
          <t>didn’t setup light meter</t>
        </is>
      </nc>
      <ndxf>
        <font>
          <sz val="12"/>
          <color rgb="FF000000"/>
          <name val="Calibri"/>
          <family val="2"/>
          <scheme val="minor"/>
        </font>
      </ndxf>
    </rcc>
    <rcc rId="0" sId="1" dxf="1">
      <nc r="V213" t="inlineStr">
        <is>
          <t>didn’t setup light meter</t>
        </is>
      </nc>
      <ndxf>
        <font>
          <sz val="12"/>
          <color rgb="FF000000"/>
          <name val="Calibri"/>
          <family val="2"/>
          <scheme val="minor"/>
        </font>
      </ndxf>
    </rcc>
    <rcc rId="0" sId="1" dxf="1">
      <nc r="V214" t="inlineStr">
        <is>
          <t>didn’t setup light meter</t>
        </is>
      </nc>
      <ndxf>
        <font>
          <sz val="12"/>
          <color rgb="FF000000"/>
          <name val="Calibri"/>
          <family val="2"/>
          <scheme val="minor"/>
        </font>
      </ndxf>
    </rcc>
    <rcc rId="0" sId="1" dxf="1">
      <nc r="V215" t="inlineStr">
        <is>
          <t>didn’t setup light meter</t>
        </is>
      </nc>
      <ndxf>
        <font>
          <sz val="12"/>
          <color rgb="FF000000"/>
          <name val="Calibri"/>
          <family val="2"/>
          <scheme val="minor"/>
        </font>
      </ndxf>
    </rcc>
    <rcc rId="0" sId="1" dxf="1">
      <nc r="V216" t="inlineStr">
        <is>
          <t>didn’t setup light meter</t>
        </is>
      </nc>
      <ndxf>
        <font>
          <sz val="12"/>
          <color rgb="FF000000"/>
          <name val="Calibri"/>
          <family val="2"/>
          <scheme val="minor"/>
        </font>
      </ndxf>
    </rcc>
    <rcc rId="0" sId="1" dxf="1">
      <nc r="V217" t="inlineStr">
        <is>
          <t>didn’t setup light meter</t>
        </is>
      </nc>
      <ndxf>
        <font>
          <sz val="12"/>
          <color rgb="FF000000"/>
          <name val="Calibri"/>
          <family val="2"/>
          <scheme val="minor"/>
        </font>
      </ndxf>
    </rcc>
    <rcc rId="0" sId="1" dxf="1">
      <nc r="V218" t="inlineStr">
        <is>
          <t>didn’t setup light meter</t>
        </is>
      </nc>
      <ndxf>
        <font>
          <sz val="12"/>
          <color rgb="FF000000"/>
          <name val="Calibri"/>
          <family val="2"/>
          <scheme val="minor"/>
        </font>
      </ndxf>
    </rcc>
    <rcc rId="0" sId="1" dxf="1">
      <nc r="V219" t="inlineStr">
        <is>
          <t>didn’t setup light meter</t>
        </is>
      </nc>
      <ndxf>
        <font>
          <sz val="12"/>
          <color rgb="FF000000"/>
          <name val="Calibri"/>
          <family val="2"/>
          <scheme val="minor"/>
        </font>
      </ndxf>
    </rcc>
    <rcc rId="0" sId="1" dxf="1">
      <nc r="V220" t="inlineStr">
        <is>
          <t>didn’t setup light meter</t>
        </is>
      </nc>
      <ndxf>
        <font>
          <sz val="12"/>
          <color rgb="FF000000"/>
          <name val="Calibri"/>
          <family val="2"/>
          <scheme val="minor"/>
        </font>
      </ndxf>
    </rcc>
    <rcc rId="0" sId="1" dxf="1">
      <nc r="V221" t="inlineStr">
        <is>
          <t>didn’t setup light meter</t>
        </is>
      </nc>
      <ndxf>
        <font>
          <sz val="12"/>
          <color rgb="FF000000"/>
          <name val="Calibri"/>
          <family val="2"/>
          <scheme val="minor"/>
        </font>
      </ndxf>
    </rcc>
    <rcc rId="0" sId="1" dxf="1">
      <nc r="V222" t="inlineStr">
        <is>
          <t>didn’t setup light meter</t>
        </is>
      </nc>
      <ndxf>
        <font>
          <sz val="12"/>
          <color rgb="FF000000"/>
          <name val="Calibri"/>
          <family val="2"/>
          <scheme val="minor"/>
        </font>
      </ndxf>
    </rcc>
    <rcc rId="0" sId="1" dxf="1">
      <nc r="V223" t="inlineStr">
        <is>
          <t>didn’t setup light meter</t>
        </is>
      </nc>
      <ndxf>
        <font>
          <sz val="12"/>
          <color rgb="FF000000"/>
          <name val="Calibri"/>
          <family val="2"/>
          <scheme val="minor"/>
        </font>
      </ndxf>
    </rcc>
    <rcc rId="0" sId="1" dxf="1">
      <nc r="V224" t="inlineStr">
        <is>
          <t>didn’t setup light meter</t>
        </is>
      </nc>
      <ndxf>
        <font>
          <sz val="12"/>
          <color rgb="FF000000"/>
          <name val="Calibri"/>
          <family val="2"/>
          <scheme val="minor"/>
        </font>
      </ndxf>
    </rcc>
    <rcc rId="0" sId="1" dxf="1">
      <nc r="V225" t="inlineStr">
        <is>
          <t>didn’t setup light meter</t>
        </is>
      </nc>
      <ndxf>
        <font>
          <sz val="12"/>
          <color rgb="FF000000"/>
          <name val="Calibri"/>
          <family val="2"/>
          <scheme val="minor"/>
        </font>
      </ndxf>
    </rcc>
    <rcc rId="0" sId="1" dxf="1">
      <nc r="V226" t="inlineStr">
        <is>
          <t>NA</t>
        </is>
      </nc>
      <ndxf>
        <numFmt numFmtId="164" formatCode="[$-F400]h:mm:ss\ AM/PM"/>
      </ndxf>
    </rcc>
    <rcc rId="0" sId="1" dxf="1">
      <nc r="V227" t="inlineStr">
        <is>
          <t>didn’t setup light meter</t>
        </is>
      </nc>
      <ndxf>
        <font>
          <sz val="12"/>
          <color rgb="FF000000"/>
          <name val="Calibri"/>
          <family val="2"/>
          <scheme val="minor"/>
        </font>
      </ndxf>
    </rcc>
    <rcc rId="0" sId="1" dxf="1">
      <nc r="V228" t="inlineStr">
        <is>
          <t>didn’t setup light meter</t>
        </is>
      </nc>
      <ndxf>
        <font>
          <sz val="12"/>
          <color rgb="FF000000"/>
          <name val="Calibri"/>
          <family val="2"/>
          <scheme val="minor"/>
        </font>
      </ndxf>
    </rcc>
    <rcc rId="0" sId="1" dxf="1">
      <nc r="V229" t="inlineStr">
        <is>
          <t>didn’t setup light meter</t>
        </is>
      </nc>
      <ndxf>
        <font>
          <sz val="12"/>
          <color rgb="FF000000"/>
          <name val="Calibri"/>
          <family val="2"/>
          <scheme val="minor"/>
        </font>
      </ndxf>
    </rcc>
    <rcc rId="0" sId="1" dxf="1">
      <nc r="V230" t="inlineStr">
        <is>
          <t>didn’t setup light meter</t>
        </is>
      </nc>
      <ndxf>
        <font>
          <sz val="12"/>
          <color rgb="FF000000"/>
          <name val="Calibri"/>
          <family val="2"/>
          <scheme val="minor"/>
        </font>
      </ndxf>
    </rcc>
    <rcc rId="0" sId="1" dxf="1">
      <nc r="V231" t="inlineStr">
        <is>
          <t>didn’t setup light meter</t>
        </is>
      </nc>
      <ndxf>
        <font>
          <sz val="12"/>
          <color rgb="FF000000"/>
          <name val="Calibri"/>
          <family val="2"/>
          <scheme val="minor"/>
        </font>
      </ndxf>
    </rcc>
    <rcc rId="0" sId="1" dxf="1">
      <nc r="V232" t="inlineStr">
        <is>
          <t>didn’t setup light meter</t>
        </is>
      </nc>
      <ndxf>
        <font>
          <sz val="12"/>
          <color rgb="FF000000"/>
          <name val="Calibri"/>
          <family val="2"/>
          <scheme val="minor"/>
        </font>
      </ndxf>
    </rcc>
    <rcc rId="0" sId="1" dxf="1">
      <nc r="V233" t="inlineStr">
        <is>
          <t>didn’t setup light meter</t>
        </is>
      </nc>
      <ndxf>
        <font>
          <sz val="12"/>
          <color rgb="FF000000"/>
          <name val="Calibri"/>
          <family val="2"/>
          <scheme val="minor"/>
        </font>
      </ndxf>
    </rcc>
    <rcc rId="0" sId="1" dxf="1">
      <nc r="V234" t="inlineStr">
        <is>
          <t>didn’t setup light meter</t>
        </is>
      </nc>
      <ndxf>
        <font>
          <sz val="12"/>
          <color rgb="FF000000"/>
          <name val="Calibri"/>
          <family val="2"/>
          <scheme val="minor"/>
        </font>
      </ndxf>
    </rcc>
    <rcc rId="0" sId="1" dxf="1">
      <nc r="V235" t="inlineStr">
        <is>
          <t>didn’t setup light meter</t>
        </is>
      </nc>
      <ndxf>
        <font>
          <sz val="12"/>
          <color rgb="FF000000"/>
          <name val="Calibri"/>
          <family val="2"/>
          <scheme val="minor"/>
        </font>
      </ndxf>
    </rcc>
    <rcc rId="0" sId="1" dxf="1">
      <nc r="V236" t="inlineStr">
        <is>
          <t>didn’t setup light meter</t>
        </is>
      </nc>
      <ndxf>
        <font>
          <sz val="12"/>
          <color rgb="FF000000"/>
          <name val="Calibri"/>
          <family val="2"/>
          <scheme val="minor"/>
        </font>
      </ndxf>
    </rcc>
    <rcc rId="0" sId="1" dxf="1">
      <nc r="V237" t="inlineStr">
        <is>
          <t>didn’t setup light meter</t>
        </is>
      </nc>
      <ndxf>
        <font>
          <sz val="12"/>
          <color rgb="FF000000"/>
          <name val="Calibri"/>
          <family val="2"/>
          <scheme val="minor"/>
        </font>
      </ndxf>
    </rcc>
    <rcc rId="0" sId="1" dxf="1">
      <nc r="V238" t="inlineStr">
        <is>
          <t>didn’t setup light meter</t>
        </is>
      </nc>
      <ndxf>
        <font>
          <sz val="12"/>
          <color rgb="FF000000"/>
          <name val="Calibri"/>
          <family val="2"/>
          <scheme val="minor"/>
        </font>
      </ndxf>
    </rcc>
    <rcc rId="0" sId="1" dxf="1">
      <nc r="V239" t="inlineStr">
        <is>
          <t>didn’t setup light meter</t>
        </is>
      </nc>
      <ndxf>
        <font>
          <sz val="12"/>
          <color rgb="FF000000"/>
          <name val="Calibri"/>
          <family val="2"/>
          <scheme val="minor"/>
        </font>
      </ndxf>
    </rcc>
    <rcc rId="0" sId="1" dxf="1">
      <nc r="V240" t="inlineStr">
        <is>
          <t>didn’t setup light meter</t>
        </is>
      </nc>
      <ndxf>
        <font>
          <sz val="12"/>
          <color rgb="FF000000"/>
          <name val="Calibri"/>
          <family val="2"/>
          <scheme val="minor"/>
        </font>
      </ndxf>
    </rcc>
    <rcc rId="0" sId="1" dxf="1">
      <nc r="V241" t="inlineStr">
        <is>
          <t>didn’t setup light meter</t>
        </is>
      </nc>
      <ndxf>
        <font>
          <sz val="12"/>
          <color rgb="FF000000"/>
          <name val="Calibri"/>
          <family val="2"/>
          <scheme val="minor"/>
        </font>
      </ndxf>
    </rcc>
    <rcc rId="0" sId="1" dxf="1">
      <nc r="V242" t="inlineStr">
        <is>
          <t>didn’t setup light meter</t>
        </is>
      </nc>
      <ndxf>
        <font>
          <sz val="12"/>
          <color rgb="FF000000"/>
          <name val="Calibri"/>
          <family val="2"/>
          <scheme val="minor"/>
        </font>
      </ndxf>
    </rcc>
    <rcc rId="0" sId="1" dxf="1">
      <nc r="V243" t="inlineStr">
        <is>
          <t>didn’t setup light meter</t>
        </is>
      </nc>
      <ndxf>
        <font>
          <sz val="12"/>
          <color rgb="FF000000"/>
          <name val="Calibri"/>
          <family val="2"/>
          <scheme val="minor"/>
        </font>
      </ndxf>
    </rcc>
    <rcc rId="0" sId="1" dxf="1">
      <nc r="V244" t="inlineStr">
        <is>
          <t>didn’t setup light meter</t>
        </is>
      </nc>
      <ndxf>
        <font>
          <sz val="12"/>
          <color rgb="FF000000"/>
          <name val="Calibri"/>
          <family val="2"/>
          <scheme val="minor"/>
        </font>
      </ndxf>
    </rcc>
    <rcc rId="0" sId="1" dxf="1">
      <nc r="V245" t="inlineStr">
        <is>
          <t>didn’t setup light meter</t>
        </is>
      </nc>
      <ndxf>
        <font>
          <sz val="12"/>
          <color rgb="FF000000"/>
          <name val="Calibri"/>
          <family val="2"/>
          <scheme val="minor"/>
        </font>
      </ndxf>
    </rcc>
    <rcc rId="0" sId="1" dxf="1">
      <nc r="V246" t="inlineStr">
        <is>
          <t>didn’t setup light meter</t>
        </is>
      </nc>
      <ndxf>
        <font>
          <sz val="12"/>
          <color rgb="FF000000"/>
          <name val="Calibri"/>
          <family val="2"/>
          <scheme val="minor"/>
        </font>
      </ndxf>
    </rcc>
    <rcc rId="0" sId="1" dxf="1">
      <nc r="V247" t="inlineStr">
        <is>
          <t>didn’t setup light meter</t>
        </is>
      </nc>
      <ndxf>
        <font>
          <sz val="12"/>
          <color rgb="FF000000"/>
          <name val="Calibri"/>
          <family val="2"/>
          <scheme val="minor"/>
        </font>
      </ndxf>
    </rcc>
    <rcc rId="0" sId="1" dxf="1">
      <nc r="V248" t="inlineStr">
        <is>
          <t>didn’t setup light meter</t>
        </is>
      </nc>
      <ndxf>
        <font>
          <sz val="12"/>
          <color rgb="FF000000"/>
          <name val="Calibri"/>
          <family val="2"/>
          <scheme val="minor"/>
        </font>
      </ndxf>
    </rcc>
    <rcc rId="0" sId="1" dxf="1">
      <nc r="V249" t="inlineStr">
        <is>
          <t>didn’t setup light meter</t>
        </is>
      </nc>
      <ndxf>
        <font>
          <sz val="12"/>
          <color rgb="FF000000"/>
          <name val="Calibri"/>
          <family val="2"/>
          <scheme val="minor"/>
        </font>
      </ndxf>
    </rcc>
    <rcc rId="0" sId="1" dxf="1">
      <nc r="V250" t="inlineStr">
        <is>
          <t>didn’t setup light meter</t>
        </is>
      </nc>
      <ndxf>
        <font>
          <sz val="12"/>
          <color rgb="FF000000"/>
          <name val="Calibri"/>
          <family val="2"/>
          <scheme val="minor"/>
        </font>
      </ndxf>
    </rcc>
    <rcc rId="0" sId="1" dxf="1">
      <nc r="V251" t="inlineStr">
        <is>
          <t>didn’t setup light meter</t>
        </is>
      </nc>
      <ndxf>
        <font>
          <sz val="12"/>
          <color rgb="FF000000"/>
          <name val="Calibri"/>
          <family val="2"/>
          <scheme val="minor"/>
        </font>
      </ndxf>
    </rcc>
    <rcc rId="0" sId="1" dxf="1">
      <nc r="V252" t="inlineStr">
        <is>
          <t>didn’t setup light meter</t>
        </is>
      </nc>
      <ndxf>
        <font>
          <sz val="12"/>
          <color rgb="FF000000"/>
          <name val="Calibri"/>
          <family val="2"/>
          <scheme val="minor"/>
        </font>
      </ndxf>
    </rcc>
    <rcc rId="0" sId="1" dxf="1">
      <nc r="V253" t="inlineStr">
        <is>
          <t>didn’t setup light meter</t>
        </is>
      </nc>
      <ndxf>
        <font>
          <sz val="12"/>
          <color rgb="FF000000"/>
          <name val="Calibri"/>
          <family val="2"/>
          <scheme val="minor"/>
        </font>
      </ndxf>
    </rcc>
    <rcc rId="0" sId="1" dxf="1">
      <nc r="V254" t="inlineStr">
        <is>
          <t>didn’t setup light meter</t>
        </is>
      </nc>
      <ndxf>
        <font>
          <sz val="12"/>
          <color rgb="FF000000"/>
          <name val="Calibri"/>
          <family val="2"/>
          <scheme val="minor"/>
        </font>
      </ndxf>
    </rcc>
    <rcc rId="0" sId="1" dxf="1">
      <nc r="V255" t="inlineStr">
        <is>
          <t>didn’t setup light meter</t>
        </is>
      </nc>
      <ndxf>
        <font>
          <sz val="12"/>
          <color rgb="FF000000"/>
          <name val="Calibri"/>
          <family val="2"/>
          <scheme val="minor"/>
        </font>
      </ndxf>
    </rcc>
    <rcc rId="0" sId="1" dxf="1">
      <nc r="V256" t="inlineStr">
        <is>
          <t>didn’t setup light meter</t>
        </is>
      </nc>
      <ndxf>
        <font>
          <sz val="12"/>
          <color rgb="FF000000"/>
          <name val="Calibri"/>
          <family val="2"/>
          <scheme val="minor"/>
        </font>
      </ndxf>
    </rcc>
    <rcc rId="0" sId="1" dxf="1">
      <nc r="V257" t="inlineStr">
        <is>
          <t>didn’t setup light meter</t>
        </is>
      </nc>
      <ndxf>
        <font>
          <sz val="12"/>
          <color rgb="FF000000"/>
          <name val="Calibri"/>
          <family val="2"/>
          <scheme val="minor"/>
        </font>
      </ndxf>
    </rcc>
    <rcc rId="0" sId="1" dxf="1">
      <nc r="V258" t="inlineStr">
        <is>
          <t>didn’t setup light meter</t>
        </is>
      </nc>
      <ndxf>
        <font>
          <sz val="12"/>
          <color rgb="FF000000"/>
          <name val="Calibri"/>
          <family val="2"/>
          <scheme val="minor"/>
        </font>
      </ndxf>
    </rcc>
    <rcc rId="0" sId="1" dxf="1">
      <nc r="V259" t="inlineStr">
        <is>
          <t>didn’t setup light meter</t>
        </is>
      </nc>
      <ndxf>
        <font>
          <sz val="12"/>
          <color rgb="FF000000"/>
          <name val="Calibri"/>
          <family val="2"/>
          <scheme val="minor"/>
        </font>
      </ndxf>
    </rcc>
    <rcc rId="0" sId="1" dxf="1">
      <nc r="V260" t="inlineStr">
        <is>
          <t>didn’t setup light meter</t>
        </is>
      </nc>
      <ndxf>
        <font>
          <sz val="12"/>
          <color rgb="FF000000"/>
          <name val="Calibri"/>
          <family val="2"/>
          <scheme val="minor"/>
        </font>
      </ndxf>
    </rcc>
    <rcc rId="0" sId="1" dxf="1">
      <nc r="V261" t="inlineStr">
        <is>
          <t>didn’t setup light meter</t>
        </is>
      </nc>
      <ndxf>
        <font>
          <sz val="12"/>
          <color rgb="FF000000"/>
          <name val="Calibri"/>
          <family val="2"/>
          <scheme val="minor"/>
        </font>
      </ndxf>
    </rcc>
    <rcc rId="0" sId="1" dxf="1">
      <nc r="V262" t="inlineStr">
        <is>
          <t>didn’t setup light meter</t>
        </is>
      </nc>
      <ndxf>
        <font>
          <sz val="12"/>
          <color rgb="FF000000"/>
          <name val="Calibri"/>
          <family val="2"/>
          <scheme val="minor"/>
        </font>
      </ndxf>
    </rcc>
    <rcc rId="0" sId="1" dxf="1">
      <nc r="V263" t="inlineStr">
        <is>
          <t>didn’t setup light meter</t>
        </is>
      </nc>
      <ndxf>
        <font>
          <sz val="12"/>
          <color rgb="FF000000"/>
          <name val="Calibri"/>
          <family val="2"/>
          <scheme val="minor"/>
        </font>
      </ndxf>
    </rcc>
    <rcc rId="0" sId="1" dxf="1">
      <nc r="V264" t="inlineStr">
        <is>
          <t>didn’t setup light meter</t>
        </is>
      </nc>
      <ndxf>
        <font>
          <sz val="12"/>
          <color rgb="FF000000"/>
          <name val="Calibri"/>
          <family val="2"/>
          <scheme val="minor"/>
        </font>
      </ndxf>
    </rcc>
    <rcc rId="0" sId="1" dxf="1">
      <nc r="V265" t="inlineStr">
        <is>
          <t>didn’t setup light meter</t>
        </is>
      </nc>
      <ndxf>
        <font>
          <sz val="12"/>
          <color rgb="FF000000"/>
          <name val="Calibri"/>
          <family val="2"/>
          <scheme val="minor"/>
        </font>
      </ndxf>
    </rcc>
    <rcc rId="0" sId="1" dxf="1">
      <nc r="V266" t="inlineStr">
        <is>
          <t>didn’t setup light meter</t>
        </is>
      </nc>
      <ndxf>
        <font>
          <sz val="12"/>
          <color rgb="FF000000"/>
          <name val="Calibri"/>
          <family val="2"/>
          <scheme val="minor"/>
        </font>
      </ndxf>
    </rcc>
    <rcc rId="0" sId="1" dxf="1">
      <nc r="V267" t="inlineStr">
        <is>
          <t>didn’t setup light meter</t>
        </is>
      </nc>
      <ndxf>
        <font>
          <sz val="12"/>
          <color rgb="FF000000"/>
          <name val="Calibri"/>
          <family val="2"/>
          <scheme val="minor"/>
        </font>
      </ndxf>
    </rcc>
    <rcc rId="0" sId="1" dxf="1">
      <nc r="V268" t="inlineStr">
        <is>
          <t>didn’t setup light meter</t>
        </is>
      </nc>
      <ndxf>
        <font>
          <sz val="12"/>
          <color rgb="FF000000"/>
          <name val="Calibri"/>
          <family val="2"/>
          <scheme val="minor"/>
        </font>
      </ndxf>
    </rcc>
    <rcc rId="0" sId="1" dxf="1">
      <nc r="V269" t="inlineStr">
        <is>
          <t>didn’t setup light meter</t>
        </is>
      </nc>
      <ndxf>
        <font>
          <sz val="12"/>
          <color rgb="FF000000"/>
          <name val="Calibri"/>
          <family val="2"/>
          <scheme val="minor"/>
        </font>
      </ndxf>
    </rcc>
    <rcc rId="0" sId="1" dxf="1">
      <nc r="V270" t="inlineStr">
        <is>
          <t>didn’t setup light meter</t>
        </is>
      </nc>
      <ndxf>
        <font>
          <sz val="12"/>
          <color rgb="FF000000"/>
          <name val="Calibri"/>
          <family val="2"/>
          <scheme val="minor"/>
        </font>
      </ndxf>
    </rcc>
    <rcc rId="0" sId="1" dxf="1">
      <nc r="V271" t="inlineStr">
        <is>
          <t>didn’t setup light meter</t>
        </is>
      </nc>
      <ndxf>
        <font>
          <sz val="12"/>
          <color rgb="FF000000"/>
          <name val="Calibri"/>
          <family val="2"/>
          <scheme val="minor"/>
        </font>
      </ndxf>
    </rcc>
    <rcc rId="0" sId="1" dxf="1">
      <nc r="V272" t="inlineStr">
        <is>
          <t>didn’t setup light meter</t>
        </is>
      </nc>
      <ndxf>
        <font>
          <sz val="12"/>
          <color rgb="FF000000"/>
          <name val="Calibri"/>
          <family val="2"/>
          <scheme val="minor"/>
        </font>
      </ndxf>
    </rcc>
    <rcc rId="0" sId="1" dxf="1">
      <nc r="V273" t="inlineStr">
        <is>
          <t>didn’t setup light meter</t>
        </is>
      </nc>
      <ndxf>
        <font>
          <sz val="12"/>
          <color rgb="FF000000"/>
          <name val="Calibri"/>
          <family val="2"/>
          <scheme val="minor"/>
        </font>
      </ndxf>
    </rcc>
    <rcc rId="0" sId="1" dxf="1">
      <nc r="V274" t="inlineStr">
        <is>
          <t>didn’t setup light meter</t>
        </is>
      </nc>
      <ndxf>
        <font>
          <sz val="12"/>
          <color rgb="FF000000"/>
          <name val="Calibri"/>
          <family val="2"/>
          <scheme val="minor"/>
        </font>
      </ndxf>
    </rcc>
    <rcc rId="0" sId="1" dxf="1">
      <nc r="V275" t="inlineStr">
        <is>
          <t>didn’t setup light meter</t>
        </is>
      </nc>
      <ndxf>
        <font>
          <sz val="12"/>
          <color rgb="FF000000"/>
          <name val="Calibri"/>
          <family val="2"/>
          <scheme val="minor"/>
        </font>
      </ndxf>
    </rcc>
  </rrc>
  <rrc rId="1334" sId="1" ref="V1:V1048576" action="deleteCol">
    <rfmt sheetId="1" xfDxf="1" sqref="V1:V1048576" start="0" length="0">
      <dxf>
        <alignment horizontal="left"/>
      </dxf>
    </rfmt>
    <rcc rId="0" sId="1" dxf="1">
      <nc r="V1" t="inlineStr">
        <is>
          <t>light_level_proxy</t>
        </is>
      </nc>
      <ndxf>
        <numFmt numFmtId="2" formatCode="0.00"/>
      </ndxf>
    </rcc>
    <rcc rId="0" sId="1">
      <nc r="V44">
        <v>8.5</v>
      </nc>
    </rcc>
    <rcc rId="0" sId="1" dxf="1">
      <nc r="V53">
        <v>5.0600000000000005E-4</v>
      </nc>
      <ndxf>
        <font>
          <sz val="12"/>
          <color rgb="FFFF0000"/>
          <name val="Calibri"/>
          <family val="2"/>
          <scheme val="minor"/>
        </font>
      </ndxf>
    </rcc>
    <rcc rId="0" sId="1">
      <nc r="V59">
        <v>9.7699999999999992E-3</v>
      </nc>
    </rcc>
    <rcc rId="0" sId="1">
      <nc r="V67">
        <v>0.54600000000000004</v>
      </nc>
    </rcc>
    <rcc rId="0" sId="1" dxf="1">
      <nc r="V85">
        <v>1.2869999999999999E-2</v>
      </nc>
      <ndxf>
        <font>
          <sz val="12"/>
          <color rgb="FFFF0000"/>
          <name val="Calibri"/>
          <family val="2"/>
          <scheme val="minor"/>
        </font>
      </ndxf>
    </rcc>
    <rcc rId="0" sId="1" dxf="1">
      <nc r="V86">
        <v>0.14929999999999999</v>
      </nc>
      <ndxf>
        <font>
          <sz val="12"/>
          <color rgb="FFFF0000"/>
          <name val="Calibri"/>
          <family val="2"/>
          <scheme val="minor"/>
        </font>
      </ndxf>
    </rcc>
    <rcc rId="0" sId="1" dxf="1">
      <nc r="V88">
        <v>6.5199999999999998E-3</v>
      </nc>
      <ndxf>
        <font>
          <sz val="12"/>
          <color rgb="FFFF0000"/>
          <name val="Calibri"/>
          <family val="2"/>
          <scheme val="minor"/>
        </font>
      </ndxf>
    </rcc>
    <rcc rId="0" sId="1" dxf="1">
      <nc r="V92">
        <f>(#REF! * ( 1.004*10^-6)) / (1.081*10^-5)</f>
      </nc>
      <ndxf>
        <font>
          <sz val="12"/>
          <color rgb="FFFF0000"/>
          <name val="Calibri"/>
          <family val="2"/>
          <scheme val="minor"/>
        </font>
      </ndxf>
    </rcc>
    <rcc rId="0" sId="1" dxf="1">
      <nc r="V93">
        <f>(#REF! * ( 1.004*10^-6)) / (1.081*10^-5)</f>
      </nc>
      <ndxf>
        <font>
          <sz val="12"/>
          <color rgb="FFFF0000"/>
          <name val="Calibri"/>
          <family val="2"/>
          <scheme val="minor"/>
        </font>
      </ndxf>
    </rcc>
    <rcc rId="0" sId="1">
      <nc r="V95">
        <f>(0.00477* (1.004*10^-6)) / (1.081*10^-5)</f>
      </nc>
    </rcc>
    <rcc rId="0" sId="1" dxf="1">
      <nc r="V97">
        <f>(#REF! * ( 1.004*10^-6)) / (1.081*10^-5)</f>
      </nc>
      <ndxf>
        <font>
          <sz val="12"/>
          <color rgb="FFFF0000"/>
          <name val="Calibri"/>
          <family val="2"/>
          <scheme val="minor"/>
        </font>
      </ndxf>
    </rcc>
    <rcc rId="0" sId="1" dxf="1">
      <nc r="V104">
        <f>(#REF! * ( 1.004*10^-6)) / (1.081*10^-5)</f>
      </nc>
      <ndxf>
        <font>
          <sz val="12"/>
          <color rgb="FFFF0000"/>
          <name val="Calibri"/>
          <family val="2"/>
          <scheme val="minor"/>
        </font>
      </ndxf>
    </rcc>
    <rcc rId="0" sId="1">
      <nc r="V108" t="inlineStr">
        <is>
          <t>NA</t>
        </is>
      </nc>
    </rcc>
    <rcc rId="0" sId="1">
      <nc r="V116" t="inlineStr">
        <is>
          <t>NA</t>
        </is>
      </nc>
    </rcc>
    <rcc rId="0" sId="1">
      <nc r="V127" t="inlineStr">
        <is>
          <t>NA</t>
        </is>
      </nc>
    </rcc>
    <rcc rId="0" sId="1">
      <nc r="V128" t="inlineStr">
        <is>
          <t>NA</t>
        </is>
      </nc>
    </rcc>
    <rcc rId="0" sId="1">
      <nc r="V129" t="inlineStr">
        <is>
          <t>NA</t>
        </is>
      </nc>
    </rcc>
    <rcc rId="0" sId="1">
      <nc r="V130" t="inlineStr">
        <is>
          <t>NA</t>
        </is>
      </nc>
    </rcc>
    <rcc rId="0" sId="1">
      <nc r="V131" t="inlineStr">
        <is>
          <t>NA</t>
        </is>
      </nc>
    </rcc>
    <rcc rId="0" sId="1">
      <nc r="V132" t="inlineStr">
        <is>
          <t>NA</t>
        </is>
      </nc>
    </rcc>
    <rcc rId="0" sId="1">
      <nc r="V133" t="inlineStr">
        <is>
          <t>NA</t>
        </is>
      </nc>
    </rcc>
    <rcc rId="0" sId="1">
      <nc r="V134" t="inlineStr">
        <is>
          <t>NA</t>
        </is>
      </nc>
    </rcc>
    <rcc rId="0" sId="1">
      <nc r="V136" t="inlineStr">
        <is>
          <t>NA</t>
        </is>
      </nc>
    </rcc>
  </rrc>
  <rrc rId="1335" sId="1" ref="V1:V1048576" action="deleteCol">
    <rfmt sheetId="1" xfDxf="1" sqref="V1:V1048576" start="0" length="0">
      <dxf>
        <alignment horizontal="left"/>
      </dxf>
    </rfmt>
    <rcc rId="0" sId="1" dxf="1">
      <nc r="V1" t="inlineStr">
        <is>
          <t>proxy_method</t>
        </is>
      </nc>
      <ndxf>
        <numFmt numFmtId="2" formatCode="0.00"/>
      </ndxf>
    </rcc>
    <rcc rId="0" sId="1" dxf="1">
      <nc r="V53" t="inlineStr">
        <is>
          <t>same time previous morning</t>
        </is>
      </nc>
      <ndxf>
        <font>
          <sz val="12"/>
          <color rgb="FFFF0000"/>
          <name val="Calibri"/>
          <family val="2"/>
          <scheme val="minor"/>
        </font>
      </ndxf>
    </rcc>
    <rcc rId="0" sId="1" dxf="1">
      <nc r="V59" t="inlineStr">
        <is>
          <t>I think this taken from a previous / following morning</t>
        </is>
      </nc>
      <ndxf>
        <font>
          <sz val="12"/>
          <color rgb="FFFF0000"/>
          <name val="Calibri"/>
          <family val="2"/>
          <scheme val="minor"/>
        </font>
      </ndxf>
    </rcc>
    <rcc rId="0" sId="1" dxf="1">
      <nc r="V85" t="inlineStr">
        <is>
          <t>same time two mornings ago</t>
        </is>
      </nc>
      <ndxf>
        <font>
          <sz val="12"/>
          <color rgb="FFFF0000"/>
          <name val="Calibri"/>
          <family val="2"/>
          <scheme val="minor"/>
        </font>
      </ndxf>
    </rcc>
    <rcc rId="0" sId="1" dxf="1">
      <nc r="V86" t="inlineStr">
        <is>
          <t>same time previous morning</t>
        </is>
      </nc>
      <ndxf>
        <font>
          <sz val="12"/>
          <color rgb="FFFF0000"/>
          <name val="Calibri"/>
          <family val="2"/>
          <scheme val="minor"/>
        </font>
      </ndxf>
    </rcc>
    <rcc rId="0" sId="1" dxf="1">
      <nc r="V88" t="inlineStr">
        <is>
          <t>same time following evening</t>
        </is>
      </nc>
      <ndxf>
        <font>
          <sz val="12"/>
          <color rgb="FFFF0000"/>
          <name val="Calibri"/>
          <family val="2"/>
          <scheme val="minor"/>
        </font>
      </ndxf>
    </rcc>
    <rcc rId="0" sId="1" dxf="1" quotePrefix="1">
      <nc r="V92" t="inlineStr">
        <is>
          <t>factor converted</t>
        </is>
      </nc>
      <ndxf>
        <font>
          <sz val="12"/>
          <color rgb="FFFF0000"/>
          <name val="Calibri"/>
          <family val="2"/>
          <scheme val="minor"/>
        </font>
      </ndxf>
    </rcc>
    <rcc rId="0" sId="1" dxf="1" quotePrefix="1">
      <nc r="V93" t="inlineStr">
        <is>
          <t>factor converted</t>
        </is>
      </nc>
      <ndxf>
        <font>
          <sz val="12"/>
          <color rgb="FFFF0000"/>
          <name val="Calibri"/>
          <family val="2"/>
          <scheme val="minor"/>
        </font>
      </ndxf>
    </rcc>
    <rcc rId="0" sId="1" dxf="1">
      <nc r="V95" t="inlineStr">
        <is>
          <t>same time previous evening and factor converted</t>
        </is>
      </nc>
      <ndxf>
        <font>
          <sz val="12"/>
          <color rgb="FFFF0000"/>
          <name val="Calibri"/>
          <family val="2"/>
          <scheme val="minor"/>
        </font>
      </ndxf>
    </rcc>
    <rcc rId="0" sId="1" dxf="1" quotePrefix="1">
      <nc r="V97" t="inlineStr">
        <is>
          <t>factor converted</t>
        </is>
      </nc>
      <ndxf>
        <font>
          <sz val="12"/>
          <color rgb="FFFF0000"/>
          <name val="Calibri"/>
          <family val="2"/>
          <scheme val="minor"/>
        </font>
      </ndxf>
    </rcc>
    <rcc rId="0" sId="1" dxf="1" quotePrefix="1">
      <nc r="V104" t="inlineStr">
        <is>
          <t>factor converted</t>
        </is>
      </nc>
      <ndxf>
        <font>
          <sz val="12"/>
          <color rgb="FFFF0000"/>
          <name val="Calibri"/>
          <family val="2"/>
          <scheme val="minor"/>
        </font>
      </ndxf>
    </rcc>
    <rcc rId="0" sId="1">
      <nc r="V108" t="inlineStr">
        <is>
          <t>NA</t>
        </is>
      </nc>
    </rcc>
    <rcc rId="0" sId="1">
      <nc r="V116" t="inlineStr">
        <is>
          <t>NA</t>
        </is>
      </nc>
    </rcc>
    <rcc rId="0" sId="1">
      <nc r="V127" t="inlineStr">
        <is>
          <t>NA</t>
        </is>
      </nc>
    </rcc>
    <rcc rId="0" sId="1">
      <nc r="V128" t="inlineStr">
        <is>
          <t>NA</t>
        </is>
      </nc>
    </rcc>
    <rcc rId="0" sId="1">
      <nc r="V129" t="inlineStr">
        <is>
          <t>NA</t>
        </is>
      </nc>
    </rcc>
    <rcc rId="0" sId="1">
      <nc r="V130" t="inlineStr">
        <is>
          <t>NA</t>
        </is>
      </nc>
    </rcc>
    <rcc rId="0" sId="1">
      <nc r="V131" t="inlineStr">
        <is>
          <t>NA</t>
        </is>
      </nc>
    </rcc>
    <rcc rId="0" sId="1">
      <nc r="V132" t="inlineStr">
        <is>
          <t>NA</t>
        </is>
      </nc>
    </rcc>
    <rcc rId="0" sId="1">
      <nc r="V133" t="inlineStr">
        <is>
          <t>NA</t>
        </is>
      </nc>
    </rcc>
    <rcc rId="0" sId="1">
      <nc r="V134" t="inlineStr">
        <is>
          <t>NA</t>
        </is>
      </nc>
    </rcc>
    <rcc rId="0" sId="1">
      <nc r="V136" t="inlineStr">
        <is>
          <t>NA</t>
        </is>
      </nc>
    </rcc>
  </rrc>
  <rcc rId="1336" sId="1">
    <oc r="P32">
      <v>0.05</v>
    </oc>
    <nc r="P32">
      <v>115.17</v>
    </nc>
  </rcc>
  <rcc rId="1337" sId="1">
    <oc r="P43">
      <v>0.05</v>
    </oc>
    <nc r="P43">
      <v>115.17</v>
    </nc>
  </rcc>
  <rcc rId="1338" sId="1">
    <oc r="P44">
      <v>0.05</v>
    </oc>
    <nc r="P44">
      <v>115.17</v>
    </nc>
  </rcc>
  <rcc rId="1339" sId="1">
    <oc r="P45">
      <v>0.05</v>
    </oc>
    <nc r="P45">
      <v>115.17</v>
    </nc>
  </rcc>
  <rcc rId="1340" sId="1">
    <oc r="P46">
      <v>0.05</v>
    </oc>
    <nc r="P46">
      <v>115.17</v>
    </nc>
  </rcc>
  <rcc rId="1341" sId="1">
    <oc r="P47">
      <v>0.05</v>
    </oc>
    <nc r="P47">
      <v>115.17</v>
    </nc>
  </rcc>
  <rcc rId="1342" sId="1">
    <oc r="P48">
      <v>0.05</v>
    </oc>
    <nc r="P48">
      <v>115.17</v>
    </nc>
  </rcc>
  <rcc rId="1343" sId="1">
    <oc r="P49">
      <v>0.05</v>
    </oc>
    <nc r="P49">
      <v>115.17</v>
    </nc>
  </rcc>
  <rcc rId="1344" sId="1">
    <oc r="P50">
      <v>0.05</v>
    </oc>
    <nc r="P50">
      <v>115.17</v>
    </nc>
  </rcc>
  <rcc rId="1345" sId="1">
    <oc r="P51">
      <v>0.05</v>
    </oc>
    <nc r="P51">
      <v>115.17</v>
    </nc>
  </rcc>
  <rcc rId="1346" sId="1">
    <oc r="P52">
      <v>0.05</v>
    </oc>
    <nc r="P52">
      <v>115.17</v>
    </nc>
  </rcc>
  <rcc rId="1347" sId="1">
    <oc r="P53">
      <v>0.05</v>
    </oc>
    <nc r="P53">
      <v>115.17</v>
    </nc>
  </rcc>
  <rcc rId="1348" sId="1">
    <oc r="P54">
      <v>0.05</v>
    </oc>
    <nc r="P54">
      <v>115.17</v>
    </nc>
  </rcc>
  <rcc rId="1349" sId="1">
    <oc r="P55">
      <v>0.05</v>
    </oc>
    <nc r="P55">
      <v>115.17</v>
    </nc>
  </rcc>
  <rcc rId="1350" sId="1">
    <oc r="P56">
      <v>0.05</v>
    </oc>
    <nc r="P56">
      <v>115.17</v>
    </nc>
  </rcc>
  <rcc rId="1351" sId="1">
    <oc r="P57">
      <v>0.05</v>
    </oc>
    <nc r="P57">
      <v>115.17</v>
    </nc>
  </rcc>
  <rcc rId="1352" sId="1">
    <oc r="P58">
      <v>0.05</v>
    </oc>
    <nc r="P58">
      <v>115.17</v>
    </nc>
  </rcc>
  <rcc rId="1353" sId="1">
    <oc r="P59">
      <v>0.05</v>
    </oc>
    <nc r="P59">
      <v>115.17</v>
    </nc>
  </rcc>
  <rcc rId="1354" sId="1">
    <oc r="P60">
      <v>0.05</v>
    </oc>
    <nc r="P60">
      <v>115.17</v>
    </nc>
  </rcc>
  <rcc rId="1355" sId="1">
    <oc r="P61">
      <v>0.05</v>
    </oc>
    <nc r="P61">
      <v>115.17</v>
    </nc>
  </rcc>
  <rcc rId="1356" sId="1">
    <oc r="P62">
      <v>0.05</v>
    </oc>
    <nc r="P62">
      <v>115.17</v>
    </nc>
  </rcc>
  <rcc rId="1357" sId="1">
    <oc r="P63">
      <v>0.05</v>
    </oc>
    <nc r="P63">
      <v>115.17</v>
    </nc>
  </rcc>
  <rcc rId="1358" sId="1">
    <oc r="P67">
      <v>0.05</v>
    </oc>
    <nc r="P67">
      <v>115.17</v>
    </nc>
  </rcc>
  <rcc rId="1359" sId="1">
    <oc r="P68">
      <v>0.05</v>
    </oc>
    <nc r="P68">
      <v>115.17</v>
    </nc>
  </rcc>
  <rcc rId="1360" sId="1">
    <oc r="P69">
      <v>0.05</v>
    </oc>
    <nc r="P69">
      <v>115.17</v>
    </nc>
  </rcc>
  <rcc rId="1361" sId="1">
    <oc r="P70">
      <v>0.05</v>
    </oc>
    <nc r="P70">
      <v>115.17</v>
    </nc>
  </rcc>
  <rcc rId="1362" sId="1">
    <oc r="P71">
      <v>0.05</v>
    </oc>
    <nc r="P71">
      <v>115.17</v>
    </nc>
  </rcc>
  <rcc rId="1363" sId="1">
    <oc r="P73">
      <v>0.05</v>
    </oc>
    <nc r="P73">
      <v>115.17</v>
    </nc>
  </rcc>
  <rcc rId="1364" sId="1">
    <oc r="P74">
      <v>0.05</v>
    </oc>
    <nc r="P74">
      <v>115.17</v>
    </nc>
  </rcc>
  <rcc rId="1365" sId="1">
    <oc r="P75">
      <v>0.05</v>
    </oc>
    <nc r="P75">
      <v>115.17</v>
    </nc>
  </rcc>
  <rcc rId="1366" sId="1">
    <oc r="P76">
      <v>0.05</v>
    </oc>
    <nc r="P76">
      <v>115.17</v>
    </nc>
  </rcc>
  <rcc rId="1367" sId="1">
    <oc r="P77">
      <v>0.05</v>
    </oc>
    <nc r="P77">
      <v>115.17</v>
    </nc>
  </rcc>
  <rcc rId="1368" sId="1">
    <oc r="P78">
      <v>0.05</v>
    </oc>
    <nc r="P78">
      <v>115.17</v>
    </nc>
  </rcc>
  <rcc rId="1369" sId="1">
    <oc r="P79">
      <v>0.05</v>
    </oc>
    <nc r="P79">
      <v>115.17</v>
    </nc>
  </rcc>
  <rcc rId="1370" sId="1">
    <oc r="P80">
      <v>0.05</v>
    </oc>
    <nc r="P80">
      <v>115.17</v>
    </nc>
  </rcc>
  <rcc rId="1371" sId="1">
    <oc r="P81">
      <v>0.05</v>
    </oc>
    <nc r="P81">
      <v>115.17</v>
    </nc>
  </rcc>
  <rcc rId="1372" sId="1">
    <oc r="P83">
      <v>0.05</v>
    </oc>
    <nc r="P83">
      <v>115.17</v>
    </nc>
  </rcc>
  <rcc rId="1373" sId="1">
    <oc r="P84">
      <v>0.05</v>
    </oc>
    <nc r="P84">
      <v>115.17</v>
    </nc>
  </rcc>
  <rcc rId="1374" sId="1">
    <oc r="P85">
      <v>0.05</v>
    </oc>
    <nc r="P85">
      <v>115.17</v>
    </nc>
  </rcc>
  <rcc rId="1375" sId="1">
    <oc r="P86">
      <v>0.05</v>
    </oc>
    <nc r="P86">
      <v>115.17</v>
    </nc>
  </rcc>
  <rcc rId="1376" sId="1">
    <oc r="P87">
      <v>0.05</v>
    </oc>
    <nc r="P87">
      <v>115.17</v>
    </nc>
  </rcc>
  <rcc rId="1377" sId="1">
    <oc r="P88">
      <v>0.05</v>
    </oc>
    <nc r="P88">
      <v>115.17</v>
    </nc>
  </rcc>
  <rcc rId="1378" sId="1">
    <oc r="P89">
      <v>0.05</v>
    </oc>
    <nc r="P89">
      <v>115.17</v>
    </nc>
  </rcc>
  <rcc rId="1379" sId="1">
    <oc r="P90">
      <v>0.05</v>
    </oc>
    <nc r="P90">
      <v>115.17</v>
    </nc>
  </rcc>
  <rcc rId="1380" sId="1">
    <oc r="P91">
      <v>0.05</v>
    </oc>
    <nc r="P91">
      <v>115.17</v>
    </nc>
  </rcc>
  <rcc rId="1381" sId="1">
    <oc r="P92">
      <v>0.05</v>
    </oc>
    <nc r="P92">
      <v>115.17</v>
    </nc>
  </rcc>
  <rcc rId="1382" sId="1">
    <oc r="P93">
      <v>0.05</v>
    </oc>
    <nc r="P93">
      <v>115.17</v>
    </nc>
  </rcc>
  <rcc rId="1383" sId="1">
    <oc r="P94">
      <v>0.05</v>
    </oc>
    <nc r="P94">
      <v>115.17</v>
    </nc>
  </rcc>
  <rcc rId="1384" sId="1" numFmtId="4">
    <oc r="P95">
      <v>0.05</v>
    </oc>
    <nc r="P95">
      <v>115.17</v>
    </nc>
  </rcc>
  <rcc rId="1385" sId="1">
    <oc r="P96">
      <v>0.05</v>
    </oc>
    <nc r="P96">
      <v>115.17</v>
    </nc>
  </rcc>
  <rcc rId="1386" sId="1" numFmtId="4">
    <oc r="P97">
      <v>0.05</v>
    </oc>
    <nc r="P97">
      <v>115.17</v>
    </nc>
  </rcc>
  <rcc rId="1387" sId="1">
    <oc r="P102">
      <v>0.05</v>
    </oc>
    <nc r="P102">
      <v>115.17</v>
    </nc>
  </rcc>
  <rcc rId="1388" sId="1">
    <oc r="P104">
      <v>0.05</v>
    </oc>
    <nc r="P104">
      <v>115.17</v>
    </nc>
  </rcc>
  <rcc rId="1389" sId="1">
    <oc r="P106">
      <v>0.05</v>
    </oc>
    <nc r="P106">
      <v>115.17</v>
    </nc>
  </rcc>
  <rcc rId="1390" sId="1">
    <oc r="P107">
      <v>0.05</v>
    </oc>
    <nc r="P107">
      <v>115.17</v>
    </nc>
  </rcc>
  <rcc rId="1391" sId="1">
    <oc r="P109">
      <v>0.05</v>
    </oc>
    <nc r="P109">
      <v>115.17</v>
    </nc>
  </rcc>
  <rcc rId="1392" sId="1">
    <oc r="P110">
      <v>0.05</v>
    </oc>
    <nc r="P110">
      <v>115.17</v>
    </nc>
  </rcc>
  <rcc rId="1393" sId="1">
    <oc r="P111">
      <v>0.05</v>
    </oc>
    <nc r="P111">
      <v>115.17</v>
    </nc>
  </rcc>
  <rcc rId="1394" sId="1">
    <oc r="P112">
      <v>0.05</v>
    </oc>
    <nc r="P112">
      <v>115.17</v>
    </nc>
  </rcc>
  <rcc rId="1395" sId="1">
    <oc r="P113">
      <v>0.05</v>
    </oc>
    <nc r="P113">
      <v>115.17</v>
    </nc>
  </rcc>
  <rcc rId="1396" sId="1" numFmtId="4">
    <oc r="P114">
      <v>0.05</v>
    </oc>
    <nc r="P114">
      <v>115.17</v>
    </nc>
  </rcc>
  <rcc rId="1397" sId="1" numFmtId="4">
    <oc r="P139">
      <v>0.05</v>
    </oc>
    <nc r="P139">
      <v>115.17</v>
    </nc>
  </rcc>
  <rcc rId="1398" sId="1" numFmtId="4">
    <oc r="P140">
      <v>0.05</v>
    </oc>
    <nc r="P140">
      <v>115.17</v>
    </nc>
  </rcc>
  <rcc rId="1399" sId="1" numFmtId="4">
    <oc r="P141">
      <v>0.05</v>
    </oc>
    <nc r="P141">
      <v>115.17</v>
    </nc>
  </rcc>
  <rcc rId="1400" sId="1" numFmtId="4">
    <oc r="P142">
      <v>0.05</v>
    </oc>
    <nc r="P142">
      <v>115.17</v>
    </nc>
  </rcc>
  <rcc rId="1401" sId="1" numFmtId="4">
    <oc r="P143">
      <v>0.05</v>
    </oc>
    <nc r="P143">
      <v>115.17</v>
    </nc>
  </rcc>
  <rcc rId="1402" sId="1" numFmtId="4">
    <oc r="P144">
      <v>0.05</v>
    </oc>
    <nc r="P144">
      <v>115.17</v>
    </nc>
  </rcc>
  <rcc rId="1403" sId="1" numFmtId="4">
    <oc r="P145">
      <v>0.05</v>
    </oc>
    <nc r="P145">
      <v>115.17</v>
    </nc>
  </rcc>
  <rcc rId="1404" sId="1" numFmtId="4">
    <oc r="P146">
      <v>0.05</v>
    </oc>
    <nc r="P146">
      <v>115.17</v>
    </nc>
  </rcc>
  <rcc rId="1405" sId="1" numFmtId="4">
    <oc r="P147">
      <v>0.05</v>
    </oc>
    <nc r="P147">
      <v>115.17</v>
    </nc>
  </rcc>
  <rcc rId="1406" sId="1" numFmtId="4">
    <oc r="P148">
      <v>0.05</v>
    </oc>
    <nc r="P148">
      <v>115.17</v>
    </nc>
  </rcc>
  <rcc rId="1407" sId="1" numFmtId="4">
    <oc r="P149">
      <v>0.05</v>
    </oc>
    <nc r="P149">
      <v>115.17</v>
    </nc>
  </rcc>
  <rcc rId="1408" sId="1" numFmtId="4">
    <oc r="P150">
      <v>0.05</v>
    </oc>
    <nc r="P150">
      <v>115.17</v>
    </nc>
  </rcc>
  <rcc rId="1409" sId="1" numFmtId="4">
    <oc r="P151">
      <v>0.05</v>
    </oc>
    <nc r="P151">
      <v>115.17</v>
    </nc>
  </rcc>
  <rcc rId="1410" sId="1" numFmtId="4">
    <oc r="P152">
      <v>0.05</v>
    </oc>
    <nc r="P152">
      <v>115.17</v>
    </nc>
  </rcc>
  <rcc rId="1411" sId="1" numFmtId="4">
    <oc r="P153">
      <v>0.05</v>
    </oc>
    <nc r="P153">
      <v>115.17</v>
    </nc>
  </rcc>
  <rcc rId="1412" sId="1" numFmtId="4">
    <oc r="P154">
      <v>0.05</v>
    </oc>
    <nc r="P154">
      <v>115.17</v>
    </nc>
  </rcc>
  <rcc rId="1413" sId="1" numFmtId="4">
    <oc r="P155">
      <v>0.05</v>
    </oc>
    <nc r="P155">
      <v>115.17</v>
    </nc>
  </rcc>
  <rcc rId="1414" sId="1" numFmtId="4">
    <oc r="P156">
      <v>0.05</v>
    </oc>
    <nc r="P156">
      <v>115.17</v>
    </nc>
  </rcc>
  <rcc rId="1415" sId="1" numFmtId="4">
    <oc r="P157">
      <v>0.05</v>
    </oc>
    <nc r="P157">
      <v>115.17</v>
    </nc>
  </rcc>
  <rcc rId="1416" sId="1" numFmtId="4">
    <oc r="P158">
      <v>0.05</v>
    </oc>
    <nc r="P158">
      <v>115.17</v>
    </nc>
  </rcc>
  <rcc rId="1417" sId="1" numFmtId="4">
    <oc r="P159">
      <v>0.05</v>
    </oc>
    <nc r="P159">
      <v>115.17</v>
    </nc>
  </rcc>
  <rcc rId="1418" sId="1" numFmtId="4">
    <oc r="P160">
      <v>0.05</v>
    </oc>
    <nc r="P160">
      <v>115.17</v>
    </nc>
  </rcc>
  <rcc rId="1419" sId="1" numFmtId="4">
    <oc r="P161">
      <v>0.05</v>
    </oc>
    <nc r="P161">
      <v>115.17</v>
    </nc>
  </rcc>
  <rcc rId="1420" sId="1" numFmtId="4">
    <oc r="P162">
      <v>0.05</v>
    </oc>
    <nc r="P162">
      <v>115.17</v>
    </nc>
  </rcc>
  <rcc rId="1421" sId="1" numFmtId="4">
    <oc r="P163">
      <v>0.05</v>
    </oc>
    <nc r="P163">
      <v>115.17</v>
    </nc>
  </rcc>
  <rcc rId="1422" sId="1" numFmtId="4">
    <oc r="P164">
      <v>0.05</v>
    </oc>
    <nc r="P164">
      <v>115.17</v>
    </nc>
  </rcc>
  <rcc rId="1423" sId="1" numFmtId="4">
    <oc r="P165">
      <v>0.05</v>
    </oc>
    <nc r="P165">
      <v>115.17</v>
    </nc>
  </rcc>
  <rcc rId="1424" sId="1" numFmtId="4">
    <oc r="P166">
      <v>0.05</v>
    </oc>
    <nc r="P166">
      <v>115.17</v>
    </nc>
  </rcc>
  <rcc rId="1425" sId="1" numFmtId="4">
    <oc r="P167">
      <v>0.05</v>
    </oc>
    <nc r="P167">
      <v>115.17</v>
    </nc>
  </rcc>
  <rcc rId="1426" sId="1" numFmtId="4">
    <oc r="P309">
      <v>0.05</v>
    </oc>
    <nc r="P309">
      <v>115.17</v>
    </nc>
  </rcc>
  <rcc rId="1427" sId="1" numFmtId="4">
    <oc r="P310">
      <v>0.05</v>
    </oc>
    <nc r="P310">
      <v>115.17</v>
    </nc>
  </rcc>
  <rcc rId="1428" sId="1" numFmtId="4">
    <oc r="P311">
      <v>0.05</v>
    </oc>
    <nc r="P311">
      <v>115.17</v>
    </nc>
  </rcc>
  <rcc rId="1429" sId="1" numFmtId="4">
    <oc r="P312">
      <v>0.05</v>
    </oc>
    <nc r="P312">
      <v>115.17</v>
    </nc>
  </rcc>
  <rcc rId="1430" sId="1" numFmtId="4">
    <oc r="P313">
      <v>0.05</v>
    </oc>
    <nc r="P313">
      <v>115.17</v>
    </nc>
  </rcc>
  <rcc rId="1431" sId="1" numFmtId="4">
    <oc r="P314">
      <v>0.05</v>
    </oc>
    <nc r="P314">
      <v>115.17</v>
    </nc>
  </rcc>
  <rcc rId="1432" sId="1" numFmtId="4">
    <oc r="P315">
      <v>0.05</v>
    </oc>
    <nc r="P315">
      <v>115.17</v>
    </nc>
  </rcc>
  <rcc rId="1433" sId="1" numFmtId="4">
    <oc r="P316">
      <v>0.05</v>
    </oc>
    <nc r="P316">
      <v>115.17</v>
    </nc>
  </rcc>
  <rcc rId="1434" sId="1" numFmtId="4">
    <oc r="P317">
      <v>0.05</v>
    </oc>
    <nc r="P317">
      <v>115.17</v>
    </nc>
  </rcc>
  <rcc rId="1435" sId="1" numFmtId="4">
    <oc r="P318">
      <v>0.05</v>
    </oc>
    <nc r="P318">
      <v>115.17</v>
    </nc>
  </rcc>
  <rcc rId="1436" sId="1" numFmtId="4">
    <oc r="P319">
      <v>0.05</v>
    </oc>
    <nc r="P319">
      <v>115.17</v>
    </nc>
  </rcc>
  <rcc rId="1437" sId="1" numFmtId="4">
    <oc r="P320">
      <v>0.05</v>
    </oc>
    <nc r="P320">
      <v>115.17</v>
    </nc>
  </rcc>
  <rcc rId="1438" sId="1" numFmtId="4">
    <oc r="P321">
      <v>0.05</v>
    </oc>
    <nc r="P321">
      <v>115.17</v>
    </nc>
  </rcc>
  <rcc rId="1439" sId="1" numFmtId="4">
    <oc r="P322">
      <v>0.05</v>
    </oc>
    <nc r="P322">
      <v>115.17</v>
    </nc>
  </rcc>
  <rcc rId="1440" sId="1" numFmtId="4">
    <oc r="P323">
      <v>0.05</v>
    </oc>
    <nc r="P323">
      <v>115.17</v>
    </nc>
  </rcc>
  <rcc rId="1441" sId="1" numFmtId="4">
    <oc r="P324">
      <v>0.05</v>
    </oc>
    <nc r="P324">
      <v>115.17</v>
    </nc>
  </rcc>
  <rcc rId="1442" sId="1" numFmtId="4">
    <oc r="P326">
      <v>0.05</v>
    </oc>
    <nc r="P326">
      <v>115.17</v>
    </nc>
  </rcc>
  <rcc rId="1443" sId="1" numFmtId="4">
    <oc r="P327">
      <v>0.05</v>
    </oc>
    <nc r="P327">
      <v>115.17</v>
    </nc>
  </rcc>
  <rcc rId="1444" sId="1" numFmtId="4">
    <oc r="P328">
      <v>0.05</v>
    </oc>
    <nc r="P328">
      <v>115.17</v>
    </nc>
  </rcc>
  <rcc rId="1445" sId="1" numFmtId="4">
    <oc r="P329">
      <v>0.05</v>
    </oc>
    <nc r="P329">
      <v>115.17</v>
    </nc>
  </rcc>
  <rcc rId="1446" sId="1" numFmtId="4">
    <oc r="P330">
      <v>0.05</v>
    </oc>
    <nc r="P330">
      <v>115.17</v>
    </nc>
  </rcc>
  <rcc rId="1447" sId="1" numFmtId="4">
    <oc r="P331">
      <v>0.05</v>
    </oc>
    <nc r="P331">
      <v>115.17</v>
    </nc>
  </rcc>
  <rcc rId="1448" sId="1" numFmtId="4">
    <oc r="P332">
      <v>0.05</v>
    </oc>
    <nc r="P332">
      <v>115.17</v>
    </nc>
  </rcc>
  <rcc rId="1449" sId="1" numFmtId="4">
    <oc r="P333">
      <v>0.05</v>
    </oc>
    <nc r="P333">
      <v>115.17</v>
    </nc>
  </rcc>
  <rcc rId="1450" sId="1" numFmtId="4">
    <oc r="P334">
      <v>0.05</v>
    </oc>
    <nc r="P334">
      <v>115.17</v>
    </nc>
  </rcc>
  <rcc rId="1451" sId="1" numFmtId="4">
    <oc r="P335">
      <v>0.05</v>
    </oc>
    <nc r="P335">
      <v>115.17</v>
    </nc>
  </rcc>
  <rcc rId="1452" sId="1" numFmtId="4">
    <oc r="P336">
      <v>0.05</v>
    </oc>
    <nc r="P336">
      <v>115.17</v>
    </nc>
  </rcc>
  <rcc rId="1453" sId="1" numFmtId="4">
    <oc r="P337">
      <v>0.05</v>
    </oc>
    <nc r="P337">
      <v>115.17</v>
    </nc>
  </rcc>
  <rcc rId="1454" sId="1">
    <oc r="Q19">
      <v>0.05</v>
    </oc>
    <nc r="Q19">
      <v>115.17</v>
    </nc>
  </rcc>
  <rcc rId="1455" sId="1">
    <oc r="Q23">
      <v>0.05</v>
    </oc>
    <nc r="Q23">
      <v>115.17</v>
    </nc>
  </rcc>
  <rcc rId="1456" sId="1">
    <oc r="Q32">
      <v>0.05</v>
    </oc>
    <nc r="Q32">
      <v>115.17</v>
    </nc>
  </rcc>
  <rcc rId="1457" sId="1">
    <oc r="Q36">
      <v>0.05</v>
    </oc>
    <nc r="Q36">
      <v>115.17</v>
    </nc>
  </rcc>
  <rcc rId="1458" sId="1">
    <oc r="Q42">
      <v>0.05</v>
    </oc>
    <nc r="Q42">
      <v>115.17</v>
    </nc>
  </rcc>
  <rcc rId="1459" sId="1">
    <oc r="Q43">
      <v>0.05</v>
    </oc>
    <nc r="Q43">
      <v>115.17</v>
    </nc>
  </rcc>
  <rcc rId="1460" sId="1">
    <oc r="Q44">
      <v>0.05</v>
    </oc>
    <nc r="Q44">
      <v>115.17</v>
    </nc>
  </rcc>
  <rcc rId="1461" sId="1">
    <oc r="Q45">
      <v>0.05</v>
    </oc>
    <nc r="Q45">
      <v>115.17</v>
    </nc>
  </rcc>
  <rcc rId="1462" sId="1">
    <oc r="Q46">
      <v>0.05</v>
    </oc>
    <nc r="Q46">
      <v>115.17</v>
    </nc>
  </rcc>
  <rcc rId="1463" sId="1">
    <oc r="Q47">
      <v>0.05</v>
    </oc>
    <nc r="Q47">
      <v>115.17</v>
    </nc>
  </rcc>
  <rcc rId="1464" sId="1">
    <oc r="Q48">
      <v>0.05</v>
    </oc>
    <nc r="Q48">
      <v>115.17</v>
    </nc>
  </rcc>
  <rcc rId="1465" sId="1">
    <oc r="Q49">
      <v>0.05</v>
    </oc>
    <nc r="Q49">
      <v>115.17</v>
    </nc>
  </rcc>
  <rcc rId="1466" sId="1">
    <oc r="Q50">
      <v>0.05</v>
    </oc>
    <nc r="Q50">
      <v>115.17</v>
    </nc>
  </rcc>
  <rcc rId="1467" sId="1">
    <oc r="Q51">
      <v>0.05</v>
    </oc>
    <nc r="Q51">
      <v>115.17</v>
    </nc>
  </rcc>
  <rcc rId="1468" sId="1">
    <oc r="Q52">
      <v>0.05</v>
    </oc>
    <nc r="Q52">
      <v>115.17</v>
    </nc>
  </rcc>
  <rcc rId="1469" sId="1">
    <oc r="Q53">
      <v>0.05</v>
    </oc>
    <nc r="Q53">
      <v>115.17</v>
    </nc>
  </rcc>
  <rcc rId="1470" sId="1">
    <oc r="Q54">
      <v>0.05</v>
    </oc>
    <nc r="Q54">
      <v>115.17</v>
    </nc>
  </rcc>
  <rcc rId="1471" sId="1">
    <oc r="Q55">
      <v>0.05</v>
    </oc>
    <nc r="Q55">
      <v>115.17</v>
    </nc>
  </rcc>
  <rcc rId="1472" sId="1">
    <oc r="Q56">
      <v>0.05</v>
    </oc>
    <nc r="Q56">
      <v>115.17</v>
    </nc>
  </rcc>
  <rcc rId="1473" sId="1">
    <oc r="Q57">
      <v>0.05</v>
    </oc>
    <nc r="Q57">
      <v>115.17</v>
    </nc>
  </rcc>
  <rcc rId="1474" sId="1">
    <oc r="Q58">
      <v>0.05</v>
    </oc>
    <nc r="Q58">
      <v>115.17</v>
    </nc>
  </rcc>
  <rcc rId="1475" sId="1">
    <oc r="Q59">
      <v>0.05</v>
    </oc>
    <nc r="Q59">
      <v>115.17</v>
    </nc>
  </rcc>
  <rcc rId="1476" sId="1">
    <oc r="Q60">
      <v>0.05</v>
    </oc>
    <nc r="Q60">
      <v>115.17</v>
    </nc>
  </rcc>
  <rcc rId="1477" sId="1">
    <oc r="Q61">
      <v>0.05</v>
    </oc>
    <nc r="Q61">
      <v>115.17</v>
    </nc>
  </rcc>
  <rcc rId="1478" sId="1">
    <oc r="Q62">
      <v>0.05</v>
    </oc>
    <nc r="Q62">
      <v>115.17</v>
    </nc>
  </rcc>
  <rcc rId="1479" sId="1">
    <oc r="Q63">
      <v>0.05</v>
    </oc>
    <nc r="Q63">
      <v>115.17</v>
    </nc>
  </rcc>
  <rcc rId="1480" sId="1">
    <oc r="Q67">
      <v>0.05</v>
    </oc>
    <nc r="Q67">
      <v>115.17</v>
    </nc>
  </rcc>
  <rcc rId="1481" sId="1">
    <oc r="Q68">
      <v>0.05</v>
    </oc>
    <nc r="Q68">
      <v>115.17</v>
    </nc>
  </rcc>
  <rcc rId="1482" sId="1">
    <oc r="Q70">
      <v>0.05</v>
    </oc>
    <nc r="Q70">
      <v>115.17</v>
    </nc>
  </rcc>
  <rcc rId="1483" sId="1">
    <oc r="Q73">
      <v>0.05</v>
    </oc>
    <nc r="Q73">
      <v>115.17</v>
    </nc>
  </rcc>
  <rcc rId="1484" sId="1">
    <oc r="Q74">
      <v>0.05</v>
    </oc>
    <nc r="Q74">
      <v>115.17</v>
    </nc>
  </rcc>
  <rcc rId="1485" sId="1">
    <oc r="Q75">
      <v>0.05</v>
    </oc>
    <nc r="Q75">
      <v>115.17</v>
    </nc>
  </rcc>
  <rcc rId="1486" sId="1">
    <oc r="Q76">
      <v>0.05</v>
    </oc>
    <nc r="Q76">
      <v>115.17</v>
    </nc>
  </rcc>
  <rcc rId="1487" sId="1">
    <oc r="Q78">
      <v>0.05</v>
    </oc>
    <nc r="Q78">
      <v>115.17</v>
    </nc>
  </rcc>
  <rcc rId="1488" sId="1">
    <oc r="Q80">
      <v>0.05</v>
    </oc>
    <nc r="Q80">
      <v>115.17</v>
    </nc>
  </rcc>
  <rcc rId="1489" sId="1">
    <oc r="Q84">
      <v>0.05</v>
    </oc>
    <nc r="Q84">
      <v>115.17</v>
    </nc>
  </rcc>
  <rcc rId="1490" sId="1">
    <oc r="Q85">
      <v>0.05</v>
    </oc>
    <nc r="Q85">
      <v>115.17</v>
    </nc>
  </rcc>
  <rcc rId="1491" sId="1">
    <oc r="Q89">
      <v>0.05</v>
    </oc>
    <nc r="Q89">
      <v>115.17</v>
    </nc>
  </rcc>
  <rcc rId="1492" sId="1">
    <oc r="Q90">
      <v>0.05</v>
    </oc>
    <nc r="Q90">
      <v>115.17</v>
    </nc>
  </rcc>
  <rcc rId="1493" sId="1">
    <oc r="Q93">
      <v>0.05</v>
    </oc>
    <nc r="Q93">
      <v>115.17</v>
    </nc>
  </rcc>
  <rcc rId="1494" sId="1">
    <oc r="Q94">
      <v>0.05</v>
    </oc>
    <nc r="Q94">
      <v>115.17</v>
    </nc>
  </rcc>
  <rcc rId="1495" sId="1">
    <oc r="Q96">
      <v>0.05</v>
    </oc>
    <nc r="Q96">
      <v>115.17</v>
    </nc>
  </rcc>
  <rcc rId="1496" sId="1">
    <oc r="Q102">
      <v>0.05</v>
    </oc>
    <nc r="Q102">
      <v>115.17</v>
    </nc>
  </rcc>
  <rcc rId="1497" sId="1">
    <oc r="Q104">
      <v>0.05</v>
    </oc>
    <nc r="Q104">
      <v>115.17</v>
    </nc>
  </rcc>
  <rcc rId="1498" sId="1">
    <oc r="Q107">
      <v>0.05</v>
    </oc>
    <nc r="Q107">
      <v>115.17</v>
    </nc>
  </rcc>
  <rcc rId="1499" sId="1">
    <oc r="Q109">
      <v>0.05</v>
    </oc>
    <nc r="Q109">
      <v>115.17</v>
    </nc>
  </rcc>
  <rcc rId="1500" sId="1">
    <oc r="Q111">
      <v>0.05</v>
    </oc>
    <nc r="Q111">
      <v>115.17</v>
    </nc>
  </rcc>
  <rcc rId="1501" sId="1" numFmtId="4">
    <oc r="Q139">
      <v>0.05</v>
    </oc>
    <nc r="Q139">
      <v>115.17</v>
    </nc>
  </rcc>
  <rcc rId="1502" sId="1" numFmtId="4">
    <oc r="Q140">
      <v>0.05</v>
    </oc>
    <nc r="Q140">
      <v>115.17</v>
    </nc>
  </rcc>
  <rcc rId="1503" sId="1" numFmtId="4">
    <oc r="Q141">
      <v>0.05</v>
    </oc>
    <nc r="Q141">
      <v>115.17</v>
    </nc>
  </rcc>
  <rcc rId="1504" sId="1" numFmtId="4">
    <oc r="Q142">
      <v>0.05</v>
    </oc>
    <nc r="Q142">
      <v>115.17</v>
    </nc>
  </rcc>
  <rcc rId="1505" sId="1" numFmtId="4">
    <oc r="Q143">
      <v>0.05</v>
    </oc>
    <nc r="Q143">
      <v>115.17</v>
    </nc>
  </rcc>
  <rcc rId="1506" sId="1" numFmtId="4">
    <oc r="Q144">
      <v>0.05</v>
    </oc>
    <nc r="Q144">
      <v>115.17</v>
    </nc>
  </rcc>
  <rcc rId="1507" sId="1" numFmtId="4">
    <oc r="Q145">
      <v>0.05</v>
    </oc>
    <nc r="Q145">
      <v>115.17</v>
    </nc>
  </rcc>
  <rcc rId="1508" sId="1" numFmtId="4">
    <oc r="Q146">
      <v>0.05</v>
    </oc>
    <nc r="Q146">
      <v>115.17</v>
    </nc>
  </rcc>
  <rcc rId="1509" sId="1" numFmtId="4">
    <oc r="Q147">
      <v>0.05</v>
    </oc>
    <nc r="Q147">
      <v>115.17</v>
    </nc>
  </rcc>
  <rcc rId="1510" sId="1" numFmtId="4">
    <oc r="Q148">
      <v>0.05</v>
    </oc>
    <nc r="Q148">
      <v>115.17</v>
    </nc>
  </rcc>
  <rcc rId="1511" sId="1" numFmtId="4">
    <oc r="Q149">
      <v>0.05</v>
    </oc>
    <nc r="Q149">
      <v>115.17</v>
    </nc>
  </rcc>
  <rcc rId="1512" sId="1" numFmtId="4">
    <oc r="Q150">
      <v>0.05</v>
    </oc>
    <nc r="Q150">
      <v>115.17</v>
    </nc>
  </rcc>
  <rcc rId="1513" sId="1" numFmtId="4">
    <oc r="Q151">
      <v>0.05</v>
    </oc>
    <nc r="Q151">
      <v>115.17</v>
    </nc>
  </rcc>
  <rcc rId="1514" sId="1" numFmtId="4">
    <oc r="Q152">
      <v>0.05</v>
    </oc>
    <nc r="Q152">
      <v>115.17</v>
    </nc>
  </rcc>
  <rcc rId="1515" sId="1" numFmtId="4">
    <oc r="Q153">
      <v>0.05</v>
    </oc>
    <nc r="Q153">
      <v>115.17</v>
    </nc>
  </rcc>
  <rcc rId="1516" sId="1" numFmtId="4">
    <oc r="Q154">
      <v>0.05</v>
    </oc>
    <nc r="Q154">
      <v>115.17</v>
    </nc>
  </rcc>
  <rcc rId="1517" sId="1" numFmtId="4">
    <oc r="Q155">
      <v>0.05</v>
    </oc>
    <nc r="Q155">
      <v>115.17</v>
    </nc>
  </rcc>
  <rcc rId="1518" sId="1" numFmtId="4">
    <oc r="Q156">
      <v>0.05</v>
    </oc>
    <nc r="Q156">
      <v>115.17</v>
    </nc>
  </rcc>
  <rcc rId="1519" sId="1" numFmtId="4">
    <oc r="Q157">
      <v>0.05</v>
    </oc>
    <nc r="Q157">
      <v>115.17</v>
    </nc>
  </rcc>
  <rcc rId="1520" sId="1" numFmtId="4">
    <oc r="Q158">
      <v>0.05</v>
    </oc>
    <nc r="Q158">
      <v>115.17</v>
    </nc>
  </rcc>
  <rcc rId="1521" sId="1" numFmtId="4">
    <oc r="Q159">
      <v>0.05</v>
    </oc>
    <nc r="Q159">
      <v>115.17</v>
    </nc>
  </rcc>
  <rcc rId="1522" sId="1" numFmtId="4">
    <oc r="Q160">
      <v>0.05</v>
    </oc>
    <nc r="Q160">
      <v>115.17</v>
    </nc>
  </rcc>
  <rcc rId="1523" sId="1" numFmtId="4">
    <oc r="Q161">
      <v>0.05</v>
    </oc>
    <nc r="Q161">
      <v>115.17</v>
    </nc>
  </rcc>
  <rcc rId="1524" sId="1" numFmtId="4">
    <oc r="Q162">
      <v>0.05</v>
    </oc>
    <nc r="Q162">
      <v>115.17</v>
    </nc>
  </rcc>
  <rcc rId="1525" sId="1" numFmtId="4">
    <oc r="Q163">
      <v>0.05</v>
    </oc>
    <nc r="Q163">
      <v>115.17</v>
    </nc>
  </rcc>
  <rcc rId="1526" sId="1" numFmtId="4">
    <oc r="Q164">
      <v>0.05</v>
    </oc>
    <nc r="Q164">
      <v>115.17</v>
    </nc>
  </rcc>
  <rcc rId="1527" sId="1" numFmtId="4">
    <oc r="Q165">
      <v>0.05</v>
    </oc>
    <nc r="Q165">
      <v>115.17</v>
    </nc>
  </rcc>
  <rcc rId="1528" sId="1" numFmtId="4">
    <oc r="Q308">
      <v>0.05</v>
    </oc>
    <nc r="Q308">
      <v>115.17</v>
    </nc>
  </rcc>
  <rcc rId="1529" sId="1" numFmtId="4">
    <oc r="Q309">
      <v>0.05</v>
    </oc>
    <nc r="Q309">
      <v>115.17</v>
    </nc>
  </rcc>
  <rcc rId="1530" sId="1" numFmtId="4">
    <oc r="Q310">
      <v>0.05</v>
    </oc>
    <nc r="Q310">
      <v>115.17</v>
    </nc>
  </rcc>
  <rcc rId="1531" sId="1" numFmtId="4">
    <oc r="Q311">
      <v>0.05</v>
    </oc>
    <nc r="Q311">
      <v>115.17</v>
    </nc>
  </rcc>
  <rcc rId="1532" sId="1" numFmtId="4">
    <oc r="Q312">
      <v>0.05</v>
    </oc>
    <nc r="Q312">
      <v>115.17</v>
    </nc>
  </rcc>
  <rcc rId="1533" sId="1" numFmtId="4">
    <oc r="Q313">
      <v>0.05</v>
    </oc>
    <nc r="Q313">
      <v>115.17</v>
    </nc>
  </rcc>
  <rcc rId="1534" sId="1" numFmtId="4">
    <oc r="Q314">
      <v>0.05</v>
    </oc>
    <nc r="Q314">
      <v>115.17</v>
    </nc>
  </rcc>
  <rcc rId="1535" sId="1" numFmtId="4">
    <oc r="Q315">
      <v>0.05</v>
    </oc>
    <nc r="Q315">
      <v>115.17</v>
    </nc>
  </rcc>
  <rcc rId="1536" sId="1" numFmtId="4">
    <oc r="Q316">
      <v>0.05</v>
    </oc>
    <nc r="Q316">
      <v>115.17</v>
    </nc>
  </rcc>
  <rcc rId="1537" sId="1" numFmtId="4">
    <oc r="Q317">
      <v>0.05</v>
    </oc>
    <nc r="Q317">
      <v>115.17</v>
    </nc>
  </rcc>
  <rcc rId="1538" sId="1" numFmtId="4">
    <oc r="Q318">
      <v>0.05</v>
    </oc>
    <nc r="Q318">
      <v>115.17</v>
    </nc>
  </rcc>
  <rcc rId="1539" sId="1" numFmtId="4">
    <oc r="Q319">
      <v>0.05</v>
    </oc>
    <nc r="Q319">
      <v>115.17</v>
    </nc>
  </rcc>
  <rcc rId="1540" sId="1" numFmtId="4">
    <oc r="Q320">
      <v>0.05</v>
    </oc>
    <nc r="Q320">
      <v>115.17</v>
    </nc>
  </rcc>
  <rcc rId="1541" sId="1" numFmtId="4">
    <oc r="Q321">
      <v>0.05</v>
    </oc>
    <nc r="Q321">
      <v>115.17</v>
    </nc>
  </rcc>
  <rcc rId="1542" sId="1" numFmtId="4">
    <oc r="Q322">
      <v>0.05</v>
    </oc>
    <nc r="Q322">
      <v>115.17</v>
    </nc>
  </rcc>
  <rcc rId="1543" sId="1" numFmtId="4">
    <oc r="Q323">
      <v>0.05</v>
    </oc>
    <nc r="Q323">
      <v>115.17</v>
    </nc>
  </rcc>
  <rcc rId="1544" sId="1" numFmtId="4">
    <oc r="Q324">
      <v>0.05</v>
    </oc>
    <nc r="Q324">
      <v>115.17</v>
    </nc>
  </rcc>
  <rcc rId="1545" sId="1" numFmtId="4">
    <oc r="Q326">
      <v>0.05</v>
    </oc>
    <nc r="Q326">
      <v>115.17</v>
    </nc>
  </rcc>
  <rcc rId="1546" sId="1" numFmtId="4">
    <oc r="Q327">
      <v>0.05</v>
    </oc>
    <nc r="Q327">
      <v>115.17</v>
    </nc>
  </rcc>
  <rcc rId="1547" sId="1" numFmtId="4">
    <oc r="Q328">
      <v>0.05</v>
    </oc>
    <nc r="Q328">
      <v>115.17</v>
    </nc>
  </rcc>
  <rcc rId="1548" sId="1" numFmtId="4">
    <oc r="Q329">
      <v>0.05</v>
    </oc>
    <nc r="Q329">
      <v>115.17</v>
    </nc>
  </rcc>
  <rcc rId="1549" sId="1" numFmtId="4">
    <oc r="Q330">
      <v>0.05</v>
    </oc>
    <nc r="Q330">
      <v>115.17</v>
    </nc>
  </rcc>
  <rcc rId="1550" sId="1" numFmtId="4">
    <oc r="Q331">
      <v>0.05</v>
    </oc>
    <nc r="Q331">
      <v>115.17</v>
    </nc>
  </rcc>
  <rcc rId="1551" sId="1" numFmtId="4">
    <oc r="Q332">
      <v>0.05</v>
    </oc>
    <nc r="Q332">
      <v>115.17</v>
    </nc>
  </rcc>
  <rcc rId="1552" sId="1" numFmtId="4">
    <oc r="Q333">
      <v>0.05</v>
    </oc>
    <nc r="Q333">
      <v>115.17</v>
    </nc>
  </rcc>
  <rcc rId="1553" sId="1" numFmtId="4">
    <oc r="Q334">
      <v>0.05</v>
    </oc>
    <nc r="Q334">
      <v>115.17</v>
    </nc>
  </rcc>
  <rcc rId="1554" sId="1" numFmtId="4">
    <oc r="Q335">
      <v>0.05</v>
    </oc>
    <nc r="Q335">
      <v>115.17</v>
    </nc>
  </rcc>
  <rcc rId="1555" sId="1" numFmtId="4">
    <oc r="Q336">
      <v>0.05</v>
    </oc>
    <nc r="Q336">
      <v>115.17</v>
    </nc>
  </rcc>
  <rcc rId="1556" sId="1" numFmtId="4">
    <oc r="Q337">
      <v>0.05</v>
    </oc>
    <nc r="Q337">
      <v>115.17</v>
    </nc>
  </rcc>
  <rcc rId="1557" sId="1">
    <oc r="P2">
      <v>0.1</v>
    </oc>
    <nc r="P2">
      <v>57.59</v>
    </nc>
  </rcc>
  <rcc rId="1558" sId="1">
    <oc r="P3">
      <v>0.1</v>
    </oc>
    <nc r="P3">
      <v>57.59</v>
    </nc>
  </rcc>
  <rcc rId="1559" sId="1">
    <oc r="P7">
      <v>0.1</v>
    </oc>
    <nc r="P7">
      <v>57.59</v>
    </nc>
  </rcc>
  <rcc rId="1560" sId="1">
    <oc r="P9">
      <v>0.1</v>
    </oc>
    <nc r="P9">
      <v>57.59</v>
    </nc>
  </rcc>
  <rcc rId="1561" sId="1">
    <oc r="P10">
      <v>0.1</v>
    </oc>
    <nc r="P10">
      <v>57.59</v>
    </nc>
  </rcc>
  <rcc rId="1562" sId="1">
    <oc r="P11">
      <v>0.1</v>
    </oc>
    <nc r="P11">
      <v>57.59</v>
    </nc>
  </rcc>
  <rcc rId="1563" sId="1">
    <oc r="P12">
      <v>0.1</v>
    </oc>
    <nc r="P12">
      <v>57.59</v>
    </nc>
  </rcc>
  <rcc rId="1564" sId="1">
    <oc r="P13">
      <v>0.1</v>
    </oc>
    <nc r="P13">
      <v>57.59</v>
    </nc>
  </rcc>
  <rcc rId="1565" sId="1">
    <oc r="P14">
      <v>0.1</v>
    </oc>
    <nc r="P14">
      <v>57.59</v>
    </nc>
  </rcc>
  <rcc rId="1566" sId="1">
    <oc r="P15">
      <v>0.1</v>
    </oc>
    <nc r="P15">
      <v>57.59</v>
    </nc>
  </rcc>
  <rcc rId="1567" sId="1">
    <oc r="P16">
      <v>0.1</v>
    </oc>
    <nc r="P16">
      <v>57.59</v>
    </nc>
  </rcc>
  <rcc rId="1568" sId="1">
    <oc r="P17">
      <v>0.1</v>
    </oc>
    <nc r="P17">
      <v>57.59</v>
    </nc>
  </rcc>
  <rcc rId="1569" sId="1">
    <oc r="P18">
      <v>0.1</v>
    </oc>
    <nc r="P18">
      <v>57.59</v>
    </nc>
  </rcc>
  <rcc rId="1570" sId="1">
    <oc r="P19">
      <v>0.1</v>
    </oc>
    <nc r="P19">
      <v>57.59</v>
    </nc>
  </rcc>
  <rcc rId="1571" sId="1">
    <oc r="P20">
      <v>0.1</v>
    </oc>
    <nc r="P20">
      <v>57.59</v>
    </nc>
  </rcc>
  <rcc rId="1572" sId="1">
    <oc r="P21">
      <v>0.1</v>
    </oc>
    <nc r="P21">
      <v>57.59</v>
    </nc>
  </rcc>
  <rcc rId="1573" sId="1">
    <oc r="P22">
      <v>0.1</v>
    </oc>
    <nc r="P22">
      <v>57.59</v>
    </nc>
  </rcc>
  <rcc rId="1574" sId="1">
    <oc r="P23">
      <v>0.1</v>
    </oc>
    <nc r="P23">
      <v>57.59</v>
    </nc>
  </rcc>
  <rcc rId="1575" sId="1">
    <oc r="P24">
      <v>0.1</v>
    </oc>
    <nc r="P24">
      <v>57.59</v>
    </nc>
  </rcc>
  <rcc rId="1576" sId="1">
    <oc r="P25">
      <v>0.1</v>
    </oc>
    <nc r="P25">
      <v>57.59</v>
    </nc>
  </rcc>
  <rcc rId="1577" sId="1">
    <oc r="P26">
      <v>0.1</v>
    </oc>
    <nc r="P26">
      <v>57.59</v>
    </nc>
  </rcc>
  <rcc rId="1578" sId="1">
    <oc r="P27">
      <v>0.1</v>
    </oc>
    <nc r="P27">
      <v>57.59</v>
    </nc>
  </rcc>
  <rcc rId="1579" sId="1">
    <oc r="P28">
      <v>0.1</v>
    </oc>
    <nc r="P28">
      <v>57.59</v>
    </nc>
  </rcc>
  <rcc rId="1580" sId="1">
    <oc r="P29">
      <v>0.1</v>
    </oc>
    <nc r="P29">
      <v>57.59</v>
    </nc>
  </rcc>
  <rcc rId="1581" sId="1">
    <oc r="P30">
      <v>0.1</v>
    </oc>
    <nc r="P30">
      <v>57.59</v>
    </nc>
  </rcc>
  <rcc rId="1582" sId="1">
    <oc r="P31">
      <v>0.1</v>
    </oc>
    <nc r="P31">
      <v>57.59</v>
    </nc>
  </rcc>
  <rcc rId="1583" sId="1">
    <oc r="P33">
      <v>0.1</v>
    </oc>
    <nc r="P33">
      <v>57.59</v>
    </nc>
  </rcc>
  <rcc rId="1584" sId="1">
    <oc r="P36">
      <v>0.1</v>
    </oc>
    <nc r="P36">
      <v>57.59</v>
    </nc>
  </rcc>
  <rcc rId="1585" sId="1">
    <oc r="P37">
      <v>0.1</v>
    </oc>
    <nc r="P37">
      <v>57.59</v>
    </nc>
  </rcc>
  <rcc rId="1586" sId="1">
    <oc r="P38">
      <v>0.1</v>
    </oc>
    <nc r="P38">
      <v>57.59</v>
    </nc>
  </rcc>
  <rcc rId="1587" sId="1">
    <oc r="P39">
      <v>0.1</v>
    </oc>
    <nc r="P39">
      <v>57.59</v>
    </nc>
  </rcc>
  <rcc rId="1588" sId="1">
    <oc r="P40">
      <v>0.1</v>
    </oc>
    <nc r="P40">
      <v>57.59</v>
    </nc>
  </rcc>
  <rcc rId="1589" sId="1">
    <oc r="P41">
      <v>0.1</v>
    </oc>
    <nc r="P41">
      <v>57.59</v>
    </nc>
  </rcc>
  <rcc rId="1590" sId="1">
    <oc r="P42">
      <v>0.1</v>
    </oc>
    <nc r="P42">
      <v>57.59</v>
    </nc>
  </rcc>
  <rcc rId="1591" sId="1">
    <oc r="P72">
      <v>0.15</v>
    </oc>
    <nc r="P72">
      <v>57.594999999999999</v>
    </nc>
  </rcc>
  <rcc rId="1592" sId="1">
    <oc r="P82">
      <v>0.1</v>
    </oc>
    <nc r="P82">
      <v>57.59</v>
    </nc>
  </rcc>
  <rcc rId="1593" sId="1" numFmtId="4">
    <oc r="P115">
      <v>0.15</v>
    </oc>
    <nc r="P115">
      <v>57.594999999999999</v>
    </nc>
  </rcc>
  <rcc rId="1594" sId="1" numFmtId="4">
    <oc r="P116">
      <v>0.15</v>
    </oc>
    <nc r="P116">
      <v>57.594999999999999</v>
    </nc>
  </rcc>
  <rcc rId="1595" sId="1" numFmtId="4">
    <oc r="P121">
      <v>0.15</v>
    </oc>
    <nc r="P121">
      <v>57.594999999999999</v>
    </nc>
  </rcc>
  <rcc rId="1596" sId="1">
    <oc r="P127">
      <v>0.15</v>
    </oc>
    <nc r="P127">
      <v>57.594999999999999</v>
    </nc>
  </rcc>
  <rcc rId="1597" sId="1">
    <oc r="P128">
      <v>0.15</v>
    </oc>
    <nc r="P128">
      <v>57.594999999999999</v>
    </nc>
  </rcc>
  <rcc rId="1598" sId="1" numFmtId="4">
    <oc r="P129">
      <v>0.1</v>
    </oc>
    <nc r="P129">
      <v>57.59</v>
    </nc>
  </rcc>
  <rcc rId="1599" sId="1" numFmtId="4">
    <oc r="P137">
      <v>0.1</v>
    </oc>
    <nc r="P137">
      <v>57.59</v>
    </nc>
  </rcc>
  <rcc rId="1600" sId="1" numFmtId="4">
    <oc r="P138">
      <v>0.1</v>
    </oc>
    <nc r="P138">
      <v>57.59</v>
    </nc>
  </rcc>
  <rcc rId="1601" sId="1" numFmtId="4">
    <oc r="P168">
      <v>0.1</v>
    </oc>
    <nc r="P168">
      <v>57.59</v>
    </nc>
  </rcc>
  <rcc rId="1602" sId="1" numFmtId="4">
    <oc r="P169">
      <v>0.1</v>
    </oc>
    <nc r="P169">
      <v>57.59</v>
    </nc>
  </rcc>
  <rcc rId="1603" sId="1" numFmtId="4">
    <oc r="P170">
      <v>0.1</v>
    </oc>
    <nc r="P170">
      <v>57.59</v>
    </nc>
  </rcc>
  <rcc rId="1604" sId="1" numFmtId="4">
    <oc r="P171">
      <v>0.1</v>
    </oc>
    <nc r="P171">
      <v>57.59</v>
    </nc>
  </rcc>
  <rcc rId="1605" sId="1" numFmtId="4">
    <oc r="P172">
      <v>0.1</v>
    </oc>
    <nc r="P172">
      <v>57.59</v>
    </nc>
  </rcc>
  <rcc rId="1606" sId="1" numFmtId="4">
    <oc r="P173">
      <v>0.1</v>
    </oc>
    <nc r="P173">
      <v>57.59</v>
    </nc>
  </rcc>
  <rcc rId="1607" sId="1" numFmtId="4">
    <oc r="P174">
      <v>0.1</v>
    </oc>
    <nc r="P174">
      <v>57.59</v>
    </nc>
  </rcc>
  <rcc rId="1608" sId="1" numFmtId="4">
    <oc r="P175">
      <v>0.1</v>
    </oc>
    <nc r="P175">
      <v>57.59</v>
    </nc>
  </rcc>
  <rcc rId="1609" sId="1" numFmtId="4">
    <oc r="P176">
      <v>0.1</v>
    </oc>
    <nc r="P176">
      <v>57.59</v>
    </nc>
  </rcc>
  <rcc rId="1610" sId="1" numFmtId="4">
    <oc r="P177">
      <v>0.1</v>
    </oc>
    <nc r="P177">
      <v>57.59</v>
    </nc>
  </rcc>
  <rcc rId="1611" sId="1" numFmtId="4">
    <oc r="P178">
      <v>0.1</v>
    </oc>
    <nc r="P178">
      <v>57.59</v>
    </nc>
  </rcc>
  <rcc rId="1612" sId="1" numFmtId="4">
    <oc r="P179">
      <v>0.1</v>
    </oc>
    <nc r="P179">
      <v>57.59</v>
    </nc>
  </rcc>
  <rcc rId="1613" sId="1" numFmtId="4">
    <oc r="P180">
      <v>0.1</v>
    </oc>
    <nc r="P180">
      <v>57.59</v>
    </nc>
  </rcc>
  <rcc rId="1614" sId="1" numFmtId="4">
    <oc r="P181">
      <v>0.1</v>
    </oc>
    <nc r="P181">
      <v>57.59</v>
    </nc>
  </rcc>
  <rcc rId="1615" sId="1" numFmtId="4">
    <oc r="P182">
      <v>0.1</v>
    </oc>
    <nc r="P182">
      <v>57.59</v>
    </nc>
  </rcc>
  <rcc rId="1616" sId="1" numFmtId="4">
    <oc r="P183">
      <v>0.1</v>
    </oc>
    <nc r="P183">
      <v>57.59</v>
    </nc>
  </rcc>
  <rcc rId="1617" sId="1" numFmtId="4">
    <oc r="P184">
      <v>0.1</v>
    </oc>
    <nc r="P184">
      <v>57.59</v>
    </nc>
  </rcc>
  <rcc rId="1618" sId="1" numFmtId="4">
    <oc r="P185">
      <v>0.1</v>
    </oc>
    <nc r="P185">
      <v>57.59</v>
    </nc>
  </rcc>
  <rcc rId="1619" sId="1" numFmtId="4">
    <oc r="P186">
      <v>0.1</v>
    </oc>
    <nc r="P186">
      <v>57.59</v>
    </nc>
  </rcc>
  <rcc rId="1620" sId="1" numFmtId="4">
    <oc r="P187">
      <v>0.1</v>
    </oc>
    <nc r="P187">
      <v>57.59</v>
    </nc>
  </rcc>
  <rcc rId="1621" sId="1" numFmtId="4">
    <oc r="P188">
      <v>0.1</v>
    </oc>
    <nc r="P188">
      <v>57.59</v>
    </nc>
  </rcc>
  <rcc rId="1622" sId="1" numFmtId="4">
    <oc r="P189">
      <v>0.1</v>
    </oc>
    <nc r="P189">
      <v>57.59</v>
    </nc>
  </rcc>
  <rcc rId="1623" sId="1" numFmtId="4">
    <oc r="P190">
      <v>0.1</v>
    </oc>
    <nc r="P190">
      <v>57.59</v>
    </nc>
  </rcc>
  <rcc rId="1624" sId="1" numFmtId="4">
    <oc r="P191">
      <v>0.1</v>
    </oc>
    <nc r="P191">
      <v>57.59</v>
    </nc>
  </rcc>
  <rcc rId="1625" sId="1" numFmtId="4">
    <oc r="P192">
      <v>0.1</v>
    </oc>
    <nc r="P192">
      <v>57.59</v>
    </nc>
  </rcc>
  <rcc rId="1626" sId="1" numFmtId="4">
    <oc r="P193">
      <v>0.1</v>
    </oc>
    <nc r="P193">
      <v>57.59</v>
    </nc>
  </rcc>
  <rcc rId="1627" sId="1" numFmtId="4">
    <oc r="P194">
      <v>0.1</v>
    </oc>
    <nc r="P194">
      <v>57.59</v>
    </nc>
  </rcc>
  <rcc rId="1628" sId="1" numFmtId="4">
    <oc r="P195">
      <v>0.1</v>
    </oc>
    <nc r="P195">
      <v>57.59</v>
    </nc>
  </rcc>
  <rcc rId="1629" sId="1" numFmtId="4">
    <oc r="P196">
      <v>0.1</v>
    </oc>
    <nc r="P196">
      <v>57.59</v>
    </nc>
  </rcc>
  <rcc rId="1630" sId="1" numFmtId="4">
    <oc r="P197">
      <v>0.1</v>
    </oc>
    <nc r="P197">
      <v>57.59</v>
    </nc>
  </rcc>
  <rcc rId="1631" sId="1" numFmtId="4">
    <oc r="P198">
      <v>0.1</v>
    </oc>
    <nc r="P198">
      <v>57.59</v>
    </nc>
  </rcc>
  <rcc rId="1632" sId="1" numFmtId="4">
    <oc r="P202">
      <v>0.1</v>
    </oc>
    <nc r="P202">
      <v>57.59</v>
    </nc>
  </rcc>
  <rcc rId="1633" sId="1" numFmtId="4">
    <oc r="P203">
      <v>0.1</v>
    </oc>
    <nc r="P203">
      <v>57.59</v>
    </nc>
  </rcc>
  <rcc rId="1634" sId="1" numFmtId="4">
    <oc r="P205">
      <v>0.1</v>
    </oc>
    <nc r="P205">
      <v>57.59</v>
    </nc>
  </rcc>
  <rcc rId="1635" sId="1" numFmtId="4">
    <oc r="P206">
      <v>0.1</v>
    </oc>
    <nc r="P206">
      <v>57.59</v>
    </nc>
  </rcc>
  <rcc rId="1636" sId="1" numFmtId="4">
    <oc r="P207">
      <v>0.1</v>
    </oc>
    <nc r="P207">
      <v>57.59</v>
    </nc>
  </rcc>
  <rcc rId="1637" sId="1" numFmtId="4">
    <oc r="P208">
      <v>0.1</v>
    </oc>
    <nc r="P208">
      <v>57.59</v>
    </nc>
  </rcc>
  <rcc rId="1638" sId="1" numFmtId="4">
    <oc r="P209">
      <v>0.1</v>
    </oc>
    <nc r="P209">
      <v>57.59</v>
    </nc>
  </rcc>
  <rcc rId="1639" sId="1" numFmtId="4">
    <oc r="P210">
      <v>0.1</v>
    </oc>
    <nc r="P210">
      <v>57.59</v>
    </nc>
  </rcc>
  <rcc rId="1640" sId="1" numFmtId="4">
    <oc r="P211">
      <v>0.1</v>
    </oc>
    <nc r="P211">
      <v>57.59</v>
    </nc>
  </rcc>
  <rcc rId="1641" sId="1" numFmtId="4">
    <oc r="P212">
      <v>0.1</v>
    </oc>
    <nc r="P212">
      <v>57.59</v>
    </nc>
  </rcc>
  <rcc rId="1642" sId="1" numFmtId="4">
    <oc r="P213">
      <v>0.1</v>
    </oc>
    <nc r="P213">
      <v>57.59</v>
    </nc>
  </rcc>
  <rcc rId="1643" sId="1" numFmtId="4">
    <oc r="P219">
      <v>0.1</v>
    </oc>
    <nc r="P219">
      <v>57.59</v>
    </nc>
  </rcc>
  <rcc rId="1644" sId="1" numFmtId="4">
    <oc r="P220">
      <v>0.1</v>
    </oc>
    <nc r="P220">
      <v>57.59</v>
    </nc>
  </rcc>
  <rcc rId="1645" sId="1" numFmtId="4">
    <oc r="P221">
      <v>0.1</v>
    </oc>
    <nc r="P221">
      <v>57.59</v>
    </nc>
  </rcc>
  <rcc rId="1646" sId="1" numFmtId="4">
    <oc r="P222">
      <v>0.1</v>
    </oc>
    <nc r="P222">
      <v>57.59</v>
    </nc>
  </rcc>
  <rcc rId="1647" sId="1" numFmtId="4">
    <oc r="P223">
      <v>0.1</v>
    </oc>
    <nc r="P223">
      <v>57.59</v>
    </nc>
  </rcc>
  <rcc rId="1648" sId="1" numFmtId="4">
    <oc r="P227">
      <v>0.1</v>
    </oc>
    <nc r="P227">
      <v>57.59</v>
    </nc>
  </rcc>
  <rcc rId="1649" sId="1" numFmtId="4">
    <oc r="P228">
      <v>0.1</v>
    </oc>
    <nc r="P228">
      <v>57.59</v>
    </nc>
  </rcc>
  <rcc rId="1650" sId="1" numFmtId="4">
    <oc r="P229">
      <v>0.1</v>
    </oc>
    <nc r="P229">
      <v>57.59</v>
    </nc>
  </rcc>
  <rcc rId="1651" sId="1" numFmtId="4">
    <oc r="P230">
      <v>0.1</v>
    </oc>
    <nc r="P230">
      <v>57.59</v>
    </nc>
  </rcc>
  <rcc rId="1652" sId="1" numFmtId="4">
    <oc r="P231">
      <v>0.1</v>
    </oc>
    <nc r="P231">
      <v>57.59</v>
    </nc>
  </rcc>
  <rcc rId="1653" sId="1" numFmtId="4">
    <oc r="P232">
      <v>0.1</v>
    </oc>
    <nc r="P232">
      <v>57.59</v>
    </nc>
  </rcc>
  <rcc rId="1654" sId="1" numFmtId="4">
    <oc r="P233">
      <v>0.1</v>
    </oc>
    <nc r="P233">
      <v>57.59</v>
    </nc>
  </rcc>
  <rcc rId="1655" sId="1" numFmtId="4">
    <oc r="P234">
      <v>0.1</v>
    </oc>
    <nc r="P234">
      <v>57.59</v>
    </nc>
  </rcc>
  <rcc rId="1656" sId="1" numFmtId="4">
    <oc r="P235">
      <v>0.1</v>
    </oc>
    <nc r="P235">
      <v>57.59</v>
    </nc>
  </rcc>
  <rcc rId="1657" sId="1" numFmtId="4">
    <oc r="P236">
      <v>0.1</v>
    </oc>
    <nc r="P236">
      <v>57.59</v>
    </nc>
  </rcc>
  <rcc rId="1658" sId="1" numFmtId="4">
    <oc r="P237">
      <v>0.1</v>
    </oc>
    <nc r="P237">
      <v>57.59</v>
    </nc>
  </rcc>
  <rcc rId="1659" sId="1" numFmtId="4">
    <oc r="P238">
      <v>0.1</v>
    </oc>
    <nc r="P238">
      <v>57.59</v>
    </nc>
  </rcc>
  <rcc rId="1660" sId="1" numFmtId="4">
    <oc r="P239">
      <v>0.1</v>
    </oc>
    <nc r="P239">
      <v>57.59</v>
    </nc>
  </rcc>
  <rcc rId="1661" sId="1" numFmtId="4">
    <oc r="P240">
      <v>0.1</v>
    </oc>
    <nc r="P240">
      <v>57.59</v>
    </nc>
  </rcc>
  <rcc rId="1662" sId="1" numFmtId="4">
    <oc r="P241">
      <v>0.1</v>
    </oc>
    <nc r="P241">
      <v>57.59</v>
    </nc>
  </rcc>
  <rcc rId="1663" sId="1" numFmtId="4">
    <oc r="P242">
      <v>0.1</v>
    </oc>
    <nc r="P242">
      <v>57.59</v>
    </nc>
  </rcc>
  <rcc rId="1664" sId="1" numFmtId="4">
    <oc r="P244">
      <v>0.1</v>
    </oc>
    <nc r="P244">
      <v>57.59</v>
    </nc>
  </rcc>
  <rcc rId="1665" sId="1" numFmtId="4">
    <oc r="P245">
      <v>0.1</v>
    </oc>
    <nc r="P245">
      <v>57.59</v>
    </nc>
  </rcc>
  <rcc rId="1666" sId="1" numFmtId="4">
    <oc r="P246">
      <v>0.1</v>
    </oc>
    <nc r="P246">
      <v>57.59</v>
    </nc>
  </rcc>
  <rcc rId="1667" sId="1" numFmtId="4">
    <oc r="P247">
      <v>0.1</v>
    </oc>
    <nc r="P247">
      <v>57.59</v>
    </nc>
  </rcc>
  <rcc rId="1668" sId="1" numFmtId="4">
    <oc r="P249">
      <v>0.1</v>
    </oc>
    <nc r="P249">
      <v>57.59</v>
    </nc>
  </rcc>
  <rcc rId="1669" sId="1" numFmtId="4">
    <oc r="P250">
      <v>0.1</v>
    </oc>
    <nc r="P250">
      <v>57.59</v>
    </nc>
  </rcc>
  <rcc rId="1670" sId="1" numFmtId="4">
    <oc r="P251">
      <v>0.1</v>
    </oc>
    <nc r="P251">
      <v>57.59</v>
    </nc>
  </rcc>
  <rcc rId="1671" sId="1" numFmtId="4">
    <oc r="P252">
      <v>0.1</v>
    </oc>
    <nc r="P252">
      <v>57.59</v>
    </nc>
  </rcc>
  <rcc rId="1672" sId="1" numFmtId="4">
    <oc r="P254">
      <v>0.1</v>
    </oc>
    <nc r="P254">
      <v>57.59</v>
    </nc>
  </rcc>
  <rcc rId="1673" sId="1" numFmtId="4">
    <oc r="P255">
      <v>0.1</v>
    </oc>
    <nc r="P255">
      <v>57.59</v>
    </nc>
  </rcc>
  <rcc rId="1674" sId="1" numFmtId="4">
    <oc r="P258">
      <v>0.1</v>
    </oc>
    <nc r="P258">
      <v>57.59</v>
    </nc>
  </rcc>
  <rcc rId="1675" sId="1" numFmtId="4">
    <oc r="P259">
      <v>0.1</v>
    </oc>
    <nc r="P259">
      <v>57.59</v>
    </nc>
  </rcc>
  <rcc rId="1676" sId="1" numFmtId="4">
    <oc r="P260">
      <v>0.1</v>
    </oc>
    <nc r="P260">
      <v>57.59</v>
    </nc>
  </rcc>
  <rcc rId="1677" sId="1" numFmtId="4">
    <oc r="P261">
      <v>0.1</v>
    </oc>
    <nc r="P261">
      <v>57.59</v>
    </nc>
  </rcc>
  <rcc rId="1678" sId="1" numFmtId="4">
    <oc r="P263">
      <v>0.1</v>
    </oc>
    <nc r="P263">
      <v>57.59</v>
    </nc>
  </rcc>
  <rcc rId="1679" sId="1" numFmtId="4">
    <oc r="P264">
      <v>0.1</v>
    </oc>
    <nc r="P264">
      <v>57.59</v>
    </nc>
  </rcc>
  <rcc rId="1680" sId="1" numFmtId="4">
    <oc r="P265">
      <v>0.1</v>
    </oc>
    <nc r="P265">
      <v>57.59</v>
    </nc>
  </rcc>
  <rcc rId="1681" sId="1" numFmtId="4">
    <oc r="P266">
      <v>0.1</v>
    </oc>
    <nc r="P266">
      <v>57.59</v>
    </nc>
  </rcc>
  <rcc rId="1682" sId="1" numFmtId="4">
    <oc r="P267">
      <v>0.1</v>
    </oc>
    <nc r="P267">
      <v>57.59</v>
    </nc>
  </rcc>
  <rcc rId="1683" sId="1" numFmtId="4">
    <oc r="P276">
      <v>0.1</v>
    </oc>
    <nc r="P276">
      <v>57.59</v>
    </nc>
  </rcc>
  <rcc rId="1684" sId="1" numFmtId="4">
    <oc r="P279">
      <v>0.1</v>
    </oc>
    <nc r="P279">
      <v>57.59</v>
    </nc>
  </rcc>
  <rcc rId="1685" sId="1" numFmtId="4">
    <oc r="P280">
      <v>0.15</v>
    </oc>
    <nc r="P280">
      <v>57.594999999999999</v>
    </nc>
  </rcc>
  <rcc rId="1686" sId="1" numFmtId="4">
    <oc r="P281">
      <v>0.15</v>
    </oc>
    <nc r="P281">
      <v>57.594999999999999</v>
    </nc>
  </rcc>
  <rcc rId="1687" sId="1" numFmtId="4">
    <oc r="P282">
      <v>0.15</v>
    </oc>
    <nc r="P282">
      <v>57.594999999999999</v>
    </nc>
  </rcc>
  <rcc rId="1688" sId="1" numFmtId="4">
    <oc r="P283">
      <v>0.15</v>
    </oc>
    <nc r="P283">
      <v>57.594999999999999</v>
    </nc>
  </rcc>
  <rcc rId="1689" sId="1" numFmtId="4">
    <oc r="P284">
      <v>0.15</v>
    </oc>
    <nc r="P284">
      <v>57.594999999999999</v>
    </nc>
  </rcc>
  <rcc rId="1690" sId="1" numFmtId="4">
    <oc r="P285">
      <v>0.15</v>
    </oc>
    <nc r="P285">
      <v>57.594999999999999</v>
    </nc>
  </rcc>
  <rcc rId="1691" sId="1" numFmtId="4">
    <oc r="P286">
      <v>0.15</v>
    </oc>
    <nc r="P286">
      <v>57.594999999999999</v>
    </nc>
  </rcc>
  <rcc rId="1692" sId="1" numFmtId="4">
    <oc r="P287">
      <v>0.15</v>
    </oc>
    <nc r="P287">
      <v>57.594999999999999</v>
    </nc>
  </rcc>
  <rcc rId="1693" sId="1" numFmtId="4">
    <oc r="P288">
      <v>0.15</v>
    </oc>
    <nc r="P288">
      <v>57.594999999999999</v>
    </nc>
  </rcc>
  <rcc rId="1694" sId="1" numFmtId="4">
    <oc r="P289">
      <v>0.15</v>
    </oc>
    <nc r="P289">
      <v>57.594999999999999</v>
    </nc>
  </rcc>
  <rcc rId="1695" sId="1" numFmtId="4">
    <oc r="P290">
      <v>0.15</v>
    </oc>
    <nc r="P290">
      <v>57.594999999999999</v>
    </nc>
  </rcc>
  <rcc rId="1696" sId="1" numFmtId="4">
    <oc r="P291">
      <v>0.15</v>
    </oc>
    <nc r="P291">
      <v>57.594999999999999</v>
    </nc>
  </rcc>
  <rcc rId="1697" sId="1" numFmtId="4">
    <oc r="P292">
      <v>0.15</v>
    </oc>
    <nc r="P292">
      <v>57.594999999999999</v>
    </nc>
  </rcc>
  <rcc rId="1698" sId="1" numFmtId="4">
    <oc r="P293">
      <v>0.15</v>
    </oc>
    <nc r="P293">
      <v>57.594999999999999</v>
    </nc>
  </rcc>
  <rcc rId="1699" sId="1" numFmtId="4">
    <oc r="P294">
      <v>0.15</v>
    </oc>
    <nc r="P294">
      <v>57.594999999999999</v>
    </nc>
  </rcc>
  <rcc rId="1700" sId="1" numFmtId="4">
    <oc r="P295">
      <v>0.15</v>
    </oc>
    <nc r="P295">
      <v>57.594999999999999</v>
    </nc>
  </rcc>
  <rcc rId="1701" sId="1" numFmtId="4">
    <oc r="P296">
      <v>0.15</v>
    </oc>
    <nc r="P296">
      <v>57.594999999999999</v>
    </nc>
  </rcc>
  <rcc rId="1702" sId="1" numFmtId="4">
    <oc r="P297">
      <v>0.15</v>
    </oc>
    <nc r="P297">
      <v>57.594999999999999</v>
    </nc>
  </rcc>
  <rcc rId="1703" sId="1" numFmtId="4">
    <oc r="P298">
      <v>0.15</v>
    </oc>
    <nc r="P298">
      <v>57.594999999999999</v>
    </nc>
  </rcc>
  <rcc rId="1704" sId="1" numFmtId="4">
    <oc r="P299">
      <v>0.15</v>
    </oc>
    <nc r="P299">
      <v>57.594999999999999</v>
    </nc>
  </rcc>
  <rcc rId="1705" sId="1" numFmtId="4">
    <oc r="P300">
      <v>0.15</v>
    </oc>
    <nc r="P300">
      <v>57.594999999999999</v>
    </nc>
  </rcc>
  <rcc rId="1706" sId="1" numFmtId="4">
    <oc r="P301">
      <v>0.15</v>
    </oc>
    <nc r="P301">
      <v>57.594999999999999</v>
    </nc>
  </rcc>
  <rcc rId="1707" sId="1" numFmtId="4">
    <oc r="P302">
      <v>0.15</v>
    </oc>
    <nc r="P302">
      <v>57.594999999999999</v>
    </nc>
  </rcc>
  <rcc rId="1708" sId="1" numFmtId="4">
    <oc r="P303">
      <v>0.15</v>
    </oc>
    <nc r="P303">
      <v>57.594999999999999</v>
    </nc>
  </rcc>
  <rcc rId="1709" sId="1" numFmtId="4">
    <oc r="P304">
      <v>0.15</v>
    </oc>
    <nc r="P304">
      <v>57.594999999999999</v>
    </nc>
  </rcc>
  <rcc rId="1710" sId="1" numFmtId="4">
    <oc r="P305">
      <v>0.15</v>
    </oc>
    <nc r="P305">
      <v>57.594999999999999</v>
    </nc>
  </rcc>
  <rcc rId="1711" sId="1" numFmtId="4">
    <oc r="P306">
      <v>0.15</v>
    </oc>
    <nc r="P306">
      <v>57.594999999999999</v>
    </nc>
  </rcc>
  <rcc rId="1712" sId="1" numFmtId="4">
    <oc r="P307">
      <v>0.15</v>
    </oc>
    <nc r="P307">
      <v>57.594999999999999</v>
    </nc>
  </rcc>
  <rcc rId="1713" sId="1" numFmtId="4">
    <oc r="P308">
      <v>0.15</v>
    </oc>
    <nc r="P308">
      <v>57.594999999999999</v>
    </nc>
  </rcc>
  <rcc rId="1714" sId="1">
    <oc r="Q21">
      <v>0.15</v>
    </oc>
    <nc r="Q21">
      <v>57.594999999999999</v>
    </nc>
  </rcc>
  <rcc rId="1715" sId="1">
    <oc r="Q24">
      <v>0.1</v>
    </oc>
    <nc r="Q24">
      <v>57.59</v>
    </nc>
  </rcc>
  <rcc rId="1716" sId="1">
    <oc r="Q25">
      <v>0.15</v>
    </oc>
    <nc r="Q25">
      <v>57.594999999999999</v>
    </nc>
  </rcc>
  <rcc rId="1717" sId="1">
    <oc r="Q29">
      <v>0.15</v>
    </oc>
    <nc r="Q29">
      <v>57.594999999999999</v>
    </nc>
  </rcc>
  <rcc rId="1718" sId="1">
    <oc r="Q30">
      <v>0.1</v>
    </oc>
    <nc r="Q30">
      <v>57.59</v>
    </nc>
  </rcc>
  <rcc rId="1719" sId="1">
    <oc r="Q33">
      <v>0.1</v>
    </oc>
    <nc r="Q33">
      <v>57.59</v>
    </nc>
  </rcc>
  <rcc rId="1720" sId="1">
    <oc r="Q37">
      <v>0.1</v>
    </oc>
    <nc r="Q37">
      <v>57.59</v>
    </nc>
  </rcc>
  <rcc rId="1721" sId="1">
    <oc r="Q38">
      <v>0.15</v>
    </oc>
    <nc r="Q38">
      <v>57.594999999999999</v>
    </nc>
  </rcc>
  <rcc rId="1722" sId="1">
    <oc r="Q39">
      <v>0.1</v>
    </oc>
    <nc r="Q39">
      <v>57.59</v>
    </nc>
  </rcc>
  <rcc rId="1723" sId="1">
    <oc r="Q40">
      <v>0.1</v>
    </oc>
    <nc r="Q40">
      <v>57.59</v>
    </nc>
  </rcc>
  <rcc rId="1724" sId="1">
    <oc r="Q41">
      <v>0.1</v>
    </oc>
    <nc r="Q41">
      <v>57.59</v>
    </nc>
  </rcc>
  <rcc rId="1725" sId="1">
    <oc r="Q66">
      <v>0.1</v>
    </oc>
    <nc r="Q66">
      <v>57.59</v>
    </nc>
  </rcc>
  <rcc rId="1726" sId="1">
    <oc r="Q69">
      <v>0.15</v>
    </oc>
    <nc r="Q69">
      <v>57.594999999999999</v>
    </nc>
  </rcc>
  <rcc rId="1727" sId="1">
    <oc r="Q71">
      <v>0.15</v>
    </oc>
    <nc r="Q71">
      <v>57.594999999999999</v>
    </nc>
  </rcc>
  <rcc rId="1728" sId="1">
    <oc r="Q72">
      <v>0.15</v>
    </oc>
    <nc r="Q72">
      <v>57.594999999999999</v>
    </nc>
  </rcc>
  <rcc rId="1729" sId="1">
    <oc r="Q77">
      <v>0.1</v>
    </oc>
    <nc r="Q77">
      <v>57.59</v>
    </nc>
  </rcc>
  <rcc rId="1730" sId="1">
    <oc r="Q79">
      <v>0.15</v>
    </oc>
    <nc r="Q79">
      <v>57.594999999999999</v>
    </nc>
  </rcc>
  <rcc rId="1731" sId="1">
    <oc r="Q81">
      <v>0.1</v>
    </oc>
    <nc r="Q81">
      <v>57.59</v>
    </nc>
  </rcc>
  <rcc rId="1732" sId="1">
    <oc r="Q82">
      <v>0.1</v>
    </oc>
    <nc r="Q82">
      <v>57.59</v>
    </nc>
  </rcc>
  <rcc rId="1733" sId="1">
    <oc r="Q83">
      <v>0.15</v>
    </oc>
    <nc r="Q83">
      <v>57.594999999999999</v>
    </nc>
  </rcc>
  <rcc rId="1734" sId="1" numFmtId="4">
    <oc r="Q86">
      <v>0.1</v>
    </oc>
    <nc r="Q86">
      <v>57.59</v>
    </nc>
  </rcc>
  <rcc rId="1735" sId="1" numFmtId="4">
    <oc r="Q87">
      <v>0.1</v>
    </oc>
    <nc r="Q87">
      <v>57.59</v>
    </nc>
  </rcc>
  <rcc rId="1736" sId="1" numFmtId="4">
    <oc r="Q88">
      <v>0.15</v>
    </oc>
    <nc r="Q88">
      <v>57.594999999999999</v>
    </nc>
  </rcc>
  <rcc rId="1737" sId="1" numFmtId="4">
    <oc r="Q91">
      <v>0.1</v>
    </oc>
    <nc r="Q91">
      <v>57.59</v>
    </nc>
  </rcc>
  <rcc rId="1738" sId="1" numFmtId="4">
    <oc r="Q92">
      <v>0.15</v>
    </oc>
    <nc r="Q92">
      <v>57.594999999999999</v>
    </nc>
  </rcc>
  <rcc rId="1739" sId="1" numFmtId="4">
    <oc r="Q95">
      <v>0.1</v>
    </oc>
    <nc r="Q95">
      <v>57.59</v>
    </nc>
  </rcc>
  <rcc rId="1740" sId="1" numFmtId="4">
    <oc r="Q97">
      <v>0.15</v>
    </oc>
    <nc r="Q97">
      <v>57.594999999999999</v>
    </nc>
  </rcc>
  <rcc rId="1741" sId="1" numFmtId="4">
    <oc r="Q106">
      <v>0.1</v>
    </oc>
    <nc r="Q106">
      <v>57.59</v>
    </nc>
  </rcc>
  <rcc rId="1742" sId="1" numFmtId="4">
    <oc r="Q110">
      <v>0.1</v>
    </oc>
    <nc r="Q110">
      <v>57.59</v>
    </nc>
  </rcc>
  <rcc rId="1743" sId="1" numFmtId="4">
    <oc r="Q112">
      <v>0.1</v>
    </oc>
    <nc r="Q112">
      <v>57.59</v>
    </nc>
  </rcc>
  <rcc rId="1744" sId="1" numFmtId="4">
    <oc r="Q113">
      <v>0.15</v>
    </oc>
    <nc r="Q113">
      <v>57.594999999999999</v>
    </nc>
  </rcc>
  <rcc rId="1745" sId="1" numFmtId="4">
    <oc r="Q114">
      <v>0.15</v>
    </oc>
    <nc r="Q114">
      <v>57.594999999999999</v>
    </nc>
  </rcc>
  <rcc rId="1746" sId="1" numFmtId="4">
    <oc r="Q115">
      <v>0.15</v>
    </oc>
    <nc r="Q115">
      <v>57.594999999999999</v>
    </nc>
  </rcc>
  <rcc rId="1747" sId="1" numFmtId="4">
    <oc r="Q116">
      <v>0.15</v>
    </oc>
    <nc r="Q116">
      <v>57.594999999999999</v>
    </nc>
  </rcc>
  <rcc rId="1748" sId="1" numFmtId="4">
    <oc r="Q121">
      <v>0.15</v>
    </oc>
    <nc r="Q121">
      <v>57.594999999999999</v>
    </nc>
  </rcc>
  <rcc rId="1749" sId="1" numFmtId="4">
    <oc r="Q126">
      <v>0.1</v>
    </oc>
    <nc r="Q126">
      <v>57.59</v>
    </nc>
  </rcc>
  <rcc rId="1750" sId="1">
    <oc r="Q127">
      <v>0.15</v>
    </oc>
    <nc r="Q127">
      <v>57.594999999999999</v>
    </nc>
  </rcc>
  <rcc rId="1751" sId="1">
    <oc r="Q128">
      <v>0.15</v>
    </oc>
    <nc r="Q128">
      <v>57.594999999999999</v>
    </nc>
  </rcc>
  <rcc rId="1752" sId="1" numFmtId="4">
    <oc r="Q137">
      <v>0.1</v>
    </oc>
    <nc r="Q137">
      <v>57.59</v>
    </nc>
  </rcc>
  <rcc rId="1753" sId="1" numFmtId="4">
    <oc r="Q138">
      <v>0.1</v>
    </oc>
    <nc r="Q138">
      <v>57.59</v>
    </nc>
  </rcc>
  <rcc rId="1754" sId="1" numFmtId="4">
    <oc r="Q166">
      <v>0.1</v>
    </oc>
    <nc r="Q166">
      <v>57.59</v>
    </nc>
  </rcc>
  <rcc rId="1755" sId="1" numFmtId="4">
    <oc r="Q167">
      <v>0.1</v>
    </oc>
    <nc r="Q167">
      <v>57.59</v>
    </nc>
  </rcc>
  <rcc rId="1756" sId="1" numFmtId="4">
    <oc r="Q168">
      <v>0.1</v>
    </oc>
    <nc r="Q168">
      <v>57.59</v>
    </nc>
  </rcc>
  <rcc rId="1757" sId="1" numFmtId="4">
    <oc r="Q169">
      <v>0.1</v>
    </oc>
    <nc r="Q169">
      <v>57.59</v>
    </nc>
  </rcc>
  <rcc rId="1758" sId="1" numFmtId="4">
    <oc r="Q170">
      <v>0.1</v>
    </oc>
    <nc r="Q170">
      <v>57.59</v>
    </nc>
  </rcc>
  <rcc rId="1759" sId="1" numFmtId="4">
    <oc r="Q171">
      <v>0.1</v>
    </oc>
    <nc r="Q171">
      <v>57.59</v>
    </nc>
  </rcc>
  <rcc rId="1760" sId="1" numFmtId="4">
    <oc r="Q172">
      <v>0.1</v>
    </oc>
    <nc r="Q172">
      <v>57.59</v>
    </nc>
  </rcc>
  <rcc rId="1761" sId="1" numFmtId="4">
    <oc r="Q173">
      <v>0.1</v>
    </oc>
    <nc r="Q173">
      <v>57.59</v>
    </nc>
  </rcc>
  <rcc rId="1762" sId="1" numFmtId="4">
    <oc r="Q174">
      <v>0.1</v>
    </oc>
    <nc r="Q174">
      <v>57.59</v>
    </nc>
  </rcc>
  <rcc rId="1763" sId="1" numFmtId="4">
    <oc r="Q175">
      <v>0.1</v>
    </oc>
    <nc r="Q175">
      <v>57.59</v>
    </nc>
  </rcc>
  <rcc rId="1764" sId="1" numFmtId="4">
    <oc r="Q176">
      <v>0.1</v>
    </oc>
    <nc r="Q176">
      <v>57.59</v>
    </nc>
  </rcc>
  <rcc rId="1765" sId="1" numFmtId="4">
    <oc r="Q177">
      <v>0.1</v>
    </oc>
    <nc r="Q177">
      <v>57.59</v>
    </nc>
  </rcc>
  <rcc rId="1766" sId="1" numFmtId="4">
    <oc r="Q178">
      <v>0.1</v>
    </oc>
    <nc r="Q178">
      <v>57.59</v>
    </nc>
  </rcc>
  <rcc rId="1767" sId="1" numFmtId="4">
    <oc r="Q179">
      <v>0.1</v>
    </oc>
    <nc r="Q179">
      <v>57.59</v>
    </nc>
  </rcc>
  <rcc rId="1768" sId="1" numFmtId="4">
    <oc r="Q180">
      <v>0.1</v>
    </oc>
    <nc r="Q180">
      <v>57.59</v>
    </nc>
  </rcc>
  <rcc rId="1769" sId="1" numFmtId="4">
    <oc r="Q181">
      <v>0.1</v>
    </oc>
    <nc r="Q181">
      <v>57.59</v>
    </nc>
  </rcc>
  <rcc rId="1770" sId="1" numFmtId="4">
    <oc r="Q182">
      <v>0.1</v>
    </oc>
    <nc r="Q182">
      <v>57.59</v>
    </nc>
  </rcc>
  <rcc rId="1771" sId="1" numFmtId="4">
    <oc r="Q183">
      <v>0.1</v>
    </oc>
    <nc r="Q183">
      <v>57.59</v>
    </nc>
  </rcc>
  <rcc rId="1772" sId="1" numFmtId="4">
    <oc r="Q184">
      <v>0.1</v>
    </oc>
    <nc r="Q184">
      <v>57.59</v>
    </nc>
  </rcc>
  <rcc rId="1773" sId="1" numFmtId="4">
    <oc r="Q185">
      <v>0.1</v>
    </oc>
    <nc r="Q185">
      <v>57.59</v>
    </nc>
  </rcc>
  <rcc rId="1774" sId="1" numFmtId="4">
    <oc r="Q186">
      <v>0.1</v>
    </oc>
    <nc r="Q186">
      <v>57.59</v>
    </nc>
  </rcc>
  <rcc rId="1775" sId="1" numFmtId="4">
    <oc r="Q187">
      <v>0.1</v>
    </oc>
    <nc r="Q187">
      <v>57.59</v>
    </nc>
  </rcc>
  <rcc rId="1776" sId="1" numFmtId="4">
    <oc r="Q188">
      <v>0.1</v>
    </oc>
    <nc r="Q188">
      <v>57.59</v>
    </nc>
  </rcc>
  <rcc rId="1777" sId="1" numFmtId="4">
    <oc r="Q189">
      <v>0.1</v>
    </oc>
    <nc r="Q189">
      <v>57.59</v>
    </nc>
  </rcc>
  <rcc rId="1778" sId="1" numFmtId="4">
    <oc r="Q190">
      <v>0.1</v>
    </oc>
    <nc r="Q190">
      <v>57.59</v>
    </nc>
  </rcc>
  <rcc rId="1779" sId="1" numFmtId="4">
    <oc r="Q191">
      <v>0.1</v>
    </oc>
    <nc r="Q191">
      <v>57.59</v>
    </nc>
  </rcc>
  <rcc rId="1780" sId="1" numFmtId="4">
    <oc r="Q192">
      <v>0.1</v>
    </oc>
    <nc r="Q192">
      <v>57.59</v>
    </nc>
  </rcc>
  <rcc rId="1781" sId="1" numFmtId="4">
    <oc r="Q193">
      <v>0.1</v>
    </oc>
    <nc r="Q193">
      <v>57.59</v>
    </nc>
  </rcc>
  <rcc rId="1782" sId="1" numFmtId="4">
    <oc r="Q194">
      <v>0.1</v>
    </oc>
    <nc r="Q194">
      <v>57.59</v>
    </nc>
  </rcc>
  <rcc rId="1783" sId="1" numFmtId="4">
    <oc r="Q195">
      <v>0.1</v>
    </oc>
    <nc r="Q195">
      <v>57.59</v>
    </nc>
  </rcc>
  <rcc rId="1784" sId="1" numFmtId="4">
    <oc r="Q196">
      <v>0.1</v>
    </oc>
    <nc r="Q196">
      <v>57.59</v>
    </nc>
  </rcc>
  <rcc rId="1785" sId="1" numFmtId="4">
    <oc r="Q197">
      <v>0.1</v>
    </oc>
    <nc r="Q197">
      <v>57.59</v>
    </nc>
  </rcc>
  <rcc rId="1786" sId="1" numFmtId="4">
    <oc r="Q198">
      <v>0.1</v>
    </oc>
    <nc r="Q198">
      <v>57.59</v>
    </nc>
  </rcc>
  <rcc rId="1787" sId="1" numFmtId="4">
    <oc r="Q202">
      <v>0.1</v>
    </oc>
    <nc r="Q202">
      <v>57.59</v>
    </nc>
  </rcc>
  <rcc rId="1788" sId="1" numFmtId="4">
    <oc r="Q203">
      <v>0.1</v>
    </oc>
    <nc r="Q203">
      <v>57.59</v>
    </nc>
  </rcc>
  <rcc rId="1789" sId="1" numFmtId="4">
    <oc r="Q205">
      <v>0.1</v>
    </oc>
    <nc r="Q205">
      <v>57.59</v>
    </nc>
  </rcc>
  <rcc rId="1790" sId="1" numFmtId="4">
    <oc r="Q206">
      <v>0.1</v>
    </oc>
    <nc r="Q206">
      <v>57.59</v>
    </nc>
  </rcc>
  <rcc rId="1791" sId="1" numFmtId="4">
    <oc r="Q207">
      <v>0.1</v>
    </oc>
    <nc r="Q207">
      <v>57.59</v>
    </nc>
  </rcc>
  <rcc rId="1792" sId="1" numFmtId="4">
    <oc r="Q208">
      <v>0.1</v>
    </oc>
    <nc r="Q208">
      <v>57.59</v>
    </nc>
  </rcc>
  <rcc rId="1793" sId="1" numFmtId="4">
    <oc r="Q209">
      <v>0.1</v>
    </oc>
    <nc r="Q209">
      <v>57.59</v>
    </nc>
  </rcc>
  <rcc rId="1794" sId="1" numFmtId="4">
    <oc r="Q210">
      <v>0.1</v>
    </oc>
    <nc r="Q210">
      <v>57.59</v>
    </nc>
  </rcc>
  <rcc rId="1795" sId="1" numFmtId="4">
    <oc r="Q211">
      <v>0.1</v>
    </oc>
    <nc r="Q211">
      <v>57.59</v>
    </nc>
  </rcc>
  <rcc rId="1796" sId="1" numFmtId="4">
    <oc r="Q212">
      <v>0.1</v>
    </oc>
    <nc r="Q212">
      <v>57.59</v>
    </nc>
  </rcc>
  <rcc rId="1797" sId="1" numFmtId="4">
    <oc r="Q219">
      <v>0.1</v>
    </oc>
    <nc r="Q219">
      <v>57.59</v>
    </nc>
  </rcc>
  <rcc rId="1798" sId="1" numFmtId="4">
    <oc r="Q220">
      <v>0.1</v>
    </oc>
    <nc r="Q220">
      <v>57.59</v>
    </nc>
  </rcc>
  <rcc rId="1799" sId="1" numFmtId="4">
    <oc r="Q221">
      <v>0.1</v>
    </oc>
    <nc r="Q221">
      <v>57.59</v>
    </nc>
  </rcc>
  <rcc rId="1800" sId="1" numFmtId="4">
    <oc r="Q222">
      <v>0.1</v>
    </oc>
    <nc r="Q222">
      <v>57.59</v>
    </nc>
  </rcc>
  <rcc rId="1801" sId="1" numFmtId="4">
    <oc r="Q227">
      <v>0.1</v>
    </oc>
    <nc r="Q227">
      <v>57.59</v>
    </nc>
  </rcc>
  <rcc rId="1802" sId="1" numFmtId="4">
    <oc r="Q228">
      <v>0.1</v>
    </oc>
    <nc r="Q228">
      <v>57.59</v>
    </nc>
  </rcc>
  <rcc rId="1803" sId="1" numFmtId="4">
    <oc r="Q229">
      <v>0.1</v>
    </oc>
    <nc r="Q229">
      <v>57.59</v>
    </nc>
  </rcc>
  <rcc rId="1804" sId="1" numFmtId="4">
    <oc r="Q231">
      <v>0.1</v>
    </oc>
    <nc r="Q231">
      <v>57.59</v>
    </nc>
  </rcc>
  <rcc rId="1805" sId="1" numFmtId="4">
    <oc r="Q232">
      <v>0.1</v>
    </oc>
    <nc r="Q232">
      <v>57.59</v>
    </nc>
  </rcc>
  <rcc rId="1806" sId="1" numFmtId="4">
    <oc r="Q235">
      <v>0.1</v>
    </oc>
    <nc r="Q235">
      <v>57.59</v>
    </nc>
  </rcc>
  <rcc rId="1807" sId="1" numFmtId="4">
    <oc r="Q236">
      <v>0.1</v>
    </oc>
    <nc r="Q236">
      <v>57.59</v>
    </nc>
  </rcc>
  <rcc rId="1808" sId="1" numFmtId="4">
    <oc r="Q237">
      <v>0.1</v>
    </oc>
    <nc r="Q237">
      <v>57.59</v>
    </nc>
  </rcc>
  <rcc rId="1809" sId="1" numFmtId="4">
    <oc r="Q238">
      <v>0.1</v>
    </oc>
    <nc r="Q238">
      <v>57.59</v>
    </nc>
  </rcc>
  <rcc rId="1810" sId="1" numFmtId="4">
    <oc r="Q239">
      <v>0.1</v>
    </oc>
    <nc r="Q239">
      <v>57.59</v>
    </nc>
  </rcc>
  <rcc rId="1811" sId="1" numFmtId="4">
    <oc r="Q240">
      <v>0.1</v>
    </oc>
    <nc r="Q240">
      <v>57.59</v>
    </nc>
  </rcc>
  <rcc rId="1812" sId="1" numFmtId="4">
    <oc r="Q244">
      <v>0.1</v>
    </oc>
    <nc r="Q244">
      <v>57.59</v>
    </nc>
  </rcc>
  <rcc rId="1813" sId="1" numFmtId="4">
    <oc r="Q245">
      <v>0.1</v>
    </oc>
    <nc r="Q245">
      <v>57.59</v>
    </nc>
  </rcc>
  <rcc rId="1814" sId="1" numFmtId="4">
    <oc r="Q248">
      <v>0.1</v>
    </oc>
    <nc r="Q248">
      <v>57.59</v>
    </nc>
  </rcc>
  <rcc rId="1815" sId="1" numFmtId="4">
    <oc r="Q249">
      <v>0.1</v>
    </oc>
    <nc r="Q249">
      <v>57.59</v>
    </nc>
  </rcc>
  <rcc rId="1816" sId="1" numFmtId="4">
    <oc r="Q250">
      <v>0.1</v>
    </oc>
    <nc r="Q250">
      <v>57.59</v>
    </nc>
  </rcc>
  <rcc rId="1817" sId="1" numFmtId="4">
    <oc r="Q254">
      <v>0.1</v>
    </oc>
    <nc r="Q254">
      <v>57.59</v>
    </nc>
  </rcc>
  <rcc rId="1818" sId="1" numFmtId="4">
    <oc r="Q262">
      <v>0.1</v>
    </oc>
    <nc r="Q262">
      <v>57.59</v>
    </nc>
  </rcc>
  <rcc rId="1819" sId="1" numFmtId="4">
    <oc r="Q265">
      <v>0.1</v>
    </oc>
    <nc r="Q265">
      <v>57.59</v>
    </nc>
  </rcc>
  <rcc rId="1820" sId="1" numFmtId="4">
    <oc r="Q272">
      <v>0.1</v>
    </oc>
    <nc r="Q272">
      <v>57.59</v>
    </nc>
  </rcc>
  <rcc rId="1821" sId="1" numFmtId="4">
    <oc r="Q276">
      <v>0.1</v>
    </oc>
    <nc r="Q276">
      <v>57.59</v>
    </nc>
  </rcc>
  <rcc rId="1822" sId="1" numFmtId="4">
    <oc r="Q279">
      <v>0.15</v>
    </oc>
    <nc r="Q279">
      <v>57.594999999999999</v>
    </nc>
  </rcc>
  <rcc rId="1823" sId="1" numFmtId="4">
    <oc r="Q280">
      <v>0.15</v>
    </oc>
    <nc r="Q280">
      <v>57.594999999999999</v>
    </nc>
  </rcc>
  <rcc rId="1824" sId="1" numFmtId="4">
    <oc r="Q281">
      <v>0.15</v>
    </oc>
    <nc r="Q281">
      <v>57.594999999999999</v>
    </nc>
  </rcc>
  <rcc rId="1825" sId="1" numFmtId="4">
    <oc r="Q282">
      <v>0.15</v>
    </oc>
    <nc r="Q282">
      <v>57.594999999999999</v>
    </nc>
  </rcc>
  <rcc rId="1826" sId="1" numFmtId="4">
    <oc r="Q283">
      <v>0.15</v>
    </oc>
    <nc r="Q283">
      <v>57.594999999999999</v>
    </nc>
  </rcc>
  <rcc rId="1827" sId="1" numFmtId="4">
    <oc r="Q284">
      <v>0.15</v>
    </oc>
    <nc r="Q284">
      <v>57.594999999999999</v>
    </nc>
  </rcc>
  <rcc rId="1828" sId="1" numFmtId="4">
    <oc r="Q285">
      <v>0.15</v>
    </oc>
    <nc r="Q285">
      <v>57.594999999999999</v>
    </nc>
  </rcc>
  <rcc rId="1829" sId="1" numFmtId="4">
    <oc r="Q286">
      <v>0.15</v>
    </oc>
    <nc r="Q286">
      <v>57.594999999999999</v>
    </nc>
  </rcc>
  <rcc rId="1830" sId="1" numFmtId="4">
    <oc r="Q287">
      <v>0.15</v>
    </oc>
    <nc r="Q287">
      <v>57.594999999999999</v>
    </nc>
  </rcc>
  <rcc rId="1831" sId="1" numFmtId="4">
    <oc r="Q288">
      <v>0.15</v>
    </oc>
    <nc r="Q288">
      <v>57.594999999999999</v>
    </nc>
  </rcc>
  <rcc rId="1832" sId="1" numFmtId="4">
    <oc r="Q289">
      <v>0.15</v>
    </oc>
    <nc r="Q289">
      <v>57.594999999999999</v>
    </nc>
  </rcc>
  <rcc rId="1833" sId="1" numFmtId="4">
    <oc r="Q290">
      <v>0.15</v>
    </oc>
    <nc r="Q290">
      <v>57.594999999999999</v>
    </nc>
  </rcc>
  <rcc rId="1834" sId="1" numFmtId="4">
    <oc r="Q291">
      <v>0.15</v>
    </oc>
    <nc r="Q291">
      <v>57.594999999999999</v>
    </nc>
  </rcc>
  <rcc rId="1835" sId="1" numFmtId="4">
    <oc r="Q292">
      <v>0.15</v>
    </oc>
    <nc r="Q292">
      <v>57.594999999999999</v>
    </nc>
  </rcc>
  <rcc rId="1836" sId="1" numFmtId="4">
    <oc r="Q293">
      <v>0.15</v>
    </oc>
    <nc r="Q293">
      <v>57.594999999999999</v>
    </nc>
  </rcc>
  <rcc rId="1837" sId="1" numFmtId="4">
    <oc r="Q294">
      <v>0.15</v>
    </oc>
    <nc r="Q294">
      <v>57.594999999999999</v>
    </nc>
  </rcc>
  <rcc rId="1838" sId="1" numFmtId="4">
    <oc r="Q295">
      <v>0.15</v>
    </oc>
    <nc r="Q295">
      <v>57.594999999999999</v>
    </nc>
  </rcc>
  <rcc rId="1839" sId="1" numFmtId="4">
    <oc r="Q296">
      <v>0.15</v>
    </oc>
    <nc r="Q296">
      <v>57.594999999999999</v>
    </nc>
  </rcc>
  <rcc rId="1840" sId="1" numFmtId="4">
    <oc r="Q297">
      <v>0.15</v>
    </oc>
    <nc r="Q297">
      <v>57.594999999999999</v>
    </nc>
  </rcc>
  <rcc rId="1841" sId="1" numFmtId="4">
    <oc r="Q298">
      <v>0.15</v>
    </oc>
    <nc r="Q298">
      <v>57.594999999999999</v>
    </nc>
  </rcc>
  <rcc rId="1842" sId="1" numFmtId="4">
    <oc r="Q299">
      <v>0.15</v>
    </oc>
    <nc r="Q299">
      <v>57.594999999999999</v>
    </nc>
  </rcc>
  <rcc rId="1843" sId="1" numFmtId="4">
    <oc r="Q300">
      <v>0.15</v>
    </oc>
    <nc r="Q300">
      <v>57.594999999999999</v>
    </nc>
  </rcc>
  <rcc rId="1844" sId="1" numFmtId="4">
    <oc r="Q301">
      <v>0.15</v>
    </oc>
    <nc r="Q301">
      <v>57.594999999999999</v>
    </nc>
  </rcc>
  <rcc rId="1845" sId="1" numFmtId="4">
    <oc r="Q302">
      <v>0.15</v>
    </oc>
    <nc r="Q302">
      <v>57.594999999999999</v>
    </nc>
  </rcc>
  <rcc rId="1846" sId="1" numFmtId="4">
    <oc r="Q303">
      <v>0.15</v>
    </oc>
    <nc r="Q303">
      <v>57.594999999999999</v>
    </nc>
  </rcc>
  <rcc rId="1847" sId="1" numFmtId="4">
    <oc r="Q304">
      <v>0.15</v>
    </oc>
    <nc r="Q304">
      <v>57.594999999999999</v>
    </nc>
  </rcc>
  <rcc rId="1848" sId="1" numFmtId="4">
    <oc r="Q305">
      <v>0.15</v>
    </oc>
    <nc r="Q305">
      <v>57.594999999999999</v>
    </nc>
  </rcc>
  <rcc rId="1849" sId="1" numFmtId="4">
    <oc r="Q306">
      <v>0.15</v>
    </oc>
    <nc r="Q306">
      <v>57.594999999999999</v>
    </nc>
  </rcc>
  <rcc rId="1850" sId="1" numFmtId="4">
    <oc r="Q307">
      <v>0.15</v>
    </oc>
    <nc r="Q307">
      <v>57.594999999999999</v>
    </nc>
  </rcc>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P1:Q1048576">
    <dxf>
      <fill>
        <patternFill patternType="none">
          <bgColor auto="1"/>
        </patternFill>
      </fill>
    </dxf>
  </rfmt>
  <rcc rId="1851" sId="1" numFmtId="4">
    <oc r="Q241">
      <v>0.2</v>
    </oc>
    <nc r="Q241">
      <v>28.792590000000001</v>
    </nc>
  </rcc>
  <rcc rId="1852" sId="1" numFmtId="4">
    <oc r="Q242">
      <v>0.2</v>
    </oc>
    <nc r="Q242">
      <v>28.792590000000001</v>
    </nc>
  </rcc>
  <rcc rId="1853" sId="1" numFmtId="4">
    <oc r="P243">
      <v>0.2</v>
    </oc>
    <nc r="P243">
      <v>28.792590000000001</v>
    </nc>
  </rcc>
  <rcc rId="1854" sId="1" numFmtId="4">
    <oc r="Q243">
      <v>0.2</v>
    </oc>
    <nc r="Q243">
      <v>28.792590000000001</v>
    </nc>
  </rcc>
  <rcc rId="1855" sId="1" numFmtId="4">
    <oc r="Q246">
      <v>0.2</v>
    </oc>
    <nc r="Q246">
      <v>28.792590000000001</v>
    </nc>
  </rcc>
  <rcc rId="1856" sId="1" numFmtId="4">
    <oc r="Q247">
      <v>0.2</v>
    </oc>
    <nc r="Q247">
      <v>28.792590000000001</v>
    </nc>
  </rcc>
  <rcc rId="1857" sId="1" numFmtId="4">
    <oc r="P248">
      <v>0.2</v>
    </oc>
    <nc r="P248">
      <v>28.792590000000001</v>
    </nc>
  </rcc>
  <rcc rId="1858" sId="1" numFmtId="4">
    <oc r="Q251">
      <v>0.2</v>
    </oc>
    <nc r="Q251">
      <v>28.792590000000001</v>
    </nc>
  </rcc>
  <rcc rId="1859" sId="1" numFmtId="4">
    <oc r="Q252">
      <v>0.2</v>
    </oc>
    <nc r="Q252">
      <v>28.792590000000001</v>
    </nc>
  </rcc>
  <rcc rId="1860" sId="1" numFmtId="4">
    <oc r="P253">
      <v>0.2</v>
    </oc>
    <nc r="P253">
      <v>28.792590000000001</v>
    </nc>
  </rcc>
  <rcc rId="1861" sId="1" numFmtId="4">
    <oc r="Q253">
      <v>0.2</v>
    </oc>
    <nc r="Q253">
      <v>28.792590000000001</v>
    </nc>
  </rcc>
  <rcc rId="1862" sId="1" numFmtId="4">
    <oc r="Q255">
      <v>0.2</v>
    </oc>
    <nc r="Q255">
      <v>28.792590000000001</v>
    </nc>
  </rcc>
  <rcc rId="1863" sId="1" numFmtId="4">
    <oc r="P256">
      <v>0.2</v>
    </oc>
    <nc r="P256">
      <v>28.792590000000001</v>
    </nc>
  </rcc>
  <rcc rId="1864" sId="1" numFmtId="4">
    <oc r="Q256">
      <v>0.2</v>
    </oc>
    <nc r="Q256">
      <v>28.792590000000001</v>
    </nc>
  </rcc>
  <rcc rId="1865" sId="1" numFmtId="4">
    <oc r="P257">
      <v>0.2</v>
    </oc>
    <nc r="P257">
      <v>28.792590000000001</v>
    </nc>
  </rcc>
  <rcc rId="1866" sId="1" numFmtId="4">
    <oc r="Q257">
      <v>0.2</v>
    </oc>
    <nc r="Q257">
      <v>28.792590000000001</v>
    </nc>
  </rcc>
  <rcc rId="1867" sId="1" numFmtId="4">
    <oc r="Q258">
      <v>0.2</v>
    </oc>
    <nc r="Q258">
      <v>28.792590000000001</v>
    </nc>
  </rcc>
  <rcc rId="1868" sId="1" numFmtId="4">
    <oc r="Q259">
      <v>0.2</v>
    </oc>
    <nc r="Q259">
      <v>28.792590000000001</v>
    </nc>
  </rcc>
  <rcc rId="1869" sId="1" numFmtId="4">
    <oc r="Q260">
      <v>0.2</v>
    </oc>
    <nc r="Q260">
      <v>28.792590000000001</v>
    </nc>
  </rcc>
  <rcc rId="1870" sId="1" numFmtId="4">
    <oc r="Q261">
      <v>0.2</v>
    </oc>
    <nc r="Q261">
      <v>28.792590000000001</v>
    </nc>
  </rcc>
  <rcc rId="1871" sId="1" numFmtId="4">
    <oc r="P262">
      <v>0.2</v>
    </oc>
    <nc r="P262">
      <v>28.792590000000001</v>
    </nc>
  </rcc>
  <rcc rId="1872" sId="1" numFmtId="4">
    <oc r="Q263">
      <v>0.2</v>
    </oc>
    <nc r="Q263">
      <v>28.792590000000001</v>
    </nc>
  </rcc>
  <rcc rId="1873" sId="1" numFmtId="4">
    <oc r="Q264">
      <v>0.2</v>
    </oc>
    <nc r="Q264">
      <v>28.792590000000001</v>
    </nc>
  </rcc>
  <rcc rId="1874" sId="1" numFmtId="4">
    <oc r="Q266">
      <v>0.2</v>
    </oc>
    <nc r="Q266">
      <v>28.792590000000001</v>
    </nc>
  </rcc>
  <rcc rId="1875" sId="1" numFmtId="4">
    <oc r="Q267">
      <v>0.2</v>
    </oc>
    <nc r="Q267">
      <v>28.792590000000001</v>
    </nc>
  </rcc>
  <rcc rId="1876" sId="1" numFmtId="4">
    <oc r="P268">
      <v>0.2</v>
    </oc>
    <nc r="P268">
      <v>28.792590000000001</v>
    </nc>
  </rcc>
  <rcc rId="1877" sId="1" numFmtId="4">
    <oc r="Q268">
      <v>0.2</v>
    </oc>
    <nc r="Q268">
      <v>28.792590000000001</v>
    </nc>
  </rcc>
  <rcc rId="1878" sId="1" numFmtId="4">
    <oc r="P269">
      <v>0.2</v>
    </oc>
    <nc r="P269">
      <v>28.792590000000001</v>
    </nc>
  </rcc>
  <rcc rId="1879" sId="1" numFmtId="4">
    <oc r="Q269">
      <v>0.2</v>
    </oc>
    <nc r="Q269">
      <v>28.792590000000001</v>
    </nc>
  </rcc>
  <rcc rId="1880" sId="1" numFmtId="4">
    <oc r="P270">
      <v>0.2</v>
    </oc>
    <nc r="P270">
      <v>28.792590000000001</v>
    </nc>
  </rcc>
  <rcc rId="1881" sId="1" numFmtId="4">
    <oc r="Q270">
      <v>0.2</v>
    </oc>
    <nc r="Q270">
      <v>28.792590000000001</v>
    </nc>
  </rcc>
  <rcc rId="1882" sId="1" numFmtId="4">
    <oc r="P271">
      <v>0.2</v>
    </oc>
    <nc r="P271">
      <v>28.792590000000001</v>
    </nc>
  </rcc>
  <rcc rId="1883" sId="1" numFmtId="4">
    <oc r="Q271">
      <v>0.2</v>
    </oc>
    <nc r="Q271">
      <v>28.792590000000001</v>
    </nc>
  </rcc>
  <rcc rId="1884" sId="1" numFmtId="4">
    <oc r="P272">
      <v>0.2</v>
    </oc>
    <nc r="P272">
      <v>28.792590000000001</v>
    </nc>
  </rcc>
  <rcc rId="1885" sId="1" numFmtId="4">
    <oc r="P273">
      <v>0.2</v>
    </oc>
    <nc r="P273">
      <v>28.792590000000001</v>
    </nc>
  </rcc>
  <rcc rId="1886" sId="1" numFmtId="4">
    <oc r="Q273">
      <v>0.2</v>
    </oc>
    <nc r="Q273">
      <v>28.792590000000001</v>
    </nc>
  </rcc>
  <rcc rId="1887" sId="1" numFmtId="4">
    <oc r="P274">
      <v>0.2</v>
    </oc>
    <nc r="P274">
      <v>28.792590000000001</v>
    </nc>
  </rcc>
  <rcc rId="1888" sId="1" numFmtId="4">
    <oc r="Q274">
      <v>0.2</v>
    </oc>
    <nc r="Q274">
      <v>28.792590000000001</v>
    </nc>
  </rcc>
  <rcc rId="1889" sId="1" numFmtId="4">
    <oc r="P275">
      <v>0.2</v>
    </oc>
    <nc r="P275">
      <v>28.792590000000001</v>
    </nc>
  </rcc>
  <rcc rId="1890" sId="1" numFmtId="4">
    <oc r="Q275">
      <v>0.2</v>
    </oc>
    <nc r="Q275">
      <v>28.792590000000001</v>
    </nc>
  </rcc>
  <rcc rId="1891" sId="1" numFmtId="4">
    <oc r="P277">
      <v>0.2</v>
    </oc>
    <nc r="P277">
      <v>28.792590000000001</v>
    </nc>
  </rcc>
  <rcc rId="1892" sId="1" numFmtId="4">
    <oc r="Q277">
      <v>0.2</v>
    </oc>
    <nc r="Q277">
      <v>28.792590000000001</v>
    </nc>
  </rcc>
  <rcc rId="1893" sId="1" numFmtId="4">
    <oc r="P278">
      <v>0.2</v>
    </oc>
    <nc r="P278">
      <v>28.792590000000001</v>
    </nc>
  </rcc>
  <rcc rId="1894" sId="1" numFmtId="4">
    <oc r="Q278">
      <v>0.2</v>
    </oc>
    <nc r="Q278">
      <v>28.792590000000001</v>
    </nc>
  </rcc>
  <rcc rId="1895" sId="1">
    <oc r="P117">
      <v>0.3</v>
    </oc>
    <nc r="P117">
      <v>19.195039999999999</v>
    </nc>
  </rcc>
  <rcc rId="1896" sId="1">
    <oc r="Q117">
      <v>0.3</v>
    </oc>
    <nc r="Q117">
      <v>19.195039999999999</v>
    </nc>
  </rcc>
  <rcc rId="1897" sId="1">
    <oc r="P118">
      <v>0.3</v>
    </oc>
    <nc r="P118">
      <v>19.195039999999999</v>
    </nc>
  </rcc>
  <rcc rId="1898" sId="1">
    <oc r="Q118">
      <v>0.3</v>
    </oc>
    <nc r="Q118">
      <v>19.195039999999999</v>
    </nc>
  </rcc>
  <rcc rId="1899" sId="1">
    <oc r="P119">
      <v>0.3</v>
    </oc>
    <nc r="P119">
      <v>19.195039999999999</v>
    </nc>
  </rcc>
  <rcc rId="1900" sId="1">
    <oc r="Q119">
      <v>0.3</v>
    </oc>
    <nc r="Q119">
      <v>19.195039999999999</v>
    </nc>
  </rcc>
  <rcc rId="1901" sId="1">
    <oc r="P120">
      <v>0.3</v>
    </oc>
    <nc r="P120">
      <v>19.195039999999999</v>
    </nc>
  </rcc>
  <rcc rId="1902" sId="1">
    <oc r="Q120">
      <v>0.3</v>
    </oc>
    <nc r="Q120">
      <v>19.195039999999999</v>
    </nc>
  </rcc>
  <rcc rId="1903" sId="1" numFmtId="4">
    <oc r="P122">
      <v>0.3</v>
    </oc>
    <nc r="P122">
      <v>19.195039999999999</v>
    </nc>
  </rcc>
  <rcc rId="1904" sId="1" numFmtId="4">
    <oc r="Q122">
      <v>0.3</v>
    </oc>
    <nc r="Q122">
      <v>19.195039999999999</v>
    </nc>
  </rcc>
  <rcc rId="1905" sId="1" numFmtId="4">
    <oc r="P123">
      <v>0.3</v>
    </oc>
    <nc r="P123">
      <v>19.195039999999999</v>
    </nc>
  </rcc>
  <rcc rId="1906" sId="1" numFmtId="4">
    <oc r="Q123">
      <v>0.3</v>
    </oc>
    <nc r="Q123">
      <v>19.195039999999999</v>
    </nc>
  </rcc>
  <rcc rId="1907" sId="1" numFmtId="4">
    <oc r="P124">
      <v>0.3</v>
    </oc>
    <nc r="P124">
      <v>19.195039999999999</v>
    </nc>
  </rcc>
  <rcc rId="1908" sId="1" numFmtId="4">
    <oc r="Q124">
      <v>0.3</v>
    </oc>
    <nc r="Q124">
      <v>19.195039999999999</v>
    </nc>
  </rcc>
  <rcc rId="1909" sId="1" numFmtId="4">
    <oc r="P125">
      <v>0.3</v>
    </oc>
    <nc r="P125">
      <v>19.195039999999999</v>
    </nc>
  </rcc>
  <rcc rId="1910" sId="1" numFmtId="4">
    <oc r="Q125">
      <v>0.3</v>
    </oc>
    <nc r="Q125">
      <v>19.195039999999999</v>
    </nc>
  </rcc>
  <rcc rId="1911" sId="1" numFmtId="4">
    <oc r="P126">
      <v>0.3</v>
    </oc>
    <nc r="P126">
      <v>19.195039999999999</v>
    </nc>
  </rcc>
  <rcc rId="1912" sId="1" numFmtId="4">
    <oc r="Q129">
      <v>0.3</v>
    </oc>
    <nc r="Q129">
      <v>19.195039999999999</v>
    </nc>
  </rcc>
  <rcc rId="1913" sId="1" numFmtId="4">
    <oc r="P130">
      <v>0.3</v>
    </oc>
    <nc r="P130">
      <v>19.195039999999999</v>
    </nc>
  </rcc>
  <rcc rId="1914" sId="1" numFmtId="4">
    <oc r="Q130">
      <v>0.3</v>
    </oc>
    <nc r="Q130">
      <v>19.195039999999999</v>
    </nc>
  </rcc>
  <rcc rId="1915" sId="1" numFmtId="4">
    <oc r="P131">
      <v>0.3</v>
    </oc>
    <nc r="P131">
      <v>19.195039999999999</v>
    </nc>
  </rcc>
  <rcc rId="1916" sId="1" numFmtId="4">
    <oc r="Q131">
      <v>0.3</v>
    </oc>
    <nc r="Q131">
      <v>19.195039999999999</v>
    </nc>
  </rcc>
  <rcc rId="1917" sId="1" numFmtId="4">
    <oc r="P132">
      <v>0.3</v>
    </oc>
    <nc r="P132">
      <v>19.195039999999999</v>
    </nc>
  </rcc>
  <rcc rId="1918" sId="1" numFmtId="4">
    <oc r="Q132">
      <v>0.3</v>
    </oc>
    <nc r="Q132">
      <v>19.195039999999999</v>
    </nc>
  </rcc>
  <rcc rId="1919" sId="1" numFmtId="4">
    <oc r="P133">
      <v>0.3</v>
    </oc>
    <nc r="P133">
      <v>19.195039999999999</v>
    </nc>
  </rcc>
  <rcc rId="1920" sId="1" numFmtId="4">
    <oc r="Q133">
      <v>0.3</v>
    </oc>
    <nc r="Q133">
      <v>19.195039999999999</v>
    </nc>
  </rcc>
  <rcc rId="1921" sId="1" numFmtId="4">
    <oc r="P134">
      <v>0.3</v>
    </oc>
    <nc r="P134">
      <v>19.195039999999999</v>
    </nc>
  </rcc>
  <rcc rId="1922" sId="1" numFmtId="4">
    <oc r="Q134">
      <v>0.3</v>
    </oc>
    <nc r="Q134">
      <v>19.195039999999999</v>
    </nc>
  </rcc>
  <rcc rId="1923" sId="1" numFmtId="4">
    <oc r="P135">
      <v>0.3</v>
    </oc>
    <nc r="P135">
      <v>19.195039999999999</v>
    </nc>
  </rcc>
  <rcc rId="1924" sId="1" numFmtId="4">
    <oc r="Q135">
      <v>0.3</v>
    </oc>
    <nc r="Q135">
      <v>19.195039999999999</v>
    </nc>
  </rcc>
  <rcc rId="1925" sId="1" numFmtId="4">
    <oc r="P136">
      <v>0.3</v>
    </oc>
    <nc r="P136">
      <v>19.195039999999999</v>
    </nc>
  </rcc>
  <rcc rId="1926" sId="1" numFmtId="4">
    <oc r="Q136">
      <v>0.3</v>
    </oc>
    <nc r="Q136">
      <v>19.195039999999999</v>
    </nc>
  </rcc>
  <rcc rId="1927" sId="1" numFmtId="4">
    <oc r="P199">
      <v>0.3</v>
    </oc>
    <nc r="P199">
      <v>19.195039999999999</v>
    </nc>
  </rcc>
  <rcc rId="1928" sId="1" numFmtId="4">
    <oc r="Q199">
      <v>0.3</v>
    </oc>
    <nc r="Q199">
      <v>19.195039999999999</v>
    </nc>
  </rcc>
  <rcc rId="1929" sId="1" numFmtId="4">
    <oc r="P200">
      <v>0.3</v>
    </oc>
    <nc r="P200">
      <v>19.195039999999999</v>
    </nc>
  </rcc>
  <rcc rId="1930" sId="1" numFmtId="4">
    <oc r="Q200">
      <v>0.3</v>
    </oc>
    <nc r="Q200">
      <v>19.195039999999999</v>
    </nc>
  </rcc>
  <rcc rId="1931" sId="1" numFmtId="4">
    <oc r="P201">
      <v>0.3</v>
    </oc>
    <nc r="P201">
      <v>19.195039999999999</v>
    </nc>
  </rcc>
  <rcc rId="1932" sId="1" numFmtId="4">
    <oc r="Q201">
      <v>0.3</v>
    </oc>
    <nc r="Q201">
      <v>19.195039999999999</v>
    </nc>
  </rcc>
  <rcc rId="1933" sId="1" numFmtId="4">
    <oc r="Q213">
      <v>0.3</v>
    </oc>
    <nc r="Q213">
      <v>19.195039999999999</v>
    </nc>
  </rcc>
  <rcc rId="1934" sId="1" numFmtId="4">
    <oc r="P214">
      <v>0.3</v>
    </oc>
    <nc r="P214">
      <v>19.195039999999999</v>
    </nc>
  </rcc>
  <rcc rId="1935" sId="1" numFmtId="4">
    <oc r="Q214">
      <v>0.3</v>
    </oc>
    <nc r="Q214">
      <v>19.195039999999999</v>
    </nc>
  </rcc>
  <rcc rId="1936" sId="1" numFmtId="4">
    <oc r="P215">
      <v>0.3</v>
    </oc>
    <nc r="P215">
      <v>19.195039999999999</v>
    </nc>
  </rcc>
  <rcc rId="1937" sId="1" numFmtId="4">
    <oc r="Q215">
      <v>0.3</v>
    </oc>
    <nc r="Q215">
      <v>19.195039999999999</v>
    </nc>
  </rcc>
  <rcc rId="1938" sId="1" numFmtId="4">
    <oc r="P216">
      <v>0.3</v>
    </oc>
    <nc r="P216">
      <v>19.195039999999999</v>
    </nc>
  </rcc>
  <rcc rId="1939" sId="1" numFmtId="4">
    <oc r="Q216">
      <v>0.3</v>
    </oc>
    <nc r="Q216">
      <v>19.195039999999999</v>
    </nc>
  </rcc>
  <rcc rId="1940" sId="1" numFmtId="4">
    <oc r="P217">
      <v>0.3</v>
    </oc>
    <nc r="P217">
      <v>19.195039999999999</v>
    </nc>
  </rcc>
  <rcc rId="1941" sId="1" numFmtId="4">
    <oc r="Q217">
      <v>0.3</v>
    </oc>
    <nc r="Q217">
      <v>19.195039999999999</v>
    </nc>
  </rcc>
  <rcc rId="1942" sId="1" numFmtId="4">
    <oc r="P218">
      <v>0.3</v>
    </oc>
    <nc r="P218">
      <v>19.195039999999999</v>
    </nc>
  </rcc>
  <rcc rId="1943" sId="1" numFmtId="4">
    <oc r="Q218">
      <v>0.3</v>
    </oc>
    <nc r="Q218">
      <v>19.195039999999999</v>
    </nc>
  </rcc>
  <rcc rId="1944" sId="1" numFmtId="4">
    <oc r="Q223">
      <v>0.3</v>
    </oc>
    <nc r="Q223">
      <v>19.195039999999999</v>
    </nc>
  </rcc>
  <rcc rId="1945" sId="1" numFmtId="4">
    <oc r="P224">
      <v>0.3</v>
    </oc>
    <nc r="P224">
      <v>19.195039999999999</v>
    </nc>
  </rcc>
  <rcc rId="1946" sId="1" numFmtId="4">
    <oc r="Q224">
      <v>0.3</v>
    </oc>
    <nc r="Q224">
      <v>19.195039999999999</v>
    </nc>
  </rcc>
  <rcc rId="1947" sId="1" numFmtId="4">
    <oc r="P225">
      <v>0.3</v>
    </oc>
    <nc r="P225">
      <v>19.195039999999999</v>
    </nc>
  </rcc>
  <rcc rId="1948" sId="1" numFmtId="4">
    <oc r="Q225">
      <v>0.3</v>
    </oc>
    <nc r="Q225">
      <v>19.195039999999999</v>
    </nc>
  </rcc>
  <rcc rId="1949" sId="1" numFmtId="4">
    <oc r="Q230">
      <v>0.3</v>
    </oc>
    <nc r="Q230">
      <v>19.195039999999999</v>
    </nc>
  </rcc>
  <rcc rId="1950" sId="1" numFmtId="4">
    <oc r="Q233">
      <v>0.3</v>
    </oc>
    <nc r="Q233">
      <v>19.195039999999999</v>
    </nc>
  </rcc>
  <rcc rId="1951" sId="1" numFmtId="4">
    <oc r="Q234">
      <v>0.3</v>
    </oc>
    <nc r="Q234">
      <v>19.195039999999999</v>
    </nc>
  </rcc>
  <rcc rId="1952" sId="1">
    <oc r="P66">
      <v>0.5</v>
    </oc>
    <nc r="P66">
      <v>57.59</v>
    </nc>
  </rcc>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53" sId="1">
    <oc r="Q21">
      <v>57.594999999999999</v>
    </oc>
    <nc r="Q21">
      <v>57.59</v>
    </nc>
  </rcc>
  <rcc rId="1954" sId="1">
    <oc r="Q25">
      <v>57.594999999999999</v>
    </oc>
    <nc r="Q25">
      <v>57.59</v>
    </nc>
  </rcc>
  <rcc rId="1955" sId="1">
    <oc r="Q29">
      <v>57.594999999999999</v>
    </oc>
    <nc r="Q29">
      <v>57.59</v>
    </nc>
  </rcc>
  <rcc rId="1956" sId="1">
    <oc r="Q38">
      <v>57.594999999999999</v>
    </oc>
    <nc r="Q38">
      <v>57.59</v>
    </nc>
  </rcc>
  <rcc rId="1957" sId="1">
    <oc r="Q69">
      <v>57.594999999999999</v>
    </oc>
    <nc r="Q69">
      <v>57.59</v>
    </nc>
  </rcc>
  <rcc rId="1958" sId="1">
    <oc r="Q71">
      <v>57.594999999999999</v>
    </oc>
    <nc r="Q71">
      <v>57.59</v>
    </nc>
  </rcc>
  <rcc rId="1959" sId="1">
    <oc r="P72">
      <v>57.594999999999999</v>
    </oc>
    <nc r="P72">
      <v>57.59</v>
    </nc>
  </rcc>
  <rcc rId="1960" sId="1">
    <oc r="Q72">
      <v>57.594999999999999</v>
    </oc>
    <nc r="Q72">
      <v>57.59</v>
    </nc>
  </rcc>
  <rcc rId="1961" sId="1">
    <oc r="Q79">
      <v>57.594999999999999</v>
    </oc>
    <nc r="Q79">
      <v>57.59</v>
    </nc>
  </rcc>
  <rcc rId="1962" sId="1">
    <oc r="Q83">
      <v>57.594999999999999</v>
    </oc>
    <nc r="Q83">
      <v>57.59</v>
    </nc>
  </rcc>
  <rcc rId="1963" sId="1" numFmtId="4">
    <oc r="Q88">
      <v>57.594999999999999</v>
    </oc>
    <nc r="Q88">
      <v>57.59</v>
    </nc>
  </rcc>
  <rcc rId="1964" sId="1" numFmtId="4">
    <oc r="Q92">
      <v>57.594999999999999</v>
    </oc>
    <nc r="Q92">
      <v>57.59</v>
    </nc>
  </rcc>
  <rcc rId="1965" sId="1" numFmtId="4">
    <oc r="Q97">
      <v>57.594999999999999</v>
    </oc>
    <nc r="Q97">
      <v>57.59</v>
    </nc>
  </rcc>
  <rcc rId="1966" sId="1" numFmtId="4">
    <oc r="Q113">
      <v>57.594999999999999</v>
    </oc>
    <nc r="Q113">
      <v>57.59</v>
    </nc>
  </rcc>
  <rcc rId="1967" sId="1" numFmtId="4">
    <oc r="Q114">
      <v>57.594999999999999</v>
    </oc>
    <nc r="Q114">
      <v>57.59</v>
    </nc>
  </rcc>
  <rcc rId="1968" sId="1" numFmtId="4">
    <oc r="P115">
      <v>57.594999999999999</v>
    </oc>
    <nc r="P115">
      <v>57.59</v>
    </nc>
  </rcc>
  <rcc rId="1969" sId="1" numFmtId="4">
    <oc r="Q115">
      <v>57.594999999999999</v>
    </oc>
    <nc r="Q115">
      <v>57.59</v>
    </nc>
  </rcc>
  <rcc rId="1970" sId="1" numFmtId="4">
    <oc r="P116">
      <v>57.594999999999999</v>
    </oc>
    <nc r="P116">
      <v>57.59</v>
    </nc>
  </rcc>
  <rcc rId="1971" sId="1" numFmtId="4">
    <oc r="Q116">
      <v>57.594999999999999</v>
    </oc>
    <nc r="Q116">
      <v>57.59</v>
    </nc>
  </rcc>
  <rcc rId="1972" sId="1" numFmtId="4">
    <oc r="P121">
      <v>57.594999999999999</v>
    </oc>
    <nc r="P121">
      <v>57.59</v>
    </nc>
  </rcc>
  <rcc rId="1973" sId="1" numFmtId="4">
    <oc r="Q121">
      <v>57.594999999999999</v>
    </oc>
    <nc r="Q121">
      <v>57.59</v>
    </nc>
  </rcc>
  <rcc rId="1974" sId="1">
    <oc r="P127">
      <v>57.594999999999999</v>
    </oc>
    <nc r="P127">
      <v>57.59</v>
    </nc>
  </rcc>
  <rcc rId="1975" sId="1">
    <oc r="Q127">
      <v>57.594999999999999</v>
    </oc>
    <nc r="Q127">
      <v>57.59</v>
    </nc>
  </rcc>
  <rcc rId="1976" sId="1">
    <oc r="P128">
      <v>57.594999999999999</v>
    </oc>
    <nc r="P128">
      <v>57.59</v>
    </nc>
  </rcc>
  <rcc rId="1977" sId="1">
    <oc r="Q128">
      <v>57.594999999999999</v>
    </oc>
    <nc r="Q128">
      <v>57.59</v>
    </nc>
  </rcc>
  <rcc rId="1978" sId="1" numFmtId="4">
    <oc r="Q279">
      <v>57.594999999999999</v>
    </oc>
    <nc r="Q279">
      <v>57.59</v>
    </nc>
  </rcc>
  <rcc rId="1979" sId="1" numFmtId="4">
    <oc r="P280">
      <v>57.594999999999999</v>
    </oc>
    <nc r="P280">
      <v>57.59</v>
    </nc>
  </rcc>
  <rcc rId="1980" sId="1" numFmtId="4">
    <oc r="Q280">
      <v>57.594999999999999</v>
    </oc>
    <nc r="Q280">
      <v>57.59</v>
    </nc>
  </rcc>
  <rcc rId="1981" sId="1" numFmtId="4">
    <oc r="P281">
      <v>57.594999999999999</v>
    </oc>
    <nc r="P281">
      <v>57.59</v>
    </nc>
  </rcc>
  <rcc rId="1982" sId="1" numFmtId="4">
    <oc r="Q281">
      <v>57.594999999999999</v>
    </oc>
    <nc r="Q281">
      <v>57.59</v>
    </nc>
  </rcc>
  <rcc rId="1983" sId="1" numFmtId="4">
    <oc r="P282">
      <v>57.594999999999999</v>
    </oc>
    <nc r="P282">
      <v>57.59</v>
    </nc>
  </rcc>
  <rcc rId="1984" sId="1" numFmtId="4">
    <oc r="Q282">
      <v>57.594999999999999</v>
    </oc>
    <nc r="Q282">
      <v>57.59</v>
    </nc>
  </rcc>
  <rcc rId="1985" sId="1" numFmtId="4">
    <oc r="P283">
      <v>57.594999999999999</v>
    </oc>
    <nc r="P283">
      <v>57.59</v>
    </nc>
  </rcc>
  <rcc rId="1986" sId="1" numFmtId="4">
    <oc r="Q283">
      <v>57.594999999999999</v>
    </oc>
    <nc r="Q283">
      <v>57.59</v>
    </nc>
  </rcc>
  <rcc rId="1987" sId="1" numFmtId="4">
    <oc r="P284">
      <v>57.594999999999999</v>
    </oc>
    <nc r="P284">
      <v>57.59</v>
    </nc>
  </rcc>
  <rcc rId="1988" sId="1" numFmtId="4">
    <oc r="Q284">
      <v>57.594999999999999</v>
    </oc>
    <nc r="Q284">
      <v>57.59</v>
    </nc>
  </rcc>
  <rcc rId="1989" sId="1" numFmtId="4">
    <oc r="P285">
      <v>57.594999999999999</v>
    </oc>
    <nc r="P285">
      <v>57.59</v>
    </nc>
  </rcc>
  <rcc rId="1990" sId="1" numFmtId="4">
    <oc r="Q285">
      <v>57.594999999999999</v>
    </oc>
    <nc r="Q285">
      <v>57.59</v>
    </nc>
  </rcc>
  <rcc rId="1991" sId="1" numFmtId="4">
    <oc r="P286">
      <v>57.594999999999999</v>
    </oc>
    <nc r="P286">
      <v>57.59</v>
    </nc>
  </rcc>
  <rcc rId="1992" sId="1" numFmtId="4">
    <oc r="Q286">
      <v>57.594999999999999</v>
    </oc>
    <nc r="Q286">
      <v>57.59</v>
    </nc>
  </rcc>
  <rcc rId="1993" sId="1" numFmtId="4">
    <oc r="P287">
      <v>57.594999999999999</v>
    </oc>
    <nc r="P287">
      <v>57.59</v>
    </nc>
  </rcc>
  <rcc rId="1994" sId="1" numFmtId="4">
    <oc r="Q287">
      <v>57.594999999999999</v>
    </oc>
    <nc r="Q287">
      <v>57.59</v>
    </nc>
  </rcc>
  <rcc rId="1995" sId="1" numFmtId="4">
    <oc r="P288">
      <v>57.594999999999999</v>
    </oc>
    <nc r="P288">
      <v>57.59</v>
    </nc>
  </rcc>
  <rcc rId="1996" sId="1" numFmtId="4">
    <oc r="Q288">
      <v>57.594999999999999</v>
    </oc>
    <nc r="Q288">
      <v>57.59</v>
    </nc>
  </rcc>
  <rcc rId="1997" sId="1" numFmtId="4">
    <oc r="P289">
      <v>57.594999999999999</v>
    </oc>
    <nc r="P289">
      <v>57.59</v>
    </nc>
  </rcc>
  <rcc rId="1998" sId="1" numFmtId="4">
    <oc r="Q289">
      <v>57.594999999999999</v>
    </oc>
    <nc r="Q289">
      <v>57.59</v>
    </nc>
  </rcc>
  <rcc rId="1999" sId="1" numFmtId="4">
    <oc r="P290">
      <v>57.594999999999999</v>
    </oc>
    <nc r="P290">
      <v>57.59</v>
    </nc>
  </rcc>
  <rcc rId="2000" sId="1" numFmtId="4">
    <oc r="Q290">
      <v>57.594999999999999</v>
    </oc>
    <nc r="Q290">
      <v>57.59</v>
    </nc>
  </rcc>
  <rcc rId="2001" sId="1" numFmtId="4">
    <oc r="P291">
      <v>57.594999999999999</v>
    </oc>
    <nc r="P291">
      <v>57.59</v>
    </nc>
  </rcc>
  <rcc rId="2002" sId="1" numFmtId="4">
    <oc r="Q291">
      <v>57.594999999999999</v>
    </oc>
    <nc r="Q291">
      <v>57.59</v>
    </nc>
  </rcc>
  <rcc rId="2003" sId="1" numFmtId="4">
    <oc r="P292">
      <v>57.594999999999999</v>
    </oc>
    <nc r="P292">
      <v>57.59</v>
    </nc>
  </rcc>
  <rcc rId="2004" sId="1" numFmtId="4">
    <oc r="Q292">
      <v>57.594999999999999</v>
    </oc>
    <nc r="Q292">
      <v>57.59</v>
    </nc>
  </rcc>
  <rcc rId="2005" sId="1" numFmtId="4">
    <oc r="P293">
      <v>57.594999999999999</v>
    </oc>
    <nc r="P293">
      <v>57.59</v>
    </nc>
  </rcc>
  <rcc rId="2006" sId="1" numFmtId="4">
    <oc r="Q293">
      <v>57.594999999999999</v>
    </oc>
    <nc r="Q293">
      <v>57.59</v>
    </nc>
  </rcc>
  <rcc rId="2007" sId="1" numFmtId="4">
    <oc r="P294">
      <v>57.594999999999999</v>
    </oc>
    <nc r="P294">
      <v>57.59</v>
    </nc>
  </rcc>
  <rcc rId="2008" sId="1" numFmtId="4">
    <oc r="Q294">
      <v>57.594999999999999</v>
    </oc>
    <nc r="Q294">
      <v>57.59</v>
    </nc>
  </rcc>
  <rcc rId="2009" sId="1" numFmtId="4">
    <oc r="P295">
      <v>57.594999999999999</v>
    </oc>
    <nc r="P295">
      <v>57.59</v>
    </nc>
  </rcc>
  <rcc rId="2010" sId="1" numFmtId="4">
    <oc r="Q295">
      <v>57.594999999999999</v>
    </oc>
    <nc r="Q295">
      <v>57.59</v>
    </nc>
  </rcc>
  <rcc rId="2011" sId="1" numFmtId="4">
    <oc r="P296">
      <v>57.594999999999999</v>
    </oc>
    <nc r="P296">
      <v>57.59</v>
    </nc>
  </rcc>
  <rcc rId="2012" sId="1" numFmtId="4">
    <oc r="Q296">
      <v>57.594999999999999</v>
    </oc>
    <nc r="Q296">
      <v>57.59</v>
    </nc>
  </rcc>
  <rcc rId="2013" sId="1" numFmtId="4">
    <oc r="P297">
      <v>57.594999999999999</v>
    </oc>
    <nc r="P297">
      <v>57.59</v>
    </nc>
  </rcc>
  <rcc rId="2014" sId="1" numFmtId="4">
    <oc r="Q297">
      <v>57.594999999999999</v>
    </oc>
    <nc r="Q297">
      <v>57.59</v>
    </nc>
  </rcc>
  <rcc rId="2015" sId="1" numFmtId="4">
    <oc r="P298">
      <v>57.594999999999999</v>
    </oc>
    <nc r="P298">
      <v>57.59</v>
    </nc>
  </rcc>
  <rcc rId="2016" sId="1" numFmtId="4">
    <oc r="Q298">
      <v>57.594999999999999</v>
    </oc>
    <nc r="Q298">
      <v>57.59</v>
    </nc>
  </rcc>
  <rcc rId="2017" sId="1" numFmtId="4">
    <oc r="P299">
      <v>57.594999999999999</v>
    </oc>
    <nc r="P299">
      <v>57.59</v>
    </nc>
  </rcc>
  <rcc rId="2018" sId="1" numFmtId="4">
    <oc r="Q299">
      <v>57.594999999999999</v>
    </oc>
    <nc r="Q299">
      <v>57.59</v>
    </nc>
  </rcc>
  <rcc rId="2019" sId="1" numFmtId="4">
    <oc r="P300">
      <v>57.594999999999999</v>
    </oc>
    <nc r="P300">
      <v>57.59</v>
    </nc>
  </rcc>
  <rcc rId="2020" sId="1" numFmtId="4">
    <oc r="Q300">
      <v>57.594999999999999</v>
    </oc>
    <nc r="Q300">
      <v>57.59</v>
    </nc>
  </rcc>
  <rcc rId="2021" sId="1" numFmtId="4">
    <oc r="P301">
      <v>57.594999999999999</v>
    </oc>
    <nc r="P301">
      <v>57.59</v>
    </nc>
  </rcc>
  <rcc rId="2022" sId="1" numFmtId="4">
    <oc r="Q301">
      <v>57.594999999999999</v>
    </oc>
    <nc r="Q301">
      <v>57.59</v>
    </nc>
  </rcc>
  <rcc rId="2023" sId="1" numFmtId="4">
    <oc r="P302">
      <v>57.594999999999999</v>
    </oc>
    <nc r="P302">
      <v>57.59</v>
    </nc>
  </rcc>
  <rcc rId="2024" sId="1" numFmtId="4">
    <oc r="Q302">
      <v>57.594999999999999</v>
    </oc>
    <nc r="Q302">
      <v>57.59</v>
    </nc>
  </rcc>
  <rcc rId="2025" sId="1" numFmtId="4">
    <oc r="P303">
      <v>57.594999999999999</v>
    </oc>
    <nc r="P303">
      <v>57.59</v>
    </nc>
  </rcc>
  <rcc rId="2026" sId="1" numFmtId="4">
    <oc r="Q303">
      <v>57.594999999999999</v>
    </oc>
    <nc r="Q303">
      <v>57.59</v>
    </nc>
  </rcc>
  <rcc rId="2027" sId="1" numFmtId="4">
    <oc r="P304">
      <v>57.594999999999999</v>
    </oc>
    <nc r="P304">
      <v>57.59</v>
    </nc>
  </rcc>
  <rcc rId="2028" sId="1" numFmtId="4">
    <oc r="Q304">
      <v>57.594999999999999</v>
    </oc>
    <nc r="Q304">
      <v>57.59</v>
    </nc>
  </rcc>
  <rcc rId="2029" sId="1" numFmtId="4">
    <oc r="P305">
      <v>57.594999999999999</v>
    </oc>
    <nc r="P305">
      <v>57.59</v>
    </nc>
  </rcc>
  <rcc rId="2030" sId="1" numFmtId="4">
    <oc r="Q305">
      <v>57.594999999999999</v>
    </oc>
    <nc r="Q305">
      <v>57.59</v>
    </nc>
  </rcc>
  <rcc rId="2031" sId="1" numFmtId="4">
    <oc r="P306">
      <v>57.594999999999999</v>
    </oc>
    <nc r="P306">
      <v>57.59</v>
    </nc>
  </rcc>
  <rcc rId="2032" sId="1" numFmtId="4">
    <oc r="Q306">
      <v>57.594999999999999</v>
    </oc>
    <nc r="Q306">
      <v>57.59</v>
    </nc>
  </rcc>
  <rcc rId="2033" sId="1" numFmtId="4">
    <oc r="P307">
      <v>57.594999999999999</v>
    </oc>
    <nc r="P307">
      <v>57.59</v>
    </nc>
  </rcc>
  <rcc rId="2034" sId="1" numFmtId="4">
    <oc r="Q307">
      <v>57.594999999999999</v>
    </oc>
    <nc r="Q307">
      <v>57.59</v>
    </nc>
  </rcc>
  <rcc rId="2035" sId="1" numFmtId="4">
    <oc r="P308">
      <v>57.594999999999999</v>
    </oc>
    <nc r="P308">
      <v>57.59</v>
    </nc>
  </rcc>
  <rcc rId="2036" sId="1">
    <oc r="P117">
      <v>19.195039999999999</v>
    </oc>
    <nc r="P117">
      <v>19.2</v>
    </nc>
  </rcc>
  <rcc rId="2037" sId="1">
    <oc r="Q117">
      <v>19.195039999999999</v>
    </oc>
    <nc r="Q117">
      <v>19.2</v>
    </nc>
  </rcc>
  <rcc rId="2038" sId="1">
    <oc r="P118">
      <v>19.195039999999999</v>
    </oc>
    <nc r="P118">
      <v>19.2</v>
    </nc>
  </rcc>
  <rcc rId="2039" sId="1">
    <oc r="Q118">
      <v>19.195039999999999</v>
    </oc>
    <nc r="Q118">
      <v>19.2</v>
    </nc>
  </rcc>
  <rcc rId="2040" sId="1">
    <oc r="P119">
      <v>19.195039999999999</v>
    </oc>
    <nc r="P119">
      <v>19.2</v>
    </nc>
  </rcc>
  <rcc rId="2041" sId="1">
    <oc r="Q119">
      <v>19.195039999999999</v>
    </oc>
    <nc r="Q119">
      <v>19.2</v>
    </nc>
  </rcc>
  <rcc rId="2042" sId="1">
    <oc r="P120">
      <v>19.195039999999999</v>
    </oc>
    <nc r="P120">
      <v>19.2</v>
    </nc>
  </rcc>
  <rcc rId="2043" sId="1">
    <oc r="Q120">
      <v>19.195039999999999</v>
    </oc>
    <nc r="Q120">
      <v>19.2</v>
    </nc>
  </rcc>
  <rcc rId="2044" sId="1" numFmtId="4">
    <oc r="P122">
      <v>19.195039999999999</v>
    </oc>
    <nc r="P122">
      <v>19.2</v>
    </nc>
  </rcc>
  <rcc rId="2045" sId="1" numFmtId="4">
    <oc r="Q122">
      <v>19.195039999999999</v>
    </oc>
    <nc r="Q122">
      <v>19.2</v>
    </nc>
  </rcc>
  <rcc rId="2046" sId="1" numFmtId="4">
    <oc r="P123">
      <v>19.195039999999999</v>
    </oc>
    <nc r="P123">
      <v>19.2</v>
    </nc>
  </rcc>
  <rcc rId="2047" sId="1" numFmtId="4">
    <oc r="Q123">
      <v>19.195039999999999</v>
    </oc>
    <nc r="Q123">
      <v>19.2</v>
    </nc>
  </rcc>
  <rcc rId="2048" sId="1" numFmtId="4">
    <oc r="P124">
      <v>19.195039999999999</v>
    </oc>
    <nc r="P124">
      <v>19.2</v>
    </nc>
  </rcc>
  <rcc rId="2049" sId="1" numFmtId="4">
    <oc r="Q124">
      <v>19.195039999999999</v>
    </oc>
    <nc r="Q124">
      <v>19.2</v>
    </nc>
  </rcc>
  <rcc rId="2050" sId="1" numFmtId="4">
    <oc r="P125">
      <v>19.195039999999999</v>
    </oc>
    <nc r="P125">
      <v>19.2</v>
    </nc>
  </rcc>
  <rcc rId="2051" sId="1" numFmtId="4">
    <oc r="Q125">
      <v>19.195039999999999</v>
    </oc>
    <nc r="Q125">
      <v>19.2</v>
    </nc>
  </rcc>
  <rcc rId="2052" sId="1" numFmtId="4">
    <oc r="P126">
      <v>19.195039999999999</v>
    </oc>
    <nc r="P126">
      <v>19.2</v>
    </nc>
  </rcc>
  <rcc rId="2053" sId="1" numFmtId="4">
    <oc r="Q129">
      <v>19.195039999999999</v>
    </oc>
    <nc r="Q129">
      <v>19.2</v>
    </nc>
  </rcc>
  <rcc rId="2054" sId="1" numFmtId="4">
    <oc r="P130">
      <v>19.195039999999999</v>
    </oc>
    <nc r="P130">
      <v>19.2</v>
    </nc>
  </rcc>
  <rcc rId="2055" sId="1" numFmtId="4">
    <oc r="Q130">
      <v>19.195039999999999</v>
    </oc>
    <nc r="Q130">
      <v>19.2</v>
    </nc>
  </rcc>
  <rcc rId="2056" sId="1" numFmtId="4">
    <oc r="P131">
      <v>19.195039999999999</v>
    </oc>
    <nc r="P131">
      <v>19.2</v>
    </nc>
  </rcc>
  <rcc rId="2057" sId="1" numFmtId="4">
    <oc r="Q131">
      <v>19.195039999999999</v>
    </oc>
    <nc r="Q131">
      <v>19.2</v>
    </nc>
  </rcc>
  <rcc rId="2058" sId="1" numFmtId="4">
    <oc r="P132">
      <v>19.195039999999999</v>
    </oc>
    <nc r="P132">
      <v>19.2</v>
    </nc>
  </rcc>
  <rcc rId="2059" sId="1" numFmtId="4">
    <oc r="Q132">
      <v>19.195039999999999</v>
    </oc>
    <nc r="Q132">
      <v>19.2</v>
    </nc>
  </rcc>
  <rcc rId="2060" sId="1" numFmtId="4">
    <oc r="P133">
      <v>19.195039999999999</v>
    </oc>
    <nc r="P133">
      <v>19.2</v>
    </nc>
  </rcc>
  <rcc rId="2061" sId="1" numFmtId="4">
    <oc r="Q133">
      <v>19.195039999999999</v>
    </oc>
    <nc r="Q133">
      <v>19.2</v>
    </nc>
  </rcc>
  <rcc rId="2062" sId="1" numFmtId="4">
    <oc r="P134">
      <v>19.195039999999999</v>
    </oc>
    <nc r="P134">
      <v>19.2</v>
    </nc>
  </rcc>
  <rcc rId="2063" sId="1" numFmtId="4">
    <oc r="Q134">
      <v>19.195039999999999</v>
    </oc>
    <nc r="Q134">
      <v>19.2</v>
    </nc>
  </rcc>
  <rcc rId="2064" sId="1" numFmtId="4">
    <oc r="P135">
      <v>19.195039999999999</v>
    </oc>
    <nc r="P135">
      <v>19.2</v>
    </nc>
  </rcc>
  <rcc rId="2065" sId="1" numFmtId="4">
    <oc r="Q135">
      <v>19.195039999999999</v>
    </oc>
    <nc r="Q135">
      <v>19.2</v>
    </nc>
  </rcc>
  <rcc rId="2066" sId="1" numFmtId="4">
    <oc r="P136">
      <v>19.195039999999999</v>
    </oc>
    <nc r="P136">
      <v>19.2</v>
    </nc>
  </rcc>
  <rcc rId="2067" sId="1" numFmtId="4">
    <oc r="Q136">
      <v>19.195039999999999</v>
    </oc>
    <nc r="Q136">
      <v>19.2</v>
    </nc>
  </rcc>
  <rcc rId="2068" sId="1" numFmtId="4">
    <oc r="P199">
      <v>19.195039999999999</v>
    </oc>
    <nc r="P199">
      <v>19.2</v>
    </nc>
  </rcc>
  <rcc rId="2069" sId="1" numFmtId="4">
    <oc r="Q199">
      <v>19.195039999999999</v>
    </oc>
    <nc r="Q199">
      <v>19.2</v>
    </nc>
  </rcc>
  <rcc rId="2070" sId="1" numFmtId="4">
    <oc r="P200">
      <v>19.195039999999999</v>
    </oc>
    <nc r="P200">
      <v>19.2</v>
    </nc>
  </rcc>
  <rcc rId="2071" sId="1" numFmtId="4">
    <oc r="Q200">
      <v>19.195039999999999</v>
    </oc>
    <nc r="Q200">
      <v>19.2</v>
    </nc>
  </rcc>
  <rcc rId="2072" sId="1" numFmtId="4">
    <oc r="P201">
      <v>19.195039999999999</v>
    </oc>
    <nc r="P201">
      <v>19.2</v>
    </nc>
  </rcc>
  <rcc rId="2073" sId="1" numFmtId="4">
    <oc r="Q201">
      <v>19.195039999999999</v>
    </oc>
    <nc r="Q201">
      <v>19.2</v>
    </nc>
  </rcc>
  <rcc rId="2074" sId="1" numFmtId="4">
    <oc r="Q213">
      <v>19.195039999999999</v>
    </oc>
    <nc r="Q213">
      <v>19.2</v>
    </nc>
  </rcc>
  <rcc rId="2075" sId="1" numFmtId="4">
    <oc r="P214">
      <v>19.195039999999999</v>
    </oc>
    <nc r="P214">
      <v>19.2</v>
    </nc>
  </rcc>
  <rcc rId="2076" sId="1" numFmtId="4">
    <oc r="Q214">
      <v>19.195039999999999</v>
    </oc>
    <nc r="Q214">
      <v>19.2</v>
    </nc>
  </rcc>
  <rcc rId="2077" sId="1" numFmtId="4">
    <oc r="P215">
      <v>19.195039999999999</v>
    </oc>
    <nc r="P215">
      <v>19.2</v>
    </nc>
  </rcc>
  <rcc rId="2078" sId="1" numFmtId="4">
    <oc r="Q215">
      <v>19.195039999999999</v>
    </oc>
    <nc r="Q215">
      <v>19.2</v>
    </nc>
  </rcc>
  <rcc rId="2079" sId="1" numFmtId="4">
    <oc r="P216">
      <v>19.195039999999999</v>
    </oc>
    <nc r="P216">
      <v>19.2</v>
    </nc>
  </rcc>
  <rcc rId="2080" sId="1" numFmtId="4">
    <oc r="Q216">
      <v>19.195039999999999</v>
    </oc>
    <nc r="Q216">
      <v>19.2</v>
    </nc>
  </rcc>
  <rcc rId="2081" sId="1" numFmtId="4">
    <oc r="P217">
      <v>19.195039999999999</v>
    </oc>
    <nc r="P217">
      <v>19.2</v>
    </nc>
  </rcc>
  <rcc rId="2082" sId="1" numFmtId="4">
    <oc r="Q217">
      <v>19.195039999999999</v>
    </oc>
    <nc r="Q217">
      <v>19.2</v>
    </nc>
  </rcc>
  <rcc rId="2083" sId="1" numFmtId="4">
    <oc r="P218">
      <v>19.195039999999999</v>
    </oc>
    <nc r="P218">
      <v>19.2</v>
    </nc>
  </rcc>
  <rcc rId="2084" sId="1" numFmtId="4">
    <oc r="Q218">
      <v>19.195039999999999</v>
    </oc>
    <nc r="Q218">
      <v>19.2</v>
    </nc>
  </rcc>
  <rcc rId="2085" sId="1" numFmtId="4">
    <oc r="Q223">
      <v>19.195039999999999</v>
    </oc>
    <nc r="Q223">
      <v>19.2</v>
    </nc>
  </rcc>
  <rcc rId="2086" sId="1" numFmtId="4">
    <oc r="P224">
      <v>19.195039999999999</v>
    </oc>
    <nc r="P224">
      <v>19.2</v>
    </nc>
  </rcc>
  <rcc rId="2087" sId="1" numFmtId="4">
    <oc r="Q224">
      <v>19.195039999999999</v>
    </oc>
    <nc r="Q224">
      <v>19.2</v>
    </nc>
  </rcc>
  <rcc rId="2088" sId="1" numFmtId="4">
    <oc r="P225">
      <v>19.195039999999999</v>
    </oc>
    <nc r="P225">
      <v>19.2</v>
    </nc>
  </rcc>
  <rcc rId="2089" sId="1" numFmtId="4">
    <oc r="Q225">
      <v>19.195039999999999</v>
    </oc>
    <nc r="Q225">
      <v>19.2</v>
    </nc>
  </rcc>
  <rcc rId="2090" sId="1" numFmtId="4">
    <oc r="Q230">
      <v>19.195039999999999</v>
    </oc>
    <nc r="Q230">
      <v>19.2</v>
    </nc>
  </rcc>
  <rcc rId="2091" sId="1" numFmtId="4">
    <oc r="Q233">
      <v>19.195039999999999</v>
    </oc>
    <nc r="Q233">
      <v>19.2</v>
    </nc>
  </rcc>
  <rcc rId="2092" sId="1" numFmtId="4">
    <oc r="Q234">
      <v>19.195039999999999</v>
    </oc>
    <nc r="Q234">
      <v>19.2</v>
    </nc>
  </rcc>
  <rcv guid="{8A75D892-44B4-104C-BB94-8EB0D0E43396}" action="delete"/>
  <rcv guid="{8A75D892-44B4-104C-BB94-8EB0D0E43396}" action="add"/>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093" sId="1" ref="C1:C1048576" action="insertCol"/>
  <rcc rId="2094" sId="1">
    <nc r="C1" t="inlineStr">
      <is>
        <t>nest2</t>
      </is>
    </nc>
  </rcc>
  <rcc rId="2095" sId="1">
    <nc r="C2">
      <v>1.2</v>
    </nc>
  </rcc>
  <rcc rId="2096" sId="1">
    <nc r="C3">
      <v>1.1000000000000001</v>
    </nc>
  </rcc>
  <rcc rId="2097" sId="1">
    <nc r="C4">
      <v>1.2</v>
    </nc>
  </rcc>
  <rcc rId="2098" sId="1">
    <nc r="C5">
      <v>1.2</v>
    </nc>
  </rcc>
  <rcc rId="2099" sId="1">
    <nc r="C6">
      <v>1.2</v>
    </nc>
  </rcc>
  <rcc rId="2100" sId="1">
    <nc r="C7">
      <v>1.2</v>
    </nc>
  </rcc>
  <rcc rId="2101" sId="1">
    <nc r="C8">
      <v>1.2</v>
    </nc>
  </rcc>
  <rcc rId="2102" sId="1">
    <nc r="C9">
      <v>1.2</v>
    </nc>
  </rcc>
  <rcc rId="2103" sId="1">
    <nc r="C10">
      <v>1.2</v>
    </nc>
  </rcc>
  <rcc rId="2104" sId="1">
    <nc r="C11">
      <v>1.2</v>
    </nc>
  </rcc>
  <rcc rId="2105" sId="1">
    <nc r="C12">
      <v>1.2</v>
    </nc>
  </rcc>
  <rcc rId="2106" sId="1">
    <nc r="C13">
      <v>1.2</v>
    </nc>
  </rcc>
  <rcc rId="2107" sId="1">
    <nc r="C14">
      <v>1.2</v>
    </nc>
  </rcc>
  <rcc rId="2108" sId="1">
    <nc r="C15">
      <v>1.2</v>
    </nc>
  </rcc>
  <rcc rId="2109" sId="1">
    <nc r="C16">
      <v>1.2</v>
    </nc>
  </rcc>
  <rcc rId="2110" sId="1">
    <nc r="C17">
      <v>1.2</v>
    </nc>
  </rcc>
  <rcc rId="2111" sId="1">
    <nc r="C18">
      <v>1.2</v>
    </nc>
  </rcc>
  <rcc rId="2112" sId="1">
    <nc r="C19">
      <v>1.2</v>
    </nc>
  </rcc>
  <rcc rId="2113" sId="1">
    <nc r="C20">
      <v>1.2</v>
    </nc>
  </rcc>
  <rcc rId="2114" sId="1">
    <nc r="C21">
      <v>1.2</v>
    </nc>
  </rcc>
  <rcc rId="2115" sId="1">
    <nc r="C22">
      <v>1.2</v>
    </nc>
  </rcc>
  <rcc rId="2116" sId="1">
    <nc r="C23">
      <v>1.2</v>
    </nc>
  </rcc>
  <rcc rId="2117" sId="1">
    <nc r="C24">
      <v>1.2</v>
    </nc>
  </rcc>
  <rcc rId="2118" sId="1">
    <nc r="C25">
      <v>1.2</v>
    </nc>
  </rcc>
  <rcc rId="2119" sId="1">
    <nc r="C26">
      <v>1.2</v>
    </nc>
  </rcc>
  <rcc rId="2120" sId="1">
    <nc r="C27">
      <v>1.2</v>
    </nc>
  </rcc>
  <rcc rId="2121" sId="1">
    <nc r="C28">
      <v>1.2</v>
    </nc>
  </rcc>
  <rcc rId="2122" sId="1">
    <nc r="C29">
      <v>1.2</v>
    </nc>
  </rcc>
  <rcc rId="2123" sId="1">
    <nc r="C30">
      <v>1.2</v>
    </nc>
  </rcc>
  <rcc rId="2124" sId="1">
    <nc r="C31">
      <v>1.2</v>
    </nc>
  </rcc>
  <rcc rId="2125" sId="1">
    <nc r="C32">
      <v>1.2</v>
    </nc>
  </rcc>
  <rcc rId="2126" sId="1">
    <nc r="C33">
      <v>1.2</v>
    </nc>
  </rcc>
  <rcc rId="2127" sId="1">
    <nc r="C34">
      <v>1.2</v>
    </nc>
  </rcc>
  <rcc rId="2128" sId="1">
    <nc r="C35">
      <v>1.2</v>
    </nc>
  </rcc>
  <rcc rId="2129" sId="1">
    <nc r="C36">
      <v>1.2</v>
    </nc>
  </rcc>
  <rcc rId="2130" sId="1">
    <nc r="C37">
      <v>1.2</v>
    </nc>
  </rcc>
  <rcc rId="2131" sId="1">
    <nc r="C38">
      <v>1.2</v>
    </nc>
  </rcc>
  <rcc rId="2132" sId="1">
    <nc r="C39">
      <v>1.2</v>
    </nc>
  </rcc>
  <rcc rId="2133" sId="1">
    <nc r="C40">
      <v>1.2</v>
    </nc>
  </rcc>
  <rcc rId="2134" sId="1">
    <nc r="C41">
      <v>1.2</v>
    </nc>
  </rcc>
  <rcc rId="2135" sId="1">
    <nc r="C42">
      <v>1.2</v>
    </nc>
  </rcc>
  <rcc rId="2136" sId="1">
    <nc r="C43">
      <v>1.2</v>
    </nc>
  </rcc>
  <rcc rId="2137" sId="1">
    <nc r="C44">
      <v>1.2</v>
    </nc>
  </rcc>
  <rcc rId="2138" sId="1">
    <nc r="C45">
      <v>1.2</v>
    </nc>
  </rcc>
  <rcc rId="2139" sId="1">
    <nc r="C46">
      <v>1.2</v>
    </nc>
  </rcc>
  <rcc rId="2140" sId="1">
    <nc r="C47">
      <v>1.2</v>
    </nc>
  </rcc>
  <rcc rId="2141" sId="1">
    <nc r="C48">
      <v>1.2</v>
    </nc>
  </rcc>
  <rcc rId="2142" sId="1">
    <nc r="C49">
      <v>1.2</v>
    </nc>
  </rcc>
  <rcc rId="2143" sId="1">
    <nc r="C50">
      <v>1.2</v>
    </nc>
  </rcc>
  <rcc rId="2144" sId="1">
    <nc r="C51">
      <v>1.2</v>
    </nc>
  </rcc>
  <rcc rId="2145" sId="1">
    <nc r="C52">
      <v>1.2</v>
    </nc>
  </rcc>
  <rcc rId="2146" sId="1">
    <nc r="C53">
      <v>1.2</v>
    </nc>
  </rcc>
  <rcc rId="2147" sId="1">
    <nc r="C54">
      <v>1.2</v>
    </nc>
  </rcc>
  <rcc rId="2148" sId="1">
    <nc r="C55">
      <v>1.2</v>
    </nc>
  </rcc>
  <rcc rId="2149" sId="1">
    <nc r="C56">
      <v>1.2</v>
    </nc>
  </rcc>
  <rcc rId="2150" sId="1">
    <nc r="C57">
      <v>1.2</v>
    </nc>
  </rcc>
  <rcc rId="2151" sId="1">
    <nc r="C58">
      <v>1.2</v>
    </nc>
  </rcc>
  <rcc rId="2152" sId="1">
    <nc r="C59">
      <v>1.2</v>
    </nc>
  </rcc>
  <rcc rId="2153" sId="1">
    <nc r="C60">
      <v>1.2</v>
    </nc>
  </rcc>
  <rcc rId="2154" sId="1">
    <nc r="C61">
      <v>1.2</v>
    </nc>
  </rcc>
  <rcc rId="2155" sId="1">
    <nc r="C62">
      <v>1.2</v>
    </nc>
  </rcc>
  <rcc rId="2156" sId="1">
    <nc r="C63">
      <v>1.2</v>
    </nc>
  </rcc>
  <rcc rId="2157" sId="1">
    <nc r="C64">
      <v>1.2</v>
    </nc>
  </rcc>
  <rcc rId="2158" sId="1">
    <nc r="C65">
      <v>1.2</v>
    </nc>
  </rcc>
  <rcc rId="2159" sId="1">
    <nc r="C66">
      <v>1.2</v>
    </nc>
  </rcc>
  <rcc rId="2160" sId="1">
    <nc r="C67">
      <v>1.2</v>
    </nc>
  </rcc>
  <rcc rId="2161" sId="1">
    <nc r="C68">
      <v>1.2</v>
    </nc>
  </rcc>
  <rcc rId="2162" sId="1">
    <nc r="C69">
      <v>1.2</v>
    </nc>
  </rcc>
  <rcc rId="2163" sId="1">
    <nc r="C70">
      <v>1.2</v>
    </nc>
  </rcc>
  <rcc rId="2164" sId="1">
    <nc r="C71">
      <v>1.2</v>
    </nc>
  </rcc>
  <rcc rId="2165" sId="1">
    <nc r="C72">
      <v>1.2</v>
    </nc>
  </rcc>
  <rcc rId="2166" sId="1">
    <nc r="C73">
      <v>1.2</v>
    </nc>
  </rcc>
  <rcc rId="2167" sId="1">
    <nc r="C74">
      <v>1.2</v>
    </nc>
  </rcc>
  <rcc rId="2168" sId="1">
    <nc r="C75">
      <v>1.2</v>
    </nc>
  </rcc>
  <rcc rId="2169" sId="1">
    <nc r="C76">
      <v>1.2</v>
    </nc>
  </rcc>
  <rcc rId="2170" sId="1">
    <nc r="C77">
      <v>1.2</v>
    </nc>
  </rcc>
  <rcc rId="2171" sId="1">
    <nc r="C78">
      <v>1.2</v>
    </nc>
  </rcc>
  <rcc rId="2172" sId="1">
    <nc r="C79">
      <v>1.2</v>
    </nc>
  </rcc>
  <rcc rId="2173" sId="1">
    <nc r="C80">
      <v>1.2</v>
    </nc>
  </rcc>
  <rcc rId="2174" sId="1">
    <nc r="C81">
      <v>1.2</v>
    </nc>
  </rcc>
  <rcc rId="2175" sId="1">
    <nc r="C82">
      <v>1.2</v>
    </nc>
  </rcc>
  <rcc rId="2176" sId="1">
    <nc r="C83">
      <v>1.2</v>
    </nc>
  </rcc>
  <rcc rId="2177" sId="1">
    <nc r="C84">
      <v>1.2</v>
    </nc>
  </rcc>
  <rcc rId="2178" sId="1">
    <nc r="C85">
      <v>1.2</v>
    </nc>
  </rcc>
  <rcc rId="2179" sId="1">
    <nc r="C86">
      <v>1.2</v>
    </nc>
  </rcc>
  <rcc rId="2180" sId="1">
    <nc r="C87">
      <v>1.2</v>
    </nc>
  </rcc>
  <rcc rId="2181" sId="1">
    <nc r="C88">
      <v>1.2</v>
    </nc>
  </rcc>
  <rcc rId="2182" sId="1">
    <nc r="C89">
      <v>1.2</v>
    </nc>
  </rcc>
  <rcc rId="2183" sId="1">
    <nc r="C90">
      <v>1.2</v>
    </nc>
  </rcc>
  <rcc rId="2184" sId="1">
    <nc r="C91">
      <v>1.2</v>
    </nc>
  </rcc>
  <rcc rId="2185" sId="1">
    <nc r="C92">
      <v>1.2</v>
    </nc>
  </rcc>
  <rcc rId="2186" sId="1">
    <nc r="C93">
      <v>1.2</v>
    </nc>
  </rcc>
  <rcc rId="2187" sId="1">
    <nc r="C94">
      <v>1.2</v>
    </nc>
  </rcc>
  <rcc rId="2188" sId="1">
    <nc r="C95">
      <v>1.2</v>
    </nc>
  </rcc>
  <rcc rId="2189" sId="1">
    <nc r="C96">
      <v>1.2</v>
    </nc>
  </rcc>
  <rcc rId="2190" sId="1">
    <nc r="C97">
      <v>1.2</v>
    </nc>
  </rcc>
  <rcc rId="2191" sId="1">
    <nc r="C98">
      <v>1.2</v>
    </nc>
  </rcc>
  <rcc rId="2192" sId="1">
    <nc r="C99">
      <v>1.2</v>
    </nc>
  </rcc>
  <rcc rId="2193" sId="1">
    <nc r="C100">
      <v>1.2</v>
    </nc>
  </rcc>
  <rcc rId="2194" sId="1">
    <nc r="C101">
      <v>1.2</v>
    </nc>
  </rcc>
  <rcc rId="2195" sId="1">
    <nc r="C102">
      <v>1.2</v>
    </nc>
  </rcc>
  <rcc rId="2196" sId="1">
    <nc r="C103">
      <v>1.2</v>
    </nc>
  </rcc>
  <rcc rId="2197" sId="1">
    <nc r="C104">
      <v>1.2</v>
    </nc>
  </rcc>
  <rcc rId="2198" sId="1">
    <nc r="C105">
      <v>1.2</v>
    </nc>
  </rcc>
  <rcc rId="2199" sId="1">
    <nc r="C106">
      <v>1.2</v>
    </nc>
  </rcc>
  <rcc rId="2200" sId="1">
    <nc r="C107">
      <v>1.2</v>
    </nc>
  </rcc>
  <rcc rId="2201" sId="1">
    <nc r="C108">
      <v>1.2</v>
    </nc>
  </rcc>
  <rcc rId="2202" sId="1">
    <nc r="C109">
      <v>1.2</v>
    </nc>
  </rcc>
  <rcc rId="2203" sId="1">
    <nc r="C110">
      <v>1.2</v>
    </nc>
  </rcc>
  <rcc rId="2204" sId="1">
    <nc r="C111">
      <v>1.2</v>
    </nc>
  </rcc>
  <rcc rId="2205" sId="1">
    <nc r="C112">
      <v>1.2</v>
    </nc>
  </rcc>
  <rcc rId="2206" sId="1">
    <nc r="C113">
      <v>1.2</v>
    </nc>
  </rcc>
  <rcc rId="2207" sId="1">
    <nc r="C114">
      <v>1.2</v>
    </nc>
  </rcc>
  <rcc rId="2208" sId="1">
    <nc r="C115">
      <v>1.2</v>
    </nc>
  </rcc>
  <rcc rId="2209" sId="1">
    <nc r="C116">
      <v>1.2</v>
    </nc>
  </rcc>
  <rcc rId="2210" sId="1">
    <nc r="C117">
      <v>1.2</v>
    </nc>
  </rcc>
  <rcc rId="2211" sId="1">
    <nc r="C118">
      <v>1.2</v>
    </nc>
  </rcc>
  <rcc rId="2212" sId="1">
    <nc r="C119">
      <v>1.2</v>
    </nc>
  </rcc>
  <rcc rId="2213" sId="1">
    <nc r="C120">
      <v>1.2</v>
    </nc>
  </rcc>
  <rcc rId="2214" sId="1">
    <nc r="C121">
      <v>1.2</v>
    </nc>
  </rcc>
  <rcc rId="2215" sId="1">
    <nc r="C122">
      <v>1.2</v>
    </nc>
  </rcc>
  <rcc rId="2216" sId="1">
    <nc r="C123">
      <v>1.2</v>
    </nc>
  </rcc>
  <rcc rId="2217" sId="1">
    <nc r="C124">
      <v>1.2</v>
    </nc>
  </rcc>
  <rcc rId="2218" sId="1">
    <nc r="C125">
      <v>1.2</v>
    </nc>
  </rcc>
  <rcc rId="2219" sId="1">
    <nc r="C126">
      <v>1.2</v>
    </nc>
  </rcc>
  <rcc rId="2220" sId="1">
    <nc r="C127">
      <v>1.2</v>
    </nc>
  </rcc>
  <rcc rId="2221" sId="1">
    <nc r="C128">
      <v>1.2</v>
    </nc>
  </rcc>
  <rcc rId="2222" sId="1">
    <nc r="C129">
      <v>1.2</v>
    </nc>
  </rcc>
  <rcc rId="2223" sId="1">
    <nc r="C130">
      <v>1.2</v>
    </nc>
  </rcc>
  <rcc rId="2224" sId="1">
    <nc r="C131">
      <v>1.3</v>
    </nc>
  </rcc>
  <rcc rId="2225" sId="1">
    <nc r="C132">
      <v>1.3</v>
    </nc>
  </rcc>
  <rcc rId="2226" sId="1">
    <nc r="C133">
      <v>1.3</v>
    </nc>
  </rcc>
  <rcc rId="2227" sId="1">
    <nc r="C134">
      <v>1.3</v>
    </nc>
  </rcc>
  <rfmt sheetId="1" sqref="C135" start="0" length="0">
    <dxf>
      <alignment horizontal="general" vertical="bottom"/>
    </dxf>
  </rfmt>
  <rcc rId="2228" sId="1" xfDxf="1" dxf="1">
    <nc r="C135">
      <f>LEFT(A2,LEN(A2)-1)</f>
    </nc>
  </rcc>
  <rm rId="2229" sheetId="1" source="C136" destination="C135" sourceSheetId="1">
    <rcc rId="0" sId="1">
      <nc r="C135">
        <f>LEFT(A2,LEN(A2)-1)</f>
      </nc>
    </rcc>
  </rm>
  <rcc rId="2230" sId="1">
    <nc r="C135">
      <f>LEFT(B135,LEN(B135)-1)</f>
    </nc>
  </rcc>
  <rcc rId="2231" sId="1">
    <nc r="C136">
      <f>LEFT(B136,LEN(B136)-1)</f>
    </nc>
  </rcc>
  <rcc rId="2232" sId="1">
    <nc r="C137">
      <f>LEFT(B137,LEN(B137)-1)</f>
    </nc>
  </rcc>
  <rcc rId="2233" sId="1">
    <nc r="C138">
      <f>LEFT(B138,LEN(B138)-1)</f>
    </nc>
  </rcc>
  <rcc rId="2234" sId="1">
    <nc r="C139">
      <f>LEFT(B139,LEN(B139)-1)</f>
    </nc>
  </rcc>
  <rcc rId="2235" sId="1">
    <nc r="C140">
      <f>LEFT(B140,LEN(B140)-1)</f>
    </nc>
  </rcc>
  <rcc rId="2236" sId="1">
    <nc r="C141">
      <f>LEFT(B141,LEN(B141)-1)</f>
    </nc>
  </rcc>
  <rcc rId="2237" sId="1">
    <nc r="C142">
      <f>LEFT(B142,LEN(B142)-1)</f>
    </nc>
  </rcc>
  <rcc rId="2238" sId="1">
    <nc r="C143">
      <f>LEFT(B143,LEN(B143)-1)</f>
    </nc>
  </rcc>
  <rcc rId="2239" sId="1">
    <nc r="C144">
      <f>LEFT(B144,LEN(B144)-1)</f>
    </nc>
  </rcc>
  <rcc rId="2240" sId="1">
    <nc r="C145">
      <f>LEFT(B145,LEN(B145)-1)</f>
    </nc>
  </rcc>
  <rcc rId="2241" sId="1">
    <nc r="C146">
      <f>LEFT(B146,LEN(B146)-1)</f>
    </nc>
  </rcc>
  <rcc rId="2242" sId="1">
    <nc r="C147">
      <f>LEFT(B147,LEN(B147)-1)</f>
    </nc>
  </rcc>
  <rcc rId="2243" sId="1">
    <nc r="C148">
      <f>LEFT(B148,LEN(B148)-1)</f>
    </nc>
  </rcc>
  <rcc rId="2244" sId="1">
    <nc r="C149">
      <f>LEFT(B149,LEN(B149)-1)</f>
    </nc>
  </rcc>
  <rcc rId="2245" sId="1">
    <nc r="C150">
      <f>LEFT(B150,LEN(B150)-1)</f>
    </nc>
  </rcc>
  <rcc rId="2246" sId="1">
    <nc r="C151">
      <f>LEFT(B151,LEN(B151)-1)</f>
    </nc>
  </rcc>
  <rcc rId="2247" sId="1">
    <nc r="C152">
      <f>LEFT(B152,LEN(B152)-1)</f>
    </nc>
  </rcc>
  <rcc rId="2248" sId="1">
    <nc r="C153">
      <f>LEFT(B153,LEN(B153)-1)</f>
    </nc>
  </rcc>
  <rcc rId="2249" sId="1">
    <nc r="C154">
      <f>LEFT(B154,LEN(B154)-1)</f>
    </nc>
  </rcc>
  <rcc rId="2250" sId="1">
    <nc r="C155">
      <f>LEFT(B155,LEN(B155)-1)</f>
    </nc>
  </rcc>
  <rcc rId="2251" sId="1">
    <nc r="C156">
      <f>LEFT(B156,LEN(B156)-1)</f>
    </nc>
  </rcc>
  <rcc rId="2252" sId="1">
    <nc r="C157">
      <f>LEFT(B157,LEN(B157)-1)</f>
    </nc>
  </rcc>
  <rcc rId="2253" sId="1">
    <nc r="C158">
      <f>LEFT(B158,LEN(B158)-1)</f>
    </nc>
  </rcc>
  <rcc rId="2254" sId="1">
    <nc r="C159">
      <f>LEFT(B159,LEN(B159)-1)</f>
    </nc>
  </rcc>
  <rcc rId="2255" sId="1">
    <nc r="C160">
      <f>LEFT(B160,LEN(B160)-1)</f>
    </nc>
  </rcc>
  <rcc rId="2256" sId="1">
    <nc r="C161">
      <f>LEFT(B161,LEN(B161)-1)</f>
    </nc>
  </rcc>
  <rcc rId="2257" sId="1">
    <nc r="C162">
      <f>LEFT(B162,LEN(B162)-1)</f>
    </nc>
  </rcc>
  <rcc rId="2258" sId="1">
    <nc r="C163">
      <f>LEFT(B163,LEN(B163)-1)</f>
    </nc>
  </rcc>
  <rcc rId="2259" sId="1">
    <nc r="C164">
      <f>LEFT(B164,LEN(B164)-1)</f>
    </nc>
  </rcc>
  <rcc rId="2260" sId="1">
    <nc r="C165">
      <f>LEFT(B165,LEN(B165)-1)</f>
    </nc>
  </rcc>
  <rcc rId="2261" sId="1">
    <nc r="C166">
      <f>LEFT(B166,LEN(B166)-1)</f>
    </nc>
  </rcc>
  <rcc rId="2262" sId="1">
    <nc r="C167">
      <f>LEFT(B167,LEN(B167)-1)</f>
    </nc>
  </rcc>
  <rcc rId="2263" sId="1">
    <nc r="C168">
      <f>LEFT(B168,LEN(B168)-1)</f>
    </nc>
  </rcc>
  <rcc rId="2264" sId="1">
    <nc r="C169">
      <f>LEFT(B169,LEN(B169)-1)</f>
    </nc>
  </rcc>
  <rcc rId="2265" sId="1">
    <nc r="C170">
      <f>LEFT(B170,LEN(B170)-1)</f>
    </nc>
  </rcc>
  <rcc rId="2266" sId="1">
    <nc r="C171">
      <f>LEFT(B171,LEN(B171)-1)</f>
    </nc>
  </rcc>
  <rcc rId="2267" sId="1">
    <nc r="C172">
      <f>LEFT(B172,LEN(B172)-1)</f>
    </nc>
  </rcc>
  <rcc rId="2268" sId="1">
    <nc r="C173">
      <f>LEFT(B173,LEN(B173)-1)</f>
    </nc>
  </rcc>
  <rcc rId="2269" sId="1">
    <nc r="C174">
      <f>LEFT(B174,LEN(B174)-1)</f>
    </nc>
  </rcc>
  <rcc rId="2270" sId="1">
    <nc r="C175">
      <f>LEFT(B175,LEN(B175)-1)</f>
    </nc>
  </rcc>
  <rcc rId="2271" sId="1">
    <nc r="C176">
      <f>LEFT(B176,LEN(B176)-1)</f>
    </nc>
  </rcc>
  <rcc rId="2272" sId="1">
    <nc r="C177">
      <f>LEFT(B177,LEN(B177)-1)</f>
    </nc>
  </rcc>
  <rcc rId="2273" sId="1">
    <nc r="C178">
      <f>LEFT(B178,LEN(B178)-1)</f>
    </nc>
  </rcc>
  <rcc rId="2274" sId="1">
    <nc r="C179">
      <f>LEFT(B179,LEN(B179)-1)</f>
    </nc>
  </rcc>
  <rcc rId="2275" sId="1">
    <nc r="C180">
      <f>LEFT(B180,LEN(B180)-1)</f>
    </nc>
  </rcc>
  <rcc rId="2276" sId="1">
    <nc r="C181">
      <f>LEFT(B181,LEN(B181)-1)</f>
    </nc>
  </rcc>
  <rcc rId="2277" sId="1">
    <nc r="C182">
      <f>LEFT(B182,LEN(B182)-1)</f>
    </nc>
  </rcc>
  <rcc rId="2278" sId="1">
    <nc r="C183">
      <f>LEFT(B183,LEN(B183)-1)</f>
    </nc>
  </rcc>
  <rcc rId="2279" sId="1">
    <nc r="C184">
      <f>LEFT(B184,LEN(B184)-1)</f>
    </nc>
  </rcc>
  <rcc rId="2280" sId="1">
    <nc r="C185">
      <f>LEFT(B185,LEN(B185)-1)</f>
    </nc>
  </rcc>
  <rcc rId="2281" sId="1">
    <nc r="C186">
      <f>LEFT(B186,LEN(B186)-1)</f>
    </nc>
  </rcc>
  <rcc rId="2282" sId="1">
    <nc r="C187">
      <f>LEFT(B187,LEN(B187)-1)</f>
    </nc>
  </rcc>
  <rcc rId="2283" sId="1">
    <nc r="C188">
      <f>LEFT(B188,LEN(B188)-1)</f>
    </nc>
  </rcc>
  <rcc rId="2284" sId="1">
    <nc r="C189">
      <f>LEFT(B189,LEN(B189)-1)</f>
    </nc>
  </rcc>
  <rcc rId="2285" sId="1">
    <nc r="C190">
      <f>LEFT(B190,LEN(B190)-1)</f>
    </nc>
  </rcc>
  <rcc rId="2286" sId="1">
    <nc r="C191">
      <f>LEFT(B191,LEN(B191)-1)</f>
    </nc>
  </rcc>
  <rcc rId="2287" sId="1">
    <nc r="C192">
      <f>LEFT(B192,LEN(B192)-1)</f>
    </nc>
  </rcc>
  <rcc rId="2288" sId="1">
    <nc r="C193">
      <f>LEFT(B193,LEN(B193)-1)</f>
    </nc>
  </rcc>
  <rcc rId="2289" sId="1">
    <nc r="C194">
      <f>LEFT(B194,LEN(B194)-1)</f>
    </nc>
  </rcc>
  <rcc rId="2290" sId="1">
    <nc r="C195">
      <f>LEFT(B195,LEN(B195)-1)</f>
    </nc>
  </rcc>
  <rcc rId="2291" sId="1">
    <nc r="C196">
      <f>LEFT(B196,LEN(B196)-1)</f>
    </nc>
  </rcc>
  <rcc rId="2292" sId="1">
    <nc r="C197">
      <f>LEFT(B197,LEN(B197)-1)</f>
    </nc>
  </rcc>
  <rcc rId="2293" sId="1">
    <nc r="C198">
      <f>LEFT(B198,LEN(B198)-1)</f>
    </nc>
  </rcc>
  <rcc rId="2294" sId="1">
    <nc r="C199">
      <f>LEFT(B199,LEN(B199)-1)</f>
    </nc>
  </rcc>
  <rcc rId="2295" sId="1">
    <nc r="C200">
      <f>LEFT(B200,LEN(B200)-1)</f>
    </nc>
  </rcc>
  <rcc rId="2296" sId="1">
    <nc r="C201">
      <f>LEFT(B201,LEN(B201)-1)</f>
    </nc>
  </rcc>
  <rcc rId="2297" sId="1">
    <nc r="C202">
      <f>LEFT(B202,LEN(B202)-1)</f>
    </nc>
  </rcc>
  <rcc rId="2298" sId="1">
    <nc r="C203">
      <f>LEFT(B203,LEN(B203)-1)</f>
    </nc>
  </rcc>
  <rcc rId="2299" sId="1">
    <nc r="C204">
      <f>LEFT(B204,LEN(B204)-1)</f>
    </nc>
  </rcc>
  <rcc rId="2300" sId="1">
    <nc r="C205">
      <f>LEFT(B205,LEN(B205)-1)</f>
    </nc>
  </rcc>
  <rcc rId="2301" sId="1">
    <nc r="C206">
      <f>LEFT(B206,LEN(B206)-1)</f>
    </nc>
  </rcc>
  <rcc rId="2302" sId="1">
    <nc r="C207">
      <f>LEFT(B207,LEN(B207)-1)</f>
    </nc>
  </rcc>
  <rcc rId="2303" sId="1">
    <nc r="C208">
      <f>LEFT(B208,LEN(B208)-1)</f>
    </nc>
  </rcc>
  <rcc rId="2304" sId="1">
    <nc r="C209">
      <f>LEFT(B209,LEN(B209)-1)</f>
    </nc>
  </rcc>
  <rcc rId="2305" sId="1">
    <nc r="C210">
      <f>LEFT(B210,LEN(B210)-1)</f>
    </nc>
  </rcc>
  <rcc rId="2306" sId="1">
    <nc r="C211">
      <f>LEFT(B211,LEN(B211)-1)</f>
    </nc>
  </rcc>
  <rcc rId="2307" sId="1">
    <nc r="C212">
      <f>LEFT(B212,LEN(B212)-1)</f>
    </nc>
  </rcc>
  <rcc rId="2308" sId="1">
    <nc r="C213">
      <f>LEFT(B213,LEN(B213)-1)</f>
    </nc>
  </rcc>
  <rcc rId="2309" sId="1">
    <nc r="C214">
      <f>LEFT(B214,LEN(B214)-1)</f>
    </nc>
  </rcc>
  <rcc rId="2310" sId="1">
    <nc r="C215">
      <f>LEFT(B215,LEN(B215)-1)</f>
    </nc>
  </rcc>
  <rcc rId="2311" sId="1">
    <nc r="C216">
      <f>LEFT(B216,LEN(B216)-1)</f>
    </nc>
  </rcc>
  <rcc rId="2312" sId="1">
    <nc r="C217">
      <f>LEFT(B217,LEN(B217)-1)</f>
    </nc>
  </rcc>
  <rcc rId="2313" sId="1">
    <nc r="C218">
      <f>LEFT(B218,LEN(B218)-1)</f>
    </nc>
  </rcc>
  <rcc rId="2314" sId="1">
    <nc r="C219">
      <f>LEFT(B219,LEN(B219)-1)</f>
    </nc>
  </rcc>
  <rcc rId="2315" sId="1">
    <nc r="C220">
      <f>LEFT(B220,LEN(B220)-1)</f>
    </nc>
  </rcc>
  <rcc rId="2316" sId="1">
    <nc r="C221">
      <f>LEFT(B221,LEN(B221)-1)</f>
    </nc>
  </rcc>
  <rcc rId="2317" sId="1">
    <nc r="C222">
      <f>LEFT(B222,LEN(B222)-1)</f>
    </nc>
  </rcc>
  <rcc rId="2318" sId="1">
    <nc r="C223">
      <f>LEFT(B223,LEN(B223)-1)</f>
    </nc>
  </rcc>
  <rcc rId="2319" sId="1">
    <nc r="C224">
      <f>LEFT(B224,LEN(B224)-1)</f>
    </nc>
  </rcc>
  <rcc rId="2320" sId="1">
    <nc r="C225">
      <f>LEFT(B225,LEN(B225)-1)</f>
    </nc>
  </rcc>
  <rcc rId="2321" sId="1">
    <nc r="C226">
      <f>LEFT(B226,LEN(B226)-1)</f>
    </nc>
  </rcc>
  <rcc rId="2322" sId="1">
    <nc r="C227">
      <f>LEFT(B227,LEN(B227)-1)</f>
    </nc>
  </rcc>
  <rcc rId="2323" sId="1">
    <nc r="C228">
      <f>LEFT(B228,LEN(B228)-1)</f>
    </nc>
  </rcc>
  <rcc rId="2324" sId="1">
    <nc r="C229">
      <f>LEFT(B229,LEN(B229)-1)</f>
    </nc>
  </rcc>
  <rcc rId="2325" sId="1">
    <nc r="C230">
      <f>LEFT(B230,LEN(B230)-1)</f>
    </nc>
  </rcc>
  <rcc rId="2326" sId="1">
    <nc r="C231">
      <f>LEFT(B231,LEN(B231)-1)</f>
    </nc>
  </rcc>
  <rcc rId="2327" sId="1">
    <nc r="C232">
      <f>LEFT(B232,LEN(B232)-1)</f>
    </nc>
  </rcc>
  <rcc rId="2328" sId="1">
    <nc r="C233">
      <f>LEFT(B233,LEN(B233)-1)</f>
    </nc>
  </rcc>
  <rcc rId="2329" sId="1">
    <nc r="C234">
      <f>LEFT(B234,LEN(B234)-1)</f>
    </nc>
  </rcc>
  <rcc rId="2330" sId="1">
    <nc r="C235">
      <f>LEFT(B235,LEN(B235)-1)</f>
    </nc>
  </rcc>
  <rcc rId="2331" sId="1">
    <nc r="C236">
      <f>LEFT(B236,LEN(B236)-1)</f>
    </nc>
  </rcc>
  <rcc rId="2332" sId="1">
    <nc r="C237">
      <f>LEFT(B237,LEN(B237)-1)</f>
    </nc>
  </rcc>
  <rcc rId="2333" sId="1">
    <nc r="C238">
      <f>LEFT(B238,LEN(B238)-1)</f>
    </nc>
  </rcc>
  <rcc rId="2334" sId="1">
    <nc r="C239">
      <f>LEFT(B239,LEN(B239)-1)</f>
    </nc>
  </rcc>
  <rcc rId="2335" sId="1">
    <nc r="C240">
      <f>LEFT(B240,LEN(B240)-1)</f>
    </nc>
  </rcc>
  <rcc rId="2336" sId="1">
    <nc r="C241">
      <f>LEFT(B241,LEN(B241)-1)</f>
    </nc>
  </rcc>
  <rcc rId="2337" sId="1">
    <nc r="C242">
      <f>LEFT(B242,LEN(B242)-1)</f>
    </nc>
  </rcc>
  <rcc rId="2338" sId="1">
    <nc r="C243">
      <f>LEFT(B243,LEN(B243)-1)</f>
    </nc>
  </rcc>
  <rcc rId="2339" sId="1">
    <nc r="C244">
      <f>LEFT(B244,LEN(B244)-1)</f>
    </nc>
  </rcc>
  <rcc rId="2340" sId="1">
    <nc r="C245">
      <f>LEFT(B245,LEN(B245)-1)</f>
    </nc>
  </rcc>
  <rcc rId="2341" sId="1" odxf="1" dxf="1">
    <nc r="C246">
      <f>LEFT(B246,LEN(B246)-1)</f>
    </nc>
    <odxf>
      <font>
        <color rgb="FF000000"/>
      </font>
    </odxf>
    <ndxf>
      <font>
        <sz val="12"/>
        <color theme="1"/>
        <name val="Calibri"/>
        <family val="2"/>
        <scheme val="minor"/>
      </font>
    </ndxf>
  </rcc>
  <rcc rId="2342" sId="1" odxf="1" dxf="1">
    <nc r="C247">
      <f>LEFT(B247,LEN(B247)-1)</f>
    </nc>
    <odxf>
      <font>
        <color rgb="FF000000"/>
      </font>
    </odxf>
    <ndxf>
      <font>
        <sz val="12"/>
        <color theme="1"/>
        <name val="Calibri"/>
        <family val="2"/>
        <scheme val="minor"/>
      </font>
    </ndxf>
  </rcc>
  <rcc rId="2343" sId="1" odxf="1" dxf="1">
    <nc r="C248">
      <f>LEFT(B248,LEN(B248)-1)</f>
    </nc>
    <odxf>
      <font>
        <color rgb="FF000000"/>
      </font>
    </odxf>
    <ndxf>
      <font>
        <sz val="12"/>
        <color theme="1"/>
        <name val="Calibri"/>
        <family val="2"/>
        <scheme val="minor"/>
      </font>
    </ndxf>
  </rcc>
  <rcc rId="2344" sId="1" odxf="1" dxf="1">
    <nc r="C249">
      <f>LEFT(B249,LEN(B249)-1)</f>
    </nc>
    <odxf>
      <font>
        <color rgb="FF000000"/>
      </font>
    </odxf>
    <ndxf>
      <font>
        <sz val="12"/>
        <color theme="1"/>
        <name val="Calibri"/>
        <family val="2"/>
        <scheme val="minor"/>
      </font>
    </ndxf>
  </rcc>
  <rcc rId="2345" sId="1" odxf="1" dxf="1">
    <nc r="C250">
      <f>LEFT(B250,LEN(B250)-1)</f>
    </nc>
    <odxf>
      <font>
        <color rgb="FF000000"/>
      </font>
    </odxf>
    <ndxf>
      <font>
        <sz val="12"/>
        <color theme="1"/>
        <name val="Calibri"/>
        <family val="2"/>
        <scheme val="minor"/>
      </font>
    </ndxf>
  </rcc>
  <rcc rId="2346" sId="1" odxf="1" dxf="1">
    <nc r="C251">
      <f>LEFT(B251,LEN(B251)-1)</f>
    </nc>
    <odxf>
      <font>
        <color rgb="FF000000"/>
      </font>
    </odxf>
    <ndxf>
      <font>
        <sz val="12"/>
        <color theme="1"/>
        <name val="Calibri"/>
        <family val="2"/>
        <scheme val="minor"/>
      </font>
    </ndxf>
  </rcc>
  <rcc rId="2347" sId="1" odxf="1" dxf="1">
    <nc r="C252">
      <f>LEFT(B252,LEN(B252)-1)</f>
    </nc>
    <odxf>
      <font>
        <color rgb="FF000000"/>
      </font>
    </odxf>
    <ndxf>
      <font>
        <sz val="12"/>
        <color theme="1"/>
        <name val="Calibri"/>
        <family val="2"/>
        <scheme val="minor"/>
      </font>
    </ndxf>
  </rcc>
  <rcc rId="2348" sId="1" odxf="1" dxf="1">
    <nc r="C253">
      <f>LEFT(B253,LEN(B253)-1)</f>
    </nc>
    <odxf>
      <font>
        <color rgb="FF000000"/>
      </font>
    </odxf>
    <ndxf>
      <font>
        <sz val="12"/>
        <color theme="1"/>
        <name val="Calibri"/>
        <family val="2"/>
        <scheme val="minor"/>
      </font>
    </ndxf>
  </rcc>
  <rcc rId="2349" sId="1" odxf="1" dxf="1">
    <nc r="C254">
      <f>LEFT(B254,LEN(B254)-1)</f>
    </nc>
    <odxf>
      <font>
        <color rgb="FF000000"/>
      </font>
    </odxf>
    <ndxf>
      <font>
        <sz val="12"/>
        <color theme="1"/>
        <name val="Calibri"/>
        <family val="2"/>
        <scheme val="minor"/>
      </font>
    </ndxf>
  </rcc>
  <rcc rId="2350" sId="1" odxf="1" dxf="1">
    <nc r="C255">
      <f>LEFT(B255,LEN(B255)-1)</f>
    </nc>
    <odxf>
      <font>
        <color rgb="FF000000"/>
      </font>
    </odxf>
    <ndxf>
      <font>
        <sz val="12"/>
        <color theme="1"/>
        <name val="Calibri"/>
        <family val="2"/>
        <scheme val="minor"/>
      </font>
    </ndxf>
  </rcc>
  <rcc rId="2351" sId="1" odxf="1" dxf="1">
    <nc r="C256">
      <f>LEFT(B256,LEN(B256)-1)</f>
    </nc>
    <odxf>
      <font>
        <color rgb="FF000000"/>
      </font>
    </odxf>
    <ndxf>
      <font>
        <sz val="12"/>
        <color theme="1"/>
        <name val="Calibri"/>
        <family val="2"/>
        <scheme val="minor"/>
      </font>
    </ndxf>
  </rcc>
  <rcc rId="2352" sId="1" odxf="1" dxf="1">
    <nc r="C257">
      <f>LEFT(B257,LEN(B257)-1)</f>
    </nc>
    <odxf>
      <font>
        <color rgb="FF000000"/>
      </font>
    </odxf>
    <ndxf>
      <font>
        <sz val="12"/>
        <color theme="1"/>
        <name val="Calibri"/>
        <family val="2"/>
        <scheme val="minor"/>
      </font>
    </ndxf>
  </rcc>
  <rcc rId="2353" sId="1" odxf="1" dxf="1">
    <nc r="C258">
      <f>LEFT(B258,LEN(B258)-1)</f>
    </nc>
    <odxf>
      <font>
        <color rgb="FF000000"/>
      </font>
    </odxf>
    <ndxf>
      <font>
        <sz val="12"/>
        <color theme="1"/>
        <name val="Calibri"/>
        <family val="2"/>
        <scheme val="minor"/>
      </font>
    </ndxf>
  </rcc>
  <rcc rId="2354" sId="1" odxf="1" dxf="1">
    <nc r="C259">
      <f>LEFT(B259,LEN(B259)-1)</f>
    </nc>
    <odxf>
      <font>
        <color rgb="FF000000"/>
      </font>
    </odxf>
    <ndxf>
      <font>
        <sz val="12"/>
        <color theme="1"/>
        <name val="Calibri"/>
        <family val="2"/>
        <scheme val="minor"/>
      </font>
    </ndxf>
  </rcc>
  <rcc rId="2355" sId="1" odxf="1" dxf="1">
    <nc r="C260">
      <f>LEFT(B260,LEN(B260)-1)</f>
    </nc>
    <odxf>
      <font>
        <color rgb="FF000000"/>
      </font>
    </odxf>
    <ndxf>
      <font>
        <sz val="12"/>
        <color theme="1"/>
        <name val="Calibri"/>
        <family val="2"/>
        <scheme val="minor"/>
      </font>
    </ndxf>
  </rcc>
  <rcc rId="2356" sId="1" odxf="1" dxf="1">
    <nc r="C261">
      <f>LEFT(B261,LEN(B261)-1)</f>
    </nc>
    <odxf>
      <font>
        <color rgb="FF000000"/>
      </font>
    </odxf>
    <ndxf>
      <font>
        <sz val="12"/>
        <color theme="1"/>
        <name val="Calibri"/>
        <family val="2"/>
        <scheme val="minor"/>
      </font>
    </ndxf>
  </rcc>
  <rcc rId="2357" sId="1" odxf="1" dxf="1">
    <nc r="C262">
      <f>LEFT(B262,LEN(B262)-1)</f>
    </nc>
    <odxf>
      <font>
        <color rgb="FF000000"/>
      </font>
    </odxf>
    <ndxf>
      <font>
        <sz val="12"/>
        <color theme="1"/>
        <name val="Calibri"/>
        <family val="2"/>
        <scheme val="minor"/>
      </font>
    </ndxf>
  </rcc>
  <rcc rId="2358" sId="1" odxf="1" dxf="1">
    <nc r="C263">
      <f>LEFT(B263,LEN(B263)-1)</f>
    </nc>
    <odxf>
      <font>
        <color rgb="FF000000"/>
      </font>
    </odxf>
    <ndxf>
      <font>
        <sz val="12"/>
        <color theme="1"/>
        <name val="Calibri"/>
        <family val="2"/>
        <scheme val="minor"/>
      </font>
    </ndxf>
  </rcc>
  <rcc rId="2359" sId="1" odxf="1" dxf="1">
    <nc r="C264">
      <f>LEFT(B264,LEN(B264)-1)</f>
    </nc>
    <odxf>
      <font>
        <color rgb="FF000000"/>
      </font>
    </odxf>
    <ndxf>
      <font>
        <sz val="12"/>
        <color theme="1"/>
        <name val="Calibri"/>
        <family val="2"/>
        <scheme val="minor"/>
      </font>
    </ndxf>
  </rcc>
  <rcc rId="2360" sId="1" odxf="1" dxf="1">
    <nc r="C265">
      <f>LEFT(B265,LEN(B265)-1)</f>
    </nc>
    <odxf>
      <font>
        <color rgb="FF000000"/>
      </font>
    </odxf>
    <ndxf>
      <font>
        <sz val="12"/>
        <color theme="1"/>
        <name val="Calibri"/>
        <family val="2"/>
        <scheme val="minor"/>
      </font>
    </ndxf>
  </rcc>
  <rcc rId="2361" sId="1" odxf="1" dxf="1">
    <nc r="C266">
      <f>LEFT(B266,LEN(B266)-1)</f>
    </nc>
    <odxf>
      <font>
        <color rgb="FF000000"/>
      </font>
    </odxf>
    <ndxf>
      <font>
        <sz val="12"/>
        <color theme="1"/>
        <name val="Calibri"/>
        <family val="2"/>
        <scheme val="minor"/>
      </font>
    </ndxf>
  </rcc>
  <rcc rId="2362" sId="1" odxf="1" dxf="1">
    <nc r="C267">
      <f>LEFT(B267,LEN(B267)-1)</f>
    </nc>
    <odxf>
      <font>
        <color rgb="FF000000"/>
      </font>
    </odxf>
    <ndxf>
      <font>
        <sz val="12"/>
        <color theme="1"/>
        <name val="Calibri"/>
        <family val="2"/>
        <scheme val="minor"/>
      </font>
    </ndxf>
  </rcc>
  <rcc rId="2363" sId="1" odxf="1" dxf="1">
    <nc r="C268">
      <f>LEFT(B268,LEN(B268)-1)</f>
    </nc>
    <odxf>
      <font>
        <color rgb="FF000000"/>
      </font>
    </odxf>
    <ndxf>
      <font>
        <sz val="12"/>
        <color theme="1"/>
        <name val="Calibri"/>
        <family val="2"/>
        <scheme val="minor"/>
      </font>
    </ndxf>
  </rcc>
  <rcc rId="2364" sId="1" odxf="1" dxf="1">
    <nc r="C269">
      <f>LEFT(B269,LEN(B269)-1)</f>
    </nc>
    <odxf>
      <font>
        <color rgb="FF000000"/>
      </font>
    </odxf>
    <ndxf>
      <font>
        <sz val="12"/>
        <color theme="1"/>
        <name val="Calibri"/>
        <family val="2"/>
        <scheme val="minor"/>
      </font>
    </ndxf>
  </rcc>
  <rcc rId="2365" sId="1" odxf="1" dxf="1">
    <nc r="C270">
      <f>LEFT(B270,LEN(B270)-1)</f>
    </nc>
    <odxf>
      <font>
        <color rgb="FF000000"/>
      </font>
    </odxf>
    <ndxf>
      <font>
        <sz val="12"/>
        <color theme="1"/>
        <name val="Calibri"/>
        <family val="2"/>
        <scheme val="minor"/>
      </font>
    </ndxf>
  </rcc>
  <rcc rId="2366" sId="1" odxf="1" dxf="1">
    <nc r="C271">
      <f>LEFT(B271,LEN(B271)-1)</f>
    </nc>
    <odxf>
      <font>
        <color rgb="FF000000"/>
      </font>
    </odxf>
    <ndxf>
      <font>
        <sz val="12"/>
        <color theme="1"/>
        <name val="Calibri"/>
        <family val="2"/>
        <scheme val="minor"/>
      </font>
    </ndxf>
  </rcc>
  <rcc rId="2367" sId="1" odxf="1" dxf="1">
    <nc r="C272">
      <f>LEFT(B272,LEN(B272)-1)</f>
    </nc>
    <odxf>
      <font>
        <color rgb="FF000000"/>
      </font>
    </odxf>
    <ndxf>
      <font>
        <sz val="12"/>
        <color theme="1"/>
        <name val="Calibri"/>
        <family val="2"/>
        <scheme val="minor"/>
      </font>
    </ndxf>
  </rcc>
  <rcc rId="2368" sId="1" odxf="1" dxf="1">
    <nc r="C273">
      <f>LEFT(B273,LEN(B273)-1)</f>
    </nc>
    <odxf>
      <font>
        <color rgb="FF000000"/>
      </font>
    </odxf>
    <ndxf>
      <font>
        <sz val="12"/>
        <color theme="1"/>
        <name val="Calibri"/>
        <family val="2"/>
        <scheme val="minor"/>
      </font>
    </ndxf>
  </rcc>
  <rcc rId="2369" sId="1" odxf="1" dxf="1">
    <nc r="C274">
      <f>LEFT(B274,LEN(B274)-1)</f>
    </nc>
    <odxf>
      <font>
        <color rgb="FF000000"/>
      </font>
    </odxf>
    <ndxf>
      <font>
        <sz val="12"/>
        <color theme="1"/>
        <name val="Calibri"/>
        <family val="2"/>
        <scheme val="minor"/>
      </font>
    </ndxf>
  </rcc>
  <rcc rId="2370" sId="1" odxf="1" dxf="1">
    <nc r="C275">
      <f>LEFT(B275,LEN(B275)-1)</f>
    </nc>
    <odxf>
      <font>
        <color rgb="FF000000"/>
      </font>
    </odxf>
    <ndxf>
      <font>
        <sz val="12"/>
        <color theme="1"/>
        <name val="Calibri"/>
        <family val="2"/>
        <scheme val="minor"/>
      </font>
    </ndxf>
  </rcc>
  <rcc rId="2371" sId="1" odxf="1" dxf="1">
    <nc r="C276">
      <f>LEFT(B276,LEN(B276)-1)</f>
    </nc>
    <odxf>
      <font>
        <color rgb="FF000000"/>
      </font>
    </odxf>
    <ndxf>
      <font>
        <sz val="12"/>
        <color theme="1"/>
        <name val="Calibri"/>
        <family val="2"/>
        <scheme val="minor"/>
      </font>
    </ndxf>
  </rcc>
  <rcc rId="2372" sId="1" odxf="1" dxf="1">
    <nc r="C277">
      <f>LEFT(B277,LEN(B277)-1)</f>
    </nc>
    <odxf>
      <font>
        <color rgb="FF000000"/>
      </font>
    </odxf>
    <ndxf>
      <font>
        <sz val="12"/>
        <color theme="1"/>
        <name val="Calibri"/>
        <family val="2"/>
        <scheme val="minor"/>
      </font>
    </ndxf>
  </rcc>
  <rcc rId="2373" sId="1" odxf="1" dxf="1">
    <nc r="C278">
      <f>LEFT(B278,LEN(B278)-1)</f>
    </nc>
    <odxf>
      <font>
        <color rgb="FF000000"/>
      </font>
    </odxf>
    <ndxf>
      <font>
        <sz val="12"/>
        <color theme="1"/>
        <name val="Calibri"/>
        <family val="2"/>
        <scheme val="minor"/>
      </font>
    </ndxf>
  </rcc>
  <rcc rId="2374" sId="1" odxf="1" dxf="1">
    <nc r="C279">
      <f>LEFT(B279,LEN(B279)-1)</f>
    </nc>
    <odxf>
      <font>
        <color rgb="FF000000"/>
      </font>
    </odxf>
    <ndxf>
      <font>
        <sz val="12"/>
        <color theme="1"/>
        <name val="Calibri"/>
        <family val="2"/>
        <scheme val="minor"/>
      </font>
    </ndxf>
  </rcc>
  <rcc rId="2375" sId="1" odxf="1" dxf="1">
    <nc r="C280">
      <f>LEFT(B280,LEN(B280)-1)</f>
    </nc>
    <odxf>
      <font>
        <color rgb="FF000000"/>
      </font>
    </odxf>
    <ndxf>
      <font>
        <sz val="12"/>
        <color theme="1"/>
        <name val="Calibri"/>
        <family val="2"/>
        <scheme val="minor"/>
      </font>
    </ndxf>
  </rcc>
  <rcc rId="2376" sId="1" odxf="1" dxf="1">
    <nc r="C281">
      <f>LEFT(B281,LEN(B281)-1)</f>
    </nc>
    <odxf>
      <font>
        <color rgb="FF000000"/>
      </font>
    </odxf>
    <ndxf>
      <font>
        <sz val="12"/>
        <color theme="1"/>
        <name val="Calibri"/>
        <family val="2"/>
        <scheme val="minor"/>
      </font>
    </ndxf>
  </rcc>
  <rcc rId="2377" sId="1" odxf="1" dxf="1">
    <nc r="C282">
      <f>LEFT(B282,LEN(B282)-1)</f>
    </nc>
    <odxf>
      <font>
        <color rgb="FF000000"/>
      </font>
    </odxf>
    <ndxf>
      <font>
        <sz val="12"/>
        <color theme="1"/>
        <name val="Calibri"/>
        <family val="2"/>
        <scheme val="minor"/>
      </font>
    </ndxf>
  </rcc>
  <rcc rId="2378" sId="1" odxf="1" dxf="1">
    <nc r="C283">
      <f>LEFT(B283,LEN(B283)-1)</f>
    </nc>
    <odxf>
      <font>
        <color rgb="FF000000"/>
      </font>
    </odxf>
    <ndxf>
      <font>
        <sz val="12"/>
        <color theme="1"/>
        <name val="Calibri"/>
        <family val="2"/>
        <scheme val="minor"/>
      </font>
    </ndxf>
  </rcc>
  <rcc rId="2379" sId="1" odxf="1" dxf="1">
    <nc r="C284">
      <f>LEFT(B284,LEN(B284)-1)</f>
    </nc>
    <odxf>
      <font>
        <color rgb="FF000000"/>
      </font>
    </odxf>
    <ndxf>
      <font>
        <sz val="12"/>
        <color theme="1"/>
        <name val="Calibri"/>
        <family val="2"/>
        <scheme val="minor"/>
      </font>
    </ndxf>
  </rcc>
  <rcc rId="2380" sId="1" odxf="1" dxf="1">
    <nc r="C285">
      <f>LEFT(B285,LEN(B285)-1)</f>
    </nc>
    <odxf>
      <font>
        <color rgb="FF000000"/>
      </font>
    </odxf>
    <ndxf>
      <font>
        <sz val="12"/>
        <color theme="1"/>
        <name val="Calibri"/>
        <family val="2"/>
        <scheme val="minor"/>
      </font>
    </ndxf>
  </rcc>
  <rcc rId="2381" sId="1" odxf="1" dxf="1">
    <nc r="C286">
      <f>LEFT(B286,LEN(B286)-1)</f>
    </nc>
    <odxf>
      <font>
        <color rgb="FF000000"/>
      </font>
    </odxf>
    <ndxf>
      <font>
        <sz val="12"/>
        <color theme="1"/>
        <name val="Calibri"/>
        <family val="2"/>
        <scheme val="minor"/>
      </font>
    </ndxf>
  </rcc>
  <rcc rId="2382" sId="1" odxf="1" dxf="1">
    <nc r="C287">
      <f>LEFT(B287,LEN(B287)-1)</f>
    </nc>
    <odxf>
      <font>
        <color rgb="FF000000"/>
      </font>
    </odxf>
    <ndxf>
      <font>
        <sz val="12"/>
        <color theme="1"/>
        <name val="Calibri"/>
        <family val="2"/>
        <scheme val="minor"/>
      </font>
    </ndxf>
  </rcc>
  <rcc rId="2383" sId="1" odxf="1" dxf="1">
    <nc r="C288">
      <f>LEFT(B288,LEN(B288)-1)</f>
    </nc>
    <odxf>
      <font>
        <color rgb="FF000000"/>
      </font>
    </odxf>
    <ndxf>
      <font>
        <sz val="12"/>
        <color theme="1"/>
        <name val="Calibri"/>
        <family val="2"/>
        <scheme val="minor"/>
      </font>
    </ndxf>
  </rcc>
  <rcc rId="2384" sId="1" odxf="1" dxf="1">
    <nc r="C289">
      <f>LEFT(B289,LEN(B289)-1)</f>
    </nc>
    <odxf>
      <font>
        <color rgb="FF000000"/>
      </font>
    </odxf>
    <ndxf>
      <font>
        <sz val="12"/>
        <color theme="1"/>
        <name val="Calibri"/>
        <family val="2"/>
        <scheme val="minor"/>
      </font>
    </ndxf>
  </rcc>
  <rcc rId="2385" sId="1" odxf="1" dxf="1">
    <nc r="C290">
      <f>LEFT(B290,LEN(B290)-1)</f>
    </nc>
    <odxf>
      <font>
        <color rgb="FF000000"/>
      </font>
    </odxf>
    <ndxf>
      <font>
        <sz val="12"/>
        <color theme="1"/>
        <name val="Calibri"/>
        <family val="2"/>
        <scheme val="minor"/>
      </font>
    </ndxf>
  </rcc>
  <rcc rId="2386" sId="1" odxf="1" dxf="1">
    <nc r="C291">
      <f>LEFT(B291,LEN(B291)-1)</f>
    </nc>
    <odxf>
      <font>
        <color rgb="FF000000"/>
      </font>
    </odxf>
    <ndxf>
      <font>
        <sz val="12"/>
        <color theme="1"/>
        <name val="Calibri"/>
        <family val="2"/>
        <scheme val="minor"/>
      </font>
    </ndxf>
  </rcc>
  <rcc rId="2387" sId="1" odxf="1" dxf="1">
    <nc r="C292">
      <f>LEFT(B292,LEN(B292)-1)</f>
    </nc>
    <odxf>
      <font>
        <color rgb="FF000000"/>
      </font>
    </odxf>
    <ndxf>
      <font>
        <sz val="12"/>
        <color theme="1"/>
        <name val="Calibri"/>
        <family val="2"/>
        <scheme val="minor"/>
      </font>
    </ndxf>
  </rcc>
  <rcc rId="2388" sId="1" odxf="1" dxf="1">
    <nc r="C293">
      <f>LEFT(B293,LEN(B293)-1)</f>
    </nc>
    <odxf>
      <font>
        <color rgb="FF000000"/>
      </font>
    </odxf>
    <ndxf>
      <font>
        <sz val="12"/>
        <color theme="1"/>
        <name val="Calibri"/>
        <family val="2"/>
        <scheme val="minor"/>
      </font>
    </ndxf>
  </rcc>
  <rcc rId="2389" sId="1" odxf="1" dxf="1">
    <nc r="C294">
      <f>LEFT(B294,LEN(B294)-1)</f>
    </nc>
    <odxf>
      <font>
        <color rgb="FF000000"/>
      </font>
    </odxf>
    <ndxf>
      <font>
        <sz val="12"/>
        <color theme="1"/>
        <name val="Calibri"/>
        <family val="2"/>
        <scheme val="minor"/>
      </font>
    </ndxf>
  </rcc>
  <rcc rId="2390" sId="1" odxf="1" dxf="1">
    <nc r="C295">
      <f>LEFT(B295,LEN(B295)-1)</f>
    </nc>
    <odxf>
      <font>
        <color rgb="FF000000"/>
      </font>
    </odxf>
    <ndxf>
      <font>
        <sz val="12"/>
        <color theme="1"/>
        <name val="Calibri"/>
        <family val="2"/>
        <scheme val="minor"/>
      </font>
    </ndxf>
  </rcc>
  <rcc rId="2391" sId="1" odxf="1" dxf="1">
    <nc r="C296">
      <f>LEFT(B296,LEN(B296)-1)</f>
    </nc>
    <odxf>
      <font>
        <color rgb="FF000000"/>
      </font>
    </odxf>
    <ndxf>
      <font>
        <sz val="12"/>
        <color theme="1"/>
        <name val="Calibri"/>
        <family val="2"/>
        <scheme val="minor"/>
      </font>
    </ndxf>
  </rcc>
  <rcc rId="2392" sId="1" odxf="1" dxf="1">
    <nc r="C297">
      <f>LEFT(B297,LEN(B297)-1)</f>
    </nc>
    <odxf>
      <font>
        <color rgb="FF000000"/>
      </font>
    </odxf>
    <ndxf>
      <font>
        <sz val="12"/>
        <color theme="1"/>
        <name val="Calibri"/>
        <family val="2"/>
        <scheme val="minor"/>
      </font>
    </ndxf>
  </rcc>
  <rcc rId="2393" sId="1" odxf="1" dxf="1">
    <nc r="C298">
      <f>LEFT(B298,LEN(B298)-1)</f>
    </nc>
    <odxf>
      <font>
        <color rgb="FF000000"/>
      </font>
    </odxf>
    <ndxf>
      <font>
        <sz val="12"/>
        <color theme="1"/>
        <name val="Calibri"/>
        <family val="2"/>
        <scheme val="minor"/>
      </font>
    </ndxf>
  </rcc>
  <rcc rId="2394" sId="1" odxf="1" dxf="1">
    <nc r="C299">
      <f>LEFT(B299,LEN(B299)-1)</f>
    </nc>
    <odxf>
      <font>
        <color rgb="FF000000"/>
      </font>
    </odxf>
    <ndxf>
      <font>
        <sz val="12"/>
        <color theme="1"/>
        <name val="Calibri"/>
        <family val="2"/>
        <scheme val="minor"/>
      </font>
    </ndxf>
  </rcc>
  <rcc rId="2395" sId="1" odxf="1" dxf="1">
    <nc r="C300">
      <f>LEFT(B300,LEN(B300)-1)</f>
    </nc>
    <odxf>
      <font>
        <color rgb="FF000000"/>
      </font>
    </odxf>
    <ndxf>
      <font>
        <sz val="12"/>
        <color theme="1"/>
        <name val="Calibri"/>
        <family val="2"/>
        <scheme val="minor"/>
      </font>
    </ndxf>
  </rcc>
  <rcc rId="2396" sId="1" odxf="1" dxf="1">
    <nc r="C301">
      <f>LEFT(B301,LEN(B301)-1)</f>
    </nc>
    <odxf>
      <font>
        <color rgb="FF000000"/>
      </font>
    </odxf>
    <ndxf>
      <font>
        <sz val="12"/>
        <color theme="1"/>
        <name val="Calibri"/>
        <family val="2"/>
        <scheme val="minor"/>
      </font>
    </ndxf>
  </rcc>
  <rcc rId="2397" sId="1" odxf="1" dxf="1">
    <nc r="C302">
      <f>LEFT(B302,LEN(B302)-1)</f>
    </nc>
    <odxf>
      <font>
        <color rgb="FF000000"/>
      </font>
    </odxf>
    <ndxf>
      <font>
        <sz val="12"/>
        <color theme="1"/>
        <name val="Calibri"/>
        <family val="2"/>
        <scheme val="minor"/>
      </font>
    </ndxf>
  </rcc>
  <rcc rId="2398" sId="1" odxf="1" dxf="1">
    <nc r="C303">
      <f>LEFT(B303,LEN(B303)-1)</f>
    </nc>
    <odxf>
      <font>
        <color rgb="FF000000"/>
      </font>
    </odxf>
    <ndxf>
      <font>
        <sz val="12"/>
        <color theme="1"/>
        <name val="Calibri"/>
        <family val="2"/>
        <scheme val="minor"/>
      </font>
    </ndxf>
  </rcc>
  <rcc rId="2399" sId="1" odxf="1" dxf="1">
    <nc r="C304">
      <f>LEFT(B304,LEN(B304)-1)</f>
    </nc>
    <odxf>
      <font>
        <color rgb="FF000000"/>
      </font>
    </odxf>
    <ndxf>
      <font>
        <sz val="12"/>
        <color theme="1"/>
        <name val="Calibri"/>
        <family val="2"/>
        <scheme val="minor"/>
      </font>
    </ndxf>
  </rcc>
  <rcc rId="2400" sId="1" odxf="1" dxf="1">
    <nc r="C305">
      <f>LEFT(B305,LEN(B305)-1)</f>
    </nc>
    <odxf>
      <font>
        <color rgb="FF000000"/>
      </font>
    </odxf>
    <ndxf>
      <font>
        <sz val="12"/>
        <color theme="1"/>
        <name val="Calibri"/>
        <family val="2"/>
        <scheme val="minor"/>
      </font>
    </ndxf>
  </rcc>
  <rcc rId="2401" sId="1" odxf="1" dxf="1">
    <nc r="C306">
      <f>LEFT(B306,LEN(B306)-1)</f>
    </nc>
    <odxf>
      <font>
        <color rgb="FF000000"/>
      </font>
    </odxf>
    <ndxf>
      <font>
        <sz val="12"/>
        <color theme="1"/>
        <name val="Calibri"/>
        <family val="2"/>
        <scheme val="minor"/>
      </font>
    </ndxf>
  </rcc>
  <rcc rId="2402" sId="1" odxf="1" dxf="1">
    <nc r="C307">
      <f>LEFT(B307,LEN(B307)-1)</f>
    </nc>
    <odxf>
      <font>
        <color rgb="FF000000"/>
      </font>
    </odxf>
    <ndxf>
      <font>
        <sz val="12"/>
        <color theme="1"/>
        <name val="Calibri"/>
        <family val="2"/>
        <scheme val="minor"/>
      </font>
    </ndxf>
  </rcc>
  <rcc rId="2403" sId="1" odxf="1" dxf="1">
    <nc r="C308">
      <f>LEFT(B308,LEN(B308)-1)</f>
    </nc>
    <odxf>
      <font>
        <color rgb="FF000000"/>
      </font>
    </odxf>
    <ndxf>
      <font>
        <sz val="12"/>
        <color theme="1"/>
        <name val="Calibri"/>
        <family val="2"/>
        <scheme val="minor"/>
      </font>
    </ndxf>
  </rcc>
  <rcc rId="2404" sId="1" odxf="1" dxf="1">
    <nc r="C309">
      <f>LEFT(B309,LEN(B309)-1)</f>
    </nc>
    <odxf>
      <font>
        <color rgb="FF000000"/>
      </font>
    </odxf>
    <ndxf>
      <font>
        <sz val="12"/>
        <color theme="1"/>
        <name val="Calibri"/>
        <family val="2"/>
        <scheme val="minor"/>
      </font>
    </ndxf>
  </rcc>
  <rcc rId="2405" sId="1" odxf="1" dxf="1">
    <nc r="C310">
      <f>LEFT(B310,LEN(B310)-1)</f>
    </nc>
    <odxf>
      <font>
        <color rgb="FF000000"/>
      </font>
    </odxf>
    <ndxf>
      <font>
        <sz val="12"/>
        <color theme="1"/>
        <name val="Calibri"/>
        <family val="2"/>
        <scheme val="minor"/>
      </font>
    </ndxf>
  </rcc>
  <rcc rId="2406" sId="1" odxf="1" dxf="1">
    <nc r="C311">
      <f>LEFT(B311,LEN(B311)-1)</f>
    </nc>
    <odxf>
      <font>
        <color rgb="FF000000"/>
      </font>
    </odxf>
    <ndxf>
      <font>
        <sz val="12"/>
        <color theme="1"/>
        <name val="Calibri"/>
        <family val="2"/>
        <scheme val="minor"/>
      </font>
    </ndxf>
  </rcc>
  <rcc rId="2407" sId="1" odxf="1" dxf="1">
    <nc r="C312">
      <f>LEFT(B312,LEN(B312)-1)</f>
    </nc>
    <odxf>
      <font>
        <color rgb="FF000000"/>
      </font>
    </odxf>
    <ndxf>
      <font>
        <sz val="12"/>
        <color theme="1"/>
        <name val="Calibri"/>
        <family val="2"/>
        <scheme val="minor"/>
      </font>
    </ndxf>
  </rcc>
  <rcc rId="2408" sId="1" odxf="1" dxf="1">
    <nc r="C313">
      <f>LEFT(B313,LEN(B313)-1)</f>
    </nc>
    <odxf>
      <font>
        <color rgb="FF000000"/>
      </font>
    </odxf>
    <ndxf>
      <font>
        <sz val="12"/>
        <color theme="1"/>
        <name val="Calibri"/>
        <family val="2"/>
        <scheme val="minor"/>
      </font>
    </ndxf>
  </rcc>
  <rcc rId="2409" sId="1" odxf="1" dxf="1">
    <nc r="C314">
      <f>LEFT(B314,LEN(B314)-1)</f>
    </nc>
    <odxf>
      <font>
        <color rgb="FF000000"/>
      </font>
    </odxf>
    <ndxf>
      <font>
        <sz val="12"/>
        <color theme="1"/>
        <name val="Calibri"/>
        <family val="2"/>
        <scheme val="minor"/>
      </font>
    </ndxf>
  </rcc>
  <rcc rId="2410" sId="1" odxf="1" dxf="1">
    <nc r="C315">
      <f>LEFT(B315,LEN(B315)-1)</f>
    </nc>
    <odxf>
      <font>
        <color rgb="FF000000"/>
      </font>
    </odxf>
    <ndxf>
      <font>
        <sz val="12"/>
        <color theme="1"/>
        <name val="Calibri"/>
        <family val="2"/>
        <scheme val="minor"/>
      </font>
    </ndxf>
  </rcc>
  <rcc rId="2411" sId="1" odxf="1" dxf="1">
    <nc r="C316">
      <f>LEFT(B316,LEN(B316)-1)</f>
    </nc>
    <odxf>
      <font>
        <color rgb="FF000000"/>
      </font>
    </odxf>
    <ndxf>
      <font>
        <sz val="12"/>
        <color theme="1"/>
        <name val="Calibri"/>
        <family val="2"/>
        <scheme val="minor"/>
      </font>
    </ndxf>
  </rcc>
  <rcc rId="2412" sId="1" odxf="1" dxf="1">
    <nc r="C317">
      <f>LEFT(B317,LEN(B317)-1)</f>
    </nc>
    <odxf>
      <font>
        <color rgb="FF000000"/>
      </font>
    </odxf>
    <ndxf>
      <font>
        <sz val="12"/>
        <color theme="1"/>
        <name val="Calibri"/>
        <family val="2"/>
        <scheme val="minor"/>
      </font>
    </ndxf>
  </rcc>
  <rcc rId="2413" sId="1" odxf="1" dxf="1">
    <nc r="C318">
      <f>LEFT(B318,LEN(B318)-1)</f>
    </nc>
    <odxf>
      <font>
        <color rgb="FF000000"/>
      </font>
    </odxf>
    <ndxf>
      <font>
        <sz val="12"/>
        <color theme="1"/>
        <name val="Calibri"/>
        <family val="2"/>
        <scheme val="minor"/>
      </font>
    </ndxf>
  </rcc>
  <rcc rId="2414" sId="1" odxf="1" dxf="1">
    <nc r="C319">
      <f>LEFT(B319,LEN(B319)-1)</f>
    </nc>
    <odxf>
      <font>
        <color rgb="FF000000"/>
      </font>
    </odxf>
    <ndxf>
      <font>
        <sz val="12"/>
        <color theme="1"/>
        <name val="Calibri"/>
        <family val="2"/>
        <scheme val="minor"/>
      </font>
    </ndxf>
  </rcc>
  <rcc rId="2415" sId="1" odxf="1" dxf="1">
    <nc r="C320">
      <f>LEFT(B320,LEN(B320)-1)</f>
    </nc>
    <odxf>
      <font>
        <color rgb="FF000000"/>
      </font>
    </odxf>
    <ndxf>
      <font>
        <sz val="12"/>
        <color theme="1"/>
        <name val="Calibri"/>
        <family val="2"/>
        <scheme val="minor"/>
      </font>
    </ndxf>
  </rcc>
  <rcc rId="2416" sId="1" odxf="1" dxf="1">
    <nc r="C321">
      <f>LEFT(B321,LEN(B321)-1)</f>
    </nc>
    <odxf>
      <font>
        <color rgb="FF000000"/>
      </font>
    </odxf>
    <ndxf>
      <font>
        <sz val="12"/>
        <color theme="1"/>
        <name val="Calibri"/>
        <family val="2"/>
        <scheme val="minor"/>
      </font>
    </ndxf>
  </rcc>
  <rcc rId="2417" sId="1" odxf="1" dxf="1">
    <nc r="C322">
      <f>LEFT(B322,LEN(B322)-1)</f>
    </nc>
    <odxf>
      <font>
        <color rgb="FF000000"/>
      </font>
    </odxf>
    <ndxf>
      <font>
        <sz val="12"/>
        <color theme="1"/>
        <name val="Calibri"/>
        <family val="2"/>
        <scheme val="minor"/>
      </font>
    </ndxf>
  </rcc>
  <rcc rId="2418" sId="1" odxf="1" dxf="1">
    <nc r="C323">
      <f>LEFT(B323,LEN(B323)-1)</f>
    </nc>
    <odxf>
      <font>
        <color rgb="FF000000"/>
      </font>
    </odxf>
    <ndxf>
      <font>
        <sz val="12"/>
        <color theme="1"/>
        <name val="Calibri"/>
        <family val="2"/>
        <scheme val="minor"/>
      </font>
    </ndxf>
  </rcc>
  <rcc rId="2419" sId="1" odxf="1" dxf="1">
    <nc r="C324">
      <f>LEFT(B324,LEN(B324)-1)</f>
    </nc>
    <odxf>
      <font>
        <color rgb="FF000000"/>
      </font>
    </odxf>
    <ndxf>
      <font>
        <sz val="12"/>
        <color theme="1"/>
        <name val="Calibri"/>
        <family val="2"/>
        <scheme val="minor"/>
      </font>
    </ndxf>
  </rcc>
  <rcc rId="2420" sId="1" odxf="1" dxf="1">
    <nc r="C325">
      <f>LEFT(B325,LEN(B325)-1)</f>
    </nc>
    <odxf>
      <font>
        <color rgb="FF000000"/>
      </font>
    </odxf>
    <ndxf>
      <font>
        <sz val="12"/>
        <color theme="1"/>
        <name val="Calibri"/>
        <family val="2"/>
        <scheme val="minor"/>
      </font>
    </ndxf>
  </rcc>
  <rcc rId="2421" sId="1" odxf="1" dxf="1">
    <nc r="C326">
      <f>LEFT(B326,LEN(B326)-1)</f>
    </nc>
    <odxf>
      <font>
        <color rgb="FF000000"/>
      </font>
    </odxf>
    <ndxf>
      <font>
        <sz val="12"/>
        <color theme="1"/>
        <name val="Calibri"/>
        <family val="2"/>
        <scheme val="minor"/>
      </font>
    </ndxf>
  </rcc>
  <rcc rId="2422" sId="1" odxf="1" dxf="1">
    <nc r="C328">
      <f>LEFT(B328,LEN(B328)-1)</f>
    </nc>
    <odxf>
      <font>
        <color rgb="FF000000"/>
      </font>
    </odxf>
    <ndxf>
      <font>
        <sz val="12"/>
        <color theme="1"/>
        <name val="Calibri"/>
        <family val="2"/>
        <scheme val="minor"/>
      </font>
    </ndxf>
  </rcc>
  <rcc rId="2423" sId="1" odxf="1" dxf="1">
    <nc r="C329">
      <f>LEFT(B329,LEN(B329)-1)</f>
    </nc>
    <odxf>
      <font>
        <color rgb="FF000000"/>
      </font>
    </odxf>
    <ndxf>
      <font>
        <sz val="12"/>
        <color theme="1"/>
        <name val="Calibri"/>
        <family val="2"/>
        <scheme val="minor"/>
      </font>
    </ndxf>
  </rcc>
  <rcc rId="2424" sId="1" odxf="1" dxf="1">
    <nc r="C330">
      <f>LEFT(B330,LEN(B330)-1)</f>
    </nc>
    <odxf>
      <font>
        <color rgb="FF000000"/>
      </font>
    </odxf>
    <ndxf>
      <font>
        <sz val="12"/>
        <color theme="1"/>
        <name val="Calibri"/>
        <family val="2"/>
        <scheme val="minor"/>
      </font>
    </ndxf>
  </rcc>
  <rcc rId="2425" sId="1" odxf="1" dxf="1">
    <nc r="C331">
      <f>LEFT(B331,LEN(B331)-1)</f>
    </nc>
    <odxf>
      <font>
        <color rgb="FF000000"/>
      </font>
    </odxf>
    <ndxf>
      <font>
        <sz val="12"/>
        <color theme="1"/>
        <name val="Calibri"/>
        <family val="2"/>
        <scheme val="minor"/>
      </font>
    </ndxf>
  </rcc>
  <rcc rId="2426" sId="1" odxf="1" dxf="1">
    <nc r="C332">
      <f>LEFT(B332,LEN(B332)-1)</f>
    </nc>
    <odxf>
      <font>
        <color rgb="FF000000"/>
      </font>
    </odxf>
    <ndxf>
      <font>
        <sz val="12"/>
        <color theme="1"/>
        <name val="Calibri"/>
        <family val="2"/>
        <scheme val="minor"/>
      </font>
    </ndxf>
  </rcc>
  <rcc rId="2427" sId="1" odxf="1" dxf="1">
    <nc r="C333">
      <f>LEFT(B333,LEN(B333)-1)</f>
    </nc>
    <odxf>
      <font>
        <color rgb="FF000000"/>
      </font>
    </odxf>
    <ndxf>
      <font>
        <sz val="12"/>
        <color theme="1"/>
        <name val="Calibri"/>
        <family val="2"/>
        <scheme val="minor"/>
      </font>
    </ndxf>
  </rcc>
  <rcc rId="2428" sId="1" odxf="1" dxf="1">
    <nc r="C334">
      <f>LEFT(B334,LEN(B334)-1)</f>
    </nc>
    <odxf>
      <font>
        <color rgb="FF000000"/>
      </font>
    </odxf>
    <ndxf>
      <font>
        <sz val="12"/>
        <color theme="1"/>
        <name val="Calibri"/>
        <family val="2"/>
        <scheme val="minor"/>
      </font>
    </ndxf>
  </rcc>
  <rcc rId="2429" sId="1" odxf="1" dxf="1">
    <nc r="C335">
      <f>LEFT(B335,LEN(B335)-1)</f>
    </nc>
    <odxf>
      <font>
        <color rgb="FF000000"/>
      </font>
    </odxf>
    <ndxf>
      <font>
        <sz val="12"/>
        <color theme="1"/>
        <name val="Calibri"/>
        <family val="2"/>
        <scheme val="minor"/>
      </font>
    </ndxf>
  </rcc>
  <rcc rId="2430" sId="1" odxf="1" dxf="1">
    <nc r="C336">
      <f>LEFT(B336,LEN(B336)-1)</f>
    </nc>
    <odxf>
      <font>
        <color rgb="FF000000"/>
      </font>
    </odxf>
    <ndxf>
      <font>
        <sz val="12"/>
        <color theme="1"/>
        <name val="Calibri"/>
        <family val="2"/>
        <scheme val="minor"/>
      </font>
    </ndxf>
  </rcc>
  <rcc rId="2431" sId="1" odxf="1" dxf="1">
    <nc r="C337">
      <f>LEFT(B337,LEN(B337)-1)</f>
    </nc>
    <odxf>
      <font>
        <color rgb="FF000000"/>
      </font>
    </odxf>
    <ndxf>
      <font>
        <sz val="12"/>
        <color theme="1"/>
        <name val="Calibri"/>
        <family val="2"/>
        <scheme val="minor"/>
      </font>
    </ndxf>
  </rcc>
  <rcc rId="2432" sId="1" odxf="1" dxf="1">
    <nc r="C338">
      <f>LEFT(B338,LEN(B338)-1)</f>
    </nc>
    <odxf>
      <font>
        <color rgb="FF000000"/>
      </font>
    </odxf>
    <ndxf>
      <font>
        <sz val="12"/>
        <color theme="1"/>
        <name val="Calibri"/>
        <family val="2"/>
        <scheme val="minor"/>
      </font>
    </ndxf>
  </rcc>
  <rcv guid="{8A75D892-44B4-104C-BB94-8EB0D0E43396}" action="delete"/>
  <rcv guid="{8A75D892-44B4-104C-BB94-8EB0D0E43396}" action="add"/>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33" sId="1">
    <oc r="C226">
      <f>LEFT(B226,LEN(B226)-1)</f>
    </oc>
    <nc r="C226" t="inlineStr">
      <is>
        <t>NA</t>
      </is>
    </nc>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34" sId="1">
    <oc r="C135">
      <f>LEFT(B135,LEN(B135)-1)</f>
    </oc>
    <nc r="C135" t="inlineStr">
      <is>
        <t>1.4</t>
      </is>
    </nc>
  </rcc>
  <rcc rId="2435" sId="1">
    <oc r="C136">
      <f>LEFT(B136,LEN(B136)-1)</f>
    </oc>
    <nc r="C136" t="inlineStr">
      <is>
        <t>1.5</t>
      </is>
    </nc>
  </rcc>
  <rcc rId="2436" sId="1">
    <oc r="C137">
      <f>LEFT(B137,LEN(B137)-1)</f>
    </oc>
    <nc r="C137" t="inlineStr">
      <is>
        <t>1.4</t>
      </is>
    </nc>
  </rcc>
  <rcc rId="2437" sId="1">
    <oc r="C138">
      <f>LEFT(B138,LEN(B138)-1)</f>
    </oc>
    <nc r="C138" t="inlineStr">
      <is>
        <t>1.5</t>
      </is>
    </nc>
  </rcc>
  <rcc rId="2438" sId="1">
    <oc r="C139">
      <f>LEFT(B139,LEN(B139)-1)</f>
    </oc>
    <nc r="C139" t="inlineStr">
      <is>
        <t>1.4</t>
      </is>
    </nc>
  </rcc>
  <rcc rId="2439" sId="1">
    <oc r="C140">
      <f>LEFT(B140,LEN(B140)-1)</f>
    </oc>
    <nc r="C140" t="inlineStr">
      <is>
        <t>1.5</t>
      </is>
    </nc>
  </rcc>
  <rcc rId="2440" sId="1">
    <oc r="C141">
      <f>LEFT(B141,LEN(B141)-1)</f>
    </oc>
    <nc r="C141" t="inlineStr">
      <is>
        <t>1.4</t>
      </is>
    </nc>
  </rcc>
  <rcc rId="2441" sId="1">
    <oc r="C142">
      <f>LEFT(B142,LEN(B142)-1)</f>
    </oc>
    <nc r="C142" t="inlineStr">
      <is>
        <t>1.4</t>
      </is>
    </nc>
  </rcc>
  <rcc rId="2442" sId="1">
    <oc r="C143">
      <f>LEFT(B143,LEN(B143)-1)</f>
    </oc>
    <nc r="C143" t="inlineStr">
      <is>
        <t>1.5</t>
      </is>
    </nc>
  </rcc>
  <rcc rId="2443" sId="1">
    <oc r="C144">
      <f>LEFT(B144,LEN(B144)-1)</f>
    </oc>
    <nc r="C144" t="inlineStr">
      <is>
        <t>1.4</t>
      </is>
    </nc>
  </rcc>
  <rcc rId="2444" sId="1">
    <oc r="C145">
      <f>LEFT(B145,LEN(B145)-1)</f>
    </oc>
    <nc r="C145" t="inlineStr">
      <is>
        <t>1.5</t>
      </is>
    </nc>
  </rcc>
  <rcc rId="2445" sId="1">
    <oc r="C146">
      <f>LEFT(B146,LEN(B146)-1)</f>
    </oc>
    <nc r="C146" t="inlineStr">
      <is>
        <t>1.5</t>
      </is>
    </nc>
  </rcc>
  <rcc rId="2446" sId="1">
    <oc r="C147">
      <f>LEFT(B147,LEN(B147)-1)</f>
    </oc>
    <nc r="C147" t="inlineStr">
      <is>
        <t>1.4</t>
      </is>
    </nc>
  </rcc>
  <rcc rId="2447" sId="1">
    <oc r="C148">
      <f>LEFT(B148,LEN(B148)-1)</f>
    </oc>
    <nc r="C148" t="inlineStr">
      <is>
        <t>1.5</t>
      </is>
    </nc>
  </rcc>
  <rcc rId="2448" sId="1">
    <oc r="C149">
      <f>LEFT(B149,LEN(B149)-1)</f>
    </oc>
    <nc r="C149" t="inlineStr">
      <is>
        <t>1.5</t>
      </is>
    </nc>
  </rcc>
  <rcc rId="2449" sId="1">
    <oc r="C150">
      <f>LEFT(B150,LEN(B150)-1)</f>
    </oc>
    <nc r="C150" t="inlineStr">
      <is>
        <t>1.4</t>
      </is>
    </nc>
  </rcc>
  <rcc rId="2450" sId="1">
    <oc r="C151">
      <f>LEFT(B151,LEN(B151)-1)</f>
    </oc>
    <nc r="C151" t="inlineStr">
      <is>
        <t>1.5</t>
      </is>
    </nc>
  </rcc>
  <rcc rId="2451" sId="1">
    <oc r="C152">
      <f>LEFT(B152,LEN(B152)-1)</f>
    </oc>
    <nc r="C152" t="inlineStr">
      <is>
        <t>1.4</t>
      </is>
    </nc>
  </rcc>
  <rcc rId="2452" sId="1">
    <oc r="C153">
      <f>LEFT(B153,LEN(B153)-1)</f>
    </oc>
    <nc r="C153" t="inlineStr">
      <is>
        <t>1.5</t>
      </is>
    </nc>
  </rcc>
  <rcc rId="2453" sId="1">
    <oc r="C154">
      <f>LEFT(B154,LEN(B154)-1)</f>
    </oc>
    <nc r="C154" t="inlineStr">
      <is>
        <t>1.5</t>
      </is>
    </nc>
  </rcc>
  <rcc rId="2454" sId="1">
    <oc r="C155">
      <f>LEFT(B155,LEN(B155)-1)</f>
    </oc>
    <nc r="C155" t="inlineStr">
      <is>
        <t>1.5</t>
      </is>
    </nc>
  </rcc>
  <rcc rId="2455" sId="1">
    <oc r="C156">
      <f>LEFT(B156,LEN(B156)-1)</f>
    </oc>
    <nc r="C156" t="inlineStr">
      <is>
        <t>1.4</t>
      </is>
    </nc>
  </rcc>
  <rcc rId="2456" sId="1">
    <oc r="C157">
      <f>LEFT(B157,LEN(B157)-1)</f>
    </oc>
    <nc r="C157" t="inlineStr">
      <is>
        <t>1.5</t>
      </is>
    </nc>
  </rcc>
  <rcc rId="2457" sId="1">
    <oc r="C158">
      <f>LEFT(B158,LEN(B158)-1)</f>
    </oc>
    <nc r="C158" t="inlineStr">
      <is>
        <t>1.4</t>
      </is>
    </nc>
  </rcc>
  <rcc rId="2458" sId="1">
    <oc r="C159">
      <f>LEFT(B159,LEN(B159)-1)</f>
    </oc>
    <nc r="C159" t="inlineStr">
      <is>
        <t>1.5</t>
      </is>
    </nc>
  </rcc>
  <rcc rId="2459" sId="1">
    <oc r="C160">
      <f>LEFT(B160,LEN(B160)-1)</f>
    </oc>
    <nc r="C160" t="inlineStr">
      <is>
        <t>1.5</t>
      </is>
    </nc>
  </rcc>
  <rcc rId="2460" sId="1">
    <oc r="C161">
      <f>LEFT(B161,LEN(B161)-1)</f>
    </oc>
    <nc r="C161" t="inlineStr">
      <is>
        <t>1.4</t>
      </is>
    </nc>
  </rcc>
  <rcc rId="2461" sId="1">
    <oc r="C162">
      <f>LEFT(B162,LEN(B162)-1)</f>
    </oc>
    <nc r="C162" t="inlineStr">
      <is>
        <t>1.5</t>
      </is>
    </nc>
  </rcc>
  <rcc rId="2462" sId="1">
    <oc r="C163">
      <f>LEFT(B163,LEN(B163)-1)</f>
    </oc>
    <nc r="C163" t="inlineStr">
      <is>
        <t>1.5</t>
      </is>
    </nc>
  </rcc>
  <rcc rId="2463" sId="1">
    <oc r="C164">
      <f>LEFT(B164,LEN(B164)-1)</f>
    </oc>
    <nc r="C164" t="inlineStr">
      <is>
        <t>1.4</t>
      </is>
    </nc>
  </rcc>
  <rcc rId="2464" sId="1">
    <oc r="C165">
      <f>LEFT(B165,LEN(B165)-1)</f>
    </oc>
    <nc r="C165" t="inlineStr">
      <is>
        <t>1.5</t>
      </is>
    </nc>
  </rcc>
  <rcc rId="2465" sId="1">
    <oc r="C166">
      <f>LEFT(B166,LEN(B166)-1)</f>
    </oc>
    <nc r="C166" t="inlineStr">
      <is>
        <t>1.5</t>
      </is>
    </nc>
  </rcc>
  <rcc rId="2466" sId="1">
    <oc r="C167">
      <f>LEFT(B167,LEN(B167)-1)</f>
    </oc>
    <nc r="C167" t="inlineStr">
      <is>
        <t>1.4</t>
      </is>
    </nc>
  </rcc>
  <rcc rId="2467" sId="1">
    <oc r="C168">
      <f>LEFT(B168,LEN(B168)-1)</f>
    </oc>
    <nc r="C168" t="inlineStr">
      <is>
        <t>1.4</t>
      </is>
    </nc>
  </rcc>
  <rcc rId="2468" sId="1">
    <oc r="C169">
      <f>LEFT(B169,LEN(B169)-1)</f>
    </oc>
    <nc r="C169" t="inlineStr">
      <is>
        <t>1.5</t>
      </is>
    </nc>
  </rcc>
  <rcc rId="2469" sId="1">
    <oc r="C170">
      <f>LEFT(B170,LEN(B170)-1)</f>
    </oc>
    <nc r="C170" t="inlineStr">
      <is>
        <t>1.4</t>
      </is>
    </nc>
  </rcc>
  <rcc rId="2470" sId="1">
    <oc r="C171">
      <f>LEFT(B171,LEN(B171)-1)</f>
    </oc>
    <nc r="C171" t="inlineStr">
      <is>
        <t>1.5</t>
      </is>
    </nc>
  </rcc>
  <rcc rId="2471" sId="1">
    <oc r="C172">
      <f>LEFT(B172,LEN(B172)-1)</f>
    </oc>
    <nc r="C172" t="inlineStr">
      <is>
        <t>1.5</t>
      </is>
    </nc>
  </rcc>
  <rcc rId="2472" sId="1">
    <oc r="C173">
      <f>LEFT(B173,LEN(B173)-1)</f>
    </oc>
    <nc r="C173" t="inlineStr">
      <is>
        <t>1.4</t>
      </is>
    </nc>
  </rcc>
  <rcc rId="2473" sId="1">
    <oc r="C174">
      <f>LEFT(B174,LEN(B174)-1)</f>
    </oc>
    <nc r="C174" t="inlineStr">
      <is>
        <t>1.4</t>
      </is>
    </nc>
  </rcc>
  <rcc rId="2474" sId="1">
    <oc r="C175">
      <f>LEFT(B175,LEN(B175)-1)</f>
    </oc>
    <nc r="C175" t="inlineStr">
      <is>
        <t>1.5</t>
      </is>
    </nc>
  </rcc>
  <rcc rId="2475" sId="1">
    <oc r="C176">
      <f>LEFT(B176,LEN(B176)-1)</f>
    </oc>
    <nc r="C176" t="inlineStr">
      <is>
        <t>1.5</t>
      </is>
    </nc>
  </rcc>
  <rcc rId="2476" sId="1">
    <oc r="C177">
      <f>LEFT(B177,LEN(B177)-1)</f>
    </oc>
    <nc r="C177" t="inlineStr">
      <is>
        <t>1.4</t>
      </is>
    </nc>
  </rcc>
  <rcc rId="2477" sId="1">
    <oc r="C178">
      <f>LEFT(B178,LEN(B178)-1)</f>
    </oc>
    <nc r="C178" t="inlineStr">
      <is>
        <t>1.5</t>
      </is>
    </nc>
  </rcc>
  <rcc rId="2478" sId="1">
    <oc r="C179">
      <f>LEFT(B179,LEN(B179)-1)</f>
    </oc>
    <nc r="C179" t="inlineStr">
      <is>
        <t>1.4</t>
      </is>
    </nc>
  </rcc>
  <rcc rId="2479" sId="1">
    <oc r="C180">
      <f>LEFT(B180,LEN(B180)-1)</f>
    </oc>
    <nc r="C180" t="inlineStr">
      <is>
        <t>1.5</t>
      </is>
    </nc>
  </rcc>
  <rcc rId="2480" sId="1">
    <oc r="C181">
      <f>LEFT(B181,LEN(B181)-1)</f>
    </oc>
    <nc r="C181" t="inlineStr">
      <is>
        <t>1.4</t>
      </is>
    </nc>
  </rcc>
  <rcc rId="2481" sId="1">
    <oc r="C182">
      <f>LEFT(B182,LEN(B182)-1)</f>
    </oc>
    <nc r="C182" t="inlineStr">
      <is>
        <t>1.4</t>
      </is>
    </nc>
  </rcc>
  <rcc rId="2482" sId="1">
    <oc r="C183">
      <f>LEFT(B183,LEN(B183)-1)</f>
    </oc>
    <nc r="C183" t="inlineStr">
      <is>
        <t>1.5</t>
      </is>
    </nc>
  </rcc>
  <rcc rId="2483" sId="1">
    <oc r="C184">
      <f>LEFT(B184,LEN(B184)-1)</f>
    </oc>
    <nc r="C184" t="inlineStr">
      <is>
        <t>1.4</t>
      </is>
    </nc>
  </rcc>
  <rcc rId="2484" sId="1">
    <oc r="C185">
      <f>LEFT(B185,LEN(B185)-1)</f>
    </oc>
    <nc r="C185" t="inlineStr">
      <is>
        <t>1.5</t>
      </is>
    </nc>
  </rcc>
  <rcc rId="2485" sId="1">
    <oc r="C186">
      <f>LEFT(B186,LEN(B186)-1)</f>
    </oc>
    <nc r="C186" t="inlineStr">
      <is>
        <t>1.5</t>
      </is>
    </nc>
  </rcc>
  <rcc rId="2486" sId="1">
    <oc r="C187">
      <f>LEFT(B187,LEN(B187)-1)</f>
    </oc>
    <nc r="C187" t="inlineStr">
      <is>
        <t>1.4</t>
      </is>
    </nc>
  </rcc>
  <rcc rId="2487" sId="1">
    <oc r="C188">
      <f>LEFT(B188,LEN(B188)-1)</f>
    </oc>
    <nc r="C188" t="inlineStr">
      <is>
        <t>1.4</t>
      </is>
    </nc>
  </rcc>
  <rcc rId="2488" sId="1">
    <oc r="C189">
      <f>LEFT(B189,LEN(B189)-1)</f>
    </oc>
    <nc r="C189" t="inlineStr">
      <is>
        <t>1.5</t>
      </is>
    </nc>
  </rcc>
  <rcc rId="2489" sId="1">
    <oc r="C190">
      <f>LEFT(B190,LEN(B190)-1)</f>
    </oc>
    <nc r="C190" t="inlineStr">
      <is>
        <t>1.5</t>
      </is>
    </nc>
  </rcc>
  <rcc rId="2490" sId="1">
    <oc r="C191">
      <f>LEFT(B191,LEN(B191)-1)</f>
    </oc>
    <nc r="C191" t="inlineStr">
      <is>
        <t>1.5</t>
      </is>
    </nc>
  </rcc>
  <rcc rId="2491" sId="1">
    <oc r="C192">
      <f>LEFT(B192,LEN(B192)-1)</f>
    </oc>
    <nc r="C192" t="inlineStr">
      <is>
        <t>1.4</t>
      </is>
    </nc>
  </rcc>
  <rcc rId="2492" sId="1">
    <oc r="C193">
      <f>LEFT(B193,LEN(B193)-1)</f>
    </oc>
    <nc r="C193" t="inlineStr">
      <is>
        <t>1.4</t>
      </is>
    </nc>
  </rcc>
  <rcc rId="2493" sId="1">
    <oc r="C194">
      <f>LEFT(B194,LEN(B194)-1)</f>
    </oc>
    <nc r="C194" t="inlineStr">
      <is>
        <t>1.5</t>
      </is>
    </nc>
  </rcc>
  <rcc rId="2494" sId="1">
    <oc r="C195">
      <f>LEFT(B195,LEN(B195)-1)</f>
    </oc>
    <nc r="C195" t="inlineStr">
      <is>
        <t>1.4</t>
      </is>
    </nc>
  </rcc>
  <rcc rId="2495" sId="1">
    <oc r="C196">
      <f>LEFT(B196,LEN(B196)-1)</f>
    </oc>
    <nc r="C196" t="inlineStr">
      <is>
        <t>1.5</t>
      </is>
    </nc>
  </rcc>
  <rcc rId="2496" sId="1">
    <oc r="C197">
      <f>LEFT(B197,LEN(B197)-1)</f>
    </oc>
    <nc r="C197" t="inlineStr">
      <is>
        <t>1.5</t>
      </is>
    </nc>
  </rcc>
  <rcc rId="2497" sId="1">
    <oc r="C198">
      <f>LEFT(B198,LEN(B198)-1)</f>
    </oc>
    <nc r="C198" t="inlineStr">
      <is>
        <t>1.4</t>
      </is>
    </nc>
  </rcc>
  <rcc rId="2498" sId="1">
    <oc r="C199">
      <f>LEFT(B199,LEN(B199)-1)</f>
    </oc>
    <nc r="C199" t="inlineStr">
      <is>
        <t>1.4</t>
      </is>
    </nc>
  </rcc>
  <rcc rId="2499" sId="1">
    <oc r="C200">
      <f>LEFT(B200,LEN(B200)-1)</f>
    </oc>
    <nc r="C200" t="inlineStr">
      <is>
        <t>1.5</t>
      </is>
    </nc>
  </rcc>
  <rcc rId="2500" sId="1">
    <oc r="C201">
      <f>LEFT(B201,LEN(B201)-1)</f>
    </oc>
    <nc r="C201" t="inlineStr">
      <is>
        <t>1.4</t>
      </is>
    </nc>
  </rcc>
  <rcc rId="2501" sId="1">
    <oc r="C202">
      <f>LEFT(B202,LEN(B202)-1)</f>
    </oc>
    <nc r="C202" t="inlineStr">
      <is>
        <t>1.4</t>
      </is>
    </nc>
  </rcc>
  <rcc rId="2502" sId="1">
    <oc r="C203">
      <f>LEFT(B203,LEN(B203)-1)</f>
    </oc>
    <nc r="C203" t="inlineStr">
      <is>
        <t>1.5</t>
      </is>
    </nc>
  </rcc>
  <rcc rId="2503" sId="1">
    <oc r="C204">
      <f>LEFT(B204,LEN(B204)-1)</f>
    </oc>
    <nc r="C204" t="inlineStr">
      <is>
        <t>N</t>
      </is>
    </nc>
  </rcc>
  <rcc rId="2504" sId="1">
    <oc r="C205">
      <f>LEFT(B205,LEN(B205)-1)</f>
    </oc>
    <nc r="C205" t="inlineStr">
      <is>
        <t>1.5</t>
      </is>
    </nc>
  </rcc>
  <rcc rId="2505" sId="1">
    <oc r="C206">
      <f>LEFT(B206,LEN(B206)-1)</f>
    </oc>
    <nc r="C206" t="inlineStr">
      <is>
        <t>1.4</t>
      </is>
    </nc>
  </rcc>
  <rcc rId="2506" sId="1">
    <oc r="C207">
      <f>LEFT(B207,LEN(B207)-1)</f>
    </oc>
    <nc r="C207" t="inlineStr">
      <is>
        <t>1.5</t>
      </is>
    </nc>
  </rcc>
  <rcc rId="2507" sId="1">
    <oc r="C208">
      <f>LEFT(B208,LEN(B208)-1)</f>
    </oc>
    <nc r="C208" t="inlineStr">
      <is>
        <t>1.4</t>
      </is>
    </nc>
  </rcc>
  <rcc rId="2508" sId="1">
    <oc r="C209">
      <f>LEFT(B209,LEN(B209)-1)</f>
    </oc>
    <nc r="C209" t="inlineStr">
      <is>
        <t>1.5</t>
      </is>
    </nc>
  </rcc>
  <rcc rId="2509" sId="1">
    <oc r="C210">
      <f>LEFT(B210,LEN(B210)-1)</f>
    </oc>
    <nc r="C210" t="inlineStr">
      <is>
        <t>1.4</t>
      </is>
    </nc>
  </rcc>
  <rcc rId="2510" sId="1">
    <oc r="C211">
      <f>LEFT(B211,LEN(B211)-1)</f>
    </oc>
    <nc r="C211" t="inlineStr">
      <is>
        <t>1.4</t>
      </is>
    </nc>
  </rcc>
  <rcc rId="2511" sId="1">
    <oc r="C212">
      <f>LEFT(B212,LEN(B212)-1)</f>
    </oc>
    <nc r="C212" t="inlineStr">
      <is>
        <t>1.5</t>
      </is>
    </nc>
  </rcc>
  <rcc rId="2512" sId="1">
    <oc r="C213">
      <f>LEFT(B213,LEN(B213)-1)</f>
    </oc>
    <nc r="C213" t="inlineStr">
      <is>
        <t>1.4</t>
      </is>
    </nc>
  </rcc>
  <rcc rId="2513" sId="1">
    <oc r="C214">
      <f>LEFT(B214,LEN(B214)-1)</f>
    </oc>
    <nc r="C214" t="inlineStr">
      <is>
        <t>1.4</t>
      </is>
    </nc>
  </rcc>
  <rcc rId="2514" sId="1">
    <oc r="C215">
      <f>LEFT(B215,LEN(B215)-1)</f>
    </oc>
    <nc r="C215" t="inlineStr">
      <is>
        <t>1.5</t>
      </is>
    </nc>
  </rcc>
  <rcc rId="2515" sId="1">
    <oc r="C216">
      <f>LEFT(B216,LEN(B216)-1)</f>
    </oc>
    <nc r="C216" t="inlineStr">
      <is>
        <t>1.5</t>
      </is>
    </nc>
  </rcc>
  <rcc rId="2516" sId="1">
    <oc r="C217">
      <f>LEFT(B217,LEN(B217)-1)</f>
    </oc>
    <nc r="C217" t="inlineStr">
      <is>
        <t>1.5</t>
      </is>
    </nc>
  </rcc>
  <rcc rId="2517" sId="1">
    <oc r="C218">
      <f>LEFT(B218,LEN(B218)-1)</f>
    </oc>
    <nc r="C218" t="inlineStr">
      <is>
        <t>1.4</t>
      </is>
    </nc>
  </rcc>
  <rcc rId="2518" sId="1">
    <oc r="C219">
      <f>LEFT(B219,LEN(B219)-1)</f>
    </oc>
    <nc r="C219" t="inlineStr">
      <is>
        <t>1.5</t>
      </is>
    </nc>
  </rcc>
  <rcc rId="2519" sId="1">
    <oc r="C220">
      <f>LEFT(B220,LEN(B220)-1)</f>
    </oc>
    <nc r="C220" t="inlineStr">
      <is>
        <t>1.4</t>
      </is>
    </nc>
  </rcc>
  <rcc rId="2520" sId="1">
    <oc r="C221">
      <f>LEFT(B221,LEN(B221)-1)</f>
    </oc>
    <nc r="C221" t="inlineStr">
      <is>
        <t>1.5</t>
      </is>
    </nc>
  </rcc>
  <rcc rId="2521" sId="1">
    <oc r="C222">
      <f>LEFT(B222,LEN(B222)-1)</f>
    </oc>
    <nc r="C222" t="inlineStr">
      <is>
        <t>1.4</t>
      </is>
    </nc>
  </rcc>
  <rcc rId="2522" sId="1">
    <oc r="C223">
      <f>LEFT(B223,LEN(B223)-1)</f>
    </oc>
    <nc r="C223" t="inlineStr">
      <is>
        <t>1.5</t>
      </is>
    </nc>
  </rcc>
  <rcc rId="2523" sId="1">
    <oc r="C224">
      <f>LEFT(B224,LEN(B224)-1)</f>
    </oc>
    <nc r="C224" t="inlineStr">
      <is>
        <t>1.5</t>
      </is>
    </nc>
  </rcc>
  <rcc rId="2524" sId="1">
    <oc r="C225">
      <f>LEFT(B225,LEN(B225)-1)</f>
    </oc>
    <nc r="C225" t="inlineStr">
      <is>
        <t>1.4</t>
      </is>
    </nc>
  </rcc>
  <rcc rId="2525" sId="1">
    <oc r="C227">
      <f>LEFT(B227,LEN(B227)-1)</f>
    </oc>
    <nc r="C227" t="inlineStr">
      <is>
        <t>1.5</t>
      </is>
    </nc>
  </rcc>
  <rcc rId="2526" sId="1">
    <oc r="C228">
      <f>LEFT(B228,LEN(B228)-1)</f>
    </oc>
    <nc r="C228" t="inlineStr">
      <is>
        <t>1.4</t>
      </is>
    </nc>
  </rcc>
  <rcc rId="2527" sId="1">
    <oc r="C229">
      <f>LEFT(B229,LEN(B229)-1)</f>
    </oc>
    <nc r="C229" t="inlineStr">
      <is>
        <t>1.5</t>
      </is>
    </nc>
  </rcc>
  <rcc rId="2528" sId="1">
    <oc r="C230">
      <f>LEFT(B230,LEN(B230)-1)</f>
    </oc>
    <nc r="C230" t="inlineStr">
      <is>
        <t>1.4</t>
      </is>
    </nc>
  </rcc>
  <rcc rId="2529" sId="1">
    <oc r="C231">
      <f>LEFT(B231,LEN(B231)-1)</f>
    </oc>
    <nc r="C231" t="inlineStr">
      <is>
        <t>1.5</t>
      </is>
    </nc>
  </rcc>
  <rcc rId="2530" sId="1">
    <oc r="C232">
      <f>LEFT(B232,LEN(B232)-1)</f>
    </oc>
    <nc r="C232" t="inlineStr">
      <is>
        <t>1.4</t>
      </is>
    </nc>
  </rcc>
  <rcc rId="2531" sId="1">
    <oc r="C233">
      <f>LEFT(B233,LEN(B233)-1)</f>
    </oc>
    <nc r="C233" t="inlineStr">
      <is>
        <t>1.5</t>
      </is>
    </nc>
  </rcc>
  <rcc rId="2532" sId="1">
    <oc r="C234">
      <f>LEFT(B234,LEN(B234)-1)</f>
    </oc>
    <nc r="C234" t="inlineStr">
      <is>
        <t>1.4</t>
      </is>
    </nc>
  </rcc>
  <rcc rId="2533" sId="1">
    <oc r="C235">
      <f>LEFT(B235,LEN(B235)-1)</f>
    </oc>
    <nc r="C235" t="inlineStr">
      <is>
        <t>1.5</t>
      </is>
    </nc>
  </rcc>
  <rcc rId="2534" sId="1">
    <oc r="C236">
      <f>LEFT(B236,LEN(B236)-1)</f>
    </oc>
    <nc r="C236" t="inlineStr">
      <is>
        <t>1.5</t>
      </is>
    </nc>
  </rcc>
  <rcc rId="2535" sId="1">
    <oc r="C237">
      <f>LEFT(B237,LEN(B237)-1)</f>
    </oc>
    <nc r="C237" t="inlineStr">
      <is>
        <t>1.4</t>
      </is>
    </nc>
  </rcc>
  <rcc rId="2536" sId="1">
    <oc r="C238">
      <f>LEFT(B238,LEN(B238)-1)</f>
    </oc>
    <nc r="C238" t="inlineStr">
      <is>
        <t>1.4</t>
      </is>
    </nc>
  </rcc>
  <rcc rId="2537" sId="1">
    <oc r="C239">
      <f>LEFT(B239,LEN(B239)-1)</f>
    </oc>
    <nc r="C239" t="inlineStr">
      <is>
        <t>1.5</t>
      </is>
    </nc>
  </rcc>
  <rcc rId="2538" sId="1">
    <oc r="C240">
      <f>LEFT(B240,LEN(B240)-1)</f>
    </oc>
    <nc r="C240" t="inlineStr">
      <is>
        <t>1.4</t>
      </is>
    </nc>
  </rcc>
  <rcc rId="2539" sId="1">
    <oc r="C241">
      <f>LEFT(B241,LEN(B241)-1)</f>
    </oc>
    <nc r="C241" t="inlineStr">
      <is>
        <t>1.5</t>
      </is>
    </nc>
  </rcc>
  <rcc rId="2540" sId="1">
    <oc r="C242">
      <f>LEFT(B242,LEN(B242)-1)</f>
    </oc>
    <nc r="C242" t="inlineStr">
      <is>
        <t>1.4</t>
      </is>
    </nc>
  </rcc>
  <rcc rId="2541" sId="1">
    <oc r="C243">
      <f>LEFT(B243,LEN(B243)-1)</f>
    </oc>
    <nc r="C243" t="inlineStr">
      <is>
        <t>1.4</t>
      </is>
    </nc>
  </rcc>
  <rcc rId="2542" sId="1">
    <oc r="C244">
      <f>LEFT(B244,LEN(B244)-1)</f>
    </oc>
    <nc r="C244" t="inlineStr">
      <is>
        <t>1.4</t>
      </is>
    </nc>
  </rcc>
  <rcc rId="2543" sId="1">
    <oc r="C245">
      <f>LEFT(B245,LEN(B245)-1)</f>
    </oc>
    <nc r="C245" t="inlineStr">
      <is>
        <t>1.4</t>
      </is>
    </nc>
  </rcc>
  <rcc rId="2544" sId="1">
    <oc r="C246">
      <f>LEFT(B246,LEN(B246)-1)</f>
    </oc>
    <nc r="C246" t="inlineStr">
      <is>
        <t>1.4</t>
      </is>
    </nc>
  </rcc>
  <rcc rId="2545" sId="1">
    <oc r="C247">
      <f>LEFT(B247,LEN(B247)-1)</f>
    </oc>
    <nc r="C247" t="inlineStr">
      <is>
        <t>1.4</t>
      </is>
    </nc>
  </rcc>
  <rcc rId="2546" sId="1">
    <oc r="C248">
      <f>LEFT(B248,LEN(B248)-1)</f>
    </oc>
    <nc r="C248" t="inlineStr">
      <is>
        <t>1.4</t>
      </is>
    </nc>
  </rcc>
  <rcc rId="2547" sId="1">
    <oc r="C249">
      <f>LEFT(B249,LEN(B249)-1)</f>
    </oc>
    <nc r="C249" t="inlineStr">
      <is>
        <t>1.4</t>
      </is>
    </nc>
  </rcc>
  <rcc rId="2548" sId="1">
    <oc r="C250">
      <f>LEFT(B250,LEN(B250)-1)</f>
    </oc>
    <nc r="C250" t="inlineStr">
      <is>
        <t>1.4</t>
      </is>
    </nc>
  </rcc>
  <rcc rId="2549" sId="1">
    <oc r="C251">
      <f>LEFT(B251,LEN(B251)-1)</f>
    </oc>
    <nc r="C251" t="inlineStr">
      <is>
        <t>1.4</t>
      </is>
    </nc>
  </rcc>
  <rcc rId="2550" sId="1">
    <oc r="C252">
      <f>LEFT(B252,LEN(B252)-1)</f>
    </oc>
    <nc r="C252" t="inlineStr">
      <is>
        <t>1.4</t>
      </is>
    </nc>
  </rcc>
  <rcc rId="2551" sId="1">
    <oc r="C253">
      <f>LEFT(B253,LEN(B253)-1)</f>
    </oc>
    <nc r="C253" t="inlineStr">
      <is>
        <t>1.4</t>
      </is>
    </nc>
  </rcc>
  <rcc rId="2552" sId="1">
    <oc r="C254">
      <f>LEFT(B254,LEN(B254)-1)</f>
    </oc>
    <nc r="C254" t="inlineStr">
      <is>
        <t>1.4</t>
      </is>
    </nc>
  </rcc>
  <rcc rId="2553" sId="1">
    <oc r="C255">
      <f>LEFT(B255,LEN(B255)-1)</f>
    </oc>
    <nc r="C255" t="inlineStr">
      <is>
        <t>1.4</t>
      </is>
    </nc>
  </rcc>
  <rcc rId="2554" sId="1">
    <oc r="C256">
      <f>LEFT(B256,LEN(B256)-1)</f>
    </oc>
    <nc r="C256" t="inlineStr">
      <is>
        <t>1.4</t>
      </is>
    </nc>
  </rcc>
  <rcc rId="2555" sId="1">
    <oc r="C257">
      <f>LEFT(B257,LEN(B257)-1)</f>
    </oc>
    <nc r="C257" t="inlineStr">
      <is>
        <t>1.4</t>
      </is>
    </nc>
  </rcc>
  <rcc rId="2556" sId="1">
    <oc r="C258">
      <f>LEFT(B258,LEN(B258)-1)</f>
    </oc>
    <nc r="C258" t="inlineStr">
      <is>
        <t>1.4</t>
      </is>
    </nc>
  </rcc>
  <rcc rId="2557" sId="1">
    <oc r="C259">
      <f>LEFT(B259,LEN(B259)-1)</f>
    </oc>
    <nc r="C259" t="inlineStr">
      <is>
        <t>1.4</t>
      </is>
    </nc>
  </rcc>
  <rcc rId="2558" sId="1">
    <oc r="C260">
      <f>LEFT(B260,LEN(B260)-1)</f>
    </oc>
    <nc r="C260" t="inlineStr">
      <is>
        <t>1.4</t>
      </is>
    </nc>
  </rcc>
  <rcc rId="2559" sId="1">
    <oc r="C261">
      <f>LEFT(B261,LEN(B261)-1)</f>
    </oc>
    <nc r="C261" t="inlineStr">
      <is>
        <t>1.4</t>
      </is>
    </nc>
  </rcc>
  <rcc rId="2560" sId="1">
    <oc r="C262">
      <f>LEFT(B262,LEN(B262)-1)</f>
    </oc>
    <nc r="C262" t="inlineStr">
      <is>
        <t>1.4</t>
      </is>
    </nc>
  </rcc>
  <rcc rId="2561" sId="1">
    <oc r="C263">
      <f>LEFT(B263,LEN(B263)-1)</f>
    </oc>
    <nc r="C263" t="inlineStr">
      <is>
        <t>1.4</t>
      </is>
    </nc>
  </rcc>
  <rcc rId="2562" sId="1">
    <oc r="C264">
      <f>LEFT(B264,LEN(B264)-1)</f>
    </oc>
    <nc r="C264" t="inlineStr">
      <is>
        <t>1.4</t>
      </is>
    </nc>
  </rcc>
  <rcc rId="2563" sId="1">
    <oc r="C265">
      <f>LEFT(B265,LEN(B265)-1)</f>
    </oc>
    <nc r="C265" t="inlineStr">
      <is>
        <t>1.4</t>
      </is>
    </nc>
  </rcc>
  <rcc rId="2564" sId="1">
    <oc r="C266">
      <f>LEFT(B266,LEN(B266)-1)</f>
    </oc>
    <nc r="C266" t="inlineStr">
      <is>
        <t>1.4</t>
      </is>
    </nc>
  </rcc>
  <rcc rId="2565" sId="1">
    <oc r="C267">
      <f>LEFT(B267,LEN(B267)-1)</f>
    </oc>
    <nc r="C267" t="inlineStr">
      <is>
        <t>1.4</t>
      </is>
    </nc>
  </rcc>
  <rcc rId="2566" sId="1">
    <oc r="C268">
      <f>LEFT(B268,LEN(B268)-1)</f>
    </oc>
    <nc r="C268" t="inlineStr">
      <is>
        <t>1.4</t>
      </is>
    </nc>
  </rcc>
  <rcc rId="2567" sId="1">
    <oc r="C269">
      <f>LEFT(B269,LEN(B269)-1)</f>
    </oc>
    <nc r="C269" t="inlineStr">
      <is>
        <t>1.4</t>
      </is>
    </nc>
  </rcc>
  <rcc rId="2568" sId="1">
    <oc r="C270">
      <f>LEFT(B270,LEN(B270)-1)</f>
    </oc>
    <nc r="C270" t="inlineStr">
      <is>
        <t>1.4</t>
      </is>
    </nc>
  </rcc>
  <rcc rId="2569" sId="1">
    <oc r="C271">
      <f>LEFT(B271,LEN(B271)-1)</f>
    </oc>
    <nc r="C271" t="inlineStr">
      <is>
        <t>1.4</t>
      </is>
    </nc>
  </rcc>
  <rcc rId="2570" sId="1">
    <oc r="C272">
      <f>LEFT(B272,LEN(B272)-1)</f>
    </oc>
    <nc r="C272" t="inlineStr">
      <is>
        <t>1.4</t>
      </is>
    </nc>
  </rcc>
  <rcc rId="2571" sId="1">
    <oc r="C273">
      <f>LEFT(B273,LEN(B273)-1)</f>
    </oc>
    <nc r="C273" t="inlineStr">
      <is>
        <t>1.4</t>
      </is>
    </nc>
  </rcc>
  <rcc rId="2572" sId="1">
    <oc r="C274">
      <f>LEFT(B274,LEN(B274)-1)</f>
    </oc>
    <nc r="C274" t="inlineStr">
      <is>
        <t>1.4</t>
      </is>
    </nc>
  </rcc>
  <rcc rId="2573" sId="1">
    <oc r="C275">
      <f>LEFT(B275,LEN(B275)-1)</f>
    </oc>
    <nc r="C275" t="inlineStr">
      <is>
        <t>1.4</t>
      </is>
    </nc>
  </rcc>
  <rcc rId="2574" sId="1">
    <oc r="C276">
      <f>LEFT(B276,LEN(B276)-1)</f>
    </oc>
    <nc r="C276" t="inlineStr">
      <is>
        <t>1.4</t>
      </is>
    </nc>
  </rcc>
  <rcc rId="2575" sId="1">
    <oc r="C277">
      <f>LEFT(B277,LEN(B277)-1)</f>
    </oc>
    <nc r="C277" t="inlineStr">
      <is>
        <t>1.4</t>
      </is>
    </nc>
  </rcc>
  <rcc rId="2576" sId="1">
    <oc r="C278">
      <f>LEFT(B278,LEN(B278)-1)</f>
    </oc>
    <nc r="C278" t="inlineStr">
      <is>
        <t>1.4</t>
      </is>
    </nc>
  </rcc>
  <rcc rId="2577" sId="1">
    <oc r="C279">
      <f>LEFT(B279,LEN(B279)-1)</f>
    </oc>
    <nc r="C279" t="inlineStr">
      <is>
        <t>1.4</t>
      </is>
    </nc>
  </rcc>
  <rcc rId="2578" sId="1">
    <oc r="C280">
      <f>LEFT(B280,LEN(B280)-1)</f>
    </oc>
    <nc r="C280" t="inlineStr">
      <is>
        <t>1.4</t>
      </is>
    </nc>
  </rcc>
  <rcc rId="2579" sId="1">
    <oc r="C281">
      <f>LEFT(B281,LEN(B281)-1)</f>
    </oc>
    <nc r="C281" t="inlineStr">
      <is>
        <t>1.4</t>
      </is>
    </nc>
  </rcc>
  <rcc rId="2580" sId="1">
    <oc r="C282">
      <f>LEFT(B282,LEN(B282)-1)</f>
    </oc>
    <nc r="C282" t="inlineStr">
      <is>
        <t>1.4</t>
      </is>
    </nc>
  </rcc>
  <rcc rId="2581" sId="1">
    <oc r="C283">
      <f>LEFT(B283,LEN(B283)-1)</f>
    </oc>
    <nc r="C283" t="inlineStr">
      <is>
        <t>1.4</t>
      </is>
    </nc>
  </rcc>
  <rcc rId="2582" sId="1">
    <oc r="C284">
      <f>LEFT(B284,LEN(B284)-1)</f>
    </oc>
    <nc r="C284" t="inlineStr">
      <is>
        <t>1.4</t>
      </is>
    </nc>
  </rcc>
  <rcc rId="2583" sId="1">
    <oc r="C285">
      <f>LEFT(B285,LEN(B285)-1)</f>
    </oc>
    <nc r="C285" t="inlineStr">
      <is>
        <t>1.4</t>
      </is>
    </nc>
  </rcc>
  <rcc rId="2584" sId="1">
    <oc r="C286">
      <f>LEFT(B286,LEN(B286)-1)</f>
    </oc>
    <nc r="C286" t="inlineStr">
      <is>
        <t>1.4</t>
      </is>
    </nc>
  </rcc>
  <rcc rId="2585" sId="1">
    <oc r="C287">
      <f>LEFT(B287,LEN(B287)-1)</f>
    </oc>
    <nc r="C287" t="inlineStr">
      <is>
        <t>1.4</t>
      </is>
    </nc>
  </rcc>
  <rcc rId="2586" sId="1">
    <oc r="C288">
      <f>LEFT(B288,LEN(B288)-1)</f>
    </oc>
    <nc r="C288" t="inlineStr">
      <is>
        <t>1.4</t>
      </is>
    </nc>
  </rcc>
  <rcc rId="2587" sId="1">
    <oc r="C289">
      <f>LEFT(B289,LEN(B289)-1)</f>
    </oc>
    <nc r="C289" t="inlineStr">
      <is>
        <t>1.4</t>
      </is>
    </nc>
  </rcc>
  <rcc rId="2588" sId="1">
    <oc r="C290">
      <f>LEFT(B290,LEN(B290)-1)</f>
    </oc>
    <nc r="C290" t="inlineStr">
      <is>
        <t>1.4</t>
      </is>
    </nc>
  </rcc>
  <rcc rId="2589" sId="1">
    <oc r="C291">
      <f>LEFT(B291,LEN(B291)-1)</f>
    </oc>
    <nc r="C291" t="inlineStr">
      <is>
        <t>1.4</t>
      </is>
    </nc>
  </rcc>
  <rcc rId="2590" sId="1">
    <oc r="C292">
      <f>LEFT(B292,LEN(B292)-1)</f>
    </oc>
    <nc r="C292" t="inlineStr">
      <is>
        <t>1.4</t>
      </is>
    </nc>
  </rcc>
  <rcc rId="2591" sId="1">
    <oc r="C293">
      <f>LEFT(B293,LEN(B293)-1)</f>
    </oc>
    <nc r="C293" t="inlineStr">
      <is>
        <t>1.4</t>
      </is>
    </nc>
  </rcc>
  <rcc rId="2592" sId="1">
    <oc r="C294">
      <f>LEFT(B294,LEN(B294)-1)</f>
    </oc>
    <nc r="C294" t="inlineStr">
      <is>
        <t>1.4</t>
      </is>
    </nc>
  </rcc>
  <rcc rId="2593" sId="1">
    <oc r="C295">
      <f>LEFT(B295,LEN(B295)-1)</f>
    </oc>
    <nc r="C295" t="inlineStr">
      <is>
        <t>1.4</t>
      </is>
    </nc>
  </rcc>
  <rcc rId="2594" sId="1">
    <oc r="C296">
      <f>LEFT(B296,LEN(B296)-1)</f>
    </oc>
    <nc r="C296" t="inlineStr">
      <is>
        <t>1.4</t>
      </is>
    </nc>
  </rcc>
  <rcc rId="2595" sId="1">
    <oc r="C297">
      <f>LEFT(B297,LEN(B297)-1)</f>
    </oc>
    <nc r="C297" t="inlineStr">
      <is>
        <t>1.4</t>
      </is>
    </nc>
  </rcc>
  <rcc rId="2596" sId="1">
    <oc r="C298">
      <f>LEFT(B298,LEN(B298)-1)</f>
    </oc>
    <nc r="C298" t="inlineStr">
      <is>
        <t>1.4</t>
      </is>
    </nc>
  </rcc>
  <rcc rId="2597" sId="1">
    <oc r="C299">
      <f>LEFT(B299,LEN(B299)-1)</f>
    </oc>
    <nc r="C299" t="inlineStr">
      <is>
        <t>1.4</t>
      </is>
    </nc>
  </rcc>
  <rcc rId="2598" sId="1">
    <oc r="C300">
      <f>LEFT(B300,LEN(B300)-1)</f>
    </oc>
    <nc r="C300" t="inlineStr">
      <is>
        <t>1.4</t>
      </is>
    </nc>
  </rcc>
  <rcc rId="2599" sId="1">
    <oc r="C301">
      <f>LEFT(B301,LEN(B301)-1)</f>
    </oc>
    <nc r="C301" t="inlineStr">
      <is>
        <t>1.4</t>
      </is>
    </nc>
  </rcc>
  <rcc rId="2600" sId="1">
    <oc r="C302">
      <f>LEFT(B302,LEN(B302)-1)</f>
    </oc>
    <nc r="C302" t="inlineStr">
      <is>
        <t>1.4</t>
      </is>
    </nc>
  </rcc>
  <rcc rId="2601" sId="1">
    <oc r="C303">
      <f>LEFT(B303,LEN(B303)-1)</f>
    </oc>
    <nc r="C303" t="inlineStr">
      <is>
        <t>1.4</t>
      </is>
    </nc>
  </rcc>
  <rcc rId="2602" sId="1">
    <oc r="C304">
      <f>LEFT(B304,LEN(B304)-1)</f>
    </oc>
    <nc r="C304" t="inlineStr">
      <is>
        <t>1.4</t>
      </is>
    </nc>
  </rcc>
  <rcc rId="2603" sId="1">
    <oc r="C305">
      <f>LEFT(B305,LEN(B305)-1)</f>
    </oc>
    <nc r="C305" t="inlineStr">
      <is>
        <t>1.4</t>
      </is>
    </nc>
  </rcc>
  <rcc rId="2604" sId="1">
    <oc r="C306">
      <f>LEFT(B306,LEN(B306)-1)</f>
    </oc>
    <nc r="C306" t="inlineStr">
      <is>
        <t>1.4</t>
      </is>
    </nc>
  </rcc>
  <rcc rId="2605" sId="1">
    <oc r="C307">
      <f>LEFT(B307,LEN(B307)-1)</f>
    </oc>
    <nc r="C307" t="inlineStr">
      <is>
        <t>1.4</t>
      </is>
    </nc>
  </rcc>
  <rcc rId="2606" sId="1">
    <oc r="C308">
      <f>LEFT(B308,LEN(B308)-1)</f>
    </oc>
    <nc r="C308" t="inlineStr">
      <is>
        <t>1.4</t>
      </is>
    </nc>
  </rcc>
  <rcc rId="2607" sId="1">
    <oc r="C309">
      <f>LEFT(B309,LEN(B309)-1)</f>
    </oc>
    <nc r="C309" t="inlineStr">
      <is>
        <t>1.4</t>
      </is>
    </nc>
  </rcc>
  <rcc rId="2608" sId="1">
    <oc r="C310">
      <f>LEFT(B310,LEN(B310)-1)</f>
    </oc>
    <nc r="C310" t="inlineStr">
      <is>
        <t>1.4</t>
      </is>
    </nc>
  </rcc>
  <rcc rId="2609" sId="1">
    <oc r="C311">
      <f>LEFT(B311,LEN(B311)-1)</f>
    </oc>
    <nc r="C311" t="inlineStr">
      <is>
        <t>1.4</t>
      </is>
    </nc>
  </rcc>
  <rcc rId="2610" sId="1">
    <oc r="C312">
      <f>LEFT(B312,LEN(B312)-1)</f>
    </oc>
    <nc r="C312" t="inlineStr">
      <is>
        <t>1.4</t>
      </is>
    </nc>
  </rcc>
  <rcc rId="2611" sId="1">
    <oc r="C313">
      <f>LEFT(B313,LEN(B313)-1)</f>
    </oc>
    <nc r="C313" t="inlineStr">
      <is>
        <t>1.4</t>
      </is>
    </nc>
  </rcc>
  <rcc rId="2612" sId="1">
    <oc r="C314">
      <f>LEFT(B314,LEN(B314)-1)</f>
    </oc>
    <nc r="C314" t="inlineStr">
      <is>
        <t>1.4</t>
      </is>
    </nc>
  </rcc>
  <rcc rId="2613" sId="1">
    <oc r="C315">
      <f>LEFT(B315,LEN(B315)-1)</f>
    </oc>
    <nc r="C315" t="inlineStr">
      <is>
        <t>1.4</t>
      </is>
    </nc>
  </rcc>
  <rcc rId="2614" sId="1">
    <oc r="C316">
      <f>LEFT(B316,LEN(B316)-1)</f>
    </oc>
    <nc r="C316" t="inlineStr">
      <is>
        <t>1.4</t>
      </is>
    </nc>
  </rcc>
  <rcc rId="2615" sId="1">
    <oc r="C317">
      <f>LEFT(B317,LEN(B317)-1)</f>
    </oc>
    <nc r="C317" t="inlineStr">
      <is>
        <t>1.4</t>
      </is>
    </nc>
  </rcc>
  <rcc rId="2616" sId="1">
    <oc r="C318">
      <f>LEFT(B318,LEN(B318)-1)</f>
    </oc>
    <nc r="C318" t="inlineStr">
      <is>
        <t>1.4</t>
      </is>
    </nc>
  </rcc>
  <rcc rId="2617" sId="1">
    <oc r="C319">
      <f>LEFT(B319,LEN(B319)-1)</f>
    </oc>
    <nc r="C319" t="inlineStr">
      <is>
        <t>1.4</t>
      </is>
    </nc>
  </rcc>
  <rcc rId="2618" sId="1">
    <oc r="C320">
      <f>LEFT(B320,LEN(B320)-1)</f>
    </oc>
    <nc r="C320" t="inlineStr">
      <is>
        <t>1.4</t>
      </is>
    </nc>
  </rcc>
  <rcc rId="2619" sId="1">
    <oc r="C321">
      <f>LEFT(B321,LEN(B321)-1)</f>
    </oc>
    <nc r="C321" t="inlineStr">
      <is>
        <t>1.4</t>
      </is>
    </nc>
  </rcc>
  <rcc rId="2620" sId="1">
    <oc r="C322">
      <f>LEFT(B322,LEN(B322)-1)</f>
    </oc>
    <nc r="C322" t="inlineStr">
      <is>
        <t>1.4</t>
      </is>
    </nc>
  </rcc>
  <rcc rId="2621" sId="1">
    <oc r="C323">
      <f>LEFT(B323,LEN(B323)-1)</f>
    </oc>
    <nc r="C323" t="inlineStr">
      <is>
        <t>1.4</t>
      </is>
    </nc>
  </rcc>
  <rcc rId="2622" sId="1">
    <oc r="C324">
      <f>LEFT(B324,LEN(B324)-1)</f>
    </oc>
    <nc r="C324" t="inlineStr">
      <is>
        <t>1.4</t>
      </is>
    </nc>
  </rcc>
  <rcc rId="2623" sId="1">
    <oc r="C325">
      <f>LEFT(B325,LEN(B325)-1)</f>
    </oc>
    <nc r="C325" t="inlineStr">
      <is>
        <t>1.4</t>
      </is>
    </nc>
  </rcc>
  <rcc rId="2624" sId="1">
    <oc r="C326">
      <f>LEFT(B326,LEN(B326)-1)</f>
    </oc>
    <nc r="C326" t="inlineStr">
      <is>
        <t>1.4</t>
      </is>
    </nc>
  </rcc>
  <rcc rId="2625" sId="1">
    <oc r="C328">
      <f>LEFT(B328,LEN(B328)-1)</f>
    </oc>
    <nc r="C328" t="inlineStr">
      <is>
        <t>1.4</t>
      </is>
    </nc>
  </rcc>
  <rcc rId="2626" sId="1">
    <oc r="C329">
      <f>LEFT(B329,LEN(B329)-1)</f>
    </oc>
    <nc r="C329" t="inlineStr">
      <is>
        <t>1.4</t>
      </is>
    </nc>
  </rcc>
  <rcc rId="2627" sId="1">
    <oc r="C330">
      <f>LEFT(B330,LEN(B330)-1)</f>
    </oc>
    <nc r="C330" t="inlineStr">
      <is>
        <t>1.4</t>
      </is>
    </nc>
  </rcc>
  <rcc rId="2628" sId="1">
    <oc r="C331">
      <f>LEFT(B331,LEN(B331)-1)</f>
    </oc>
    <nc r="C331" t="inlineStr">
      <is>
        <t>1.4</t>
      </is>
    </nc>
  </rcc>
  <rcc rId="2629" sId="1">
    <oc r="C332">
      <f>LEFT(B332,LEN(B332)-1)</f>
    </oc>
    <nc r="C332" t="inlineStr">
      <is>
        <t>1.4</t>
      </is>
    </nc>
  </rcc>
  <rcc rId="2630" sId="1">
    <oc r="C333">
      <f>LEFT(B333,LEN(B333)-1)</f>
    </oc>
    <nc r="C333" t="inlineStr">
      <is>
        <t>1.4</t>
      </is>
    </nc>
  </rcc>
  <rcc rId="2631" sId="1">
    <oc r="C334">
      <f>LEFT(B334,LEN(B334)-1)</f>
    </oc>
    <nc r="C334" t="inlineStr">
      <is>
        <t>1.4</t>
      </is>
    </nc>
  </rcc>
  <rcc rId="2632" sId="1">
    <oc r="C335">
      <f>LEFT(B335,LEN(B335)-1)</f>
    </oc>
    <nc r="C335" t="inlineStr">
      <is>
        <t>1.4</t>
      </is>
    </nc>
  </rcc>
  <rcc rId="2633" sId="1">
    <oc r="C336">
      <f>LEFT(B336,LEN(B336)-1)</f>
    </oc>
    <nc r="C336" t="inlineStr">
      <is>
        <t>1.4</t>
      </is>
    </nc>
  </rcc>
  <rcc rId="2634" sId="1">
    <oc r="C337">
      <f>LEFT(B337,LEN(B337)-1)</f>
    </oc>
    <nc r="C337" t="inlineStr">
      <is>
        <t>1.4</t>
      </is>
    </nc>
  </rcc>
  <rcc rId="2635" sId="1">
    <oc r="C338">
      <f>LEFT(B338,LEN(B338)-1)</f>
    </oc>
    <nc r="C338" t="inlineStr">
      <is>
        <t>1.4</t>
      </is>
    </nc>
  </rcc>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2636" sId="1" ref="D1:D1048576" action="insertCol"/>
  <rcc rId="2637" sId="1">
    <nc r="D1" t="inlineStr">
      <is>
        <t>home_patt_orient</t>
      </is>
    </nc>
  </rcc>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38" sId="1">
    <nc r="D2" t="inlineStr">
      <is>
        <t>vertical</t>
      </is>
    </nc>
  </rcc>
  <rcc rId="2639" sId="1">
    <nc r="D3" t="inlineStr">
      <is>
        <t>vertical</t>
      </is>
    </nc>
  </rcc>
  <rcc rId="2640" sId="1">
    <nc r="D4" t="inlineStr">
      <is>
        <t>vertical</t>
      </is>
    </nc>
  </rcc>
  <rcc rId="2641" sId="1">
    <nc r="D5" t="inlineStr">
      <is>
        <t>vertical</t>
      </is>
    </nc>
  </rcc>
  <rcc rId="2642" sId="1">
    <nc r="D6" t="inlineStr">
      <is>
        <t>vertical</t>
      </is>
    </nc>
  </rcc>
  <rcc rId="2643" sId="1">
    <nc r="D7" t="inlineStr">
      <is>
        <t>vertical</t>
      </is>
    </nc>
  </rcc>
  <rcc rId="2644" sId="1">
    <nc r="D8" t="inlineStr">
      <is>
        <t>vertical</t>
      </is>
    </nc>
  </rcc>
  <rcc rId="2645" sId="1">
    <nc r="D9" t="inlineStr">
      <is>
        <t>vertical</t>
      </is>
    </nc>
  </rcc>
  <rcc rId="2646" sId="1">
    <nc r="D10" t="inlineStr">
      <is>
        <t>vertical</t>
      </is>
    </nc>
  </rcc>
  <rcc rId="2647" sId="1">
    <nc r="D11" t="inlineStr">
      <is>
        <t>vertical</t>
      </is>
    </nc>
  </rcc>
  <rcc rId="2648" sId="1">
    <nc r="D12" t="inlineStr">
      <is>
        <t>vertical</t>
      </is>
    </nc>
  </rcc>
  <rcc rId="2649" sId="1">
    <nc r="D13" t="inlineStr">
      <is>
        <t>vertical</t>
      </is>
    </nc>
  </rcc>
  <rcc rId="2650" sId="1">
    <nc r="D14" t="inlineStr">
      <is>
        <t>vertical</t>
      </is>
    </nc>
  </rcc>
  <rcc rId="2651" sId="1">
    <nc r="D15" t="inlineStr">
      <is>
        <t>vertical</t>
      </is>
    </nc>
  </rcc>
  <rcc rId="2652" sId="1">
    <nc r="D16" t="inlineStr">
      <is>
        <t>vertical</t>
      </is>
    </nc>
  </rcc>
  <rcc rId="2653" sId="1">
    <nc r="D17" t="inlineStr">
      <is>
        <t>vertical</t>
      </is>
    </nc>
  </rcc>
  <rcc rId="2654" sId="1">
    <nc r="D18" t="inlineStr">
      <is>
        <t>vertical</t>
      </is>
    </nc>
  </rcc>
  <rcc rId="2655" sId="1">
    <nc r="D19" t="inlineStr">
      <is>
        <t>vertical</t>
      </is>
    </nc>
  </rcc>
  <rcc rId="2656" sId="1">
    <nc r="D20" t="inlineStr">
      <is>
        <t>vertical</t>
      </is>
    </nc>
  </rcc>
  <rcc rId="2657" sId="1">
    <nc r="D21" t="inlineStr">
      <is>
        <t>vertical</t>
      </is>
    </nc>
  </rcc>
  <rcc rId="2658" sId="1">
    <nc r="D22" t="inlineStr">
      <is>
        <t>vertical</t>
      </is>
    </nc>
  </rcc>
  <rcc rId="2659" sId="1">
    <nc r="D23" t="inlineStr">
      <is>
        <t>vertical</t>
      </is>
    </nc>
  </rcc>
  <rcc rId="2660" sId="1">
    <nc r="D24" t="inlineStr">
      <is>
        <t>vertical</t>
      </is>
    </nc>
  </rcc>
  <rcc rId="2661" sId="1">
    <nc r="D25" t="inlineStr">
      <is>
        <t>vertical</t>
      </is>
    </nc>
  </rcc>
  <rcc rId="2662" sId="1">
    <nc r="D26" t="inlineStr">
      <is>
        <t>vertical</t>
      </is>
    </nc>
  </rcc>
  <rcc rId="2663" sId="1">
    <nc r="D27" t="inlineStr">
      <is>
        <t>vertical</t>
      </is>
    </nc>
  </rcc>
  <rcc rId="2664" sId="1">
    <nc r="D28" t="inlineStr">
      <is>
        <t>vertical</t>
      </is>
    </nc>
  </rcc>
  <rcc rId="2665" sId="1">
    <nc r="D29" t="inlineStr">
      <is>
        <t>vertical</t>
      </is>
    </nc>
  </rcc>
  <rcc rId="2666" sId="1">
    <nc r="D30" t="inlineStr">
      <is>
        <t>vertical</t>
      </is>
    </nc>
  </rcc>
  <rcc rId="2667" sId="1">
    <nc r="D31" t="inlineStr">
      <is>
        <t>vertical</t>
      </is>
    </nc>
  </rcc>
  <rcc rId="2668" sId="1">
    <nc r="D32" t="inlineStr">
      <is>
        <t>vertical</t>
      </is>
    </nc>
  </rcc>
  <rcc rId="2669" sId="1">
    <nc r="D33" t="inlineStr">
      <is>
        <t>vertical</t>
      </is>
    </nc>
  </rcc>
  <rcc rId="2670" sId="1">
    <nc r="D34" t="inlineStr">
      <is>
        <t>vertical</t>
      </is>
    </nc>
  </rcc>
  <rcc rId="2671" sId="1">
    <nc r="D35" t="inlineStr">
      <is>
        <t>vertical</t>
      </is>
    </nc>
  </rcc>
  <rcc rId="2672" sId="1">
    <nc r="D36" t="inlineStr">
      <is>
        <t>vertical</t>
      </is>
    </nc>
  </rcc>
  <rcc rId="2673" sId="1">
    <nc r="D37" t="inlineStr">
      <is>
        <t>vertical</t>
      </is>
    </nc>
  </rcc>
  <rcc rId="2674" sId="1">
    <nc r="D38" t="inlineStr">
      <is>
        <t>vertical</t>
      </is>
    </nc>
  </rcc>
  <rcc rId="2675" sId="1">
    <nc r="D39" t="inlineStr">
      <is>
        <t>vertical</t>
      </is>
    </nc>
  </rcc>
  <rcc rId="2676" sId="1">
    <nc r="D40" t="inlineStr">
      <is>
        <t>vertical</t>
      </is>
    </nc>
  </rcc>
  <rcc rId="2677" sId="1">
    <nc r="D41" t="inlineStr">
      <is>
        <t>vertical</t>
      </is>
    </nc>
  </rcc>
  <rcc rId="2678" sId="1">
    <nc r="D42" t="inlineStr">
      <is>
        <t>vertical</t>
      </is>
    </nc>
  </rcc>
  <rcc rId="2679" sId="1">
    <nc r="D43" t="inlineStr">
      <is>
        <t>vertical</t>
      </is>
    </nc>
  </rcc>
  <rcc rId="2680" sId="1">
    <nc r="D44" t="inlineStr">
      <is>
        <t>vertical</t>
      </is>
    </nc>
  </rcc>
  <rcc rId="2681" sId="1">
    <nc r="D45" t="inlineStr">
      <is>
        <t>vertical</t>
      </is>
    </nc>
  </rcc>
  <rcc rId="2682" sId="1">
    <nc r="D46" t="inlineStr">
      <is>
        <t>vertical</t>
      </is>
    </nc>
  </rcc>
  <rcc rId="2683" sId="1">
    <nc r="D47" t="inlineStr">
      <is>
        <t>vertical</t>
      </is>
    </nc>
  </rcc>
  <rcc rId="2684" sId="1">
    <nc r="D48" t="inlineStr">
      <is>
        <t>vertical</t>
      </is>
    </nc>
  </rcc>
  <rcc rId="2685" sId="1">
    <nc r="D49" t="inlineStr">
      <is>
        <t>vertical</t>
      </is>
    </nc>
  </rcc>
  <rcc rId="2686" sId="1">
    <nc r="D50" t="inlineStr">
      <is>
        <t>vertical</t>
      </is>
    </nc>
  </rcc>
  <rcc rId="2687" sId="1">
    <nc r="D51" t="inlineStr">
      <is>
        <t>vertical</t>
      </is>
    </nc>
  </rcc>
  <rcc rId="2688" sId="1">
    <nc r="D52" t="inlineStr">
      <is>
        <t>vertical</t>
      </is>
    </nc>
  </rcc>
  <rcc rId="2689" sId="1">
    <nc r="D53" t="inlineStr">
      <is>
        <t>vertical</t>
      </is>
    </nc>
  </rcc>
  <rcc rId="2690" sId="1">
    <nc r="D54" t="inlineStr">
      <is>
        <t>vertical</t>
      </is>
    </nc>
  </rcc>
  <rcc rId="2691" sId="1">
    <nc r="D55" t="inlineStr">
      <is>
        <t>vertical</t>
      </is>
    </nc>
  </rcc>
  <rcc rId="2692" sId="1">
    <nc r="D56" t="inlineStr">
      <is>
        <t>vertical</t>
      </is>
    </nc>
  </rcc>
  <rcc rId="2693" sId="1">
    <nc r="D57" t="inlineStr">
      <is>
        <t>vertical</t>
      </is>
    </nc>
  </rcc>
  <rcc rId="2694" sId="1">
    <nc r="D58" t="inlineStr">
      <is>
        <t>vertical</t>
      </is>
    </nc>
  </rcc>
  <rcc rId="2695" sId="1">
    <nc r="D59" t="inlineStr">
      <is>
        <t>vertical</t>
      </is>
    </nc>
  </rcc>
  <rcc rId="2696" sId="1">
    <nc r="D60" t="inlineStr">
      <is>
        <t>vertical</t>
      </is>
    </nc>
  </rcc>
  <rcc rId="2697" sId="1">
    <nc r="D61" t="inlineStr">
      <is>
        <t>vertical</t>
      </is>
    </nc>
  </rcc>
  <rcc rId="2698" sId="1">
    <nc r="D62" t="inlineStr">
      <is>
        <t>vertical</t>
      </is>
    </nc>
  </rcc>
  <rcc rId="2699" sId="1">
    <nc r="D63" t="inlineStr">
      <is>
        <t>vertical</t>
      </is>
    </nc>
  </rcc>
  <rcc rId="2700" sId="1">
    <nc r="D64" t="inlineStr">
      <is>
        <t>vertical</t>
      </is>
    </nc>
  </rcc>
  <rcc rId="2701" sId="1">
    <nc r="D65" t="inlineStr">
      <is>
        <t>vertical</t>
      </is>
    </nc>
  </rcc>
  <rcc rId="2702" sId="1">
    <nc r="D66" t="inlineStr">
      <is>
        <t>vertical</t>
      </is>
    </nc>
  </rcc>
  <rcc rId="2703" sId="1">
    <nc r="D67" t="inlineStr">
      <is>
        <t>vertical</t>
      </is>
    </nc>
  </rcc>
  <rcc rId="2704" sId="1">
    <nc r="D68" t="inlineStr">
      <is>
        <t>vertical</t>
      </is>
    </nc>
  </rcc>
  <rcc rId="2705" sId="1">
    <nc r="D69" t="inlineStr">
      <is>
        <t>vertical</t>
      </is>
    </nc>
  </rcc>
  <rcc rId="2706" sId="1">
    <nc r="D70" t="inlineStr">
      <is>
        <t>vertical</t>
      </is>
    </nc>
  </rcc>
  <rcc rId="2707" sId="1">
    <nc r="D71" t="inlineStr">
      <is>
        <t>vertical</t>
      </is>
    </nc>
  </rcc>
  <rcc rId="2708" sId="1">
    <nc r="D72" t="inlineStr">
      <is>
        <t>vertical</t>
      </is>
    </nc>
  </rcc>
  <rcc rId="2709" sId="1">
    <nc r="D73" t="inlineStr">
      <is>
        <t>vertical</t>
      </is>
    </nc>
  </rcc>
  <rcc rId="2710" sId="1">
    <nc r="D74" t="inlineStr">
      <is>
        <t>vertical</t>
      </is>
    </nc>
  </rcc>
  <rcc rId="2711" sId="1">
    <nc r="D75" t="inlineStr">
      <is>
        <t>vertical</t>
      </is>
    </nc>
  </rcc>
  <rcc rId="2712" sId="1">
    <nc r="D76" t="inlineStr">
      <is>
        <t>vertical</t>
      </is>
    </nc>
  </rcc>
  <rcc rId="2713" sId="1">
    <nc r="D77" t="inlineStr">
      <is>
        <t>vertical</t>
      </is>
    </nc>
  </rcc>
  <rcc rId="2714" sId="1">
    <nc r="D78" t="inlineStr">
      <is>
        <t>vertical</t>
      </is>
    </nc>
  </rcc>
  <rcc rId="2715" sId="1">
    <nc r="D79" t="inlineStr">
      <is>
        <t>vertical</t>
      </is>
    </nc>
  </rcc>
  <rcc rId="2716" sId="1">
    <nc r="D80" t="inlineStr">
      <is>
        <t>vertical</t>
      </is>
    </nc>
  </rcc>
  <rcc rId="2717" sId="1">
    <nc r="D81" t="inlineStr">
      <is>
        <t>vertical</t>
      </is>
    </nc>
  </rcc>
  <rcc rId="2718" sId="1">
    <nc r="D82" t="inlineStr">
      <is>
        <t>vertical</t>
      </is>
    </nc>
  </rcc>
  <rcc rId="2719" sId="1">
    <nc r="D83" t="inlineStr">
      <is>
        <t>vertical</t>
      </is>
    </nc>
  </rcc>
  <rcc rId="2720" sId="1">
    <nc r="D84" t="inlineStr">
      <is>
        <t>vertical</t>
      </is>
    </nc>
  </rcc>
  <rcc rId="2721" sId="1">
    <nc r="D85" t="inlineStr">
      <is>
        <t>vertical</t>
      </is>
    </nc>
  </rcc>
  <rcc rId="2722" sId="1">
    <nc r="D86" t="inlineStr">
      <is>
        <t>vertical</t>
      </is>
    </nc>
  </rcc>
  <rcc rId="2723" sId="1">
    <nc r="D87" t="inlineStr">
      <is>
        <t>vertical</t>
      </is>
    </nc>
  </rcc>
  <rcc rId="2724" sId="1">
    <nc r="D88" t="inlineStr">
      <is>
        <t>vertical</t>
      </is>
    </nc>
  </rcc>
  <rcc rId="2725" sId="1">
    <nc r="D89" t="inlineStr">
      <is>
        <t>vertical</t>
      </is>
    </nc>
  </rcc>
  <rcc rId="2726" sId="1">
    <nc r="D90" t="inlineStr">
      <is>
        <t>vertical</t>
      </is>
    </nc>
  </rcc>
  <rcc rId="2727" sId="1">
    <nc r="D91" t="inlineStr">
      <is>
        <t>vertical</t>
      </is>
    </nc>
  </rcc>
  <rcc rId="2728" sId="1">
    <nc r="D92" t="inlineStr">
      <is>
        <t>vertical</t>
      </is>
    </nc>
  </rcc>
  <rcc rId="2729" sId="1">
    <nc r="D93" t="inlineStr">
      <is>
        <t>vertical</t>
      </is>
    </nc>
  </rcc>
  <rcc rId="2730" sId="1">
    <nc r="D94" t="inlineStr">
      <is>
        <t>vertical</t>
      </is>
    </nc>
  </rcc>
  <rcc rId="2731" sId="1">
    <nc r="D95" t="inlineStr">
      <is>
        <t>vertical</t>
      </is>
    </nc>
  </rcc>
  <rcc rId="2732" sId="1">
    <nc r="D96" t="inlineStr">
      <is>
        <t>vertical</t>
      </is>
    </nc>
  </rcc>
  <rcc rId="2733" sId="1">
    <nc r="D97" t="inlineStr">
      <is>
        <t>vertical</t>
      </is>
    </nc>
  </rcc>
  <rcc rId="2734" sId="1">
    <nc r="D98" t="inlineStr">
      <is>
        <t>vertical</t>
      </is>
    </nc>
  </rcc>
  <rcc rId="2735" sId="1">
    <nc r="D99" t="inlineStr">
      <is>
        <t>vertical</t>
      </is>
    </nc>
  </rcc>
  <rcc rId="2736" sId="1">
    <nc r="D100" t="inlineStr">
      <is>
        <t>vertical</t>
      </is>
    </nc>
  </rcc>
  <rcc rId="2737" sId="1">
    <nc r="D101" t="inlineStr">
      <is>
        <t>vertical</t>
      </is>
    </nc>
  </rcc>
  <rcc rId="2738" sId="1">
    <nc r="D102" t="inlineStr">
      <is>
        <t>vertical</t>
      </is>
    </nc>
  </rcc>
  <rcc rId="2739" sId="1">
    <nc r="D103" t="inlineStr">
      <is>
        <t>vertical</t>
      </is>
    </nc>
  </rcc>
  <rcc rId="2740" sId="1">
    <nc r="D104" t="inlineStr">
      <is>
        <t>vertical</t>
      </is>
    </nc>
  </rcc>
  <rcc rId="2741" sId="1">
    <nc r="D105" t="inlineStr">
      <is>
        <t>vertical</t>
      </is>
    </nc>
  </rcc>
  <rcc rId="2742" sId="1">
    <nc r="D106" t="inlineStr">
      <is>
        <t>vertical</t>
      </is>
    </nc>
  </rcc>
  <rcc rId="2743" sId="1">
    <nc r="D107" t="inlineStr">
      <is>
        <t>vertical</t>
      </is>
    </nc>
  </rcc>
  <rcc rId="2744" sId="1">
    <nc r="D108" t="inlineStr">
      <is>
        <t>vertical</t>
      </is>
    </nc>
  </rcc>
  <rcc rId="2745" sId="1">
    <nc r="D109" t="inlineStr">
      <is>
        <t>vertical</t>
      </is>
    </nc>
  </rcc>
  <rcc rId="2746" sId="1">
    <nc r="D110" t="inlineStr">
      <is>
        <t>vertical</t>
      </is>
    </nc>
  </rcc>
  <rcc rId="2747" sId="1">
    <nc r="D111" t="inlineStr">
      <is>
        <t>vertical</t>
      </is>
    </nc>
  </rcc>
  <rcc rId="2748" sId="1">
    <nc r="D112" t="inlineStr">
      <is>
        <t>vertical</t>
      </is>
    </nc>
  </rcc>
  <rcc rId="2749" sId="1">
    <nc r="D113" t="inlineStr">
      <is>
        <t>vertical</t>
      </is>
    </nc>
  </rcc>
  <rcc rId="2750" sId="1">
    <nc r="D114" t="inlineStr">
      <is>
        <t>vertical</t>
      </is>
    </nc>
  </rcc>
  <rcc rId="2751" sId="1">
    <nc r="D115" t="inlineStr">
      <is>
        <t>vertical</t>
      </is>
    </nc>
  </rcc>
  <rcc rId="2752" sId="1">
    <nc r="D116" t="inlineStr">
      <is>
        <t>vertical</t>
      </is>
    </nc>
  </rcc>
  <rcc rId="2753" sId="1">
    <nc r="D117" t="inlineStr">
      <is>
        <t>vertical</t>
      </is>
    </nc>
  </rcc>
  <rcc rId="2754" sId="1">
    <nc r="D118" t="inlineStr">
      <is>
        <t>vertical</t>
      </is>
    </nc>
  </rcc>
  <rcc rId="2755" sId="1">
    <nc r="D119" t="inlineStr">
      <is>
        <t>vertical</t>
      </is>
    </nc>
  </rcc>
  <rcc rId="2756" sId="1">
    <nc r="D120" t="inlineStr">
      <is>
        <t>vertical</t>
      </is>
    </nc>
  </rcc>
  <rcc rId="2757" sId="1">
    <nc r="D121" t="inlineStr">
      <is>
        <t>vertical</t>
      </is>
    </nc>
  </rcc>
  <rcc rId="2758" sId="1">
    <nc r="D122" t="inlineStr">
      <is>
        <t>vertical</t>
      </is>
    </nc>
  </rcc>
  <rcc rId="2759" sId="1">
    <nc r="D123" t="inlineStr">
      <is>
        <t>vertical</t>
      </is>
    </nc>
  </rcc>
  <rcc rId="2760" sId="1">
    <nc r="D124" t="inlineStr">
      <is>
        <t>vertical</t>
      </is>
    </nc>
  </rcc>
  <rcc rId="2761" sId="1">
    <nc r="D125" t="inlineStr">
      <is>
        <t>vertical</t>
      </is>
    </nc>
  </rcc>
  <rcc rId="2762" sId="1">
    <nc r="D126" t="inlineStr">
      <is>
        <t>vertical</t>
      </is>
    </nc>
  </rcc>
  <rcc rId="2763" sId="1">
    <nc r="D127" t="inlineStr">
      <is>
        <t>vertical</t>
      </is>
    </nc>
  </rcc>
  <rcc rId="2764" sId="1">
    <nc r="D128" t="inlineStr">
      <is>
        <t>vertical</t>
      </is>
    </nc>
  </rcc>
  <rcc rId="2765" sId="1">
    <nc r="D129" t="inlineStr">
      <is>
        <t>vertical</t>
      </is>
    </nc>
  </rcc>
  <rcc rId="2766" sId="1">
    <nc r="D130" t="inlineStr">
      <is>
        <t>vertical</t>
      </is>
    </nc>
  </rcc>
  <rcc rId="2767" sId="1">
    <nc r="D131" t="inlineStr">
      <is>
        <t>vertical</t>
      </is>
    </nc>
  </rcc>
  <rcc rId="2768" sId="1">
    <nc r="D132" t="inlineStr">
      <is>
        <t>vertical</t>
      </is>
    </nc>
  </rcc>
  <rcc rId="2769" sId="1">
    <nc r="D133" t="inlineStr">
      <is>
        <t>vertical</t>
      </is>
    </nc>
  </rcc>
  <rcc rId="2770" sId="1">
    <nc r="D134" t="inlineStr">
      <is>
        <t>vertical</t>
      </is>
    </nc>
  </rcc>
  <rfmt sheetId="1" sqref="D135" start="0" length="0">
    <dxf>
      <alignment horizontal="general" vertical="bottom"/>
    </dxf>
  </rfmt>
  <rfmt sheetId="1" xfDxf="1" sqref="D135" start="0" length="0"/>
  <rcc rId="2771" sId="1">
    <nc r="D135">
      <f>RIGHT(B135,1)</f>
    </nc>
  </rcc>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72" sId="1" odxf="1" dxf="1">
    <nc r="D136">
      <f>RIGHT(B136,1)</f>
    </nc>
    <odxf>
      <alignment horizontal="left" vertical="top"/>
    </odxf>
    <ndxf>
      <alignment horizontal="general" vertical="bottom"/>
    </ndxf>
  </rcc>
  <rcc rId="2773" sId="1" odxf="1" dxf="1">
    <nc r="D137">
      <f>RIGHT(B137,1)</f>
    </nc>
    <odxf>
      <alignment horizontal="left" vertical="top"/>
    </odxf>
    <ndxf>
      <alignment horizontal="general" vertical="bottom"/>
    </ndxf>
  </rcc>
  <rcc rId="2774" sId="1" odxf="1" dxf="1">
    <nc r="D138">
      <f>RIGHT(B138,1)</f>
    </nc>
    <odxf>
      <alignment horizontal="left" vertical="top"/>
    </odxf>
    <ndxf>
      <alignment horizontal="general" vertical="bottom"/>
    </ndxf>
  </rcc>
  <rcc rId="2775" sId="1" odxf="1" dxf="1">
    <nc r="D139">
      <f>RIGHT(B139,1)</f>
    </nc>
    <odxf>
      <alignment horizontal="left" vertical="top"/>
    </odxf>
    <ndxf>
      <alignment horizontal="general" vertical="bottom"/>
    </ndxf>
  </rcc>
  <rcc rId="2776" sId="1" odxf="1" dxf="1">
    <nc r="D140">
      <f>RIGHT(B140,1)</f>
    </nc>
    <odxf>
      <alignment horizontal="left" vertical="top"/>
    </odxf>
    <ndxf>
      <alignment horizontal="general" vertical="bottom"/>
    </ndxf>
  </rcc>
  <rcc rId="2777" sId="1" odxf="1" dxf="1">
    <nc r="D141">
      <f>RIGHT(B141,1)</f>
    </nc>
    <odxf>
      <alignment horizontal="left" vertical="top"/>
    </odxf>
    <ndxf>
      <alignment horizontal="general" vertical="bottom"/>
    </ndxf>
  </rcc>
  <rcc rId="2778" sId="1" odxf="1" dxf="1">
    <nc r="D142">
      <f>RIGHT(B142,1)</f>
    </nc>
    <odxf>
      <alignment horizontal="left" vertical="top"/>
    </odxf>
    <ndxf>
      <alignment horizontal="general" vertical="bottom"/>
    </ndxf>
  </rcc>
  <rcc rId="2779" sId="1" odxf="1" dxf="1">
    <nc r="D143">
      <f>RIGHT(B143,1)</f>
    </nc>
    <odxf>
      <alignment horizontal="left" vertical="top"/>
    </odxf>
    <ndxf>
      <alignment horizontal="general" vertical="bottom"/>
    </ndxf>
  </rcc>
  <rcc rId="2780" sId="1" odxf="1" dxf="1">
    <nc r="D144">
      <f>RIGHT(B144,1)</f>
    </nc>
    <odxf>
      <alignment horizontal="left" vertical="top"/>
    </odxf>
    <ndxf>
      <alignment horizontal="general" vertical="bottom"/>
    </ndxf>
  </rcc>
  <rcc rId="2781" sId="1" odxf="1" dxf="1">
    <nc r="D145">
      <f>RIGHT(B145,1)</f>
    </nc>
    <odxf>
      <alignment horizontal="left" vertical="top"/>
    </odxf>
    <ndxf>
      <alignment horizontal="general" vertical="bottom"/>
    </ndxf>
  </rcc>
  <rcc rId="2782" sId="1" odxf="1" dxf="1">
    <nc r="D146">
      <f>RIGHT(B146,1)</f>
    </nc>
    <odxf>
      <alignment horizontal="left" vertical="top"/>
    </odxf>
    <ndxf>
      <alignment horizontal="general" vertical="bottom"/>
    </ndxf>
  </rcc>
  <rcc rId="2783" sId="1" odxf="1" dxf="1">
    <nc r="D147">
      <f>RIGHT(B147,1)</f>
    </nc>
    <odxf>
      <alignment horizontal="left" vertical="top"/>
    </odxf>
    <ndxf>
      <alignment horizontal="general" vertical="bottom"/>
    </ndxf>
  </rcc>
  <rcc rId="2784" sId="1" odxf="1" dxf="1">
    <nc r="D148">
      <f>RIGHT(B148,1)</f>
    </nc>
    <odxf>
      <alignment horizontal="left" vertical="top"/>
    </odxf>
    <ndxf>
      <alignment horizontal="general" vertical="bottom"/>
    </ndxf>
  </rcc>
  <rcc rId="2785" sId="1" odxf="1" dxf="1">
    <nc r="D149">
      <f>RIGHT(B149,1)</f>
    </nc>
    <odxf>
      <alignment horizontal="left" vertical="top"/>
    </odxf>
    <ndxf>
      <alignment horizontal="general" vertical="bottom"/>
    </ndxf>
  </rcc>
  <rcc rId="2786" sId="1" odxf="1" dxf="1">
    <nc r="D150">
      <f>RIGHT(B150,1)</f>
    </nc>
    <odxf>
      <alignment horizontal="left" vertical="top"/>
    </odxf>
    <ndxf>
      <alignment horizontal="general" vertical="bottom"/>
    </ndxf>
  </rcc>
  <rcc rId="2787" sId="1" odxf="1" dxf="1">
    <nc r="D151">
      <f>RIGHT(B151,1)</f>
    </nc>
    <odxf>
      <alignment horizontal="left" vertical="top"/>
    </odxf>
    <ndxf>
      <alignment horizontal="general" vertical="bottom"/>
    </ndxf>
  </rcc>
  <rcc rId="2788" sId="1" odxf="1" dxf="1">
    <nc r="D152">
      <f>RIGHT(B152,1)</f>
    </nc>
    <odxf>
      <alignment horizontal="left" vertical="top"/>
    </odxf>
    <ndxf>
      <alignment horizontal="general" vertical="bottom"/>
    </ndxf>
  </rcc>
  <rcc rId="2789" sId="1" odxf="1" dxf="1">
    <nc r="D153">
      <f>RIGHT(B153,1)</f>
    </nc>
    <odxf>
      <alignment horizontal="left" vertical="top"/>
    </odxf>
    <ndxf>
      <alignment horizontal="general" vertical="bottom"/>
    </ndxf>
  </rcc>
  <rcc rId="2790" sId="1" odxf="1" dxf="1">
    <nc r="D154">
      <f>RIGHT(B154,1)</f>
    </nc>
    <odxf>
      <alignment horizontal="left" vertical="top"/>
    </odxf>
    <ndxf>
      <alignment horizontal="general" vertical="bottom"/>
    </ndxf>
  </rcc>
  <rcc rId="2791" sId="1" odxf="1" dxf="1">
    <nc r="D155">
      <f>RIGHT(B155,1)</f>
    </nc>
    <odxf>
      <alignment horizontal="left" vertical="top"/>
    </odxf>
    <ndxf>
      <alignment horizontal="general" vertical="bottom"/>
    </ndxf>
  </rcc>
  <rcc rId="2792" sId="1" odxf="1" dxf="1">
    <nc r="D156">
      <f>RIGHT(B156,1)</f>
    </nc>
    <odxf>
      <alignment horizontal="left" vertical="top"/>
    </odxf>
    <ndxf>
      <alignment horizontal="general" vertical="bottom"/>
    </ndxf>
  </rcc>
  <rcc rId="2793" sId="1" odxf="1" dxf="1">
    <nc r="D157">
      <f>RIGHT(B157,1)</f>
    </nc>
    <odxf>
      <alignment horizontal="left" vertical="top"/>
    </odxf>
    <ndxf>
      <alignment horizontal="general" vertical="bottom"/>
    </ndxf>
  </rcc>
  <rcc rId="2794" sId="1" odxf="1" dxf="1">
    <nc r="D158">
      <f>RIGHT(B158,1)</f>
    </nc>
    <odxf>
      <alignment horizontal="left" vertical="top"/>
    </odxf>
    <ndxf>
      <alignment horizontal="general" vertical="bottom"/>
    </ndxf>
  </rcc>
  <rcc rId="2795" sId="1" odxf="1" dxf="1">
    <nc r="D159">
      <f>RIGHT(B159,1)</f>
    </nc>
    <odxf>
      <alignment horizontal="left" vertical="top"/>
    </odxf>
    <ndxf>
      <alignment horizontal="general" vertical="bottom"/>
    </ndxf>
  </rcc>
  <rcc rId="2796" sId="1" odxf="1" dxf="1">
    <nc r="D160">
      <f>RIGHT(B160,1)</f>
    </nc>
    <odxf>
      <alignment horizontal="left" vertical="top"/>
    </odxf>
    <ndxf>
      <alignment horizontal="general" vertical="bottom"/>
    </ndxf>
  </rcc>
  <rcc rId="2797" sId="1" odxf="1" dxf="1">
    <nc r="D161">
      <f>RIGHT(B161,1)</f>
    </nc>
    <odxf>
      <alignment horizontal="left" vertical="top"/>
    </odxf>
    <ndxf>
      <alignment horizontal="general" vertical="bottom"/>
    </ndxf>
  </rcc>
  <rcc rId="2798" sId="1" odxf="1" dxf="1">
    <nc r="D162">
      <f>RIGHT(B162,1)</f>
    </nc>
    <odxf>
      <alignment horizontal="left" vertical="top"/>
    </odxf>
    <ndxf>
      <alignment horizontal="general" vertical="bottom"/>
    </ndxf>
  </rcc>
  <rcc rId="2799" sId="1" odxf="1" dxf="1">
    <nc r="D163">
      <f>RIGHT(B163,1)</f>
    </nc>
    <odxf>
      <alignment horizontal="left" vertical="top"/>
    </odxf>
    <ndxf>
      <alignment horizontal="general" vertical="bottom"/>
    </ndxf>
  </rcc>
  <rcc rId="2800" sId="1" odxf="1" dxf="1">
    <nc r="D164">
      <f>RIGHT(B164,1)</f>
    </nc>
    <odxf>
      <alignment horizontal="left" vertical="top"/>
    </odxf>
    <ndxf>
      <alignment horizontal="general" vertical="bottom"/>
    </ndxf>
  </rcc>
  <rcc rId="2801" sId="1" odxf="1" dxf="1">
    <nc r="D165">
      <f>RIGHT(B165,1)</f>
    </nc>
    <odxf>
      <alignment horizontal="left" vertical="top"/>
    </odxf>
    <ndxf>
      <alignment horizontal="general" vertical="bottom"/>
    </ndxf>
  </rcc>
  <rcc rId="2802" sId="1" odxf="1" dxf="1">
    <nc r="D166">
      <f>RIGHT(B166,1)</f>
    </nc>
    <odxf>
      <alignment horizontal="left" vertical="top"/>
    </odxf>
    <ndxf>
      <alignment horizontal="general" vertical="bottom"/>
    </ndxf>
  </rcc>
  <rcc rId="2803" sId="1" odxf="1" dxf="1">
    <nc r="D167">
      <f>RIGHT(B167,1)</f>
    </nc>
    <odxf>
      <alignment horizontal="left" vertical="top"/>
    </odxf>
    <ndxf>
      <alignment horizontal="general" vertical="bottom"/>
    </ndxf>
  </rcc>
  <rcc rId="2804" sId="1" odxf="1" dxf="1">
    <nc r="D168">
      <f>RIGHT(B168,1)</f>
    </nc>
    <odxf>
      <alignment horizontal="left" vertical="top"/>
    </odxf>
    <ndxf>
      <alignment horizontal="general" vertical="bottom"/>
    </ndxf>
  </rcc>
  <rcc rId="2805" sId="1" odxf="1" dxf="1">
    <nc r="D169">
      <f>RIGHT(B169,1)</f>
    </nc>
    <odxf>
      <alignment horizontal="left" vertical="top"/>
    </odxf>
    <ndxf>
      <alignment horizontal="general" vertical="bottom"/>
    </ndxf>
  </rcc>
  <rcc rId="2806" sId="1" odxf="1" dxf="1">
    <nc r="D170">
      <f>RIGHT(B170,1)</f>
    </nc>
    <odxf>
      <alignment horizontal="left" vertical="top"/>
    </odxf>
    <ndxf>
      <alignment horizontal="general" vertical="bottom"/>
    </ndxf>
  </rcc>
  <rcc rId="2807" sId="1" odxf="1" dxf="1">
    <nc r="D171">
      <f>RIGHT(B171,1)</f>
    </nc>
    <odxf>
      <alignment horizontal="left" vertical="top"/>
    </odxf>
    <ndxf>
      <alignment horizontal="general" vertical="bottom"/>
    </ndxf>
  </rcc>
  <rcc rId="2808" sId="1" odxf="1" dxf="1">
    <nc r="D172">
      <f>RIGHT(B172,1)</f>
    </nc>
    <odxf>
      <alignment horizontal="left" vertical="top"/>
    </odxf>
    <ndxf>
      <alignment horizontal="general" vertical="bottom"/>
    </ndxf>
  </rcc>
  <rcc rId="2809" sId="1" odxf="1" dxf="1">
    <nc r="D173">
      <f>RIGHT(B173,1)</f>
    </nc>
    <odxf>
      <alignment horizontal="left" vertical="top"/>
    </odxf>
    <ndxf>
      <alignment horizontal="general" vertical="bottom"/>
    </ndxf>
  </rcc>
  <rcc rId="2810" sId="1" odxf="1" dxf="1">
    <nc r="D174">
      <f>RIGHT(B174,1)</f>
    </nc>
    <odxf>
      <alignment horizontal="left" vertical="top"/>
    </odxf>
    <ndxf>
      <alignment horizontal="general" vertical="bottom"/>
    </ndxf>
  </rcc>
  <rcc rId="2811" sId="1" odxf="1" dxf="1">
    <nc r="D175">
      <f>RIGHT(B175,1)</f>
    </nc>
    <odxf>
      <alignment horizontal="left" vertical="top"/>
    </odxf>
    <ndxf>
      <alignment horizontal="general" vertical="bottom"/>
    </ndxf>
  </rcc>
  <rcc rId="2812" sId="1" odxf="1" dxf="1">
    <nc r="D176">
      <f>RIGHT(B176,1)</f>
    </nc>
    <odxf>
      <alignment horizontal="left" vertical="top"/>
    </odxf>
    <ndxf>
      <alignment horizontal="general" vertical="bottom"/>
    </ndxf>
  </rcc>
  <rcc rId="2813" sId="1" odxf="1" dxf="1">
    <nc r="D177">
      <f>RIGHT(B177,1)</f>
    </nc>
    <odxf>
      <alignment horizontal="left" vertical="top"/>
    </odxf>
    <ndxf>
      <alignment horizontal="general" vertical="bottom"/>
    </ndxf>
  </rcc>
  <rcc rId="2814" sId="1" odxf="1" dxf="1">
    <nc r="D178">
      <f>RIGHT(B178,1)</f>
    </nc>
    <odxf>
      <alignment horizontal="left" vertical="top"/>
    </odxf>
    <ndxf>
      <alignment horizontal="general" vertical="bottom"/>
    </ndxf>
  </rcc>
  <rcc rId="2815" sId="1" odxf="1" dxf="1">
    <nc r="D179">
      <f>RIGHT(B179,1)</f>
    </nc>
    <odxf>
      <alignment horizontal="left" vertical="top"/>
    </odxf>
    <ndxf>
      <alignment horizontal="general" vertical="bottom"/>
    </ndxf>
  </rcc>
  <rcc rId="2816" sId="1" odxf="1" dxf="1">
    <nc r="D180">
      <f>RIGHT(B180,1)</f>
    </nc>
    <odxf>
      <alignment horizontal="left" vertical="top"/>
    </odxf>
    <ndxf>
      <alignment horizontal="general" vertical="bottom"/>
    </ndxf>
  </rcc>
  <rcc rId="2817" sId="1" odxf="1" dxf="1">
    <nc r="D181">
      <f>RIGHT(B181,1)</f>
    </nc>
    <odxf>
      <alignment horizontal="left" vertical="top"/>
    </odxf>
    <ndxf>
      <alignment horizontal="general" vertical="bottom"/>
    </ndxf>
  </rcc>
  <rcc rId="2818" sId="1" odxf="1" dxf="1">
    <nc r="D182">
      <f>RIGHT(B182,1)</f>
    </nc>
    <odxf>
      <alignment horizontal="left" vertical="top"/>
    </odxf>
    <ndxf>
      <alignment horizontal="general" vertical="bottom"/>
    </ndxf>
  </rcc>
  <rcc rId="2819" sId="1" odxf="1" dxf="1">
    <nc r="D183">
      <f>RIGHT(B183,1)</f>
    </nc>
    <odxf>
      <alignment horizontal="left" vertical="top"/>
    </odxf>
    <ndxf>
      <alignment horizontal="general" vertical="bottom"/>
    </ndxf>
  </rcc>
  <rcc rId="2820" sId="1" odxf="1" dxf="1">
    <nc r="D184">
      <f>RIGHT(B184,1)</f>
    </nc>
    <odxf>
      <alignment horizontal="left" vertical="top"/>
    </odxf>
    <ndxf>
      <alignment horizontal="general" vertical="bottom"/>
    </ndxf>
  </rcc>
  <rcc rId="2821" sId="1" odxf="1" dxf="1">
    <nc r="D185">
      <f>RIGHT(B185,1)</f>
    </nc>
    <odxf>
      <alignment horizontal="left" vertical="top"/>
    </odxf>
    <ndxf>
      <alignment horizontal="general" vertical="bottom"/>
    </ndxf>
  </rcc>
  <rcc rId="2822" sId="1" odxf="1" dxf="1">
    <nc r="D186">
      <f>RIGHT(B186,1)</f>
    </nc>
    <odxf>
      <alignment horizontal="left" vertical="top"/>
    </odxf>
    <ndxf>
      <alignment horizontal="general" vertical="bottom"/>
    </ndxf>
  </rcc>
  <rcc rId="2823" sId="1" odxf="1" dxf="1">
    <nc r="D187">
      <f>RIGHT(B187,1)</f>
    </nc>
    <odxf>
      <alignment horizontal="left" vertical="top"/>
    </odxf>
    <ndxf>
      <alignment horizontal="general" vertical="bottom"/>
    </ndxf>
  </rcc>
  <rcc rId="2824" sId="1" odxf="1" dxf="1">
    <nc r="D188">
      <f>RIGHT(B188,1)</f>
    </nc>
    <odxf>
      <alignment horizontal="left" vertical="top"/>
    </odxf>
    <ndxf>
      <alignment horizontal="general" vertical="bottom"/>
    </ndxf>
  </rcc>
  <rcc rId="2825" sId="1" odxf="1" dxf="1">
    <nc r="D189">
      <f>RIGHT(B189,1)</f>
    </nc>
    <odxf>
      <alignment horizontal="left" vertical="top"/>
    </odxf>
    <ndxf>
      <alignment horizontal="general" vertical="bottom"/>
    </ndxf>
  </rcc>
  <rcc rId="2826" sId="1" odxf="1" dxf="1">
    <nc r="D190">
      <f>RIGHT(B190,1)</f>
    </nc>
    <odxf>
      <alignment horizontal="left" vertical="top"/>
    </odxf>
    <ndxf>
      <alignment horizontal="general" vertical="bottom"/>
    </ndxf>
  </rcc>
  <rcc rId="2827" sId="1" odxf="1" dxf="1">
    <nc r="D191">
      <f>RIGHT(B191,1)</f>
    </nc>
    <odxf>
      <alignment horizontal="left" vertical="top"/>
    </odxf>
    <ndxf>
      <alignment horizontal="general" vertical="bottom"/>
    </ndxf>
  </rcc>
  <rcc rId="2828" sId="1" odxf="1" dxf="1">
    <nc r="D192">
      <f>RIGHT(B192,1)</f>
    </nc>
    <odxf>
      <alignment horizontal="left" vertical="top"/>
    </odxf>
    <ndxf>
      <alignment horizontal="general" vertical="bottom"/>
    </ndxf>
  </rcc>
  <rcc rId="2829" sId="1" odxf="1" dxf="1">
    <nc r="D193">
      <f>RIGHT(B193,1)</f>
    </nc>
    <odxf>
      <alignment horizontal="left" vertical="top"/>
    </odxf>
    <ndxf>
      <alignment horizontal="general" vertical="bottom"/>
    </ndxf>
  </rcc>
  <rcc rId="2830" sId="1" odxf="1" dxf="1">
    <nc r="D194">
      <f>RIGHT(B194,1)</f>
    </nc>
    <odxf>
      <alignment horizontal="left" vertical="top"/>
    </odxf>
    <ndxf>
      <alignment horizontal="general" vertical="bottom"/>
    </ndxf>
  </rcc>
  <rcc rId="2831" sId="1" odxf="1" dxf="1">
    <nc r="D195">
      <f>RIGHT(B195,1)</f>
    </nc>
    <odxf>
      <alignment horizontal="left" vertical="top"/>
    </odxf>
    <ndxf>
      <alignment horizontal="general" vertical="bottom"/>
    </ndxf>
  </rcc>
  <rcc rId="2832" sId="1" odxf="1" dxf="1">
    <nc r="D196">
      <f>RIGHT(B196,1)</f>
    </nc>
    <odxf>
      <alignment horizontal="left" vertical="top"/>
    </odxf>
    <ndxf>
      <alignment horizontal="general" vertical="bottom"/>
    </ndxf>
  </rcc>
  <rcc rId="2833" sId="1" odxf="1" dxf="1">
    <nc r="D197">
      <f>RIGHT(B197,1)</f>
    </nc>
    <odxf>
      <alignment horizontal="left" vertical="top"/>
    </odxf>
    <ndxf>
      <alignment horizontal="general" vertical="bottom"/>
    </ndxf>
  </rcc>
  <rcc rId="2834" sId="1" odxf="1" dxf="1">
    <nc r="D198">
      <f>RIGHT(B198,1)</f>
    </nc>
    <odxf>
      <alignment horizontal="left" vertical="top"/>
    </odxf>
    <ndxf>
      <alignment horizontal="general" vertical="bottom"/>
    </ndxf>
  </rcc>
  <rcc rId="2835" sId="1" odxf="1" dxf="1">
    <nc r="D199">
      <f>RIGHT(B199,1)</f>
    </nc>
    <odxf>
      <alignment horizontal="left" vertical="top"/>
    </odxf>
    <ndxf>
      <alignment horizontal="general" vertical="bottom"/>
    </ndxf>
  </rcc>
  <rcc rId="2836" sId="1" odxf="1" dxf="1">
    <nc r="D200">
      <f>RIGHT(B200,1)</f>
    </nc>
    <odxf>
      <alignment horizontal="left" vertical="top"/>
    </odxf>
    <ndxf>
      <alignment horizontal="general" vertical="bottom"/>
    </ndxf>
  </rcc>
  <rcc rId="2837" sId="1" odxf="1" dxf="1">
    <nc r="D201">
      <f>RIGHT(B201,1)</f>
    </nc>
    <odxf>
      <alignment horizontal="left" vertical="top"/>
    </odxf>
    <ndxf>
      <alignment horizontal="general" vertical="bottom"/>
    </ndxf>
  </rcc>
  <rcc rId="2838" sId="1" odxf="1" dxf="1">
    <nc r="D202">
      <f>RIGHT(B202,1)</f>
    </nc>
    <odxf>
      <alignment horizontal="left" vertical="top"/>
    </odxf>
    <ndxf>
      <alignment horizontal="general" vertical="bottom"/>
    </ndxf>
  </rcc>
  <rcc rId="2839" sId="1" odxf="1" dxf="1">
    <nc r="D203">
      <f>RIGHT(B203,1)</f>
    </nc>
    <odxf>
      <alignment horizontal="left" vertical="top"/>
    </odxf>
    <ndxf>
      <alignment horizontal="general" vertical="bottom"/>
    </ndxf>
  </rcc>
  <rcc rId="2840" sId="1" odxf="1" dxf="1">
    <nc r="D204">
      <f>RIGHT(B204,1)</f>
    </nc>
    <odxf>
      <alignment horizontal="left" vertical="top"/>
    </odxf>
    <ndxf>
      <alignment horizontal="general" vertical="bottom"/>
    </ndxf>
  </rcc>
  <rcc rId="2841" sId="1" odxf="1" dxf="1">
    <nc r="D205">
      <f>RIGHT(B205,1)</f>
    </nc>
    <odxf>
      <alignment horizontal="left" vertical="top"/>
    </odxf>
    <ndxf>
      <alignment horizontal="general" vertical="bottom"/>
    </ndxf>
  </rcc>
  <rcc rId="2842" sId="1" odxf="1" dxf="1">
    <nc r="D206">
      <f>RIGHT(B206,1)</f>
    </nc>
    <odxf>
      <alignment horizontal="left" vertical="top"/>
    </odxf>
    <ndxf>
      <alignment horizontal="general" vertical="bottom"/>
    </ndxf>
  </rcc>
  <rcc rId="2843" sId="1" odxf="1" dxf="1">
    <nc r="D207">
      <f>RIGHT(B207,1)</f>
    </nc>
    <odxf>
      <alignment horizontal="left" vertical="top"/>
    </odxf>
    <ndxf>
      <alignment horizontal="general" vertical="bottom"/>
    </ndxf>
  </rcc>
  <rcc rId="2844" sId="1" odxf="1" dxf="1">
    <nc r="D208">
      <f>RIGHT(B208,1)</f>
    </nc>
    <odxf>
      <alignment horizontal="left" vertical="top"/>
    </odxf>
    <ndxf>
      <alignment horizontal="general" vertical="bottom"/>
    </ndxf>
  </rcc>
  <rcc rId="2845" sId="1" odxf="1" dxf="1">
    <nc r="D209">
      <f>RIGHT(B209,1)</f>
    </nc>
    <odxf>
      <alignment horizontal="left" vertical="top"/>
    </odxf>
    <ndxf>
      <alignment horizontal="general" vertical="bottom"/>
    </ndxf>
  </rcc>
  <rcc rId="2846" sId="1" odxf="1" dxf="1">
    <nc r="D210">
      <f>RIGHT(B210,1)</f>
    </nc>
    <odxf>
      <alignment horizontal="left" vertical="top"/>
    </odxf>
    <ndxf>
      <alignment horizontal="general" vertical="bottom"/>
    </ndxf>
  </rcc>
  <rcc rId="2847" sId="1" odxf="1" dxf="1">
    <nc r="D211">
      <f>RIGHT(B211,1)</f>
    </nc>
    <odxf>
      <alignment horizontal="left" vertical="top"/>
    </odxf>
    <ndxf>
      <alignment horizontal="general" vertical="bottom"/>
    </ndxf>
  </rcc>
  <rcc rId="2848" sId="1" odxf="1" dxf="1">
    <nc r="D212">
      <f>RIGHT(B212,1)</f>
    </nc>
    <odxf>
      <alignment horizontal="left" vertical="top"/>
    </odxf>
    <ndxf>
      <alignment horizontal="general" vertical="bottom"/>
    </ndxf>
  </rcc>
  <rcc rId="2849" sId="1" odxf="1" dxf="1">
    <nc r="D213">
      <f>RIGHT(B213,1)</f>
    </nc>
    <odxf>
      <alignment horizontal="left" vertical="top"/>
    </odxf>
    <ndxf>
      <alignment horizontal="general" vertical="bottom"/>
    </ndxf>
  </rcc>
  <rcc rId="2850" sId="1" odxf="1" dxf="1">
    <nc r="D214">
      <f>RIGHT(B214,1)</f>
    </nc>
    <odxf>
      <alignment horizontal="left" vertical="top"/>
    </odxf>
    <ndxf>
      <alignment horizontal="general" vertical="bottom"/>
    </ndxf>
  </rcc>
  <rcc rId="2851" sId="1" odxf="1" dxf="1">
    <nc r="D215">
      <f>RIGHT(B215,1)</f>
    </nc>
    <odxf>
      <alignment horizontal="left" vertical="top"/>
    </odxf>
    <ndxf>
      <alignment horizontal="general" vertical="bottom"/>
    </ndxf>
  </rcc>
  <rcc rId="2852" sId="1" odxf="1" dxf="1">
    <nc r="D216">
      <f>RIGHT(B216,1)</f>
    </nc>
    <odxf>
      <alignment horizontal="left" vertical="top"/>
    </odxf>
    <ndxf>
      <alignment horizontal="general" vertical="bottom"/>
    </ndxf>
  </rcc>
  <rcc rId="2853" sId="1" odxf="1" dxf="1">
    <nc r="D217">
      <f>RIGHT(B217,1)</f>
    </nc>
    <odxf>
      <alignment horizontal="left" vertical="top"/>
    </odxf>
    <ndxf>
      <alignment horizontal="general" vertical="bottom"/>
    </ndxf>
  </rcc>
  <rcc rId="2854" sId="1" odxf="1" dxf="1">
    <nc r="D218">
      <f>RIGHT(B218,1)</f>
    </nc>
    <odxf>
      <alignment horizontal="left" vertical="top"/>
    </odxf>
    <ndxf>
      <alignment horizontal="general" vertical="bottom"/>
    </ndxf>
  </rcc>
  <rcc rId="2855" sId="1" odxf="1" dxf="1">
    <nc r="D219">
      <f>RIGHT(B219,1)</f>
    </nc>
    <odxf>
      <alignment horizontal="left" vertical="top"/>
    </odxf>
    <ndxf>
      <alignment horizontal="general" vertical="bottom"/>
    </ndxf>
  </rcc>
  <rcc rId="2856" sId="1" odxf="1" dxf="1">
    <nc r="D220">
      <f>RIGHT(B220,1)</f>
    </nc>
    <odxf>
      <alignment horizontal="left" vertical="top"/>
    </odxf>
    <ndxf>
      <alignment horizontal="general" vertical="bottom"/>
    </ndxf>
  </rcc>
  <rcc rId="2857" sId="1" odxf="1" dxf="1">
    <nc r="D221">
      <f>RIGHT(B221,1)</f>
    </nc>
    <odxf>
      <alignment horizontal="left" vertical="top"/>
    </odxf>
    <ndxf>
      <alignment horizontal="general" vertical="bottom"/>
    </ndxf>
  </rcc>
  <rcc rId="2858" sId="1" odxf="1" dxf="1">
    <nc r="D222">
      <f>RIGHT(B222,1)</f>
    </nc>
    <odxf>
      <alignment horizontal="left" vertical="top"/>
    </odxf>
    <ndxf>
      <alignment horizontal="general" vertical="bottom"/>
    </ndxf>
  </rcc>
  <rcc rId="2859" sId="1" odxf="1" dxf="1">
    <nc r="D223">
      <f>RIGHT(B223,1)</f>
    </nc>
    <odxf>
      <alignment horizontal="left" vertical="top"/>
    </odxf>
    <ndxf>
      <alignment horizontal="general" vertical="bottom"/>
    </ndxf>
  </rcc>
  <rcc rId="2860" sId="1" odxf="1" dxf="1">
    <nc r="D224">
      <f>RIGHT(B224,1)</f>
    </nc>
    <odxf>
      <alignment horizontal="left" vertical="top"/>
    </odxf>
    <ndxf>
      <alignment horizontal="general" vertical="bottom"/>
    </ndxf>
  </rcc>
  <rcc rId="2861" sId="1" odxf="1" dxf="1">
    <nc r="D225">
      <f>RIGHT(B225,1)</f>
    </nc>
    <odxf>
      <alignment horizontal="left" vertical="top"/>
    </odxf>
    <ndxf>
      <alignment horizontal="general" vertical="bottom"/>
    </ndxf>
  </rcc>
  <rcc rId="2862" sId="1" odxf="1" dxf="1">
    <nc r="D226">
      <f>RIGHT(B226,1)</f>
    </nc>
    <odxf>
      <alignment horizontal="left" vertical="top"/>
    </odxf>
    <ndxf>
      <alignment horizontal="general" vertical="bottom"/>
    </ndxf>
  </rcc>
  <rcc rId="2863" sId="1" odxf="1" dxf="1">
    <nc r="D227">
      <f>RIGHT(B227,1)</f>
    </nc>
    <odxf>
      <alignment horizontal="left" vertical="top"/>
    </odxf>
    <ndxf>
      <alignment horizontal="general" vertical="bottom"/>
    </ndxf>
  </rcc>
  <rcc rId="2864" sId="1" odxf="1" dxf="1">
    <nc r="D228">
      <f>RIGHT(B228,1)</f>
    </nc>
    <odxf>
      <alignment horizontal="left" vertical="top"/>
    </odxf>
    <ndxf>
      <alignment horizontal="general" vertical="bottom"/>
    </ndxf>
  </rcc>
  <rcc rId="2865" sId="1" odxf="1" dxf="1">
    <nc r="D229">
      <f>RIGHT(B229,1)</f>
    </nc>
    <odxf>
      <alignment horizontal="left" vertical="top"/>
    </odxf>
    <ndxf>
      <alignment horizontal="general" vertical="bottom"/>
    </ndxf>
  </rcc>
  <rcc rId="2866" sId="1" odxf="1" dxf="1">
    <nc r="D230">
      <f>RIGHT(B230,1)</f>
    </nc>
    <odxf>
      <alignment horizontal="left" vertical="top"/>
    </odxf>
    <ndxf>
      <alignment horizontal="general" vertical="bottom"/>
    </ndxf>
  </rcc>
  <rcc rId="2867" sId="1" odxf="1" dxf="1">
    <nc r="D231">
      <f>RIGHT(B231,1)</f>
    </nc>
    <odxf>
      <alignment horizontal="left" vertical="top"/>
    </odxf>
    <ndxf>
      <alignment horizontal="general" vertical="bottom"/>
    </ndxf>
  </rcc>
  <rcc rId="2868" sId="1" odxf="1" dxf="1">
    <nc r="D232">
      <f>RIGHT(B232,1)</f>
    </nc>
    <odxf>
      <alignment horizontal="left" vertical="top"/>
    </odxf>
    <ndxf>
      <alignment horizontal="general" vertical="bottom"/>
    </ndxf>
  </rcc>
  <rcc rId="2869" sId="1" odxf="1" dxf="1">
    <nc r="D233">
      <f>RIGHT(B233,1)</f>
    </nc>
    <odxf>
      <alignment horizontal="left" vertical="top"/>
    </odxf>
    <ndxf>
      <alignment horizontal="general" vertical="bottom"/>
    </ndxf>
  </rcc>
  <rcc rId="2870" sId="1" odxf="1" dxf="1">
    <nc r="D234">
      <f>RIGHT(B234,1)</f>
    </nc>
    <odxf>
      <alignment horizontal="left" vertical="top"/>
    </odxf>
    <ndxf>
      <alignment horizontal="general" vertical="bottom"/>
    </ndxf>
  </rcc>
  <rcc rId="2871" sId="1" odxf="1" dxf="1">
    <nc r="D235">
      <f>RIGHT(B235,1)</f>
    </nc>
    <odxf>
      <alignment horizontal="left" vertical="top"/>
    </odxf>
    <ndxf>
      <alignment horizontal="general" vertical="bottom"/>
    </ndxf>
  </rcc>
  <rcc rId="2872" sId="1" odxf="1" dxf="1">
    <nc r="D236">
      <f>RIGHT(B236,1)</f>
    </nc>
    <odxf>
      <alignment horizontal="left" vertical="top"/>
    </odxf>
    <ndxf>
      <alignment horizontal="general" vertical="bottom"/>
    </ndxf>
  </rcc>
  <rcc rId="2873" sId="1" odxf="1" dxf="1">
    <nc r="D237">
      <f>RIGHT(B237,1)</f>
    </nc>
    <odxf>
      <alignment horizontal="left" vertical="top"/>
    </odxf>
    <ndxf>
      <alignment horizontal="general" vertical="bottom"/>
    </ndxf>
  </rcc>
  <rcc rId="2874" sId="1" odxf="1" dxf="1">
    <nc r="D238">
      <f>RIGHT(B238,1)</f>
    </nc>
    <odxf>
      <alignment horizontal="left" vertical="top"/>
    </odxf>
    <ndxf>
      <alignment horizontal="general" vertical="bottom"/>
    </ndxf>
  </rcc>
  <rcc rId="2875" sId="1" odxf="1" dxf="1">
    <nc r="D239">
      <f>RIGHT(B239,1)</f>
    </nc>
    <odxf>
      <alignment horizontal="left" vertical="top"/>
    </odxf>
    <ndxf>
      <alignment horizontal="general" vertical="bottom"/>
    </ndxf>
  </rcc>
  <rcc rId="2876" sId="1" odxf="1" dxf="1">
    <nc r="D240">
      <f>RIGHT(B240,1)</f>
    </nc>
    <odxf>
      <alignment horizontal="left" vertical="top"/>
    </odxf>
    <ndxf>
      <alignment horizontal="general" vertical="bottom"/>
    </ndxf>
  </rcc>
  <rcc rId="2877" sId="1" odxf="1" dxf="1">
    <nc r="D241">
      <f>RIGHT(B241,1)</f>
    </nc>
    <odxf>
      <alignment horizontal="left" vertical="top"/>
    </odxf>
    <ndxf>
      <alignment horizontal="general" vertical="bottom"/>
    </ndxf>
  </rcc>
  <rcc rId="2878" sId="1" odxf="1" dxf="1">
    <nc r="D242">
      <f>RIGHT(B242,1)</f>
    </nc>
    <odxf>
      <alignment horizontal="left" vertical="top"/>
    </odxf>
    <ndxf>
      <alignment horizontal="general" vertical="bottom"/>
    </ndxf>
  </rcc>
  <rcc rId="2879" sId="1" odxf="1" dxf="1">
    <nc r="D243">
      <f>RIGHT(B243,1)</f>
    </nc>
    <odxf>
      <alignment horizontal="left" vertical="top"/>
    </odxf>
    <ndxf>
      <alignment horizontal="general" vertical="bottom"/>
    </ndxf>
  </rcc>
  <rcc rId="2880" sId="1" odxf="1" dxf="1">
    <nc r="D244">
      <f>RIGHT(B244,1)</f>
    </nc>
    <odxf>
      <alignment horizontal="left" vertical="top"/>
    </odxf>
    <ndxf>
      <alignment horizontal="general" vertical="bottom"/>
    </ndxf>
  </rcc>
  <rcc rId="2881" sId="1" odxf="1" dxf="1">
    <nc r="D245">
      <f>RIGHT(B245,1)</f>
    </nc>
    <odxf>
      <alignment horizontal="left" vertical="top"/>
    </odxf>
    <ndxf>
      <alignment horizontal="general" vertical="bottom"/>
    </ndxf>
  </rcc>
  <rcc rId="2882" sId="1" odxf="1" dxf="1">
    <nc r="D246">
      <f>RIGHT(B246,1)</f>
    </nc>
    <odxf>
      <alignment horizontal="left" vertical="top"/>
    </odxf>
    <ndxf>
      <alignment horizontal="general" vertical="bottom"/>
    </ndxf>
  </rcc>
  <rcc rId="2883" sId="1" odxf="1" dxf="1">
    <nc r="D247">
      <f>RIGHT(B247,1)</f>
    </nc>
    <odxf>
      <alignment horizontal="left" vertical="top"/>
    </odxf>
    <ndxf>
      <alignment horizontal="general" vertical="bottom"/>
    </ndxf>
  </rcc>
  <rcc rId="2884" sId="1" odxf="1" dxf="1">
    <nc r="D248">
      <f>RIGHT(B248,1)</f>
    </nc>
    <odxf>
      <alignment horizontal="left" vertical="top"/>
    </odxf>
    <ndxf>
      <alignment horizontal="general" vertical="bottom"/>
    </ndxf>
  </rcc>
  <rcc rId="2885" sId="1" odxf="1" dxf="1">
    <nc r="D249">
      <f>RIGHT(B249,1)</f>
    </nc>
    <odxf>
      <alignment horizontal="left" vertical="top"/>
    </odxf>
    <ndxf>
      <alignment horizontal="general" vertical="bottom"/>
    </ndxf>
  </rcc>
  <rcc rId="2886" sId="1" odxf="1" dxf="1">
    <nc r="D250">
      <f>RIGHT(B250,1)</f>
    </nc>
    <odxf>
      <alignment horizontal="left" vertical="top"/>
    </odxf>
    <ndxf>
      <alignment horizontal="general" vertical="bottom"/>
    </ndxf>
  </rcc>
  <rcc rId="2887" sId="1" odxf="1" dxf="1">
    <nc r="D251">
      <f>RIGHT(B251,1)</f>
    </nc>
    <odxf>
      <alignment horizontal="left" vertical="top"/>
    </odxf>
    <ndxf>
      <alignment horizontal="general" vertical="bottom"/>
    </ndxf>
  </rcc>
  <rcc rId="2888" sId="1" odxf="1" dxf="1">
    <nc r="D252">
      <f>RIGHT(B252,1)</f>
    </nc>
    <odxf>
      <alignment horizontal="left" vertical="top"/>
    </odxf>
    <ndxf>
      <alignment horizontal="general" vertical="bottom"/>
    </ndxf>
  </rcc>
  <rcc rId="2889" sId="1" odxf="1" dxf="1">
    <nc r="D253">
      <f>RIGHT(B253,1)</f>
    </nc>
    <odxf>
      <alignment horizontal="left" vertical="top"/>
    </odxf>
    <ndxf>
      <alignment horizontal="general" vertical="bottom"/>
    </ndxf>
  </rcc>
  <rcc rId="2890" sId="1" odxf="1" dxf="1">
    <nc r="D254">
      <f>RIGHT(B254,1)</f>
    </nc>
    <odxf>
      <alignment horizontal="left" vertical="top"/>
    </odxf>
    <ndxf>
      <alignment horizontal="general" vertical="bottom"/>
    </ndxf>
  </rcc>
  <rcc rId="2891" sId="1" odxf="1" dxf="1">
    <nc r="D255">
      <f>RIGHT(B255,1)</f>
    </nc>
    <odxf>
      <alignment horizontal="left" vertical="top"/>
    </odxf>
    <ndxf>
      <alignment horizontal="general" vertical="bottom"/>
    </ndxf>
  </rcc>
  <rcc rId="2892" sId="1" odxf="1" dxf="1">
    <nc r="D256">
      <f>RIGHT(B256,1)</f>
    </nc>
    <odxf>
      <alignment horizontal="left" vertical="top"/>
    </odxf>
    <ndxf>
      <alignment horizontal="general" vertical="bottom"/>
    </ndxf>
  </rcc>
  <rcc rId="2893" sId="1" odxf="1" dxf="1">
    <nc r="D257">
      <f>RIGHT(B257,1)</f>
    </nc>
    <odxf>
      <alignment horizontal="left" vertical="top"/>
    </odxf>
    <ndxf>
      <alignment horizontal="general" vertical="bottom"/>
    </ndxf>
  </rcc>
  <rcc rId="2894" sId="1" odxf="1" dxf="1">
    <nc r="D258">
      <f>RIGHT(B258,1)</f>
    </nc>
    <odxf>
      <alignment horizontal="left" vertical="top"/>
    </odxf>
    <ndxf>
      <alignment horizontal="general" vertical="bottom"/>
    </ndxf>
  </rcc>
  <rcc rId="2895" sId="1" odxf="1" dxf="1">
    <nc r="D259">
      <f>RIGHT(B259,1)</f>
    </nc>
    <odxf>
      <alignment horizontal="left" vertical="top"/>
    </odxf>
    <ndxf>
      <alignment horizontal="general" vertical="bottom"/>
    </ndxf>
  </rcc>
  <rcc rId="2896" sId="1" odxf="1" dxf="1">
    <nc r="D260">
      <f>RIGHT(B260,1)</f>
    </nc>
    <odxf>
      <alignment horizontal="left" vertical="top"/>
    </odxf>
    <ndxf>
      <alignment horizontal="general" vertical="bottom"/>
    </ndxf>
  </rcc>
  <rcc rId="2897" sId="1" odxf="1" dxf="1">
    <nc r="D261">
      <f>RIGHT(B261,1)</f>
    </nc>
    <odxf>
      <alignment horizontal="left" vertical="top"/>
    </odxf>
    <ndxf>
      <alignment horizontal="general" vertical="bottom"/>
    </ndxf>
  </rcc>
  <rcc rId="2898" sId="1" odxf="1" dxf="1">
    <nc r="D262">
      <f>RIGHT(B262,1)</f>
    </nc>
    <odxf>
      <alignment horizontal="left" vertical="top"/>
    </odxf>
    <ndxf>
      <alignment horizontal="general" vertical="bottom"/>
    </ndxf>
  </rcc>
  <rcc rId="2899" sId="1" odxf="1" dxf="1">
    <nc r="D263">
      <f>RIGHT(B263,1)</f>
    </nc>
    <odxf>
      <alignment horizontal="left" vertical="top"/>
    </odxf>
    <ndxf>
      <alignment horizontal="general" vertical="bottom"/>
    </ndxf>
  </rcc>
  <rcc rId="2900" sId="1" odxf="1" dxf="1">
    <nc r="D264">
      <f>RIGHT(B264,1)</f>
    </nc>
    <odxf>
      <alignment horizontal="left" vertical="top"/>
    </odxf>
    <ndxf>
      <alignment horizontal="general" vertical="bottom"/>
    </ndxf>
  </rcc>
  <rcc rId="2901" sId="1" odxf="1" dxf="1">
    <nc r="D265">
      <f>RIGHT(B265,1)</f>
    </nc>
    <odxf>
      <alignment horizontal="left" vertical="top"/>
    </odxf>
    <ndxf>
      <alignment horizontal="general" vertical="bottom"/>
    </ndxf>
  </rcc>
  <rcc rId="2902" sId="1" odxf="1" dxf="1">
    <nc r="D266">
      <f>RIGHT(B266,1)</f>
    </nc>
    <odxf>
      <alignment horizontal="left" vertical="top"/>
    </odxf>
    <ndxf>
      <alignment horizontal="general" vertical="bottom"/>
    </ndxf>
  </rcc>
  <rcc rId="2903" sId="1" odxf="1" dxf="1">
    <nc r="D267">
      <f>RIGHT(B267,1)</f>
    </nc>
    <odxf>
      <alignment horizontal="left" vertical="top"/>
    </odxf>
    <ndxf>
      <alignment horizontal="general" vertical="bottom"/>
    </ndxf>
  </rcc>
  <rcc rId="2904" sId="1" odxf="1" dxf="1">
    <nc r="D268">
      <f>RIGHT(B268,1)</f>
    </nc>
    <odxf>
      <alignment horizontal="left" vertical="top"/>
    </odxf>
    <ndxf>
      <alignment horizontal="general" vertical="bottom"/>
    </ndxf>
  </rcc>
  <rcc rId="2905" sId="1" odxf="1" dxf="1">
    <nc r="D269">
      <f>RIGHT(B269,1)</f>
    </nc>
    <odxf>
      <alignment horizontal="left" vertical="top"/>
    </odxf>
    <ndxf>
      <alignment horizontal="general" vertical="bottom"/>
    </ndxf>
  </rcc>
  <rcc rId="2906" sId="1" odxf="1" dxf="1">
    <nc r="D270">
      <f>RIGHT(B270,1)</f>
    </nc>
    <odxf>
      <alignment horizontal="left" vertical="top"/>
    </odxf>
    <ndxf>
      <alignment horizontal="general" vertical="bottom"/>
    </ndxf>
  </rcc>
  <rcc rId="2907" sId="1" odxf="1" dxf="1">
    <nc r="D271">
      <f>RIGHT(B271,1)</f>
    </nc>
    <odxf>
      <alignment horizontal="left" vertical="top"/>
    </odxf>
    <ndxf>
      <alignment horizontal="general" vertical="bottom"/>
    </ndxf>
  </rcc>
  <rcc rId="2908" sId="1" odxf="1" dxf="1">
    <nc r="D272">
      <f>RIGHT(B272,1)</f>
    </nc>
    <odxf>
      <alignment horizontal="left" vertical="top"/>
    </odxf>
    <ndxf>
      <alignment horizontal="general" vertical="bottom"/>
    </ndxf>
  </rcc>
  <rcc rId="2909" sId="1" odxf="1" dxf="1">
    <nc r="D273">
      <f>RIGHT(B273,1)</f>
    </nc>
    <odxf>
      <alignment horizontal="left" vertical="top"/>
    </odxf>
    <ndxf>
      <alignment horizontal="general" vertical="bottom"/>
    </ndxf>
  </rcc>
  <rcc rId="2910" sId="1" odxf="1" dxf="1">
    <nc r="D274">
      <f>RIGHT(B274,1)</f>
    </nc>
    <odxf>
      <alignment horizontal="left" vertical="top"/>
    </odxf>
    <ndxf>
      <alignment horizontal="general" vertical="bottom"/>
    </ndxf>
  </rcc>
  <rcc rId="2911" sId="1" odxf="1" dxf="1">
    <nc r="D275">
      <f>RIGHT(B275,1)</f>
    </nc>
    <odxf>
      <alignment horizontal="left" vertical="top"/>
    </odxf>
    <ndxf>
      <alignment horizontal="general" vertical="bottom"/>
    </ndxf>
  </rcc>
  <rcc rId="2912" sId="1" odxf="1" dxf="1">
    <nc r="D276">
      <f>RIGHT(B276,1)</f>
    </nc>
    <odxf>
      <alignment horizontal="left" vertical="top"/>
    </odxf>
    <ndxf>
      <alignment horizontal="general" vertical="bottom"/>
    </ndxf>
  </rcc>
  <rcc rId="2913" sId="1" odxf="1" dxf="1">
    <nc r="D277">
      <f>RIGHT(B277,1)</f>
    </nc>
    <odxf>
      <alignment horizontal="left" vertical="top"/>
    </odxf>
    <ndxf>
      <alignment horizontal="general" vertical="bottom"/>
    </ndxf>
  </rcc>
  <rcc rId="2914" sId="1" odxf="1" dxf="1">
    <nc r="D278">
      <f>RIGHT(B278,1)</f>
    </nc>
    <odxf>
      <alignment horizontal="left" vertical="top"/>
    </odxf>
    <ndxf>
      <alignment horizontal="general" vertical="bottom"/>
    </ndxf>
  </rcc>
  <rcc rId="2915" sId="1" odxf="1" dxf="1">
    <nc r="D279">
      <f>RIGHT(B279,1)</f>
    </nc>
    <odxf>
      <alignment horizontal="left" vertical="top"/>
    </odxf>
    <ndxf>
      <alignment horizontal="general" vertical="bottom"/>
    </ndxf>
  </rcc>
  <rcc rId="2916" sId="1" odxf="1" dxf="1">
    <nc r="D280">
      <f>RIGHT(B280,1)</f>
    </nc>
    <odxf>
      <alignment horizontal="left" vertical="top"/>
    </odxf>
    <ndxf>
      <alignment horizontal="general" vertical="bottom"/>
    </ndxf>
  </rcc>
  <rcc rId="2917" sId="1" odxf="1" dxf="1">
    <nc r="D281">
      <f>RIGHT(B281,1)</f>
    </nc>
    <odxf>
      <alignment horizontal="left" vertical="top"/>
    </odxf>
    <ndxf>
      <alignment horizontal="general" vertical="bottom"/>
    </ndxf>
  </rcc>
  <rcc rId="2918" sId="1" odxf="1" dxf="1">
    <nc r="D282">
      <f>RIGHT(B282,1)</f>
    </nc>
    <odxf>
      <alignment horizontal="left" vertical="top"/>
    </odxf>
    <ndxf>
      <alignment horizontal="general" vertical="bottom"/>
    </ndxf>
  </rcc>
  <rcc rId="2919" sId="1" odxf="1" dxf="1">
    <nc r="D283">
      <f>RIGHT(B283,1)</f>
    </nc>
    <odxf>
      <alignment horizontal="left" vertical="top"/>
    </odxf>
    <ndxf>
      <alignment horizontal="general" vertical="bottom"/>
    </ndxf>
  </rcc>
  <rcc rId="2920" sId="1" odxf="1" dxf="1">
    <nc r="D284">
      <f>RIGHT(B284,1)</f>
    </nc>
    <odxf>
      <alignment horizontal="left" vertical="top"/>
    </odxf>
    <ndxf>
      <alignment horizontal="general" vertical="bottom"/>
    </ndxf>
  </rcc>
  <rcc rId="2921" sId="1" odxf="1" dxf="1">
    <nc r="D285">
      <f>RIGHT(B285,1)</f>
    </nc>
    <odxf>
      <alignment horizontal="left" vertical="top"/>
    </odxf>
    <ndxf>
      <alignment horizontal="general" vertical="bottom"/>
    </ndxf>
  </rcc>
  <rcc rId="2922" sId="1" odxf="1" dxf="1">
    <nc r="D286">
      <f>RIGHT(B286,1)</f>
    </nc>
    <odxf>
      <alignment horizontal="left" vertical="top"/>
    </odxf>
    <ndxf>
      <alignment horizontal="general" vertical="bottom"/>
    </ndxf>
  </rcc>
  <rcc rId="2923" sId="1" odxf="1" dxf="1">
    <nc r="D287">
      <f>RIGHT(B287,1)</f>
    </nc>
    <odxf>
      <alignment horizontal="left" vertical="top"/>
    </odxf>
    <ndxf>
      <alignment horizontal="general" vertical="bottom"/>
    </ndxf>
  </rcc>
  <rcc rId="2924" sId="1" odxf="1" dxf="1">
    <nc r="D288">
      <f>RIGHT(B288,1)</f>
    </nc>
    <odxf>
      <alignment horizontal="left" vertical="top"/>
    </odxf>
    <ndxf>
      <alignment horizontal="general" vertical="bottom"/>
    </ndxf>
  </rcc>
  <rcc rId="2925" sId="1" odxf="1" dxf="1">
    <nc r="D289">
      <f>RIGHT(B289,1)</f>
    </nc>
    <odxf>
      <alignment horizontal="left" vertical="top"/>
    </odxf>
    <ndxf>
      <alignment horizontal="general" vertical="bottom"/>
    </ndxf>
  </rcc>
  <rcc rId="2926" sId="1" odxf="1" dxf="1">
    <nc r="D290">
      <f>RIGHT(B290,1)</f>
    </nc>
    <odxf>
      <alignment horizontal="left" vertical="top"/>
    </odxf>
    <ndxf>
      <alignment horizontal="general" vertical="bottom"/>
    </ndxf>
  </rcc>
  <rcc rId="2927" sId="1" odxf="1" dxf="1">
    <nc r="D291">
      <f>RIGHT(B291,1)</f>
    </nc>
    <odxf>
      <alignment horizontal="left" vertical="top"/>
    </odxf>
    <ndxf>
      <alignment horizontal="general" vertical="bottom"/>
    </ndxf>
  </rcc>
  <rcc rId="2928" sId="1" odxf="1" dxf="1">
    <nc r="D292">
      <f>RIGHT(B292,1)</f>
    </nc>
    <odxf>
      <alignment horizontal="left" vertical="top"/>
    </odxf>
    <ndxf>
      <alignment horizontal="general" vertical="bottom"/>
    </ndxf>
  </rcc>
  <rcc rId="2929" sId="1" odxf="1" dxf="1">
    <nc r="D293">
      <f>RIGHT(B293,1)</f>
    </nc>
    <odxf>
      <alignment horizontal="left" vertical="top"/>
    </odxf>
    <ndxf>
      <alignment horizontal="general" vertical="bottom"/>
    </ndxf>
  </rcc>
  <rcc rId="2930" sId="1" odxf="1" dxf="1">
    <nc r="D294">
      <f>RIGHT(B294,1)</f>
    </nc>
    <odxf>
      <alignment horizontal="left" vertical="top"/>
    </odxf>
    <ndxf>
      <alignment horizontal="general" vertical="bottom"/>
    </ndxf>
  </rcc>
  <rcc rId="2931" sId="1" odxf="1" dxf="1">
    <nc r="D295">
      <f>RIGHT(B295,1)</f>
    </nc>
    <odxf>
      <alignment horizontal="left" vertical="top"/>
    </odxf>
    <ndxf>
      <alignment horizontal="general" vertical="bottom"/>
    </ndxf>
  </rcc>
  <rcc rId="2932" sId="1" odxf="1" dxf="1">
    <nc r="D296">
      <f>RIGHT(B296,1)</f>
    </nc>
    <odxf>
      <alignment horizontal="left" vertical="top"/>
    </odxf>
    <ndxf>
      <alignment horizontal="general" vertical="bottom"/>
    </ndxf>
  </rcc>
  <rcc rId="2933" sId="1" odxf="1" dxf="1">
    <nc r="D297">
      <f>RIGHT(B297,1)</f>
    </nc>
    <odxf>
      <alignment horizontal="left" vertical="top"/>
    </odxf>
    <ndxf>
      <alignment horizontal="general" vertical="bottom"/>
    </ndxf>
  </rcc>
  <rcc rId="2934" sId="1" odxf="1" dxf="1">
    <nc r="D298">
      <f>RIGHT(B298,1)</f>
    </nc>
    <odxf>
      <alignment horizontal="left" vertical="top"/>
    </odxf>
    <ndxf>
      <alignment horizontal="general" vertical="bottom"/>
    </ndxf>
  </rcc>
  <rcc rId="2935" sId="1" odxf="1" dxf="1">
    <nc r="D299">
      <f>RIGHT(B299,1)</f>
    </nc>
    <odxf>
      <alignment horizontal="left" vertical="top"/>
    </odxf>
    <ndxf>
      <alignment horizontal="general" vertical="bottom"/>
    </ndxf>
  </rcc>
  <rcc rId="2936" sId="1" odxf="1" dxf="1">
    <nc r="D300">
      <f>RIGHT(B300,1)</f>
    </nc>
    <odxf>
      <alignment horizontal="left" vertical="top"/>
    </odxf>
    <ndxf>
      <alignment horizontal="general" vertical="bottom"/>
    </ndxf>
  </rcc>
  <rcc rId="2937" sId="1" odxf="1" dxf="1">
    <nc r="D301">
      <f>RIGHT(B301,1)</f>
    </nc>
    <odxf>
      <alignment horizontal="left" vertical="top"/>
    </odxf>
    <ndxf>
      <alignment horizontal="general" vertical="bottom"/>
    </ndxf>
  </rcc>
  <rcc rId="2938" sId="1" odxf="1" dxf="1">
    <nc r="D302">
      <f>RIGHT(B302,1)</f>
    </nc>
    <odxf>
      <alignment horizontal="left" vertical="top"/>
    </odxf>
    <ndxf>
      <alignment horizontal="general" vertical="bottom"/>
    </ndxf>
  </rcc>
  <rcc rId="2939" sId="1" odxf="1" dxf="1">
    <nc r="D303">
      <f>RIGHT(B303,1)</f>
    </nc>
    <odxf>
      <alignment horizontal="left" vertical="top"/>
    </odxf>
    <ndxf>
      <alignment horizontal="general" vertical="bottom"/>
    </ndxf>
  </rcc>
  <rcc rId="2940" sId="1" odxf="1" dxf="1">
    <nc r="D304">
      <f>RIGHT(B304,1)</f>
    </nc>
    <odxf>
      <alignment horizontal="left" vertical="top"/>
    </odxf>
    <ndxf>
      <alignment horizontal="general" vertical="bottom"/>
    </ndxf>
  </rcc>
  <rcc rId="2941" sId="1" odxf="1" dxf="1">
    <nc r="D305">
      <f>RIGHT(B305,1)</f>
    </nc>
    <odxf>
      <alignment horizontal="left" vertical="top"/>
    </odxf>
    <ndxf>
      <alignment horizontal="general" vertical="bottom"/>
    </ndxf>
  </rcc>
  <rcc rId="2942" sId="1" odxf="1" dxf="1">
    <nc r="D306">
      <f>RIGHT(B306,1)</f>
    </nc>
    <odxf>
      <alignment horizontal="left" vertical="top"/>
    </odxf>
    <ndxf>
      <alignment horizontal="general" vertical="bottom"/>
    </ndxf>
  </rcc>
  <rcc rId="2943" sId="1" odxf="1" dxf="1">
    <nc r="D307">
      <f>RIGHT(B307,1)</f>
    </nc>
    <odxf>
      <alignment horizontal="left" vertical="top"/>
    </odxf>
    <ndxf>
      <alignment horizontal="general" vertical="bottom"/>
    </ndxf>
  </rcc>
  <rcc rId="2944" sId="1" odxf="1" dxf="1">
    <nc r="D308">
      <f>RIGHT(B308,1)</f>
    </nc>
    <odxf>
      <alignment horizontal="left" vertical="top"/>
    </odxf>
    <ndxf>
      <alignment horizontal="general" vertical="bottom"/>
    </ndxf>
  </rcc>
  <rcc rId="2945" sId="1" odxf="1" dxf="1">
    <nc r="D309">
      <f>RIGHT(B309,1)</f>
    </nc>
    <odxf>
      <alignment horizontal="left" vertical="top"/>
    </odxf>
    <ndxf>
      <alignment horizontal="general" vertical="bottom"/>
    </ndxf>
  </rcc>
  <rcc rId="2946" sId="1" odxf="1" dxf="1">
    <nc r="D310">
      <f>RIGHT(B310,1)</f>
    </nc>
    <odxf>
      <alignment horizontal="left" vertical="top"/>
    </odxf>
    <ndxf>
      <alignment horizontal="general" vertical="bottom"/>
    </ndxf>
  </rcc>
  <rcc rId="2947" sId="1" odxf="1" dxf="1">
    <nc r="D311">
      <f>RIGHT(B311,1)</f>
    </nc>
    <odxf>
      <alignment horizontal="left" vertical="top"/>
    </odxf>
    <ndxf>
      <alignment horizontal="general" vertical="bottom"/>
    </ndxf>
  </rcc>
  <rcc rId="2948" sId="1" odxf="1" dxf="1">
    <nc r="D312">
      <f>RIGHT(B312,1)</f>
    </nc>
    <odxf>
      <alignment horizontal="left" vertical="top"/>
    </odxf>
    <ndxf>
      <alignment horizontal="general" vertical="bottom"/>
    </ndxf>
  </rcc>
  <rcc rId="2949" sId="1" odxf="1" dxf="1">
    <nc r="D313">
      <f>RIGHT(B313,1)</f>
    </nc>
    <odxf>
      <alignment horizontal="left" vertical="top"/>
    </odxf>
    <ndxf>
      <alignment horizontal="general" vertical="bottom"/>
    </ndxf>
  </rcc>
  <rcc rId="2950" sId="1" odxf="1" dxf="1">
    <nc r="D314">
      <f>RIGHT(B314,1)</f>
    </nc>
    <odxf>
      <alignment horizontal="left" vertical="top"/>
    </odxf>
    <ndxf>
      <alignment horizontal="general" vertical="bottom"/>
    </ndxf>
  </rcc>
  <rcc rId="2951" sId="1" odxf="1" dxf="1">
    <nc r="D315">
      <f>RIGHT(B315,1)</f>
    </nc>
    <odxf>
      <alignment horizontal="left" vertical="top"/>
    </odxf>
    <ndxf>
      <alignment horizontal="general" vertical="bottom"/>
    </ndxf>
  </rcc>
  <rcc rId="2952" sId="1" odxf="1" dxf="1">
    <nc r="D316">
      <f>RIGHT(B316,1)</f>
    </nc>
    <odxf>
      <alignment horizontal="left" vertical="top"/>
    </odxf>
    <ndxf>
      <alignment horizontal="general" vertical="bottom"/>
    </ndxf>
  </rcc>
  <rcc rId="2953" sId="1" odxf="1" dxf="1">
    <nc r="D317">
      <f>RIGHT(B317,1)</f>
    </nc>
    <odxf>
      <alignment horizontal="left" vertical="top"/>
    </odxf>
    <ndxf>
      <alignment horizontal="general" vertical="bottom"/>
    </ndxf>
  </rcc>
  <rcc rId="2954" sId="1" odxf="1" dxf="1">
    <nc r="D318">
      <f>RIGHT(B318,1)</f>
    </nc>
    <odxf>
      <alignment horizontal="left" vertical="top"/>
    </odxf>
    <ndxf>
      <alignment horizontal="general" vertical="bottom"/>
    </ndxf>
  </rcc>
  <rcc rId="2955" sId="1" odxf="1" dxf="1">
    <nc r="D319">
      <f>RIGHT(B319,1)</f>
    </nc>
    <odxf>
      <alignment horizontal="left" vertical="top"/>
    </odxf>
    <ndxf>
      <alignment horizontal="general" vertical="bottom"/>
    </ndxf>
  </rcc>
  <rcc rId="2956" sId="1" odxf="1" dxf="1">
    <nc r="D320">
      <f>RIGHT(B320,1)</f>
    </nc>
    <odxf>
      <alignment horizontal="left" vertical="top"/>
    </odxf>
    <ndxf>
      <alignment horizontal="general" vertical="bottom"/>
    </ndxf>
  </rcc>
  <rcc rId="2957" sId="1" odxf="1" dxf="1">
    <nc r="D321">
      <f>RIGHT(B321,1)</f>
    </nc>
    <odxf>
      <alignment horizontal="left" vertical="top"/>
    </odxf>
    <ndxf>
      <alignment horizontal="general" vertical="bottom"/>
    </ndxf>
  </rcc>
  <rcc rId="2958" sId="1" odxf="1" dxf="1">
    <nc r="D322">
      <f>RIGHT(B322,1)</f>
    </nc>
    <odxf>
      <alignment horizontal="left" vertical="top"/>
    </odxf>
    <ndxf>
      <alignment horizontal="general" vertical="bottom"/>
    </ndxf>
  </rcc>
  <rcc rId="2959" sId="1" odxf="1" dxf="1">
    <nc r="D323">
      <f>RIGHT(B323,1)</f>
    </nc>
    <odxf>
      <alignment horizontal="left" vertical="top"/>
    </odxf>
    <ndxf>
      <alignment horizontal="general" vertical="bottom"/>
    </ndxf>
  </rcc>
  <rcc rId="2960" sId="1" odxf="1" dxf="1">
    <nc r="D324">
      <f>RIGHT(B324,1)</f>
    </nc>
    <odxf>
      <alignment horizontal="left" vertical="top"/>
    </odxf>
    <ndxf>
      <alignment horizontal="general" vertical="bottom"/>
    </ndxf>
  </rcc>
  <rcc rId="2961" sId="1" odxf="1" dxf="1">
    <nc r="D325">
      <f>RIGHT(B325,1)</f>
    </nc>
    <odxf>
      <alignment horizontal="left" vertical="top"/>
    </odxf>
    <ndxf>
      <alignment horizontal="general" vertical="bottom"/>
    </ndxf>
  </rcc>
  <rcc rId="2962" sId="1" odxf="1" dxf="1">
    <nc r="D326">
      <f>RIGHT(B326,1)</f>
    </nc>
    <odxf>
      <alignment horizontal="left" vertical="top"/>
    </odxf>
    <ndxf>
      <alignment horizontal="general" vertical="bottom"/>
    </ndxf>
  </rcc>
  <rcc rId="2963" sId="1" odxf="1" dxf="1">
    <nc r="D327">
      <f>RIGHT(B327,1)</f>
    </nc>
    <odxf>
      <alignment horizontal="left" vertical="top"/>
    </odxf>
    <ndxf>
      <alignment horizontal="general" vertical="bottom"/>
    </ndxf>
  </rcc>
  <rcc rId="2964" sId="1" odxf="1" dxf="1">
    <nc r="D328">
      <f>RIGHT(B328,1)</f>
    </nc>
    <odxf>
      <alignment horizontal="left" vertical="top"/>
    </odxf>
    <ndxf>
      <alignment horizontal="general" vertical="bottom"/>
    </ndxf>
  </rcc>
  <rcc rId="2965" sId="1" odxf="1" dxf="1">
    <nc r="D329">
      <f>RIGHT(B329,1)</f>
    </nc>
    <odxf>
      <alignment horizontal="left" vertical="top"/>
    </odxf>
    <ndxf>
      <alignment horizontal="general" vertical="bottom"/>
    </ndxf>
  </rcc>
  <rcc rId="2966" sId="1" odxf="1" dxf="1">
    <nc r="D330">
      <f>RIGHT(B330,1)</f>
    </nc>
    <odxf>
      <alignment horizontal="left" vertical="top"/>
    </odxf>
    <ndxf>
      <alignment horizontal="general" vertical="bottom"/>
    </ndxf>
  </rcc>
  <rcc rId="2967" sId="1" odxf="1" dxf="1">
    <nc r="D331">
      <f>RIGHT(B331,1)</f>
    </nc>
    <odxf>
      <alignment horizontal="left" vertical="top"/>
    </odxf>
    <ndxf>
      <alignment horizontal="general" vertical="bottom"/>
    </ndxf>
  </rcc>
  <rcc rId="2968" sId="1" odxf="1" dxf="1">
    <nc r="D332">
      <f>RIGHT(B332,1)</f>
    </nc>
    <odxf>
      <alignment horizontal="left" vertical="top"/>
    </odxf>
    <ndxf>
      <alignment horizontal="general" vertical="bottom"/>
    </ndxf>
  </rcc>
  <rcc rId="2969" sId="1" odxf="1" dxf="1">
    <nc r="D333">
      <f>RIGHT(B333,1)</f>
    </nc>
    <odxf>
      <alignment horizontal="left" vertical="top"/>
    </odxf>
    <ndxf>
      <alignment horizontal="general" vertical="bottom"/>
    </ndxf>
  </rcc>
  <rcc rId="2970" sId="1" odxf="1" dxf="1">
    <nc r="D334">
      <f>RIGHT(B334,1)</f>
    </nc>
    <odxf>
      <alignment horizontal="left" vertical="top"/>
    </odxf>
    <ndxf>
      <alignment horizontal="general" vertical="bottom"/>
    </ndxf>
  </rcc>
  <rcc rId="2971" sId="1" odxf="1" dxf="1">
    <nc r="D335">
      <f>RIGHT(B335,1)</f>
    </nc>
    <odxf>
      <alignment horizontal="left" vertical="top"/>
    </odxf>
    <ndxf>
      <alignment horizontal="general" vertical="bottom"/>
    </ndxf>
  </rcc>
  <rcc rId="2972" sId="1" odxf="1" dxf="1">
    <nc r="D336">
      <f>RIGHT(B336,1)</f>
    </nc>
    <odxf>
      <alignment horizontal="left" vertical="top"/>
    </odxf>
    <ndxf>
      <alignment horizontal="general" vertical="bottom"/>
    </ndxf>
  </rcc>
  <rcc rId="2973" sId="1" odxf="1" dxf="1">
    <nc r="D337">
      <f>RIGHT(B337,1)</f>
    </nc>
    <odxf>
      <alignment horizontal="left" vertical="top"/>
    </odxf>
    <ndxf>
      <alignment horizontal="general" vertical="bottom"/>
    </ndxf>
  </rcc>
  <rcc rId="2974" sId="1" odxf="1" dxf="1">
    <nc r="D338">
      <f>RIGHT(B338,1)</f>
    </nc>
    <odxf>
      <alignment horizontal="left" vertical="top"/>
    </odxf>
    <ndxf>
      <alignment horizontal="general" vertical="bottom"/>
    </ndxf>
  </rcc>
  <rcc rId="2975" sId="1">
    <oc r="D135">
      <f>RIGHT(B135,1)</f>
    </oc>
    <nc r="D135" t="inlineStr">
      <is>
        <t>V</t>
      </is>
    </nc>
  </rcc>
  <rcc rId="2976" sId="1">
    <oc r="D136">
      <f>RIGHT(B136,1)</f>
    </oc>
    <nc r="D136" t="inlineStr">
      <is>
        <t>H</t>
      </is>
    </nc>
  </rcc>
  <rcc rId="2977" sId="1">
    <oc r="D137">
      <f>RIGHT(B137,1)</f>
    </oc>
    <nc r="D137" t="inlineStr">
      <is>
        <t>V</t>
      </is>
    </nc>
  </rcc>
  <rcc rId="2978" sId="1">
    <oc r="D138">
      <f>RIGHT(B138,1)</f>
    </oc>
    <nc r="D138" t="inlineStr">
      <is>
        <t>H</t>
      </is>
    </nc>
  </rcc>
  <rcc rId="2979" sId="1">
    <oc r="D139">
      <f>RIGHT(B139,1)</f>
    </oc>
    <nc r="D139" t="inlineStr">
      <is>
        <t>V</t>
      </is>
    </nc>
  </rcc>
  <rcc rId="2980" sId="1">
    <oc r="D140">
      <f>RIGHT(B140,1)</f>
    </oc>
    <nc r="D140" t="inlineStr">
      <is>
        <t>H</t>
      </is>
    </nc>
  </rcc>
  <rcc rId="2981" sId="1">
    <oc r="D141">
      <f>RIGHT(B141,1)</f>
    </oc>
    <nc r="D141" t="inlineStr">
      <is>
        <t>V</t>
      </is>
    </nc>
  </rcc>
  <rcc rId="2982" sId="1">
    <oc r="D142">
      <f>RIGHT(B142,1)</f>
    </oc>
    <nc r="D142" t="inlineStr">
      <is>
        <t>V</t>
      </is>
    </nc>
  </rcc>
  <rcc rId="2983" sId="1">
    <oc r="D143">
      <f>RIGHT(B143,1)</f>
    </oc>
    <nc r="D143" t="inlineStr">
      <is>
        <t>H</t>
      </is>
    </nc>
  </rcc>
  <rcc rId="2984" sId="1">
    <oc r="D144">
      <f>RIGHT(B144,1)</f>
    </oc>
    <nc r="D144" t="inlineStr">
      <is>
        <t>V</t>
      </is>
    </nc>
  </rcc>
  <rcc rId="2985" sId="1">
    <oc r="D145">
      <f>RIGHT(B145,1)</f>
    </oc>
    <nc r="D145" t="inlineStr">
      <is>
        <t>H</t>
      </is>
    </nc>
  </rcc>
  <rcc rId="2986" sId="1">
    <oc r="D146">
      <f>RIGHT(B146,1)</f>
    </oc>
    <nc r="D146" t="inlineStr">
      <is>
        <t>H</t>
      </is>
    </nc>
  </rcc>
  <rcc rId="2987" sId="1">
    <oc r="D147">
      <f>RIGHT(B147,1)</f>
    </oc>
    <nc r="D147" t="inlineStr">
      <is>
        <t>V</t>
      </is>
    </nc>
  </rcc>
  <rcc rId="2988" sId="1">
    <oc r="D148">
      <f>RIGHT(B148,1)</f>
    </oc>
    <nc r="D148" t="inlineStr">
      <is>
        <t>H</t>
      </is>
    </nc>
  </rcc>
  <rcc rId="2989" sId="1">
    <oc r="D149">
      <f>RIGHT(B149,1)</f>
    </oc>
    <nc r="D149" t="inlineStr">
      <is>
        <t>H</t>
      </is>
    </nc>
  </rcc>
  <rcc rId="2990" sId="1">
    <oc r="D150">
      <f>RIGHT(B150,1)</f>
    </oc>
    <nc r="D150" t="inlineStr">
      <is>
        <t>V</t>
      </is>
    </nc>
  </rcc>
  <rcc rId="2991" sId="1">
    <oc r="D151">
      <f>RIGHT(B151,1)</f>
    </oc>
    <nc r="D151" t="inlineStr">
      <is>
        <t>H</t>
      </is>
    </nc>
  </rcc>
  <rcc rId="2992" sId="1">
    <oc r="D152">
      <f>RIGHT(B152,1)</f>
    </oc>
    <nc r="D152" t="inlineStr">
      <is>
        <t>V</t>
      </is>
    </nc>
  </rcc>
  <rcc rId="2993" sId="1">
    <oc r="D153">
      <f>RIGHT(B153,1)</f>
    </oc>
    <nc r="D153" t="inlineStr">
      <is>
        <t>H</t>
      </is>
    </nc>
  </rcc>
  <rcc rId="2994" sId="1">
    <oc r="D154">
      <f>RIGHT(B154,1)</f>
    </oc>
    <nc r="D154" t="inlineStr">
      <is>
        <t>H</t>
      </is>
    </nc>
  </rcc>
  <rcc rId="2995" sId="1">
    <oc r="D155">
      <f>RIGHT(B155,1)</f>
    </oc>
    <nc r="D155" t="inlineStr">
      <is>
        <t>H</t>
      </is>
    </nc>
  </rcc>
  <rcc rId="2996" sId="1">
    <oc r="D156">
      <f>RIGHT(B156,1)</f>
    </oc>
    <nc r="D156" t="inlineStr">
      <is>
        <t>V</t>
      </is>
    </nc>
  </rcc>
  <rcc rId="2997" sId="1">
    <oc r="D157">
      <f>RIGHT(B157,1)</f>
    </oc>
    <nc r="D157" t="inlineStr">
      <is>
        <t>H</t>
      </is>
    </nc>
  </rcc>
  <rcc rId="2998" sId="1">
    <oc r="D158">
      <f>RIGHT(B158,1)</f>
    </oc>
    <nc r="D158" t="inlineStr">
      <is>
        <t>V</t>
      </is>
    </nc>
  </rcc>
  <rcc rId="2999" sId="1">
    <oc r="D159">
      <f>RIGHT(B159,1)</f>
    </oc>
    <nc r="D159" t="inlineStr">
      <is>
        <t>H</t>
      </is>
    </nc>
  </rcc>
  <rcc rId="3000" sId="1">
    <oc r="D160">
      <f>RIGHT(B160,1)</f>
    </oc>
    <nc r="D160" t="inlineStr">
      <is>
        <t>H</t>
      </is>
    </nc>
  </rcc>
  <rcc rId="3001" sId="1">
    <oc r="D161">
      <f>RIGHT(B161,1)</f>
    </oc>
    <nc r="D161" t="inlineStr">
      <is>
        <t>V</t>
      </is>
    </nc>
  </rcc>
  <rcc rId="3002" sId="1">
    <oc r="D162">
      <f>RIGHT(B162,1)</f>
    </oc>
    <nc r="D162" t="inlineStr">
      <is>
        <t>H</t>
      </is>
    </nc>
  </rcc>
  <rcc rId="3003" sId="1">
    <oc r="D163">
      <f>RIGHT(B163,1)</f>
    </oc>
    <nc r="D163" t="inlineStr">
      <is>
        <t>H</t>
      </is>
    </nc>
  </rcc>
  <rcc rId="3004" sId="1">
    <oc r="D164">
      <f>RIGHT(B164,1)</f>
    </oc>
    <nc r="D164" t="inlineStr">
      <is>
        <t>V</t>
      </is>
    </nc>
  </rcc>
  <rcc rId="3005" sId="1">
    <oc r="D165">
      <f>RIGHT(B165,1)</f>
    </oc>
    <nc r="D165" t="inlineStr">
      <is>
        <t>H</t>
      </is>
    </nc>
  </rcc>
  <rcc rId="3006" sId="1">
    <oc r="D166">
      <f>RIGHT(B166,1)</f>
    </oc>
    <nc r="D166" t="inlineStr">
      <is>
        <t>H</t>
      </is>
    </nc>
  </rcc>
  <rcc rId="3007" sId="1">
    <oc r="D167">
      <f>RIGHT(B167,1)</f>
    </oc>
    <nc r="D167" t="inlineStr">
      <is>
        <t>V</t>
      </is>
    </nc>
  </rcc>
  <rcc rId="3008" sId="1">
    <oc r="D168">
      <f>RIGHT(B168,1)</f>
    </oc>
    <nc r="D168" t="inlineStr">
      <is>
        <t>V</t>
      </is>
    </nc>
  </rcc>
  <rcc rId="3009" sId="1">
    <oc r="D169">
      <f>RIGHT(B169,1)</f>
    </oc>
    <nc r="D169" t="inlineStr">
      <is>
        <t>H</t>
      </is>
    </nc>
  </rcc>
  <rcc rId="3010" sId="1">
    <oc r="D170">
      <f>RIGHT(B170,1)</f>
    </oc>
    <nc r="D170" t="inlineStr">
      <is>
        <t>V</t>
      </is>
    </nc>
  </rcc>
  <rcc rId="3011" sId="1">
    <oc r="D171">
      <f>RIGHT(B171,1)</f>
    </oc>
    <nc r="D171" t="inlineStr">
      <is>
        <t>H</t>
      </is>
    </nc>
  </rcc>
  <rcc rId="3012" sId="1">
    <oc r="D172">
      <f>RIGHT(B172,1)</f>
    </oc>
    <nc r="D172" t="inlineStr">
      <is>
        <t>H</t>
      </is>
    </nc>
  </rcc>
  <rcc rId="3013" sId="1">
    <oc r="D173">
      <f>RIGHT(B173,1)</f>
    </oc>
    <nc r="D173" t="inlineStr">
      <is>
        <t>V</t>
      </is>
    </nc>
  </rcc>
  <rcc rId="3014" sId="1">
    <oc r="D174">
      <f>RIGHT(B174,1)</f>
    </oc>
    <nc r="D174" t="inlineStr">
      <is>
        <t>V</t>
      </is>
    </nc>
  </rcc>
  <rcc rId="3015" sId="1">
    <oc r="D175">
      <f>RIGHT(B175,1)</f>
    </oc>
    <nc r="D175" t="inlineStr">
      <is>
        <t>H</t>
      </is>
    </nc>
  </rcc>
  <rcc rId="3016" sId="1">
    <oc r="D176">
      <f>RIGHT(B176,1)</f>
    </oc>
    <nc r="D176" t="inlineStr">
      <is>
        <t>H</t>
      </is>
    </nc>
  </rcc>
  <rcc rId="3017" sId="1">
    <oc r="D177">
      <f>RIGHT(B177,1)</f>
    </oc>
    <nc r="D177" t="inlineStr">
      <is>
        <t>V</t>
      </is>
    </nc>
  </rcc>
  <rcc rId="3018" sId="1">
    <oc r="D178">
      <f>RIGHT(B178,1)</f>
    </oc>
    <nc r="D178" t="inlineStr">
      <is>
        <t>H</t>
      </is>
    </nc>
  </rcc>
  <rcc rId="3019" sId="1">
    <oc r="D179">
      <f>RIGHT(B179,1)</f>
    </oc>
    <nc r="D179" t="inlineStr">
      <is>
        <t>V</t>
      </is>
    </nc>
  </rcc>
  <rcc rId="3020" sId="1">
    <oc r="D180">
      <f>RIGHT(B180,1)</f>
    </oc>
    <nc r="D180" t="inlineStr">
      <is>
        <t>H</t>
      </is>
    </nc>
  </rcc>
  <rcc rId="3021" sId="1">
    <oc r="D181">
      <f>RIGHT(B181,1)</f>
    </oc>
    <nc r="D181" t="inlineStr">
      <is>
        <t>V</t>
      </is>
    </nc>
  </rcc>
  <rcc rId="3022" sId="1">
    <oc r="D182">
      <f>RIGHT(B182,1)</f>
    </oc>
    <nc r="D182" t="inlineStr">
      <is>
        <t>V</t>
      </is>
    </nc>
  </rcc>
  <rcc rId="3023" sId="1">
    <oc r="D183">
      <f>RIGHT(B183,1)</f>
    </oc>
    <nc r="D183" t="inlineStr">
      <is>
        <t>H</t>
      </is>
    </nc>
  </rcc>
  <rcc rId="3024" sId="1">
    <oc r="D184">
      <f>RIGHT(B184,1)</f>
    </oc>
    <nc r="D184" t="inlineStr">
      <is>
        <t>V</t>
      </is>
    </nc>
  </rcc>
  <rcc rId="3025" sId="1">
    <oc r="D185">
      <f>RIGHT(B185,1)</f>
    </oc>
    <nc r="D185" t="inlineStr">
      <is>
        <t>H</t>
      </is>
    </nc>
  </rcc>
  <rcc rId="3026" sId="1">
    <oc r="D186">
      <f>RIGHT(B186,1)</f>
    </oc>
    <nc r="D186" t="inlineStr">
      <is>
        <t>H</t>
      </is>
    </nc>
  </rcc>
  <rcc rId="3027" sId="1">
    <oc r="D187">
      <f>RIGHT(B187,1)</f>
    </oc>
    <nc r="D187" t="inlineStr">
      <is>
        <t>V</t>
      </is>
    </nc>
  </rcc>
  <rcc rId="3028" sId="1">
    <oc r="D188">
      <f>RIGHT(B188,1)</f>
    </oc>
    <nc r="D188" t="inlineStr">
      <is>
        <t>V</t>
      </is>
    </nc>
  </rcc>
  <rcc rId="3029" sId="1">
    <oc r="D189">
      <f>RIGHT(B189,1)</f>
    </oc>
    <nc r="D189" t="inlineStr">
      <is>
        <t>H</t>
      </is>
    </nc>
  </rcc>
  <rcc rId="3030" sId="1">
    <oc r="D190">
      <f>RIGHT(B190,1)</f>
    </oc>
    <nc r="D190" t="inlineStr">
      <is>
        <t>H</t>
      </is>
    </nc>
  </rcc>
  <rcc rId="3031" sId="1">
    <oc r="D191">
      <f>RIGHT(B191,1)</f>
    </oc>
    <nc r="D191" t="inlineStr">
      <is>
        <t>H</t>
      </is>
    </nc>
  </rcc>
  <rcc rId="3032" sId="1">
    <oc r="D192">
      <f>RIGHT(B192,1)</f>
    </oc>
    <nc r="D192" t="inlineStr">
      <is>
        <t>V</t>
      </is>
    </nc>
  </rcc>
  <rcc rId="3033" sId="1">
    <oc r="D193">
      <f>RIGHT(B193,1)</f>
    </oc>
    <nc r="D193" t="inlineStr">
      <is>
        <t>V</t>
      </is>
    </nc>
  </rcc>
  <rcc rId="3034" sId="1">
    <oc r="D194">
      <f>RIGHT(B194,1)</f>
    </oc>
    <nc r="D194" t="inlineStr">
      <is>
        <t>H</t>
      </is>
    </nc>
  </rcc>
  <rcc rId="3035" sId="1">
    <oc r="D195">
      <f>RIGHT(B195,1)</f>
    </oc>
    <nc r="D195" t="inlineStr">
      <is>
        <t>V</t>
      </is>
    </nc>
  </rcc>
  <rcc rId="3036" sId="1">
    <oc r="D196">
      <f>RIGHT(B196,1)</f>
    </oc>
    <nc r="D196" t="inlineStr">
      <is>
        <t>H</t>
      </is>
    </nc>
  </rcc>
  <rcc rId="3037" sId="1">
    <oc r="D197">
      <f>RIGHT(B197,1)</f>
    </oc>
    <nc r="D197" t="inlineStr">
      <is>
        <t>H</t>
      </is>
    </nc>
  </rcc>
  <rcc rId="3038" sId="1">
    <oc r="D198">
      <f>RIGHT(B198,1)</f>
    </oc>
    <nc r="D198" t="inlineStr">
      <is>
        <t>V</t>
      </is>
    </nc>
  </rcc>
  <rcc rId="3039" sId="1">
    <oc r="D199">
      <f>RIGHT(B199,1)</f>
    </oc>
    <nc r="D199" t="inlineStr">
      <is>
        <t>V</t>
      </is>
    </nc>
  </rcc>
  <rcc rId="3040" sId="1">
    <oc r="D200">
      <f>RIGHT(B200,1)</f>
    </oc>
    <nc r="D200" t="inlineStr">
      <is>
        <t>H</t>
      </is>
    </nc>
  </rcc>
  <rcc rId="3041" sId="1">
    <oc r="D201">
      <f>RIGHT(B201,1)</f>
    </oc>
    <nc r="D201" t="inlineStr">
      <is>
        <t>V</t>
      </is>
    </nc>
  </rcc>
  <rcc rId="3042" sId="1">
    <oc r="D202">
      <f>RIGHT(B202,1)</f>
    </oc>
    <nc r="D202" t="inlineStr">
      <is>
        <t>V</t>
      </is>
    </nc>
  </rcc>
  <rcc rId="3043" sId="1">
    <oc r="D203">
      <f>RIGHT(B203,1)</f>
    </oc>
    <nc r="D203" t="inlineStr">
      <is>
        <t>H</t>
      </is>
    </nc>
  </rcc>
  <rcc rId="3044" sId="1">
    <oc r="D204">
      <f>RIGHT(B204,1)</f>
    </oc>
    <nc r="D204" t="inlineStr">
      <is>
        <t>A</t>
      </is>
    </nc>
  </rcc>
  <rcc rId="3045" sId="1">
    <oc r="D205">
      <f>RIGHT(B205,1)</f>
    </oc>
    <nc r="D205" t="inlineStr">
      <is>
        <t>H</t>
      </is>
    </nc>
  </rcc>
  <rcc rId="3046" sId="1">
    <oc r="D206">
      <f>RIGHT(B206,1)</f>
    </oc>
    <nc r="D206" t="inlineStr">
      <is>
        <t>V</t>
      </is>
    </nc>
  </rcc>
  <rcc rId="3047" sId="1">
    <oc r="D207">
      <f>RIGHT(B207,1)</f>
    </oc>
    <nc r="D207" t="inlineStr">
      <is>
        <t>H</t>
      </is>
    </nc>
  </rcc>
  <rcc rId="3048" sId="1">
    <oc r="D208">
      <f>RIGHT(B208,1)</f>
    </oc>
    <nc r="D208" t="inlineStr">
      <is>
        <t>V</t>
      </is>
    </nc>
  </rcc>
  <rcc rId="3049" sId="1">
    <oc r="D209">
      <f>RIGHT(B209,1)</f>
    </oc>
    <nc r="D209" t="inlineStr">
      <is>
        <t>H</t>
      </is>
    </nc>
  </rcc>
  <rcc rId="3050" sId="1">
    <oc r="D210">
      <f>RIGHT(B210,1)</f>
    </oc>
    <nc r="D210" t="inlineStr">
      <is>
        <t>V</t>
      </is>
    </nc>
  </rcc>
  <rcc rId="3051" sId="1">
    <oc r="D211">
      <f>RIGHT(B211,1)</f>
    </oc>
    <nc r="D211" t="inlineStr">
      <is>
        <t>V</t>
      </is>
    </nc>
  </rcc>
  <rcc rId="3052" sId="1">
    <oc r="D212">
      <f>RIGHT(B212,1)</f>
    </oc>
    <nc r="D212" t="inlineStr">
      <is>
        <t>H</t>
      </is>
    </nc>
  </rcc>
  <rcc rId="3053" sId="1">
    <oc r="D213">
      <f>RIGHT(B213,1)</f>
    </oc>
    <nc r="D213" t="inlineStr">
      <is>
        <t>V</t>
      </is>
    </nc>
  </rcc>
  <rcc rId="3054" sId="1">
    <oc r="D214">
      <f>RIGHT(B214,1)</f>
    </oc>
    <nc r="D214" t="inlineStr">
      <is>
        <t>V</t>
      </is>
    </nc>
  </rcc>
  <rcc rId="3055" sId="1">
    <oc r="D215">
      <f>RIGHT(B215,1)</f>
    </oc>
    <nc r="D215" t="inlineStr">
      <is>
        <t>H</t>
      </is>
    </nc>
  </rcc>
  <rcc rId="3056" sId="1">
    <oc r="D216">
      <f>RIGHT(B216,1)</f>
    </oc>
    <nc r="D216" t="inlineStr">
      <is>
        <t>H</t>
      </is>
    </nc>
  </rcc>
  <rcc rId="3057" sId="1">
    <oc r="D217">
      <f>RIGHT(B217,1)</f>
    </oc>
    <nc r="D217" t="inlineStr">
      <is>
        <t>H</t>
      </is>
    </nc>
  </rcc>
  <rcc rId="3058" sId="1">
    <oc r="D218">
      <f>RIGHT(B218,1)</f>
    </oc>
    <nc r="D218" t="inlineStr">
      <is>
        <t>V</t>
      </is>
    </nc>
  </rcc>
  <rcc rId="3059" sId="1">
    <oc r="D219">
      <f>RIGHT(B219,1)</f>
    </oc>
    <nc r="D219" t="inlineStr">
      <is>
        <t>H</t>
      </is>
    </nc>
  </rcc>
  <rcc rId="3060" sId="1">
    <oc r="D220">
      <f>RIGHT(B220,1)</f>
    </oc>
    <nc r="D220" t="inlineStr">
      <is>
        <t>V</t>
      </is>
    </nc>
  </rcc>
  <rcc rId="3061" sId="1">
    <oc r="D221">
      <f>RIGHT(B221,1)</f>
    </oc>
    <nc r="D221" t="inlineStr">
      <is>
        <t>H</t>
      </is>
    </nc>
  </rcc>
  <rcc rId="3062" sId="1">
    <oc r="D222">
      <f>RIGHT(B222,1)</f>
    </oc>
    <nc r="D222" t="inlineStr">
      <is>
        <t>V</t>
      </is>
    </nc>
  </rcc>
  <rcc rId="3063" sId="1">
    <oc r="D223">
      <f>RIGHT(B223,1)</f>
    </oc>
    <nc r="D223" t="inlineStr">
      <is>
        <t>H</t>
      </is>
    </nc>
  </rcc>
  <rcc rId="3064" sId="1">
    <oc r="D224">
      <f>RIGHT(B224,1)</f>
    </oc>
    <nc r="D224" t="inlineStr">
      <is>
        <t>H</t>
      </is>
    </nc>
  </rcc>
  <rcc rId="3065" sId="1">
    <oc r="D225">
      <f>RIGHT(B225,1)</f>
    </oc>
    <nc r="D225" t="inlineStr">
      <is>
        <t>V</t>
      </is>
    </nc>
  </rcc>
  <rcc rId="3066" sId="1">
    <oc r="D227">
      <f>RIGHT(B227,1)</f>
    </oc>
    <nc r="D227" t="inlineStr">
      <is>
        <t>H</t>
      </is>
    </nc>
  </rcc>
  <rcc rId="3067" sId="1">
    <oc r="D228">
      <f>RIGHT(B228,1)</f>
    </oc>
    <nc r="D228" t="inlineStr">
      <is>
        <t>V</t>
      </is>
    </nc>
  </rcc>
  <rcc rId="3068" sId="1">
    <oc r="D229">
      <f>RIGHT(B229,1)</f>
    </oc>
    <nc r="D229" t="inlineStr">
      <is>
        <t>H</t>
      </is>
    </nc>
  </rcc>
  <rcc rId="3069" sId="1">
    <oc r="D230">
      <f>RIGHT(B230,1)</f>
    </oc>
    <nc r="D230" t="inlineStr">
      <is>
        <t>V</t>
      </is>
    </nc>
  </rcc>
  <rcc rId="3070" sId="1">
    <oc r="D231">
      <f>RIGHT(B231,1)</f>
    </oc>
    <nc r="D231" t="inlineStr">
      <is>
        <t>H</t>
      </is>
    </nc>
  </rcc>
  <rcc rId="3071" sId="1">
    <oc r="D232">
      <f>RIGHT(B232,1)</f>
    </oc>
    <nc r="D232" t="inlineStr">
      <is>
        <t>V</t>
      </is>
    </nc>
  </rcc>
  <rcc rId="3072" sId="1">
    <oc r="D233">
      <f>RIGHT(B233,1)</f>
    </oc>
    <nc r="D233" t="inlineStr">
      <is>
        <t>H</t>
      </is>
    </nc>
  </rcc>
  <rcc rId="3073" sId="1">
    <oc r="D234">
      <f>RIGHT(B234,1)</f>
    </oc>
    <nc r="D234" t="inlineStr">
      <is>
        <t>V</t>
      </is>
    </nc>
  </rcc>
  <rcc rId="3074" sId="1">
    <oc r="D235">
      <f>RIGHT(B235,1)</f>
    </oc>
    <nc r="D235" t="inlineStr">
      <is>
        <t>H</t>
      </is>
    </nc>
  </rcc>
  <rcc rId="3075" sId="1">
    <oc r="D236">
      <f>RIGHT(B236,1)</f>
    </oc>
    <nc r="D236" t="inlineStr">
      <is>
        <t>H</t>
      </is>
    </nc>
  </rcc>
  <rcc rId="3076" sId="1">
    <oc r="D237">
      <f>RIGHT(B237,1)</f>
    </oc>
    <nc r="D237" t="inlineStr">
      <is>
        <t>V</t>
      </is>
    </nc>
  </rcc>
  <rcc rId="3077" sId="1">
    <oc r="D238">
      <f>RIGHT(B238,1)</f>
    </oc>
    <nc r="D238" t="inlineStr">
      <is>
        <t>V</t>
      </is>
    </nc>
  </rcc>
  <rcc rId="3078" sId="1">
    <oc r="D239">
      <f>RIGHT(B239,1)</f>
    </oc>
    <nc r="D239" t="inlineStr">
      <is>
        <t>H</t>
      </is>
    </nc>
  </rcc>
  <rcc rId="3079" sId="1">
    <oc r="D240">
      <f>RIGHT(B240,1)</f>
    </oc>
    <nc r="D240" t="inlineStr">
      <is>
        <t>V</t>
      </is>
    </nc>
  </rcc>
  <rcc rId="3080" sId="1">
    <oc r="D241">
      <f>RIGHT(B241,1)</f>
    </oc>
    <nc r="D241" t="inlineStr">
      <is>
        <t>H</t>
      </is>
    </nc>
  </rcc>
  <rcc rId="3081" sId="1">
    <oc r="D242">
      <f>RIGHT(B242,1)</f>
    </oc>
    <nc r="D242" t="inlineStr">
      <is>
        <t>V</t>
      </is>
    </nc>
  </rcc>
  <rcc rId="3082" sId="1">
    <oc r="D243">
      <f>RIGHT(B243,1)</f>
    </oc>
    <nc r="D243" t="inlineStr">
      <is>
        <t>V</t>
      </is>
    </nc>
  </rcc>
  <rcc rId="3083" sId="1">
    <oc r="D244">
      <f>RIGHT(B244,1)</f>
    </oc>
    <nc r="D244" t="inlineStr">
      <is>
        <t>V</t>
      </is>
    </nc>
  </rcc>
  <rcc rId="3084" sId="1">
    <oc r="D245">
      <f>RIGHT(B245,1)</f>
    </oc>
    <nc r="D245" t="inlineStr">
      <is>
        <t>V</t>
      </is>
    </nc>
  </rcc>
  <rcc rId="3085" sId="1">
    <oc r="D246">
      <f>RIGHT(B246,1)</f>
    </oc>
    <nc r="D246" t="inlineStr">
      <is>
        <t>V</t>
      </is>
    </nc>
  </rcc>
  <rcc rId="3086" sId="1">
    <oc r="D247">
      <f>RIGHT(B247,1)</f>
    </oc>
    <nc r="D247" t="inlineStr">
      <is>
        <t>V</t>
      </is>
    </nc>
  </rcc>
  <rcc rId="3087" sId="1">
    <oc r="D248">
      <f>RIGHT(B248,1)</f>
    </oc>
    <nc r="D248" t="inlineStr">
      <is>
        <t>V</t>
      </is>
    </nc>
  </rcc>
  <rcc rId="3088" sId="1">
    <oc r="D249">
      <f>RIGHT(B249,1)</f>
    </oc>
    <nc r="D249" t="inlineStr">
      <is>
        <t>V</t>
      </is>
    </nc>
  </rcc>
  <rcc rId="3089" sId="1">
    <oc r="D250">
      <f>RIGHT(B250,1)</f>
    </oc>
    <nc r="D250" t="inlineStr">
      <is>
        <t>V</t>
      </is>
    </nc>
  </rcc>
  <rcc rId="3090" sId="1">
    <oc r="D251">
      <f>RIGHT(B251,1)</f>
    </oc>
    <nc r="D251" t="inlineStr">
      <is>
        <t>V</t>
      </is>
    </nc>
  </rcc>
  <rcc rId="3091" sId="1">
    <oc r="D252">
      <f>RIGHT(B252,1)</f>
    </oc>
    <nc r="D252" t="inlineStr">
      <is>
        <t>V</t>
      </is>
    </nc>
  </rcc>
  <rcc rId="3092" sId="1">
    <oc r="D253">
      <f>RIGHT(B253,1)</f>
    </oc>
    <nc r="D253" t="inlineStr">
      <is>
        <t>V</t>
      </is>
    </nc>
  </rcc>
  <rcc rId="3093" sId="1">
    <oc r="D254">
      <f>RIGHT(B254,1)</f>
    </oc>
    <nc r="D254" t="inlineStr">
      <is>
        <t>V</t>
      </is>
    </nc>
  </rcc>
  <rcc rId="3094" sId="1">
    <oc r="D255">
      <f>RIGHT(B255,1)</f>
    </oc>
    <nc r="D255" t="inlineStr">
      <is>
        <t>V</t>
      </is>
    </nc>
  </rcc>
  <rcc rId="3095" sId="1">
    <oc r="D256">
      <f>RIGHT(B256,1)</f>
    </oc>
    <nc r="D256" t="inlineStr">
      <is>
        <t>V</t>
      </is>
    </nc>
  </rcc>
  <rcc rId="3096" sId="1">
    <oc r="D257">
      <f>RIGHT(B257,1)</f>
    </oc>
    <nc r="D257" t="inlineStr">
      <is>
        <t>V</t>
      </is>
    </nc>
  </rcc>
  <rcc rId="3097" sId="1">
    <oc r="D258">
      <f>RIGHT(B258,1)</f>
    </oc>
    <nc r="D258" t="inlineStr">
      <is>
        <t>V</t>
      </is>
    </nc>
  </rcc>
  <rcc rId="3098" sId="1">
    <oc r="D259">
      <f>RIGHT(B259,1)</f>
    </oc>
    <nc r="D259" t="inlineStr">
      <is>
        <t>V</t>
      </is>
    </nc>
  </rcc>
  <rcc rId="3099" sId="1">
    <oc r="D260">
      <f>RIGHT(B260,1)</f>
    </oc>
    <nc r="D260" t="inlineStr">
      <is>
        <t>V</t>
      </is>
    </nc>
  </rcc>
  <rcc rId="3100" sId="1">
    <oc r="D261">
      <f>RIGHT(B261,1)</f>
    </oc>
    <nc r="D261" t="inlineStr">
      <is>
        <t>V</t>
      </is>
    </nc>
  </rcc>
  <rcc rId="3101" sId="1">
    <oc r="D262">
      <f>RIGHT(B262,1)</f>
    </oc>
    <nc r="D262" t="inlineStr">
      <is>
        <t>V</t>
      </is>
    </nc>
  </rcc>
  <rcc rId="3102" sId="1">
    <oc r="D263">
      <f>RIGHT(B263,1)</f>
    </oc>
    <nc r="D263" t="inlineStr">
      <is>
        <t>V</t>
      </is>
    </nc>
  </rcc>
  <rcc rId="3103" sId="1">
    <oc r="D264">
      <f>RIGHT(B264,1)</f>
    </oc>
    <nc r="D264" t="inlineStr">
      <is>
        <t>V</t>
      </is>
    </nc>
  </rcc>
  <rcc rId="3104" sId="1">
    <oc r="D265">
      <f>RIGHT(B265,1)</f>
    </oc>
    <nc r="D265" t="inlineStr">
      <is>
        <t>V</t>
      </is>
    </nc>
  </rcc>
  <rcc rId="3105" sId="1">
    <oc r="D266">
      <f>RIGHT(B266,1)</f>
    </oc>
    <nc r="D266" t="inlineStr">
      <is>
        <t>V</t>
      </is>
    </nc>
  </rcc>
  <rcc rId="3106" sId="1">
    <oc r="D267">
      <f>RIGHT(B267,1)</f>
    </oc>
    <nc r="D267" t="inlineStr">
      <is>
        <t>V</t>
      </is>
    </nc>
  </rcc>
  <rcc rId="3107" sId="1">
    <oc r="D268">
      <f>RIGHT(B268,1)</f>
    </oc>
    <nc r="D268" t="inlineStr">
      <is>
        <t>V</t>
      </is>
    </nc>
  </rcc>
  <rcc rId="3108" sId="1">
    <oc r="D269">
      <f>RIGHT(B269,1)</f>
    </oc>
    <nc r="D269" t="inlineStr">
      <is>
        <t>V</t>
      </is>
    </nc>
  </rcc>
  <rcc rId="3109" sId="1">
    <oc r="D270">
      <f>RIGHT(B270,1)</f>
    </oc>
    <nc r="D270" t="inlineStr">
      <is>
        <t>V</t>
      </is>
    </nc>
  </rcc>
  <rcc rId="3110" sId="1">
    <oc r="D271">
      <f>RIGHT(B271,1)</f>
    </oc>
    <nc r="D271" t="inlineStr">
      <is>
        <t>V</t>
      </is>
    </nc>
  </rcc>
  <rcc rId="3111" sId="1">
    <oc r="D272">
      <f>RIGHT(B272,1)</f>
    </oc>
    <nc r="D272" t="inlineStr">
      <is>
        <t>V</t>
      </is>
    </nc>
  </rcc>
  <rcc rId="3112" sId="1">
    <oc r="D273">
      <f>RIGHT(B273,1)</f>
    </oc>
    <nc r="D273" t="inlineStr">
      <is>
        <t>V</t>
      </is>
    </nc>
  </rcc>
  <rcc rId="3113" sId="1">
    <oc r="D274">
      <f>RIGHT(B274,1)</f>
    </oc>
    <nc r="D274" t="inlineStr">
      <is>
        <t>V</t>
      </is>
    </nc>
  </rcc>
  <rcc rId="3114" sId="1">
    <oc r="D275">
      <f>RIGHT(B275,1)</f>
    </oc>
    <nc r="D275" t="inlineStr">
      <is>
        <t>V</t>
      </is>
    </nc>
  </rcc>
  <rcc rId="3115" sId="1">
    <oc r="D276">
      <f>RIGHT(B276,1)</f>
    </oc>
    <nc r="D276" t="inlineStr">
      <is>
        <t>V</t>
      </is>
    </nc>
  </rcc>
  <rcc rId="3116" sId="1">
    <oc r="D277">
      <f>RIGHT(B277,1)</f>
    </oc>
    <nc r="D277" t="inlineStr">
      <is>
        <t>V</t>
      </is>
    </nc>
  </rcc>
  <rcc rId="3117" sId="1">
    <oc r="D278">
      <f>RIGHT(B278,1)</f>
    </oc>
    <nc r="D278" t="inlineStr">
      <is>
        <t>V</t>
      </is>
    </nc>
  </rcc>
  <rcc rId="3118" sId="1">
    <oc r="D279">
      <f>RIGHT(B279,1)</f>
    </oc>
    <nc r="D279" t="inlineStr">
      <is>
        <t>V</t>
      </is>
    </nc>
  </rcc>
  <rcc rId="3119" sId="1">
    <oc r="D280">
      <f>RIGHT(B280,1)</f>
    </oc>
    <nc r="D280" t="inlineStr">
      <is>
        <t>V</t>
      </is>
    </nc>
  </rcc>
  <rcc rId="3120" sId="1">
    <oc r="D281">
      <f>RIGHT(B281,1)</f>
    </oc>
    <nc r="D281" t="inlineStr">
      <is>
        <t>V</t>
      </is>
    </nc>
  </rcc>
  <rcc rId="3121" sId="1">
    <oc r="D282">
      <f>RIGHT(B282,1)</f>
    </oc>
    <nc r="D282" t="inlineStr">
      <is>
        <t>V</t>
      </is>
    </nc>
  </rcc>
  <rcc rId="3122" sId="1">
    <oc r="D283">
      <f>RIGHT(B283,1)</f>
    </oc>
    <nc r="D283" t="inlineStr">
      <is>
        <t>V</t>
      </is>
    </nc>
  </rcc>
  <rcc rId="3123" sId="1">
    <oc r="D284">
      <f>RIGHT(B284,1)</f>
    </oc>
    <nc r="D284" t="inlineStr">
      <is>
        <t>V</t>
      </is>
    </nc>
  </rcc>
  <rcc rId="3124" sId="1">
    <oc r="D285">
      <f>RIGHT(B285,1)</f>
    </oc>
    <nc r="D285" t="inlineStr">
      <is>
        <t>V</t>
      </is>
    </nc>
  </rcc>
  <rcc rId="3125" sId="1">
    <oc r="D286">
      <f>RIGHT(B286,1)</f>
    </oc>
    <nc r="D286" t="inlineStr">
      <is>
        <t>V</t>
      </is>
    </nc>
  </rcc>
  <rcc rId="3126" sId="1">
    <oc r="D287">
      <f>RIGHT(B287,1)</f>
    </oc>
    <nc r="D287" t="inlineStr">
      <is>
        <t>V</t>
      </is>
    </nc>
  </rcc>
  <rcc rId="3127" sId="1">
    <oc r="D288">
      <f>RIGHT(B288,1)</f>
    </oc>
    <nc r="D288" t="inlineStr">
      <is>
        <t>V</t>
      </is>
    </nc>
  </rcc>
  <rcc rId="3128" sId="1">
    <oc r="D289">
      <f>RIGHT(B289,1)</f>
    </oc>
    <nc r="D289" t="inlineStr">
      <is>
        <t>V</t>
      </is>
    </nc>
  </rcc>
  <rcc rId="3129" sId="1">
    <oc r="D290">
      <f>RIGHT(B290,1)</f>
    </oc>
    <nc r="D290" t="inlineStr">
      <is>
        <t>V</t>
      </is>
    </nc>
  </rcc>
  <rcc rId="3130" sId="1">
    <oc r="D291">
      <f>RIGHT(B291,1)</f>
    </oc>
    <nc r="D291" t="inlineStr">
      <is>
        <t>V</t>
      </is>
    </nc>
  </rcc>
  <rcc rId="3131" sId="1">
    <oc r="D292">
      <f>RIGHT(B292,1)</f>
    </oc>
    <nc r="D292" t="inlineStr">
      <is>
        <t>V</t>
      </is>
    </nc>
  </rcc>
  <rcc rId="3132" sId="1">
    <oc r="D293">
      <f>RIGHT(B293,1)</f>
    </oc>
    <nc r="D293" t="inlineStr">
      <is>
        <t>V</t>
      </is>
    </nc>
  </rcc>
  <rcc rId="3133" sId="1">
    <oc r="D294">
      <f>RIGHT(B294,1)</f>
    </oc>
    <nc r="D294" t="inlineStr">
      <is>
        <t>V</t>
      </is>
    </nc>
  </rcc>
  <rcc rId="3134" sId="1">
    <oc r="D295">
      <f>RIGHT(B295,1)</f>
    </oc>
    <nc r="D295" t="inlineStr">
      <is>
        <t>V</t>
      </is>
    </nc>
  </rcc>
  <rcc rId="3135" sId="1">
    <oc r="D296">
      <f>RIGHT(B296,1)</f>
    </oc>
    <nc r="D296" t="inlineStr">
      <is>
        <t>V</t>
      </is>
    </nc>
  </rcc>
  <rcc rId="3136" sId="1">
    <oc r="D297">
      <f>RIGHT(B297,1)</f>
    </oc>
    <nc r="D297" t="inlineStr">
      <is>
        <t>V</t>
      </is>
    </nc>
  </rcc>
  <rcc rId="3137" sId="1">
    <oc r="D298">
      <f>RIGHT(B298,1)</f>
    </oc>
    <nc r="D298" t="inlineStr">
      <is>
        <t>V</t>
      </is>
    </nc>
  </rcc>
  <rcc rId="3138" sId="1">
    <oc r="D299">
      <f>RIGHT(B299,1)</f>
    </oc>
    <nc r="D299" t="inlineStr">
      <is>
        <t>V</t>
      </is>
    </nc>
  </rcc>
  <rcc rId="3139" sId="1">
    <oc r="D300">
      <f>RIGHT(B300,1)</f>
    </oc>
    <nc r="D300" t="inlineStr">
      <is>
        <t>V</t>
      </is>
    </nc>
  </rcc>
  <rcc rId="3140" sId="1">
    <oc r="D301">
      <f>RIGHT(B301,1)</f>
    </oc>
    <nc r="D301" t="inlineStr">
      <is>
        <t>V</t>
      </is>
    </nc>
  </rcc>
  <rcc rId="3141" sId="1">
    <oc r="D302">
      <f>RIGHT(B302,1)</f>
    </oc>
    <nc r="D302" t="inlineStr">
      <is>
        <t>V</t>
      </is>
    </nc>
  </rcc>
  <rcc rId="3142" sId="1">
    <oc r="D303">
      <f>RIGHT(B303,1)</f>
    </oc>
    <nc r="D303" t="inlineStr">
      <is>
        <t>V</t>
      </is>
    </nc>
  </rcc>
  <rcc rId="3143" sId="1">
    <oc r="D304">
      <f>RIGHT(B304,1)</f>
    </oc>
    <nc r="D304" t="inlineStr">
      <is>
        <t>V</t>
      </is>
    </nc>
  </rcc>
  <rcc rId="3144" sId="1">
    <oc r="D305">
      <f>RIGHT(B305,1)</f>
    </oc>
    <nc r="D305" t="inlineStr">
      <is>
        <t>V</t>
      </is>
    </nc>
  </rcc>
  <rcc rId="3145" sId="1">
    <oc r="D306">
      <f>RIGHT(B306,1)</f>
    </oc>
    <nc r="D306" t="inlineStr">
      <is>
        <t>V</t>
      </is>
    </nc>
  </rcc>
  <rcc rId="3146" sId="1">
    <oc r="D307">
      <f>RIGHT(B307,1)</f>
    </oc>
    <nc r="D307" t="inlineStr">
      <is>
        <t>V</t>
      </is>
    </nc>
  </rcc>
  <rcc rId="3147" sId="1">
    <oc r="D308">
      <f>RIGHT(B308,1)</f>
    </oc>
    <nc r="D308" t="inlineStr">
      <is>
        <t>V</t>
      </is>
    </nc>
  </rcc>
  <rcc rId="3148" sId="1">
    <oc r="D309">
      <f>RIGHT(B309,1)</f>
    </oc>
    <nc r="D309" t="inlineStr">
      <is>
        <t>V</t>
      </is>
    </nc>
  </rcc>
  <rcc rId="3149" sId="1">
    <oc r="D310">
      <f>RIGHT(B310,1)</f>
    </oc>
    <nc r="D310" t="inlineStr">
      <is>
        <t>V</t>
      </is>
    </nc>
  </rcc>
  <rcc rId="3150" sId="1">
    <oc r="D311">
      <f>RIGHT(B311,1)</f>
    </oc>
    <nc r="D311" t="inlineStr">
      <is>
        <t>V</t>
      </is>
    </nc>
  </rcc>
  <rcc rId="3151" sId="1">
    <oc r="D312">
      <f>RIGHT(B312,1)</f>
    </oc>
    <nc r="D312" t="inlineStr">
      <is>
        <t>V</t>
      </is>
    </nc>
  </rcc>
  <rcc rId="3152" sId="1">
    <oc r="D313">
      <f>RIGHT(B313,1)</f>
    </oc>
    <nc r="D313" t="inlineStr">
      <is>
        <t>V</t>
      </is>
    </nc>
  </rcc>
  <rcc rId="3153" sId="1">
    <oc r="D314">
      <f>RIGHT(B314,1)</f>
    </oc>
    <nc r="D314" t="inlineStr">
      <is>
        <t>V</t>
      </is>
    </nc>
  </rcc>
  <rcc rId="3154" sId="1">
    <oc r="D315">
      <f>RIGHT(B315,1)</f>
    </oc>
    <nc r="D315" t="inlineStr">
      <is>
        <t>V</t>
      </is>
    </nc>
  </rcc>
  <rcc rId="3155" sId="1">
    <oc r="D316">
      <f>RIGHT(B316,1)</f>
    </oc>
    <nc r="D316" t="inlineStr">
      <is>
        <t>V</t>
      </is>
    </nc>
  </rcc>
  <rcc rId="3156" sId="1">
    <oc r="D317">
      <f>RIGHT(B317,1)</f>
    </oc>
    <nc r="D317" t="inlineStr">
      <is>
        <t>V</t>
      </is>
    </nc>
  </rcc>
  <rcc rId="3157" sId="1">
    <oc r="D318">
      <f>RIGHT(B318,1)</f>
    </oc>
    <nc r="D318" t="inlineStr">
      <is>
        <t>V</t>
      </is>
    </nc>
  </rcc>
  <rcc rId="3158" sId="1">
    <oc r="D319">
      <f>RIGHT(B319,1)</f>
    </oc>
    <nc r="D319" t="inlineStr">
      <is>
        <t>V</t>
      </is>
    </nc>
  </rcc>
  <rcc rId="3159" sId="1">
    <oc r="D320">
      <f>RIGHT(B320,1)</f>
    </oc>
    <nc r="D320" t="inlineStr">
      <is>
        <t>V</t>
      </is>
    </nc>
  </rcc>
  <rcc rId="3160" sId="1">
    <oc r="D321">
      <f>RIGHT(B321,1)</f>
    </oc>
    <nc r="D321" t="inlineStr">
      <is>
        <t>V</t>
      </is>
    </nc>
  </rcc>
  <rcc rId="3161" sId="1">
    <oc r="D322">
      <f>RIGHT(B322,1)</f>
    </oc>
    <nc r="D322" t="inlineStr">
      <is>
        <t>V</t>
      </is>
    </nc>
  </rcc>
  <rcc rId="3162" sId="1">
    <oc r="D323">
      <f>RIGHT(B323,1)</f>
    </oc>
    <nc r="D323" t="inlineStr">
      <is>
        <t>V</t>
      </is>
    </nc>
  </rcc>
  <rcc rId="3163" sId="1">
    <oc r="D324">
      <f>RIGHT(B324,1)</f>
    </oc>
    <nc r="D324" t="inlineStr">
      <is>
        <t>V</t>
      </is>
    </nc>
  </rcc>
  <rcc rId="3164" sId="1">
    <oc r="D325">
      <f>RIGHT(B325,1)</f>
    </oc>
    <nc r="D325" t="inlineStr">
      <is>
        <t>V</t>
      </is>
    </nc>
  </rcc>
  <rcc rId="3165" sId="1">
    <oc r="D326">
      <f>RIGHT(B326,1)</f>
    </oc>
    <nc r="D326" t="inlineStr">
      <is>
        <t>V</t>
      </is>
    </nc>
  </rcc>
  <rcc rId="3166" sId="1">
    <oc r="D327">
      <f>RIGHT(B327,1)</f>
    </oc>
    <nc r="D327" t="inlineStr">
      <is>
        <t/>
      </is>
    </nc>
  </rcc>
  <rcc rId="3167" sId="1">
    <oc r="D328">
      <f>RIGHT(B328,1)</f>
    </oc>
    <nc r="D328" t="inlineStr">
      <is>
        <t>V</t>
      </is>
    </nc>
  </rcc>
  <rcc rId="3168" sId="1">
    <oc r="D329">
      <f>RIGHT(B329,1)</f>
    </oc>
    <nc r="D329" t="inlineStr">
      <is>
        <t>V</t>
      </is>
    </nc>
  </rcc>
  <rcc rId="3169" sId="1">
    <oc r="D330">
      <f>RIGHT(B330,1)</f>
    </oc>
    <nc r="D330" t="inlineStr">
      <is>
        <t>V</t>
      </is>
    </nc>
  </rcc>
  <rcc rId="3170" sId="1">
    <oc r="D331">
      <f>RIGHT(B331,1)</f>
    </oc>
    <nc r="D331" t="inlineStr">
      <is>
        <t>V</t>
      </is>
    </nc>
  </rcc>
  <rcc rId="3171" sId="1">
    <oc r="D332">
      <f>RIGHT(B332,1)</f>
    </oc>
    <nc r="D332" t="inlineStr">
      <is>
        <t>V</t>
      </is>
    </nc>
  </rcc>
  <rcc rId="3172" sId="1">
    <oc r="D333">
      <f>RIGHT(B333,1)</f>
    </oc>
    <nc r="D333" t="inlineStr">
      <is>
        <t>V</t>
      </is>
    </nc>
  </rcc>
  <rcc rId="3173" sId="1">
    <oc r="D334">
      <f>RIGHT(B334,1)</f>
    </oc>
    <nc r="D334" t="inlineStr">
      <is>
        <t>V</t>
      </is>
    </nc>
  </rcc>
  <rcc rId="3174" sId="1">
    <oc r="D335">
      <f>RIGHT(B335,1)</f>
    </oc>
    <nc r="D335" t="inlineStr">
      <is>
        <t>V</t>
      </is>
    </nc>
  </rcc>
  <rcc rId="3175" sId="1">
    <oc r="D336">
      <f>RIGHT(B336,1)</f>
    </oc>
    <nc r="D336" t="inlineStr">
      <is>
        <t>V</t>
      </is>
    </nc>
  </rcc>
  <rcc rId="3176" sId="1">
    <oc r="D337">
      <f>RIGHT(B337,1)</f>
    </oc>
    <nc r="D337" t="inlineStr">
      <is>
        <t>V</t>
      </is>
    </nc>
  </rcc>
  <rcc rId="3177" sId="1">
    <oc r="D338">
      <f>RIGHT(B338,1)</f>
    </oc>
    <nc r="D338" t="inlineStr">
      <is>
        <t>V</t>
      </is>
    </nc>
  </rcc>
  <rcc rId="3178" sId="1" odxf="1" dxf="1">
    <oc r="D226">
      <f>RIGHT(B226,1)</f>
    </oc>
    <nc r="D226" t="inlineStr">
      <is>
        <t>NA</t>
      </is>
    </nc>
    <ndxf>
      <alignment horizontal="left" vertical="top"/>
    </ndxf>
  </rcc>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179" sId="1" ref="B1:B1048576" action="deleteCol">
    <rfmt sheetId="1" xfDxf="1" sqref="B1:B1048576" start="0" length="0">
      <dxf>
        <alignment horizontal="left"/>
      </dxf>
    </rfmt>
    <rcc rId="0" sId="1">
      <nc r="B1" t="inlineStr">
        <is>
          <t>nest</t>
        </is>
      </nc>
    </rcc>
    <rcc rId="0" sId="1">
      <nc r="B2">
        <v>1.2</v>
      </nc>
    </rcc>
    <rcc rId="0" sId="1">
      <nc r="B3">
        <v>1.1000000000000001</v>
      </nc>
    </rcc>
    <rcc rId="0" sId="1">
      <nc r="B4">
        <v>1.2</v>
      </nc>
    </rcc>
    <rcc rId="0" sId="1">
      <nc r="B5">
        <v>1.2</v>
      </nc>
    </rcc>
    <rcc rId="0" sId="1">
      <nc r="B6">
        <v>1.2</v>
      </nc>
    </rcc>
    <rcc rId="0" sId="1">
      <nc r="B7">
        <v>1.2</v>
      </nc>
    </rcc>
    <rcc rId="0" sId="1">
      <nc r="B8">
        <v>1.2</v>
      </nc>
    </rcc>
    <rcc rId="0" sId="1">
      <nc r="B9">
        <v>1.2</v>
      </nc>
    </rcc>
    <rcc rId="0" sId="1">
      <nc r="B10">
        <v>1.2</v>
      </nc>
    </rcc>
    <rcc rId="0" sId="1">
      <nc r="B11">
        <v>1.2</v>
      </nc>
    </rcc>
    <rcc rId="0" sId="1">
      <nc r="B12">
        <v>1.2</v>
      </nc>
    </rcc>
    <rcc rId="0" sId="1">
      <nc r="B13">
        <v>1.2</v>
      </nc>
    </rcc>
    <rcc rId="0" sId="1">
      <nc r="B14">
        <v>1.2</v>
      </nc>
    </rcc>
    <rcc rId="0" sId="1">
      <nc r="B15">
        <v>1.2</v>
      </nc>
    </rcc>
    <rcc rId="0" sId="1">
      <nc r="B16">
        <v>1.2</v>
      </nc>
    </rcc>
    <rcc rId="0" sId="1">
      <nc r="B17">
        <v>1.2</v>
      </nc>
    </rcc>
    <rcc rId="0" sId="1">
      <nc r="B18">
        <v>1.2</v>
      </nc>
    </rcc>
    <rcc rId="0" sId="1">
      <nc r="B19">
        <v>1.2</v>
      </nc>
    </rcc>
    <rcc rId="0" sId="1">
      <nc r="B20">
        <v>1.2</v>
      </nc>
    </rcc>
    <rcc rId="0" sId="1">
      <nc r="B21">
        <v>1.2</v>
      </nc>
    </rcc>
    <rcc rId="0" sId="1">
      <nc r="B22">
        <v>1.2</v>
      </nc>
    </rcc>
    <rcc rId="0" sId="1">
      <nc r="B23">
        <v>1.2</v>
      </nc>
    </rcc>
    <rcc rId="0" sId="1">
      <nc r="B24">
        <v>1.2</v>
      </nc>
    </rcc>
    <rcc rId="0" sId="1">
      <nc r="B25">
        <v>1.2</v>
      </nc>
    </rcc>
    <rcc rId="0" sId="1">
      <nc r="B26">
        <v>1.2</v>
      </nc>
    </rcc>
    <rcc rId="0" sId="1">
      <nc r="B27">
        <v>1.2</v>
      </nc>
    </rcc>
    <rcc rId="0" sId="1">
      <nc r="B28">
        <v>1.2</v>
      </nc>
    </rcc>
    <rcc rId="0" sId="1">
      <nc r="B29">
        <v>1.2</v>
      </nc>
    </rcc>
    <rcc rId="0" sId="1">
      <nc r="B30">
        <v>1.2</v>
      </nc>
    </rcc>
    <rcc rId="0" sId="1">
      <nc r="B31">
        <v>1.2</v>
      </nc>
    </rcc>
    <rcc rId="0" sId="1">
      <nc r="B32">
        <v>1.2</v>
      </nc>
    </rcc>
    <rcc rId="0" sId="1">
      <nc r="B33">
        <v>1.2</v>
      </nc>
    </rcc>
    <rcc rId="0" sId="1">
      <nc r="B34">
        <v>1.2</v>
      </nc>
    </rcc>
    <rcc rId="0" sId="1">
      <nc r="B35">
        <v>1.2</v>
      </nc>
    </rcc>
    <rcc rId="0" sId="1">
      <nc r="B36">
        <v>1.2</v>
      </nc>
    </rcc>
    <rcc rId="0" sId="1">
      <nc r="B37">
        <v>1.2</v>
      </nc>
    </rcc>
    <rcc rId="0" sId="1">
      <nc r="B38">
        <v>1.2</v>
      </nc>
    </rcc>
    <rcc rId="0" sId="1">
      <nc r="B39">
        <v>1.2</v>
      </nc>
    </rcc>
    <rcc rId="0" sId="1">
      <nc r="B40">
        <v>1.2</v>
      </nc>
    </rcc>
    <rcc rId="0" sId="1">
      <nc r="B41">
        <v>1.2</v>
      </nc>
    </rcc>
    <rcc rId="0" sId="1">
      <nc r="B42">
        <v>1.2</v>
      </nc>
    </rcc>
    <rcc rId="0" sId="1">
      <nc r="B43">
        <v>1.2</v>
      </nc>
    </rcc>
    <rcc rId="0" sId="1">
      <nc r="B44">
        <v>1.2</v>
      </nc>
    </rcc>
    <rcc rId="0" sId="1">
      <nc r="B45">
        <v>1.2</v>
      </nc>
    </rcc>
    <rcc rId="0" sId="1">
      <nc r="B46">
        <v>1.2</v>
      </nc>
    </rcc>
    <rcc rId="0" sId="1">
      <nc r="B47">
        <v>1.2</v>
      </nc>
    </rcc>
    <rcc rId="0" sId="1">
      <nc r="B48">
        <v>1.2</v>
      </nc>
    </rcc>
    <rcc rId="0" sId="1">
      <nc r="B49">
        <v>1.2</v>
      </nc>
    </rcc>
    <rcc rId="0" sId="1">
      <nc r="B50">
        <v>1.2</v>
      </nc>
    </rcc>
    <rcc rId="0" sId="1">
      <nc r="B51">
        <v>1.2</v>
      </nc>
    </rcc>
    <rcc rId="0" sId="1">
      <nc r="B52">
        <v>1.2</v>
      </nc>
    </rcc>
    <rcc rId="0" sId="1">
      <nc r="B53">
        <v>1.2</v>
      </nc>
    </rcc>
    <rcc rId="0" sId="1">
      <nc r="B54">
        <v>1.2</v>
      </nc>
    </rcc>
    <rcc rId="0" sId="1">
      <nc r="B55">
        <v>1.2</v>
      </nc>
    </rcc>
    <rcc rId="0" sId="1">
      <nc r="B56">
        <v>1.2</v>
      </nc>
    </rcc>
    <rcc rId="0" sId="1">
      <nc r="B57">
        <v>1.2</v>
      </nc>
    </rcc>
    <rcc rId="0" sId="1">
      <nc r="B58">
        <v>1.2</v>
      </nc>
    </rcc>
    <rcc rId="0" sId="1">
      <nc r="B59">
        <v>1.2</v>
      </nc>
    </rcc>
    <rcc rId="0" sId="1">
      <nc r="B60">
        <v>1.2</v>
      </nc>
    </rcc>
    <rcc rId="0" sId="1">
      <nc r="B61">
        <v>1.2</v>
      </nc>
    </rcc>
    <rcc rId="0" sId="1">
      <nc r="B62">
        <v>1.2</v>
      </nc>
    </rcc>
    <rcc rId="0" sId="1">
      <nc r="B63">
        <v>1.2</v>
      </nc>
    </rcc>
    <rcc rId="0" sId="1">
      <nc r="B64">
        <v>1.2</v>
      </nc>
    </rcc>
    <rcc rId="0" sId="1">
      <nc r="B65">
        <v>1.2</v>
      </nc>
    </rcc>
    <rcc rId="0" sId="1">
      <nc r="B66">
        <v>1.2</v>
      </nc>
    </rcc>
    <rcc rId="0" sId="1">
      <nc r="B67">
        <v>1.2</v>
      </nc>
    </rcc>
    <rcc rId="0" sId="1">
      <nc r="B68">
        <v>1.2</v>
      </nc>
    </rcc>
    <rcc rId="0" sId="1">
      <nc r="B69">
        <v>1.2</v>
      </nc>
    </rcc>
    <rcc rId="0" sId="1">
      <nc r="B70">
        <v>1.2</v>
      </nc>
    </rcc>
    <rcc rId="0" sId="1">
      <nc r="B71">
        <v>1.2</v>
      </nc>
    </rcc>
    <rcc rId="0" sId="1">
      <nc r="B72">
        <v>1.2</v>
      </nc>
    </rcc>
    <rcc rId="0" sId="1">
      <nc r="B73">
        <v>1.2</v>
      </nc>
    </rcc>
    <rcc rId="0" sId="1">
      <nc r="B74">
        <v>1.2</v>
      </nc>
    </rcc>
    <rcc rId="0" sId="1">
      <nc r="B75">
        <v>1.2</v>
      </nc>
    </rcc>
    <rcc rId="0" sId="1">
      <nc r="B76">
        <v>1.2</v>
      </nc>
    </rcc>
    <rcc rId="0" sId="1">
      <nc r="B77">
        <v>1.2</v>
      </nc>
    </rcc>
    <rcc rId="0" sId="1">
      <nc r="B78">
        <v>1.2</v>
      </nc>
    </rcc>
    <rcc rId="0" sId="1">
      <nc r="B79">
        <v>1.2</v>
      </nc>
    </rcc>
    <rcc rId="0" sId="1">
      <nc r="B80">
        <v>1.2</v>
      </nc>
    </rcc>
    <rcc rId="0" sId="1">
      <nc r="B81">
        <v>1.2</v>
      </nc>
    </rcc>
    <rcc rId="0" sId="1">
      <nc r="B82">
        <v>1.2</v>
      </nc>
    </rcc>
    <rcc rId="0" sId="1">
      <nc r="B83">
        <v>1.2</v>
      </nc>
    </rcc>
    <rcc rId="0" sId="1">
      <nc r="B84">
        <v>1.2</v>
      </nc>
    </rcc>
    <rcc rId="0" sId="1">
      <nc r="B85">
        <v>1.2</v>
      </nc>
    </rcc>
    <rcc rId="0" sId="1">
      <nc r="B86">
        <v>1.2</v>
      </nc>
    </rcc>
    <rcc rId="0" sId="1">
      <nc r="B87">
        <v>1.2</v>
      </nc>
    </rcc>
    <rcc rId="0" sId="1">
      <nc r="B88">
        <v>1.2</v>
      </nc>
    </rcc>
    <rcc rId="0" sId="1">
      <nc r="B89">
        <v>1.2</v>
      </nc>
    </rcc>
    <rcc rId="0" sId="1">
      <nc r="B90">
        <v>1.2</v>
      </nc>
    </rcc>
    <rcc rId="0" sId="1">
      <nc r="B91">
        <v>1.2</v>
      </nc>
    </rcc>
    <rcc rId="0" sId="1">
      <nc r="B92">
        <v>1.2</v>
      </nc>
    </rcc>
    <rcc rId="0" sId="1">
      <nc r="B93">
        <v>1.2</v>
      </nc>
    </rcc>
    <rcc rId="0" sId="1">
      <nc r="B94">
        <v>1.2</v>
      </nc>
    </rcc>
    <rcc rId="0" sId="1">
      <nc r="B95">
        <v>1.2</v>
      </nc>
    </rcc>
    <rcc rId="0" sId="1">
      <nc r="B96">
        <v>1.2</v>
      </nc>
    </rcc>
    <rcc rId="0" sId="1">
      <nc r="B97">
        <v>1.2</v>
      </nc>
    </rcc>
    <rcc rId="0" sId="1">
      <nc r="B98">
        <v>1.2</v>
      </nc>
    </rcc>
    <rcc rId="0" sId="1">
      <nc r="B99">
        <v>1.2</v>
      </nc>
    </rcc>
    <rcc rId="0" sId="1">
      <nc r="B100">
        <v>1.2</v>
      </nc>
    </rcc>
    <rcc rId="0" sId="1">
      <nc r="B101">
        <v>1.2</v>
      </nc>
    </rcc>
    <rcc rId="0" sId="1">
      <nc r="B102">
        <v>1.2</v>
      </nc>
    </rcc>
    <rcc rId="0" sId="1">
      <nc r="B103">
        <v>1.2</v>
      </nc>
    </rcc>
    <rcc rId="0" sId="1">
      <nc r="B104">
        <v>1.2</v>
      </nc>
    </rcc>
    <rcc rId="0" sId="1">
      <nc r="B105">
        <v>1.2</v>
      </nc>
    </rcc>
    <rcc rId="0" sId="1">
      <nc r="B106">
        <v>1.2</v>
      </nc>
    </rcc>
    <rcc rId="0" sId="1">
      <nc r="B107">
        <v>1.2</v>
      </nc>
    </rcc>
    <rcc rId="0" sId="1">
      <nc r="B108">
        <v>1.2</v>
      </nc>
    </rcc>
    <rcc rId="0" sId="1">
      <nc r="B109">
        <v>1.2</v>
      </nc>
    </rcc>
    <rcc rId="0" sId="1">
      <nc r="B110">
        <v>1.2</v>
      </nc>
    </rcc>
    <rcc rId="0" sId="1">
      <nc r="B111">
        <v>1.2</v>
      </nc>
    </rcc>
    <rcc rId="0" sId="1">
      <nc r="B112">
        <v>1.2</v>
      </nc>
    </rcc>
    <rcc rId="0" sId="1">
      <nc r="B113">
        <v>1.2</v>
      </nc>
    </rcc>
    <rcc rId="0" sId="1">
      <nc r="B114">
        <v>1.2</v>
      </nc>
    </rcc>
    <rcc rId="0" sId="1">
      <nc r="B115">
        <v>1.2</v>
      </nc>
    </rcc>
    <rcc rId="0" sId="1">
      <nc r="B116">
        <v>1.2</v>
      </nc>
    </rcc>
    <rcc rId="0" sId="1">
      <nc r="B117">
        <v>1.2</v>
      </nc>
    </rcc>
    <rcc rId="0" sId="1">
      <nc r="B118">
        <v>1.2</v>
      </nc>
    </rcc>
    <rcc rId="0" sId="1">
      <nc r="B119">
        <v>1.2</v>
      </nc>
    </rcc>
    <rcc rId="0" sId="1">
      <nc r="B120">
        <v>1.2</v>
      </nc>
    </rcc>
    <rcc rId="0" sId="1">
      <nc r="B121">
        <v>1.2</v>
      </nc>
    </rcc>
    <rcc rId="0" sId="1">
      <nc r="B122">
        <v>1.2</v>
      </nc>
    </rcc>
    <rcc rId="0" sId="1">
      <nc r="B123">
        <v>1.2</v>
      </nc>
    </rcc>
    <rcc rId="0" sId="1">
      <nc r="B124">
        <v>1.2</v>
      </nc>
    </rcc>
    <rcc rId="0" sId="1">
      <nc r="B125">
        <v>1.2</v>
      </nc>
    </rcc>
    <rcc rId="0" sId="1">
      <nc r="B126">
        <v>1.2</v>
      </nc>
    </rcc>
    <rcc rId="0" sId="1">
      <nc r="B127">
        <v>1.2</v>
      </nc>
    </rcc>
    <rcc rId="0" sId="1">
      <nc r="B128">
        <v>1.2</v>
      </nc>
    </rcc>
    <rcc rId="0" sId="1">
      <nc r="B129">
        <v>1.2</v>
      </nc>
    </rcc>
    <rcc rId="0" sId="1">
      <nc r="B130">
        <v>1.2</v>
      </nc>
    </rcc>
    <rcc rId="0" sId="1">
      <nc r="B131">
        <v>1.3</v>
      </nc>
    </rcc>
    <rcc rId="0" sId="1">
      <nc r="B132">
        <v>1.3</v>
      </nc>
    </rcc>
    <rcc rId="0" sId="1">
      <nc r="B133">
        <v>1.3</v>
      </nc>
    </rcc>
    <rcc rId="0" sId="1">
      <nc r="B134">
        <v>1.3</v>
      </nc>
    </rcc>
    <rcc rId="0" sId="1">
      <nc r="B135" t="inlineStr">
        <is>
          <t>1.4V</t>
        </is>
      </nc>
    </rcc>
    <rcc rId="0" sId="1">
      <nc r="B136" t="inlineStr">
        <is>
          <t>1.5H</t>
        </is>
      </nc>
    </rcc>
    <rcc rId="0" sId="1">
      <nc r="B137" t="inlineStr">
        <is>
          <t>1.4V</t>
        </is>
      </nc>
    </rcc>
    <rcc rId="0" sId="1">
      <nc r="B138" t="inlineStr">
        <is>
          <t>1.5H</t>
        </is>
      </nc>
    </rcc>
    <rcc rId="0" sId="1">
      <nc r="B139" t="inlineStr">
        <is>
          <t>1.4V</t>
        </is>
      </nc>
    </rcc>
    <rcc rId="0" sId="1">
      <nc r="B140" t="inlineStr">
        <is>
          <t>1.5H</t>
        </is>
      </nc>
    </rcc>
    <rcc rId="0" sId="1">
      <nc r="B141" t="inlineStr">
        <is>
          <t>1.4V</t>
        </is>
      </nc>
    </rcc>
    <rcc rId="0" sId="1">
      <nc r="B142" t="inlineStr">
        <is>
          <t>1.4V</t>
        </is>
      </nc>
    </rcc>
    <rcc rId="0" sId="1">
      <nc r="B143" t="inlineStr">
        <is>
          <t>1.5H</t>
        </is>
      </nc>
    </rcc>
    <rcc rId="0" sId="1">
      <nc r="B144" t="inlineStr">
        <is>
          <t>1.4V</t>
        </is>
      </nc>
    </rcc>
    <rcc rId="0" sId="1">
      <nc r="B145" t="inlineStr">
        <is>
          <t>1.5H</t>
        </is>
      </nc>
    </rcc>
    <rcc rId="0" sId="1">
      <nc r="B146" t="inlineStr">
        <is>
          <t>1.5H</t>
        </is>
      </nc>
    </rcc>
    <rcc rId="0" sId="1">
      <nc r="B147" t="inlineStr">
        <is>
          <t>1.4V</t>
        </is>
      </nc>
    </rcc>
    <rcc rId="0" sId="1">
      <nc r="B148" t="inlineStr">
        <is>
          <t>1.5H</t>
        </is>
      </nc>
    </rcc>
    <rcc rId="0" sId="1">
      <nc r="B149" t="inlineStr">
        <is>
          <t>1.5H</t>
        </is>
      </nc>
    </rcc>
    <rcc rId="0" sId="1">
      <nc r="B150" t="inlineStr">
        <is>
          <t>1.4V</t>
        </is>
      </nc>
    </rcc>
    <rcc rId="0" sId="1">
      <nc r="B151" t="inlineStr">
        <is>
          <t>1.5H</t>
        </is>
      </nc>
    </rcc>
    <rcc rId="0" sId="1">
      <nc r="B152" t="inlineStr">
        <is>
          <t>1.4V</t>
        </is>
      </nc>
    </rcc>
    <rcc rId="0" sId="1">
      <nc r="B153" t="inlineStr">
        <is>
          <t>1.5H</t>
        </is>
      </nc>
    </rcc>
    <rcc rId="0" sId="1">
      <nc r="B154" t="inlineStr">
        <is>
          <t>1.5H</t>
        </is>
      </nc>
    </rcc>
    <rcc rId="0" sId="1">
      <nc r="B155" t="inlineStr">
        <is>
          <t>1.5H</t>
        </is>
      </nc>
    </rcc>
    <rcc rId="0" sId="1">
      <nc r="B156" t="inlineStr">
        <is>
          <t>1.4V</t>
        </is>
      </nc>
    </rcc>
    <rcc rId="0" sId="1">
      <nc r="B157" t="inlineStr">
        <is>
          <t>1.5H</t>
        </is>
      </nc>
    </rcc>
    <rcc rId="0" sId="1">
      <nc r="B158" t="inlineStr">
        <is>
          <t>1.4V</t>
        </is>
      </nc>
    </rcc>
    <rcc rId="0" sId="1">
      <nc r="B159" t="inlineStr">
        <is>
          <t>1.5H</t>
        </is>
      </nc>
    </rcc>
    <rcc rId="0" sId="1">
      <nc r="B160" t="inlineStr">
        <is>
          <t>1.5H</t>
        </is>
      </nc>
    </rcc>
    <rcc rId="0" sId="1">
      <nc r="B161" t="inlineStr">
        <is>
          <t>1.4V</t>
        </is>
      </nc>
    </rcc>
    <rcc rId="0" sId="1">
      <nc r="B162" t="inlineStr">
        <is>
          <t>1.5H</t>
        </is>
      </nc>
    </rcc>
    <rcc rId="0" sId="1">
      <nc r="B163" t="inlineStr">
        <is>
          <t>1.5H</t>
        </is>
      </nc>
    </rcc>
    <rcc rId="0" sId="1">
      <nc r="B164" t="inlineStr">
        <is>
          <t>1.4V</t>
        </is>
      </nc>
    </rcc>
    <rcc rId="0" sId="1">
      <nc r="B165" t="inlineStr">
        <is>
          <t>1.5H</t>
        </is>
      </nc>
    </rcc>
    <rcc rId="0" sId="1">
      <nc r="B166" t="inlineStr">
        <is>
          <t>1.5H</t>
        </is>
      </nc>
    </rcc>
    <rcc rId="0" sId="1">
      <nc r="B167" t="inlineStr">
        <is>
          <t>1.4V</t>
        </is>
      </nc>
    </rcc>
    <rcc rId="0" sId="1">
      <nc r="B168" t="inlineStr">
        <is>
          <t>1.4V</t>
        </is>
      </nc>
    </rcc>
    <rcc rId="0" sId="1">
      <nc r="B169" t="inlineStr">
        <is>
          <t>1.5H</t>
        </is>
      </nc>
    </rcc>
    <rcc rId="0" sId="1">
      <nc r="B170" t="inlineStr">
        <is>
          <t>1.4V</t>
        </is>
      </nc>
    </rcc>
    <rcc rId="0" sId="1">
      <nc r="B171" t="inlineStr">
        <is>
          <t>1.5H</t>
        </is>
      </nc>
    </rcc>
    <rcc rId="0" sId="1">
      <nc r="B172" t="inlineStr">
        <is>
          <t>1.5H</t>
        </is>
      </nc>
    </rcc>
    <rcc rId="0" sId="1">
      <nc r="B173" t="inlineStr">
        <is>
          <t>1.4V</t>
        </is>
      </nc>
    </rcc>
    <rcc rId="0" sId="1">
      <nc r="B174" t="inlineStr">
        <is>
          <t>1.4V</t>
        </is>
      </nc>
    </rcc>
    <rcc rId="0" sId="1">
      <nc r="B175" t="inlineStr">
        <is>
          <t>1.5H</t>
        </is>
      </nc>
    </rcc>
    <rcc rId="0" sId="1">
      <nc r="B176" t="inlineStr">
        <is>
          <t>1.5H</t>
        </is>
      </nc>
    </rcc>
    <rcc rId="0" sId="1">
      <nc r="B177" t="inlineStr">
        <is>
          <t>1.4V</t>
        </is>
      </nc>
    </rcc>
    <rcc rId="0" sId="1">
      <nc r="B178" t="inlineStr">
        <is>
          <t>1.5H</t>
        </is>
      </nc>
    </rcc>
    <rcc rId="0" sId="1">
      <nc r="B179" t="inlineStr">
        <is>
          <t>1.4V</t>
        </is>
      </nc>
    </rcc>
    <rcc rId="0" sId="1">
      <nc r="B180" t="inlineStr">
        <is>
          <t>1.5H</t>
        </is>
      </nc>
    </rcc>
    <rcc rId="0" sId="1">
      <nc r="B181" t="inlineStr">
        <is>
          <t>1.4V</t>
        </is>
      </nc>
    </rcc>
    <rcc rId="0" sId="1">
      <nc r="B182" t="inlineStr">
        <is>
          <t>1.4V</t>
        </is>
      </nc>
    </rcc>
    <rcc rId="0" sId="1">
      <nc r="B183" t="inlineStr">
        <is>
          <t>1.5H</t>
        </is>
      </nc>
    </rcc>
    <rcc rId="0" sId="1">
      <nc r="B184" t="inlineStr">
        <is>
          <t>1.4V</t>
        </is>
      </nc>
    </rcc>
    <rcc rId="0" sId="1">
      <nc r="B185" t="inlineStr">
        <is>
          <t>1.5H</t>
        </is>
      </nc>
    </rcc>
    <rcc rId="0" sId="1">
      <nc r="B186" t="inlineStr">
        <is>
          <t>1.5H</t>
        </is>
      </nc>
    </rcc>
    <rcc rId="0" sId="1">
      <nc r="B187" t="inlineStr">
        <is>
          <t>1.4V</t>
        </is>
      </nc>
    </rcc>
    <rcc rId="0" sId="1">
      <nc r="B188" t="inlineStr">
        <is>
          <t>1.4V</t>
        </is>
      </nc>
    </rcc>
    <rcc rId="0" sId="1">
      <nc r="B189" t="inlineStr">
        <is>
          <t>1.5H</t>
        </is>
      </nc>
    </rcc>
    <rcc rId="0" sId="1">
      <nc r="B190" t="inlineStr">
        <is>
          <t>1.5H</t>
        </is>
      </nc>
    </rcc>
    <rcc rId="0" sId="1">
      <nc r="B191" t="inlineStr">
        <is>
          <t>1.5H</t>
        </is>
      </nc>
    </rcc>
    <rcc rId="0" sId="1">
      <nc r="B192" t="inlineStr">
        <is>
          <t>1.4V</t>
        </is>
      </nc>
    </rcc>
    <rcc rId="0" sId="1">
      <nc r="B193" t="inlineStr">
        <is>
          <t>1.4V</t>
        </is>
      </nc>
    </rcc>
    <rcc rId="0" sId="1">
      <nc r="B194" t="inlineStr">
        <is>
          <t>1.5H</t>
        </is>
      </nc>
    </rcc>
    <rcc rId="0" sId="1">
      <nc r="B195" t="inlineStr">
        <is>
          <t>1.4V</t>
        </is>
      </nc>
    </rcc>
    <rcc rId="0" sId="1">
      <nc r="B196" t="inlineStr">
        <is>
          <t>1.5H</t>
        </is>
      </nc>
    </rcc>
    <rcc rId="0" sId="1">
      <nc r="B197" t="inlineStr">
        <is>
          <t>1.5H</t>
        </is>
      </nc>
    </rcc>
    <rcc rId="0" sId="1">
      <nc r="B198" t="inlineStr">
        <is>
          <t>1.4V</t>
        </is>
      </nc>
    </rcc>
    <rcc rId="0" sId="1">
      <nc r="B199" t="inlineStr">
        <is>
          <t>1.4V</t>
        </is>
      </nc>
    </rcc>
    <rcc rId="0" sId="1">
      <nc r="B200" t="inlineStr">
        <is>
          <t>1.5H</t>
        </is>
      </nc>
    </rcc>
    <rcc rId="0" sId="1">
      <nc r="B201" t="inlineStr">
        <is>
          <t>1.4V</t>
        </is>
      </nc>
    </rcc>
    <rcc rId="0" sId="1">
      <nc r="B202" t="inlineStr">
        <is>
          <t>1.4V</t>
        </is>
      </nc>
    </rcc>
    <rcc rId="0" sId="1">
      <nc r="B203" t="inlineStr">
        <is>
          <t>1.5H</t>
        </is>
      </nc>
    </rcc>
    <rcc rId="0" sId="1">
      <nc r="B204" t="inlineStr">
        <is>
          <t>NA</t>
        </is>
      </nc>
    </rcc>
    <rcc rId="0" sId="1">
      <nc r="B205" t="inlineStr">
        <is>
          <t>1.5H</t>
        </is>
      </nc>
    </rcc>
    <rcc rId="0" sId="1">
      <nc r="B206" t="inlineStr">
        <is>
          <t>1.4V</t>
        </is>
      </nc>
    </rcc>
    <rcc rId="0" sId="1">
      <nc r="B207" t="inlineStr">
        <is>
          <t>1.5H</t>
        </is>
      </nc>
    </rcc>
    <rcc rId="0" sId="1">
      <nc r="B208" t="inlineStr">
        <is>
          <t>1.4V</t>
        </is>
      </nc>
    </rcc>
    <rcc rId="0" sId="1">
      <nc r="B209" t="inlineStr">
        <is>
          <t>1.5H</t>
        </is>
      </nc>
    </rcc>
    <rcc rId="0" sId="1">
      <nc r="B210" t="inlineStr">
        <is>
          <t>1.4V</t>
        </is>
      </nc>
    </rcc>
    <rcc rId="0" sId="1">
      <nc r="B211" t="inlineStr">
        <is>
          <t>1.4V</t>
        </is>
      </nc>
    </rcc>
    <rcc rId="0" sId="1">
      <nc r="B212" t="inlineStr">
        <is>
          <t>1.5H</t>
        </is>
      </nc>
    </rcc>
    <rcc rId="0" sId="1">
      <nc r="B213" t="inlineStr">
        <is>
          <t>1.4V</t>
        </is>
      </nc>
    </rcc>
    <rcc rId="0" sId="1">
      <nc r="B214" t="inlineStr">
        <is>
          <t>1.4V</t>
        </is>
      </nc>
    </rcc>
    <rcc rId="0" sId="1">
      <nc r="B215" t="inlineStr">
        <is>
          <t>1.5H</t>
        </is>
      </nc>
    </rcc>
    <rcc rId="0" sId="1">
      <nc r="B216" t="inlineStr">
        <is>
          <t>1.5H</t>
        </is>
      </nc>
    </rcc>
    <rcc rId="0" sId="1">
      <nc r="B217" t="inlineStr">
        <is>
          <t>1.5H</t>
        </is>
      </nc>
    </rcc>
    <rcc rId="0" sId="1">
      <nc r="B218" t="inlineStr">
        <is>
          <t>1.4V</t>
        </is>
      </nc>
    </rcc>
    <rcc rId="0" sId="1">
      <nc r="B219" t="inlineStr">
        <is>
          <t>1.5H</t>
        </is>
      </nc>
    </rcc>
    <rcc rId="0" sId="1">
      <nc r="B220" t="inlineStr">
        <is>
          <t>1.4V</t>
        </is>
      </nc>
    </rcc>
    <rcc rId="0" sId="1">
      <nc r="B221" t="inlineStr">
        <is>
          <t>1.5H</t>
        </is>
      </nc>
    </rcc>
    <rcc rId="0" sId="1">
      <nc r="B222" t="inlineStr">
        <is>
          <t>1.4V</t>
        </is>
      </nc>
    </rcc>
    <rcc rId="0" sId="1">
      <nc r="B223" t="inlineStr">
        <is>
          <t>1.5H</t>
        </is>
      </nc>
    </rcc>
    <rcc rId="0" sId="1">
      <nc r="B224" t="inlineStr">
        <is>
          <t>1.5H</t>
        </is>
      </nc>
    </rcc>
    <rcc rId="0" sId="1">
      <nc r="B225" t="inlineStr">
        <is>
          <t>1.4V</t>
        </is>
      </nc>
    </rcc>
    <rcc rId="0" sId="1">
      <nc r="B226" t="inlineStr">
        <is>
          <t>NA</t>
        </is>
      </nc>
    </rcc>
    <rcc rId="0" sId="1">
      <nc r="B227" t="inlineStr">
        <is>
          <t>1.5H</t>
        </is>
      </nc>
    </rcc>
    <rcc rId="0" sId="1">
      <nc r="B228" t="inlineStr">
        <is>
          <t>1.4V</t>
        </is>
      </nc>
    </rcc>
    <rcc rId="0" sId="1">
      <nc r="B229" t="inlineStr">
        <is>
          <t>1.5H</t>
        </is>
      </nc>
    </rcc>
    <rcc rId="0" sId="1">
      <nc r="B230" t="inlineStr">
        <is>
          <t>1.4V</t>
        </is>
      </nc>
    </rcc>
    <rcc rId="0" sId="1">
      <nc r="B231" t="inlineStr">
        <is>
          <t>1.5H</t>
        </is>
      </nc>
    </rcc>
    <rcc rId="0" sId="1">
      <nc r="B232" t="inlineStr">
        <is>
          <t>1.4V</t>
        </is>
      </nc>
    </rcc>
    <rcc rId="0" sId="1">
      <nc r="B233" t="inlineStr">
        <is>
          <t>1.5H</t>
        </is>
      </nc>
    </rcc>
    <rcc rId="0" sId="1">
      <nc r="B234" t="inlineStr">
        <is>
          <t>1.4V</t>
        </is>
      </nc>
    </rcc>
    <rcc rId="0" sId="1">
      <nc r="B235" t="inlineStr">
        <is>
          <t>1.5H</t>
        </is>
      </nc>
    </rcc>
    <rcc rId="0" sId="1">
      <nc r="B236" t="inlineStr">
        <is>
          <t>1.5H</t>
        </is>
      </nc>
    </rcc>
    <rcc rId="0" sId="1">
      <nc r="B237" t="inlineStr">
        <is>
          <t>1.4V</t>
        </is>
      </nc>
    </rcc>
    <rcc rId="0" sId="1">
      <nc r="B238" t="inlineStr">
        <is>
          <t>1.4V</t>
        </is>
      </nc>
    </rcc>
    <rcc rId="0" sId="1">
      <nc r="B239" t="inlineStr">
        <is>
          <t>1.5H</t>
        </is>
      </nc>
    </rcc>
    <rcc rId="0" sId="1">
      <nc r="B240" t="inlineStr">
        <is>
          <t>1.4V</t>
        </is>
      </nc>
    </rcc>
    <rcc rId="0" sId="1">
      <nc r="B241" t="inlineStr">
        <is>
          <t>1.5H</t>
        </is>
      </nc>
    </rcc>
    <rcc rId="0" sId="1">
      <nc r="B242" t="inlineStr">
        <is>
          <t>1.4V</t>
        </is>
      </nc>
    </rcc>
    <rcc rId="0" sId="1">
      <nc r="B243" t="inlineStr">
        <is>
          <t>1.4V</t>
        </is>
      </nc>
    </rcc>
    <rcc rId="0" sId="1">
      <nc r="B244" t="inlineStr">
        <is>
          <t>1.4V</t>
        </is>
      </nc>
    </rcc>
    <rcc rId="0" sId="1">
      <nc r="B245" t="inlineStr">
        <is>
          <t>1.4V</t>
        </is>
      </nc>
    </rcc>
    <rcc rId="0" sId="1" dxf="1">
      <nc r="B246" t="inlineStr">
        <is>
          <t>1.4V</t>
        </is>
      </nc>
      <ndxf>
        <font>
          <sz val="12"/>
          <color rgb="FF000000"/>
          <name val="Calibri"/>
          <family val="2"/>
          <scheme val="minor"/>
        </font>
      </ndxf>
    </rcc>
    <rcc rId="0" sId="1" dxf="1">
      <nc r="B247" t="inlineStr">
        <is>
          <t>1.4V</t>
        </is>
      </nc>
      <ndxf>
        <font>
          <sz val="12"/>
          <color rgb="FF000000"/>
          <name val="Calibri"/>
          <family val="2"/>
          <scheme val="minor"/>
        </font>
      </ndxf>
    </rcc>
    <rcc rId="0" sId="1" dxf="1">
      <nc r="B248" t="inlineStr">
        <is>
          <t>1.4V</t>
        </is>
      </nc>
      <ndxf>
        <font>
          <sz val="12"/>
          <color rgb="FF000000"/>
          <name val="Calibri"/>
          <family val="2"/>
          <scheme val="minor"/>
        </font>
      </ndxf>
    </rcc>
    <rcc rId="0" sId="1" dxf="1">
      <nc r="B249" t="inlineStr">
        <is>
          <t>1.4V</t>
        </is>
      </nc>
      <ndxf>
        <font>
          <sz val="12"/>
          <color rgb="FF000000"/>
          <name val="Calibri"/>
          <family val="2"/>
          <scheme val="minor"/>
        </font>
      </ndxf>
    </rcc>
    <rcc rId="0" sId="1" dxf="1">
      <nc r="B250" t="inlineStr">
        <is>
          <t>1.4V</t>
        </is>
      </nc>
      <ndxf>
        <font>
          <sz val="12"/>
          <color rgb="FF000000"/>
          <name val="Calibri"/>
          <family val="2"/>
          <scheme val="minor"/>
        </font>
      </ndxf>
    </rcc>
    <rcc rId="0" sId="1" dxf="1">
      <nc r="B251" t="inlineStr">
        <is>
          <t>1.4V</t>
        </is>
      </nc>
      <ndxf>
        <font>
          <sz val="12"/>
          <color rgb="FF000000"/>
          <name val="Calibri"/>
          <family val="2"/>
          <scheme val="minor"/>
        </font>
      </ndxf>
    </rcc>
    <rcc rId="0" sId="1" dxf="1">
      <nc r="B252" t="inlineStr">
        <is>
          <t>1.4V</t>
        </is>
      </nc>
      <ndxf>
        <font>
          <sz val="12"/>
          <color rgb="FF000000"/>
          <name val="Calibri"/>
          <family val="2"/>
          <scheme val="minor"/>
        </font>
      </ndxf>
    </rcc>
    <rcc rId="0" sId="1" dxf="1">
      <nc r="B253" t="inlineStr">
        <is>
          <t>1.4V</t>
        </is>
      </nc>
      <ndxf>
        <font>
          <sz val="12"/>
          <color rgb="FF000000"/>
          <name val="Calibri"/>
          <family val="2"/>
          <scheme val="minor"/>
        </font>
      </ndxf>
    </rcc>
    <rcc rId="0" sId="1" dxf="1">
      <nc r="B254" t="inlineStr">
        <is>
          <t>1.4V</t>
        </is>
      </nc>
      <ndxf>
        <font>
          <sz val="12"/>
          <color rgb="FF000000"/>
          <name val="Calibri"/>
          <family val="2"/>
          <scheme val="minor"/>
        </font>
      </ndxf>
    </rcc>
    <rcc rId="0" sId="1" dxf="1">
      <nc r="B255" t="inlineStr">
        <is>
          <t>1.4V</t>
        </is>
      </nc>
      <ndxf>
        <font>
          <sz val="12"/>
          <color rgb="FF000000"/>
          <name val="Calibri"/>
          <family val="2"/>
          <scheme val="minor"/>
        </font>
      </ndxf>
    </rcc>
    <rcc rId="0" sId="1" dxf="1">
      <nc r="B256" t="inlineStr">
        <is>
          <t>1.4V</t>
        </is>
      </nc>
      <ndxf>
        <font>
          <sz val="12"/>
          <color rgb="FF000000"/>
          <name val="Calibri"/>
          <family val="2"/>
          <scheme val="minor"/>
        </font>
      </ndxf>
    </rcc>
    <rcc rId="0" sId="1" dxf="1">
      <nc r="B257" t="inlineStr">
        <is>
          <t>1.4V</t>
        </is>
      </nc>
      <ndxf>
        <font>
          <sz val="12"/>
          <color rgb="FF000000"/>
          <name val="Calibri"/>
          <family val="2"/>
          <scheme val="minor"/>
        </font>
      </ndxf>
    </rcc>
    <rcc rId="0" sId="1" dxf="1">
      <nc r="B258" t="inlineStr">
        <is>
          <t>1.4V</t>
        </is>
      </nc>
      <ndxf>
        <font>
          <sz val="12"/>
          <color rgb="FF000000"/>
          <name val="Calibri"/>
          <family val="2"/>
          <scheme val="minor"/>
        </font>
      </ndxf>
    </rcc>
    <rcc rId="0" sId="1" dxf="1">
      <nc r="B259" t="inlineStr">
        <is>
          <t>1.4V</t>
        </is>
      </nc>
      <ndxf>
        <font>
          <sz val="12"/>
          <color rgb="FF000000"/>
          <name val="Calibri"/>
          <family val="2"/>
          <scheme val="minor"/>
        </font>
      </ndxf>
    </rcc>
    <rcc rId="0" sId="1" dxf="1">
      <nc r="B260" t="inlineStr">
        <is>
          <t>1.4V</t>
        </is>
      </nc>
      <ndxf>
        <font>
          <sz val="12"/>
          <color rgb="FF000000"/>
          <name val="Calibri"/>
          <family val="2"/>
          <scheme val="minor"/>
        </font>
      </ndxf>
    </rcc>
    <rcc rId="0" sId="1" dxf="1">
      <nc r="B261" t="inlineStr">
        <is>
          <t>1.4V</t>
        </is>
      </nc>
      <ndxf>
        <font>
          <sz val="12"/>
          <color rgb="FF000000"/>
          <name val="Calibri"/>
          <family val="2"/>
          <scheme val="minor"/>
        </font>
      </ndxf>
    </rcc>
    <rcc rId="0" sId="1" dxf="1">
      <nc r="B262" t="inlineStr">
        <is>
          <t>1.4V</t>
        </is>
      </nc>
      <ndxf>
        <font>
          <sz val="12"/>
          <color rgb="FF000000"/>
          <name val="Calibri"/>
          <family val="2"/>
          <scheme val="minor"/>
        </font>
      </ndxf>
    </rcc>
    <rcc rId="0" sId="1" dxf="1">
      <nc r="B263" t="inlineStr">
        <is>
          <t>1.4V</t>
        </is>
      </nc>
      <ndxf>
        <font>
          <sz val="12"/>
          <color rgb="FF000000"/>
          <name val="Calibri"/>
          <family val="2"/>
          <scheme val="minor"/>
        </font>
      </ndxf>
    </rcc>
    <rcc rId="0" sId="1" dxf="1">
      <nc r="B264" t="inlineStr">
        <is>
          <t>1.4V</t>
        </is>
      </nc>
      <ndxf>
        <font>
          <sz val="12"/>
          <color rgb="FF000000"/>
          <name val="Calibri"/>
          <family val="2"/>
          <scheme val="minor"/>
        </font>
      </ndxf>
    </rcc>
    <rcc rId="0" sId="1" dxf="1">
      <nc r="B265" t="inlineStr">
        <is>
          <t>1.4V</t>
        </is>
      </nc>
      <ndxf>
        <font>
          <sz val="12"/>
          <color rgb="FF000000"/>
          <name val="Calibri"/>
          <family val="2"/>
          <scheme val="minor"/>
        </font>
      </ndxf>
    </rcc>
    <rcc rId="0" sId="1" dxf="1">
      <nc r="B266" t="inlineStr">
        <is>
          <t>1.4V</t>
        </is>
      </nc>
      <ndxf>
        <font>
          <sz val="12"/>
          <color rgb="FF000000"/>
          <name val="Calibri"/>
          <family val="2"/>
          <scheme val="minor"/>
        </font>
      </ndxf>
    </rcc>
    <rcc rId="0" sId="1" dxf="1">
      <nc r="B267" t="inlineStr">
        <is>
          <t>1.4V</t>
        </is>
      </nc>
      <ndxf>
        <font>
          <sz val="12"/>
          <color rgb="FF000000"/>
          <name val="Calibri"/>
          <family val="2"/>
          <scheme val="minor"/>
        </font>
      </ndxf>
    </rcc>
    <rcc rId="0" sId="1" dxf="1">
      <nc r="B268" t="inlineStr">
        <is>
          <t>1.4V</t>
        </is>
      </nc>
      <ndxf>
        <font>
          <sz val="12"/>
          <color rgb="FF000000"/>
          <name val="Calibri"/>
          <family val="2"/>
          <scheme val="minor"/>
        </font>
      </ndxf>
    </rcc>
    <rcc rId="0" sId="1" dxf="1">
      <nc r="B269" t="inlineStr">
        <is>
          <t>1.4V</t>
        </is>
      </nc>
      <ndxf>
        <font>
          <sz val="12"/>
          <color rgb="FF000000"/>
          <name val="Calibri"/>
          <family val="2"/>
          <scheme val="minor"/>
        </font>
      </ndxf>
    </rcc>
    <rcc rId="0" sId="1" dxf="1">
      <nc r="B270" t="inlineStr">
        <is>
          <t>1.4V</t>
        </is>
      </nc>
      <ndxf>
        <font>
          <sz val="12"/>
          <color rgb="FF000000"/>
          <name val="Calibri"/>
          <family val="2"/>
          <scheme val="minor"/>
        </font>
      </ndxf>
    </rcc>
    <rcc rId="0" sId="1" dxf="1">
      <nc r="B271" t="inlineStr">
        <is>
          <t>1.4V</t>
        </is>
      </nc>
      <ndxf>
        <font>
          <sz val="12"/>
          <color rgb="FF000000"/>
          <name val="Calibri"/>
          <family val="2"/>
          <scheme val="minor"/>
        </font>
      </ndxf>
    </rcc>
    <rcc rId="0" sId="1" dxf="1">
      <nc r="B272" t="inlineStr">
        <is>
          <t>1.4V</t>
        </is>
      </nc>
      <ndxf>
        <font>
          <sz val="12"/>
          <color rgb="FF000000"/>
          <name val="Calibri"/>
          <family val="2"/>
          <scheme val="minor"/>
        </font>
      </ndxf>
    </rcc>
    <rcc rId="0" sId="1" dxf="1">
      <nc r="B273" t="inlineStr">
        <is>
          <t>1.4V</t>
        </is>
      </nc>
      <ndxf>
        <font>
          <sz val="12"/>
          <color rgb="FF000000"/>
          <name val="Calibri"/>
          <family val="2"/>
          <scheme val="minor"/>
        </font>
      </ndxf>
    </rcc>
    <rcc rId="0" sId="1" dxf="1">
      <nc r="B274" t="inlineStr">
        <is>
          <t>1.4V</t>
        </is>
      </nc>
      <ndxf>
        <font>
          <sz val="12"/>
          <color rgb="FF000000"/>
          <name val="Calibri"/>
          <family val="2"/>
          <scheme val="minor"/>
        </font>
      </ndxf>
    </rcc>
    <rcc rId="0" sId="1" dxf="1">
      <nc r="B275" t="inlineStr">
        <is>
          <t>1.4V</t>
        </is>
      </nc>
      <ndxf>
        <font>
          <sz val="12"/>
          <color rgb="FF000000"/>
          <name val="Calibri"/>
          <family val="2"/>
          <scheme val="minor"/>
        </font>
      </ndxf>
    </rcc>
    <rcc rId="0" sId="1" dxf="1">
      <nc r="B276" t="inlineStr">
        <is>
          <t>1.4V</t>
        </is>
      </nc>
      <ndxf>
        <font>
          <sz val="12"/>
          <color rgb="FF000000"/>
          <name val="Calibri"/>
          <family val="2"/>
          <scheme val="minor"/>
        </font>
      </ndxf>
    </rcc>
    <rcc rId="0" sId="1" dxf="1">
      <nc r="B277" t="inlineStr">
        <is>
          <t>1.4V</t>
        </is>
      </nc>
      <ndxf>
        <font>
          <sz val="12"/>
          <color rgb="FF000000"/>
          <name val="Calibri"/>
          <family val="2"/>
          <scheme val="minor"/>
        </font>
      </ndxf>
    </rcc>
    <rcc rId="0" sId="1" dxf="1">
      <nc r="B278" t="inlineStr">
        <is>
          <t>1.4V</t>
        </is>
      </nc>
      <ndxf>
        <font>
          <sz val="12"/>
          <color rgb="FF000000"/>
          <name val="Calibri"/>
          <family val="2"/>
          <scheme val="minor"/>
        </font>
      </ndxf>
    </rcc>
    <rcc rId="0" sId="1" dxf="1">
      <nc r="B279" t="inlineStr">
        <is>
          <t>1.4V</t>
        </is>
      </nc>
      <ndxf>
        <font>
          <sz val="12"/>
          <color rgb="FF000000"/>
          <name val="Calibri"/>
          <family val="2"/>
          <scheme val="minor"/>
        </font>
      </ndxf>
    </rcc>
    <rcc rId="0" sId="1" dxf="1">
      <nc r="B280" t="inlineStr">
        <is>
          <t>1.4V</t>
        </is>
      </nc>
      <ndxf>
        <font>
          <sz val="12"/>
          <color rgb="FF000000"/>
          <name val="Calibri"/>
          <family val="2"/>
          <scheme val="minor"/>
        </font>
      </ndxf>
    </rcc>
    <rcc rId="0" sId="1" dxf="1">
      <nc r="B281" t="inlineStr">
        <is>
          <t>1.4V</t>
        </is>
      </nc>
      <ndxf>
        <font>
          <sz val="12"/>
          <color rgb="FF000000"/>
          <name val="Calibri"/>
          <family val="2"/>
          <scheme val="minor"/>
        </font>
      </ndxf>
    </rcc>
    <rcc rId="0" sId="1" dxf="1">
      <nc r="B282" t="inlineStr">
        <is>
          <t>1.4V</t>
        </is>
      </nc>
      <ndxf>
        <font>
          <sz val="12"/>
          <color rgb="FF000000"/>
          <name val="Calibri"/>
          <family val="2"/>
          <scheme val="minor"/>
        </font>
      </ndxf>
    </rcc>
    <rcc rId="0" sId="1" dxf="1">
      <nc r="B283" t="inlineStr">
        <is>
          <t>1.4V</t>
        </is>
      </nc>
      <ndxf>
        <font>
          <sz val="12"/>
          <color rgb="FF000000"/>
          <name val="Calibri"/>
          <family val="2"/>
          <scheme val="minor"/>
        </font>
      </ndxf>
    </rcc>
    <rcc rId="0" sId="1" dxf="1">
      <nc r="B284" t="inlineStr">
        <is>
          <t>1.4V</t>
        </is>
      </nc>
      <ndxf>
        <font>
          <sz val="12"/>
          <color rgb="FF000000"/>
          <name val="Calibri"/>
          <family val="2"/>
          <scheme val="minor"/>
        </font>
      </ndxf>
    </rcc>
    <rcc rId="0" sId="1" dxf="1">
      <nc r="B285" t="inlineStr">
        <is>
          <t>1.4V</t>
        </is>
      </nc>
      <ndxf>
        <font>
          <sz val="12"/>
          <color rgb="FF000000"/>
          <name val="Calibri"/>
          <family val="2"/>
          <scheme val="minor"/>
        </font>
      </ndxf>
    </rcc>
    <rcc rId="0" sId="1" dxf="1">
      <nc r="B286" t="inlineStr">
        <is>
          <t>1.4V</t>
        </is>
      </nc>
      <ndxf>
        <font>
          <sz val="12"/>
          <color rgb="FF000000"/>
          <name val="Calibri"/>
          <family val="2"/>
          <scheme val="minor"/>
        </font>
      </ndxf>
    </rcc>
    <rcc rId="0" sId="1" dxf="1">
      <nc r="B287" t="inlineStr">
        <is>
          <t>1.4V</t>
        </is>
      </nc>
      <ndxf>
        <font>
          <sz val="12"/>
          <color rgb="FF000000"/>
          <name val="Calibri"/>
          <family val="2"/>
          <scheme val="minor"/>
        </font>
      </ndxf>
    </rcc>
    <rcc rId="0" sId="1" dxf="1">
      <nc r="B288" t="inlineStr">
        <is>
          <t>1.4V</t>
        </is>
      </nc>
      <ndxf>
        <font>
          <sz val="12"/>
          <color rgb="FF000000"/>
          <name val="Calibri"/>
          <family val="2"/>
          <scheme val="minor"/>
        </font>
      </ndxf>
    </rcc>
    <rcc rId="0" sId="1" dxf="1">
      <nc r="B289" t="inlineStr">
        <is>
          <t>1.4V</t>
        </is>
      </nc>
      <ndxf>
        <font>
          <sz val="12"/>
          <color rgb="FF000000"/>
          <name val="Calibri"/>
          <family val="2"/>
          <scheme val="minor"/>
        </font>
      </ndxf>
    </rcc>
    <rcc rId="0" sId="1" dxf="1">
      <nc r="B290" t="inlineStr">
        <is>
          <t>1.4V</t>
        </is>
      </nc>
      <ndxf>
        <font>
          <sz val="12"/>
          <color rgb="FF000000"/>
          <name val="Calibri"/>
          <family val="2"/>
          <scheme val="minor"/>
        </font>
      </ndxf>
    </rcc>
    <rcc rId="0" sId="1" dxf="1">
      <nc r="B291" t="inlineStr">
        <is>
          <t>1.4V</t>
        </is>
      </nc>
      <ndxf>
        <font>
          <sz val="12"/>
          <color rgb="FF000000"/>
          <name val="Calibri"/>
          <family val="2"/>
          <scheme val="minor"/>
        </font>
      </ndxf>
    </rcc>
    <rcc rId="0" sId="1" dxf="1">
      <nc r="B292" t="inlineStr">
        <is>
          <t>1.4V</t>
        </is>
      </nc>
      <ndxf>
        <font>
          <sz val="12"/>
          <color rgb="FF000000"/>
          <name val="Calibri"/>
          <family val="2"/>
          <scheme val="minor"/>
        </font>
      </ndxf>
    </rcc>
    <rcc rId="0" sId="1" dxf="1">
      <nc r="B293" t="inlineStr">
        <is>
          <t>1.4V</t>
        </is>
      </nc>
      <ndxf>
        <font>
          <sz val="12"/>
          <color rgb="FF000000"/>
          <name val="Calibri"/>
          <family val="2"/>
          <scheme val="minor"/>
        </font>
      </ndxf>
    </rcc>
    <rcc rId="0" sId="1" dxf="1">
      <nc r="B294" t="inlineStr">
        <is>
          <t>1.4V</t>
        </is>
      </nc>
      <ndxf>
        <font>
          <sz val="12"/>
          <color rgb="FF000000"/>
          <name val="Calibri"/>
          <family val="2"/>
          <scheme val="minor"/>
        </font>
      </ndxf>
    </rcc>
    <rcc rId="0" sId="1" dxf="1">
      <nc r="B295" t="inlineStr">
        <is>
          <t>1.4V</t>
        </is>
      </nc>
      <ndxf>
        <font>
          <sz val="12"/>
          <color rgb="FF000000"/>
          <name val="Calibri"/>
          <family val="2"/>
          <scheme val="minor"/>
        </font>
      </ndxf>
    </rcc>
    <rcc rId="0" sId="1" dxf="1">
      <nc r="B296" t="inlineStr">
        <is>
          <t>1.4V</t>
        </is>
      </nc>
      <ndxf>
        <font>
          <sz val="12"/>
          <color rgb="FF000000"/>
          <name val="Calibri"/>
          <family val="2"/>
          <scheme val="minor"/>
        </font>
      </ndxf>
    </rcc>
    <rcc rId="0" sId="1" dxf="1">
      <nc r="B297" t="inlineStr">
        <is>
          <t>1.4V</t>
        </is>
      </nc>
      <ndxf>
        <font>
          <sz val="12"/>
          <color rgb="FF000000"/>
          <name val="Calibri"/>
          <family val="2"/>
          <scheme val="minor"/>
        </font>
      </ndxf>
    </rcc>
    <rcc rId="0" sId="1" dxf="1">
      <nc r="B298" t="inlineStr">
        <is>
          <t>1.4V</t>
        </is>
      </nc>
      <ndxf>
        <font>
          <sz val="12"/>
          <color rgb="FF000000"/>
          <name val="Calibri"/>
          <family val="2"/>
          <scheme val="minor"/>
        </font>
      </ndxf>
    </rcc>
    <rcc rId="0" sId="1" dxf="1">
      <nc r="B299" t="inlineStr">
        <is>
          <t>1.4V</t>
        </is>
      </nc>
      <ndxf>
        <font>
          <sz val="12"/>
          <color rgb="FF000000"/>
          <name val="Calibri"/>
          <family val="2"/>
          <scheme val="minor"/>
        </font>
      </ndxf>
    </rcc>
    <rcc rId="0" sId="1" dxf="1">
      <nc r="B300" t="inlineStr">
        <is>
          <t>1.4V</t>
        </is>
      </nc>
      <ndxf>
        <font>
          <sz val="12"/>
          <color rgb="FF000000"/>
          <name val="Calibri"/>
          <family val="2"/>
          <scheme val="minor"/>
        </font>
      </ndxf>
    </rcc>
    <rcc rId="0" sId="1" dxf="1">
      <nc r="B301" t="inlineStr">
        <is>
          <t>1.4V</t>
        </is>
      </nc>
      <ndxf>
        <font>
          <sz val="12"/>
          <color rgb="FF000000"/>
          <name val="Calibri"/>
          <family val="2"/>
          <scheme val="minor"/>
        </font>
      </ndxf>
    </rcc>
    <rcc rId="0" sId="1" dxf="1">
      <nc r="B302" t="inlineStr">
        <is>
          <t>1.4V</t>
        </is>
      </nc>
      <ndxf>
        <font>
          <sz val="12"/>
          <color rgb="FF000000"/>
          <name val="Calibri"/>
          <family val="2"/>
          <scheme val="minor"/>
        </font>
      </ndxf>
    </rcc>
    <rcc rId="0" sId="1" dxf="1">
      <nc r="B303" t="inlineStr">
        <is>
          <t>1.4V</t>
        </is>
      </nc>
      <ndxf>
        <font>
          <sz val="12"/>
          <color rgb="FF000000"/>
          <name val="Calibri"/>
          <family val="2"/>
          <scheme val="minor"/>
        </font>
      </ndxf>
    </rcc>
    <rcc rId="0" sId="1" dxf="1">
      <nc r="B304" t="inlineStr">
        <is>
          <t>1.4V</t>
        </is>
      </nc>
      <ndxf>
        <font>
          <sz val="12"/>
          <color rgb="FF000000"/>
          <name val="Calibri"/>
          <family val="2"/>
          <scheme val="minor"/>
        </font>
      </ndxf>
    </rcc>
    <rcc rId="0" sId="1" dxf="1">
      <nc r="B305" t="inlineStr">
        <is>
          <t>1.4V</t>
        </is>
      </nc>
      <ndxf>
        <font>
          <sz val="12"/>
          <color rgb="FF000000"/>
          <name val="Calibri"/>
          <family val="2"/>
          <scheme val="minor"/>
        </font>
      </ndxf>
    </rcc>
    <rcc rId="0" sId="1" dxf="1">
      <nc r="B306" t="inlineStr">
        <is>
          <t>1.4V</t>
        </is>
      </nc>
      <ndxf>
        <font>
          <sz val="12"/>
          <color rgb="FF000000"/>
          <name val="Calibri"/>
          <family val="2"/>
          <scheme val="minor"/>
        </font>
      </ndxf>
    </rcc>
    <rcc rId="0" sId="1" dxf="1">
      <nc r="B307" t="inlineStr">
        <is>
          <t>1.4V</t>
        </is>
      </nc>
      <ndxf>
        <font>
          <sz val="12"/>
          <color rgb="FF000000"/>
          <name val="Calibri"/>
          <family val="2"/>
          <scheme val="minor"/>
        </font>
      </ndxf>
    </rcc>
    <rcc rId="0" sId="1" dxf="1">
      <nc r="B308" t="inlineStr">
        <is>
          <t>1.4V</t>
        </is>
      </nc>
      <ndxf>
        <font>
          <sz val="12"/>
          <color rgb="FF000000"/>
          <name val="Calibri"/>
          <family val="2"/>
          <scheme val="minor"/>
        </font>
      </ndxf>
    </rcc>
    <rcc rId="0" sId="1" dxf="1">
      <nc r="B309" t="inlineStr">
        <is>
          <t>1.4V</t>
        </is>
      </nc>
      <ndxf>
        <font>
          <sz val="12"/>
          <color rgb="FF000000"/>
          <name val="Calibri"/>
          <family val="2"/>
          <scheme val="minor"/>
        </font>
      </ndxf>
    </rcc>
    <rcc rId="0" sId="1" dxf="1">
      <nc r="B310" t="inlineStr">
        <is>
          <t>1.4V</t>
        </is>
      </nc>
      <ndxf>
        <font>
          <sz val="12"/>
          <color rgb="FF000000"/>
          <name val="Calibri"/>
          <family val="2"/>
          <scheme val="minor"/>
        </font>
      </ndxf>
    </rcc>
    <rcc rId="0" sId="1" dxf="1">
      <nc r="B311" t="inlineStr">
        <is>
          <t>1.4V</t>
        </is>
      </nc>
      <ndxf>
        <font>
          <sz val="12"/>
          <color rgb="FF000000"/>
          <name val="Calibri"/>
          <family val="2"/>
          <scheme val="minor"/>
        </font>
      </ndxf>
    </rcc>
    <rcc rId="0" sId="1" dxf="1">
      <nc r="B312" t="inlineStr">
        <is>
          <t>1.4V</t>
        </is>
      </nc>
      <ndxf>
        <font>
          <sz val="12"/>
          <color rgb="FF000000"/>
          <name val="Calibri"/>
          <family val="2"/>
          <scheme val="minor"/>
        </font>
      </ndxf>
    </rcc>
    <rcc rId="0" sId="1" dxf="1">
      <nc r="B313" t="inlineStr">
        <is>
          <t>1.4V</t>
        </is>
      </nc>
      <ndxf>
        <font>
          <sz val="12"/>
          <color rgb="FF000000"/>
          <name val="Calibri"/>
          <family val="2"/>
          <scheme val="minor"/>
        </font>
      </ndxf>
    </rcc>
    <rcc rId="0" sId="1" dxf="1">
      <nc r="B314" t="inlineStr">
        <is>
          <t>1.4V</t>
        </is>
      </nc>
      <ndxf>
        <font>
          <sz val="12"/>
          <color rgb="FF000000"/>
          <name val="Calibri"/>
          <family val="2"/>
          <scheme val="minor"/>
        </font>
      </ndxf>
    </rcc>
    <rcc rId="0" sId="1" dxf="1">
      <nc r="B315" t="inlineStr">
        <is>
          <t>1.4V</t>
        </is>
      </nc>
      <ndxf>
        <font>
          <sz val="12"/>
          <color rgb="FF000000"/>
          <name val="Calibri"/>
          <family val="2"/>
          <scheme val="minor"/>
        </font>
      </ndxf>
    </rcc>
    <rcc rId="0" sId="1" dxf="1">
      <nc r="B316" t="inlineStr">
        <is>
          <t>1.4V</t>
        </is>
      </nc>
      <ndxf>
        <font>
          <sz val="12"/>
          <color rgb="FF000000"/>
          <name val="Calibri"/>
          <family val="2"/>
          <scheme val="minor"/>
        </font>
      </ndxf>
    </rcc>
    <rcc rId="0" sId="1" dxf="1">
      <nc r="B317" t="inlineStr">
        <is>
          <t>1.4V</t>
        </is>
      </nc>
      <ndxf>
        <font>
          <sz val="12"/>
          <color rgb="FF000000"/>
          <name val="Calibri"/>
          <family val="2"/>
          <scheme val="minor"/>
        </font>
      </ndxf>
    </rcc>
    <rcc rId="0" sId="1" dxf="1">
      <nc r="B318" t="inlineStr">
        <is>
          <t>1.4V</t>
        </is>
      </nc>
      <ndxf>
        <font>
          <sz val="12"/>
          <color rgb="FF000000"/>
          <name val="Calibri"/>
          <family val="2"/>
          <scheme val="minor"/>
        </font>
      </ndxf>
    </rcc>
    <rcc rId="0" sId="1" dxf="1">
      <nc r="B319" t="inlineStr">
        <is>
          <t>1.4V</t>
        </is>
      </nc>
      <ndxf>
        <font>
          <sz val="12"/>
          <color rgb="FF000000"/>
          <name val="Calibri"/>
          <family val="2"/>
          <scheme val="minor"/>
        </font>
      </ndxf>
    </rcc>
    <rcc rId="0" sId="1" dxf="1">
      <nc r="B320" t="inlineStr">
        <is>
          <t>1.4V</t>
        </is>
      </nc>
      <ndxf>
        <font>
          <sz val="12"/>
          <color rgb="FF000000"/>
          <name val="Calibri"/>
          <family val="2"/>
          <scheme val="minor"/>
        </font>
      </ndxf>
    </rcc>
    <rcc rId="0" sId="1" dxf="1">
      <nc r="B321" t="inlineStr">
        <is>
          <t>1.4V</t>
        </is>
      </nc>
      <ndxf>
        <font>
          <sz val="12"/>
          <color rgb="FF000000"/>
          <name val="Calibri"/>
          <family val="2"/>
          <scheme val="minor"/>
        </font>
      </ndxf>
    </rcc>
    <rcc rId="0" sId="1" dxf="1">
      <nc r="B322" t="inlineStr">
        <is>
          <t>1.4V</t>
        </is>
      </nc>
      <ndxf>
        <font>
          <sz val="12"/>
          <color rgb="FF000000"/>
          <name val="Calibri"/>
          <family val="2"/>
          <scheme val="minor"/>
        </font>
      </ndxf>
    </rcc>
    <rcc rId="0" sId="1" dxf="1">
      <nc r="B323" t="inlineStr">
        <is>
          <t>1.4V</t>
        </is>
      </nc>
      <ndxf>
        <font>
          <sz val="12"/>
          <color rgb="FF000000"/>
          <name val="Calibri"/>
          <family val="2"/>
          <scheme val="minor"/>
        </font>
      </ndxf>
    </rcc>
    <rcc rId="0" sId="1" dxf="1">
      <nc r="B324" t="inlineStr">
        <is>
          <t>1.4V</t>
        </is>
      </nc>
      <ndxf>
        <font>
          <sz val="12"/>
          <color rgb="FF000000"/>
          <name val="Calibri"/>
          <family val="2"/>
          <scheme val="minor"/>
        </font>
      </ndxf>
    </rcc>
    <rcc rId="0" sId="1" dxf="1">
      <nc r="B325" t="inlineStr">
        <is>
          <t>1.4V</t>
        </is>
      </nc>
      <ndxf>
        <font>
          <sz val="12"/>
          <color rgb="FF000000"/>
          <name val="Calibri"/>
          <family val="2"/>
          <scheme val="minor"/>
        </font>
      </ndxf>
    </rcc>
    <rcc rId="0" sId="1" dxf="1">
      <nc r="B326" t="inlineStr">
        <is>
          <t>1.4V</t>
        </is>
      </nc>
      <ndxf>
        <font>
          <sz val="12"/>
          <color rgb="FF000000"/>
          <name val="Calibri"/>
          <family val="2"/>
          <scheme val="minor"/>
        </font>
      </ndxf>
    </rcc>
    <rcc rId="0" sId="1" dxf="1">
      <nc r="B328" t="inlineStr">
        <is>
          <t>1.4V</t>
        </is>
      </nc>
      <ndxf>
        <font>
          <sz val="12"/>
          <color rgb="FF000000"/>
          <name val="Calibri"/>
          <family val="2"/>
          <scheme val="minor"/>
        </font>
      </ndxf>
    </rcc>
    <rcc rId="0" sId="1" dxf="1">
      <nc r="B329" t="inlineStr">
        <is>
          <t>1.4V</t>
        </is>
      </nc>
      <ndxf>
        <font>
          <sz val="12"/>
          <color rgb="FF000000"/>
          <name val="Calibri"/>
          <family val="2"/>
          <scheme val="minor"/>
        </font>
      </ndxf>
    </rcc>
    <rcc rId="0" sId="1" dxf="1">
      <nc r="B330" t="inlineStr">
        <is>
          <t>1.4V</t>
        </is>
      </nc>
      <ndxf>
        <font>
          <sz val="12"/>
          <color rgb="FF000000"/>
          <name val="Calibri"/>
          <family val="2"/>
          <scheme val="minor"/>
        </font>
      </ndxf>
    </rcc>
    <rcc rId="0" sId="1" dxf="1">
      <nc r="B331" t="inlineStr">
        <is>
          <t>1.4V</t>
        </is>
      </nc>
      <ndxf>
        <font>
          <sz val="12"/>
          <color rgb="FF000000"/>
          <name val="Calibri"/>
          <family val="2"/>
          <scheme val="minor"/>
        </font>
      </ndxf>
    </rcc>
    <rcc rId="0" sId="1" dxf="1">
      <nc r="B332" t="inlineStr">
        <is>
          <t>1.4V</t>
        </is>
      </nc>
      <ndxf>
        <font>
          <sz val="12"/>
          <color rgb="FF000000"/>
          <name val="Calibri"/>
          <family val="2"/>
          <scheme val="minor"/>
        </font>
      </ndxf>
    </rcc>
    <rcc rId="0" sId="1" dxf="1">
      <nc r="B333" t="inlineStr">
        <is>
          <t>1.4V</t>
        </is>
      </nc>
      <ndxf>
        <font>
          <sz val="12"/>
          <color rgb="FF000000"/>
          <name val="Calibri"/>
          <family val="2"/>
          <scheme val="minor"/>
        </font>
      </ndxf>
    </rcc>
    <rcc rId="0" sId="1" dxf="1">
      <nc r="B334" t="inlineStr">
        <is>
          <t>1.4V</t>
        </is>
      </nc>
      <ndxf>
        <font>
          <sz val="12"/>
          <color rgb="FF000000"/>
          <name val="Calibri"/>
          <family val="2"/>
          <scheme val="minor"/>
        </font>
      </ndxf>
    </rcc>
    <rcc rId="0" sId="1" dxf="1">
      <nc r="B335" t="inlineStr">
        <is>
          <t>1.4V</t>
        </is>
      </nc>
      <ndxf>
        <font>
          <sz val="12"/>
          <color rgb="FF000000"/>
          <name val="Calibri"/>
          <family val="2"/>
          <scheme val="minor"/>
        </font>
      </ndxf>
    </rcc>
    <rcc rId="0" sId="1" dxf="1">
      <nc r="B336" t="inlineStr">
        <is>
          <t>1.4V</t>
        </is>
      </nc>
      <ndxf>
        <font>
          <sz val="12"/>
          <color rgb="FF000000"/>
          <name val="Calibri"/>
          <family val="2"/>
          <scheme val="minor"/>
        </font>
      </ndxf>
    </rcc>
    <rcc rId="0" sId="1" dxf="1">
      <nc r="B337" t="inlineStr">
        <is>
          <t>1.4V</t>
        </is>
      </nc>
      <ndxf>
        <font>
          <sz val="12"/>
          <color rgb="FF000000"/>
          <name val="Calibri"/>
          <family val="2"/>
          <scheme val="minor"/>
        </font>
      </ndxf>
    </rcc>
    <rcc rId="0" sId="1" dxf="1">
      <nc r="B338" t="inlineStr">
        <is>
          <t>1.4V</t>
        </is>
      </nc>
      <ndxf>
        <font>
          <sz val="12"/>
          <color rgb="FF000000"/>
          <name val="Calibri"/>
          <family val="2"/>
          <scheme val="minor"/>
        </font>
      </ndxf>
    </rcc>
  </rrc>
  <rcc rId="3180" sId="1">
    <oc r="C135" t="inlineStr">
      <is>
        <t>V</t>
      </is>
    </oc>
    <nc r="C135" t="inlineStr">
      <is>
        <t>vertical</t>
      </is>
    </nc>
  </rcc>
  <rcc rId="3181" sId="1">
    <oc r="C137" t="inlineStr">
      <is>
        <t>V</t>
      </is>
    </oc>
    <nc r="C137" t="inlineStr">
      <is>
        <t>vertical</t>
      </is>
    </nc>
  </rcc>
  <rcc rId="3182" sId="1">
    <oc r="C139" t="inlineStr">
      <is>
        <t>V</t>
      </is>
    </oc>
    <nc r="C139" t="inlineStr">
      <is>
        <t>vertical</t>
      </is>
    </nc>
  </rcc>
  <rcc rId="3183" sId="1">
    <oc r="C141" t="inlineStr">
      <is>
        <t>V</t>
      </is>
    </oc>
    <nc r="C141" t="inlineStr">
      <is>
        <t>vertical</t>
      </is>
    </nc>
  </rcc>
  <rcc rId="3184" sId="1">
    <oc r="C142" t="inlineStr">
      <is>
        <t>V</t>
      </is>
    </oc>
    <nc r="C142" t="inlineStr">
      <is>
        <t>vertical</t>
      </is>
    </nc>
  </rcc>
  <rcc rId="3185" sId="1">
    <oc r="C144" t="inlineStr">
      <is>
        <t>V</t>
      </is>
    </oc>
    <nc r="C144" t="inlineStr">
      <is>
        <t>vertical</t>
      </is>
    </nc>
  </rcc>
  <rcc rId="3186" sId="1">
    <oc r="C147" t="inlineStr">
      <is>
        <t>V</t>
      </is>
    </oc>
    <nc r="C147" t="inlineStr">
      <is>
        <t>vertical</t>
      </is>
    </nc>
  </rcc>
  <rcc rId="3187" sId="1">
    <oc r="C150" t="inlineStr">
      <is>
        <t>V</t>
      </is>
    </oc>
    <nc r="C150" t="inlineStr">
      <is>
        <t>vertical</t>
      </is>
    </nc>
  </rcc>
  <rcc rId="3188" sId="1">
    <oc r="C152" t="inlineStr">
      <is>
        <t>V</t>
      </is>
    </oc>
    <nc r="C152" t="inlineStr">
      <is>
        <t>vertical</t>
      </is>
    </nc>
  </rcc>
  <rcc rId="3189" sId="1">
    <oc r="C156" t="inlineStr">
      <is>
        <t>V</t>
      </is>
    </oc>
    <nc r="C156" t="inlineStr">
      <is>
        <t>vertical</t>
      </is>
    </nc>
  </rcc>
  <rcc rId="3190" sId="1">
    <oc r="C158" t="inlineStr">
      <is>
        <t>V</t>
      </is>
    </oc>
    <nc r="C158" t="inlineStr">
      <is>
        <t>vertical</t>
      </is>
    </nc>
  </rcc>
  <rcc rId="3191" sId="1">
    <oc r="C161" t="inlineStr">
      <is>
        <t>V</t>
      </is>
    </oc>
    <nc r="C161" t="inlineStr">
      <is>
        <t>vertical</t>
      </is>
    </nc>
  </rcc>
  <rcc rId="3192" sId="1">
    <oc r="C164" t="inlineStr">
      <is>
        <t>V</t>
      </is>
    </oc>
    <nc r="C164" t="inlineStr">
      <is>
        <t>vertical</t>
      </is>
    </nc>
  </rcc>
  <rcc rId="3193" sId="1">
    <oc r="C167" t="inlineStr">
      <is>
        <t>V</t>
      </is>
    </oc>
    <nc r="C167" t="inlineStr">
      <is>
        <t>vertical</t>
      </is>
    </nc>
  </rcc>
  <rcc rId="3194" sId="1">
    <oc r="C168" t="inlineStr">
      <is>
        <t>V</t>
      </is>
    </oc>
    <nc r="C168" t="inlineStr">
      <is>
        <t>vertical</t>
      </is>
    </nc>
  </rcc>
  <rcc rId="3195" sId="1">
    <oc r="C170" t="inlineStr">
      <is>
        <t>V</t>
      </is>
    </oc>
    <nc r="C170" t="inlineStr">
      <is>
        <t>vertical</t>
      </is>
    </nc>
  </rcc>
  <rcc rId="3196" sId="1">
    <oc r="C173" t="inlineStr">
      <is>
        <t>V</t>
      </is>
    </oc>
    <nc r="C173" t="inlineStr">
      <is>
        <t>vertical</t>
      </is>
    </nc>
  </rcc>
  <rcc rId="3197" sId="1">
    <oc r="C174" t="inlineStr">
      <is>
        <t>V</t>
      </is>
    </oc>
    <nc r="C174" t="inlineStr">
      <is>
        <t>vertical</t>
      </is>
    </nc>
  </rcc>
  <rcc rId="3198" sId="1">
    <oc r="C177" t="inlineStr">
      <is>
        <t>V</t>
      </is>
    </oc>
    <nc r="C177" t="inlineStr">
      <is>
        <t>vertical</t>
      </is>
    </nc>
  </rcc>
  <rcc rId="3199" sId="1">
    <oc r="C179" t="inlineStr">
      <is>
        <t>V</t>
      </is>
    </oc>
    <nc r="C179" t="inlineStr">
      <is>
        <t>vertical</t>
      </is>
    </nc>
  </rcc>
  <rcc rId="3200" sId="1">
    <oc r="C181" t="inlineStr">
      <is>
        <t>V</t>
      </is>
    </oc>
    <nc r="C181" t="inlineStr">
      <is>
        <t>vertical</t>
      </is>
    </nc>
  </rcc>
  <rcc rId="3201" sId="1">
    <oc r="C182" t="inlineStr">
      <is>
        <t>V</t>
      </is>
    </oc>
    <nc r="C182" t="inlineStr">
      <is>
        <t>vertical</t>
      </is>
    </nc>
  </rcc>
  <rcc rId="3202" sId="1">
    <oc r="C184" t="inlineStr">
      <is>
        <t>V</t>
      </is>
    </oc>
    <nc r="C184" t="inlineStr">
      <is>
        <t>vertical</t>
      </is>
    </nc>
  </rcc>
  <rcc rId="3203" sId="1">
    <oc r="C187" t="inlineStr">
      <is>
        <t>V</t>
      </is>
    </oc>
    <nc r="C187" t="inlineStr">
      <is>
        <t>vertical</t>
      </is>
    </nc>
  </rcc>
  <rcc rId="3204" sId="1">
    <oc r="C188" t="inlineStr">
      <is>
        <t>V</t>
      </is>
    </oc>
    <nc r="C188" t="inlineStr">
      <is>
        <t>vertical</t>
      </is>
    </nc>
  </rcc>
  <rcc rId="3205" sId="1">
    <oc r="C192" t="inlineStr">
      <is>
        <t>V</t>
      </is>
    </oc>
    <nc r="C192" t="inlineStr">
      <is>
        <t>vertical</t>
      </is>
    </nc>
  </rcc>
  <rcc rId="3206" sId="1">
    <oc r="C193" t="inlineStr">
      <is>
        <t>V</t>
      </is>
    </oc>
    <nc r="C193" t="inlineStr">
      <is>
        <t>vertical</t>
      </is>
    </nc>
  </rcc>
  <rcc rId="3207" sId="1">
    <oc r="C195" t="inlineStr">
      <is>
        <t>V</t>
      </is>
    </oc>
    <nc r="C195" t="inlineStr">
      <is>
        <t>vertical</t>
      </is>
    </nc>
  </rcc>
  <rcc rId="3208" sId="1">
    <oc r="C198" t="inlineStr">
      <is>
        <t>V</t>
      </is>
    </oc>
    <nc r="C198" t="inlineStr">
      <is>
        <t>vertical</t>
      </is>
    </nc>
  </rcc>
  <rcc rId="3209" sId="1">
    <oc r="C199" t="inlineStr">
      <is>
        <t>V</t>
      </is>
    </oc>
    <nc r="C199" t="inlineStr">
      <is>
        <t>vertical</t>
      </is>
    </nc>
  </rcc>
  <rcc rId="3210" sId="1">
    <oc r="C201" t="inlineStr">
      <is>
        <t>V</t>
      </is>
    </oc>
    <nc r="C201" t="inlineStr">
      <is>
        <t>vertical</t>
      </is>
    </nc>
  </rcc>
  <rcc rId="3211" sId="1">
    <oc r="C202" t="inlineStr">
      <is>
        <t>V</t>
      </is>
    </oc>
    <nc r="C202" t="inlineStr">
      <is>
        <t>vertical</t>
      </is>
    </nc>
  </rcc>
  <rcc rId="3212" sId="1">
    <oc r="C206" t="inlineStr">
      <is>
        <t>V</t>
      </is>
    </oc>
    <nc r="C206" t="inlineStr">
      <is>
        <t>vertical</t>
      </is>
    </nc>
  </rcc>
  <rcc rId="3213" sId="1">
    <oc r="C208" t="inlineStr">
      <is>
        <t>V</t>
      </is>
    </oc>
    <nc r="C208" t="inlineStr">
      <is>
        <t>vertical</t>
      </is>
    </nc>
  </rcc>
  <rcc rId="3214" sId="1">
    <oc r="C210" t="inlineStr">
      <is>
        <t>V</t>
      </is>
    </oc>
    <nc r="C210" t="inlineStr">
      <is>
        <t>vertical</t>
      </is>
    </nc>
  </rcc>
  <rcc rId="3215" sId="1">
    <oc r="C211" t="inlineStr">
      <is>
        <t>V</t>
      </is>
    </oc>
    <nc r="C211" t="inlineStr">
      <is>
        <t>vertical</t>
      </is>
    </nc>
  </rcc>
  <rcc rId="3216" sId="1">
    <oc r="C213" t="inlineStr">
      <is>
        <t>V</t>
      </is>
    </oc>
    <nc r="C213" t="inlineStr">
      <is>
        <t>vertical</t>
      </is>
    </nc>
  </rcc>
  <rcc rId="3217" sId="1">
    <oc r="C214" t="inlineStr">
      <is>
        <t>V</t>
      </is>
    </oc>
    <nc r="C214" t="inlineStr">
      <is>
        <t>vertical</t>
      </is>
    </nc>
  </rcc>
  <rcc rId="3218" sId="1">
    <oc r="C218" t="inlineStr">
      <is>
        <t>V</t>
      </is>
    </oc>
    <nc r="C218" t="inlineStr">
      <is>
        <t>vertical</t>
      </is>
    </nc>
  </rcc>
  <rcc rId="3219" sId="1">
    <oc r="C220" t="inlineStr">
      <is>
        <t>V</t>
      </is>
    </oc>
    <nc r="C220" t="inlineStr">
      <is>
        <t>vertical</t>
      </is>
    </nc>
  </rcc>
  <rcc rId="3220" sId="1">
    <oc r="C222" t="inlineStr">
      <is>
        <t>V</t>
      </is>
    </oc>
    <nc r="C222" t="inlineStr">
      <is>
        <t>vertical</t>
      </is>
    </nc>
  </rcc>
  <rcc rId="3221" sId="1">
    <oc r="C225" t="inlineStr">
      <is>
        <t>V</t>
      </is>
    </oc>
    <nc r="C225" t="inlineStr">
      <is>
        <t>vertical</t>
      </is>
    </nc>
  </rcc>
  <rcc rId="3222" sId="1">
    <oc r="C228" t="inlineStr">
      <is>
        <t>V</t>
      </is>
    </oc>
    <nc r="C228" t="inlineStr">
      <is>
        <t>vertical</t>
      </is>
    </nc>
  </rcc>
  <rcc rId="3223" sId="1">
    <oc r="C230" t="inlineStr">
      <is>
        <t>V</t>
      </is>
    </oc>
    <nc r="C230" t="inlineStr">
      <is>
        <t>vertical</t>
      </is>
    </nc>
  </rcc>
  <rcc rId="3224" sId="1">
    <oc r="C232" t="inlineStr">
      <is>
        <t>V</t>
      </is>
    </oc>
    <nc r="C232" t="inlineStr">
      <is>
        <t>vertical</t>
      </is>
    </nc>
  </rcc>
  <rcc rId="3225" sId="1">
    <oc r="C234" t="inlineStr">
      <is>
        <t>V</t>
      </is>
    </oc>
    <nc r="C234" t="inlineStr">
      <is>
        <t>vertical</t>
      </is>
    </nc>
  </rcc>
  <rcc rId="3226" sId="1">
    <oc r="C237" t="inlineStr">
      <is>
        <t>V</t>
      </is>
    </oc>
    <nc r="C237" t="inlineStr">
      <is>
        <t>vertical</t>
      </is>
    </nc>
  </rcc>
  <rcc rId="3227" sId="1">
    <oc r="C238" t="inlineStr">
      <is>
        <t>V</t>
      </is>
    </oc>
    <nc r="C238" t="inlineStr">
      <is>
        <t>vertical</t>
      </is>
    </nc>
  </rcc>
  <rcc rId="3228" sId="1">
    <oc r="C240" t="inlineStr">
      <is>
        <t>V</t>
      </is>
    </oc>
    <nc r="C240" t="inlineStr">
      <is>
        <t>vertical</t>
      </is>
    </nc>
  </rcc>
  <rcc rId="3229" sId="1">
    <oc r="C242" t="inlineStr">
      <is>
        <t>V</t>
      </is>
    </oc>
    <nc r="C242" t="inlineStr">
      <is>
        <t>vertical</t>
      </is>
    </nc>
  </rcc>
  <rcc rId="3230" sId="1">
    <oc r="C243" t="inlineStr">
      <is>
        <t>V</t>
      </is>
    </oc>
    <nc r="C243" t="inlineStr">
      <is>
        <t>vertical</t>
      </is>
    </nc>
  </rcc>
  <rcc rId="3231" sId="1">
    <oc r="C244" t="inlineStr">
      <is>
        <t>V</t>
      </is>
    </oc>
    <nc r="C244" t="inlineStr">
      <is>
        <t>vertical</t>
      </is>
    </nc>
  </rcc>
  <rcc rId="3232" sId="1">
    <oc r="C245" t="inlineStr">
      <is>
        <t>V</t>
      </is>
    </oc>
    <nc r="C245" t="inlineStr">
      <is>
        <t>vertical</t>
      </is>
    </nc>
  </rcc>
  <rcc rId="3233" sId="1">
    <oc r="C246" t="inlineStr">
      <is>
        <t>V</t>
      </is>
    </oc>
    <nc r="C246" t="inlineStr">
      <is>
        <t>vertical</t>
      </is>
    </nc>
  </rcc>
  <rcc rId="3234" sId="1">
    <oc r="C247" t="inlineStr">
      <is>
        <t>V</t>
      </is>
    </oc>
    <nc r="C247" t="inlineStr">
      <is>
        <t>vertical</t>
      </is>
    </nc>
  </rcc>
  <rcc rId="3235" sId="1">
    <oc r="C248" t="inlineStr">
      <is>
        <t>V</t>
      </is>
    </oc>
    <nc r="C248" t="inlineStr">
      <is>
        <t>vertical</t>
      </is>
    </nc>
  </rcc>
  <rcc rId="3236" sId="1">
    <oc r="C249" t="inlineStr">
      <is>
        <t>V</t>
      </is>
    </oc>
    <nc r="C249" t="inlineStr">
      <is>
        <t>vertical</t>
      </is>
    </nc>
  </rcc>
  <rcc rId="3237" sId="1">
    <oc r="C250" t="inlineStr">
      <is>
        <t>V</t>
      </is>
    </oc>
    <nc r="C250" t="inlineStr">
      <is>
        <t>vertical</t>
      </is>
    </nc>
  </rcc>
  <rcc rId="3238" sId="1">
    <oc r="C251" t="inlineStr">
      <is>
        <t>V</t>
      </is>
    </oc>
    <nc r="C251" t="inlineStr">
      <is>
        <t>vertical</t>
      </is>
    </nc>
  </rcc>
  <rcc rId="3239" sId="1">
    <oc r="C252" t="inlineStr">
      <is>
        <t>V</t>
      </is>
    </oc>
    <nc r="C252" t="inlineStr">
      <is>
        <t>vertical</t>
      </is>
    </nc>
  </rcc>
  <rcc rId="3240" sId="1">
    <oc r="C253" t="inlineStr">
      <is>
        <t>V</t>
      </is>
    </oc>
    <nc r="C253" t="inlineStr">
      <is>
        <t>vertical</t>
      </is>
    </nc>
  </rcc>
  <rcc rId="3241" sId="1">
    <oc r="C254" t="inlineStr">
      <is>
        <t>V</t>
      </is>
    </oc>
    <nc r="C254" t="inlineStr">
      <is>
        <t>vertical</t>
      </is>
    </nc>
  </rcc>
  <rcc rId="3242" sId="1">
    <oc r="C255" t="inlineStr">
      <is>
        <t>V</t>
      </is>
    </oc>
    <nc r="C255" t="inlineStr">
      <is>
        <t>vertical</t>
      </is>
    </nc>
  </rcc>
  <rcc rId="3243" sId="1">
    <oc r="C256" t="inlineStr">
      <is>
        <t>V</t>
      </is>
    </oc>
    <nc r="C256" t="inlineStr">
      <is>
        <t>vertical</t>
      </is>
    </nc>
  </rcc>
  <rcc rId="3244" sId="1">
    <oc r="C257" t="inlineStr">
      <is>
        <t>V</t>
      </is>
    </oc>
    <nc r="C257" t="inlineStr">
      <is>
        <t>vertical</t>
      </is>
    </nc>
  </rcc>
  <rcc rId="3245" sId="1">
    <oc r="C258" t="inlineStr">
      <is>
        <t>V</t>
      </is>
    </oc>
    <nc r="C258" t="inlineStr">
      <is>
        <t>vertical</t>
      </is>
    </nc>
  </rcc>
  <rcc rId="3246" sId="1">
    <oc r="C259" t="inlineStr">
      <is>
        <t>V</t>
      </is>
    </oc>
    <nc r="C259" t="inlineStr">
      <is>
        <t>vertical</t>
      </is>
    </nc>
  </rcc>
  <rcc rId="3247" sId="1">
    <oc r="C260" t="inlineStr">
      <is>
        <t>V</t>
      </is>
    </oc>
    <nc r="C260" t="inlineStr">
      <is>
        <t>vertical</t>
      </is>
    </nc>
  </rcc>
  <rcc rId="3248" sId="1">
    <oc r="C261" t="inlineStr">
      <is>
        <t>V</t>
      </is>
    </oc>
    <nc r="C261" t="inlineStr">
      <is>
        <t>vertical</t>
      </is>
    </nc>
  </rcc>
  <rcc rId="3249" sId="1">
    <oc r="C262" t="inlineStr">
      <is>
        <t>V</t>
      </is>
    </oc>
    <nc r="C262" t="inlineStr">
      <is>
        <t>vertical</t>
      </is>
    </nc>
  </rcc>
  <rcc rId="3250" sId="1">
    <oc r="C263" t="inlineStr">
      <is>
        <t>V</t>
      </is>
    </oc>
    <nc r="C263" t="inlineStr">
      <is>
        <t>vertical</t>
      </is>
    </nc>
  </rcc>
  <rcc rId="3251" sId="1">
    <oc r="C264" t="inlineStr">
      <is>
        <t>V</t>
      </is>
    </oc>
    <nc r="C264" t="inlineStr">
      <is>
        <t>vertical</t>
      </is>
    </nc>
  </rcc>
  <rcc rId="3252" sId="1">
    <oc r="C265" t="inlineStr">
      <is>
        <t>V</t>
      </is>
    </oc>
    <nc r="C265" t="inlineStr">
      <is>
        <t>vertical</t>
      </is>
    </nc>
  </rcc>
  <rcc rId="3253" sId="1">
    <oc r="C266" t="inlineStr">
      <is>
        <t>V</t>
      </is>
    </oc>
    <nc r="C266" t="inlineStr">
      <is>
        <t>vertical</t>
      </is>
    </nc>
  </rcc>
  <rcc rId="3254" sId="1">
    <oc r="C267" t="inlineStr">
      <is>
        <t>V</t>
      </is>
    </oc>
    <nc r="C267" t="inlineStr">
      <is>
        <t>vertical</t>
      </is>
    </nc>
  </rcc>
  <rcc rId="3255" sId="1">
    <oc r="C268" t="inlineStr">
      <is>
        <t>V</t>
      </is>
    </oc>
    <nc r="C268" t="inlineStr">
      <is>
        <t>vertical</t>
      </is>
    </nc>
  </rcc>
  <rcc rId="3256" sId="1">
    <oc r="C269" t="inlineStr">
      <is>
        <t>V</t>
      </is>
    </oc>
    <nc r="C269" t="inlineStr">
      <is>
        <t>vertical</t>
      </is>
    </nc>
  </rcc>
  <rcc rId="3257" sId="1">
    <oc r="C270" t="inlineStr">
      <is>
        <t>V</t>
      </is>
    </oc>
    <nc r="C270" t="inlineStr">
      <is>
        <t>vertical</t>
      </is>
    </nc>
  </rcc>
  <rcc rId="3258" sId="1">
    <oc r="C271" t="inlineStr">
      <is>
        <t>V</t>
      </is>
    </oc>
    <nc r="C271" t="inlineStr">
      <is>
        <t>vertical</t>
      </is>
    </nc>
  </rcc>
  <rcc rId="3259" sId="1">
    <oc r="C272" t="inlineStr">
      <is>
        <t>V</t>
      </is>
    </oc>
    <nc r="C272" t="inlineStr">
      <is>
        <t>vertical</t>
      </is>
    </nc>
  </rcc>
  <rcc rId="3260" sId="1">
    <oc r="C273" t="inlineStr">
      <is>
        <t>V</t>
      </is>
    </oc>
    <nc r="C273" t="inlineStr">
      <is>
        <t>vertical</t>
      </is>
    </nc>
  </rcc>
  <rcc rId="3261" sId="1">
    <oc r="C274" t="inlineStr">
      <is>
        <t>V</t>
      </is>
    </oc>
    <nc r="C274" t="inlineStr">
      <is>
        <t>vertical</t>
      </is>
    </nc>
  </rcc>
  <rcc rId="3262" sId="1">
    <oc r="C275" t="inlineStr">
      <is>
        <t>V</t>
      </is>
    </oc>
    <nc r="C275" t="inlineStr">
      <is>
        <t>vertical</t>
      </is>
    </nc>
  </rcc>
  <rcc rId="3263" sId="1">
    <oc r="C276" t="inlineStr">
      <is>
        <t>V</t>
      </is>
    </oc>
    <nc r="C276" t="inlineStr">
      <is>
        <t>vertical</t>
      </is>
    </nc>
  </rcc>
  <rcc rId="3264" sId="1">
    <oc r="C277" t="inlineStr">
      <is>
        <t>V</t>
      </is>
    </oc>
    <nc r="C277" t="inlineStr">
      <is>
        <t>vertical</t>
      </is>
    </nc>
  </rcc>
  <rcc rId="3265" sId="1">
    <oc r="C278" t="inlineStr">
      <is>
        <t>V</t>
      </is>
    </oc>
    <nc r="C278" t="inlineStr">
      <is>
        <t>vertical</t>
      </is>
    </nc>
  </rcc>
  <rcc rId="3266" sId="1">
    <oc r="C279" t="inlineStr">
      <is>
        <t>V</t>
      </is>
    </oc>
    <nc r="C279" t="inlineStr">
      <is>
        <t>vertical</t>
      </is>
    </nc>
  </rcc>
  <rcc rId="3267" sId="1">
    <oc r="C280" t="inlineStr">
      <is>
        <t>V</t>
      </is>
    </oc>
    <nc r="C280" t="inlineStr">
      <is>
        <t>vertical</t>
      </is>
    </nc>
  </rcc>
  <rcc rId="3268" sId="1">
    <oc r="C281" t="inlineStr">
      <is>
        <t>V</t>
      </is>
    </oc>
    <nc r="C281" t="inlineStr">
      <is>
        <t>vertical</t>
      </is>
    </nc>
  </rcc>
  <rcc rId="3269" sId="1">
    <oc r="C282" t="inlineStr">
      <is>
        <t>V</t>
      </is>
    </oc>
    <nc r="C282" t="inlineStr">
      <is>
        <t>vertical</t>
      </is>
    </nc>
  </rcc>
  <rcc rId="3270" sId="1">
    <oc r="C283" t="inlineStr">
      <is>
        <t>V</t>
      </is>
    </oc>
    <nc r="C283" t="inlineStr">
      <is>
        <t>vertical</t>
      </is>
    </nc>
  </rcc>
  <rcc rId="3271" sId="1">
    <oc r="C284" t="inlineStr">
      <is>
        <t>V</t>
      </is>
    </oc>
    <nc r="C284" t="inlineStr">
      <is>
        <t>vertical</t>
      </is>
    </nc>
  </rcc>
  <rcc rId="3272" sId="1">
    <oc r="C285" t="inlineStr">
      <is>
        <t>V</t>
      </is>
    </oc>
    <nc r="C285" t="inlineStr">
      <is>
        <t>vertical</t>
      </is>
    </nc>
  </rcc>
  <rcc rId="3273" sId="1">
    <oc r="C286" t="inlineStr">
      <is>
        <t>V</t>
      </is>
    </oc>
    <nc r="C286" t="inlineStr">
      <is>
        <t>vertical</t>
      </is>
    </nc>
  </rcc>
  <rcc rId="3274" sId="1">
    <oc r="C287" t="inlineStr">
      <is>
        <t>V</t>
      </is>
    </oc>
    <nc r="C287" t="inlineStr">
      <is>
        <t>vertical</t>
      </is>
    </nc>
  </rcc>
  <rcc rId="3275" sId="1">
    <oc r="C288" t="inlineStr">
      <is>
        <t>V</t>
      </is>
    </oc>
    <nc r="C288" t="inlineStr">
      <is>
        <t>vertical</t>
      </is>
    </nc>
  </rcc>
  <rcc rId="3276" sId="1">
    <oc r="C289" t="inlineStr">
      <is>
        <t>V</t>
      </is>
    </oc>
    <nc r="C289" t="inlineStr">
      <is>
        <t>vertical</t>
      </is>
    </nc>
  </rcc>
  <rcc rId="3277" sId="1">
    <oc r="C290" t="inlineStr">
      <is>
        <t>V</t>
      </is>
    </oc>
    <nc r="C290" t="inlineStr">
      <is>
        <t>vertical</t>
      </is>
    </nc>
  </rcc>
  <rcc rId="3278" sId="1">
    <oc r="C291" t="inlineStr">
      <is>
        <t>V</t>
      </is>
    </oc>
    <nc r="C291" t="inlineStr">
      <is>
        <t>vertical</t>
      </is>
    </nc>
  </rcc>
  <rcc rId="3279" sId="1">
    <oc r="C292" t="inlineStr">
      <is>
        <t>V</t>
      </is>
    </oc>
    <nc r="C292" t="inlineStr">
      <is>
        <t>vertical</t>
      </is>
    </nc>
  </rcc>
  <rcc rId="3280" sId="1">
    <oc r="C293" t="inlineStr">
      <is>
        <t>V</t>
      </is>
    </oc>
    <nc r="C293" t="inlineStr">
      <is>
        <t>vertical</t>
      </is>
    </nc>
  </rcc>
  <rcc rId="3281" sId="1">
    <oc r="C294" t="inlineStr">
      <is>
        <t>V</t>
      </is>
    </oc>
    <nc r="C294" t="inlineStr">
      <is>
        <t>vertical</t>
      </is>
    </nc>
  </rcc>
  <rcc rId="3282" sId="1">
    <oc r="C295" t="inlineStr">
      <is>
        <t>V</t>
      </is>
    </oc>
    <nc r="C295" t="inlineStr">
      <is>
        <t>vertical</t>
      </is>
    </nc>
  </rcc>
  <rcc rId="3283" sId="1">
    <oc r="C296" t="inlineStr">
      <is>
        <t>V</t>
      </is>
    </oc>
    <nc r="C296" t="inlineStr">
      <is>
        <t>vertical</t>
      </is>
    </nc>
  </rcc>
  <rcc rId="3284" sId="1">
    <oc r="C297" t="inlineStr">
      <is>
        <t>V</t>
      </is>
    </oc>
    <nc r="C297" t="inlineStr">
      <is>
        <t>vertical</t>
      </is>
    </nc>
  </rcc>
  <rcc rId="3285" sId="1">
    <oc r="C298" t="inlineStr">
      <is>
        <t>V</t>
      </is>
    </oc>
    <nc r="C298" t="inlineStr">
      <is>
        <t>vertical</t>
      </is>
    </nc>
  </rcc>
  <rcc rId="3286" sId="1">
    <oc r="C299" t="inlineStr">
      <is>
        <t>V</t>
      </is>
    </oc>
    <nc r="C299" t="inlineStr">
      <is>
        <t>vertical</t>
      </is>
    </nc>
  </rcc>
  <rcc rId="3287" sId="1">
    <oc r="C300" t="inlineStr">
      <is>
        <t>V</t>
      </is>
    </oc>
    <nc r="C300" t="inlineStr">
      <is>
        <t>vertical</t>
      </is>
    </nc>
  </rcc>
  <rcc rId="3288" sId="1">
    <oc r="C301" t="inlineStr">
      <is>
        <t>V</t>
      </is>
    </oc>
    <nc r="C301" t="inlineStr">
      <is>
        <t>vertical</t>
      </is>
    </nc>
  </rcc>
  <rcc rId="3289" sId="1">
    <oc r="C302" t="inlineStr">
      <is>
        <t>V</t>
      </is>
    </oc>
    <nc r="C302" t="inlineStr">
      <is>
        <t>vertical</t>
      </is>
    </nc>
  </rcc>
  <rcc rId="3290" sId="1">
    <oc r="C303" t="inlineStr">
      <is>
        <t>V</t>
      </is>
    </oc>
    <nc r="C303" t="inlineStr">
      <is>
        <t>vertical</t>
      </is>
    </nc>
  </rcc>
  <rcc rId="3291" sId="1">
    <oc r="C304" t="inlineStr">
      <is>
        <t>V</t>
      </is>
    </oc>
    <nc r="C304" t="inlineStr">
      <is>
        <t>vertical</t>
      </is>
    </nc>
  </rcc>
  <rcc rId="3292" sId="1">
    <oc r="C305" t="inlineStr">
      <is>
        <t>V</t>
      </is>
    </oc>
    <nc r="C305" t="inlineStr">
      <is>
        <t>vertical</t>
      </is>
    </nc>
  </rcc>
  <rcc rId="3293" sId="1">
    <oc r="C306" t="inlineStr">
      <is>
        <t>V</t>
      </is>
    </oc>
    <nc r="C306" t="inlineStr">
      <is>
        <t>vertical</t>
      </is>
    </nc>
  </rcc>
  <rcc rId="3294" sId="1">
    <oc r="C307" t="inlineStr">
      <is>
        <t>V</t>
      </is>
    </oc>
    <nc r="C307" t="inlineStr">
      <is>
        <t>vertical</t>
      </is>
    </nc>
  </rcc>
  <rcc rId="3295" sId="1">
    <oc r="C308" t="inlineStr">
      <is>
        <t>V</t>
      </is>
    </oc>
    <nc r="C308" t="inlineStr">
      <is>
        <t>vertical</t>
      </is>
    </nc>
  </rcc>
  <rcc rId="3296" sId="1">
    <oc r="C309" t="inlineStr">
      <is>
        <t>V</t>
      </is>
    </oc>
    <nc r="C309" t="inlineStr">
      <is>
        <t>vertical</t>
      </is>
    </nc>
  </rcc>
  <rcc rId="3297" sId="1">
    <oc r="C310" t="inlineStr">
      <is>
        <t>V</t>
      </is>
    </oc>
    <nc r="C310" t="inlineStr">
      <is>
        <t>vertical</t>
      </is>
    </nc>
  </rcc>
  <rcc rId="3298" sId="1">
    <oc r="C311" t="inlineStr">
      <is>
        <t>V</t>
      </is>
    </oc>
    <nc r="C311" t="inlineStr">
      <is>
        <t>vertical</t>
      </is>
    </nc>
  </rcc>
  <rcc rId="3299" sId="1">
    <oc r="C312" t="inlineStr">
      <is>
        <t>V</t>
      </is>
    </oc>
    <nc r="C312" t="inlineStr">
      <is>
        <t>vertical</t>
      </is>
    </nc>
  </rcc>
  <rcc rId="3300" sId="1">
    <oc r="C313" t="inlineStr">
      <is>
        <t>V</t>
      </is>
    </oc>
    <nc r="C313" t="inlineStr">
      <is>
        <t>vertical</t>
      </is>
    </nc>
  </rcc>
  <rcc rId="3301" sId="1">
    <oc r="C314" t="inlineStr">
      <is>
        <t>V</t>
      </is>
    </oc>
    <nc r="C314" t="inlineStr">
      <is>
        <t>vertical</t>
      </is>
    </nc>
  </rcc>
  <rcc rId="3302" sId="1">
    <oc r="C315" t="inlineStr">
      <is>
        <t>V</t>
      </is>
    </oc>
    <nc r="C315" t="inlineStr">
      <is>
        <t>vertical</t>
      </is>
    </nc>
  </rcc>
  <rcc rId="3303" sId="1">
    <oc r="C316" t="inlineStr">
      <is>
        <t>V</t>
      </is>
    </oc>
    <nc r="C316" t="inlineStr">
      <is>
        <t>vertical</t>
      </is>
    </nc>
  </rcc>
  <rcc rId="3304" sId="1">
    <oc r="C317" t="inlineStr">
      <is>
        <t>V</t>
      </is>
    </oc>
    <nc r="C317" t="inlineStr">
      <is>
        <t>vertical</t>
      </is>
    </nc>
  </rcc>
  <rcc rId="3305" sId="1">
    <oc r="C318" t="inlineStr">
      <is>
        <t>V</t>
      </is>
    </oc>
    <nc r="C318" t="inlineStr">
      <is>
        <t>vertical</t>
      </is>
    </nc>
  </rcc>
  <rcc rId="3306" sId="1">
    <oc r="C319" t="inlineStr">
      <is>
        <t>V</t>
      </is>
    </oc>
    <nc r="C319" t="inlineStr">
      <is>
        <t>vertical</t>
      </is>
    </nc>
  </rcc>
  <rcc rId="3307" sId="1">
    <oc r="C320" t="inlineStr">
      <is>
        <t>V</t>
      </is>
    </oc>
    <nc r="C320" t="inlineStr">
      <is>
        <t>vertical</t>
      </is>
    </nc>
  </rcc>
  <rcc rId="3308" sId="1">
    <oc r="C321" t="inlineStr">
      <is>
        <t>V</t>
      </is>
    </oc>
    <nc r="C321" t="inlineStr">
      <is>
        <t>vertical</t>
      </is>
    </nc>
  </rcc>
  <rcc rId="3309" sId="1">
    <oc r="C322" t="inlineStr">
      <is>
        <t>V</t>
      </is>
    </oc>
    <nc r="C322" t="inlineStr">
      <is>
        <t>vertical</t>
      </is>
    </nc>
  </rcc>
  <rcc rId="3310" sId="1">
    <oc r="C323" t="inlineStr">
      <is>
        <t>V</t>
      </is>
    </oc>
    <nc r="C323" t="inlineStr">
      <is>
        <t>vertical</t>
      </is>
    </nc>
  </rcc>
  <rcc rId="3311" sId="1">
    <oc r="C324" t="inlineStr">
      <is>
        <t>V</t>
      </is>
    </oc>
    <nc r="C324" t="inlineStr">
      <is>
        <t>vertical</t>
      </is>
    </nc>
  </rcc>
  <rcc rId="3312" sId="1">
    <oc r="C325" t="inlineStr">
      <is>
        <t>V</t>
      </is>
    </oc>
    <nc r="C325" t="inlineStr">
      <is>
        <t>vertical</t>
      </is>
    </nc>
  </rcc>
  <rcc rId="3313" sId="1">
    <oc r="C326" t="inlineStr">
      <is>
        <t>V</t>
      </is>
    </oc>
    <nc r="C326" t="inlineStr">
      <is>
        <t>vertical</t>
      </is>
    </nc>
  </rcc>
  <rcc rId="3314" sId="1">
    <oc r="C328" t="inlineStr">
      <is>
        <t>V</t>
      </is>
    </oc>
    <nc r="C328" t="inlineStr">
      <is>
        <t>vertical</t>
      </is>
    </nc>
  </rcc>
  <rcc rId="3315" sId="1">
    <oc r="C329" t="inlineStr">
      <is>
        <t>V</t>
      </is>
    </oc>
    <nc r="C329" t="inlineStr">
      <is>
        <t>vertical</t>
      </is>
    </nc>
  </rcc>
  <rcc rId="3316" sId="1">
    <oc r="C330" t="inlineStr">
      <is>
        <t>V</t>
      </is>
    </oc>
    <nc r="C330" t="inlineStr">
      <is>
        <t>vertical</t>
      </is>
    </nc>
  </rcc>
  <rcc rId="3317" sId="1">
    <oc r="C331" t="inlineStr">
      <is>
        <t>V</t>
      </is>
    </oc>
    <nc r="C331" t="inlineStr">
      <is>
        <t>vertical</t>
      </is>
    </nc>
  </rcc>
  <rcc rId="3318" sId="1">
    <oc r="C332" t="inlineStr">
      <is>
        <t>V</t>
      </is>
    </oc>
    <nc r="C332" t="inlineStr">
      <is>
        <t>vertical</t>
      </is>
    </nc>
  </rcc>
  <rcc rId="3319" sId="1">
    <oc r="C333" t="inlineStr">
      <is>
        <t>V</t>
      </is>
    </oc>
    <nc r="C333" t="inlineStr">
      <is>
        <t>vertical</t>
      </is>
    </nc>
  </rcc>
  <rcc rId="3320" sId="1">
    <oc r="C334" t="inlineStr">
      <is>
        <t>V</t>
      </is>
    </oc>
    <nc r="C334" t="inlineStr">
      <is>
        <t>vertical</t>
      </is>
    </nc>
  </rcc>
  <rcc rId="3321" sId="1">
    <oc r="C335" t="inlineStr">
      <is>
        <t>V</t>
      </is>
    </oc>
    <nc r="C335" t="inlineStr">
      <is>
        <t>vertical</t>
      </is>
    </nc>
  </rcc>
  <rcc rId="3322" sId="1">
    <oc r="C336" t="inlineStr">
      <is>
        <t>V</t>
      </is>
    </oc>
    <nc r="C336" t="inlineStr">
      <is>
        <t>vertical</t>
      </is>
    </nc>
  </rcc>
  <rcc rId="3323" sId="1">
    <oc r="C337" t="inlineStr">
      <is>
        <t>V</t>
      </is>
    </oc>
    <nc r="C337" t="inlineStr">
      <is>
        <t>vertical</t>
      </is>
    </nc>
  </rcc>
  <rcc rId="3324" sId="1">
    <oc r="C338" t="inlineStr">
      <is>
        <t>V</t>
      </is>
    </oc>
    <nc r="C338" t="inlineStr">
      <is>
        <t>vertical</t>
      </is>
    </nc>
  </rcc>
  <rcc rId="3325" sId="1">
    <oc r="C1" t="inlineStr">
      <is>
        <t>home_patt_orient</t>
      </is>
    </oc>
    <nc r="C1" t="inlineStr">
      <is>
        <t>horizontalome_patt_orient</t>
      </is>
    </nc>
  </rcc>
  <rcc rId="3326" sId="1">
    <oc r="C136" t="inlineStr">
      <is>
        <t>H</t>
      </is>
    </oc>
    <nc r="C136" t="inlineStr">
      <is>
        <t>horizontal</t>
      </is>
    </nc>
  </rcc>
  <rcc rId="3327" sId="1">
    <oc r="C138" t="inlineStr">
      <is>
        <t>H</t>
      </is>
    </oc>
    <nc r="C138" t="inlineStr">
      <is>
        <t>horizontal</t>
      </is>
    </nc>
  </rcc>
  <rcc rId="3328" sId="1">
    <oc r="C140" t="inlineStr">
      <is>
        <t>H</t>
      </is>
    </oc>
    <nc r="C140" t="inlineStr">
      <is>
        <t>horizontal</t>
      </is>
    </nc>
  </rcc>
  <rcc rId="3329" sId="1">
    <oc r="C143" t="inlineStr">
      <is>
        <t>H</t>
      </is>
    </oc>
    <nc r="C143" t="inlineStr">
      <is>
        <t>horizontal</t>
      </is>
    </nc>
  </rcc>
  <rcc rId="3330" sId="1">
    <oc r="C145" t="inlineStr">
      <is>
        <t>H</t>
      </is>
    </oc>
    <nc r="C145" t="inlineStr">
      <is>
        <t>horizontal</t>
      </is>
    </nc>
  </rcc>
  <rcc rId="3331" sId="1">
    <oc r="C146" t="inlineStr">
      <is>
        <t>H</t>
      </is>
    </oc>
    <nc r="C146" t="inlineStr">
      <is>
        <t>horizontal</t>
      </is>
    </nc>
  </rcc>
  <rcc rId="3332" sId="1">
    <oc r="C148" t="inlineStr">
      <is>
        <t>H</t>
      </is>
    </oc>
    <nc r="C148" t="inlineStr">
      <is>
        <t>horizontal</t>
      </is>
    </nc>
  </rcc>
  <rcc rId="3333" sId="1">
    <oc r="C149" t="inlineStr">
      <is>
        <t>H</t>
      </is>
    </oc>
    <nc r="C149" t="inlineStr">
      <is>
        <t>horizontal</t>
      </is>
    </nc>
  </rcc>
  <rcc rId="3334" sId="1">
    <oc r="C151" t="inlineStr">
      <is>
        <t>H</t>
      </is>
    </oc>
    <nc r="C151" t="inlineStr">
      <is>
        <t>horizontal</t>
      </is>
    </nc>
  </rcc>
  <rcc rId="3335" sId="1">
    <oc r="C153" t="inlineStr">
      <is>
        <t>H</t>
      </is>
    </oc>
    <nc r="C153" t="inlineStr">
      <is>
        <t>horizontal</t>
      </is>
    </nc>
  </rcc>
  <rcc rId="3336" sId="1">
    <oc r="C154" t="inlineStr">
      <is>
        <t>H</t>
      </is>
    </oc>
    <nc r="C154" t="inlineStr">
      <is>
        <t>horizontal</t>
      </is>
    </nc>
  </rcc>
  <rcc rId="3337" sId="1">
    <oc r="C155" t="inlineStr">
      <is>
        <t>H</t>
      </is>
    </oc>
    <nc r="C155" t="inlineStr">
      <is>
        <t>horizontal</t>
      </is>
    </nc>
  </rcc>
  <rcc rId="3338" sId="1">
    <oc r="C157" t="inlineStr">
      <is>
        <t>H</t>
      </is>
    </oc>
    <nc r="C157" t="inlineStr">
      <is>
        <t>horizontal</t>
      </is>
    </nc>
  </rcc>
  <rcc rId="3339" sId="1">
    <oc r="C159" t="inlineStr">
      <is>
        <t>H</t>
      </is>
    </oc>
    <nc r="C159" t="inlineStr">
      <is>
        <t>horizontal</t>
      </is>
    </nc>
  </rcc>
  <rcc rId="3340" sId="1">
    <oc r="C160" t="inlineStr">
      <is>
        <t>H</t>
      </is>
    </oc>
    <nc r="C160" t="inlineStr">
      <is>
        <t>horizontal</t>
      </is>
    </nc>
  </rcc>
  <rcc rId="3341" sId="1">
    <oc r="C162" t="inlineStr">
      <is>
        <t>H</t>
      </is>
    </oc>
    <nc r="C162" t="inlineStr">
      <is>
        <t>horizontal</t>
      </is>
    </nc>
  </rcc>
  <rcc rId="3342" sId="1">
    <oc r="C163" t="inlineStr">
      <is>
        <t>H</t>
      </is>
    </oc>
    <nc r="C163" t="inlineStr">
      <is>
        <t>horizontal</t>
      </is>
    </nc>
  </rcc>
  <rcc rId="3343" sId="1">
    <oc r="C165" t="inlineStr">
      <is>
        <t>H</t>
      </is>
    </oc>
    <nc r="C165" t="inlineStr">
      <is>
        <t>horizontal</t>
      </is>
    </nc>
  </rcc>
  <rcc rId="3344" sId="1">
    <oc r="C166" t="inlineStr">
      <is>
        <t>H</t>
      </is>
    </oc>
    <nc r="C166" t="inlineStr">
      <is>
        <t>horizontal</t>
      </is>
    </nc>
  </rcc>
  <rcc rId="3345" sId="1">
    <oc r="C169" t="inlineStr">
      <is>
        <t>H</t>
      </is>
    </oc>
    <nc r="C169" t="inlineStr">
      <is>
        <t>horizontal</t>
      </is>
    </nc>
  </rcc>
  <rcc rId="3346" sId="1">
    <oc r="C171" t="inlineStr">
      <is>
        <t>H</t>
      </is>
    </oc>
    <nc r="C171" t="inlineStr">
      <is>
        <t>horizontal</t>
      </is>
    </nc>
  </rcc>
  <rcc rId="3347" sId="1">
    <oc r="C172" t="inlineStr">
      <is>
        <t>H</t>
      </is>
    </oc>
    <nc r="C172" t="inlineStr">
      <is>
        <t>horizontal</t>
      </is>
    </nc>
  </rcc>
  <rcc rId="3348" sId="1">
    <oc r="C175" t="inlineStr">
      <is>
        <t>H</t>
      </is>
    </oc>
    <nc r="C175" t="inlineStr">
      <is>
        <t>horizontal</t>
      </is>
    </nc>
  </rcc>
  <rcc rId="3349" sId="1">
    <oc r="C176" t="inlineStr">
      <is>
        <t>H</t>
      </is>
    </oc>
    <nc r="C176" t="inlineStr">
      <is>
        <t>horizontal</t>
      </is>
    </nc>
  </rcc>
  <rcc rId="3350" sId="1">
    <oc r="C178" t="inlineStr">
      <is>
        <t>H</t>
      </is>
    </oc>
    <nc r="C178" t="inlineStr">
      <is>
        <t>horizontal</t>
      </is>
    </nc>
  </rcc>
  <rcc rId="3351" sId="1">
    <oc r="C180" t="inlineStr">
      <is>
        <t>H</t>
      </is>
    </oc>
    <nc r="C180" t="inlineStr">
      <is>
        <t>horizontal</t>
      </is>
    </nc>
  </rcc>
  <rcc rId="3352" sId="1">
    <oc r="C183" t="inlineStr">
      <is>
        <t>H</t>
      </is>
    </oc>
    <nc r="C183" t="inlineStr">
      <is>
        <t>horizontal</t>
      </is>
    </nc>
  </rcc>
  <rcc rId="3353" sId="1">
    <oc r="C185" t="inlineStr">
      <is>
        <t>H</t>
      </is>
    </oc>
    <nc r="C185" t="inlineStr">
      <is>
        <t>horizontal</t>
      </is>
    </nc>
  </rcc>
  <rcc rId="3354" sId="1">
    <oc r="C186" t="inlineStr">
      <is>
        <t>H</t>
      </is>
    </oc>
    <nc r="C186" t="inlineStr">
      <is>
        <t>horizontal</t>
      </is>
    </nc>
  </rcc>
  <rcc rId="3355" sId="1">
    <oc r="C189" t="inlineStr">
      <is>
        <t>H</t>
      </is>
    </oc>
    <nc r="C189" t="inlineStr">
      <is>
        <t>horizontal</t>
      </is>
    </nc>
  </rcc>
  <rcc rId="3356" sId="1">
    <oc r="C190" t="inlineStr">
      <is>
        <t>H</t>
      </is>
    </oc>
    <nc r="C190" t="inlineStr">
      <is>
        <t>horizontal</t>
      </is>
    </nc>
  </rcc>
  <rcc rId="3357" sId="1">
    <oc r="C191" t="inlineStr">
      <is>
        <t>H</t>
      </is>
    </oc>
    <nc r="C191" t="inlineStr">
      <is>
        <t>horizontal</t>
      </is>
    </nc>
  </rcc>
  <rcc rId="3358" sId="1">
    <oc r="C194" t="inlineStr">
      <is>
        <t>H</t>
      </is>
    </oc>
    <nc r="C194" t="inlineStr">
      <is>
        <t>horizontal</t>
      </is>
    </nc>
  </rcc>
  <rcc rId="3359" sId="1">
    <oc r="C196" t="inlineStr">
      <is>
        <t>H</t>
      </is>
    </oc>
    <nc r="C196" t="inlineStr">
      <is>
        <t>horizontal</t>
      </is>
    </nc>
  </rcc>
  <rcc rId="3360" sId="1">
    <oc r="C197" t="inlineStr">
      <is>
        <t>H</t>
      </is>
    </oc>
    <nc r="C197" t="inlineStr">
      <is>
        <t>horizontal</t>
      </is>
    </nc>
  </rcc>
  <rcc rId="3361" sId="1">
    <oc r="C200" t="inlineStr">
      <is>
        <t>H</t>
      </is>
    </oc>
    <nc r="C200" t="inlineStr">
      <is>
        <t>horizontal</t>
      </is>
    </nc>
  </rcc>
  <rcc rId="3362" sId="1">
    <oc r="C203" t="inlineStr">
      <is>
        <t>H</t>
      </is>
    </oc>
    <nc r="C203" t="inlineStr">
      <is>
        <t>horizontal</t>
      </is>
    </nc>
  </rcc>
  <rcc rId="3363" sId="1">
    <oc r="C205" t="inlineStr">
      <is>
        <t>H</t>
      </is>
    </oc>
    <nc r="C205" t="inlineStr">
      <is>
        <t>horizontal</t>
      </is>
    </nc>
  </rcc>
  <rcc rId="3364" sId="1">
    <oc r="C207" t="inlineStr">
      <is>
        <t>H</t>
      </is>
    </oc>
    <nc r="C207" t="inlineStr">
      <is>
        <t>horizontal</t>
      </is>
    </nc>
  </rcc>
  <rcc rId="3365" sId="1">
    <oc r="C209" t="inlineStr">
      <is>
        <t>H</t>
      </is>
    </oc>
    <nc r="C209" t="inlineStr">
      <is>
        <t>horizontal</t>
      </is>
    </nc>
  </rcc>
  <rcc rId="3366" sId="1">
    <oc r="C212" t="inlineStr">
      <is>
        <t>H</t>
      </is>
    </oc>
    <nc r="C212" t="inlineStr">
      <is>
        <t>horizontal</t>
      </is>
    </nc>
  </rcc>
  <rcc rId="3367" sId="1">
    <oc r="C215" t="inlineStr">
      <is>
        <t>H</t>
      </is>
    </oc>
    <nc r="C215" t="inlineStr">
      <is>
        <t>horizontal</t>
      </is>
    </nc>
  </rcc>
  <rcc rId="3368" sId="1">
    <oc r="C216" t="inlineStr">
      <is>
        <t>H</t>
      </is>
    </oc>
    <nc r="C216" t="inlineStr">
      <is>
        <t>horizontal</t>
      </is>
    </nc>
  </rcc>
  <rcc rId="3369" sId="1">
    <oc r="C217" t="inlineStr">
      <is>
        <t>H</t>
      </is>
    </oc>
    <nc r="C217" t="inlineStr">
      <is>
        <t>horizontal</t>
      </is>
    </nc>
  </rcc>
  <rcc rId="3370" sId="1">
    <oc r="C219" t="inlineStr">
      <is>
        <t>H</t>
      </is>
    </oc>
    <nc r="C219" t="inlineStr">
      <is>
        <t>horizontal</t>
      </is>
    </nc>
  </rcc>
  <rcc rId="3371" sId="1">
    <oc r="C221" t="inlineStr">
      <is>
        <t>H</t>
      </is>
    </oc>
    <nc r="C221" t="inlineStr">
      <is>
        <t>horizontal</t>
      </is>
    </nc>
  </rcc>
  <rcc rId="3372" sId="1">
    <oc r="C223" t="inlineStr">
      <is>
        <t>H</t>
      </is>
    </oc>
    <nc r="C223" t="inlineStr">
      <is>
        <t>horizontal</t>
      </is>
    </nc>
  </rcc>
  <rcc rId="3373" sId="1">
    <oc r="C224" t="inlineStr">
      <is>
        <t>H</t>
      </is>
    </oc>
    <nc r="C224" t="inlineStr">
      <is>
        <t>horizontal</t>
      </is>
    </nc>
  </rcc>
  <rcc rId="3374" sId="1">
    <oc r="C227" t="inlineStr">
      <is>
        <t>H</t>
      </is>
    </oc>
    <nc r="C227" t="inlineStr">
      <is>
        <t>horizontal</t>
      </is>
    </nc>
  </rcc>
  <rcc rId="3375" sId="1">
    <oc r="C229" t="inlineStr">
      <is>
        <t>H</t>
      </is>
    </oc>
    <nc r="C229" t="inlineStr">
      <is>
        <t>horizontal</t>
      </is>
    </nc>
  </rcc>
  <rcc rId="3376" sId="1">
    <oc r="C231" t="inlineStr">
      <is>
        <t>H</t>
      </is>
    </oc>
    <nc r="C231" t="inlineStr">
      <is>
        <t>horizontal</t>
      </is>
    </nc>
  </rcc>
  <rcc rId="3377" sId="1">
    <oc r="C233" t="inlineStr">
      <is>
        <t>H</t>
      </is>
    </oc>
    <nc r="C233" t="inlineStr">
      <is>
        <t>horizontal</t>
      </is>
    </nc>
  </rcc>
  <rcc rId="3378" sId="1">
    <oc r="C235" t="inlineStr">
      <is>
        <t>H</t>
      </is>
    </oc>
    <nc r="C235" t="inlineStr">
      <is>
        <t>horizontal</t>
      </is>
    </nc>
  </rcc>
  <rcc rId="3379" sId="1">
    <oc r="C236" t="inlineStr">
      <is>
        <t>H</t>
      </is>
    </oc>
    <nc r="C236" t="inlineStr">
      <is>
        <t>horizontal</t>
      </is>
    </nc>
  </rcc>
  <rcc rId="3380" sId="1">
    <oc r="C239" t="inlineStr">
      <is>
        <t>H</t>
      </is>
    </oc>
    <nc r="C239" t="inlineStr">
      <is>
        <t>horizontal</t>
      </is>
    </nc>
  </rcc>
  <rcc rId="3381" sId="1">
    <oc r="C241" t="inlineStr">
      <is>
        <t>H</t>
      </is>
    </oc>
    <nc r="C241" t="inlineStr">
      <is>
        <t>horizontal</t>
      </is>
    </nc>
  </rcc>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82" sId="1">
    <oc r="B1" t="inlineStr">
      <is>
        <t>nest2</t>
      </is>
    </oc>
    <nc r="B1" t="inlineStr">
      <is>
        <t>nest</t>
      </is>
    </nc>
  </rcc>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383" sId="1">
    <oc r="C1" t="inlineStr">
      <is>
        <t>horizontalome_patt_orient</t>
      </is>
    </oc>
    <nc r="C1" t="inlineStr">
      <is>
        <t>home_patt_orient</t>
      </is>
    </nc>
  </rcc>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3384" sId="2" ref="B1:B1048576" action="insertCol"/>
  <rrc rId="3385" sId="2" ref="D1:D1048576" action="insertCol"/>
  <rm rId="3386" sheetId="2" source="B1:B1048576" destination="D1:D1048576" sourceSheetId="2">
    <rfmt sheetId="2" xfDxf="1" sqref="D1:D1048576" start="0" length="0">
      <dxf>
        <alignment horizontal="left"/>
      </dxf>
    </rfmt>
    <rfmt sheetId="2" sqref="D3" start="0" length="0">
      <dxf>
        <font>
          <sz val="12"/>
          <color rgb="FFFF0000"/>
          <name val="Calibri"/>
          <family val="2"/>
          <scheme val="minor"/>
        </font>
      </dxf>
    </rfmt>
    <rfmt sheetId="2" sqref="D13" start="0" length="0">
      <dxf>
        <font>
          <sz val="12"/>
          <color rgb="FFFF0000"/>
          <name val="Calibri"/>
          <family val="2"/>
          <scheme val="minor"/>
        </font>
      </dxf>
    </rfmt>
    <rfmt sheetId="2" sqref="D14" start="0" length="0">
      <dxf>
        <font>
          <sz val="12"/>
          <color rgb="FFFF0000"/>
          <name val="Calibri"/>
          <family val="2"/>
          <scheme val="minor"/>
        </font>
      </dxf>
    </rfmt>
    <rfmt sheetId="2" sqref="D202" start="0" length="0">
      <dxf>
        <fill>
          <patternFill patternType="solid">
            <bgColor rgb="FFFFFF00"/>
          </patternFill>
        </fill>
      </dxf>
    </rfmt>
    <rfmt sheetId="2" sqref="D203" start="0" length="0">
      <dxf>
        <fill>
          <patternFill patternType="solid">
            <bgColor rgb="FFFFFF00"/>
          </patternFill>
        </fill>
      </dxf>
    </rfmt>
    <rfmt sheetId="2" sqref="D204" start="0" length="0">
      <dxf>
        <fill>
          <patternFill patternType="solid">
            <bgColor rgb="FFFFFF00"/>
          </patternFill>
        </fill>
      </dxf>
    </rfmt>
    <rfmt sheetId="2" sqref="D213" start="0" length="0">
      <dxf>
        <fill>
          <patternFill patternType="solid">
            <bgColor theme="0"/>
          </patternFill>
        </fill>
      </dxf>
    </rfmt>
    <rfmt sheetId="2" sqref="D214" start="0" length="0">
      <dxf>
        <fill>
          <patternFill patternType="solid">
            <bgColor theme="0"/>
          </patternFill>
        </fill>
      </dxf>
    </rfmt>
    <rfmt sheetId="2" sqref="D215" start="0" length="0">
      <dxf>
        <fill>
          <patternFill patternType="solid">
            <bgColor theme="0"/>
          </patternFill>
        </fill>
      </dxf>
    </rfmt>
    <rfmt sheetId="2" sqref="D216" start="0" length="0">
      <dxf>
        <fill>
          <patternFill patternType="solid">
            <bgColor theme="0"/>
          </patternFill>
        </fill>
      </dxf>
    </rfmt>
    <rfmt sheetId="2" sqref="D217" start="0" length="0">
      <dxf>
        <fill>
          <patternFill patternType="solid">
            <bgColor theme="0"/>
          </patternFill>
        </fill>
      </dxf>
    </rfmt>
  </rm>
  <rrc rId="3387" sId="2" ref="B1:B1048576" action="deleteCol">
    <rfmt sheetId="2" xfDxf="1" sqref="B1:B1048576" start="0" length="0"/>
    <rfmt sheetId="2" sqref="B59" start="0" length="0">
      <dxf>
        <font>
          <sz val="12"/>
          <color rgb="FFFF0000"/>
          <name val="Calibri"/>
          <family val="2"/>
          <scheme val="minor"/>
        </font>
        <alignment horizontal="left" vertical="top"/>
      </dxf>
    </rfmt>
    <rfmt sheetId="2" sqref="B63" start="0" length="0">
      <dxf>
        <font>
          <sz val="12"/>
          <color rgb="FFFF0000"/>
          <name val="Calibri"/>
          <family val="2"/>
          <scheme val="minor"/>
        </font>
        <alignment horizontal="left" vertical="top"/>
      </dxf>
    </rfmt>
    <rfmt sheetId="2" sqref="B64" start="0" length="0">
      <dxf>
        <font>
          <sz val="12"/>
          <color rgb="FFFF0000"/>
          <name val="Calibri"/>
          <family val="2"/>
          <scheme val="minor"/>
        </font>
        <alignment horizontal="left" vertical="top"/>
      </dxf>
    </rfmt>
    <rfmt sheetId="2" sqref="B77" start="0" length="0">
      <dxf>
        <font>
          <sz val="12"/>
          <color rgb="FFFF0000"/>
          <name val="Calibri"/>
          <family val="2"/>
          <scheme val="minor"/>
        </font>
        <alignment horizontal="left" vertical="top"/>
      </dxf>
    </rfmt>
    <rfmt sheetId="2" sqref="B78" start="0" length="0">
      <dxf>
        <font>
          <sz val="12"/>
          <color rgb="FFFF0000"/>
          <name val="Calibri"/>
          <family val="2"/>
          <scheme val="minor"/>
        </font>
        <alignment horizontal="left" vertical="top"/>
      </dxf>
    </rfmt>
    <rfmt sheetId="2" sqref="B79" start="0" length="0">
      <dxf>
        <font>
          <sz val="12"/>
          <color rgb="FFFF0000"/>
          <name val="Calibri"/>
          <family val="2"/>
          <scheme val="minor"/>
        </font>
        <alignment horizontal="left" vertical="top"/>
      </dxf>
    </rfmt>
    <rfmt sheetId="2" sqref="B202" start="0" length="0">
      <dxf>
        <fill>
          <patternFill patternType="solid">
            <bgColor rgb="FFFFFF00"/>
          </patternFill>
        </fill>
        <alignment horizontal="left" vertical="top"/>
      </dxf>
    </rfmt>
    <rfmt sheetId="2" sqref="B203" start="0" length="0">
      <dxf>
        <fill>
          <patternFill patternType="solid">
            <bgColor rgb="FFFFFF00"/>
          </patternFill>
        </fill>
        <alignment horizontal="left" vertical="top"/>
      </dxf>
    </rfmt>
    <rfmt sheetId="2" sqref="B204" start="0" length="0">
      <dxf>
        <fill>
          <patternFill patternType="solid">
            <bgColor rgb="FFFFFF00"/>
          </patternFill>
        </fill>
        <alignment horizontal="left" vertical="top"/>
      </dxf>
    </rfmt>
    <rfmt sheetId="2" sqref="B213" start="0" length="0">
      <dxf>
        <fill>
          <patternFill patternType="solid">
            <bgColor theme="0"/>
          </patternFill>
        </fill>
        <alignment horizontal="left" vertical="top"/>
      </dxf>
    </rfmt>
    <rfmt sheetId="2" sqref="B214" start="0" length="0">
      <dxf>
        <fill>
          <patternFill patternType="solid">
            <bgColor theme="0"/>
          </patternFill>
        </fill>
        <alignment horizontal="left" vertical="top"/>
      </dxf>
    </rfmt>
    <rfmt sheetId="2" sqref="B215" start="0" length="0">
      <dxf>
        <fill>
          <patternFill patternType="solid">
            <bgColor theme="0"/>
          </patternFill>
        </fill>
        <alignment horizontal="left" vertical="top"/>
      </dxf>
    </rfmt>
    <rfmt sheetId="2" sqref="B216" start="0" length="0">
      <dxf>
        <fill>
          <patternFill patternType="solid">
            <bgColor theme="0"/>
          </patternFill>
        </fill>
        <alignment horizontal="left" vertical="top"/>
      </dxf>
    </rfmt>
    <rfmt sheetId="2" sqref="B217" start="0" length="0">
      <dxf>
        <fill>
          <patternFill patternType="solid">
            <bgColor theme="0"/>
          </patternFill>
        </fill>
        <alignment horizontal="left" vertical="top"/>
      </dxf>
    </rfmt>
  </rrc>
  <rcc rId="3388" sId="2">
    <nc r="C1" t="inlineStr">
      <is>
        <t>nest2</t>
      </is>
    </nc>
  </rcc>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C78" start="0" length="0">
    <dxf>
      <alignment horizontal="general" vertical="bottom"/>
    </dxf>
  </rfmt>
  <rfmt sheetId="2" xfDxf="1" sqref="C78" start="0" length="0"/>
  <rcc rId="3389" sId="2">
    <nc r="C78">
      <f>LEFT(B78,LEN(B78)-1)</f>
    </nc>
  </rcc>
  <rcc rId="3390" sId="2" odxf="1" dxf="1">
    <nc r="C79">
      <f>LEFT(B79,LEN(B79)-1)</f>
    </nc>
    <odxf>
      <alignment horizontal="left" vertical="top"/>
    </odxf>
    <ndxf>
      <alignment horizontal="general" vertical="bottom"/>
    </ndxf>
  </rcc>
  <rcc rId="3391" sId="2" odxf="1" dxf="1">
    <nc r="C80">
      <f>LEFT(B80,LEN(B80)-1)</f>
    </nc>
    <odxf>
      <alignment horizontal="left" vertical="top"/>
    </odxf>
    <ndxf>
      <alignment horizontal="general" vertical="bottom"/>
    </ndxf>
  </rcc>
  <rcc rId="3392" sId="2" odxf="1" dxf="1">
    <nc r="C81">
      <f>LEFT(B81,LEN(B81)-1)</f>
    </nc>
    <odxf>
      <alignment horizontal="left" vertical="top"/>
    </odxf>
    <ndxf>
      <alignment horizontal="general" vertical="bottom"/>
    </ndxf>
  </rcc>
  <rcc rId="3393" sId="2" odxf="1" dxf="1">
    <nc r="C82">
      <f>LEFT(B82,LEN(B82)-1)</f>
    </nc>
    <odxf>
      <alignment horizontal="left" vertical="top"/>
    </odxf>
    <ndxf>
      <alignment horizontal="general" vertical="bottom"/>
    </ndxf>
  </rcc>
  <rcc rId="3394" sId="2" odxf="1" dxf="1">
    <nc r="C83">
      <f>LEFT(B83,LEN(B83)-1)</f>
    </nc>
    <odxf>
      <alignment horizontal="left" vertical="top"/>
    </odxf>
    <ndxf>
      <alignment horizontal="general" vertical="bottom"/>
    </ndxf>
  </rcc>
  <rcc rId="3395" sId="2" odxf="1" dxf="1">
    <nc r="C84">
      <f>LEFT(B84,LEN(B84)-1)</f>
    </nc>
    <odxf>
      <alignment horizontal="left" vertical="top"/>
    </odxf>
    <ndxf>
      <alignment horizontal="general" vertical="bottom"/>
    </ndxf>
  </rcc>
  <rcc rId="3396" sId="2" odxf="1" dxf="1">
    <nc r="C85">
      <f>LEFT(B85,LEN(B85)-1)</f>
    </nc>
    <odxf>
      <alignment horizontal="left" vertical="top"/>
    </odxf>
    <ndxf>
      <alignment horizontal="general" vertical="bottom"/>
    </ndxf>
  </rcc>
  <rcc rId="3397" sId="2" odxf="1" dxf="1">
    <nc r="C86">
      <f>LEFT(B86,LEN(B86)-1)</f>
    </nc>
    <odxf>
      <alignment horizontal="left" vertical="top"/>
    </odxf>
    <ndxf>
      <alignment horizontal="general" vertical="bottom"/>
    </ndxf>
  </rcc>
  <rcc rId="3398" sId="2" odxf="1" dxf="1">
    <nc r="C87">
      <f>LEFT(B87,LEN(B87)-1)</f>
    </nc>
    <odxf>
      <alignment horizontal="left" vertical="top"/>
    </odxf>
    <ndxf>
      <alignment horizontal="general" vertical="bottom"/>
    </ndxf>
  </rcc>
  <rcc rId="3399" sId="2" odxf="1" dxf="1">
    <nc r="C88">
      <f>LEFT(B88,LEN(B88)-1)</f>
    </nc>
    <odxf>
      <alignment horizontal="left" vertical="top"/>
    </odxf>
    <ndxf>
      <alignment horizontal="general" vertical="bottom"/>
    </ndxf>
  </rcc>
  <rcc rId="3400" sId="2" odxf="1" dxf="1">
    <nc r="C89">
      <f>LEFT(B89,LEN(B89)-1)</f>
    </nc>
    <odxf>
      <alignment horizontal="left" vertical="top"/>
    </odxf>
    <ndxf>
      <alignment horizontal="general" vertical="bottom"/>
    </ndxf>
  </rcc>
  <rcc rId="3401" sId="2" odxf="1" dxf="1">
    <nc r="C90">
      <f>LEFT(B90,LEN(B90)-1)</f>
    </nc>
    <odxf>
      <alignment horizontal="left" vertical="top"/>
    </odxf>
    <ndxf>
      <alignment horizontal="general" vertical="bottom"/>
    </ndxf>
  </rcc>
  <rcc rId="3402" sId="2" odxf="1" dxf="1">
    <nc r="C91">
      <f>LEFT(B91,LEN(B91)-1)</f>
    </nc>
    <odxf>
      <alignment horizontal="left" vertical="top"/>
    </odxf>
    <ndxf>
      <alignment horizontal="general" vertical="bottom"/>
    </ndxf>
  </rcc>
  <rcc rId="3403" sId="2" odxf="1" dxf="1">
    <nc r="C92">
      <f>LEFT(B92,LEN(B92)-1)</f>
    </nc>
    <odxf>
      <alignment horizontal="left" vertical="top"/>
    </odxf>
    <ndxf>
      <alignment horizontal="general" vertical="bottom"/>
    </ndxf>
  </rcc>
  <rcc rId="3404" sId="2" odxf="1" dxf="1">
    <nc r="C93">
      <f>LEFT(B93,LEN(B93)-1)</f>
    </nc>
    <odxf>
      <alignment horizontal="left" vertical="top"/>
    </odxf>
    <ndxf>
      <alignment horizontal="general" vertical="bottom"/>
    </ndxf>
  </rcc>
  <rcc rId="3405" sId="2" odxf="1" dxf="1">
    <nc r="C94">
      <f>LEFT(B94,LEN(B94)-1)</f>
    </nc>
    <odxf>
      <alignment horizontal="left" vertical="top"/>
    </odxf>
    <ndxf>
      <alignment horizontal="general" vertical="bottom"/>
    </ndxf>
  </rcc>
  <rcc rId="3406" sId="2" odxf="1" dxf="1">
    <nc r="C95">
      <f>LEFT(B95,LEN(B95)-1)</f>
    </nc>
    <odxf>
      <alignment horizontal="left" vertical="top"/>
    </odxf>
    <ndxf>
      <alignment horizontal="general" vertical="bottom"/>
    </ndxf>
  </rcc>
  <rcc rId="3407" sId="2" odxf="1" dxf="1">
    <nc r="C96">
      <f>LEFT(B96,LEN(B96)-1)</f>
    </nc>
    <odxf>
      <alignment horizontal="left" vertical="top"/>
    </odxf>
    <ndxf>
      <alignment horizontal="general" vertical="bottom"/>
    </ndxf>
  </rcc>
  <rcc rId="3408" sId="2" odxf="1" dxf="1">
    <nc r="C97">
      <f>LEFT(B97,LEN(B97)-1)</f>
    </nc>
    <odxf>
      <alignment horizontal="left" vertical="top"/>
    </odxf>
    <ndxf>
      <alignment horizontal="general" vertical="bottom"/>
    </ndxf>
  </rcc>
  <rcc rId="3409" sId="2" odxf="1" dxf="1">
    <nc r="C98">
      <f>LEFT(B98,LEN(B98)-1)</f>
    </nc>
    <odxf>
      <alignment horizontal="left" vertical="top"/>
    </odxf>
    <ndxf>
      <alignment horizontal="general" vertical="bottom"/>
    </ndxf>
  </rcc>
  <rcc rId="3410" sId="2" odxf="1" dxf="1">
    <nc r="C99">
      <f>LEFT(B99,LEN(B99)-1)</f>
    </nc>
    <odxf>
      <alignment horizontal="left" vertical="top"/>
    </odxf>
    <ndxf>
      <alignment horizontal="general" vertical="bottom"/>
    </ndxf>
  </rcc>
  <rcc rId="3411" sId="2" odxf="1" dxf="1">
    <nc r="C100">
      <f>LEFT(B100,LEN(B100)-1)</f>
    </nc>
    <odxf>
      <alignment horizontal="left" vertical="top"/>
    </odxf>
    <ndxf>
      <alignment horizontal="general" vertical="bottom"/>
    </ndxf>
  </rcc>
  <rcc rId="3412" sId="2" odxf="1" dxf="1">
    <nc r="C101">
      <f>LEFT(B101,LEN(B101)-1)</f>
    </nc>
    <odxf>
      <alignment horizontal="left" vertical="top"/>
    </odxf>
    <ndxf>
      <alignment horizontal="general" vertical="bottom"/>
    </ndxf>
  </rcc>
  <rcc rId="3413" sId="2" odxf="1" dxf="1">
    <nc r="C102">
      <f>LEFT(B102,LEN(B102)-1)</f>
    </nc>
    <odxf>
      <alignment horizontal="left" vertical="top"/>
    </odxf>
    <ndxf>
      <alignment horizontal="general" vertical="bottom"/>
    </ndxf>
  </rcc>
  <rcc rId="3414" sId="2" odxf="1" dxf="1">
    <nc r="C103">
      <f>LEFT(B103,LEN(B103)-1)</f>
    </nc>
    <odxf>
      <alignment horizontal="left" vertical="top"/>
    </odxf>
    <ndxf>
      <alignment horizontal="general" vertical="bottom"/>
    </ndxf>
  </rcc>
  <rcc rId="3415" sId="2" odxf="1" dxf="1">
    <nc r="C104">
      <f>LEFT(B104,LEN(B104)-1)</f>
    </nc>
    <odxf>
      <alignment horizontal="left" vertical="top"/>
    </odxf>
    <ndxf>
      <alignment horizontal="general" vertical="bottom"/>
    </ndxf>
  </rcc>
  <rcc rId="3416" sId="2" odxf="1" dxf="1">
    <nc r="C105">
      <f>LEFT(B105,LEN(B105)-1)</f>
    </nc>
    <odxf>
      <alignment horizontal="left" vertical="top"/>
    </odxf>
    <ndxf>
      <alignment horizontal="general" vertical="bottom"/>
    </ndxf>
  </rcc>
  <rcc rId="3417" sId="2" odxf="1" dxf="1">
    <nc r="C106">
      <f>LEFT(B106,LEN(B106)-1)</f>
    </nc>
    <odxf>
      <alignment horizontal="left" vertical="top"/>
    </odxf>
    <ndxf>
      <alignment horizontal="general" vertical="bottom"/>
    </ndxf>
  </rcc>
  <rcc rId="3418" sId="2" odxf="1" dxf="1">
    <nc r="C107">
      <f>LEFT(B107,LEN(B107)-1)</f>
    </nc>
    <odxf>
      <alignment horizontal="left" vertical="top"/>
    </odxf>
    <ndxf>
      <alignment horizontal="general" vertical="bottom"/>
    </ndxf>
  </rcc>
  <rcc rId="3419" sId="2" odxf="1" dxf="1">
    <nc r="C108">
      <f>LEFT(B108,LEN(B108)-1)</f>
    </nc>
    <odxf>
      <alignment horizontal="left" vertical="top"/>
    </odxf>
    <ndxf>
      <alignment horizontal="general" vertical="bottom"/>
    </ndxf>
  </rcc>
  <rcc rId="3420" sId="2" odxf="1" dxf="1">
    <nc r="C109">
      <f>LEFT(B109,LEN(B109)-1)</f>
    </nc>
    <odxf>
      <alignment horizontal="left" vertical="top"/>
    </odxf>
    <ndxf>
      <alignment horizontal="general" vertical="bottom"/>
    </ndxf>
  </rcc>
  <rcc rId="3421" sId="2" odxf="1" dxf="1">
    <nc r="C110">
      <f>LEFT(B110,LEN(B110)-1)</f>
    </nc>
    <odxf>
      <alignment horizontal="left" vertical="top"/>
    </odxf>
    <ndxf>
      <alignment horizontal="general" vertical="bottom"/>
    </ndxf>
  </rcc>
  <rcc rId="3422" sId="2" odxf="1" dxf="1">
    <nc r="C111">
      <f>LEFT(B111,LEN(B111)-1)</f>
    </nc>
    <odxf>
      <alignment horizontal="left" vertical="top"/>
    </odxf>
    <ndxf>
      <alignment horizontal="general" vertical="bottom"/>
    </ndxf>
  </rcc>
  <rcc rId="3423" sId="2" odxf="1" dxf="1">
    <nc r="C112">
      <f>LEFT(B112,LEN(B112)-1)</f>
    </nc>
    <odxf>
      <alignment horizontal="left" vertical="top"/>
    </odxf>
    <ndxf>
      <alignment horizontal="general" vertical="bottom"/>
    </ndxf>
  </rcc>
  <rcc rId="3424" sId="2" odxf="1" dxf="1">
    <nc r="C113">
      <f>LEFT(B113,LEN(B113)-1)</f>
    </nc>
    <odxf>
      <alignment horizontal="left" vertical="top"/>
    </odxf>
    <ndxf>
      <alignment horizontal="general" vertical="bottom"/>
    </ndxf>
  </rcc>
  <rcc rId="3425" sId="2" odxf="1" dxf="1">
    <nc r="C114">
      <f>LEFT(B114,LEN(B114)-1)</f>
    </nc>
    <odxf>
      <alignment horizontal="left" vertical="top"/>
    </odxf>
    <ndxf>
      <alignment horizontal="general" vertical="bottom"/>
    </ndxf>
  </rcc>
  <rcc rId="3426" sId="2" odxf="1" dxf="1">
    <nc r="C115">
      <f>LEFT(B115,LEN(B115)-1)</f>
    </nc>
    <odxf>
      <alignment horizontal="left" vertical="top"/>
    </odxf>
    <ndxf>
      <alignment horizontal="general" vertical="bottom"/>
    </ndxf>
  </rcc>
  <rcc rId="3427" sId="2" odxf="1" dxf="1">
    <nc r="C116">
      <f>LEFT(B116,LEN(B116)-1)</f>
    </nc>
    <odxf>
      <alignment horizontal="left" vertical="top"/>
    </odxf>
    <ndxf>
      <alignment horizontal="general" vertical="bottom"/>
    </ndxf>
  </rcc>
  <rcc rId="3428" sId="2" odxf="1" dxf="1">
    <nc r="C117">
      <f>LEFT(B117,LEN(B117)-1)</f>
    </nc>
    <odxf>
      <alignment horizontal="left" vertical="top"/>
    </odxf>
    <ndxf>
      <alignment horizontal="general" vertical="bottom"/>
    </ndxf>
  </rcc>
  <rcc rId="3429" sId="2" odxf="1" dxf="1">
    <nc r="C118">
      <f>LEFT(B118,LEN(B118)-1)</f>
    </nc>
    <odxf>
      <alignment horizontal="left" vertical="top"/>
    </odxf>
    <ndxf>
      <alignment horizontal="general" vertical="bottom"/>
    </ndxf>
  </rcc>
  <rcc rId="3430" sId="2" odxf="1" dxf="1">
    <nc r="C119">
      <f>LEFT(B119,LEN(B119)-1)</f>
    </nc>
    <odxf>
      <alignment horizontal="left" vertical="top"/>
    </odxf>
    <ndxf>
      <alignment horizontal="general" vertical="bottom"/>
    </ndxf>
  </rcc>
  <rcc rId="3431" sId="2" odxf="1" dxf="1">
    <nc r="C120">
      <f>LEFT(B120,LEN(B120)-1)</f>
    </nc>
    <odxf>
      <alignment horizontal="left" vertical="top"/>
    </odxf>
    <ndxf>
      <alignment horizontal="general" vertical="bottom"/>
    </ndxf>
  </rcc>
  <rcc rId="3432" sId="2" odxf="1" dxf="1">
    <nc r="C121">
      <f>LEFT(B121,LEN(B121)-1)</f>
    </nc>
    <odxf>
      <alignment horizontal="left" vertical="top"/>
    </odxf>
    <ndxf>
      <alignment horizontal="general" vertical="bottom"/>
    </ndxf>
  </rcc>
  <rcc rId="3433" sId="2" odxf="1" dxf="1">
    <nc r="C122">
      <f>LEFT(B122,LEN(B122)-1)</f>
    </nc>
    <odxf>
      <alignment horizontal="left" vertical="top"/>
    </odxf>
    <ndxf>
      <alignment horizontal="general" vertical="bottom"/>
    </ndxf>
  </rcc>
  <rcc rId="3434" sId="2" odxf="1" dxf="1">
    <nc r="C123">
      <f>LEFT(B123,LEN(B123)-1)</f>
    </nc>
    <odxf>
      <alignment horizontal="left" vertical="top"/>
    </odxf>
    <ndxf>
      <alignment horizontal="general" vertical="bottom"/>
    </ndxf>
  </rcc>
  <rcc rId="3435" sId="2" odxf="1" dxf="1">
    <nc r="C124">
      <f>LEFT(B124,LEN(B124)-1)</f>
    </nc>
    <odxf>
      <alignment horizontal="left" vertical="top"/>
    </odxf>
    <ndxf>
      <alignment horizontal="general" vertical="bottom"/>
    </ndxf>
  </rcc>
  <rcc rId="3436" sId="2" odxf="1" dxf="1">
    <nc r="C125">
      <f>LEFT(B125,LEN(B125)-1)</f>
    </nc>
    <odxf>
      <alignment horizontal="left" vertical="top"/>
    </odxf>
    <ndxf>
      <alignment horizontal="general" vertical="bottom"/>
    </ndxf>
  </rcc>
  <rcc rId="3437" sId="2" odxf="1" dxf="1">
    <nc r="C126">
      <f>LEFT(B126,LEN(B126)-1)</f>
    </nc>
    <odxf>
      <alignment horizontal="left" vertical="top"/>
    </odxf>
    <ndxf>
      <alignment horizontal="general" vertical="bottom"/>
    </ndxf>
  </rcc>
  <rcc rId="3438" sId="2" odxf="1" dxf="1">
    <nc r="C127">
      <f>LEFT(B127,LEN(B127)-1)</f>
    </nc>
    <odxf>
      <font>
        <color rgb="FF000000"/>
      </font>
      <alignment horizontal="left" vertical="top"/>
    </odxf>
    <ndxf>
      <font>
        <sz val="12"/>
        <color theme="1"/>
        <name val="Calibri"/>
        <family val="2"/>
        <scheme val="minor"/>
      </font>
      <alignment horizontal="general" vertical="bottom"/>
    </ndxf>
  </rcc>
  <rcc rId="3439" sId="2" odxf="1" dxf="1">
    <nc r="C128">
      <f>LEFT(B128,LEN(B128)-1)</f>
    </nc>
    <odxf>
      <alignment horizontal="left" vertical="top"/>
    </odxf>
    <ndxf>
      <alignment horizontal="general" vertical="bottom"/>
    </ndxf>
  </rcc>
  <rcc rId="3440" sId="2" odxf="1" dxf="1">
    <nc r="C129">
      <f>LEFT(B129,LEN(B129)-1)</f>
    </nc>
    <odxf>
      <alignment horizontal="left" vertical="top"/>
    </odxf>
    <ndxf>
      <alignment horizontal="general" vertical="bottom"/>
    </ndxf>
  </rcc>
  <rcc rId="3441" sId="2" odxf="1" dxf="1">
    <nc r="C130">
      <f>LEFT(B130,LEN(B130)-1)</f>
    </nc>
    <odxf>
      <alignment horizontal="left" vertical="top"/>
    </odxf>
    <ndxf>
      <alignment horizontal="general" vertical="bottom"/>
    </ndxf>
  </rcc>
  <rcc rId="3442" sId="2" odxf="1" dxf="1">
    <nc r="C131">
      <f>LEFT(B131,LEN(B131)-1)</f>
    </nc>
    <odxf>
      <alignment horizontal="left" vertical="top"/>
    </odxf>
    <ndxf>
      <alignment horizontal="general" vertical="bottom"/>
    </ndxf>
  </rcc>
  <rcc rId="3443" sId="2" odxf="1" dxf="1">
    <nc r="C132">
      <f>LEFT(B132,LEN(B132)-1)</f>
    </nc>
    <odxf>
      <alignment horizontal="left" vertical="top"/>
    </odxf>
    <ndxf>
      <alignment horizontal="general" vertical="bottom"/>
    </ndxf>
  </rcc>
  <rcc rId="3444" sId="2" odxf="1" dxf="1">
    <nc r="C133">
      <f>LEFT(B133,LEN(B133)-1)</f>
    </nc>
    <odxf>
      <alignment horizontal="left" vertical="top"/>
    </odxf>
    <ndxf>
      <alignment horizontal="general" vertical="bottom"/>
    </ndxf>
  </rcc>
  <rcc rId="3445" sId="2" odxf="1" dxf="1">
    <nc r="C134">
      <f>LEFT(B134,LEN(B134)-1)</f>
    </nc>
    <odxf>
      <alignment horizontal="left" vertical="top"/>
    </odxf>
    <ndxf>
      <alignment horizontal="general" vertical="bottom"/>
    </ndxf>
  </rcc>
  <rcc rId="3446" sId="2" odxf="1" dxf="1">
    <nc r="C135">
      <f>LEFT(B135,LEN(B135)-1)</f>
    </nc>
    <odxf>
      <alignment horizontal="left" vertical="top"/>
    </odxf>
    <ndxf>
      <alignment horizontal="general" vertical="bottom"/>
    </ndxf>
  </rcc>
  <rcc rId="3447" sId="2" odxf="1" dxf="1">
    <nc r="C136">
      <f>LEFT(B136,LEN(B136)-1)</f>
    </nc>
    <odxf>
      <alignment horizontal="left" vertical="top"/>
    </odxf>
    <ndxf>
      <alignment horizontal="general" vertical="bottom"/>
    </ndxf>
  </rcc>
  <rcc rId="3448" sId="2" odxf="1" dxf="1">
    <nc r="C137">
      <f>LEFT(B137,LEN(B137)-1)</f>
    </nc>
    <odxf>
      <alignment horizontal="left" vertical="top"/>
    </odxf>
    <ndxf>
      <alignment horizontal="general" vertical="bottom"/>
    </ndxf>
  </rcc>
  <rcc rId="3449" sId="2" odxf="1" dxf="1">
    <nc r="C138">
      <f>LEFT(B138,LEN(B138)-1)</f>
    </nc>
    <odxf>
      <alignment horizontal="left" vertical="top"/>
    </odxf>
    <ndxf>
      <alignment horizontal="general" vertical="bottom"/>
    </ndxf>
  </rcc>
  <rcc rId="3450" sId="2" odxf="1" dxf="1">
    <nc r="C139">
      <f>LEFT(B139,LEN(B139)-1)</f>
    </nc>
    <odxf>
      <alignment horizontal="left" vertical="top"/>
    </odxf>
    <ndxf>
      <alignment horizontal="general" vertical="bottom"/>
    </ndxf>
  </rcc>
  <rcc rId="3451" sId="2" odxf="1" dxf="1">
    <nc r="C140">
      <f>LEFT(B140,LEN(B140)-1)</f>
    </nc>
    <odxf>
      <alignment horizontal="left" vertical="top"/>
    </odxf>
    <ndxf>
      <alignment horizontal="general" vertical="bottom"/>
    </ndxf>
  </rcc>
  <rcc rId="3452" sId="2" odxf="1" dxf="1">
    <nc r="C141">
      <f>LEFT(B141,LEN(B141)-1)</f>
    </nc>
    <odxf>
      <alignment horizontal="left" vertical="top"/>
    </odxf>
    <ndxf>
      <alignment horizontal="general" vertical="bottom"/>
    </ndxf>
  </rcc>
  <rcc rId="3453" sId="2" odxf="1" dxf="1">
    <nc r="C142">
      <f>LEFT(B142,LEN(B142)-1)</f>
    </nc>
    <odxf>
      <alignment horizontal="left" vertical="top"/>
    </odxf>
    <ndxf>
      <alignment horizontal="general" vertical="bottom"/>
    </ndxf>
  </rcc>
  <rcc rId="3454" sId="2" odxf="1" dxf="1">
    <nc r="C143">
      <f>LEFT(B143,LEN(B143)-1)</f>
    </nc>
    <odxf>
      <alignment horizontal="left" vertical="top"/>
    </odxf>
    <ndxf>
      <alignment horizontal="general" vertical="bottom"/>
    </ndxf>
  </rcc>
  <rcc rId="3455" sId="2" odxf="1" dxf="1">
    <nc r="C144">
      <f>LEFT(B144,LEN(B144)-1)</f>
    </nc>
    <odxf>
      <alignment horizontal="left" vertical="top"/>
    </odxf>
    <ndxf>
      <alignment horizontal="general" vertical="bottom"/>
    </ndxf>
  </rcc>
  <rcc rId="3456" sId="2" odxf="1" dxf="1">
    <nc r="C145">
      <f>LEFT(B145,LEN(B145)-1)</f>
    </nc>
    <odxf>
      <alignment horizontal="left" vertical="top"/>
    </odxf>
    <ndxf>
      <alignment horizontal="general" vertical="bottom"/>
    </ndxf>
  </rcc>
  <rcc rId="3457" sId="2" odxf="1" dxf="1">
    <nc r="C146">
      <f>LEFT(B146,LEN(B146)-1)</f>
    </nc>
    <odxf>
      <alignment horizontal="left" vertical="top"/>
    </odxf>
    <ndxf>
      <alignment horizontal="general" vertical="bottom"/>
    </ndxf>
  </rcc>
  <rcc rId="3458" sId="2" odxf="1" dxf="1">
    <nc r="C147">
      <f>LEFT(B147,LEN(B147)-1)</f>
    </nc>
    <odxf>
      <alignment horizontal="left" vertical="top"/>
    </odxf>
    <ndxf>
      <alignment horizontal="general" vertical="bottom"/>
    </ndxf>
  </rcc>
  <rcc rId="3459" sId="2" odxf="1" dxf="1">
    <nc r="C148">
      <f>LEFT(B148,LEN(B148)-1)</f>
    </nc>
    <odxf>
      <alignment horizontal="left" vertical="top"/>
    </odxf>
    <ndxf>
      <alignment horizontal="general" vertical="bottom"/>
    </ndxf>
  </rcc>
  <rcc rId="3460" sId="2" odxf="1" dxf="1">
    <nc r="C149">
      <f>LEFT(B149,LEN(B149)-1)</f>
    </nc>
    <odxf>
      <alignment horizontal="left" vertical="top"/>
    </odxf>
    <ndxf>
      <alignment horizontal="general" vertical="bottom"/>
    </ndxf>
  </rcc>
  <rcc rId="3461" sId="2" odxf="1" dxf="1">
    <nc r="C150">
      <f>LEFT(B150,LEN(B150)-1)</f>
    </nc>
    <odxf>
      <alignment horizontal="left" vertical="top"/>
    </odxf>
    <ndxf>
      <alignment horizontal="general" vertical="bottom"/>
    </ndxf>
  </rcc>
  <rcc rId="3462" sId="2" odxf="1" dxf="1">
    <nc r="C151">
      <f>LEFT(B151,LEN(B151)-1)</f>
    </nc>
    <odxf>
      <alignment horizontal="left" vertical="top"/>
    </odxf>
    <ndxf>
      <alignment horizontal="general" vertical="bottom"/>
    </ndxf>
  </rcc>
  <rcc rId="3463" sId="2" odxf="1" dxf="1">
    <nc r="C152">
      <f>LEFT(B152,LEN(B152)-1)</f>
    </nc>
    <odxf>
      <alignment horizontal="left" vertical="top"/>
    </odxf>
    <ndxf>
      <alignment horizontal="general" vertical="bottom"/>
    </ndxf>
  </rcc>
  <rcc rId="3464" sId="2" odxf="1" dxf="1">
    <nc r="C153">
      <f>LEFT(B153,LEN(B153)-1)</f>
    </nc>
    <odxf>
      <alignment horizontal="left" vertical="top"/>
    </odxf>
    <ndxf>
      <alignment horizontal="general" vertical="bottom"/>
    </ndxf>
  </rcc>
  <rcc rId="3465" sId="2" odxf="1" dxf="1">
    <nc r="C154">
      <f>LEFT(B154,LEN(B154)-1)</f>
    </nc>
    <odxf>
      <alignment horizontal="left" vertical="top"/>
    </odxf>
    <ndxf>
      <alignment horizontal="general" vertical="bottom"/>
    </ndxf>
  </rcc>
  <rcc rId="3466" sId="2" odxf="1" dxf="1">
    <nc r="C155">
      <f>LEFT(B155,LEN(B155)-1)</f>
    </nc>
    <odxf>
      <alignment horizontal="left" vertical="top"/>
    </odxf>
    <ndxf>
      <alignment horizontal="general" vertical="bottom"/>
    </ndxf>
  </rcc>
  <rcc rId="3467" sId="2" odxf="1" dxf="1">
    <nc r="C156">
      <f>LEFT(B156,LEN(B156)-1)</f>
    </nc>
    <odxf>
      <alignment horizontal="left" vertical="top"/>
    </odxf>
    <ndxf>
      <alignment horizontal="general" vertical="bottom"/>
    </ndxf>
  </rcc>
  <rcc rId="3468" sId="2" odxf="1" dxf="1">
    <nc r="C157">
      <f>LEFT(B157,LEN(B157)-1)</f>
    </nc>
    <odxf>
      <alignment horizontal="left" vertical="top"/>
    </odxf>
    <ndxf>
      <alignment horizontal="general" vertical="bottom"/>
    </ndxf>
  </rcc>
  <rcc rId="3469" sId="2" odxf="1" dxf="1">
    <nc r="C158">
      <f>LEFT(B158,LEN(B158)-1)</f>
    </nc>
    <odxf>
      <alignment horizontal="left" vertical="top"/>
    </odxf>
    <ndxf>
      <alignment horizontal="general" vertical="bottom"/>
    </ndxf>
  </rcc>
  <rcc rId="3470" sId="2" odxf="1" dxf="1">
    <nc r="C159">
      <f>LEFT(B159,LEN(B159)-1)</f>
    </nc>
    <odxf>
      <alignment horizontal="left" vertical="top"/>
    </odxf>
    <ndxf>
      <alignment horizontal="general" vertical="bottom"/>
    </ndxf>
  </rcc>
  <rcc rId="3471" sId="2" odxf="1" dxf="1">
    <nc r="C160">
      <f>LEFT(B160,LEN(B160)-1)</f>
    </nc>
    <odxf>
      <alignment horizontal="left" vertical="top"/>
    </odxf>
    <ndxf>
      <alignment horizontal="general" vertical="bottom"/>
    </ndxf>
  </rcc>
  <rcc rId="3472" sId="2" odxf="1" dxf="1">
    <nc r="C161">
      <f>LEFT(B161,LEN(B161)-1)</f>
    </nc>
    <odxf>
      <alignment horizontal="left" vertical="top"/>
    </odxf>
    <ndxf>
      <alignment horizontal="general" vertical="bottom"/>
    </ndxf>
  </rcc>
  <rcc rId="3473" sId="2" odxf="1" dxf="1">
    <nc r="C162">
      <f>LEFT(B162,LEN(B162)-1)</f>
    </nc>
    <odxf>
      <alignment horizontal="left" vertical="top"/>
    </odxf>
    <ndxf>
      <alignment horizontal="general" vertical="bottom"/>
    </ndxf>
  </rcc>
  <rcc rId="3474" sId="2" odxf="1" dxf="1">
    <nc r="C163">
      <f>LEFT(B163,LEN(B163)-1)</f>
    </nc>
    <odxf>
      <alignment horizontal="left" vertical="top"/>
    </odxf>
    <ndxf>
      <alignment horizontal="general" vertical="bottom"/>
    </ndxf>
  </rcc>
  <rcc rId="3475" sId="2" odxf="1" dxf="1">
    <nc r="C164">
      <f>LEFT(B164,LEN(B164)-1)</f>
    </nc>
    <odxf>
      <alignment horizontal="left" vertical="top"/>
    </odxf>
    <ndxf>
      <alignment horizontal="general" vertical="bottom"/>
    </ndxf>
  </rcc>
  <rcc rId="3476" sId="2" odxf="1" dxf="1">
    <nc r="C165">
      <f>LEFT(B165,LEN(B165)-1)</f>
    </nc>
    <odxf>
      <alignment horizontal="left" vertical="top"/>
    </odxf>
    <ndxf>
      <alignment horizontal="general" vertical="bottom"/>
    </ndxf>
  </rcc>
  <rcc rId="3477" sId="2" odxf="1" dxf="1">
    <nc r="C166">
      <f>LEFT(B166,LEN(B166)-1)</f>
    </nc>
    <odxf>
      <alignment horizontal="left" vertical="top"/>
    </odxf>
    <ndxf>
      <alignment horizontal="general" vertical="bottom"/>
    </ndxf>
  </rcc>
  <rcc rId="3478" sId="2" odxf="1" dxf="1">
    <nc r="C167">
      <f>LEFT(B167,LEN(B167)-1)</f>
    </nc>
    <odxf>
      <alignment horizontal="left" vertical="top"/>
    </odxf>
    <ndxf>
      <alignment horizontal="general" vertical="bottom"/>
    </ndxf>
  </rcc>
  <rcc rId="3479" sId="2" odxf="1" dxf="1">
    <nc r="C168">
      <f>LEFT(B168,LEN(B168)-1)</f>
    </nc>
    <odxf>
      <alignment horizontal="left" vertical="top"/>
    </odxf>
    <ndxf>
      <alignment horizontal="general" vertical="bottom"/>
    </ndxf>
  </rcc>
  <rcc rId="3480" sId="2" odxf="1" dxf="1">
    <nc r="C169">
      <f>LEFT(B169,LEN(B169)-1)</f>
    </nc>
    <odxf>
      <alignment horizontal="left" vertical="top"/>
    </odxf>
    <ndxf>
      <alignment horizontal="general" vertical="bottom"/>
    </ndxf>
  </rcc>
  <rcc rId="3481" sId="2" odxf="1" dxf="1">
    <nc r="C170">
      <f>LEFT(B170,LEN(B170)-1)</f>
    </nc>
    <odxf>
      <alignment horizontal="left" vertical="top"/>
    </odxf>
    <ndxf>
      <alignment horizontal="general" vertical="bottom"/>
    </ndxf>
  </rcc>
  <rcc rId="3482" sId="2" odxf="1" dxf="1">
    <nc r="C171">
      <f>LEFT(B171,LEN(B171)-1)</f>
    </nc>
    <odxf>
      <alignment horizontal="left" vertical="top"/>
    </odxf>
    <ndxf>
      <alignment horizontal="general" vertical="bottom"/>
    </ndxf>
  </rcc>
  <rcc rId="3483" sId="2" odxf="1" dxf="1">
    <nc r="C172">
      <f>LEFT(B172,LEN(B172)-1)</f>
    </nc>
    <odxf>
      <alignment horizontal="left" vertical="top"/>
    </odxf>
    <ndxf>
      <alignment horizontal="general" vertical="bottom"/>
    </ndxf>
  </rcc>
  <rcc rId="3484" sId="2" odxf="1" dxf="1">
    <nc r="C173">
      <f>LEFT(B173,LEN(B173)-1)</f>
    </nc>
    <odxf>
      <alignment horizontal="left" vertical="top"/>
    </odxf>
    <ndxf>
      <alignment horizontal="general" vertical="bottom"/>
    </ndxf>
  </rcc>
  <rcc rId="3485" sId="2" odxf="1" dxf="1">
    <nc r="C174">
      <f>LEFT(B174,LEN(B174)-1)</f>
    </nc>
    <odxf>
      <alignment horizontal="left" vertical="top"/>
    </odxf>
    <ndxf>
      <alignment horizontal="general" vertical="bottom"/>
    </ndxf>
  </rcc>
  <rcc rId="3486" sId="2" odxf="1" dxf="1">
    <nc r="C175">
      <f>LEFT(B175,LEN(B175)-1)</f>
    </nc>
    <odxf>
      <alignment horizontal="left" vertical="top"/>
    </odxf>
    <ndxf>
      <alignment horizontal="general" vertical="bottom"/>
    </ndxf>
  </rcc>
  <rcc rId="3487" sId="2" odxf="1" dxf="1">
    <nc r="C176">
      <f>LEFT(B176,LEN(B176)-1)</f>
    </nc>
    <odxf>
      <alignment horizontal="left" vertical="top"/>
    </odxf>
    <ndxf>
      <alignment horizontal="general" vertical="bottom"/>
    </ndxf>
  </rcc>
  <rcc rId="3488" sId="2" odxf="1" dxf="1">
    <nc r="C177">
      <f>LEFT(B177,LEN(B177)-1)</f>
    </nc>
    <odxf>
      <alignment horizontal="left" vertical="top"/>
    </odxf>
    <ndxf>
      <alignment horizontal="general" vertical="bottom"/>
    </ndxf>
  </rcc>
  <rcc rId="3489" sId="2" odxf="1" dxf="1">
    <nc r="C178">
      <f>LEFT(B178,LEN(B178)-1)</f>
    </nc>
    <odxf>
      <alignment horizontal="left" vertical="top"/>
    </odxf>
    <ndxf>
      <alignment horizontal="general" vertical="bottom"/>
    </ndxf>
  </rcc>
  <rcc rId="3490" sId="2" odxf="1" dxf="1">
    <nc r="C179">
      <f>LEFT(B179,LEN(B179)-1)</f>
    </nc>
    <odxf>
      <alignment horizontal="left" vertical="top"/>
    </odxf>
    <ndxf>
      <alignment horizontal="general" vertical="bottom"/>
    </ndxf>
  </rcc>
  <rcc rId="3491" sId="2" odxf="1" dxf="1">
    <nc r="C180">
      <f>LEFT(B180,LEN(B180)-1)</f>
    </nc>
    <odxf>
      <alignment horizontal="left" vertical="top"/>
    </odxf>
    <ndxf>
      <alignment horizontal="general" vertical="bottom"/>
    </ndxf>
  </rcc>
  <rcc rId="3492" sId="2" odxf="1" dxf="1">
    <nc r="C181">
      <f>LEFT(B181,LEN(B181)-1)</f>
    </nc>
    <odxf>
      <alignment horizontal="left" vertical="top"/>
    </odxf>
    <ndxf>
      <alignment horizontal="general" vertical="bottom"/>
    </ndxf>
  </rcc>
  <rcc rId="3493" sId="2" odxf="1" dxf="1">
    <nc r="C182">
      <f>LEFT(B182,LEN(B182)-1)</f>
    </nc>
    <odxf>
      <alignment horizontal="left" vertical="top"/>
    </odxf>
    <ndxf>
      <alignment horizontal="general" vertical="bottom"/>
    </ndxf>
  </rcc>
  <rcc rId="3494" sId="2" odxf="1" dxf="1">
    <nc r="C183">
      <f>LEFT(B183,LEN(B183)-1)</f>
    </nc>
    <odxf>
      <alignment horizontal="left" vertical="top"/>
    </odxf>
    <ndxf>
      <alignment horizontal="general" vertical="bottom"/>
    </ndxf>
  </rcc>
  <rcc rId="3495" sId="2" odxf="1" dxf="1">
    <nc r="C184">
      <f>LEFT(B184,LEN(B184)-1)</f>
    </nc>
    <odxf>
      <alignment horizontal="left" vertical="top"/>
    </odxf>
    <ndxf>
      <alignment horizontal="general" vertical="bottom"/>
    </ndxf>
  </rcc>
  <rcc rId="3496" sId="2" odxf="1" dxf="1">
    <nc r="C185">
      <f>LEFT(B185,LEN(B185)-1)</f>
    </nc>
    <odxf>
      <alignment horizontal="left" vertical="top"/>
    </odxf>
    <ndxf>
      <alignment horizontal="general" vertical="bottom"/>
    </ndxf>
  </rcc>
  <rcc rId="3497" sId="2" odxf="1" dxf="1">
    <nc r="C186">
      <f>LEFT(B186,LEN(B186)-1)</f>
    </nc>
    <odxf>
      <alignment horizontal="left" vertical="top"/>
    </odxf>
    <ndxf>
      <alignment horizontal="general" vertical="bottom"/>
    </ndxf>
  </rcc>
  <rcc rId="3498" sId="2" odxf="1" dxf="1">
    <nc r="C187">
      <f>LEFT(B187,LEN(B187)-1)</f>
    </nc>
    <odxf>
      <alignment horizontal="left" vertical="top"/>
    </odxf>
    <ndxf>
      <alignment horizontal="general" vertical="bottom"/>
    </ndxf>
  </rcc>
  <rcc rId="3499" sId="2" odxf="1" dxf="1">
    <nc r="C188">
      <f>LEFT(B188,LEN(B188)-1)</f>
    </nc>
    <odxf>
      <alignment horizontal="left" vertical="top"/>
    </odxf>
    <ndxf>
      <alignment horizontal="general" vertical="bottom"/>
    </ndxf>
  </rcc>
  <rcc rId="3500" sId="2" odxf="1" dxf="1">
    <nc r="C189">
      <f>LEFT(B189,LEN(B189)-1)</f>
    </nc>
    <odxf>
      <alignment horizontal="left" vertical="top"/>
    </odxf>
    <ndxf>
      <alignment horizontal="general" vertical="bottom"/>
    </ndxf>
  </rcc>
  <rcc rId="3501" sId="2" odxf="1" dxf="1">
    <nc r="C190">
      <f>LEFT(B190,LEN(B190)-1)</f>
    </nc>
    <odxf>
      <alignment horizontal="left" vertical="top"/>
    </odxf>
    <ndxf>
      <alignment horizontal="general" vertical="bottom"/>
    </ndxf>
  </rcc>
  <rcc rId="3502" sId="2" odxf="1" dxf="1">
    <nc r="C191">
      <f>LEFT(B191,LEN(B191)-1)</f>
    </nc>
    <odxf>
      <alignment horizontal="left" vertical="top"/>
    </odxf>
    <ndxf>
      <alignment horizontal="general" vertical="bottom"/>
    </ndxf>
  </rcc>
  <rcc rId="3503" sId="2" odxf="1" dxf="1">
    <nc r="C192">
      <f>LEFT(B192,LEN(B192)-1)</f>
    </nc>
    <odxf>
      <alignment horizontal="left" vertical="top"/>
    </odxf>
    <ndxf>
      <alignment horizontal="general" vertical="bottom"/>
    </ndxf>
  </rcc>
  <rcc rId="3504" sId="2" odxf="1" dxf="1">
    <nc r="C193">
      <f>LEFT(B193,LEN(B193)-1)</f>
    </nc>
    <odxf>
      <alignment horizontal="left" vertical="top"/>
    </odxf>
    <ndxf>
      <alignment horizontal="general" vertical="bottom"/>
    </ndxf>
  </rcc>
  <rcc rId="3505" sId="2" odxf="1" dxf="1">
    <nc r="C194">
      <f>LEFT(B194,LEN(B194)-1)</f>
    </nc>
    <odxf>
      <alignment horizontal="left" vertical="top"/>
    </odxf>
    <ndxf>
      <alignment horizontal="general" vertical="bottom"/>
    </ndxf>
  </rcc>
  <rcc rId="3506" sId="2" odxf="1" dxf="1">
    <nc r="C195">
      <f>LEFT(B195,LEN(B195)-1)</f>
    </nc>
    <odxf>
      <alignment horizontal="left" vertical="top"/>
    </odxf>
    <ndxf>
      <alignment horizontal="general" vertical="bottom"/>
    </ndxf>
  </rcc>
  <rcc rId="3507" sId="2" odxf="1" dxf="1">
    <nc r="C196">
      <f>LEFT(B196,LEN(B196)-1)</f>
    </nc>
    <odxf>
      <alignment horizontal="left" vertical="top"/>
    </odxf>
    <ndxf>
      <alignment horizontal="general" vertical="bottom"/>
    </ndxf>
  </rcc>
  <rcc rId="3508" sId="2" odxf="1" dxf="1">
    <nc r="C197">
      <f>LEFT(B197,LEN(B197)-1)</f>
    </nc>
    <odxf>
      <alignment horizontal="left" vertical="top"/>
    </odxf>
    <ndxf>
      <alignment horizontal="general" vertical="bottom"/>
    </ndxf>
  </rcc>
  <rcc rId="3509" sId="2" odxf="1" dxf="1">
    <nc r="C198">
      <f>LEFT(B198,LEN(B198)-1)</f>
    </nc>
    <odxf>
      <alignment horizontal="left" vertical="top"/>
    </odxf>
    <ndxf>
      <alignment horizontal="general" vertical="bottom"/>
    </ndxf>
  </rcc>
  <rcc rId="3510" sId="2" odxf="1" dxf="1">
    <nc r="C199">
      <f>LEFT(B199,LEN(B199)-1)</f>
    </nc>
    <odxf>
      <alignment horizontal="left" vertical="top"/>
    </odxf>
    <ndxf>
      <alignment horizontal="general" vertical="bottom"/>
    </ndxf>
  </rcc>
  <rcc rId="3511" sId="2" odxf="1" dxf="1">
    <nc r="C200">
      <f>LEFT(B200,LEN(B200)-1)</f>
    </nc>
    <odxf>
      <alignment horizontal="left" vertical="top"/>
    </odxf>
    <ndxf>
      <alignment horizontal="general" vertical="bottom"/>
    </ndxf>
  </rcc>
  <rcc rId="3512" sId="2" odxf="1" dxf="1">
    <nc r="C201">
      <f>LEFT(B201,LEN(B201)-1)</f>
    </nc>
    <odxf>
      <alignment horizontal="left" vertical="top"/>
    </odxf>
    <ndxf>
      <alignment horizontal="general" vertical="bottom"/>
    </ndxf>
  </rcc>
  <rcc rId="3513" sId="2" odxf="1" dxf="1">
    <nc r="C202">
      <f>LEFT(B202,LEN(B202)-1)</f>
    </nc>
    <odxf>
      <fill>
        <patternFill patternType="solid">
          <bgColor rgb="FFFFFF00"/>
        </patternFill>
      </fill>
      <alignment horizontal="left" vertical="top"/>
    </odxf>
    <ndxf>
      <fill>
        <patternFill patternType="none">
          <bgColor indexed="65"/>
        </patternFill>
      </fill>
      <alignment horizontal="general" vertical="bottom"/>
    </ndxf>
  </rcc>
  <rcc rId="3514" sId="2" odxf="1" dxf="1">
    <nc r="C203">
      <f>LEFT(B203,LEN(B203)-1)</f>
    </nc>
    <odxf>
      <fill>
        <patternFill patternType="solid">
          <bgColor rgb="FFFFFF00"/>
        </patternFill>
      </fill>
      <alignment horizontal="left" vertical="top"/>
    </odxf>
    <ndxf>
      <fill>
        <patternFill patternType="none">
          <bgColor indexed="65"/>
        </patternFill>
      </fill>
      <alignment horizontal="general" vertical="bottom"/>
    </ndxf>
  </rcc>
  <rcc rId="3515" sId="2" odxf="1" dxf="1">
    <nc r="C204">
      <f>LEFT(B204,LEN(B204)-1)</f>
    </nc>
    <odxf>
      <fill>
        <patternFill patternType="solid">
          <bgColor rgb="FFFFFF00"/>
        </patternFill>
      </fill>
      <alignment horizontal="left" vertical="top"/>
    </odxf>
    <ndxf>
      <fill>
        <patternFill patternType="none">
          <bgColor indexed="65"/>
        </patternFill>
      </fill>
      <alignment horizontal="general" vertical="bottom"/>
    </ndxf>
  </rcc>
  <rcc rId="3516" sId="2" odxf="1" dxf="1">
    <nc r="C205">
      <f>LEFT(B205,LEN(B205)-1)</f>
    </nc>
    <odxf>
      <alignment horizontal="left" vertical="top"/>
    </odxf>
    <ndxf>
      <alignment horizontal="general" vertical="bottom"/>
    </ndxf>
  </rcc>
  <rcc rId="3517" sId="2" odxf="1" dxf="1">
    <nc r="C206">
      <f>LEFT(B206,LEN(B206)-1)</f>
    </nc>
    <odxf>
      <alignment horizontal="left" vertical="top"/>
    </odxf>
    <ndxf>
      <alignment horizontal="general" vertical="bottom"/>
    </ndxf>
  </rcc>
  <rcc rId="3518" sId="2" odxf="1" dxf="1">
    <nc r="C207">
      <f>LEFT(B207,LEN(B207)-1)</f>
    </nc>
    <odxf>
      <alignment horizontal="left" vertical="top"/>
    </odxf>
    <ndxf>
      <alignment horizontal="general" vertical="bottom"/>
    </ndxf>
  </rcc>
  <rcc rId="3519" sId="2" odxf="1" dxf="1">
    <nc r="C208">
      <f>LEFT(B208,LEN(B208)-1)</f>
    </nc>
    <odxf>
      <alignment horizontal="left" vertical="top"/>
    </odxf>
    <ndxf>
      <alignment horizontal="general" vertical="bottom"/>
    </ndxf>
  </rcc>
  <rcc rId="3520" sId="2" odxf="1" dxf="1">
    <nc r="C209">
      <f>LEFT(B209,LEN(B209)-1)</f>
    </nc>
    <odxf>
      <alignment horizontal="left" vertical="top"/>
    </odxf>
    <ndxf>
      <alignment horizontal="general" vertical="bottom"/>
    </ndxf>
  </rcc>
  <rcc rId="3521" sId="2" odxf="1" dxf="1">
    <nc r="C210">
      <f>LEFT(B210,LEN(B210)-1)</f>
    </nc>
    <odxf>
      <alignment horizontal="left" vertical="top"/>
    </odxf>
    <ndxf>
      <alignment horizontal="general" vertical="bottom"/>
    </ndxf>
  </rcc>
  <rcc rId="3522" sId="2" odxf="1" dxf="1">
    <nc r="C211">
      <f>LEFT(B211,LEN(B211)-1)</f>
    </nc>
    <odxf>
      <alignment horizontal="left" vertical="top"/>
    </odxf>
    <ndxf>
      <alignment horizontal="general" vertical="bottom"/>
    </ndxf>
  </rcc>
  <rcc rId="3523" sId="2" odxf="1" dxf="1">
    <nc r="C212">
      <f>LEFT(B212,LEN(B212)-1)</f>
    </nc>
    <odxf>
      <alignment horizontal="left" vertical="top"/>
    </odxf>
    <ndxf>
      <alignment horizontal="general" vertical="bottom"/>
    </ndxf>
  </rcc>
  <rcc rId="3524" sId="2" odxf="1" dxf="1">
    <nc r="C213">
      <f>LEFT(B213,LEN(B213)-1)</f>
    </nc>
    <odxf>
      <fill>
        <patternFill patternType="solid">
          <bgColor theme="0"/>
        </patternFill>
      </fill>
      <alignment horizontal="left" vertical="top"/>
    </odxf>
    <ndxf>
      <fill>
        <patternFill patternType="none">
          <bgColor indexed="65"/>
        </patternFill>
      </fill>
      <alignment horizontal="general" vertical="bottom"/>
    </ndxf>
  </rcc>
  <rcc rId="3525" sId="2" odxf="1" dxf="1">
    <nc r="C214">
      <f>LEFT(B214,LEN(B214)-1)</f>
    </nc>
    <odxf>
      <fill>
        <patternFill patternType="solid">
          <bgColor theme="0"/>
        </patternFill>
      </fill>
      <alignment horizontal="left" vertical="top"/>
    </odxf>
    <ndxf>
      <fill>
        <patternFill patternType="none">
          <bgColor indexed="65"/>
        </patternFill>
      </fill>
      <alignment horizontal="general" vertical="bottom"/>
    </ndxf>
  </rcc>
  <rcc rId="3526" sId="2" odxf="1" dxf="1">
    <nc r="C215">
      <f>LEFT(B215,LEN(B215)-1)</f>
    </nc>
    <odxf>
      <fill>
        <patternFill patternType="solid">
          <bgColor theme="0"/>
        </patternFill>
      </fill>
      <alignment horizontal="left" vertical="top"/>
    </odxf>
    <ndxf>
      <fill>
        <patternFill patternType="none">
          <bgColor indexed="65"/>
        </patternFill>
      </fill>
      <alignment horizontal="general" vertical="bottom"/>
    </ndxf>
  </rcc>
  <rcc rId="3527" sId="2" odxf="1" dxf="1">
    <nc r="C216">
      <f>LEFT(B216,LEN(B216)-1)</f>
    </nc>
    <odxf>
      <fill>
        <patternFill patternType="solid">
          <bgColor theme="0"/>
        </patternFill>
      </fill>
      <alignment horizontal="left" vertical="top"/>
    </odxf>
    <ndxf>
      <fill>
        <patternFill patternType="none">
          <bgColor indexed="65"/>
        </patternFill>
      </fill>
      <alignment horizontal="general" vertical="bottom"/>
    </ndxf>
  </rcc>
  <rcc rId="3528" sId="2" odxf="1" dxf="1">
    <nc r="C217">
      <f>LEFT(B217,LEN(B217)-1)</f>
    </nc>
    <odxf>
      <fill>
        <patternFill patternType="solid">
          <bgColor theme="0"/>
        </patternFill>
      </fill>
      <alignment horizontal="left" vertical="top"/>
    </odxf>
    <ndxf>
      <fill>
        <patternFill patternType="none">
          <bgColor indexed="65"/>
        </patternFill>
      </fill>
      <alignment horizontal="general" vertical="bottom"/>
    </ndxf>
  </rcc>
  <rcc rId="3529" sId="2" odxf="1" dxf="1">
    <nc r="C218">
      <f>LEFT(B218,LEN(B218)-1)</f>
    </nc>
    <odxf>
      <alignment horizontal="left" vertical="top"/>
    </odxf>
    <ndxf>
      <alignment horizontal="general" vertical="bottom"/>
    </ndxf>
  </rcc>
  <rcc rId="3530" sId="2" odxf="1" dxf="1">
    <nc r="C219">
      <f>LEFT(B219,LEN(B219)-1)</f>
    </nc>
    <odxf>
      <alignment horizontal="left" vertical="top"/>
    </odxf>
    <ndxf>
      <alignment horizontal="general" vertical="bottom"/>
    </ndxf>
  </rcc>
  <rcc rId="3531" sId="2" odxf="1" dxf="1">
    <nc r="C220">
      <f>LEFT(B220,LEN(B220)-1)</f>
    </nc>
    <odxf>
      <alignment horizontal="left" vertical="top"/>
    </odxf>
    <ndxf>
      <alignment horizontal="general" vertical="bottom"/>
    </ndxf>
  </rcc>
  <rcc rId="3532" sId="2" odxf="1" dxf="1">
    <nc r="C221">
      <f>LEFT(B221,LEN(B221)-1)</f>
    </nc>
    <odxf>
      <alignment horizontal="left" vertical="top"/>
    </odxf>
    <ndxf>
      <alignment horizontal="general" vertical="bottom"/>
    </ndxf>
  </rcc>
  <rcc rId="3533" sId="2" odxf="1" dxf="1">
    <nc r="C222">
      <f>LEFT(B222,LEN(B222)-1)</f>
    </nc>
    <odxf>
      <alignment horizontal="left" vertical="top"/>
    </odxf>
    <ndxf>
      <alignment horizontal="general" vertical="bottom"/>
    </ndxf>
  </rcc>
  <rcc rId="3534" sId="2" odxf="1" dxf="1">
    <nc r="C223">
      <f>LEFT(B223,LEN(B223)-1)</f>
    </nc>
    <odxf>
      <alignment horizontal="left" vertical="top"/>
    </odxf>
    <ndxf>
      <alignment horizontal="general" vertical="bottom"/>
    </ndxf>
  </rcc>
  <rcc rId="3535" sId="2" odxf="1" dxf="1">
    <nc r="C224">
      <f>LEFT(B224,LEN(B224)-1)</f>
    </nc>
    <odxf>
      <alignment horizontal="left" vertical="top"/>
    </odxf>
    <ndxf>
      <alignment horizontal="general" vertical="bottom"/>
    </ndxf>
  </rcc>
  <rcc rId="3536" sId="2" odxf="1" dxf="1">
    <nc r="C225">
      <f>LEFT(B225,LEN(B225)-1)</f>
    </nc>
    <odxf>
      <alignment horizontal="left" vertical="top"/>
    </odxf>
    <ndxf>
      <alignment horizontal="general" vertical="bottom"/>
    </ndxf>
  </rcc>
  <rcc rId="3537" sId="2" odxf="1" dxf="1">
    <nc r="C226">
      <f>LEFT(B226,LEN(B226)-1)</f>
    </nc>
    <odxf>
      <alignment horizontal="left" vertical="top"/>
    </odxf>
    <ndxf>
      <alignment horizontal="general" vertical="bottom"/>
    </ndxf>
  </rcc>
  <rcc rId="3538" sId="2" odxf="1" dxf="1">
    <nc r="C227">
      <f>LEFT(B227,LEN(B227)-1)</f>
    </nc>
    <odxf>
      <alignment horizontal="left" vertical="top"/>
    </odxf>
    <ndxf>
      <alignment horizontal="general" vertical="bottom"/>
    </ndxf>
  </rcc>
  <rcc rId="3539" sId="2" odxf="1" dxf="1">
    <nc r="C228">
      <f>LEFT(B228,LEN(B228)-1)</f>
    </nc>
    <odxf>
      <alignment horizontal="left" vertical="top"/>
    </odxf>
    <ndxf>
      <alignment horizontal="general" vertical="bottom"/>
    </ndxf>
  </rcc>
  <rcc rId="3540" sId="2" odxf="1" dxf="1">
    <nc r="C229">
      <f>LEFT(B229,LEN(B229)-1)</f>
    </nc>
    <odxf>
      <alignment horizontal="left" vertical="top"/>
    </odxf>
    <ndxf>
      <alignment horizontal="general" vertical="bottom"/>
    </ndxf>
  </rcc>
  <rcc rId="3541" sId="2" odxf="1" dxf="1">
    <nc r="C230">
      <f>LEFT(B230,LEN(B230)-1)</f>
    </nc>
    <odxf>
      <alignment horizontal="left" vertical="top"/>
    </odxf>
    <ndxf>
      <alignment horizontal="general" vertical="bottom"/>
    </ndxf>
  </rcc>
  <rcc rId="3542" sId="2" odxf="1" dxf="1">
    <nc r="C231">
      <f>LEFT(B231,LEN(B231)-1)</f>
    </nc>
    <odxf>
      <alignment horizontal="left" vertical="top"/>
    </odxf>
    <ndxf>
      <alignment horizontal="general" vertical="bottom"/>
    </ndxf>
  </rcc>
  <rcc rId="3543" sId="2" odxf="1" dxf="1">
    <nc r="C232">
      <f>LEFT(B232,LEN(B232)-1)</f>
    </nc>
    <odxf>
      <alignment horizontal="left" vertical="top"/>
    </odxf>
    <ndxf>
      <alignment horizontal="general" vertical="bottom"/>
    </ndxf>
  </rcc>
  <rcc rId="3544" sId="2" odxf="1" dxf="1">
    <nc r="C233">
      <f>LEFT(B233,LEN(B233)-1)</f>
    </nc>
    <odxf>
      <alignment horizontal="left" vertical="top"/>
    </odxf>
    <ndxf>
      <alignment horizontal="general" vertical="bottom"/>
    </ndxf>
  </rcc>
  <rcc rId="3545" sId="2" odxf="1" dxf="1">
    <nc r="C234">
      <f>LEFT(B234,LEN(B234)-1)</f>
    </nc>
    <odxf>
      <alignment horizontal="left" vertical="top"/>
    </odxf>
    <ndxf>
      <alignment horizontal="general" vertical="bottom"/>
    </ndxf>
  </rcc>
  <rcc rId="3546" sId="2" odxf="1" dxf="1">
    <nc r="C235">
      <f>LEFT(B235,LEN(B235)-1)</f>
    </nc>
    <odxf>
      <alignment horizontal="left" vertical="top"/>
    </odxf>
    <ndxf>
      <alignment horizontal="general" vertical="bottom"/>
    </ndxf>
  </rcc>
  <rcc rId="3547" sId="2" odxf="1" dxf="1">
    <nc r="C236">
      <f>LEFT(B236,LEN(B236)-1)</f>
    </nc>
    <odxf>
      <alignment horizontal="left" vertical="top"/>
    </odxf>
    <ndxf>
      <alignment horizontal="general" vertical="bottom"/>
    </ndxf>
  </rcc>
  <rcc rId="3548" sId="2" odxf="1" dxf="1">
    <nc r="C237">
      <f>LEFT(B237,LEN(B237)-1)</f>
    </nc>
    <odxf>
      <alignment horizontal="left" vertical="top"/>
    </odxf>
    <ndxf>
      <alignment horizontal="general" vertical="bottom"/>
    </ndxf>
  </rcc>
  <rcc rId="3549" sId="2" odxf="1" dxf="1">
    <nc r="C238">
      <f>LEFT(B238,LEN(B238)-1)</f>
    </nc>
    <odxf>
      <alignment horizontal="left" vertical="top"/>
    </odxf>
    <ndxf>
      <alignment horizontal="general" vertical="bottom"/>
    </ndxf>
  </rcc>
  <rcc rId="3550" sId="2" odxf="1" dxf="1">
    <nc r="C239">
      <f>LEFT(B239,LEN(B239)-1)</f>
    </nc>
    <odxf>
      <alignment horizontal="left" vertical="top"/>
    </odxf>
    <ndxf>
      <alignment horizontal="general" vertical="bottom"/>
    </ndxf>
  </rcc>
  <rcc rId="3551" sId="2" odxf="1" dxf="1">
    <nc r="C240">
      <f>LEFT(B240,LEN(B240)-1)</f>
    </nc>
    <odxf>
      <alignment horizontal="left" vertical="top"/>
    </odxf>
    <ndxf>
      <alignment horizontal="general" vertical="bottom"/>
    </ndxf>
  </rcc>
  <rcc rId="3552" sId="2" odxf="1" dxf="1">
    <nc r="C241">
      <f>LEFT(B241,LEN(B241)-1)</f>
    </nc>
    <odxf>
      <alignment horizontal="left" vertical="top"/>
    </odxf>
    <ndxf>
      <alignment horizontal="general" vertical="bottom"/>
    </ndxf>
  </rcc>
  <rcc rId="3553" sId="2" odxf="1" dxf="1">
    <nc r="C242">
      <f>LEFT(B242,LEN(B242)-1)</f>
    </nc>
    <odxf>
      <alignment horizontal="left" vertical="top"/>
    </odxf>
    <ndxf>
      <alignment horizontal="general" vertical="bottom"/>
    </ndxf>
  </rcc>
  <rcc rId="3554" sId="2" odxf="1" dxf="1">
    <nc r="C243">
      <f>LEFT(B243,LEN(B243)-1)</f>
    </nc>
    <odxf>
      <alignment horizontal="left" vertical="top"/>
    </odxf>
    <ndxf>
      <alignment horizontal="general" vertical="bottom"/>
    </ndxf>
  </rcc>
  <rcc rId="3555" sId="2" odxf="1" dxf="1">
    <nc r="C244">
      <f>LEFT(B244,LEN(B244)-1)</f>
    </nc>
    <odxf>
      <alignment horizontal="left" vertical="top"/>
    </odxf>
    <ndxf>
      <alignment horizontal="general" vertical="bottom"/>
    </ndxf>
  </rcc>
  <rcc rId="3556" sId="2" odxf="1" dxf="1">
    <nc r="C245">
      <f>LEFT(B245,LEN(B245)-1)</f>
    </nc>
    <odxf>
      <alignment horizontal="left" vertical="top"/>
    </odxf>
    <ndxf>
      <alignment horizontal="general" vertical="bottom"/>
    </ndxf>
  </rcc>
  <rcc rId="3557" sId="2" odxf="1" dxf="1">
    <nc r="C246">
      <f>LEFT(B246,LEN(B246)-1)</f>
    </nc>
    <odxf>
      <alignment horizontal="left" vertical="top"/>
    </odxf>
    <ndxf>
      <alignment horizontal="general" vertical="bottom"/>
    </ndxf>
  </rcc>
  <rcc rId="3558" sId="2" odxf="1" dxf="1">
    <nc r="C247">
      <f>LEFT(B247,LEN(B247)-1)</f>
    </nc>
    <odxf>
      <alignment horizontal="left" vertical="top"/>
    </odxf>
    <ndxf>
      <alignment horizontal="general" vertical="bottom"/>
    </ndxf>
  </rcc>
  <rcc rId="3559" sId="2" odxf="1" dxf="1">
    <nc r="C248">
      <f>LEFT(B248,LEN(B248)-1)</f>
    </nc>
    <odxf>
      <alignment horizontal="left" vertical="top"/>
    </odxf>
    <ndxf>
      <alignment horizontal="general" vertical="bottom"/>
    </ndxf>
  </rcc>
  <rcc rId="3560" sId="2" odxf="1" dxf="1">
    <nc r="C249">
      <f>LEFT(B249,LEN(B249)-1)</f>
    </nc>
    <odxf>
      <alignment horizontal="left" vertical="top"/>
    </odxf>
    <ndxf>
      <alignment horizontal="general" vertical="bottom"/>
    </ndxf>
  </rcc>
  <rcc rId="3561" sId="2" odxf="1" dxf="1">
    <nc r="C250">
      <f>LEFT(B250,LEN(B250)-1)</f>
    </nc>
    <odxf>
      <alignment horizontal="left" vertical="top"/>
    </odxf>
    <ndxf>
      <alignment horizontal="general" vertical="bottom"/>
    </ndxf>
  </rcc>
  <rcc rId="3562" sId="2" odxf="1" dxf="1">
    <nc r="C251">
      <f>LEFT(B251,LEN(B251)-1)</f>
    </nc>
    <odxf>
      <alignment horizontal="left" vertical="top"/>
    </odxf>
    <ndxf>
      <alignment horizontal="general" vertical="bottom"/>
    </ndxf>
  </rcc>
  <rcc rId="3563" sId="2" odxf="1" dxf="1">
    <nc r="C252">
      <f>LEFT(B252,LEN(B252)-1)</f>
    </nc>
    <odxf>
      <alignment horizontal="left" vertical="top"/>
    </odxf>
    <ndxf>
      <alignment horizontal="general" vertical="bottom"/>
    </ndxf>
  </rcc>
  <rcc rId="3564" sId="2" odxf="1" dxf="1">
    <nc r="C253">
      <f>LEFT(B253,LEN(B253)-1)</f>
    </nc>
    <odxf>
      <alignment horizontal="left" vertical="top"/>
    </odxf>
    <ndxf>
      <alignment horizontal="general" vertical="bottom"/>
    </ndxf>
  </rcc>
  <rcc rId="3565" sId="2" odxf="1" dxf="1">
    <nc r="C254">
      <f>LEFT(B254,LEN(B254)-1)</f>
    </nc>
    <odxf>
      <alignment horizontal="left" vertical="top"/>
    </odxf>
    <ndxf>
      <alignment horizontal="general" vertical="bottom"/>
    </ndxf>
  </rcc>
  <rcc rId="3566" sId="2" odxf="1" dxf="1">
    <nc r="C255">
      <f>LEFT(B255,LEN(B255)-1)</f>
    </nc>
    <odxf>
      <alignment horizontal="left" vertical="top"/>
    </odxf>
    <ndxf>
      <alignment horizontal="general" vertical="bottom"/>
    </ndxf>
  </rcc>
  <rcc rId="3567" sId="2" odxf="1" dxf="1">
    <nc r="C256">
      <f>LEFT(B256,LEN(B256)-1)</f>
    </nc>
    <odxf>
      <alignment horizontal="left" vertical="top"/>
    </odxf>
    <ndxf>
      <alignment horizontal="general" vertical="bottom"/>
    </ndxf>
  </rcc>
  <rcc rId="3568" sId="2" odxf="1" dxf="1">
    <nc r="C257">
      <f>LEFT(B257,LEN(B257)-1)</f>
    </nc>
    <odxf>
      <alignment horizontal="left" vertical="top"/>
    </odxf>
    <ndxf>
      <alignment horizontal="general" vertical="bottom"/>
    </ndxf>
  </rcc>
  <rcc rId="3569" sId="2" odxf="1" dxf="1">
    <nc r="C258">
      <f>LEFT(B258,LEN(B258)-1)</f>
    </nc>
    <odxf>
      <alignment horizontal="left" vertical="top"/>
    </odxf>
    <ndxf>
      <alignment horizontal="general" vertical="bottom"/>
    </ndxf>
  </rcc>
  <rcc rId="3570" sId="2" odxf="1" dxf="1">
    <nc r="C259">
      <f>LEFT(B259,LEN(B259)-1)</f>
    </nc>
    <odxf>
      <alignment horizontal="left" vertical="top"/>
    </odxf>
    <ndxf>
      <alignment horizontal="general" vertical="bottom"/>
    </ndxf>
  </rcc>
  <rcc rId="3571" sId="2" odxf="1" dxf="1">
    <nc r="C260">
      <f>LEFT(B260,LEN(B260)-1)</f>
    </nc>
    <odxf>
      <alignment horizontal="left" vertical="top"/>
    </odxf>
    <ndxf>
      <alignment horizontal="general" vertical="bottom"/>
    </ndxf>
  </rcc>
  <rfmt sheetId="2" sqref="C261" start="0" length="0">
    <dxf>
      <alignment horizontal="general" vertical="bottom"/>
    </dxf>
  </rfmt>
  <rfmt sheetId="2" sqref="C262" start="0" length="0">
    <dxf>
      <alignment horizontal="general" vertical="bottom"/>
    </dxf>
  </rfmt>
  <rfmt sheetId="2" sqref="C263" start="0" length="0">
    <dxf>
      <alignment horizontal="general" vertical="bottom"/>
    </dxf>
  </rfmt>
  <rcc rId="3572" sId="2">
    <nc r="C2">
      <v>2.1</v>
    </nc>
  </rcc>
  <rcc rId="3573" sId="2">
    <nc r="C3">
      <v>2.6</v>
    </nc>
  </rcc>
  <rcc rId="3574" sId="2">
    <nc r="C4">
      <v>2.1</v>
    </nc>
  </rcc>
  <rcc rId="3575" sId="2">
    <nc r="C5">
      <v>2.1</v>
    </nc>
  </rcc>
  <rcc rId="3576" sId="2">
    <nc r="C6">
      <v>2.1</v>
    </nc>
  </rcc>
  <rcc rId="3577" sId="2">
    <nc r="C7">
      <v>2.1</v>
    </nc>
  </rcc>
  <rcc rId="3578" sId="2">
    <nc r="C8">
      <v>2.1</v>
    </nc>
  </rcc>
  <rcc rId="3579" sId="2">
    <nc r="C9">
      <v>2.2000000000000002</v>
    </nc>
  </rcc>
  <rcc rId="3580" sId="2">
    <nc r="C10">
      <v>2.2000000000000002</v>
    </nc>
  </rcc>
  <rcc rId="3581" sId="2">
    <nc r="C11">
      <v>2.2000000000000002</v>
    </nc>
  </rcc>
  <rcc rId="3582" sId="2">
    <nc r="C12">
      <v>2.2000000000000002</v>
    </nc>
  </rcc>
  <rcc rId="3583" sId="2">
    <nc r="C13">
      <v>2.1</v>
    </nc>
  </rcc>
  <rcc rId="3584" sId="2">
    <nc r="C14">
      <v>2.1</v>
    </nc>
  </rcc>
  <rcc rId="3585" sId="2">
    <nc r="C15">
      <v>2.1</v>
    </nc>
  </rcc>
  <rcc rId="3586" sId="2">
    <nc r="C16">
      <v>2.1</v>
    </nc>
  </rcc>
  <rcc rId="3587" sId="2">
    <nc r="C17">
      <v>2.1</v>
    </nc>
  </rcc>
  <rcc rId="3588" sId="2">
    <nc r="C18">
      <v>2.1</v>
    </nc>
  </rcc>
  <rcc rId="3589" sId="2">
    <nc r="C19">
      <v>2.1</v>
    </nc>
  </rcc>
  <rcc rId="3590" sId="2">
    <nc r="C20">
      <v>2.1</v>
    </nc>
  </rcc>
  <rcc rId="3591" sId="2">
    <nc r="C21">
      <v>2.1</v>
    </nc>
  </rcc>
  <rcc rId="3592" sId="2">
    <nc r="C22">
      <v>2.1</v>
    </nc>
  </rcc>
  <rcc rId="3593" sId="2">
    <nc r="C23">
      <v>2.2000000000000002</v>
    </nc>
  </rcc>
  <rcc rId="3594" sId="2">
    <nc r="C24">
      <v>2.2999999999999998</v>
    </nc>
  </rcc>
  <rcc rId="3595" sId="2">
    <nc r="C25">
      <v>2.2000000000000002</v>
    </nc>
  </rcc>
  <rcc rId="3596" sId="2">
    <nc r="C26">
      <v>2.2000000000000002</v>
    </nc>
  </rcc>
  <rcc rId="3597" sId="2">
    <nc r="C27">
      <v>2.2999999999999998</v>
    </nc>
  </rcc>
  <rcc rId="3598" sId="2">
    <nc r="C28">
      <v>2.2999999999999998</v>
    </nc>
  </rcc>
  <rcc rId="3599" sId="2">
    <nc r="C29">
      <v>2.4</v>
    </nc>
  </rcc>
  <rcc rId="3600" sId="2">
    <nc r="C30">
      <v>2.5</v>
    </nc>
  </rcc>
  <rcc rId="3601" sId="2">
    <nc r="C31">
      <v>2.6</v>
    </nc>
  </rcc>
  <rcc rId="3602" sId="2">
    <nc r="C32">
      <v>2.6</v>
    </nc>
  </rcc>
  <rcc rId="3603" sId="2">
    <nc r="C33">
      <v>2.6</v>
    </nc>
  </rcc>
  <rcc rId="3604" sId="2">
    <nc r="C34">
      <v>2.6</v>
    </nc>
  </rcc>
  <rcc rId="3605" sId="2">
    <nc r="C35">
      <v>2.6</v>
    </nc>
  </rcc>
  <rcc rId="3606" sId="2">
    <nc r="C36">
      <v>2.6</v>
    </nc>
  </rcc>
  <rcc rId="3607" sId="2">
    <nc r="C37">
      <v>2.6</v>
    </nc>
  </rcc>
  <rcc rId="3608" sId="2">
    <nc r="C38">
      <v>2.6</v>
    </nc>
  </rcc>
  <rcc rId="3609" sId="2">
    <nc r="C39">
      <v>2.6</v>
    </nc>
  </rcc>
  <rcc rId="3610" sId="2">
    <nc r="C40">
      <v>2.6</v>
    </nc>
  </rcc>
  <rcc rId="3611" sId="2">
    <nc r="C41">
      <v>2.6</v>
    </nc>
  </rcc>
  <rcc rId="3612" sId="2">
    <nc r="C42">
      <v>2.6</v>
    </nc>
  </rcc>
  <rcc rId="3613" sId="2">
    <nc r="C43">
      <v>2.6</v>
    </nc>
  </rcc>
  <rcc rId="3614" sId="2">
    <nc r="C44">
      <v>2.6</v>
    </nc>
  </rcc>
  <rcc rId="3615" sId="2">
    <nc r="C45">
      <v>2.6</v>
    </nc>
  </rcc>
  <rcc rId="3616" sId="2">
    <nc r="C46">
      <v>2.6</v>
    </nc>
  </rcc>
  <rcc rId="3617" sId="2">
    <nc r="C47">
      <v>2.6</v>
    </nc>
  </rcc>
  <rcc rId="3618" sId="2">
    <nc r="C48">
      <v>2.6</v>
    </nc>
  </rcc>
  <rcc rId="3619" sId="2">
    <nc r="C49">
      <v>2.6</v>
    </nc>
  </rcc>
  <rcc rId="3620" sId="2">
    <nc r="C50">
      <v>2.6</v>
    </nc>
  </rcc>
  <rcc rId="3621" sId="2">
    <nc r="C51">
      <v>2.6</v>
    </nc>
  </rcc>
  <rcc rId="3622" sId="2">
    <nc r="C52">
      <v>2.6</v>
    </nc>
  </rcc>
  <rcc rId="3623" sId="2">
    <nc r="C53">
      <v>2.6</v>
    </nc>
  </rcc>
  <rcc rId="3624" sId="2">
    <nc r="C54">
      <v>2.6</v>
    </nc>
  </rcc>
  <rcc rId="3625" sId="2">
    <nc r="C55">
      <v>2.6</v>
    </nc>
  </rcc>
  <rcc rId="3626" sId="2">
    <nc r="C56">
      <v>2.6</v>
    </nc>
  </rcc>
  <rcc rId="3627" sId="2">
    <nc r="C57">
      <v>2.6</v>
    </nc>
  </rcc>
  <rcc rId="3628" sId="2">
    <nc r="C58">
      <v>2.6</v>
    </nc>
  </rcc>
  <rcc rId="3629" sId="2">
    <nc r="C59">
      <v>2.6</v>
    </nc>
  </rcc>
  <rcc rId="3630" sId="2">
    <nc r="C60">
      <v>2.6</v>
    </nc>
  </rcc>
  <rcc rId="3631" sId="2">
    <nc r="C61">
      <v>2.6</v>
    </nc>
  </rcc>
  <rcc rId="3632" sId="2">
    <nc r="C62">
      <v>2.6</v>
    </nc>
  </rcc>
  <rcc rId="3633" sId="2">
    <nc r="C63">
      <v>2.6</v>
    </nc>
  </rcc>
  <rcc rId="3634" sId="2">
    <nc r="C64">
      <v>2.6</v>
    </nc>
  </rcc>
  <rcc rId="3635" sId="2">
    <nc r="C65">
      <v>2.6</v>
    </nc>
  </rcc>
  <rcc rId="3636" sId="2">
    <nc r="C66">
      <v>2.6</v>
    </nc>
  </rcc>
  <rcc rId="3637" sId="2">
    <nc r="C67">
      <v>2.6</v>
    </nc>
  </rcc>
  <rcc rId="3638" sId="2">
    <nc r="C68">
      <v>2.6</v>
    </nc>
  </rcc>
  <rcc rId="3639" sId="2">
    <nc r="C69">
      <v>2.6</v>
    </nc>
  </rcc>
  <rcc rId="3640" sId="2">
    <nc r="C70">
      <v>2.6</v>
    </nc>
  </rcc>
  <rcc rId="3641" sId="2">
    <nc r="C71">
      <v>2.6</v>
    </nc>
  </rcc>
  <rcc rId="3642" sId="2">
    <nc r="C72">
      <v>2.1</v>
    </nc>
  </rcc>
  <rcc rId="3643" sId="2">
    <nc r="C73">
      <v>2.1</v>
    </nc>
  </rcc>
  <rcc rId="3644" sId="2">
    <nc r="C74">
      <v>2.1</v>
    </nc>
  </rcc>
  <rcc rId="3645" sId="2">
    <nc r="C75">
      <v>2.1</v>
    </nc>
  </rcc>
  <rcc rId="3646" sId="2">
    <nc r="C76">
      <v>2.1</v>
    </nc>
  </rcc>
  <rcc rId="3647" sId="2">
    <nc r="C77">
      <v>2.1</v>
    </nc>
  </rcc>
  <rcc rId="3648" sId="2">
    <oc r="C78">
      <f>LEFT(B78,LEN(B78)-1)</f>
    </oc>
    <nc r="C78" t="inlineStr">
      <is>
        <t>2.6</t>
      </is>
    </nc>
  </rcc>
  <rcc rId="3649" sId="2">
    <oc r="C79">
      <f>LEFT(B79,LEN(B79)-1)</f>
    </oc>
    <nc r="C79" t="inlineStr">
      <is>
        <t>2.6</t>
      </is>
    </nc>
  </rcc>
  <rcc rId="3650" sId="2">
    <oc r="C80">
      <f>LEFT(B80,LEN(B80)-1)</f>
    </oc>
    <nc r="C80" t="inlineStr">
      <is>
        <t>2.6</t>
      </is>
    </nc>
  </rcc>
  <rcc rId="3651" sId="2">
    <oc r="C81">
      <f>LEFT(B81,LEN(B81)-1)</f>
    </oc>
    <nc r="C81" t="inlineStr">
      <is>
        <t>2.6</t>
      </is>
    </nc>
  </rcc>
  <rcc rId="3652" sId="2">
    <oc r="C82">
      <f>LEFT(B82,LEN(B82)-1)</f>
    </oc>
    <nc r="C82" t="inlineStr">
      <is>
        <t>2.6</t>
      </is>
    </nc>
  </rcc>
  <rcc rId="3653" sId="2">
    <oc r="C83">
      <f>LEFT(B83,LEN(B83)-1)</f>
    </oc>
    <nc r="C83" t="inlineStr">
      <is>
        <t>2.6</t>
      </is>
    </nc>
  </rcc>
  <rcc rId="3654" sId="2">
    <oc r="C84">
      <f>LEFT(B84,LEN(B84)-1)</f>
    </oc>
    <nc r="C84" t="inlineStr">
      <is>
        <t>2.6</t>
      </is>
    </nc>
  </rcc>
  <rcc rId="3655" sId="2">
    <oc r="C85">
      <f>LEFT(B85,LEN(B85)-1)</f>
    </oc>
    <nc r="C85" t="inlineStr">
      <is>
        <t>2.6</t>
      </is>
    </nc>
  </rcc>
  <rcc rId="3656" sId="2">
    <oc r="C86">
      <f>LEFT(B86,LEN(B86)-1)</f>
    </oc>
    <nc r="C86" t="inlineStr">
      <is>
        <t>2.6</t>
      </is>
    </nc>
  </rcc>
  <rcc rId="3657" sId="2">
    <oc r="C87">
      <f>LEFT(B87,LEN(B87)-1)</f>
    </oc>
    <nc r="C87" t="inlineStr">
      <is>
        <t>2.6</t>
      </is>
    </nc>
  </rcc>
  <rcc rId="3658" sId="2">
    <oc r="C88">
      <f>LEFT(B88,LEN(B88)-1)</f>
    </oc>
    <nc r="C88" t="inlineStr">
      <is>
        <t>2.6</t>
      </is>
    </nc>
  </rcc>
  <rcc rId="3659" sId="2">
    <oc r="C89">
      <f>LEFT(B89,LEN(B89)-1)</f>
    </oc>
    <nc r="C89" t="inlineStr">
      <is>
        <t>2.6</t>
      </is>
    </nc>
  </rcc>
  <rcc rId="3660" sId="2">
    <oc r="C90">
      <f>LEFT(B90,LEN(B90)-1)</f>
    </oc>
    <nc r="C90" t="inlineStr">
      <is>
        <t>2.6</t>
      </is>
    </nc>
  </rcc>
  <rcc rId="3661" sId="2">
    <oc r="C91">
      <f>LEFT(B91,LEN(B91)-1)</f>
    </oc>
    <nc r="C91" t="inlineStr">
      <is>
        <t>2.6</t>
      </is>
    </nc>
  </rcc>
  <rcc rId="3662" sId="2">
    <oc r="C92">
      <f>LEFT(B92,LEN(B92)-1)</f>
    </oc>
    <nc r="C92" t="inlineStr">
      <is>
        <t>2.6</t>
      </is>
    </nc>
  </rcc>
  <rcc rId="3663" sId="2">
    <oc r="C93">
      <f>LEFT(B93,LEN(B93)-1)</f>
    </oc>
    <nc r="C93" t="inlineStr">
      <is>
        <t>2.6</t>
      </is>
    </nc>
  </rcc>
  <rcc rId="3664" sId="2">
    <oc r="C94">
      <f>LEFT(B94,LEN(B94)-1)</f>
    </oc>
    <nc r="C94" t="inlineStr">
      <is>
        <t>2.6</t>
      </is>
    </nc>
  </rcc>
  <rcc rId="3665" sId="2">
    <oc r="C95">
      <f>LEFT(B95,LEN(B95)-1)</f>
    </oc>
    <nc r="C95" t="inlineStr">
      <is>
        <t>2.6</t>
      </is>
    </nc>
  </rcc>
  <rcc rId="3666" sId="2">
    <oc r="C96">
      <f>LEFT(B96,LEN(B96)-1)</f>
    </oc>
    <nc r="C96" t="inlineStr">
      <is>
        <t>2.6</t>
      </is>
    </nc>
  </rcc>
  <rcc rId="3667" sId="2">
    <oc r="C97">
      <f>LEFT(B97,LEN(B97)-1)</f>
    </oc>
    <nc r="C97" t="inlineStr">
      <is>
        <t>2.6</t>
      </is>
    </nc>
  </rcc>
  <rcc rId="3668" sId="2">
    <oc r="C98">
      <f>LEFT(B98,LEN(B98)-1)</f>
    </oc>
    <nc r="C98" t="inlineStr">
      <is>
        <t>2.6</t>
      </is>
    </nc>
  </rcc>
  <rcc rId="3669" sId="2">
    <oc r="C99">
      <f>LEFT(B99,LEN(B99)-1)</f>
    </oc>
    <nc r="C99" t="inlineStr">
      <is>
        <t>2.6</t>
      </is>
    </nc>
  </rcc>
  <rcc rId="3670" sId="2">
    <oc r="C100">
      <f>LEFT(B100,LEN(B100)-1)</f>
    </oc>
    <nc r="C100" t="inlineStr">
      <is>
        <t>2.6</t>
      </is>
    </nc>
  </rcc>
  <rcc rId="3671" sId="2">
    <oc r="C101">
      <f>LEFT(B101,LEN(B101)-1)</f>
    </oc>
    <nc r="C101" t="inlineStr">
      <is>
        <t>2.6</t>
      </is>
    </nc>
  </rcc>
  <rcc rId="3672" sId="2">
    <oc r="C102">
      <f>LEFT(B102,LEN(B102)-1)</f>
    </oc>
    <nc r="C102" t="inlineStr">
      <is>
        <t>2.6</t>
      </is>
    </nc>
  </rcc>
  <rcc rId="3673" sId="2">
    <oc r="C103">
      <f>LEFT(B103,LEN(B103)-1)</f>
    </oc>
    <nc r="C103" t="inlineStr">
      <is>
        <t>2.6</t>
      </is>
    </nc>
  </rcc>
  <rcc rId="3674" sId="2">
    <oc r="C104">
      <f>LEFT(B104,LEN(B104)-1)</f>
    </oc>
    <nc r="C104" t="inlineStr">
      <is>
        <t>2.6</t>
      </is>
    </nc>
  </rcc>
  <rcc rId="3675" sId="2">
    <oc r="C105">
      <f>LEFT(B105,LEN(B105)-1)</f>
    </oc>
    <nc r="C105" t="inlineStr">
      <is>
        <t>2.6</t>
      </is>
    </nc>
  </rcc>
  <rcc rId="3676" sId="2">
    <oc r="C106">
      <f>LEFT(B106,LEN(B106)-1)</f>
    </oc>
    <nc r="C106" t="inlineStr">
      <is>
        <t>2.6</t>
      </is>
    </nc>
  </rcc>
  <rcc rId="3677" sId="2">
    <oc r="C107">
      <f>LEFT(B107,LEN(B107)-1)</f>
    </oc>
    <nc r="C107" t="inlineStr">
      <is>
        <t>2.6</t>
      </is>
    </nc>
  </rcc>
  <rcc rId="3678" sId="2">
    <oc r="C108">
      <f>LEFT(B108,LEN(B108)-1)</f>
    </oc>
    <nc r="C108" t="inlineStr">
      <is>
        <t>2.6</t>
      </is>
    </nc>
  </rcc>
  <rcc rId="3679" sId="2">
    <oc r="C109">
      <f>LEFT(B109,LEN(B109)-1)</f>
    </oc>
    <nc r="C109" t="inlineStr">
      <is>
        <t>2.6</t>
      </is>
    </nc>
  </rcc>
  <rcc rId="3680" sId="2">
    <oc r="C110">
      <f>LEFT(B110,LEN(B110)-1)</f>
    </oc>
    <nc r="C110" t="inlineStr">
      <is>
        <t>2.6</t>
      </is>
    </nc>
  </rcc>
  <rcc rId="3681" sId="2">
    <oc r="C111">
      <f>LEFT(B111,LEN(B111)-1)</f>
    </oc>
    <nc r="C111" t="inlineStr">
      <is>
        <t>2.6</t>
      </is>
    </nc>
  </rcc>
  <rcc rId="3682" sId="2">
    <oc r="C112">
      <f>LEFT(B112,LEN(B112)-1)</f>
    </oc>
    <nc r="C112" t="inlineStr">
      <is>
        <t>2.6</t>
      </is>
    </nc>
  </rcc>
  <rcc rId="3683" sId="2">
    <oc r="C113">
      <f>LEFT(B113,LEN(B113)-1)</f>
    </oc>
    <nc r="C113" t="inlineStr">
      <is>
        <t>2.6</t>
      </is>
    </nc>
  </rcc>
  <rcc rId="3684" sId="2">
    <oc r="C114">
      <f>LEFT(B114,LEN(B114)-1)</f>
    </oc>
    <nc r="C114" t="inlineStr">
      <is>
        <t>2.6</t>
      </is>
    </nc>
  </rcc>
  <rcc rId="3685" sId="2">
    <oc r="C115">
      <f>LEFT(B115,LEN(B115)-1)</f>
    </oc>
    <nc r="C115" t="inlineStr">
      <is>
        <t>2.6</t>
      </is>
    </nc>
  </rcc>
  <rcc rId="3686" sId="2">
    <oc r="C116">
      <f>LEFT(B116,LEN(B116)-1)</f>
    </oc>
    <nc r="C116" t="inlineStr">
      <is>
        <t>2.6</t>
      </is>
    </nc>
  </rcc>
  <rcc rId="3687" sId="2">
    <oc r="C117">
      <f>LEFT(B117,LEN(B117)-1)</f>
    </oc>
    <nc r="C117" t="inlineStr">
      <is>
        <t>2.6</t>
      </is>
    </nc>
  </rcc>
  <rcc rId="3688" sId="2">
    <oc r="C118">
      <f>LEFT(B118,LEN(B118)-1)</f>
    </oc>
    <nc r="C118" t="inlineStr">
      <is>
        <t>2.6</t>
      </is>
    </nc>
  </rcc>
  <rcc rId="3689" sId="2">
    <oc r="C119">
      <f>LEFT(B119,LEN(B119)-1)</f>
    </oc>
    <nc r="C119" t="inlineStr">
      <is>
        <t>2.6</t>
      </is>
    </nc>
  </rcc>
  <rcc rId="3690" sId="2">
    <oc r="C120">
      <f>LEFT(B120,LEN(B120)-1)</f>
    </oc>
    <nc r="C120" t="inlineStr">
      <is>
        <t>2.6</t>
      </is>
    </nc>
  </rcc>
  <rcc rId="3691" sId="2">
    <oc r="C121">
      <f>LEFT(B121,LEN(B121)-1)</f>
    </oc>
    <nc r="C121" t="inlineStr">
      <is>
        <t>2.6</t>
      </is>
    </nc>
  </rcc>
  <rcc rId="3692" sId="2">
    <oc r="C122">
      <f>LEFT(B122,LEN(B122)-1)</f>
    </oc>
    <nc r="C122" t="inlineStr">
      <is>
        <t>2.6</t>
      </is>
    </nc>
  </rcc>
  <rcc rId="3693" sId="2">
    <oc r="C123">
      <f>LEFT(B123,LEN(B123)-1)</f>
    </oc>
    <nc r="C123" t="inlineStr">
      <is>
        <t>2.6</t>
      </is>
    </nc>
  </rcc>
  <rcc rId="3694" sId="2">
    <oc r="C124">
      <f>LEFT(B124,LEN(B124)-1)</f>
    </oc>
    <nc r="C124" t="inlineStr">
      <is>
        <t>2.6</t>
      </is>
    </nc>
  </rcc>
  <rcc rId="3695" sId="2">
    <oc r="C125">
      <f>LEFT(B125,LEN(B125)-1)</f>
    </oc>
    <nc r="C125" t="inlineStr">
      <is>
        <t>2.6</t>
      </is>
    </nc>
  </rcc>
  <rcc rId="3696" sId="2">
    <oc r="C126">
      <f>LEFT(B126,LEN(B126)-1)</f>
    </oc>
    <nc r="C126" t="inlineStr">
      <is>
        <t>2.6</t>
      </is>
    </nc>
  </rcc>
  <rcc rId="3697" sId="2">
    <oc r="C127">
      <f>LEFT(B127,LEN(B127)-1)</f>
    </oc>
    <nc r="C127" t="inlineStr">
      <is>
        <t>2.6</t>
      </is>
    </nc>
  </rcc>
  <rcc rId="3698" sId="2">
    <oc r="C128">
      <f>LEFT(B128,LEN(B128)-1)</f>
    </oc>
    <nc r="C128" t="inlineStr">
      <is>
        <t>2.6</t>
      </is>
    </nc>
  </rcc>
  <rcc rId="3699" sId="2">
    <oc r="C129">
      <f>LEFT(B129,LEN(B129)-1)</f>
    </oc>
    <nc r="C129" t="inlineStr">
      <is>
        <t>2.6</t>
      </is>
    </nc>
  </rcc>
  <rcc rId="3700" sId="2">
    <oc r="C130">
      <f>LEFT(B130,LEN(B130)-1)</f>
    </oc>
    <nc r="C130" t="inlineStr">
      <is>
        <t>2.6</t>
      </is>
    </nc>
  </rcc>
  <rcc rId="3701" sId="2">
    <oc r="C131">
      <f>LEFT(B131,LEN(B131)-1)</f>
    </oc>
    <nc r="C131" t="inlineStr">
      <is>
        <t>2.6</t>
      </is>
    </nc>
  </rcc>
  <rcc rId="3702" sId="2">
    <oc r="C132">
      <f>LEFT(B132,LEN(B132)-1)</f>
    </oc>
    <nc r="C132" t="inlineStr">
      <is>
        <t>2.7</t>
      </is>
    </nc>
  </rcc>
  <rcc rId="3703" sId="2">
    <oc r="C133">
      <f>LEFT(B133,LEN(B133)-1)</f>
    </oc>
    <nc r="C133" t="inlineStr">
      <is>
        <t>2.6</t>
      </is>
    </nc>
  </rcc>
  <rcc rId="3704" sId="2">
    <oc r="C134">
      <f>LEFT(B134,LEN(B134)-1)</f>
    </oc>
    <nc r="C134" t="inlineStr">
      <is>
        <t>2.7</t>
      </is>
    </nc>
  </rcc>
  <rcc rId="3705" sId="2">
    <oc r="C135">
      <f>LEFT(B135,LEN(B135)-1)</f>
    </oc>
    <nc r="C135" t="inlineStr">
      <is>
        <t>2.6</t>
      </is>
    </nc>
  </rcc>
  <rcc rId="3706" sId="2">
    <oc r="C136">
      <f>LEFT(B136,LEN(B136)-1)</f>
    </oc>
    <nc r="C136" t="inlineStr">
      <is>
        <t>2.6</t>
      </is>
    </nc>
  </rcc>
  <rcc rId="3707" sId="2">
    <oc r="C137">
      <f>LEFT(B137,LEN(B137)-1)</f>
    </oc>
    <nc r="C137" t="inlineStr">
      <is>
        <t>2.6</t>
      </is>
    </nc>
  </rcc>
  <rcc rId="3708" sId="2">
    <oc r="C138">
      <f>LEFT(B138,LEN(B138)-1)</f>
    </oc>
    <nc r="C138" t="inlineStr">
      <is>
        <t>2.7</t>
      </is>
    </nc>
  </rcc>
  <rcc rId="3709" sId="2">
    <oc r="C139">
      <f>LEFT(B139,LEN(B139)-1)</f>
    </oc>
    <nc r="C139" t="inlineStr">
      <is>
        <t>2.7</t>
      </is>
    </nc>
  </rcc>
  <rcc rId="3710" sId="2">
    <oc r="C140">
      <f>LEFT(B140,LEN(B140)-1)</f>
    </oc>
    <nc r="C140" t="inlineStr">
      <is>
        <t>2.6</t>
      </is>
    </nc>
  </rcc>
  <rcc rId="3711" sId="2">
    <oc r="C141">
      <f>LEFT(B141,LEN(B141)-1)</f>
    </oc>
    <nc r="C141" t="inlineStr">
      <is>
        <t>2.7</t>
      </is>
    </nc>
  </rcc>
  <rcc rId="3712" sId="2">
    <oc r="C142">
      <f>LEFT(B142,LEN(B142)-1)</f>
    </oc>
    <nc r="C142" t="inlineStr">
      <is>
        <t>2.6</t>
      </is>
    </nc>
  </rcc>
  <rcc rId="3713" sId="2">
    <oc r="C143">
      <f>LEFT(B143,LEN(B143)-1)</f>
    </oc>
    <nc r="C143" t="inlineStr">
      <is>
        <t>2.8</t>
      </is>
    </nc>
  </rcc>
  <rcc rId="3714" sId="2">
    <oc r="C144">
      <f>LEFT(B144,LEN(B144)-1)</f>
    </oc>
    <nc r="C144" t="inlineStr">
      <is>
        <t>2.9</t>
      </is>
    </nc>
  </rcc>
  <rcc rId="3715" sId="2">
    <oc r="C145">
      <f>LEFT(B145,LEN(B145)-1)</f>
    </oc>
    <nc r="C145" t="inlineStr">
      <is>
        <t>2.8</t>
      </is>
    </nc>
  </rcc>
  <rcc rId="3716" sId="2">
    <oc r="C146">
      <f>LEFT(B146,LEN(B146)-1)</f>
    </oc>
    <nc r="C146" t="inlineStr">
      <is>
        <t>2.9</t>
      </is>
    </nc>
  </rcc>
  <rcc rId="3717" sId="2">
    <oc r="C147">
      <f>LEFT(B147,LEN(B147)-1)</f>
    </oc>
    <nc r="C147" t="inlineStr">
      <is>
        <t>2.6</t>
      </is>
    </nc>
  </rcc>
  <rcc rId="3718" sId="2">
    <oc r="C148">
      <f>LEFT(B148,LEN(B148)-1)</f>
    </oc>
    <nc r="C148" t="inlineStr">
      <is>
        <t>2.6</t>
      </is>
    </nc>
  </rcc>
  <rcc rId="3719" sId="2">
    <oc r="C149">
      <f>LEFT(B149,LEN(B149)-1)</f>
    </oc>
    <nc r="C149" t="inlineStr">
      <is>
        <t>2.8</t>
      </is>
    </nc>
  </rcc>
  <rcc rId="3720" sId="2">
    <oc r="C150">
      <f>LEFT(B150,LEN(B150)-1)</f>
    </oc>
    <nc r="C150" t="inlineStr">
      <is>
        <t>2.8</t>
      </is>
    </nc>
  </rcc>
  <rcc rId="3721" sId="2">
    <oc r="C151">
      <f>LEFT(B151,LEN(B151)-1)</f>
    </oc>
    <nc r="C151" t="inlineStr">
      <is>
        <t>2.8</t>
      </is>
    </nc>
  </rcc>
  <rcc rId="3722" sId="2">
    <oc r="C152">
      <f>LEFT(B152,LEN(B152)-1)</f>
    </oc>
    <nc r="C152" t="inlineStr">
      <is>
        <t>2.6</t>
      </is>
    </nc>
  </rcc>
  <rcc rId="3723" sId="2">
    <oc r="C153">
      <f>LEFT(B153,LEN(B153)-1)</f>
    </oc>
    <nc r="C153" t="inlineStr">
      <is>
        <t>2.8</t>
      </is>
    </nc>
  </rcc>
  <rcc rId="3724" sId="2">
    <oc r="C154">
      <f>LEFT(B154,LEN(B154)-1)</f>
    </oc>
    <nc r="C154" t="inlineStr">
      <is>
        <t>2.6</t>
      </is>
    </nc>
  </rcc>
  <rcc rId="3725" sId="2">
    <oc r="C155">
      <f>LEFT(B155,LEN(B155)-1)</f>
    </oc>
    <nc r="C155" t="inlineStr">
      <is>
        <t>2.6</t>
      </is>
    </nc>
  </rcc>
  <rcc rId="3726" sId="2">
    <oc r="C156">
      <f>LEFT(B156,LEN(B156)-1)</f>
    </oc>
    <nc r="C156" t="inlineStr">
      <is>
        <t>2.8</t>
      </is>
    </nc>
  </rcc>
  <rcc rId="3727" sId="2">
    <oc r="C157">
      <f>LEFT(B157,LEN(B157)-1)</f>
    </oc>
    <nc r="C157" t="inlineStr">
      <is>
        <t>2.8</t>
      </is>
    </nc>
  </rcc>
  <rcc rId="3728" sId="2">
    <oc r="C158">
      <f>LEFT(B158,LEN(B158)-1)</f>
    </oc>
    <nc r="C158" t="inlineStr">
      <is>
        <t>2.8</t>
      </is>
    </nc>
  </rcc>
  <rcc rId="3729" sId="2">
    <oc r="C159">
      <f>LEFT(B159,LEN(B159)-1)</f>
    </oc>
    <nc r="C159" t="inlineStr">
      <is>
        <t>2.8</t>
      </is>
    </nc>
  </rcc>
  <rcc rId="3730" sId="2">
    <oc r="C160">
      <f>LEFT(B160,LEN(B160)-1)</f>
    </oc>
    <nc r="C160" t="inlineStr">
      <is>
        <t>2.8</t>
      </is>
    </nc>
  </rcc>
  <rcc rId="3731" sId="2">
    <oc r="C161">
      <f>LEFT(B161,LEN(B161)-1)</f>
    </oc>
    <nc r="C161" t="inlineStr">
      <is>
        <t>2.6</t>
      </is>
    </nc>
  </rcc>
  <rcc rId="3732" sId="2">
    <oc r="C162">
      <f>LEFT(B162,LEN(B162)-1)</f>
    </oc>
    <nc r="C162" t="inlineStr">
      <is>
        <t>2.6</t>
      </is>
    </nc>
  </rcc>
  <rcc rId="3733" sId="2">
    <oc r="C163">
      <f>LEFT(B163,LEN(B163)-1)</f>
    </oc>
    <nc r="C163" t="inlineStr">
      <is>
        <t>2.8</t>
      </is>
    </nc>
  </rcc>
  <rcc rId="3734" sId="2">
    <oc r="C164">
      <f>LEFT(B164,LEN(B164)-1)</f>
    </oc>
    <nc r="C164" t="inlineStr">
      <is>
        <t>2.8</t>
      </is>
    </nc>
  </rcc>
  <rcc rId="3735" sId="2">
    <oc r="C165">
      <f>LEFT(B165,LEN(B165)-1)</f>
    </oc>
    <nc r="C165" t="inlineStr">
      <is>
        <t>2.6</t>
      </is>
    </nc>
  </rcc>
  <rcc rId="3736" sId="2">
    <oc r="C166">
      <f>LEFT(B166,LEN(B166)-1)</f>
    </oc>
    <nc r="C166" t="inlineStr">
      <is>
        <t>2.6</t>
      </is>
    </nc>
  </rcc>
  <rcc rId="3737" sId="2">
    <oc r="C167">
      <f>LEFT(B167,LEN(B167)-1)</f>
    </oc>
    <nc r="C167" t="inlineStr">
      <is>
        <t>2.8</t>
      </is>
    </nc>
  </rcc>
  <rcc rId="3738" sId="2">
    <oc r="C168">
      <f>LEFT(B168,LEN(B168)-1)</f>
    </oc>
    <nc r="C168" t="inlineStr">
      <is>
        <t>2.6</t>
      </is>
    </nc>
  </rcc>
  <rcc rId="3739" sId="2">
    <oc r="C169">
      <f>LEFT(B169,LEN(B169)-1)</f>
    </oc>
    <nc r="C169" t="inlineStr">
      <is>
        <t>2.8</t>
      </is>
    </nc>
  </rcc>
  <rcc rId="3740" sId="2">
    <oc r="C170">
      <f>LEFT(B170,LEN(B170)-1)</f>
    </oc>
    <nc r="C170" t="inlineStr">
      <is>
        <t>2.6</t>
      </is>
    </nc>
  </rcc>
  <rcc rId="3741" sId="2">
    <oc r="C171">
      <f>LEFT(B171,LEN(B171)-1)</f>
    </oc>
    <nc r="C171" t="inlineStr">
      <is>
        <t>2.8</t>
      </is>
    </nc>
  </rcc>
  <rcc rId="3742" sId="2">
    <oc r="C172">
      <f>LEFT(B172,LEN(B172)-1)</f>
    </oc>
    <nc r="C172" t="inlineStr">
      <is>
        <t>2.6</t>
      </is>
    </nc>
  </rcc>
  <rcc rId="3743" sId="2">
    <oc r="C173">
      <f>LEFT(B173,LEN(B173)-1)</f>
    </oc>
    <nc r="C173" t="inlineStr">
      <is>
        <t>2.8</t>
      </is>
    </nc>
  </rcc>
  <rcc rId="3744" sId="2">
    <oc r="C174">
      <f>LEFT(B174,LEN(B174)-1)</f>
    </oc>
    <nc r="C174" t="inlineStr">
      <is>
        <t>2.8</t>
      </is>
    </nc>
  </rcc>
  <rcc rId="3745" sId="2">
    <oc r="C175">
      <f>LEFT(B175,LEN(B175)-1)</f>
    </oc>
    <nc r="C175" t="inlineStr">
      <is>
        <t>2.8</t>
      </is>
    </nc>
  </rcc>
  <rcc rId="3746" sId="2">
    <oc r="C176">
      <f>LEFT(B176,LEN(B176)-1)</f>
    </oc>
    <nc r="C176" t="inlineStr">
      <is>
        <t>2.6</t>
      </is>
    </nc>
  </rcc>
  <rcc rId="3747" sId="2">
    <oc r="C177">
      <f>LEFT(B177,LEN(B177)-1)</f>
    </oc>
    <nc r="C177" t="inlineStr">
      <is>
        <t>2.6</t>
      </is>
    </nc>
  </rcc>
  <rcc rId="3748" sId="2">
    <oc r="C178">
      <f>LEFT(B178,LEN(B178)-1)</f>
    </oc>
    <nc r="C178" t="inlineStr">
      <is>
        <t>2.8</t>
      </is>
    </nc>
  </rcc>
  <rcc rId="3749" sId="2">
    <oc r="C179">
      <f>LEFT(B179,LEN(B179)-1)</f>
    </oc>
    <nc r="C179" t="inlineStr">
      <is>
        <t>2.6</t>
      </is>
    </nc>
  </rcc>
  <rcc rId="3750" sId="2">
    <oc r="C180">
      <f>LEFT(B180,LEN(B180)-1)</f>
    </oc>
    <nc r="C180" t="inlineStr">
      <is>
        <t>2.6</t>
      </is>
    </nc>
  </rcc>
  <rcc rId="3751" sId="2">
    <oc r="C181">
      <f>LEFT(B181,LEN(B181)-1)</f>
    </oc>
    <nc r="C181" t="inlineStr">
      <is>
        <t>2.8</t>
      </is>
    </nc>
  </rcc>
  <rcc rId="3752" sId="2">
    <oc r="C182">
      <f>LEFT(B182,LEN(B182)-1)</f>
    </oc>
    <nc r="C182" t="inlineStr">
      <is>
        <t>2.8</t>
      </is>
    </nc>
  </rcc>
  <rcc rId="3753" sId="2">
    <oc r="C183">
      <f>LEFT(B183,LEN(B183)-1)</f>
    </oc>
    <nc r="C183" t="inlineStr">
      <is>
        <t>2.9</t>
      </is>
    </nc>
  </rcc>
  <rcc rId="3754" sId="2">
    <oc r="C184">
      <f>LEFT(B184,LEN(B184)-1)</f>
    </oc>
    <nc r="C184" t="inlineStr">
      <is>
        <t>2.8</t>
      </is>
    </nc>
  </rcc>
  <rcc rId="3755" sId="2">
    <oc r="C185">
      <f>LEFT(B185,LEN(B185)-1)</f>
    </oc>
    <nc r="C185" t="inlineStr">
      <is>
        <t>2.9</t>
      </is>
    </nc>
  </rcc>
  <rcc rId="3756" sId="2">
    <oc r="C186">
      <f>LEFT(B186,LEN(B186)-1)</f>
    </oc>
    <nc r="C186" t="inlineStr">
      <is>
        <t>2.8</t>
      </is>
    </nc>
  </rcc>
  <rcc rId="3757" sId="2">
    <oc r="C187">
      <f>LEFT(B187,LEN(B187)-1)</f>
    </oc>
    <nc r="C187" t="inlineStr">
      <is>
        <t>2.9</t>
      </is>
    </nc>
  </rcc>
  <rcc rId="3758" sId="2">
    <oc r="C188">
      <f>LEFT(B188,LEN(B188)-1)</f>
    </oc>
    <nc r="C188" t="inlineStr">
      <is>
        <t>2.8</t>
      </is>
    </nc>
  </rcc>
  <rcc rId="3759" sId="2">
    <oc r="C189">
      <f>LEFT(B189,LEN(B189)-1)</f>
    </oc>
    <nc r="C189" t="inlineStr">
      <is>
        <t>2.8</t>
      </is>
    </nc>
  </rcc>
  <rcc rId="3760" sId="2">
    <oc r="C190">
      <f>LEFT(B190,LEN(B190)-1)</f>
    </oc>
    <nc r="C190" t="inlineStr">
      <is>
        <t>2.9</t>
      </is>
    </nc>
  </rcc>
  <rcc rId="3761" sId="2">
    <oc r="C191">
      <f>LEFT(B191,LEN(B191)-1)</f>
    </oc>
    <nc r="C191" t="inlineStr">
      <is>
        <t>2.9</t>
      </is>
    </nc>
  </rcc>
  <rcc rId="3762" sId="2">
    <oc r="C192">
      <f>LEFT(B192,LEN(B192)-1)</f>
    </oc>
    <nc r="C192" t="inlineStr">
      <is>
        <t>2.8</t>
      </is>
    </nc>
  </rcc>
  <rcc rId="3763" sId="2">
    <oc r="C193">
      <f>LEFT(B193,LEN(B193)-1)</f>
    </oc>
    <nc r="C193" t="inlineStr">
      <is>
        <t>2.9</t>
      </is>
    </nc>
  </rcc>
  <rcc rId="3764" sId="2">
    <oc r="C194">
      <f>LEFT(B194,LEN(B194)-1)</f>
    </oc>
    <nc r="C194" t="inlineStr">
      <is>
        <t>2.8</t>
      </is>
    </nc>
  </rcc>
  <rcc rId="3765" sId="2">
    <oc r="C195">
      <f>LEFT(B195,LEN(B195)-1)</f>
    </oc>
    <nc r="C195" t="inlineStr">
      <is>
        <t>2.9</t>
      </is>
    </nc>
  </rcc>
  <rcc rId="3766" sId="2">
    <oc r="C196">
      <f>LEFT(B196,LEN(B196)-1)</f>
    </oc>
    <nc r="C196" t="inlineStr">
      <is>
        <t>2.8</t>
      </is>
    </nc>
  </rcc>
  <rcc rId="3767" sId="2">
    <oc r="C197">
      <f>LEFT(B197,LEN(B197)-1)</f>
    </oc>
    <nc r="C197" t="inlineStr">
      <is>
        <t>2.9</t>
      </is>
    </nc>
  </rcc>
  <rcc rId="3768" sId="2">
    <oc r="C198">
      <f>LEFT(B198,LEN(B198)-1)</f>
    </oc>
    <nc r="C198" t="inlineStr">
      <is>
        <t>2.8</t>
      </is>
    </nc>
  </rcc>
  <rcc rId="3769" sId="2">
    <oc r="C199">
      <f>LEFT(B199,LEN(B199)-1)</f>
    </oc>
    <nc r="C199" t="inlineStr">
      <is>
        <t>2.9</t>
      </is>
    </nc>
  </rcc>
  <rcc rId="3770" sId="2">
    <oc r="C200">
      <f>LEFT(B200,LEN(B200)-1)</f>
    </oc>
    <nc r="C200" t="inlineStr">
      <is>
        <t>2.8</t>
      </is>
    </nc>
  </rcc>
  <rcc rId="3771" sId="2">
    <oc r="C202">
      <f>LEFT(B202,LEN(B202)-1)</f>
    </oc>
    <nc r="C202" t="inlineStr">
      <is>
        <t>2.9</t>
      </is>
    </nc>
  </rcc>
  <rcc rId="3772" sId="2">
    <oc r="C203">
      <f>LEFT(B203,LEN(B203)-1)</f>
    </oc>
    <nc r="C203" t="inlineStr">
      <is>
        <t>2.9</t>
      </is>
    </nc>
  </rcc>
  <rcc rId="3773" sId="2">
    <oc r="C204">
      <f>LEFT(B204,LEN(B204)-1)</f>
    </oc>
    <nc r="C204" t="inlineStr">
      <is>
        <t>2.8</t>
      </is>
    </nc>
  </rcc>
  <rcc rId="3774" sId="2">
    <oc r="C205">
      <f>LEFT(B205,LEN(B205)-1)</f>
    </oc>
    <nc r="C205" t="inlineStr">
      <is>
        <t>2.9</t>
      </is>
    </nc>
  </rcc>
  <rcc rId="3775" sId="2">
    <oc r="C206">
      <f>LEFT(B206,LEN(B206)-1)</f>
    </oc>
    <nc r="C206" t="inlineStr">
      <is>
        <t>2.9</t>
      </is>
    </nc>
  </rcc>
  <rcc rId="3776" sId="2">
    <oc r="C207">
      <f>LEFT(B207,LEN(B207)-1)</f>
    </oc>
    <nc r="C207" t="inlineStr">
      <is>
        <t>2.8</t>
      </is>
    </nc>
  </rcc>
  <rcc rId="3777" sId="2">
    <oc r="C208">
      <f>LEFT(B208,LEN(B208)-1)</f>
    </oc>
    <nc r="C208" t="inlineStr">
      <is>
        <t>2.8</t>
      </is>
    </nc>
  </rcc>
  <rcc rId="3778" sId="2">
    <oc r="C209">
      <f>LEFT(B209,LEN(B209)-1)</f>
    </oc>
    <nc r="C209" t="inlineStr">
      <is>
        <t>2.8</t>
      </is>
    </nc>
  </rcc>
  <rcc rId="3779" sId="2">
    <oc r="C210">
      <f>LEFT(B210,LEN(B210)-1)</f>
    </oc>
    <nc r="C210" t="inlineStr">
      <is>
        <t>2.8</t>
      </is>
    </nc>
  </rcc>
  <rcc rId="3780" sId="2">
    <oc r="C211">
      <f>LEFT(B211,LEN(B211)-1)</f>
    </oc>
    <nc r="C211" t="inlineStr">
      <is>
        <t>2.9</t>
      </is>
    </nc>
  </rcc>
  <rcc rId="3781" sId="2">
    <oc r="C212">
      <f>LEFT(B212,LEN(B212)-1)</f>
    </oc>
    <nc r="C212" t="inlineStr">
      <is>
        <t>2.9</t>
      </is>
    </nc>
  </rcc>
  <rcc rId="3782" sId="2">
    <oc r="C213">
      <f>LEFT(B213,LEN(B213)-1)</f>
    </oc>
    <nc r="C213" t="inlineStr">
      <is>
        <t>2.8</t>
      </is>
    </nc>
  </rcc>
  <rcc rId="3783" sId="2">
    <oc r="C214">
      <f>LEFT(B214,LEN(B214)-1)</f>
    </oc>
    <nc r="C214" t="inlineStr">
      <is>
        <t>2.9</t>
      </is>
    </nc>
  </rcc>
  <rcc rId="3784" sId="2">
    <oc r="C215">
      <f>LEFT(B215,LEN(B215)-1)</f>
    </oc>
    <nc r="C215" t="inlineStr">
      <is>
        <t>2.9</t>
      </is>
    </nc>
  </rcc>
  <rcc rId="3785" sId="2">
    <oc r="C216">
      <f>LEFT(B216,LEN(B216)-1)</f>
    </oc>
    <nc r="C216" t="inlineStr">
      <is>
        <t>2.9</t>
      </is>
    </nc>
  </rcc>
  <rcc rId="3786" sId="2">
    <oc r="C217">
      <f>LEFT(B217,LEN(B217)-1)</f>
    </oc>
    <nc r="C217" t="inlineStr">
      <is>
        <t>2.9</t>
      </is>
    </nc>
  </rcc>
  <rcc rId="3787" sId="2">
    <oc r="C218">
      <f>LEFT(B218,LEN(B218)-1)</f>
    </oc>
    <nc r="C218" t="inlineStr">
      <is>
        <t>2.9</t>
      </is>
    </nc>
  </rcc>
  <rcc rId="3788" sId="2">
    <oc r="C219">
      <f>LEFT(B219,LEN(B219)-1)</f>
    </oc>
    <nc r="C219" t="inlineStr">
      <is>
        <t>2.9</t>
      </is>
    </nc>
  </rcc>
  <rcc rId="3789" sId="2">
    <oc r="C220">
      <f>LEFT(B220,LEN(B220)-1)</f>
    </oc>
    <nc r="C220" t="inlineStr">
      <is>
        <t>2.8</t>
      </is>
    </nc>
  </rcc>
  <rcc rId="3790" sId="2">
    <oc r="C221">
      <f>LEFT(B221,LEN(B221)-1)</f>
    </oc>
    <nc r="C221" t="inlineStr">
      <is>
        <t>2.9</t>
      </is>
    </nc>
  </rcc>
  <rcc rId="3791" sId="2">
    <oc r="C222">
      <f>LEFT(B222,LEN(B222)-1)</f>
    </oc>
    <nc r="C222" t="inlineStr">
      <is>
        <t>2.9</t>
      </is>
    </nc>
  </rcc>
  <rcc rId="3792" sId="2">
    <oc r="C223">
      <f>LEFT(B223,LEN(B223)-1)</f>
    </oc>
    <nc r="C223" t="inlineStr">
      <is>
        <t>2.9</t>
      </is>
    </nc>
  </rcc>
  <rcc rId="3793" sId="2">
    <oc r="C224">
      <f>LEFT(B224,LEN(B224)-1)</f>
    </oc>
    <nc r="C224" t="inlineStr">
      <is>
        <t>2.8</t>
      </is>
    </nc>
  </rcc>
  <rcc rId="3794" sId="2">
    <oc r="C225">
      <f>LEFT(B225,LEN(B225)-1)</f>
    </oc>
    <nc r="C225" t="inlineStr">
      <is>
        <t>2.9</t>
      </is>
    </nc>
  </rcc>
  <rcc rId="3795" sId="2">
    <oc r="C226">
      <f>LEFT(B226,LEN(B226)-1)</f>
    </oc>
    <nc r="C226" t="inlineStr">
      <is>
        <t>2.9</t>
      </is>
    </nc>
  </rcc>
  <rcc rId="3796" sId="2">
    <oc r="C227">
      <f>LEFT(B227,LEN(B227)-1)</f>
    </oc>
    <nc r="C227" t="inlineStr">
      <is>
        <t>2.8</t>
      </is>
    </nc>
  </rcc>
  <rcc rId="3797" sId="2">
    <oc r="C228">
      <f>LEFT(B228,LEN(B228)-1)</f>
    </oc>
    <nc r="C228" t="inlineStr">
      <is>
        <t>2.8</t>
      </is>
    </nc>
  </rcc>
  <rcc rId="3798" sId="2">
    <oc r="C229">
      <f>LEFT(B229,LEN(B229)-1)</f>
    </oc>
    <nc r="C229" t="inlineStr">
      <is>
        <t>2.8</t>
      </is>
    </nc>
  </rcc>
  <rcc rId="3799" sId="2">
    <oc r="C230">
      <f>LEFT(B230,LEN(B230)-1)</f>
    </oc>
    <nc r="C230" t="inlineStr">
      <is>
        <t>2.8</t>
      </is>
    </nc>
  </rcc>
  <rcc rId="3800" sId="2">
    <oc r="C231">
      <f>LEFT(B231,LEN(B231)-1)</f>
    </oc>
    <nc r="C231" t="inlineStr">
      <is>
        <t>2.9</t>
      </is>
    </nc>
  </rcc>
  <rcc rId="3801" sId="2">
    <oc r="C232">
      <f>LEFT(B232,LEN(B232)-1)</f>
    </oc>
    <nc r="C232" t="inlineStr">
      <is>
        <t>2.9</t>
      </is>
    </nc>
  </rcc>
  <rcc rId="3802" sId="2">
    <oc r="C233">
      <f>LEFT(B233,LEN(B233)-1)</f>
    </oc>
    <nc r="C233" t="inlineStr">
      <is>
        <t>2.9</t>
      </is>
    </nc>
  </rcc>
  <rcc rId="3803" sId="2">
    <oc r="C234">
      <f>LEFT(B234,LEN(B234)-1)</f>
    </oc>
    <nc r="C234" t="inlineStr">
      <is>
        <t>2.9</t>
      </is>
    </nc>
  </rcc>
  <rcc rId="3804" sId="2">
    <oc r="C235">
      <f>LEFT(B235,LEN(B235)-1)</f>
    </oc>
    <nc r="C235" t="inlineStr">
      <is>
        <t>2.9</t>
      </is>
    </nc>
  </rcc>
  <rcc rId="3805" sId="2">
    <oc r="C236">
      <f>LEFT(B236,LEN(B236)-1)</f>
    </oc>
    <nc r="C236" t="inlineStr">
      <is>
        <t>2.8</t>
      </is>
    </nc>
  </rcc>
  <rcc rId="3806" sId="2">
    <oc r="C237">
      <f>LEFT(B237,LEN(B237)-1)</f>
    </oc>
    <nc r="C237" t="inlineStr">
      <is>
        <t>2.8</t>
      </is>
    </nc>
  </rcc>
  <rcc rId="3807" sId="2">
    <oc r="C238">
      <f>LEFT(B238,LEN(B238)-1)</f>
    </oc>
    <nc r="C238" t="inlineStr">
      <is>
        <t>2.8</t>
      </is>
    </nc>
  </rcc>
  <rcc rId="3808" sId="2">
    <oc r="C239">
      <f>LEFT(B239,LEN(B239)-1)</f>
    </oc>
    <nc r="C239" t="inlineStr">
      <is>
        <t>2.9</t>
      </is>
    </nc>
  </rcc>
  <rcc rId="3809" sId="2">
    <oc r="C240">
      <f>LEFT(B240,LEN(B240)-1)</f>
    </oc>
    <nc r="C240" t="inlineStr">
      <is>
        <t>2.8</t>
      </is>
    </nc>
  </rcc>
  <rcc rId="3810" sId="2">
    <oc r="C241">
      <f>LEFT(B241,LEN(B241)-1)</f>
    </oc>
    <nc r="C241" t="inlineStr">
      <is>
        <t>2.9</t>
      </is>
    </nc>
  </rcc>
  <rcc rId="3811" sId="2">
    <oc r="C242">
      <f>LEFT(B242,LEN(B242)-1)</f>
    </oc>
    <nc r="C242" t="inlineStr">
      <is>
        <t>2.8</t>
      </is>
    </nc>
  </rcc>
  <rcc rId="3812" sId="2">
    <oc r="C243">
      <f>LEFT(B243,LEN(B243)-1)</f>
    </oc>
    <nc r="C243" t="inlineStr">
      <is>
        <t>2.8</t>
      </is>
    </nc>
  </rcc>
  <rcc rId="3813" sId="2">
    <oc r="C244">
      <f>LEFT(B244,LEN(B244)-1)</f>
    </oc>
    <nc r="C244" t="inlineStr">
      <is>
        <t>2.8</t>
      </is>
    </nc>
  </rcc>
  <rcc rId="3814" sId="2">
    <oc r="C245">
      <f>LEFT(B245,LEN(B245)-1)</f>
    </oc>
    <nc r="C245" t="inlineStr">
      <is>
        <t>2.8</t>
      </is>
    </nc>
  </rcc>
  <rcc rId="3815" sId="2">
    <oc r="C246">
      <f>LEFT(B246,LEN(B246)-1)</f>
    </oc>
    <nc r="C246" t="inlineStr">
      <is>
        <t>2.9</t>
      </is>
    </nc>
  </rcc>
  <rcc rId="3816" sId="2">
    <oc r="C247">
      <f>LEFT(B247,LEN(B247)-1)</f>
    </oc>
    <nc r="C247" t="inlineStr">
      <is>
        <t>2.8</t>
      </is>
    </nc>
  </rcc>
  <rcc rId="3817" sId="2">
    <oc r="C248">
      <f>LEFT(B248,LEN(B248)-1)</f>
    </oc>
    <nc r="C248" t="inlineStr">
      <is>
        <t>2.8</t>
      </is>
    </nc>
  </rcc>
  <rcc rId="3818" sId="2">
    <oc r="C249">
      <f>LEFT(B249,LEN(B249)-1)</f>
    </oc>
    <nc r="C249" t="inlineStr">
      <is>
        <t>2.8</t>
      </is>
    </nc>
  </rcc>
  <rcc rId="3819" sId="2">
    <oc r="C250">
      <f>LEFT(B250,LEN(B250)-1)</f>
    </oc>
    <nc r="C250" t="inlineStr">
      <is>
        <t>2.8</t>
      </is>
    </nc>
  </rcc>
  <rcc rId="3820" sId="2">
    <oc r="C251">
      <f>LEFT(B251,LEN(B251)-1)</f>
    </oc>
    <nc r="C251" t="inlineStr">
      <is>
        <t>2.8</t>
      </is>
    </nc>
  </rcc>
  <rcc rId="3821" sId="2">
    <oc r="C252">
      <f>LEFT(B252,LEN(B252)-1)</f>
    </oc>
    <nc r="C252" t="inlineStr">
      <is>
        <t>2.8</t>
      </is>
    </nc>
  </rcc>
  <rcc rId="3822" sId="2">
    <oc r="C253">
      <f>LEFT(B253,LEN(B253)-1)</f>
    </oc>
    <nc r="C253" t="inlineStr">
      <is>
        <t>2.8</t>
      </is>
    </nc>
  </rcc>
  <rcc rId="3823" sId="2">
    <oc r="C254">
      <f>LEFT(B254,LEN(B254)-1)</f>
    </oc>
    <nc r="C254" t="inlineStr">
      <is>
        <t>2.8</t>
      </is>
    </nc>
  </rcc>
  <rcc rId="3824" sId="2">
    <oc r="C255">
      <f>LEFT(B255,LEN(B255)-1)</f>
    </oc>
    <nc r="C255" t="inlineStr">
      <is>
        <t>2.8</t>
      </is>
    </nc>
  </rcc>
  <rcc rId="3825" sId="2">
    <oc r="C256">
      <f>LEFT(B256,LEN(B256)-1)</f>
    </oc>
    <nc r="C256" t="inlineStr">
      <is>
        <t>2.8</t>
      </is>
    </nc>
  </rcc>
  <rcc rId="3826" sId="2">
    <oc r="C257">
      <f>LEFT(B257,LEN(B257)-1)</f>
    </oc>
    <nc r="C257" t="inlineStr">
      <is>
        <t>2.8</t>
      </is>
    </nc>
  </rcc>
  <rcc rId="3827" sId="2">
    <oc r="C258">
      <f>LEFT(B258,LEN(B258)-1)</f>
    </oc>
    <nc r="C258" t="inlineStr">
      <is>
        <t>2.8</t>
      </is>
    </nc>
  </rcc>
  <rcc rId="3828" sId="2">
    <oc r="C259">
      <f>LEFT(B259,LEN(B259)-1)</f>
    </oc>
    <nc r="C259" t="inlineStr">
      <is>
        <t>2.8</t>
      </is>
    </nc>
  </rcc>
  <rcc rId="3829" sId="2">
    <oc r="C260">
      <f>LEFT(B260,LEN(B260)-1)</f>
    </oc>
    <nc r="C260" t="inlineStr">
      <is>
        <t>2.8</t>
      </is>
    </nc>
  </rcc>
  <rcc rId="3830" sId="2">
    <nc r="C261" t="inlineStr">
      <is>
        <t>NA</t>
      </is>
    </nc>
  </rcc>
  <rcc rId="3831" sId="2">
    <oc r="C201">
      <f>LEFT(B201,LEN(B201)-1)</f>
    </oc>
    <nc r="C201" t="inlineStr">
      <is>
        <t>NA</t>
      </is>
    </nc>
  </rcc>
  <rrc rId="3832" sId="2" ref="D1:D1048576" action="insertCol"/>
  <rcc rId="3833" sId="2">
    <nc r="D1" t="inlineStr">
      <is>
        <t>home_patt_orient</t>
      </is>
    </nc>
  </rcc>
  <rcc rId="3834" sId="2">
    <nc r="D2" t="inlineStr">
      <is>
        <t>vertical</t>
      </is>
    </nc>
  </rcc>
  <rcc rId="3835" sId="2" odxf="1" dxf="1">
    <nc r="D3" t="inlineStr">
      <is>
        <t>vertical</t>
      </is>
    </nc>
    <odxf>
      <font>
        <color rgb="FFFF0000"/>
      </font>
    </odxf>
    <ndxf>
      <font>
        <sz val="12"/>
        <color theme="1"/>
        <name val="Calibri"/>
        <family val="2"/>
        <scheme val="minor"/>
      </font>
    </ndxf>
  </rcc>
  <rcc rId="3836" sId="2">
    <nc r="D4" t="inlineStr">
      <is>
        <t>vertical</t>
      </is>
    </nc>
  </rcc>
  <rcc rId="3837" sId="2">
    <nc r="D5" t="inlineStr">
      <is>
        <t>vertical</t>
      </is>
    </nc>
  </rcc>
  <rcc rId="3838" sId="2">
    <nc r="D6" t="inlineStr">
      <is>
        <t>vertical</t>
      </is>
    </nc>
  </rcc>
  <rcc rId="3839" sId="2">
    <nc r="D7" t="inlineStr">
      <is>
        <t>vertical</t>
      </is>
    </nc>
  </rcc>
  <rcc rId="3840" sId="2">
    <nc r="D8" t="inlineStr">
      <is>
        <t>vertical</t>
      </is>
    </nc>
  </rcc>
  <rcc rId="3841" sId="2">
    <nc r="D9" t="inlineStr">
      <is>
        <t>vertical</t>
      </is>
    </nc>
  </rcc>
  <rcc rId="3842" sId="2">
    <nc r="D10" t="inlineStr">
      <is>
        <t>vertical</t>
      </is>
    </nc>
  </rcc>
  <rcc rId="3843" sId="2">
    <nc r="D11" t="inlineStr">
      <is>
        <t>vertical</t>
      </is>
    </nc>
  </rcc>
  <rcc rId="3844" sId="2">
    <nc r="D12" t="inlineStr">
      <is>
        <t>vertical</t>
      </is>
    </nc>
  </rcc>
  <rcc rId="3845" sId="2" odxf="1" dxf="1">
    <nc r="D13" t="inlineStr">
      <is>
        <t>vertical</t>
      </is>
    </nc>
    <odxf>
      <font>
        <color rgb="FFFF0000"/>
      </font>
    </odxf>
    <ndxf>
      <font>
        <sz val="12"/>
        <color theme="1"/>
        <name val="Calibri"/>
        <family val="2"/>
        <scheme val="minor"/>
      </font>
    </ndxf>
  </rcc>
  <rcc rId="3846" sId="2" odxf="1" dxf="1">
    <nc r="D14" t="inlineStr">
      <is>
        <t>vertical</t>
      </is>
    </nc>
    <odxf>
      <font>
        <color rgb="FFFF0000"/>
      </font>
    </odxf>
    <ndxf>
      <font>
        <sz val="12"/>
        <color theme="1"/>
        <name val="Calibri"/>
        <family val="2"/>
        <scheme val="minor"/>
      </font>
    </ndxf>
  </rcc>
  <rcc rId="3847" sId="2">
    <nc r="D15" t="inlineStr">
      <is>
        <t>vertical</t>
      </is>
    </nc>
  </rcc>
  <rcc rId="3848" sId="2">
    <nc r="D16" t="inlineStr">
      <is>
        <t>vertical</t>
      </is>
    </nc>
  </rcc>
  <rcc rId="3849" sId="2">
    <nc r="D17" t="inlineStr">
      <is>
        <t>vertical</t>
      </is>
    </nc>
  </rcc>
  <rcc rId="3850" sId="2">
    <nc r="D18" t="inlineStr">
      <is>
        <t>vertical</t>
      </is>
    </nc>
  </rcc>
  <rcc rId="3851" sId="2">
    <nc r="D19" t="inlineStr">
      <is>
        <t>vertical</t>
      </is>
    </nc>
  </rcc>
  <rcc rId="3852" sId="2">
    <nc r="D20" t="inlineStr">
      <is>
        <t>vertical</t>
      </is>
    </nc>
  </rcc>
  <rcc rId="3853" sId="2">
    <nc r="D21" t="inlineStr">
      <is>
        <t>vertical</t>
      </is>
    </nc>
  </rcc>
  <rcc rId="3854" sId="2">
    <nc r="D22" t="inlineStr">
      <is>
        <t>vertical</t>
      </is>
    </nc>
  </rcc>
  <rcc rId="3855" sId="2">
    <nc r="D23" t="inlineStr">
      <is>
        <t>vertical</t>
      </is>
    </nc>
  </rcc>
  <rcc rId="3856" sId="2">
    <nc r="D24" t="inlineStr">
      <is>
        <t>vertical</t>
      </is>
    </nc>
  </rcc>
  <rcc rId="3857" sId="2">
    <nc r="D25" t="inlineStr">
      <is>
        <t>vertical</t>
      </is>
    </nc>
  </rcc>
  <rcc rId="3858" sId="2">
    <nc r="D26" t="inlineStr">
      <is>
        <t>vertical</t>
      </is>
    </nc>
  </rcc>
  <rcc rId="3859" sId="2">
    <nc r="D27" t="inlineStr">
      <is>
        <t>vertical</t>
      </is>
    </nc>
  </rcc>
  <rcc rId="3860" sId="2">
    <nc r="D28" t="inlineStr">
      <is>
        <t>vertical</t>
      </is>
    </nc>
  </rcc>
  <rcc rId="3861" sId="2">
    <nc r="D29" t="inlineStr">
      <is>
        <t>vertical</t>
      </is>
    </nc>
  </rcc>
  <rcc rId="3862" sId="2">
    <nc r="D30" t="inlineStr">
      <is>
        <t>vertical</t>
      </is>
    </nc>
  </rcc>
  <rcc rId="3863" sId="2">
    <nc r="D31" t="inlineStr">
      <is>
        <t>vertical</t>
      </is>
    </nc>
  </rcc>
  <rcc rId="3864" sId="2">
    <nc r="D32" t="inlineStr">
      <is>
        <t>vertical</t>
      </is>
    </nc>
  </rcc>
  <rcc rId="3865" sId="2">
    <nc r="D33" t="inlineStr">
      <is>
        <t>vertical</t>
      </is>
    </nc>
  </rcc>
  <rcc rId="3866" sId="2">
    <nc r="D34" t="inlineStr">
      <is>
        <t>vertical</t>
      </is>
    </nc>
  </rcc>
  <rcc rId="3867" sId="2">
    <nc r="D35" t="inlineStr">
      <is>
        <t>vertical</t>
      </is>
    </nc>
  </rcc>
  <rcc rId="3868" sId="2">
    <nc r="D36" t="inlineStr">
      <is>
        <t>vertical</t>
      </is>
    </nc>
  </rcc>
  <rcc rId="3869" sId="2">
    <nc r="D37" t="inlineStr">
      <is>
        <t>vertical</t>
      </is>
    </nc>
  </rcc>
  <rcc rId="3870" sId="2">
    <nc r="D38" t="inlineStr">
      <is>
        <t>vertical</t>
      </is>
    </nc>
  </rcc>
  <rcc rId="3871" sId="2">
    <nc r="D39" t="inlineStr">
      <is>
        <t>vertical</t>
      </is>
    </nc>
  </rcc>
  <rcc rId="3872" sId="2">
    <nc r="D40" t="inlineStr">
      <is>
        <t>vertical</t>
      </is>
    </nc>
  </rcc>
  <rcc rId="3873" sId="2">
    <nc r="D41" t="inlineStr">
      <is>
        <t>vertical</t>
      </is>
    </nc>
  </rcc>
  <rcc rId="3874" sId="2">
    <nc r="D42" t="inlineStr">
      <is>
        <t>vertical</t>
      </is>
    </nc>
  </rcc>
  <rcc rId="3875" sId="2">
    <nc r="D43" t="inlineStr">
      <is>
        <t>vertical</t>
      </is>
    </nc>
  </rcc>
  <rcc rId="3876" sId="2">
    <nc r="D44" t="inlineStr">
      <is>
        <t>vertical</t>
      </is>
    </nc>
  </rcc>
  <rcc rId="3877" sId="2">
    <nc r="D45" t="inlineStr">
      <is>
        <t>vertical</t>
      </is>
    </nc>
  </rcc>
  <rcc rId="3878" sId="2">
    <nc r="D46" t="inlineStr">
      <is>
        <t>vertical</t>
      </is>
    </nc>
  </rcc>
  <rcc rId="3879" sId="2">
    <nc r="D47" t="inlineStr">
      <is>
        <t>vertical</t>
      </is>
    </nc>
  </rcc>
  <rcc rId="3880" sId="2">
    <nc r="D48" t="inlineStr">
      <is>
        <t>vertical</t>
      </is>
    </nc>
  </rcc>
  <rcc rId="3881" sId="2">
    <nc r="D49" t="inlineStr">
      <is>
        <t>vertical</t>
      </is>
    </nc>
  </rcc>
  <rcc rId="3882" sId="2">
    <nc r="D50" t="inlineStr">
      <is>
        <t>vertical</t>
      </is>
    </nc>
  </rcc>
  <rcc rId="3883" sId="2">
    <nc r="D51" t="inlineStr">
      <is>
        <t>vertical</t>
      </is>
    </nc>
  </rcc>
  <rcc rId="3884" sId="2">
    <nc r="D52" t="inlineStr">
      <is>
        <t>vertical</t>
      </is>
    </nc>
  </rcc>
  <rcc rId="3885" sId="2">
    <nc r="D53" t="inlineStr">
      <is>
        <t>vertical</t>
      </is>
    </nc>
  </rcc>
  <rcc rId="3886" sId="2">
    <nc r="D54" t="inlineStr">
      <is>
        <t>vertical</t>
      </is>
    </nc>
  </rcc>
  <rcc rId="3887" sId="2">
    <nc r="D55" t="inlineStr">
      <is>
        <t>vertical</t>
      </is>
    </nc>
  </rcc>
  <rcc rId="3888" sId="2">
    <nc r="D56" t="inlineStr">
      <is>
        <t>vertical</t>
      </is>
    </nc>
  </rcc>
  <rcc rId="3889" sId="2">
    <nc r="D57" t="inlineStr">
      <is>
        <t>vertical</t>
      </is>
    </nc>
  </rcc>
  <rcc rId="3890" sId="2">
    <nc r="D58" t="inlineStr">
      <is>
        <t>vertical</t>
      </is>
    </nc>
  </rcc>
  <rcc rId="3891" sId="2">
    <nc r="D59" t="inlineStr">
      <is>
        <t>vertical</t>
      </is>
    </nc>
  </rcc>
  <rcc rId="3892" sId="2">
    <nc r="D60" t="inlineStr">
      <is>
        <t>vertical</t>
      </is>
    </nc>
  </rcc>
  <rcc rId="3893" sId="2">
    <nc r="D61" t="inlineStr">
      <is>
        <t>vertical</t>
      </is>
    </nc>
  </rcc>
  <rcc rId="3894" sId="2">
    <nc r="D62" t="inlineStr">
      <is>
        <t>vertical</t>
      </is>
    </nc>
  </rcc>
  <rcc rId="3895" sId="2">
    <nc r="D63" t="inlineStr">
      <is>
        <t>vertical</t>
      </is>
    </nc>
  </rcc>
  <rcc rId="3896" sId="2">
    <nc r="D64" t="inlineStr">
      <is>
        <t>vertical</t>
      </is>
    </nc>
  </rcc>
  <rcc rId="3897" sId="2">
    <nc r="D65" t="inlineStr">
      <is>
        <t>vertical</t>
      </is>
    </nc>
  </rcc>
  <rcc rId="3898" sId="2">
    <nc r="D66" t="inlineStr">
      <is>
        <t>vertical</t>
      </is>
    </nc>
  </rcc>
  <rcc rId="3899" sId="2">
    <nc r="D67" t="inlineStr">
      <is>
        <t>vertical</t>
      </is>
    </nc>
  </rcc>
  <rcc rId="3900" sId="2">
    <nc r="D68" t="inlineStr">
      <is>
        <t>vertical</t>
      </is>
    </nc>
  </rcc>
  <rcc rId="3901" sId="2">
    <nc r="D69" t="inlineStr">
      <is>
        <t>vertical</t>
      </is>
    </nc>
  </rcc>
  <rcc rId="3902" sId="2">
    <nc r="D70" t="inlineStr">
      <is>
        <t>vertical</t>
      </is>
    </nc>
  </rcc>
  <rcc rId="3903" sId="2">
    <nc r="D71" t="inlineStr">
      <is>
        <t>vertical</t>
      </is>
    </nc>
  </rcc>
  <rcc rId="3904" sId="2">
    <nc r="D72" t="inlineStr">
      <is>
        <t>vertical</t>
      </is>
    </nc>
  </rcc>
  <rcc rId="3905" sId="2">
    <nc r="D73" t="inlineStr">
      <is>
        <t>vertical</t>
      </is>
    </nc>
  </rcc>
  <rcc rId="3906" sId="2">
    <nc r="D74" t="inlineStr">
      <is>
        <t>vertical</t>
      </is>
    </nc>
  </rcc>
  <rcc rId="3907" sId="2">
    <nc r="D75" t="inlineStr">
      <is>
        <t>vertical</t>
      </is>
    </nc>
  </rcc>
  <rcc rId="3908" sId="2">
    <nc r="D76" t="inlineStr">
      <is>
        <t>vertical</t>
      </is>
    </nc>
  </rcc>
  <rcc rId="3909" sId="2">
    <nc r="D77" t="inlineStr">
      <is>
        <t>vertical</t>
      </is>
    </nc>
  </rcc>
  <rcc rId="3910" sId="2">
    <nc r="D78">
      <f>RIGHT(B78,1)</f>
    </nc>
  </rcc>
  <rcc rId="3911" sId="2">
    <nc r="D79">
      <f>RIGHT(B79,1)</f>
    </nc>
  </rcc>
  <rcc rId="3912" sId="2">
    <nc r="D80">
      <f>RIGHT(B80,1)</f>
    </nc>
  </rcc>
  <rcc rId="3913" sId="2">
    <nc r="D81">
      <f>RIGHT(B81,1)</f>
    </nc>
  </rcc>
  <rcc rId="3914" sId="2">
    <nc r="D82">
      <f>RIGHT(B82,1)</f>
    </nc>
  </rcc>
  <rcc rId="3915" sId="2">
    <nc r="D83">
      <f>RIGHT(B83,1)</f>
    </nc>
  </rcc>
  <rcc rId="3916" sId="2">
    <nc r="D84">
      <f>RIGHT(B84,1)</f>
    </nc>
  </rcc>
  <rcc rId="3917" sId="2">
    <nc r="D85">
      <f>RIGHT(B85,1)</f>
    </nc>
  </rcc>
  <rcc rId="3918" sId="2">
    <nc r="D86">
      <f>RIGHT(B86,1)</f>
    </nc>
  </rcc>
  <rcc rId="3919" sId="2">
    <nc r="D87">
      <f>RIGHT(B87,1)</f>
    </nc>
  </rcc>
  <rcc rId="3920" sId="2">
    <nc r="D88">
      <f>RIGHT(B88,1)</f>
    </nc>
  </rcc>
  <rcc rId="3921" sId="2">
    <nc r="D89">
      <f>RIGHT(B89,1)</f>
    </nc>
  </rcc>
  <rcc rId="3922" sId="2">
    <nc r="D90">
      <f>RIGHT(B90,1)</f>
    </nc>
  </rcc>
  <rcc rId="3923" sId="2">
    <nc r="D91">
      <f>RIGHT(B91,1)</f>
    </nc>
  </rcc>
  <rcc rId="3924" sId="2">
    <nc r="D92">
      <f>RIGHT(B92,1)</f>
    </nc>
  </rcc>
  <rcc rId="3925" sId="2">
    <nc r="D93">
      <f>RIGHT(B93,1)</f>
    </nc>
  </rcc>
  <rcc rId="3926" sId="2">
    <nc r="D94">
      <f>RIGHT(B94,1)</f>
    </nc>
  </rcc>
  <rcc rId="3927" sId="2">
    <nc r="D95">
      <f>RIGHT(B95,1)</f>
    </nc>
  </rcc>
  <rcc rId="3928" sId="2">
    <nc r="D96">
      <f>RIGHT(B96,1)</f>
    </nc>
  </rcc>
  <rcc rId="3929" sId="2">
    <nc r="D97">
      <f>RIGHT(B97,1)</f>
    </nc>
  </rcc>
  <rcc rId="3930" sId="2">
    <nc r="D98">
      <f>RIGHT(B98,1)</f>
    </nc>
  </rcc>
  <rcc rId="3931" sId="2">
    <nc r="D99">
      <f>RIGHT(B99,1)</f>
    </nc>
  </rcc>
  <rcc rId="3932" sId="2">
    <nc r="D100">
      <f>RIGHT(B100,1)</f>
    </nc>
  </rcc>
  <rcc rId="3933" sId="2">
    <nc r="D101">
      <f>RIGHT(B101,1)</f>
    </nc>
  </rcc>
  <rcc rId="3934" sId="2">
    <nc r="D102">
      <f>RIGHT(B102,1)</f>
    </nc>
  </rcc>
  <rcc rId="3935" sId="2">
    <nc r="D103">
      <f>RIGHT(B103,1)</f>
    </nc>
  </rcc>
  <rcc rId="3936" sId="2">
    <nc r="D104">
      <f>RIGHT(B104,1)</f>
    </nc>
  </rcc>
  <rcc rId="3937" sId="2">
    <nc r="D105">
      <f>RIGHT(B105,1)</f>
    </nc>
  </rcc>
  <rcc rId="3938" sId="2">
    <nc r="D106">
      <f>RIGHT(B106,1)</f>
    </nc>
  </rcc>
  <rcc rId="3939" sId="2">
    <nc r="D107">
      <f>RIGHT(B107,1)</f>
    </nc>
  </rcc>
  <rcc rId="3940" sId="2">
    <nc r="D108">
      <f>RIGHT(B108,1)</f>
    </nc>
  </rcc>
  <rcc rId="3941" sId="2">
    <nc r="D109">
      <f>RIGHT(B109,1)</f>
    </nc>
  </rcc>
  <rcc rId="3942" sId="2">
    <nc r="D110">
      <f>RIGHT(B110,1)</f>
    </nc>
  </rcc>
  <rcc rId="3943" sId="2">
    <nc r="D111">
      <f>RIGHT(B111,1)</f>
    </nc>
  </rcc>
  <rcc rId="3944" sId="2">
    <nc r="D112">
      <f>RIGHT(B112,1)</f>
    </nc>
  </rcc>
  <rcc rId="3945" sId="2">
    <nc r="D113">
      <f>RIGHT(B113,1)</f>
    </nc>
  </rcc>
  <rcc rId="3946" sId="2">
    <nc r="D114">
      <f>RIGHT(B114,1)</f>
    </nc>
  </rcc>
  <rcc rId="3947" sId="2">
    <nc r="D115">
      <f>RIGHT(B115,1)</f>
    </nc>
  </rcc>
  <rcc rId="3948" sId="2">
    <nc r="D116">
      <f>RIGHT(B116,1)</f>
    </nc>
  </rcc>
  <rcc rId="3949" sId="2">
    <nc r="D117">
      <f>RIGHT(B117,1)</f>
    </nc>
  </rcc>
  <rcc rId="3950" sId="2">
    <nc r="D118">
      <f>RIGHT(B118,1)</f>
    </nc>
  </rcc>
  <rcc rId="3951" sId="2">
    <nc r="D119">
      <f>RIGHT(B119,1)</f>
    </nc>
  </rcc>
  <rcc rId="3952" sId="2">
    <nc r="D120">
      <f>RIGHT(B120,1)</f>
    </nc>
  </rcc>
  <rcc rId="3953" sId="2">
    <nc r="D121">
      <f>RIGHT(B121,1)</f>
    </nc>
  </rcc>
  <rcc rId="3954" sId="2">
    <nc r="D122">
      <f>RIGHT(B122,1)</f>
    </nc>
  </rcc>
  <rcc rId="3955" sId="2">
    <nc r="D123">
      <f>RIGHT(B123,1)</f>
    </nc>
  </rcc>
  <rcc rId="3956" sId="2">
    <nc r="D124">
      <f>RIGHT(B124,1)</f>
    </nc>
  </rcc>
  <rcc rId="3957" sId="2">
    <nc r="D125">
      <f>RIGHT(B125,1)</f>
    </nc>
  </rcc>
  <rcc rId="3958" sId="2">
    <nc r="D126">
      <f>RIGHT(B126,1)</f>
    </nc>
  </rcc>
  <rcc rId="3959" sId="2">
    <nc r="D127">
      <f>RIGHT(B127,1)</f>
    </nc>
  </rcc>
  <rcc rId="3960" sId="2">
    <nc r="D128">
      <f>RIGHT(B128,1)</f>
    </nc>
  </rcc>
  <rcc rId="3961" sId="2">
    <nc r="D129">
      <f>RIGHT(B129,1)</f>
    </nc>
  </rcc>
  <rcc rId="3962" sId="2">
    <nc r="D130">
      <f>RIGHT(B130,1)</f>
    </nc>
  </rcc>
  <rcc rId="3963" sId="2">
    <nc r="D131">
      <f>RIGHT(B131,1)</f>
    </nc>
  </rcc>
  <rcc rId="3964" sId="2">
    <nc r="D132">
      <f>RIGHT(B132,1)</f>
    </nc>
  </rcc>
  <rcc rId="3965" sId="2">
    <nc r="D133">
      <f>RIGHT(B133,1)</f>
    </nc>
  </rcc>
  <rcc rId="3966" sId="2">
    <nc r="D134">
      <f>RIGHT(B134,1)</f>
    </nc>
  </rcc>
  <rcc rId="3967" sId="2">
    <nc r="D135">
      <f>RIGHT(B135,1)</f>
    </nc>
  </rcc>
  <rcc rId="3968" sId="2">
    <nc r="D136">
      <f>RIGHT(B136,1)</f>
    </nc>
  </rcc>
  <rcc rId="3969" sId="2">
    <nc r="D137">
      <f>RIGHT(B137,1)</f>
    </nc>
  </rcc>
  <rcc rId="3970" sId="2">
    <nc r="D138">
      <f>RIGHT(B138,1)</f>
    </nc>
  </rcc>
  <rcc rId="3971" sId="2">
    <nc r="D139">
      <f>RIGHT(B139,1)</f>
    </nc>
  </rcc>
  <rcc rId="3972" sId="2">
    <nc r="D140">
      <f>RIGHT(B140,1)</f>
    </nc>
  </rcc>
  <rcc rId="3973" sId="2">
    <nc r="D141">
      <f>RIGHT(B141,1)</f>
    </nc>
  </rcc>
  <rcc rId="3974" sId="2">
    <nc r="D142">
      <f>RIGHT(B142,1)</f>
    </nc>
  </rcc>
  <rcc rId="3975" sId="2">
    <nc r="D143">
      <f>RIGHT(B143,1)</f>
    </nc>
  </rcc>
  <rcc rId="3976" sId="2">
    <nc r="D144">
      <f>RIGHT(B144,1)</f>
    </nc>
  </rcc>
  <rcc rId="3977" sId="2">
    <nc r="D145">
      <f>RIGHT(B145,1)</f>
    </nc>
  </rcc>
  <rcc rId="3978" sId="2">
    <nc r="D146">
      <f>RIGHT(B146,1)</f>
    </nc>
  </rcc>
  <rcc rId="3979" sId="2">
    <nc r="D147">
      <f>RIGHT(B147,1)</f>
    </nc>
  </rcc>
  <rcc rId="3980" sId="2">
    <nc r="D148">
      <f>RIGHT(B148,1)</f>
    </nc>
  </rcc>
  <rcc rId="3981" sId="2">
    <nc r="D149">
      <f>RIGHT(B149,1)</f>
    </nc>
  </rcc>
  <rcc rId="3982" sId="2">
    <nc r="D150">
      <f>RIGHT(B150,1)</f>
    </nc>
  </rcc>
  <rcc rId="3983" sId="2">
    <nc r="D151">
      <f>RIGHT(B151,1)</f>
    </nc>
  </rcc>
  <rcc rId="3984" sId="2">
    <nc r="D152">
      <f>RIGHT(B152,1)</f>
    </nc>
  </rcc>
  <rcc rId="3985" sId="2">
    <nc r="D153">
      <f>RIGHT(B153,1)</f>
    </nc>
  </rcc>
  <rcc rId="3986" sId="2">
    <nc r="D154">
      <f>RIGHT(B154,1)</f>
    </nc>
  </rcc>
  <rcc rId="3987" sId="2">
    <nc r="D155">
      <f>RIGHT(B155,1)</f>
    </nc>
  </rcc>
  <rcc rId="3988" sId="2">
    <nc r="D156">
      <f>RIGHT(B156,1)</f>
    </nc>
  </rcc>
  <rcc rId="3989" sId="2">
    <nc r="D157">
      <f>RIGHT(B157,1)</f>
    </nc>
  </rcc>
  <rcc rId="3990" sId="2">
    <nc r="D158">
      <f>RIGHT(B158,1)</f>
    </nc>
  </rcc>
  <rcc rId="3991" sId="2">
    <nc r="D159">
      <f>RIGHT(B159,1)</f>
    </nc>
  </rcc>
  <rcc rId="3992" sId="2">
    <nc r="D160">
      <f>RIGHT(B160,1)</f>
    </nc>
  </rcc>
  <rcc rId="3993" sId="2">
    <nc r="D161">
      <f>RIGHT(B161,1)</f>
    </nc>
  </rcc>
  <rcc rId="3994" sId="2">
    <nc r="D162">
      <f>RIGHT(B162,1)</f>
    </nc>
  </rcc>
  <rcc rId="3995" sId="2">
    <nc r="D163">
      <f>RIGHT(B163,1)</f>
    </nc>
  </rcc>
  <rcc rId="3996" sId="2">
    <nc r="D164">
      <f>RIGHT(B164,1)</f>
    </nc>
  </rcc>
  <rcc rId="3997" sId="2">
    <nc r="D165">
      <f>RIGHT(B165,1)</f>
    </nc>
  </rcc>
  <rcc rId="3998" sId="2">
    <nc r="D166">
      <f>RIGHT(B166,1)</f>
    </nc>
  </rcc>
  <rcc rId="3999" sId="2">
    <nc r="D167">
      <f>RIGHT(B167,1)</f>
    </nc>
  </rcc>
  <rcc rId="4000" sId="2">
    <nc r="D168">
      <f>RIGHT(B168,1)</f>
    </nc>
  </rcc>
  <rcc rId="4001" sId="2">
    <nc r="D169">
      <f>RIGHT(B169,1)</f>
    </nc>
  </rcc>
  <rcc rId="4002" sId="2">
    <nc r="D170">
      <f>RIGHT(B170,1)</f>
    </nc>
  </rcc>
  <rcc rId="4003" sId="2">
    <nc r="D171">
      <f>RIGHT(B171,1)</f>
    </nc>
  </rcc>
  <rcc rId="4004" sId="2">
    <nc r="D172">
      <f>RIGHT(B172,1)</f>
    </nc>
  </rcc>
  <rcc rId="4005" sId="2">
    <nc r="D173">
      <f>RIGHT(B173,1)</f>
    </nc>
  </rcc>
  <rcc rId="4006" sId="2">
    <nc r="D174">
      <f>RIGHT(B174,1)</f>
    </nc>
  </rcc>
  <rcc rId="4007" sId="2">
    <nc r="D175">
      <f>RIGHT(B175,1)</f>
    </nc>
  </rcc>
  <rcc rId="4008" sId="2">
    <nc r="D176">
      <f>RIGHT(B176,1)</f>
    </nc>
  </rcc>
  <rcc rId="4009" sId="2">
    <nc r="D177">
      <f>RIGHT(B177,1)</f>
    </nc>
  </rcc>
  <rcc rId="4010" sId="2">
    <nc r="D178">
      <f>RIGHT(B178,1)</f>
    </nc>
  </rcc>
  <rcc rId="4011" sId="2">
    <nc r="D179">
      <f>RIGHT(B179,1)</f>
    </nc>
  </rcc>
  <rcc rId="4012" sId="2">
    <nc r="D180">
      <f>RIGHT(B180,1)</f>
    </nc>
  </rcc>
  <rcc rId="4013" sId="2">
    <nc r="D181">
      <f>RIGHT(B181,1)</f>
    </nc>
  </rcc>
  <rcc rId="4014" sId="2">
    <nc r="D182">
      <f>RIGHT(B182,1)</f>
    </nc>
  </rcc>
  <rcc rId="4015" sId="2">
    <nc r="D183">
      <f>RIGHT(B183,1)</f>
    </nc>
  </rcc>
  <rcc rId="4016" sId="2">
    <nc r="D184">
      <f>RIGHT(B184,1)</f>
    </nc>
  </rcc>
  <rcc rId="4017" sId="2">
    <nc r="D185">
      <f>RIGHT(B185,1)</f>
    </nc>
  </rcc>
  <rcc rId="4018" sId="2">
    <nc r="D186">
      <f>RIGHT(B186,1)</f>
    </nc>
  </rcc>
  <rcc rId="4019" sId="2">
    <nc r="D187">
      <f>RIGHT(B187,1)</f>
    </nc>
  </rcc>
  <rcc rId="4020" sId="2">
    <nc r="D188">
      <f>RIGHT(B188,1)</f>
    </nc>
  </rcc>
  <rcc rId="4021" sId="2">
    <nc r="D189">
      <f>RIGHT(B189,1)</f>
    </nc>
  </rcc>
  <rcc rId="4022" sId="2">
    <nc r="D190">
      <f>RIGHT(B190,1)</f>
    </nc>
  </rcc>
  <rcc rId="4023" sId="2">
    <nc r="D191">
      <f>RIGHT(B191,1)</f>
    </nc>
  </rcc>
  <rcc rId="4024" sId="2">
    <nc r="D192">
      <f>RIGHT(B192,1)</f>
    </nc>
  </rcc>
  <rcc rId="4025" sId="2">
    <nc r="D193">
      <f>RIGHT(B193,1)</f>
    </nc>
  </rcc>
  <rcc rId="4026" sId="2">
    <nc r="D194">
      <f>RIGHT(B194,1)</f>
    </nc>
  </rcc>
  <rcc rId="4027" sId="2">
    <nc r="D195">
      <f>RIGHT(B195,1)</f>
    </nc>
  </rcc>
  <rcc rId="4028" sId="2">
    <nc r="D196">
      <f>RIGHT(B196,1)</f>
    </nc>
  </rcc>
  <rcc rId="4029" sId="2">
    <nc r="D197">
      <f>RIGHT(B197,1)</f>
    </nc>
  </rcc>
  <rcc rId="4030" sId="2">
    <nc r="D198">
      <f>RIGHT(B198,1)</f>
    </nc>
  </rcc>
  <rcc rId="4031" sId="2">
    <nc r="D199">
      <f>RIGHT(B199,1)</f>
    </nc>
  </rcc>
  <rcc rId="4032" sId="2">
    <nc r="D200">
      <f>RIGHT(B200,1)</f>
    </nc>
  </rcc>
  <rcc rId="4033" sId="2">
    <nc r="D202">
      <f>RIGHT(B202,1)</f>
    </nc>
  </rcc>
  <rcc rId="4034" sId="2">
    <nc r="D203">
      <f>RIGHT(B203,1)</f>
    </nc>
  </rcc>
  <rcc rId="4035" sId="2">
    <nc r="D204">
      <f>RIGHT(B204,1)</f>
    </nc>
  </rcc>
  <rcc rId="4036" sId="2">
    <nc r="D205">
      <f>RIGHT(B205,1)</f>
    </nc>
  </rcc>
  <rcc rId="4037" sId="2">
    <nc r="D206">
      <f>RIGHT(B206,1)</f>
    </nc>
  </rcc>
  <rcc rId="4038" sId="2">
    <nc r="D207">
      <f>RIGHT(B207,1)</f>
    </nc>
  </rcc>
  <rcc rId="4039" sId="2">
    <nc r="D208">
      <f>RIGHT(B208,1)</f>
    </nc>
  </rcc>
  <rcc rId="4040" sId="2">
    <nc r="D209">
      <f>RIGHT(B209,1)</f>
    </nc>
  </rcc>
  <rcc rId="4041" sId="2">
    <nc r="D210">
      <f>RIGHT(B210,1)</f>
    </nc>
  </rcc>
  <rcc rId="4042" sId="2">
    <nc r="D211">
      <f>RIGHT(B211,1)</f>
    </nc>
  </rcc>
  <rcc rId="4043" sId="2">
    <nc r="D212">
      <f>RIGHT(B212,1)</f>
    </nc>
  </rcc>
  <rcc rId="4044" sId="2">
    <nc r="D213">
      <f>RIGHT(B213,1)</f>
    </nc>
  </rcc>
  <rcc rId="4045" sId="2">
    <nc r="D214">
      <f>RIGHT(B214,1)</f>
    </nc>
  </rcc>
  <rcc rId="4046" sId="2">
    <nc r="D215">
      <f>RIGHT(B215,1)</f>
    </nc>
  </rcc>
  <rcc rId="4047" sId="2">
    <nc r="D216">
      <f>RIGHT(B216,1)</f>
    </nc>
  </rcc>
  <rcc rId="4048" sId="2">
    <nc r="D217">
      <f>RIGHT(B217,1)</f>
    </nc>
  </rcc>
  <rcc rId="4049" sId="2">
    <nc r="D218">
      <f>RIGHT(B218,1)</f>
    </nc>
  </rcc>
  <rcc rId="4050" sId="2">
    <nc r="D219">
      <f>RIGHT(B219,1)</f>
    </nc>
  </rcc>
  <rcc rId="4051" sId="2">
    <nc r="D220">
      <f>RIGHT(B220,1)</f>
    </nc>
  </rcc>
  <rcc rId="4052" sId="2">
    <nc r="D221">
      <f>RIGHT(B221,1)</f>
    </nc>
  </rcc>
  <rcc rId="4053" sId="2">
    <nc r="D222">
      <f>RIGHT(B222,1)</f>
    </nc>
  </rcc>
  <rcc rId="4054" sId="2">
    <nc r="D223">
      <f>RIGHT(B223,1)</f>
    </nc>
  </rcc>
  <rcc rId="4055" sId="2">
    <nc r="D224">
      <f>RIGHT(B224,1)</f>
    </nc>
  </rcc>
  <rcc rId="4056" sId="2">
    <nc r="D225">
      <f>RIGHT(B225,1)</f>
    </nc>
  </rcc>
  <rcc rId="4057" sId="2">
    <nc r="D226">
      <f>RIGHT(B226,1)</f>
    </nc>
  </rcc>
  <rcc rId="4058" sId="2">
    <nc r="D227">
      <f>RIGHT(B227,1)</f>
    </nc>
  </rcc>
  <rcc rId="4059" sId="2">
    <nc r="D228">
      <f>RIGHT(B228,1)</f>
    </nc>
  </rcc>
  <rcc rId="4060" sId="2">
    <nc r="D229">
      <f>RIGHT(B229,1)</f>
    </nc>
  </rcc>
  <rcc rId="4061" sId="2">
    <nc r="D230">
      <f>RIGHT(B230,1)</f>
    </nc>
  </rcc>
  <rcc rId="4062" sId="2">
    <nc r="D231">
      <f>RIGHT(B231,1)</f>
    </nc>
  </rcc>
  <rcc rId="4063" sId="2">
    <nc r="D232">
      <f>RIGHT(B232,1)</f>
    </nc>
  </rcc>
  <rcc rId="4064" sId="2">
    <nc r="D233">
      <f>RIGHT(B233,1)</f>
    </nc>
  </rcc>
  <rcc rId="4065" sId="2">
    <nc r="D234">
      <f>RIGHT(B234,1)</f>
    </nc>
  </rcc>
  <rcc rId="4066" sId="2">
    <nc r="D235">
      <f>RIGHT(B235,1)</f>
    </nc>
  </rcc>
  <rcc rId="4067" sId="2">
    <nc r="D236">
      <f>RIGHT(B236,1)</f>
    </nc>
  </rcc>
  <rcc rId="4068" sId="2">
    <nc r="D237">
      <f>RIGHT(B237,1)</f>
    </nc>
  </rcc>
  <rcc rId="4069" sId="2">
    <nc r="D238">
      <f>RIGHT(B238,1)</f>
    </nc>
  </rcc>
  <rcc rId="4070" sId="2">
    <nc r="D239">
      <f>RIGHT(B239,1)</f>
    </nc>
  </rcc>
  <rcc rId="4071" sId="2">
    <nc r="D240">
      <f>RIGHT(B240,1)</f>
    </nc>
  </rcc>
  <rcc rId="4072" sId="2">
    <nc r="D241">
      <f>RIGHT(B241,1)</f>
    </nc>
  </rcc>
  <rcc rId="4073" sId="2">
    <nc r="D242">
      <f>RIGHT(B242,1)</f>
    </nc>
  </rcc>
  <rcc rId="4074" sId="2">
    <nc r="D243">
      <f>RIGHT(B243,1)</f>
    </nc>
  </rcc>
  <rcc rId="4075" sId="2">
    <nc r="D244">
      <f>RIGHT(B244,1)</f>
    </nc>
  </rcc>
  <rcc rId="4076" sId="2">
    <nc r="D245">
      <f>RIGHT(B245,1)</f>
    </nc>
  </rcc>
  <rcc rId="4077" sId="2">
    <nc r="D246">
      <f>RIGHT(B246,1)</f>
    </nc>
  </rcc>
  <rcc rId="4078" sId="2">
    <nc r="D247">
      <f>RIGHT(B247,1)</f>
    </nc>
  </rcc>
  <rcc rId="4079" sId="2">
    <nc r="D248">
      <f>RIGHT(B248,1)</f>
    </nc>
  </rcc>
  <rcc rId="4080" sId="2">
    <nc r="D249">
      <f>RIGHT(B249,1)</f>
    </nc>
  </rcc>
  <rcc rId="4081" sId="2">
    <nc r="D250">
      <f>RIGHT(B250,1)</f>
    </nc>
  </rcc>
  <rcc rId="4082" sId="2">
    <nc r="D251">
      <f>RIGHT(B251,1)</f>
    </nc>
  </rcc>
  <rcc rId="4083" sId="2">
    <nc r="D252">
      <f>RIGHT(B252,1)</f>
    </nc>
  </rcc>
  <rcc rId="4084" sId="2">
    <nc r="D253">
      <f>RIGHT(B253,1)</f>
    </nc>
  </rcc>
  <rcc rId="4085" sId="2">
    <nc r="D254">
      <f>RIGHT(B254,1)</f>
    </nc>
  </rcc>
  <rcc rId="4086" sId="2">
    <nc r="D255">
      <f>RIGHT(B255,1)</f>
    </nc>
  </rcc>
  <rcc rId="4087" sId="2">
    <nc r="D256">
      <f>RIGHT(B256,1)</f>
    </nc>
  </rcc>
  <rcc rId="4088" sId="2">
    <nc r="D257">
      <f>RIGHT(B257,1)</f>
    </nc>
  </rcc>
  <rcc rId="4089" sId="2">
    <nc r="D258">
      <f>RIGHT(B258,1)</f>
    </nc>
  </rcc>
  <rcc rId="4090" sId="2">
    <nc r="D259">
      <f>RIGHT(B259,1)</f>
    </nc>
  </rcc>
  <rcc rId="4091" sId="2">
    <nc r="D260">
      <f>RIGHT(B260,1)</f>
    </nc>
  </rcc>
  <rcc rId="4092" sId="2">
    <nc r="D261">
      <f>RIGHT(B261,1)</f>
    </nc>
  </rcc>
  <rcc rId="4093" sId="2">
    <nc r="D262">
      <f>RIGHT(B262,1)</f>
    </nc>
  </rcc>
  <rcc rId="4094" sId="2">
    <nc r="D263">
      <f>RIGHT(B263,1)</f>
    </nc>
  </rcc>
  <rcc rId="4095" sId="2">
    <nc r="D201" t="inlineStr">
      <is>
        <t>NA</t>
      </is>
    </nc>
  </rcc>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96" sId="2">
    <oc r="D261">
      <f>RIGHT(B261,1)</f>
    </oc>
    <nc r="D261" t="inlineStr">
      <is>
        <t>NA</t>
      </is>
    </nc>
  </rcc>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097" sId="2">
    <oc r="D78">
      <f>RIGHT(B78,1)</f>
    </oc>
    <nc r="D78" t="inlineStr">
      <is>
        <t>vertical</t>
      </is>
    </nc>
  </rcc>
  <rcc rId="4098" sId="2">
    <oc r="D79">
      <f>RIGHT(B79,1)</f>
    </oc>
    <nc r="D79" t="inlineStr">
      <is>
        <t>vertical</t>
      </is>
    </nc>
  </rcc>
  <rcc rId="4099" sId="2">
    <oc r="D80">
      <f>RIGHT(B80,1)</f>
    </oc>
    <nc r="D80" t="inlineStr">
      <is>
        <t>vertical</t>
      </is>
    </nc>
  </rcc>
  <rcc rId="4100" sId="2">
    <oc r="D81">
      <f>RIGHT(B81,1)</f>
    </oc>
    <nc r="D81" t="inlineStr">
      <is>
        <t>vertical</t>
      </is>
    </nc>
  </rcc>
  <rcc rId="4101" sId="2">
    <oc r="D82">
      <f>RIGHT(B82,1)</f>
    </oc>
    <nc r="D82" t="inlineStr">
      <is>
        <t>vertical</t>
      </is>
    </nc>
  </rcc>
  <rcc rId="4102" sId="2">
    <oc r="D83">
      <f>RIGHT(B83,1)</f>
    </oc>
    <nc r="D83" t="inlineStr">
      <is>
        <t>vertical</t>
      </is>
    </nc>
  </rcc>
  <rcc rId="4103" sId="2">
    <oc r="D84">
      <f>RIGHT(B84,1)</f>
    </oc>
    <nc r="D84" t="inlineStr">
      <is>
        <t>vertical</t>
      </is>
    </nc>
  </rcc>
  <rcc rId="4104" sId="2">
    <oc r="D85">
      <f>RIGHT(B85,1)</f>
    </oc>
    <nc r="D85" t="inlineStr">
      <is>
        <t>vertical</t>
      </is>
    </nc>
  </rcc>
  <rcc rId="4105" sId="2">
    <oc r="D86">
      <f>RIGHT(B86,1)</f>
    </oc>
    <nc r="D86" t="inlineStr">
      <is>
        <t>vertical</t>
      </is>
    </nc>
  </rcc>
  <rcc rId="4106" sId="2">
    <oc r="D87">
      <f>RIGHT(B87,1)</f>
    </oc>
    <nc r="D87" t="inlineStr">
      <is>
        <t>vertical</t>
      </is>
    </nc>
  </rcc>
  <rcc rId="4107" sId="2">
    <oc r="D88">
      <f>RIGHT(B88,1)</f>
    </oc>
    <nc r="D88" t="inlineStr">
      <is>
        <t>vertical</t>
      </is>
    </nc>
  </rcc>
  <rcc rId="4108" sId="2">
    <oc r="D89">
      <f>RIGHT(B89,1)</f>
    </oc>
    <nc r="D89" t="inlineStr">
      <is>
        <t>vertical</t>
      </is>
    </nc>
  </rcc>
  <rcc rId="4109" sId="2">
    <oc r="D90">
      <f>RIGHT(B90,1)</f>
    </oc>
    <nc r="D90" t="inlineStr">
      <is>
        <t>vertical</t>
      </is>
    </nc>
  </rcc>
  <rcc rId="4110" sId="2">
    <oc r="D91">
      <f>RIGHT(B91,1)</f>
    </oc>
    <nc r="D91" t="inlineStr">
      <is>
        <t>vertical</t>
      </is>
    </nc>
  </rcc>
  <rcc rId="4111" sId="2">
    <oc r="D92">
      <f>RIGHT(B92,1)</f>
    </oc>
    <nc r="D92" t="inlineStr">
      <is>
        <t>vertical</t>
      </is>
    </nc>
  </rcc>
  <rcc rId="4112" sId="2">
    <oc r="D93">
      <f>RIGHT(B93,1)</f>
    </oc>
    <nc r="D93" t="inlineStr">
      <is>
        <t>vertical</t>
      </is>
    </nc>
  </rcc>
  <rcc rId="4113" sId="2">
    <oc r="D94">
      <f>RIGHT(B94,1)</f>
    </oc>
    <nc r="D94" t="inlineStr">
      <is>
        <t>vertical</t>
      </is>
    </nc>
  </rcc>
  <rcc rId="4114" sId="2">
    <oc r="D95">
      <f>RIGHT(B95,1)</f>
    </oc>
    <nc r="D95" t="inlineStr">
      <is>
        <t>vertical</t>
      </is>
    </nc>
  </rcc>
  <rcc rId="4115" sId="2">
    <oc r="D96">
      <f>RIGHT(B96,1)</f>
    </oc>
    <nc r="D96" t="inlineStr">
      <is>
        <t>vertical</t>
      </is>
    </nc>
  </rcc>
  <rcc rId="4116" sId="2">
    <oc r="D97">
      <f>RIGHT(B97,1)</f>
    </oc>
    <nc r="D97" t="inlineStr">
      <is>
        <t>vertical</t>
      </is>
    </nc>
  </rcc>
  <rcc rId="4117" sId="2">
    <oc r="D98">
      <f>RIGHT(B98,1)</f>
    </oc>
    <nc r="D98" t="inlineStr">
      <is>
        <t>vertical</t>
      </is>
    </nc>
  </rcc>
  <rcc rId="4118" sId="2">
    <oc r="D99">
      <f>RIGHT(B99,1)</f>
    </oc>
    <nc r="D99" t="inlineStr">
      <is>
        <t>vertical</t>
      </is>
    </nc>
  </rcc>
  <rcc rId="4119" sId="2">
    <oc r="D100">
      <f>RIGHT(B100,1)</f>
    </oc>
    <nc r="D100" t="inlineStr">
      <is>
        <t>vertical</t>
      </is>
    </nc>
  </rcc>
  <rcc rId="4120" sId="2">
    <oc r="D101">
      <f>RIGHT(B101,1)</f>
    </oc>
    <nc r="D101" t="inlineStr">
      <is>
        <t>vertical</t>
      </is>
    </nc>
  </rcc>
  <rcc rId="4121" sId="2">
    <oc r="D102">
      <f>RIGHT(B102,1)</f>
    </oc>
    <nc r="D102" t="inlineStr">
      <is>
        <t>vertical</t>
      </is>
    </nc>
  </rcc>
  <rcc rId="4122" sId="2">
    <oc r="D103">
      <f>RIGHT(B103,1)</f>
    </oc>
    <nc r="D103" t="inlineStr">
      <is>
        <t>vertical</t>
      </is>
    </nc>
  </rcc>
  <rcc rId="4123" sId="2">
    <oc r="D104">
      <f>RIGHT(B104,1)</f>
    </oc>
    <nc r="D104" t="inlineStr">
      <is>
        <t>vertical</t>
      </is>
    </nc>
  </rcc>
  <rcc rId="4124" sId="2">
    <oc r="D105">
      <f>RIGHT(B105,1)</f>
    </oc>
    <nc r="D105" t="inlineStr">
      <is>
        <t>vertical</t>
      </is>
    </nc>
  </rcc>
  <rcc rId="4125" sId="2">
    <oc r="D106">
      <f>RIGHT(B106,1)</f>
    </oc>
    <nc r="D106" t="inlineStr">
      <is>
        <t>vertical</t>
      </is>
    </nc>
  </rcc>
  <rcc rId="4126" sId="2">
    <oc r="D107">
      <f>RIGHT(B107,1)</f>
    </oc>
    <nc r="D107" t="inlineStr">
      <is>
        <t>vertical</t>
      </is>
    </nc>
  </rcc>
  <rcc rId="4127" sId="2">
    <oc r="D108">
      <f>RIGHT(B108,1)</f>
    </oc>
    <nc r="D108" t="inlineStr">
      <is>
        <t>vertical</t>
      </is>
    </nc>
  </rcc>
  <rcc rId="4128" sId="2">
    <oc r="D109">
      <f>RIGHT(B109,1)</f>
    </oc>
    <nc r="D109" t="inlineStr">
      <is>
        <t>vertical</t>
      </is>
    </nc>
  </rcc>
  <rcc rId="4129" sId="2">
    <oc r="D110">
      <f>RIGHT(B110,1)</f>
    </oc>
    <nc r="D110" t="inlineStr">
      <is>
        <t>vertical</t>
      </is>
    </nc>
  </rcc>
  <rcc rId="4130" sId="2">
    <oc r="D111">
      <f>RIGHT(B111,1)</f>
    </oc>
    <nc r="D111" t="inlineStr">
      <is>
        <t>vertical</t>
      </is>
    </nc>
  </rcc>
  <rcc rId="4131" sId="2">
    <oc r="D112">
      <f>RIGHT(B112,1)</f>
    </oc>
    <nc r="D112" t="inlineStr">
      <is>
        <t>vertical</t>
      </is>
    </nc>
  </rcc>
  <rcc rId="4132" sId="2">
    <oc r="D113">
      <f>RIGHT(B113,1)</f>
    </oc>
    <nc r="D113" t="inlineStr">
      <is>
        <t>vertical</t>
      </is>
    </nc>
  </rcc>
  <rcc rId="4133" sId="2">
    <oc r="D114">
      <f>RIGHT(B114,1)</f>
    </oc>
    <nc r="D114" t="inlineStr">
      <is>
        <t>vertical</t>
      </is>
    </nc>
  </rcc>
  <rcc rId="4134" sId="2">
    <oc r="D115">
      <f>RIGHT(B115,1)</f>
    </oc>
    <nc r="D115" t="inlineStr">
      <is>
        <t>vertical</t>
      </is>
    </nc>
  </rcc>
  <rcc rId="4135" sId="2">
    <oc r="D116">
      <f>RIGHT(B116,1)</f>
    </oc>
    <nc r="D116" t="inlineStr">
      <is>
        <t>vertical</t>
      </is>
    </nc>
  </rcc>
  <rcc rId="4136" sId="2">
    <oc r="D117">
      <f>RIGHT(B117,1)</f>
    </oc>
    <nc r="D117" t="inlineStr">
      <is>
        <t>vertical</t>
      </is>
    </nc>
  </rcc>
  <rcc rId="4137" sId="2">
    <oc r="D118">
      <f>RIGHT(B118,1)</f>
    </oc>
    <nc r="D118" t="inlineStr">
      <is>
        <t>vertical</t>
      </is>
    </nc>
  </rcc>
  <rcc rId="4138" sId="2">
    <oc r="D119">
      <f>RIGHT(B119,1)</f>
    </oc>
    <nc r="D119" t="inlineStr">
      <is>
        <t>vertical</t>
      </is>
    </nc>
  </rcc>
  <rcc rId="4139" sId="2">
    <oc r="D120">
      <f>RIGHT(B120,1)</f>
    </oc>
    <nc r="D120" t="inlineStr">
      <is>
        <t>vertical</t>
      </is>
    </nc>
  </rcc>
  <rcc rId="4140" sId="2">
    <oc r="D121">
      <f>RIGHT(B121,1)</f>
    </oc>
    <nc r="D121" t="inlineStr">
      <is>
        <t>vertical</t>
      </is>
    </nc>
  </rcc>
  <rcc rId="4141" sId="2">
    <oc r="D122">
      <f>RIGHT(B122,1)</f>
    </oc>
    <nc r="D122" t="inlineStr">
      <is>
        <t>vertical</t>
      </is>
    </nc>
  </rcc>
  <rcc rId="4142" sId="2">
    <oc r="D123">
      <f>RIGHT(B123,1)</f>
    </oc>
    <nc r="D123" t="inlineStr">
      <is>
        <t>vertical</t>
      </is>
    </nc>
  </rcc>
  <rcc rId="4143" sId="2">
    <oc r="D124">
      <f>RIGHT(B124,1)</f>
    </oc>
    <nc r="D124" t="inlineStr">
      <is>
        <t>vertical</t>
      </is>
    </nc>
  </rcc>
  <rcc rId="4144" sId="2">
    <oc r="D125">
      <f>RIGHT(B125,1)</f>
    </oc>
    <nc r="D125" t="inlineStr">
      <is>
        <t>vertical</t>
      </is>
    </nc>
  </rcc>
  <rcc rId="4145" sId="2">
    <oc r="D126">
      <f>RIGHT(B126,1)</f>
    </oc>
    <nc r="D126" t="inlineStr">
      <is>
        <t>vertical</t>
      </is>
    </nc>
  </rcc>
  <rcc rId="4146" sId="2">
    <oc r="D127">
      <f>RIGHT(B127,1)</f>
    </oc>
    <nc r="D127" t="inlineStr">
      <is>
        <t>vertical</t>
      </is>
    </nc>
  </rcc>
  <rcc rId="4147" sId="2">
    <oc r="D128">
      <f>RIGHT(B128,1)</f>
    </oc>
    <nc r="D128" t="inlineStr">
      <is>
        <t>vertical</t>
      </is>
    </nc>
  </rcc>
  <rcc rId="4148" sId="2">
    <oc r="D129">
      <f>RIGHT(B129,1)</f>
    </oc>
    <nc r="D129" t="inlineStr">
      <is>
        <t>vertical</t>
      </is>
    </nc>
  </rcc>
  <rcc rId="4149" sId="2">
    <oc r="D130">
      <f>RIGHT(B130,1)</f>
    </oc>
    <nc r="D130" t="inlineStr">
      <is>
        <t>vertical</t>
      </is>
    </nc>
  </rcc>
  <rcc rId="4150" sId="2">
    <oc r="D131">
      <f>RIGHT(B131,1)</f>
    </oc>
    <nc r="D131" t="inlineStr">
      <is>
        <t>vertical</t>
      </is>
    </nc>
  </rcc>
  <rcc rId="4151" sId="2">
    <oc r="D133">
      <f>RIGHT(B133,1)</f>
    </oc>
    <nc r="D133" t="inlineStr">
      <is>
        <t>vertical</t>
      </is>
    </nc>
  </rcc>
  <rcc rId="4152" sId="2">
    <oc r="D135">
      <f>RIGHT(B135,1)</f>
    </oc>
    <nc r="D135" t="inlineStr">
      <is>
        <t>vertical</t>
      </is>
    </nc>
  </rcc>
  <rcc rId="4153" sId="2">
    <oc r="D136">
      <f>RIGHT(B136,1)</f>
    </oc>
    <nc r="D136" t="inlineStr">
      <is>
        <t>vertical</t>
      </is>
    </nc>
  </rcc>
  <rcc rId="4154" sId="2">
    <oc r="D137">
      <f>RIGHT(B137,1)</f>
    </oc>
    <nc r="D137" t="inlineStr">
      <is>
        <t>vertical</t>
      </is>
    </nc>
  </rcc>
  <rcc rId="4155" sId="2">
    <oc r="D140">
      <f>RIGHT(B140,1)</f>
    </oc>
    <nc r="D140" t="inlineStr">
      <is>
        <t>vertical</t>
      </is>
    </nc>
  </rcc>
  <rcc rId="4156" sId="2">
    <oc r="D142">
      <f>RIGHT(B142,1)</f>
    </oc>
    <nc r="D142" t="inlineStr">
      <is>
        <t>vertical</t>
      </is>
    </nc>
  </rcc>
  <rcc rId="4157" sId="2">
    <oc r="D144">
      <f>RIGHT(B144,1)</f>
    </oc>
    <nc r="D144" t="inlineStr">
      <is>
        <t>vertical</t>
      </is>
    </nc>
  </rcc>
  <rcc rId="4158" sId="2">
    <oc r="D146">
      <f>RIGHT(B146,1)</f>
    </oc>
    <nc r="D146" t="inlineStr">
      <is>
        <t>vertical</t>
      </is>
    </nc>
  </rcc>
  <rcc rId="4159" sId="2">
    <oc r="D147">
      <f>RIGHT(B147,1)</f>
    </oc>
    <nc r="D147" t="inlineStr">
      <is>
        <t>vertical</t>
      </is>
    </nc>
  </rcc>
  <rcc rId="4160" sId="2">
    <oc r="D148">
      <f>RIGHT(B148,1)</f>
    </oc>
    <nc r="D148" t="inlineStr">
      <is>
        <t>vertical</t>
      </is>
    </nc>
  </rcc>
  <rcc rId="4161" sId="2">
    <oc r="D152">
      <f>RIGHT(B152,1)</f>
    </oc>
    <nc r="D152" t="inlineStr">
      <is>
        <t>vertical</t>
      </is>
    </nc>
  </rcc>
  <rcc rId="4162" sId="2">
    <oc r="D154">
      <f>RIGHT(B154,1)</f>
    </oc>
    <nc r="D154" t="inlineStr">
      <is>
        <t>vertical</t>
      </is>
    </nc>
  </rcc>
  <rcc rId="4163" sId="2">
    <oc r="D155">
      <f>RIGHT(B155,1)</f>
    </oc>
    <nc r="D155" t="inlineStr">
      <is>
        <t>vertical</t>
      </is>
    </nc>
  </rcc>
  <rcc rId="4164" sId="2">
    <oc r="D161">
      <f>RIGHT(B161,1)</f>
    </oc>
    <nc r="D161" t="inlineStr">
      <is>
        <t>vertical</t>
      </is>
    </nc>
  </rcc>
  <rcc rId="4165" sId="2">
    <oc r="D162">
      <f>RIGHT(B162,1)</f>
    </oc>
    <nc r="D162" t="inlineStr">
      <is>
        <t>vertical</t>
      </is>
    </nc>
  </rcc>
  <rcc rId="4166" sId="2">
    <oc r="D165">
      <f>RIGHT(B165,1)</f>
    </oc>
    <nc r="D165" t="inlineStr">
      <is>
        <t>vertical</t>
      </is>
    </nc>
  </rcc>
  <rcc rId="4167" sId="2">
    <oc r="D166">
      <f>RIGHT(B166,1)</f>
    </oc>
    <nc r="D166" t="inlineStr">
      <is>
        <t>vertical</t>
      </is>
    </nc>
  </rcc>
  <rcc rId="4168" sId="2">
    <oc r="D168">
      <f>RIGHT(B168,1)</f>
    </oc>
    <nc r="D168" t="inlineStr">
      <is>
        <t>vertical</t>
      </is>
    </nc>
  </rcc>
  <rcc rId="4169" sId="2">
    <oc r="D170">
      <f>RIGHT(B170,1)</f>
    </oc>
    <nc r="D170" t="inlineStr">
      <is>
        <t>vertical</t>
      </is>
    </nc>
  </rcc>
  <rcc rId="4170" sId="2">
    <oc r="D172">
      <f>RIGHT(B172,1)</f>
    </oc>
    <nc r="D172" t="inlineStr">
      <is>
        <t>vertical</t>
      </is>
    </nc>
  </rcc>
  <rcc rId="4171" sId="2">
    <oc r="D176">
      <f>RIGHT(B176,1)</f>
    </oc>
    <nc r="D176" t="inlineStr">
      <is>
        <t>vertical</t>
      </is>
    </nc>
  </rcc>
  <rcc rId="4172" sId="2">
    <oc r="D177">
      <f>RIGHT(B177,1)</f>
    </oc>
    <nc r="D177" t="inlineStr">
      <is>
        <t>vertical</t>
      </is>
    </nc>
  </rcc>
  <rcc rId="4173" sId="2">
    <oc r="D179">
      <f>RIGHT(B179,1)</f>
    </oc>
    <nc r="D179" t="inlineStr">
      <is>
        <t>vertical</t>
      </is>
    </nc>
  </rcc>
  <rcc rId="4174" sId="2">
    <oc r="D180">
      <f>RIGHT(B180,1)</f>
    </oc>
    <nc r="D180" t="inlineStr">
      <is>
        <t>vertical</t>
      </is>
    </nc>
  </rcc>
  <rcc rId="4175" sId="2">
    <oc r="D182">
      <f>RIGHT(B182,1)</f>
    </oc>
    <nc r="D182" t="inlineStr">
      <is>
        <t>vertical</t>
      </is>
    </nc>
  </rcc>
  <rcc rId="4176" sId="2">
    <oc r="D184">
      <f>RIGHT(B184,1)</f>
    </oc>
    <nc r="D184" t="inlineStr">
      <is>
        <t>vertical</t>
      </is>
    </nc>
  </rcc>
  <rcc rId="4177" sId="2">
    <oc r="D186">
      <f>RIGHT(B186,1)</f>
    </oc>
    <nc r="D186" t="inlineStr">
      <is>
        <t>vertical</t>
      </is>
    </nc>
  </rcc>
  <rcc rId="4178" sId="2">
    <oc r="D188">
      <f>RIGHT(B188,1)</f>
    </oc>
    <nc r="D188" t="inlineStr">
      <is>
        <t>vertical</t>
      </is>
    </nc>
  </rcc>
  <rcc rId="4179" sId="2">
    <oc r="D189">
      <f>RIGHT(B189,1)</f>
    </oc>
    <nc r="D189" t="inlineStr">
      <is>
        <t>vertical</t>
      </is>
    </nc>
  </rcc>
  <rcc rId="4180" sId="2">
    <oc r="D192">
      <f>RIGHT(B192,1)</f>
    </oc>
    <nc r="D192" t="inlineStr">
      <is>
        <t>vertical</t>
      </is>
    </nc>
  </rcc>
  <rcc rId="4181" sId="2">
    <oc r="D194">
      <f>RIGHT(B194,1)</f>
    </oc>
    <nc r="D194" t="inlineStr">
      <is>
        <t>vertical</t>
      </is>
    </nc>
  </rcc>
  <rcc rId="4182" sId="2">
    <oc r="D196">
      <f>RIGHT(B196,1)</f>
    </oc>
    <nc r="D196" t="inlineStr">
      <is>
        <t>vertical</t>
      </is>
    </nc>
  </rcc>
  <rcc rId="4183" sId="2">
    <oc r="D198">
      <f>RIGHT(B198,1)</f>
    </oc>
    <nc r="D198" t="inlineStr">
      <is>
        <t>vertical</t>
      </is>
    </nc>
  </rcc>
  <rcc rId="4184" sId="2">
    <oc r="D200">
      <f>RIGHT(B200,1)</f>
    </oc>
    <nc r="D200" t="inlineStr">
      <is>
        <t>vertical</t>
      </is>
    </nc>
  </rcc>
  <rcc rId="4185" sId="2">
    <oc r="D204">
      <f>RIGHT(B204,1)</f>
    </oc>
    <nc r="D204" t="inlineStr">
      <is>
        <t>vertical</t>
      </is>
    </nc>
  </rcc>
  <rcc rId="4186" sId="2">
    <oc r="D207">
      <f>RIGHT(B207,1)</f>
    </oc>
    <nc r="D207" t="inlineStr">
      <is>
        <t>vertical</t>
      </is>
    </nc>
  </rcc>
  <rcc rId="4187" sId="2">
    <oc r="D208">
      <f>RIGHT(B208,1)</f>
    </oc>
    <nc r="D208" t="inlineStr">
      <is>
        <t>vertical</t>
      </is>
    </nc>
  </rcc>
  <rcc rId="4188" sId="2">
    <oc r="D209">
      <f>RIGHT(B209,1)</f>
    </oc>
    <nc r="D209" t="inlineStr">
      <is>
        <t>vertical</t>
      </is>
    </nc>
  </rcc>
  <rcc rId="4189" sId="2">
    <oc r="D210">
      <f>RIGHT(B210,1)</f>
    </oc>
    <nc r="D210" t="inlineStr">
      <is>
        <t>vertical</t>
      </is>
    </nc>
  </rcc>
  <rcc rId="4190" sId="2">
    <oc r="D213">
      <f>RIGHT(B213,1)</f>
    </oc>
    <nc r="D213" t="inlineStr">
      <is>
        <t>vertical</t>
      </is>
    </nc>
  </rcc>
  <rcc rId="4191" sId="2">
    <oc r="D220">
      <f>RIGHT(B220,1)</f>
    </oc>
    <nc r="D220" t="inlineStr">
      <is>
        <t>vertical</t>
      </is>
    </nc>
  </rcc>
  <rcc rId="4192" sId="2">
    <oc r="D224">
      <f>RIGHT(B224,1)</f>
    </oc>
    <nc r="D224" t="inlineStr">
      <is>
        <t>vertical</t>
      </is>
    </nc>
  </rcc>
  <rcc rId="4193" sId="2">
    <oc r="D227">
      <f>RIGHT(B227,1)</f>
    </oc>
    <nc r="D227" t="inlineStr">
      <is>
        <t>vertical</t>
      </is>
    </nc>
  </rcc>
  <rcc rId="4194" sId="2">
    <oc r="D228">
      <f>RIGHT(B228,1)</f>
    </oc>
    <nc r="D228" t="inlineStr">
      <is>
        <t>vertical</t>
      </is>
    </nc>
  </rcc>
  <rcc rId="4195" sId="2">
    <oc r="D229">
      <f>RIGHT(B229,1)</f>
    </oc>
    <nc r="D229" t="inlineStr">
      <is>
        <t>vertical</t>
      </is>
    </nc>
  </rcc>
  <rcc rId="4196" sId="2">
    <oc r="D230">
      <f>RIGHT(B230,1)</f>
    </oc>
    <nc r="D230" t="inlineStr">
      <is>
        <t>vertical</t>
      </is>
    </nc>
  </rcc>
  <rcc rId="4197" sId="2">
    <oc r="D236">
      <f>RIGHT(B236,1)</f>
    </oc>
    <nc r="D236" t="inlineStr">
      <is>
        <t>vertical</t>
      </is>
    </nc>
  </rcc>
  <rcc rId="4198" sId="2">
    <oc r="D237">
      <f>RIGHT(B237,1)</f>
    </oc>
    <nc r="D237" t="inlineStr">
      <is>
        <t>vertical</t>
      </is>
    </nc>
  </rcc>
  <rcc rId="4199" sId="2">
    <oc r="D238">
      <f>RIGHT(B238,1)</f>
    </oc>
    <nc r="D238" t="inlineStr">
      <is>
        <t>vertical</t>
      </is>
    </nc>
  </rcc>
  <rcc rId="4200" sId="2">
    <oc r="D240">
      <f>RIGHT(B240,1)</f>
    </oc>
    <nc r="D240" t="inlineStr">
      <is>
        <t>vertical</t>
      </is>
    </nc>
  </rcc>
  <rcc rId="4201" sId="2">
    <oc r="D242">
      <f>RIGHT(B242,1)</f>
    </oc>
    <nc r="D242" t="inlineStr">
      <is>
        <t>vertical</t>
      </is>
    </nc>
  </rcc>
  <rcc rId="4202" sId="2">
    <oc r="D243">
      <f>RIGHT(B243,1)</f>
    </oc>
    <nc r="D243" t="inlineStr">
      <is>
        <t>vertical</t>
      </is>
    </nc>
  </rcc>
  <rcc rId="4203" sId="2">
    <oc r="D244">
      <f>RIGHT(B244,1)</f>
    </oc>
    <nc r="D244" t="inlineStr">
      <is>
        <t>vertical</t>
      </is>
    </nc>
  </rcc>
  <rcc rId="4204" sId="2">
    <oc r="D245">
      <f>RIGHT(B245,1)</f>
    </oc>
    <nc r="D245" t="inlineStr">
      <is>
        <t>vertical</t>
      </is>
    </nc>
  </rcc>
  <rcc rId="4205" sId="2">
    <oc r="D247">
      <f>RIGHT(B247,1)</f>
    </oc>
    <nc r="D247" t="inlineStr">
      <is>
        <t>vertical</t>
      </is>
    </nc>
  </rcc>
  <rcc rId="4206" sId="2">
    <oc r="D248">
      <f>RIGHT(B248,1)</f>
    </oc>
    <nc r="D248" t="inlineStr">
      <is>
        <t>vertical</t>
      </is>
    </nc>
  </rcc>
  <rcc rId="4207" sId="2">
    <oc r="D249">
      <f>RIGHT(B249,1)</f>
    </oc>
    <nc r="D249" t="inlineStr">
      <is>
        <t>vertical</t>
      </is>
    </nc>
  </rcc>
  <rcc rId="4208" sId="2">
    <oc r="D250">
      <f>RIGHT(B250,1)</f>
    </oc>
    <nc r="D250" t="inlineStr">
      <is>
        <t>vertical</t>
      </is>
    </nc>
  </rcc>
  <rcc rId="4209" sId="2">
    <oc r="D251">
      <f>RIGHT(B251,1)</f>
    </oc>
    <nc r="D251" t="inlineStr">
      <is>
        <t>vertical</t>
      </is>
    </nc>
  </rcc>
  <rcc rId="4210" sId="2">
    <oc r="D252">
      <f>RIGHT(B252,1)</f>
    </oc>
    <nc r="D252" t="inlineStr">
      <is>
        <t>vertical</t>
      </is>
    </nc>
  </rcc>
  <rcc rId="4211" sId="2">
    <oc r="D253">
      <f>RIGHT(B253,1)</f>
    </oc>
    <nc r="D253" t="inlineStr">
      <is>
        <t>vertical</t>
      </is>
    </nc>
  </rcc>
  <rcc rId="4212" sId="2">
    <oc r="D254">
      <f>RIGHT(B254,1)</f>
    </oc>
    <nc r="D254" t="inlineStr">
      <is>
        <t>vertical</t>
      </is>
    </nc>
  </rcc>
  <rcc rId="4213" sId="2">
    <oc r="D255">
      <f>RIGHT(B255,1)</f>
    </oc>
    <nc r="D255" t="inlineStr">
      <is>
        <t>vertical</t>
      </is>
    </nc>
  </rcc>
  <rcc rId="4214" sId="2">
    <oc r="D256">
      <f>RIGHT(B256,1)</f>
    </oc>
    <nc r="D256" t="inlineStr">
      <is>
        <t>vertical</t>
      </is>
    </nc>
  </rcc>
  <rcc rId="4215" sId="2">
    <oc r="D257">
      <f>RIGHT(B257,1)</f>
    </oc>
    <nc r="D257" t="inlineStr">
      <is>
        <t>vertical</t>
      </is>
    </nc>
  </rcc>
  <rcc rId="4216" sId="2">
    <oc r="D258">
      <f>RIGHT(B258,1)</f>
    </oc>
    <nc r="D258" t="inlineStr">
      <is>
        <t>vertical</t>
      </is>
    </nc>
  </rcc>
  <rcc rId="4217" sId="2">
    <oc r="D259">
      <f>RIGHT(B259,1)</f>
    </oc>
    <nc r="D259" t="inlineStr">
      <is>
        <t>vertical</t>
      </is>
    </nc>
  </rcc>
  <rcc rId="4218" sId="2">
    <oc r="D260">
      <f>RIGHT(B260,1)</f>
    </oc>
    <nc r="D260" t="inlineStr">
      <is>
        <t>vertical</t>
      </is>
    </nc>
  </rcc>
  <rcc rId="4219" sId="2">
    <oc r="D132">
      <f>RIGHT(B132,1)</f>
    </oc>
    <nc r="D132" t="inlineStr">
      <is>
        <t>horizontal</t>
      </is>
    </nc>
  </rcc>
  <rcc rId="4220" sId="2">
    <oc r="D134">
      <f>RIGHT(B134,1)</f>
    </oc>
    <nc r="D134" t="inlineStr">
      <is>
        <t>horizontal</t>
      </is>
    </nc>
  </rcc>
  <rcc rId="4221" sId="2">
    <oc r="D138">
      <f>RIGHT(B138,1)</f>
    </oc>
    <nc r="D138" t="inlineStr">
      <is>
        <t>horizontal</t>
      </is>
    </nc>
  </rcc>
  <rcc rId="4222" sId="2">
    <oc r="D139">
      <f>RIGHT(B139,1)</f>
    </oc>
    <nc r="D139" t="inlineStr">
      <is>
        <t>horizontal</t>
      </is>
    </nc>
  </rcc>
  <rcc rId="4223" sId="2">
    <oc r="D141">
      <f>RIGHT(B141,1)</f>
    </oc>
    <nc r="D141" t="inlineStr">
      <is>
        <t>horizontal</t>
      </is>
    </nc>
  </rcc>
  <rcc rId="4224" sId="2">
    <oc r="D143">
      <f>RIGHT(B143,1)</f>
    </oc>
    <nc r="D143" t="inlineStr">
      <is>
        <t>horizontal</t>
      </is>
    </nc>
  </rcc>
  <rcc rId="4225" sId="2">
    <oc r="D145">
      <f>RIGHT(B145,1)</f>
    </oc>
    <nc r="D145" t="inlineStr">
      <is>
        <t>horizontal</t>
      </is>
    </nc>
  </rcc>
  <rcc rId="4226" sId="2">
    <oc r="D149">
      <f>RIGHT(B149,1)</f>
    </oc>
    <nc r="D149" t="inlineStr">
      <is>
        <t>horizontal</t>
      </is>
    </nc>
  </rcc>
  <rcc rId="4227" sId="2">
    <oc r="D150">
      <f>RIGHT(B150,1)</f>
    </oc>
    <nc r="D150" t="inlineStr">
      <is>
        <t>horizontal</t>
      </is>
    </nc>
  </rcc>
  <rcc rId="4228" sId="2">
    <oc r="D151">
      <f>RIGHT(B151,1)</f>
    </oc>
    <nc r="D151" t="inlineStr">
      <is>
        <t>horizontal</t>
      </is>
    </nc>
  </rcc>
  <rcc rId="4229" sId="2">
    <oc r="D153">
      <f>RIGHT(B153,1)</f>
    </oc>
    <nc r="D153" t="inlineStr">
      <is>
        <t>horizontal</t>
      </is>
    </nc>
  </rcc>
  <rcc rId="4230" sId="2">
    <oc r="D156">
      <f>RIGHT(B156,1)</f>
    </oc>
    <nc r="D156" t="inlineStr">
      <is>
        <t>horizontal</t>
      </is>
    </nc>
  </rcc>
  <rcc rId="4231" sId="2">
    <oc r="D157">
      <f>RIGHT(B157,1)</f>
    </oc>
    <nc r="D157" t="inlineStr">
      <is>
        <t>horizontal</t>
      </is>
    </nc>
  </rcc>
  <rcc rId="4232" sId="2">
    <oc r="D158">
      <f>RIGHT(B158,1)</f>
    </oc>
    <nc r="D158" t="inlineStr">
      <is>
        <t>horizontal</t>
      </is>
    </nc>
  </rcc>
  <rcc rId="4233" sId="2">
    <oc r="D159">
      <f>RIGHT(B159,1)</f>
    </oc>
    <nc r="D159" t="inlineStr">
      <is>
        <t>horizontal</t>
      </is>
    </nc>
  </rcc>
  <rcc rId="4234" sId="2">
    <oc r="D160">
      <f>RIGHT(B160,1)</f>
    </oc>
    <nc r="D160" t="inlineStr">
      <is>
        <t>horizontal</t>
      </is>
    </nc>
  </rcc>
  <rcc rId="4235" sId="2">
    <oc r="D163">
      <f>RIGHT(B163,1)</f>
    </oc>
    <nc r="D163" t="inlineStr">
      <is>
        <t>horizontal</t>
      </is>
    </nc>
  </rcc>
  <rcc rId="4236" sId="2">
    <oc r="D164">
      <f>RIGHT(B164,1)</f>
    </oc>
    <nc r="D164" t="inlineStr">
      <is>
        <t>horizontal</t>
      </is>
    </nc>
  </rcc>
  <rcc rId="4237" sId="2">
    <oc r="D167">
      <f>RIGHT(B167,1)</f>
    </oc>
    <nc r="D167" t="inlineStr">
      <is>
        <t>horizontal</t>
      </is>
    </nc>
  </rcc>
  <rcc rId="4238" sId="2">
    <oc r="D169">
      <f>RIGHT(B169,1)</f>
    </oc>
    <nc r="D169" t="inlineStr">
      <is>
        <t>horizontal</t>
      </is>
    </nc>
  </rcc>
  <rcc rId="4239" sId="2">
    <oc r="D171">
      <f>RIGHT(B171,1)</f>
    </oc>
    <nc r="D171" t="inlineStr">
      <is>
        <t>horizontal</t>
      </is>
    </nc>
  </rcc>
  <rcc rId="4240" sId="2">
    <oc r="D173">
      <f>RIGHT(B173,1)</f>
    </oc>
    <nc r="D173" t="inlineStr">
      <is>
        <t>horizontal</t>
      </is>
    </nc>
  </rcc>
  <rcc rId="4241" sId="2">
    <oc r="D174">
      <f>RIGHT(B174,1)</f>
    </oc>
    <nc r="D174" t="inlineStr">
      <is>
        <t>horizontal</t>
      </is>
    </nc>
  </rcc>
  <rcc rId="4242" sId="2">
    <oc r="D175">
      <f>RIGHT(B175,1)</f>
    </oc>
    <nc r="D175" t="inlineStr">
      <is>
        <t>horizontal</t>
      </is>
    </nc>
  </rcc>
  <rcc rId="4243" sId="2">
    <oc r="D178">
      <f>RIGHT(B178,1)</f>
    </oc>
    <nc r="D178" t="inlineStr">
      <is>
        <t>horizontal</t>
      </is>
    </nc>
  </rcc>
  <rcc rId="4244" sId="2">
    <oc r="D181">
      <f>RIGHT(B181,1)</f>
    </oc>
    <nc r="D181" t="inlineStr">
      <is>
        <t>horizontal</t>
      </is>
    </nc>
  </rcc>
  <rcc rId="4245" sId="2">
    <oc r="D183">
      <f>RIGHT(B183,1)</f>
    </oc>
    <nc r="D183" t="inlineStr">
      <is>
        <t>horizontal</t>
      </is>
    </nc>
  </rcc>
  <rcc rId="4246" sId="2">
    <oc r="D185">
      <f>RIGHT(B185,1)</f>
    </oc>
    <nc r="D185" t="inlineStr">
      <is>
        <t>horizontal</t>
      </is>
    </nc>
  </rcc>
  <rcc rId="4247" sId="2">
    <oc r="D187">
      <f>RIGHT(B187,1)</f>
    </oc>
    <nc r="D187" t="inlineStr">
      <is>
        <t>horizontal</t>
      </is>
    </nc>
  </rcc>
  <rcc rId="4248" sId="2">
    <oc r="D190">
      <f>RIGHT(B190,1)</f>
    </oc>
    <nc r="D190" t="inlineStr">
      <is>
        <t>horizontal</t>
      </is>
    </nc>
  </rcc>
  <rcc rId="4249" sId="2">
    <oc r="D191">
      <f>RIGHT(B191,1)</f>
    </oc>
    <nc r="D191" t="inlineStr">
      <is>
        <t>horizontal</t>
      </is>
    </nc>
  </rcc>
  <rcc rId="4250" sId="2">
    <oc r="D193">
      <f>RIGHT(B193,1)</f>
    </oc>
    <nc r="D193" t="inlineStr">
      <is>
        <t>horizontal</t>
      </is>
    </nc>
  </rcc>
  <rcc rId="4251" sId="2">
    <oc r="D195">
      <f>RIGHT(B195,1)</f>
    </oc>
    <nc r="D195" t="inlineStr">
      <is>
        <t>horizontal</t>
      </is>
    </nc>
  </rcc>
  <rcc rId="4252" sId="2">
    <oc r="D197">
      <f>RIGHT(B197,1)</f>
    </oc>
    <nc r="D197" t="inlineStr">
      <is>
        <t>horizontal</t>
      </is>
    </nc>
  </rcc>
  <rcc rId="4253" sId="2">
    <oc r="D199">
      <f>RIGHT(B199,1)</f>
    </oc>
    <nc r="D199" t="inlineStr">
      <is>
        <t>horizontal</t>
      </is>
    </nc>
  </rcc>
  <rcc rId="4254" sId="2">
    <oc r="D202">
      <f>RIGHT(B202,1)</f>
    </oc>
    <nc r="D202" t="inlineStr">
      <is>
        <t>horizontal</t>
      </is>
    </nc>
  </rcc>
  <rcc rId="4255" sId="2">
    <oc r="D203">
      <f>RIGHT(B203,1)</f>
    </oc>
    <nc r="D203" t="inlineStr">
      <is>
        <t>horizontal</t>
      </is>
    </nc>
  </rcc>
  <rcc rId="4256" sId="2">
    <oc r="D205">
      <f>RIGHT(B205,1)</f>
    </oc>
    <nc r="D205" t="inlineStr">
      <is>
        <t>horizontal</t>
      </is>
    </nc>
  </rcc>
  <rcc rId="4257" sId="2">
    <oc r="D206">
      <f>RIGHT(B206,1)</f>
    </oc>
    <nc r="D206" t="inlineStr">
      <is>
        <t>horizontal</t>
      </is>
    </nc>
  </rcc>
  <rcc rId="4258" sId="2">
    <oc r="D211">
      <f>RIGHT(B211,1)</f>
    </oc>
    <nc r="D211" t="inlineStr">
      <is>
        <t>horizontal</t>
      </is>
    </nc>
  </rcc>
  <rcc rId="4259" sId="2">
    <oc r="D212">
      <f>RIGHT(B212,1)</f>
    </oc>
    <nc r="D212" t="inlineStr">
      <is>
        <t>horizontal</t>
      </is>
    </nc>
  </rcc>
  <rcc rId="4260" sId="2">
    <oc r="D214">
      <f>RIGHT(B214,1)</f>
    </oc>
    <nc r="D214" t="inlineStr">
      <is>
        <t>horizontal</t>
      </is>
    </nc>
  </rcc>
  <rcc rId="4261" sId="2">
    <oc r="D215">
      <f>RIGHT(B215,1)</f>
    </oc>
    <nc r="D215" t="inlineStr">
      <is>
        <t>horizontal</t>
      </is>
    </nc>
  </rcc>
  <rcc rId="4262" sId="2">
    <oc r="D216">
      <f>RIGHT(B216,1)</f>
    </oc>
    <nc r="D216" t="inlineStr">
      <is>
        <t>horizontal</t>
      </is>
    </nc>
  </rcc>
  <rcc rId="4263" sId="2">
    <oc r="D217">
      <f>RIGHT(B217,1)</f>
    </oc>
    <nc r="D217" t="inlineStr">
      <is>
        <t>horizontal</t>
      </is>
    </nc>
  </rcc>
  <rcc rId="4264" sId="2">
    <oc r="D218">
      <f>RIGHT(B218,1)</f>
    </oc>
    <nc r="D218" t="inlineStr">
      <is>
        <t>horizontal</t>
      </is>
    </nc>
  </rcc>
  <rcc rId="4265" sId="2">
    <oc r="D219">
      <f>RIGHT(B219,1)</f>
    </oc>
    <nc r="D219" t="inlineStr">
      <is>
        <t>horizontal</t>
      </is>
    </nc>
  </rcc>
  <rcc rId="4266" sId="2">
    <oc r="D221">
      <f>RIGHT(B221,1)</f>
    </oc>
    <nc r="D221" t="inlineStr">
      <is>
        <t>horizontal</t>
      </is>
    </nc>
  </rcc>
  <rcc rId="4267" sId="2">
    <oc r="D222">
      <f>RIGHT(B222,1)</f>
    </oc>
    <nc r="D222" t="inlineStr">
      <is>
        <t>horizontal</t>
      </is>
    </nc>
  </rcc>
  <rcc rId="4268" sId="2">
    <oc r="D223">
      <f>RIGHT(B223,1)</f>
    </oc>
    <nc r="D223" t="inlineStr">
      <is>
        <t>horizontal</t>
      </is>
    </nc>
  </rcc>
  <rcc rId="4269" sId="2">
    <oc r="D225">
      <f>RIGHT(B225,1)</f>
    </oc>
    <nc r="D225" t="inlineStr">
      <is>
        <t>horizontal</t>
      </is>
    </nc>
  </rcc>
  <rcc rId="4270" sId="2">
    <oc r="D226">
      <f>RIGHT(B226,1)</f>
    </oc>
    <nc r="D226" t="inlineStr">
      <is>
        <t>horizontal</t>
      </is>
    </nc>
  </rcc>
  <rcc rId="4271" sId="2">
    <oc r="D231">
      <f>RIGHT(B231,1)</f>
    </oc>
    <nc r="D231" t="inlineStr">
      <is>
        <t>horizontal</t>
      </is>
    </nc>
  </rcc>
  <rcc rId="4272" sId="2">
    <oc r="D232">
      <f>RIGHT(B232,1)</f>
    </oc>
    <nc r="D232" t="inlineStr">
      <is>
        <t>horizontal</t>
      </is>
    </nc>
  </rcc>
  <rcc rId="4273" sId="2">
    <oc r="D233">
      <f>RIGHT(B233,1)</f>
    </oc>
    <nc r="D233" t="inlineStr">
      <is>
        <t>horizontal</t>
      </is>
    </nc>
  </rcc>
  <rcc rId="4274" sId="2">
    <oc r="D234">
      <f>RIGHT(B234,1)</f>
    </oc>
    <nc r="D234" t="inlineStr">
      <is>
        <t>horizontal</t>
      </is>
    </nc>
  </rcc>
  <rcc rId="4275" sId="2">
    <oc r="D235">
      <f>RIGHT(B235,1)</f>
    </oc>
    <nc r="D235" t="inlineStr">
      <is>
        <t>horizontal</t>
      </is>
    </nc>
  </rcc>
  <rcc rId="4276" sId="2">
    <oc r="D239">
      <f>RIGHT(B239,1)</f>
    </oc>
    <nc r="D239" t="inlineStr">
      <is>
        <t>horizontal</t>
      </is>
    </nc>
  </rcc>
  <rcc rId="4277" sId="2">
    <oc r="D241">
      <f>RIGHT(B241,1)</f>
    </oc>
    <nc r="D241" t="inlineStr">
      <is>
        <t>horizontal</t>
      </is>
    </nc>
  </rcc>
  <rcc rId="4278" sId="2">
    <oc r="D246">
      <f>RIGHT(B246,1)</f>
    </oc>
    <nc r="D246" t="inlineStr">
      <is>
        <t>horizontal</t>
      </is>
    </nc>
  </rcc>
  <rcc rId="4279" sId="2">
    <oc r="D262">
      <f>RIGHT(B262,1)</f>
    </oc>
    <nc r="D262"/>
  </rcc>
  <rcc rId="4280" sId="2">
    <oc r="D263">
      <f>RIGHT(B263,1)</f>
    </oc>
    <nc r="D263"/>
  </rcc>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4281" sId="2" ref="B1:B1048576" action="deleteCol">
    <rfmt sheetId="2" xfDxf="1" sqref="B1:B1048576" start="0" length="0">
      <dxf>
        <alignment horizontal="left"/>
      </dxf>
    </rfmt>
    <rcc rId="0" sId="2">
      <nc r="B1" t="inlineStr">
        <is>
          <t>nest</t>
        </is>
      </nc>
    </rcc>
    <rcc rId="0" sId="2">
      <nc r="B2">
        <v>2.1</v>
      </nc>
    </rcc>
    <rcc rId="0" sId="2" dxf="1">
      <nc r="B3">
        <v>2.6</v>
      </nc>
      <ndxf>
        <font>
          <sz val="12"/>
          <color rgb="FFFF0000"/>
          <name val="Calibri"/>
          <family val="2"/>
          <scheme val="minor"/>
        </font>
      </ndxf>
    </rcc>
    <rcc rId="0" sId="2">
      <nc r="B4">
        <v>2.1</v>
      </nc>
    </rcc>
    <rcc rId="0" sId="2">
      <nc r="B5">
        <v>2.1</v>
      </nc>
    </rcc>
    <rcc rId="0" sId="2">
      <nc r="B6">
        <v>2.1</v>
      </nc>
    </rcc>
    <rcc rId="0" sId="2">
      <nc r="B7">
        <v>2.1</v>
      </nc>
    </rcc>
    <rcc rId="0" sId="2">
      <nc r="B8">
        <v>2.1</v>
      </nc>
    </rcc>
    <rcc rId="0" sId="2">
      <nc r="B9">
        <v>2.2000000000000002</v>
      </nc>
    </rcc>
    <rcc rId="0" sId="2">
      <nc r="B10">
        <v>2.2000000000000002</v>
      </nc>
    </rcc>
    <rcc rId="0" sId="2">
      <nc r="B11">
        <v>2.2000000000000002</v>
      </nc>
    </rcc>
    <rcc rId="0" sId="2">
      <nc r="B12">
        <v>2.2000000000000002</v>
      </nc>
    </rcc>
    <rcc rId="0" sId="2" dxf="1">
      <nc r="B13">
        <v>2.1</v>
      </nc>
      <ndxf>
        <font>
          <sz val="12"/>
          <color rgb="FFFF0000"/>
          <name val="Calibri"/>
          <family val="2"/>
          <scheme val="minor"/>
        </font>
      </ndxf>
    </rcc>
    <rcc rId="0" sId="2" dxf="1">
      <nc r="B14">
        <v>2.1</v>
      </nc>
      <ndxf>
        <font>
          <sz val="12"/>
          <color rgb="FFFF0000"/>
          <name val="Calibri"/>
          <family val="2"/>
          <scheme val="minor"/>
        </font>
      </ndxf>
    </rcc>
    <rcc rId="0" sId="2">
      <nc r="B15">
        <v>2.1</v>
      </nc>
    </rcc>
    <rcc rId="0" sId="2">
      <nc r="B16">
        <v>2.1</v>
      </nc>
    </rcc>
    <rcc rId="0" sId="2">
      <nc r="B17">
        <v>2.1</v>
      </nc>
    </rcc>
    <rcc rId="0" sId="2">
      <nc r="B18">
        <v>2.1</v>
      </nc>
    </rcc>
    <rcc rId="0" sId="2">
      <nc r="B19">
        <v>2.1</v>
      </nc>
    </rcc>
    <rcc rId="0" sId="2">
      <nc r="B20">
        <v>2.1</v>
      </nc>
    </rcc>
    <rcc rId="0" sId="2">
      <nc r="B21">
        <v>2.1</v>
      </nc>
    </rcc>
    <rcc rId="0" sId="2">
      <nc r="B22">
        <v>2.1</v>
      </nc>
    </rcc>
    <rcc rId="0" sId="2">
      <nc r="B23">
        <v>2.2000000000000002</v>
      </nc>
    </rcc>
    <rcc rId="0" sId="2">
      <nc r="B24">
        <v>2.2999999999999998</v>
      </nc>
    </rcc>
    <rcc rId="0" sId="2">
      <nc r="B25">
        <v>2.2000000000000002</v>
      </nc>
    </rcc>
    <rcc rId="0" sId="2">
      <nc r="B26">
        <v>2.2000000000000002</v>
      </nc>
    </rcc>
    <rcc rId="0" sId="2">
      <nc r="B27">
        <v>2.2999999999999998</v>
      </nc>
    </rcc>
    <rcc rId="0" sId="2">
      <nc r="B28">
        <v>2.2999999999999998</v>
      </nc>
    </rcc>
    <rcc rId="0" sId="2">
      <nc r="B29">
        <v>2.4</v>
      </nc>
    </rcc>
    <rcc rId="0" sId="2">
      <nc r="B30">
        <v>2.5</v>
      </nc>
    </rcc>
    <rcc rId="0" sId="2">
      <nc r="B31">
        <v>2.6</v>
      </nc>
    </rcc>
    <rcc rId="0" sId="2">
      <nc r="B32">
        <v>2.6</v>
      </nc>
    </rcc>
    <rcc rId="0" sId="2">
      <nc r="B33">
        <v>2.6</v>
      </nc>
    </rcc>
    <rcc rId="0" sId="2">
      <nc r="B34">
        <v>2.6</v>
      </nc>
    </rcc>
    <rcc rId="0" sId="2">
      <nc r="B35">
        <v>2.6</v>
      </nc>
    </rcc>
    <rcc rId="0" sId="2">
      <nc r="B36">
        <v>2.6</v>
      </nc>
    </rcc>
    <rcc rId="0" sId="2">
      <nc r="B37">
        <v>2.6</v>
      </nc>
    </rcc>
    <rcc rId="0" sId="2">
      <nc r="B38">
        <v>2.6</v>
      </nc>
    </rcc>
    <rcc rId="0" sId="2">
      <nc r="B39">
        <v>2.6</v>
      </nc>
    </rcc>
    <rcc rId="0" sId="2">
      <nc r="B40">
        <v>2.6</v>
      </nc>
    </rcc>
    <rcc rId="0" sId="2">
      <nc r="B41">
        <v>2.6</v>
      </nc>
    </rcc>
    <rcc rId="0" sId="2">
      <nc r="B42">
        <v>2.6</v>
      </nc>
    </rcc>
    <rcc rId="0" sId="2">
      <nc r="B43">
        <v>2.6</v>
      </nc>
    </rcc>
    <rcc rId="0" sId="2">
      <nc r="B44">
        <v>2.6</v>
      </nc>
    </rcc>
    <rcc rId="0" sId="2">
      <nc r="B45">
        <v>2.6</v>
      </nc>
    </rcc>
    <rcc rId="0" sId="2">
      <nc r="B46">
        <v>2.6</v>
      </nc>
    </rcc>
    <rcc rId="0" sId="2">
      <nc r="B47">
        <v>2.6</v>
      </nc>
    </rcc>
    <rcc rId="0" sId="2">
      <nc r="B48">
        <v>2.6</v>
      </nc>
    </rcc>
    <rcc rId="0" sId="2">
      <nc r="B49">
        <v>2.6</v>
      </nc>
    </rcc>
    <rcc rId="0" sId="2">
      <nc r="B50">
        <v>2.6</v>
      </nc>
    </rcc>
    <rcc rId="0" sId="2">
      <nc r="B51">
        <v>2.6</v>
      </nc>
    </rcc>
    <rcc rId="0" sId="2">
      <nc r="B52">
        <v>2.6</v>
      </nc>
    </rcc>
    <rcc rId="0" sId="2">
      <nc r="B53">
        <v>2.6</v>
      </nc>
    </rcc>
    <rcc rId="0" sId="2">
      <nc r="B54">
        <v>2.6</v>
      </nc>
    </rcc>
    <rcc rId="0" sId="2">
      <nc r="B55">
        <v>2.6</v>
      </nc>
    </rcc>
    <rcc rId="0" sId="2">
      <nc r="B56">
        <v>2.6</v>
      </nc>
    </rcc>
    <rcc rId="0" sId="2">
      <nc r="B57">
        <v>2.6</v>
      </nc>
    </rcc>
    <rcc rId="0" sId="2">
      <nc r="B58">
        <v>2.6</v>
      </nc>
    </rcc>
    <rcc rId="0" sId="2">
      <nc r="B59">
        <v>2.6</v>
      </nc>
    </rcc>
    <rcc rId="0" sId="2">
      <nc r="B60">
        <v>2.6</v>
      </nc>
    </rcc>
    <rcc rId="0" sId="2">
      <nc r="B61">
        <v>2.6</v>
      </nc>
    </rcc>
    <rcc rId="0" sId="2">
      <nc r="B62">
        <v>2.6</v>
      </nc>
    </rcc>
    <rcc rId="0" sId="2">
      <nc r="B63">
        <v>2.6</v>
      </nc>
    </rcc>
    <rcc rId="0" sId="2">
      <nc r="B64">
        <v>2.6</v>
      </nc>
    </rcc>
    <rcc rId="0" sId="2">
      <nc r="B65">
        <v>2.6</v>
      </nc>
    </rcc>
    <rcc rId="0" sId="2">
      <nc r="B66">
        <v>2.6</v>
      </nc>
    </rcc>
    <rcc rId="0" sId="2">
      <nc r="B67">
        <v>2.6</v>
      </nc>
    </rcc>
    <rcc rId="0" sId="2">
      <nc r="B68">
        <v>2.6</v>
      </nc>
    </rcc>
    <rcc rId="0" sId="2">
      <nc r="B69">
        <v>2.6</v>
      </nc>
    </rcc>
    <rcc rId="0" sId="2">
      <nc r="B70">
        <v>2.6</v>
      </nc>
    </rcc>
    <rcc rId="0" sId="2">
      <nc r="B71">
        <v>2.6</v>
      </nc>
    </rcc>
    <rcc rId="0" sId="2">
      <nc r="B72">
        <v>2.1</v>
      </nc>
    </rcc>
    <rcc rId="0" sId="2">
      <nc r="B73">
        <v>2.1</v>
      </nc>
    </rcc>
    <rcc rId="0" sId="2">
      <nc r="B74">
        <v>2.1</v>
      </nc>
    </rcc>
    <rcc rId="0" sId="2">
      <nc r="B75">
        <v>2.1</v>
      </nc>
    </rcc>
    <rcc rId="0" sId="2">
      <nc r="B76">
        <v>2.1</v>
      </nc>
    </rcc>
    <rcc rId="0" sId="2">
      <nc r="B77">
        <v>2.1</v>
      </nc>
    </rcc>
    <rcc rId="0" sId="2">
      <nc r="B78" t="inlineStr">
        <is>
          <t>2.6V</t>
        </is>
      </nc>
    </rcc>
    <rcc rId="0" sId="2">
      <nc r="B79" t="inlineStr">
        <is>
          <t>2.6V</t>
        </is>
      </nc>
    </rcc>
    <rcc rId="0" sId="2">
      <nc r="B80" t="inlineStr">
        <is>
          <t>2.6V</t>
        </is>
      </nc>
    </rcc>
    <rcc rId="0" sId="2">
      <nc r="B81" t="inlineStr">
        <is>
          <t>2.6V</t>
        </is>
      </nc>
    </rcc>
    <rcc rId="0" sId="2">
      <nc r="B82" t="inlineStr">
        <is>
          <t>2.6V</t>
        </is>
      </nc>
    </rcc>
    <rcc rId="0" sId="2">
      <nc r="B83" t="inlineStr">
        <is>
          <t>2.6V</t>
        </is>
      </nc>
    </rcc>
    <rcc rId="0" sId="2">
      <nc r="B84" t="inlineStr">
        <is>
          <t>2.6V</t>
        </is>
      </nc>
    </rcc>
    <rcc rId="0" sId="2">
      <nc r="B85" t="inlineStr">
        <is>
          <t>2.6V</t>
        </is>
      </nc>
    </rcc>
    <rcc rId="0" sId="2">
      <nc r="B86" t="inlineStr">
        <is>
          <t>2.6V</t>
        </is>
      </nc>
    </rcc>
    <rcc rId="0" sId="2">
      <nc r="B87" t="inlineStr">
        <is>
          <t>2.6V</t>
        </is>
      </nc>
    </rcc>
    <rcc rId="0" sId="2">
      <nc r="B88" t="inlineStr">
        <is>
          <t>2.6V</t>
        </is>
      </nc>
    </rcc>
    <rcc rId="0" sId="2">
      <nc r="B89" t="inlineStr">
        <is>
          <t>2.6V</t>
        </is>
      </nc>
    </rcc>
    <rcc rId="0" sId="2">
      <nc r="B90" t="inlineStr">
        <is>
          <t>2.6V</t>
        </is>
      </nc>
    </rcc>
    <rcc rId="0" sId="2">
      <nc r="B91" t="inlineStr">
        <is>
          <t>2.6V</t>
        </is>
      </nc>
    </rcc>
    <rcc rId="0" sId="2">
      <nc r="B92" t="inlineStr">
        <is>
          <t>2.6V</t>
        </is>
      </nc>
    </rcc>
    <rcc rId="0" sId="2">
      <nc r="B93" t="inlineStr">
        <is>
          <t>2.6V</t>
        </is>
      </nc>
    </rcc>
    <rcc rId="0" sId="2">
      <nc r="B94" t="inlineStr">
        <is>
          <t>2.6V</t>
        </is>
      </nc>
    </rcc>
    <rcc rId="0" sId="2">
      <nc r="B95" t="inlineStr">
        <is>
          <t>2.6V</t>
        </is>
      </nc>
    </rcc>
    <rcc rId="0" sId="2">
      <nc r="B96" t="inlineStr">
        <is>
          <t>2.6V</t>
        </is>
      </nc>
    </rcc>
    <rcc rId="0" sId="2">
      <nc r="B97" t="inlineStr">
        <is>
          <t>2.6V</t>
        </is>
      </nc>
    </rcc>
    <rcc rId="0" sId="2">
      <nc r="B98" t="inlineStr">
        <is>
          <t>2.6V</t>
        </is>
      </nc>
    </rcc>
    <rcc rId="0" sId="2">
      <nc r="B99" t="inlineStr">
        <is>
          <t>2.6V</t>
        </is>
      </nc>
    </rcc>
    <rcc rId="0" sId="2">
      <nc r="B100" t="inlineStr">
        <is>
          <t>2.6V</t>
        </is>
      </nc>
    </rcc>
    <rcc rId="0" sId="2">
      <nc r="B101" t="inlineStr">
        <is>
          <t>2.6V</t>
        </is>
      </nc>
    </rcc>
    <rcc rId="0" sId="2">
      <nc r="B102" t="inlineStr">
        <is>
          <t>2.6V</t>
        </is>
      </nc>
    </rcc>
    <rcc rId="0" sId="2">
      <nc r="B103" t="inlineStr">
        <is>
          <t>2.6V</t>
        </is>
      </nc>
    </rcc>
    <rcc rId="0" sId="2">
      <nc r="B104" t="inlineStr">
        <is>
          <t>2.6V</t>
        </is>
      </nc>
    </rcc>
    <rcc rId="0" sId="2">
      <nc r="B105" t="inlineStr">
        <is>
          <t>2.6V</t>
        </is>
      </nc>
    </rcc>
    <rcc rId="0" sId="2">
      <nc r="B106" t="inlineStr">
        <is>
          <t>2.6V</t>
        </is>
      </nc>
    </rcc>
    <rcc rId="0" sId="2">
      <nc r="B107" t="inlineStr">
        <is>
          <t>2.6V</t>
        </is>
      </nc>
    </rcc>
    <rcc rId="0" sId="2">
      <nc r="B108" t="inlineStr">
        <is>
          <t>2.6V</t>
        </is>
      </nc>
    </rcc>
    <rcc rId="0" sId="2">
      <nc r="B109" t="inlineStr">
        <is>
          <t>2.6V</t>
        </is>
      </nc>
    </rcc>
    <rcc rId="0" sId="2">
      <nc r="B110" t="inlineStr">
        <is>
          <t>2.6V</t>
        </is>
      </nc>
    </rcc>
    <rcc rId="0" sId="2">
      <nc r="B111" t="inlineStr">
        <is>
          <t>2.6V</t>
        </is>
      </nc>
    </rcc>
    <rcc rId="0" sId="2">
      <nc r="B112" t="inlineStr">
        <is>
          <t>2.6V</t>
        </is>
      </nc>
    </rcc>
    <rcc rId="0" sId="2">
      <nc r="B113" t="inlineStr">
        <is>
          <t>2.6V</t>
        </is>
      </nc>
    </rcc>
    <rcc rId="0" sId="2">
      <nc r="B114" t="inlineStr">
        <is>
          <t>2.6V</t>
        </is>
      </nc>
    </rcc>
    <rcc rId="0" sId="2">
      <nc r="B115" t="inlineStr">
        <is>
          <t>2.6V</t>
        </is>
      </nc>
    </rcc>
    <rcc rId="0" sId="2">
      <nc r="B116" t="inlineStr">
        <is>
          <t>2.6V</t>
        </is>
      </nc>
    </rcc>
    <rcc rId="0" sId="2">
      <nc r="B117" t="inlineStr">
        <is>
          <t>2.6V</t>
        </is>
      </nc>
    </rcc>
    <rcc rId="0" sId="2">
      <nc r="B118" t="inlineStr">
        <is>
          <t>2.6V</t>
        </is>
      </nc>
    </rcc>
    <rcc rId="0" sId="2">
      <nc r="B119" t="inlineStr">
        <is>
          <t>2.6V</t>
        </is>
      </nc>
    </rcc>
    <rcc rId="0" sId="2">
      <nc r="B120" t="inlineStr">
        <is>
          <t>2.6V</t>
        </is>
      </nc>
    </rcc>
    <rcc rId="0" sId="2">
      <nc r="B121" t="inlineStr">
        <is>
          <t>2.6V</t>
        </is>
      </nc>
    </rcc>
    <rcc rId="0" sId="2">
      <nc r="B122" t="inlineStr">
        <is>
          <t>2.6V</t>
        </is>
      </nc>
    </rcc>
    <rcc rId="0" sId="2">
      <nc r="B123" t="inlineStr">
        <is>
          <t>2.6V</t>
        </is>
      </nc>
    </rcc>
    <rcc rId="0" sId="2">
      <nc r="B124" t="inlineStr">
        <is>
          <t>2.6V</t>
        </is>
      </nc>
    </rcc>
    <rcc rId="0" sId="2">
      <nc r="B125" t="inlineStr">
        <is>
          <t>2.6V</t>
        </is>
      </nc>
    </rcc>
    <rcc rId="0" sId="2">
      <nc r="B126" t="inlineStr">
        <is>
          <t>2.6V</t>
        </is>
      </nc>
    </rcc>
    <rcc rId="0" sId="2">
      <nc r="B127" t="inlineStr">
        <is>
          <t>2.6V</t>
        </is>
      </nc>
    </rcc>
    <rcc rId="0" sId="2">
      <nc r="B128" t="inlineStr">
        <is>
          <t>2.6V</t>
        </is>
      </nc>
    </rcc>
    <rcc rId="0" sId="2">
      <nc r="B129" t="inlineStr">
        <is>
          <t>2.6V</t>
        </is>
      </nc>
    </rcc>
    <rcc rId="0" sId="2">
      <nc r="B130" t="inlineStr">
        <is>
          <t>2.6V</t>
        </is>
      </nc>
    </rcc>
    <rcc rId="0" sId="2">
      <nc r="B131" t="inlineStr">
        <is>
          <t>2.6V</t>
        </is>
      </nc>
    </rcc>
    <rcc rId="0" sId="2">
      <nc r="B132" t="inlineStr">
        <is>
          <t>2.7H</t>
        </is>
      </nc>
    </rcc>
    <rcc rId="0" sId="2">
      <nc r="B133" t="inlineStr">
        <is>
          <t>2.6V</t>
        </is>
      </nc>
    </rcc>
    <rcc rId="0" sId="2">
      <nc r="B134" t="inlineStr">
        <is>
          <t>2.7H</t>
        </is>
      </nc>
    </rcc>
    <rcc rId="0" sId="2">
      <nc r="B135" t="inlineStr">
        <is>
          <t>2.6V</t>
        </is>
      </nc>
    </rcc>
    <rcc rId="0" sId="2">
      <nc r="B136" t="inlineStr">
        <is>
          <t>2.6V</t>
        </is>
      </nc>
    </rcc>
    <rcc rId="0" sId="2">
      <nc r="B137" t="inlineStr">
        <is>
          <t>2.6V</t>
        </is>
      </nc>
    </rcc>
    <rcc rId="0" sId="2">
      <nc r="B138" t="inlineStr">
        <is>
          <t>2.7H</t>
        </is>
      </nc>
    </rcc>
    <rcc rId="0" sId="2">
      <nc r="B139" t="inlineStr">
        <is>
          <t>2.7H</t>
        </is>
      </nc>
    </rcc>
    <rcc rId="0" sId="2">
      <nc r="B140" t="inlineStr">
        <is>
          <t>2.6V</t>
        </is>
      </nc>
    </rcc>
    <rcc rId="0" sId="2">
      <nc r="B141" t="inlineStr">
        <is>
          <t>2.7H</t>
        </is>
      </nc>
    </rcc>
    <rcc rId="0" sId="2">
      <nc r="B142" t="inlineStr">
        <is>
          <t>2.6V</t>
        </is>
      </nc>
    </rcc>
    <rcc rId="0" sId="2">
      <nc r="B143" t="inlineStr">
        <is>
          <t>2.8H</t>
        </is>
      </nc>
    </rcc>
    <rcc rId="0" sId="2">
      <nc r="B144" t="inlineStr">
        <is>
          <t>2.9V</t>
        </is>
      </nc>
    </rcc>
    <rcc rId="0" sId="2">
      <nc r="B145" t="inlineStr">
        <is>
          <t>2.8H</t>
        </is>
      </nc>
    </rcc>
    <rcc rId="0" sId="2">
      <nc r="B146" t="inlineStr">
        <is>
          <t>2.9V</t>
        </is>
      </nc>
    </rcc>
    <rcc rId="0" sId="2">
      <nc r="B147" t="inlineStr">
        <is>
          <t>2.6V</t>
        </is>
      </nc>
    </rcc>
    <rcc rId="0" sId="2">
      <nc r="B148" t="inlineStr">
        <is>
          <t>2.6V</t>
        </is>
      </nc>
    </rcc>
    <rcc rId="0" sId="2">
      <nc r="B149" t="inlineStr">
        <is>
          <t>2.8H</t>
        </is>
      </nc>
    </rcc>
    <rcc rId="0" sId="2">
      <nc r="B150" t="inlineStr">
        <is>
          <t>2.8H</t>
        </is>
      </nc>
    </rcc>
    <rcc rId="0" sId="2">
      <nc r="B151" t="inlineStr">
        <is>
          <t>2.8H</t>
        </is>
      </nc>
    </rcc>
    <rcc rId="0" sId="2">
      <nc r="B152" t="inlineStr">
        <is>
          <t>2.6V</t>
        </is>
      </nc>
    </rcc>
    <rcc rId="0" sId="2">
      <nc r="B153" t="inlineStr">
        <is>
          <t>2.8H</t>
        </is>
      </nc>
    </rcc>
    <rcc rId="0" sId="2">
      <nc r="B154" t="inlineStr">
        <is>
          <t>2.6V</t>
        </is>
      </nc>
    </rcc>
    <rcc rId="0" sId="2">
      <nc r="B155" t="inlineStr">
        <is>
          <t>2.6V</t>
        </is>
      </nc>
    </rcc>
    <rcc rId="0" sId="2">
      <nc r="B156" t="inlineStr">
        <is>
          <t>2.8H</t>
        </is>
      </nc>
    </rcc>
    <rcc rId="0" sId="2">
      <nc r="B157" t="inlineStr">
        <is>
          <t>2.8H</t>
        </is>
      </nc>
    </rcc>
    <rcc rId="0" sId="2">
      <nc r="B158" t="inlineStr">
        <is>
          <t>2.8H</t>
        </is>
      </nc>
    </rcc>
    <rcc rId="0" sId="2">
      <nc r="B159" t="inlineStr">
        <is>
          <t>2.8H</t>
        </is>
      </nc>
    </rcc>
    <rcc rId="0" sId="2">
      <nc r="B160" t="inlineStr">
        <is>
          <t>2.8H</t>
        </is>
      </nc>
    </rcc>
    <rcc rId="0" sId="2">
      <nc r="B161" t="inlineStr">
        <is>
          <t>2.6V</t>
        </is>
      </nc>
    </rcc>
    <rcc rId="0" sId="2">
      <nc r="B162" t="inlineStr">
        <is>
          <t>2.6V</t>
        </is>
      </nc>
    </rcc>
    <rcc rId="0" sId="2">
      <nc r="B163" t="inlineStr">
        <is>
          <t>2.8H</t>
        </is>
      </nc>
    </rcc>
    <rcc rId="0" sId="2">
      <nc r="B164" t="inlineStr">
        <is>
          <t>2.8H</t>
        </is>
      </nc>
    </rcc>
    <rcc rId="0" sId="2">
      <nc r="B165" t="inlineStr">
        <is>
          <t>2.6V</t>
        </is>
      </nc>
    </rcc>
    <rcc rId="0" sId="2">
      <nc r="B166" t="inlineStr">
        <is>
          <t>2.6V</t>
        </is>
      </nc>
    </rcc>
    <rcc rId="0" sId="2">
      <nc r="B167" t="inlineStr">
        <is>
          <t>2.8H</t>
        </is>
      </nc>
    </rcc>
    <rcc rId="0" sId="2">
      <nc r="B168" t="inlineStr">
        <is>
          <t>2.6V</t>
        </is>
      </nc>
    </rcc>
    <rcc rId="0" sId="2">
      <nc r="B169" t="inlineStr">
        <is>
          <t>2.8H</t>
        </is>
      </nc>
    </rcc>
    <rcc rId="0" sId="2">
      <nc r="B170" t="inlineStr">
        <is>
          <t>2.6V</t>
        </is>
      </nc>
    </rcc>
    <rcc rId="0" sId="2">
      <nc r="B171" t="inlineStr">
        <is>
          <t>2.8H</t>
        </is>
      </nc>
    </rcc>
    <rcc rId="0" sId="2">
      <nc r="B172" t="inlineStr">
        <is>
          <t>2.6V</t>
        </is>
      </nc>
    </rcc>
    <rcc rId="0" sId="2">
      <nc r="B173" t="inlineStr">
        <is>
          <t>2.8H</t>
        </is>
      </nc>
    </rcc>
    <rcc rId="0" sId="2">
      <nc r="B174" t="inlineStr">
        <is>
          <t>2.8H</t>
        </is>
      </nc>
    </rcc>
    <rcc rId="0" sId="2">
      <nc r="B175" t="inlineStr">
        <is>
          <t>2.8H</t>
        </is>
      </nc>
    </rcc>
    <rcc rId="0" sId="2">
      <nc r="B176" t="inlineStr">
        <is>
          <t>2.6V</t>
        </is>
      </nc>
    </rcc>
    <rcc rId="0" sId="2">
      <nc r="B177" t="inlineStr">
        <is>
          <t>2.6V</t>
        </is>
      </nc>
    </rcc>
    <rcc rId="0" sId="2">
      <nc r="B178" t="inlineStr">
        <is>
          <t>2.8H</t>
        </is>
      </nc>
    </rcc>
    <rcc rId="0" sId="2">
      <nc r="B179" t="inlineStr">
        <is>
          <t>2.6V</t>
        </is>
      </nc>
    </rcc>
    <rcc rId="0" sId="2">
      <nc r="B180" t="inlineStr">
        <is>
          <t>2.6V</t>
        </is>
      </nc>
    </rcc>
    <rcc rId="0" sId="2">
      <nc r="B181" t="inlineStr">
        <is>
          <t>2.8H</t>
        </is>
      </nc>
    </rcc>
    <rcc rId="0" sId="2">
      <nc r="B182" t="inlineStr">
        <is>
          <t>2.8V</t>
        </is>
      </nc>
    </rcc>
    <rcc rId="0" sId="2">
      <nc r="B183" t="inlineStr">
        <is>
          <t>2.9H</t>
        </is>
      </nc>
    </rcc>
    <rcc rId="0" sId="2">
      <nc r="B184" t="inlineStr">
        <is>
          <t>2.8V</t>
        </is>
      </nc>
    </rcc>
    <rcc rId="0" sId="2">
      <nc r="B185" t="inlineStr">
        <is>
          <t>2.9H</t>
        </is>
      </nc>
    </rcc>
    <rcc rId="0" sId="2">
      <nc r="B186" t="inlineStr">
        <is>
          <t>2.8V</t>
        </is>
      </nc>
    </rcc>
    <rcc rId="0" sId="2">
      <nc r="B187" t="inlineStr">
        <is>
          <t>2.9H</t>
        </is>
      </nc>
    </rcc>
    <rcc rId="0" sId="2">
      <nc r="B188" t="inlineStr">
        <is>
          <t>2.8V</t>
        </is>
      </nc>
    </rcc>
    <rcc rId="0" sId="2">
      <nc r="B189" t="inlineStr">
        <is>
          <t>2.8V</t>
        </is>
      </nc>
    </rcc>
    <rcc rId="0" sId="2">
      <nc r="B190" t="inlineStr">
        <is>
          <t>2.9H</t>
        </is>
      </nc>
    </rcc>
    <rcc rId="0" sId="2">
      <nc r="B191" t="inlineStr">
        <is>
          <t>2.9H</t>
        </is>
      </nc>
    </rcc>
    <rcc rId="0" sId="2">
      <nc r="B192" t="inlineStr">
        <is>
          <t>2.8V</t>
        </is>
      </nc>
    </rcc>
    <rcc rId="0" sId="2">
      <nc r="B193" t="inlineStr">
        <is>
          <t>2.9H</t>
        </is>
      </nc>
    </rcc>
    <rcc rId="0" sId="2">
      <nc r="B194" t="inlineStr">
        <is>
          <t>2.8V</t>
        </is>
      </nc>
    </rcc>
    <rcc rId="0" sId="2">
      <nc r="B195" t="inlineStr">
        <is>
          <t>2.9H</t>
        </is>
      </nc>
    </rcc>
    <rcc rId="0" sId="2">
      <nc r="B196" t="inlineStr">
        <is>
          <t>2.8V</t>
        </is>
      </nc>
    </rcc>
    <rcc rId="0" sId="2">
      <nc r="B197" t="inlineStr">
        <is>
          <t>2.9H</t>
        </is>
      </nc>
    </rcc>
    <rcc rId="0" sId="2">
      <nc r="B198" t="inlineStr">
        <is>
          <t>2.8V</t>
        </is>
      </nc>
    </rcc>
    <rcc rId="0" sId="2">
      <nc r="B199" t="inlineStr">
        <is>
          <t>2.9H</t>
        </is>
      </nc>
    </rcc>
    <rcc rId="0" sId="2">
      <nc r="B200" t="inlineStr">
        <is>
          <t>2.8V</t>
        </is>
      </nc>
    </rcc>
    <rcc rId="0" sId="2">
      <nc r="B201" t="inlineStr">
        <is>
          <t>NA</t>
        </is>
      </nc>
    </rcc>
    <rcc rId="0" sId="2" dxf="1">
      <nc r="B202" t="inlineStr">
        <is>
          <t>2.9H</t>
        </is>
      </nc>
      <ndxf>
        <fill>
          <patternFill patternType="solid">
            <bgColor rgb="FFFFFF00"/>
          </patternFill>
        </fill>
      </ndxf>
    </rcc>
    <rcc rId="0" sId="2" dxf="1">
      <nc r="B203" t="inlineStr">
        <is>
          <t>2.9H</t>
        </is>
      </nc>
      <ndxf>
        <fill>
          <patternFill patternType="solid">
            <bgColor rgb="FFFFFF00"/>
          </patternFill>
        </fill>
      </ndxf>
    </rcc>
    <rcc rId="0" sId="2" dxf="1">
      <nc r="B204" t="inlineStr">
        <is>
          <t>2.8V</t>
        </is>
      </nc>
      <ndxf>
        <fill>
          <patternFill patternType="solid">
            <bgColor rgb="FFFFFF00"/>
          </patternFill>
        </fill>
      </ndxf>
    </rcc>
    <rcc rId="0" sId="2">
      <nc r="B205" t="inlineStr">
        <is>
          <t>2.9H</t>
        </is>
      </nc>
    </rcc>
    <rcc rId="0" sId="2">
      <nc r="B206" t="inlineStr">
        <is>
          <t>2.9H</t>
        </is>
      </nc>
    </rcc>
    <rcc rId="0" sId="2">
      <nc r="B207" t="inlineStr">
        <is>
          <t>2.8V</t>
        </is>
      </nc>
    </rcc>
    <rcc rId="0" sId="2">
      <nc r="B208" t="inlineStr">
        <is>
          <t>2.8V</t>
        </is>
      </nc>
    </rcc>
    <rcc rId="0" sId="2">
      <nc r="B209" t="inlineStr">
        <is>
          <t>2.8V</t>
        </is>
      </nc>
    </rcc>
    <rcc rId="0" sId="2">
      <nc r="B210" t="inlineStr">
        <is>
          <t>2.8V</t>
        </is>
      </nc>
    </rcc>
    <rcc rId="0" sId="2">
      <nc r="B211" t="inlineStr">
        <is>
          <t>2.9H</t>
        </is>
      </nc>
    </rcc>
    <rcc rId="0" sId="2">
      <nc r="B212" t="inlineStr">
        <is>
          <t>2.9H</t>
        </is>
      </nc>
    </rcc>
    <rcc rId="0" sId="2" dxf="1">
      <nc r="B213" t="inlineStr">
        <is>
          <t>2.8V</t>
        </is>
      </nc>
      <ndxf>
        <fill>
          <patternFill patternType="solid">
            <bgColor theme="0"/>
          </patternFill>
        </fill>
      </ndxf>
    </rcc>
    <rcc rId="0" sId="2" dxf="1">
      <nc r="B214" t="inlineStr">
        <is>
          <t>2.9H</t>
        </is>
      </nc>
      <ndxf>
        <fill>
          <patternFill patternType="solid">
            <bgColor theme="0"/>
          </patternFill>
        </fill>
      </ndxf>
    </rcc>
    <rcc rId="0" sId="2" dxf="1">
      <nc r="B215" t="inlineStr">
        <is>
          <t>2.9H</t>
        </is>
      </nc>
      <ndxf>
        <fill>
          <patternFill patternType="solid">
            <bgColor theme="0"/>
          </patternFill>
        </fill>
      </ndxf>
    </rcc>
    <rcc rId="0" sId="2" dxf="1">
      <nc r="B216" t="inlineStr">
        <is>
          <t>2.9H</t>
        </is>
      </nc>
      <ndxf>
        <fill>
          <patternFill patternType="solid">
            <bgColor theme="0"/>
          </patternFill>
        </fill>
      </ndxf>
    </rcc>
    <rcc rId="0" sId="2" dxf="1">
      <nc r="B217" t="inlineStr">
        <is>
          <t>2.9H</t>
        </is>
      </nc>
      <ndxf>
        <fill>
          <patternFill patternType="solid">
            <bgColor theme="0"/>
          </patternFill>
        </fill>
      </ndxf>
    </rcc>
    <rcc rId="0" sId="2">
      <nc r="B218" t="inlineStr">
        <is>
          <t>2.9H</t>
        </is>
      </nc>
    </rcc>
    <rcc rId="0" sId="2">
      <nc r="B219" t="inlineStr">
        <is>
          <t>2.9H</t>
        </is>
      </nc>
    </rcc>
    <rcc rId="0" sId="2">
      <nc r="B220" t="inlineStr">
        <is>
          <t>2.8V</t>
        </is>
      </nc>
    </rcc>
    <rcc rId="0" sId="2">
      <nc r="B221" t="inlineStr">
        <is>
          <t>2.9H</t>
        </is>
      </nc>
    </rcc>
    <rcc rId="0" sId="2">
      <nc r="B222" t="inlineStr">
        <is>
          <t>2.9H</t>
        </is>
      </nc>
    </rcc>
    <rcc rId="0" sId="2">
      <nc r="B223" t="inlineStr">
        <is>
          <t>2.9H</t>
        </is>
      </nc>
    </rcc>
    <rcc rId="0" sId="2">
      <nc r="B224" t="inlineStr">
        <is>
          <t>2.8V</t>
        </is>
      </nc>
    </rcc>
    <rcc rId="0" sId="2">
      <nc r="B225" t="inlineStr">
        <is>
          <t>2.9H</t>
        </is>
      </nc>
    </rcc>
    <rcc rId="0" sId="2">
      <nc r="B226" t="inlineStr">
        <is>
          <t>2.9H</t>
        </is>
      </nc>
    </rcc>
    <rcc rId="0" sId="2">
      <nc r="B227" t="inlineStr">
        <is>
          <t>2.8V</t>
        </is>
      </nc>
    </rcc>
    <rcc rId="0" sId="2">
      <nc r="B228" t="inlineStr">
        <is>
          <t>2.8V</t>
        </is>
      </nc>
    </rcc>
    <rcc rId="0" sId="2">
      <nc r="B229" t="inlineStr">
        <is>
          <t>2.8V</t>
        </is>
      </nc>
    </rcc>
    <rcc rId="0" sId="2">
      <nc r="B230" t="inlineStr">
        <is>
          <t>2.8V</t>
        </is>
      </nc>
    </rcc>
    <rcc rId="0" sId="2">
      <nc r="B231" t="inlineStr">
        <is>
          <t>2.9H</t>
        </is>
      </nc>
    </rcc>
    <rcc rId="0" sId="2">
      <nc r="B232" t="inlineStr">
        <is>
          <t>2.9H</t>
        </is>
      </nc>
    </rcc>
    <rcc rId="0" sId="2">
      <nc r="B233" t="inlineStr">
        <is>
          <t>2.9H</t>
        </is>
      </nc>
    </rcc>
    <rcc rId="0" sId="2">
      <nc r="B234" t="inlineStr">
        <is>
          <t>2.9H</t>
        </is>
      </nc>
    </rcc>
    <rcc rId="0" sId="2">
      <nc r="B235" t="inlineStr">
        <is>
          <t>2.9H</t>
        </is>
      </nc>
    </rcc>
    <rcc rId="0" sId="2">
      <nc r="B236" t="inlineStr">
        <is>
          <t>2.8V</t>
        </is>
      </nc>
    </rcc>
    <rcc rId="0" sId="2">
      <nc r="B237" t="inlineStr">
        <is>
          <t>2.8V</t>
        </is>
      </nc>
    </rcc>
    <rcc rId="0" sId="2">
      <nc r="B238" t="inlineStr">
        <is>
          <t>2.8V</t>
        </is>
      </nc>
    </rcc>
    <rcc rId="0" sId="2">
      <nc r="B239" t="inlineStr">
        <is>
          <t>2.9H</t>
        </is>
      </nc>
    </rcc>
    <rcc rId="0" sId="2">
      <nc r="B240" t="inlineStr">
        <is>
          <t>2.8V</t>
        </is>
      </nc>
    </rcc>
    <rcc rId="0" sId="2">
      <nc r="B241" t="inlineStr">
        <is>
          <t>2.9H</t>
        </is>
      </nc>
    </rcc>
    <rcc rId="0" sId="2">
      <nc r="B242" t="inlineStr">
        <is>
          <t>2.8V</t>
        </is>
      </nc>
    </rcc>
    <rcc rId="0" sId="2">
      <nc r="B243" t="inlineStr">
        <is>
          <t>2.8V</t>
        </is>
      </nc>
    </rcc>
    <rcc rId="0" sId="2">
      <nc r="B244" t="inlineStr">
        <is>
          <t>2.8V</t>
        </is>
      </nc>
    </rcc>
    <rcc rId="0" sId="2">
      <nc r="B245" t="inlineStr">
        <is>
          <t>2.8V</t>
        </is>
      </nc>
    </rcc>
    <rcc rId="0" sId="2">
      <nc r="B246" t="inlineStr">
        <is>
          <t>2.9H</t>
        </is>
      </nc>
    </rcc>
    <rcc rId="0" sId="2">
      <nc r="B247" t="inlineStr">
        <is>
          <t>2.8V</t>
        </is>
      </nc>
    </rcc>
    <rcc rId="0" sId="2">
      <nc r="B248" t="inlineStr">
        <is>
          <t>2.8V</t>
        </is>
      </nc>
    </rcc>
    <rcc rId="0" sId="2">
      <nc r="B249" t="inlineStr">
        <is>
          <t>2.8V</t>
        </is>
      </nc>
    </rcc>
    <rcc rId="0" sId="2">
      <nc r="B250" t="inlineStr">
        <is>
          <t>2.8V</t>
        </is>
      </nc>
    </rcc>
    <rcc rId="0" sId="2">
      <nc r="B251" t="inlineStr">
        <is>
          <t>2.8V</t>
        </is>
      </nc>
    </rcc>
    <rcc rId="0" sId="2">
      <nc r="B252" t="inlineStr">
        <is>
          <t>2.8V</t>
        </is>
      </nc>
    </rcc>
    <rcc rId="0" sId="2">
      <nc r="B253" t="inlineStr">
        <is>
          <t>2.8V</t>
        </is>
      </nc>
    </rcc>
    <rcc rId="0" sId="2">
      <nc r="B254" t="inlineStr">
        <is>
          <t>2.8V</t>
        </is>
      </nc>
    </rcc>
    <rcc rId="0" sId="2">
      <nc r="B255" t="inlineStr">
        <is>
          <t>2.8V</t>
        </is>
      </nc>
    </rcc>
    <rcc rId="0" sId="2">
      <nc r="B256" t="inlineStr">
        <is>
          <t>2.8V</t>
        </is>
      </nc>
    </rcc>
    <rcc rId="0" sId="2">
      <nc r="B257" t="inlineStr">
        <is>
          <t>2.8V</t>
        </is>
      </nc>
    </rcc>
    <rcc rId="0" sId="2">
      <nc r="B258" t="inlineStr">
        <is>
          <t>2.8V</t>
        </is>
      </nc>
    </rcc>
    <rcc rId="0" sId="2">
      <nc r="B259" t="inlineStr">
        <is>
          <t>2.8V</t>
        </is>
      </nc>
    </rcc>
    <rcc rId="0" sId="2">
      <nc r="B260" t="inlineStr">
        <is>
          <t>2.8V</t>
        </is>
      </nc>
    </rcc>
    <rcc rId="0" sId="2">
      <nc r="B261" t="inlineStr">
        <is>
          <t>NA</t>
        </is>
      </nc>
    </rcc>
  </rrc>
  <rcc rId="4282" sId="2">
    <oc r="B1" t="inlineStr">
      <is>
        <t>nest2</t>
      </is>
    </oc>
    <nc r="B1" t="inlineStr">
      <is>
        <t>nest</t>
      </is>
    </nc>
  </rcc>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83" sId="1">
    <oc r="M1" t="inlineStr">
      <is>
        <t>pos_vpatt_dep</t>
      </is>
    </oc>
    <nc r="M1" t="inlineStr">
      <is>
        <t>pos_patt_dep</t>
      </is>
    </nc>
  </rcc>
  <rcc rId="4284" sId="1">
    <oc r="N1" t="inlineStr">
      <is>
        <t>side_vpatt_dep</t>
      </is>
    </oc>
    <nc r="N1" t="inlineStr">
      <is>
        <t>side_patt_dep</t>
      </is>
    </nc>
  </rcc>
  <rcc rId="4285" sId="1">
    <oc r="O1" t="inlineStr">
      <is>
        <t>pos_vpatt_ret</t>
      </is>
    </oc>
    <nc r="O1" t="inlineStr">
      <is>
        <t>pos_patt_ret</t>
      </is>
    </nc>
  </rcc>
  <rcc rId="4286" sId="1">
    <oc r="P1" t="inlineStr">
      <is>
        <t>side_vpatt_ret</t>
      </is>
    </oc>
    <nc r="P1" t="inlineStr">
      <is>
        <t>side_patt_ret</t>
      </is>
    </nc>
  </rcc>
  <rcc rId="4287" sId="1">
    <oc r="Q1" t="inlineStr">
      <is>
        <t>vpatt_freq_dep</t>
      </is>
    </oc>
    <nc r="Q1" t="inlineStr">
      <is>
        <t>patt_freq_dep</t>
      </is>
    </nc>
  </rcc>
  <rcc rId="4288" sId="1">
    <oc r="R1" t="inlineStr">
      <is>
        <t>vpatt_freq_ret</t>
      </is>
    </oc>
    <nc r="R1" t="inlineStr">
      <is>
        <t>patt_freq_ret</t>
      </is>
    </nc>
  </rcc>
  <rcc rId="4289" sId="2">
    <oc r="M1" t="inlineStr">
      <is>
        <t>pos_vpatt_dep</t>
      </is>
    </oc>
    <nc r="M1" t="inlineStr">
      <is>
        <t>pos_patt_dep</t>
      </is>
    </nc>
  </rcc>
  <rcc rId="4290" sId="2">
    <oc r="N1" t="inlineStr">
      <is>
        <t>side_vpatt_dep</t>
      </is>
    </oc>
    <nc r="N1" t="inlineStr">
      <is>
        <t>side_patt_dep</t>
      </is>
    </nc>
  </rcc>
  <rcc rId="4291" sId="2">
    <oc r="O1" t="inlineStr">
      <is>
        <t>pos_vpatt_ret</t>
      </is>
    </oc>
    <nc r="O1" t="inlineStr">
      <is>
        <t>pos_patt_ret</t>
      </is>
    </nc>
  </rcc>
  <rcc rId="4292" sId="2">
    <oc r="P1" t="inlineStr">
      <is>
        <t>side_vpatt_ret</t>
      </is>
    </oc>
    <nc r="P1" t="inlineStr">
      <is>
        <t>side_patt_ret</t>
      </is>
    </nc>
  </rcc>
  <rcc rId="4293" sId="2">
    <oc r="R1" t="inlineStr">
      <is>
        <t>vpatt_freq_dep</t>
      </is>
    </oc>
    <nc r="R1" t="inlineStr">
      <is>
        <t>patt_freq_dep</t>
      </is>
    </nc>
  </rcc>
  <rcc rId="4294" sId="2">
    <oc r="S1" t="inlineStr">
      <is>
        <t>vpatt_freq_ret</t>
      </is>
    </oc>
    <nc r="S1" t="inlineStr">
      <is>
        <t>patt_freq_ret</t>
      </is>
    </nc>
  </rcc>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295" sId="2">
    <oc r="N1" t="inlineStr">
      <is>
        <t>side_patt_dep</t>
      </is>
    </oc>
    <nc r="N1" t="inlineStr">
      <is>
        <t>side_home_patt_dep</t>
      </is>
    </nc>
  </rcc>
  <rcc rId="4296" sId="2">
    <oc r="P1" t="inlineStr">
      <is>
        <t>side_patt_ret</t>
      </is>
    </oc>
    <nc r="P1" t="inlineStr">
      <is>
        <t>side_home_patt_ret</t>
      </is>
    </nc>
  </rcc>
  <rcc rId="4297" sId="1">
    <oc r="N1" t="inlineStr">
      <is>
        <t>side_patt_dep</t>
      </is>
    </oc>
    <nc r="N1" t="inlineStr">
      <is>
        <t>side_home_patt_dep</t>
      </is>
    </nc>
  </rcc>
  <rcc rId="4298" sId="1">
    <oc r="P1" t="inlineStr">
      <is>
        <t>side_patt_ret</t>
      </is>
    </oc>
    <nc r="P1" t="inlineStr">
      <is>
        <t>side_home_patt_ret</t>
      </is>
    </nc>
  </rcc>
  <rcv guid="{8A75D892-44B4-104C-BB94-8EB0D0E43396}" action="delete"/>
  <rcv guid="{8A75D892-44B4-104C-BB94-8EB0D0E43396}" action="add"/>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4299" sId="1" ref="G1:G1048576" action="insertCol"/>
  <rm rId="4300" sheetId="1" source="L1:L1048576" destination="G1:G1048576" sourceSheetId="1">
    <rfmt sheetId="1" xfDxf="1" sqref="G1:G1048576" start="0" length="0">
      <dxf>
        <numFmt numFmtId="19" formatCode="yyyy/mm/dd"/>
        <alignment horizontal="left"/>
      </dxf>
    </rfmt>
    <rfmt sheetId="1" sqref="G123" start="0" length="0">
      <dxf>
        <font>
          <sz val="12"/>
          <color rgb="FF000000"/>
          <name val="Calibri"/>
          <family val="2"/>
          <scheme val="minor"/>
        </font>
      </dxf>
    </rfmt>
    <rfmt sheetId="1" sqref="G124" start="0" length="0">
      <dxf>
        <font>
          <sz val="12"/>
          <color rgb="FF000000"/>
          <name val="Calibri"/>
          <family val="2"/>
          <scheme val="minor"/>
        </font>
      </dxf>
    </rfmt>
    <rfmt sheetId="1" sqref="G125" start="0" length="0">
      <dxf>
        <font>
          <sz val="12"/>
          <color rgb="FF000000"/>
          <name val="Calibri"/>
          <family val="2"/>
          <scheme val="minor"/>
        </font>
      </dxf>
    </rfmt>
    <rfmt sheetId="1" sqref="G126" start="0" length="0">
      <dxf>
        <font>
          <sz val="12"/>
          <color rgb="FF000000"/>
          <name val="Calibri"/>
          <family val="2"/>
          <scheme val="minor"/>
        </font>
      </dxf>
    </rfmt>
    <rfmt sheetId="1" sqref="G129" start="0" length="0">
      <dxf>
        <font>
          <sz val="12"/>
          <color rgb="FF000000"/>
          <name val="Calibri"/>
          <family val="2"/>
          <scheme val="minor"/>
        </font>
      </dxf>
    </rfmt>
    <rfmt sheetId="1" sqref="G130" start="0" length="0">
      <dxf>
        <font>
          <sz val="12"/>
          <color rgb="FF000000"/>
          <name val="Calibri"/>
          <family val="2"/>
          <scheme val="minor"/>
        </font>
      </dxf>
    </rfmt>
    <rfmt sheetId="1" sqref="G148" start="0" length="0">
      <dxf>
        <font>
          <sz val="12"/>
          <color rgb="FF000000"/>
          <name val="Calibri"/>
          <family val="2"/>
          <scheme val="minor"/>
        </font>
      </dxf>
    </rfmt>
  </rm>
  <rrc rId="4301" sId="1" ref="L1:L1048576" action="deleteCol">
    <rfmt sheetId="1" xfDxf="1" sqref="L1:L1048576" start="0" length="0"/>
    <rfmt sheetId="1" sqref="L28" start="0" length="0">
      <dxf>
        <font>
          <sz val="12"/>
          <color rgb="FFFF0000"/>
          <name val="Calibri"/>
          <family val="2"/>
          <scheme val="minor"/>
        </font>
        <alignment horizontal="left" vertical="top"/>
      </dxf>
    </rfmt>
    <rfmt sheetId="1" sqref="L43" start="0" length="0">
      <dxf>
        <font>
          <sz val="12"/>
          <color rgb="FFFF0000"/>
          <name val="Calibri"/>
          <family val="2"/>
          <scheme val="minor"/>
        </font>
        <alignment horizontal="left" vertical="top"/>
      </dxf>
    </rfmt>
  </rrc>
  <rrc rId="4302" sId="1" ref="H1:H1048576" action="insertCol"/>
  <rm rId="4303" sheetId="1" source="J1:J1048576" destination="H1:H1048576" sourceSheetId="1">
    <rfmt sheetId="1" xfDxf="1" sqref="H1:H1048576" start="0" length="0">
      <dxf>
        <alignment horizontal="left"/>
      </dxf>
    </rfmt>
    <rfmt sheetId="1" sqref="H6" start="0" length="0">
      <dxf>
        <numFmt numFmtId="26" formatCode="hh:mm:ss"/>
      </dxf>
    </rfmt>
    <rfmt sheetId="1" sqref="H8" start="0" length="0">
      <dxf>
        <numFmt numFmtId="26" formatCode="hh:mm:ss"/>
      </dxf>
    </rfmt>
    <rfmt sheetId="1" sqref="H9" start="0" length="0">
      <dxf>
        <numFmt numFmtId="26" formatCode="hh:mm:ss"/>
      </dxf>
    </rfmt>
    <rfmt sheetId="1" sqref="H10" start="0" length="0">
      <dxf>
        <numFmt numFmtId="26" formatCode="hh:mm:ss"/>
      </dxf>
    </rfmt>
    <rfmt sheetId="1" sqref="H11" start="0" length="0">
      <dxf>
        <numFmt numFmtId="26" formatCode="hh:mm:ss"/>
      </dxf>
    </rfmt>
    <rfmt sheetId="1" sqref="H12" start="0" length="0">
      <dxf>
        <numFmt numFmtId="26" formatCode="hh:mm:ss"/>
      </dxf>
    </rfmt>
    <rfmt sheetId="1" sqref="H13" start="0" length="0">
      <dxf>
        <numFmt numFmtId="26" formatCode="hh:mm:ss"/>
      </dxf>
    </rfmt>
    <rfmt sheetId="1" sqref="H14" start="0" length="0">
      <dxf>
        <numFmt numFmtId="26" formatCode="hh:mm:ss"/>
      </dxf>
    </rfmt>
    <rfmt sheetId="1" sqref="H16" start="0" length="0">
      <dxf>
        <numFmt numFmtId="26" formatCode="hh:mm:ss"/>
      </dxf>
    </rfmt>
    <rfmt sheetId="1" sqref="H17" start="0" length="0">
      <dxf>
        <numFmt numFmtId="26" formatCode="hh:mm:ss"/>
      </dxf>
    </rfmt>
    <rfmt sheetId="1" sqref="H18" start="0" length="0">
      <dxf>
        <numFmt numFmtId="26" formatCode="hh:mm:ss"/>
      </dxf>
    </rfmt>
    <rfmt sheetId="1" sqref="H19" start="0" length="0">
      <dxf>
        <numFmt numFmtId="26" formatCode="hh:mm:ss"/>
      </dxf>
    </rfmt>
    <rfmt sheetId="1" sqref="H21" start="0" length="0">
      <dxf>
        <numFmt numFmtId="26" formatCode="hh:mm:ss"/>
      </dxf>
    </rfmt>
    <rfmt sheetId="1" sqref="H22" start="0" length="0">
      <dxf>
        <numFmt numFmtId="26" formatCode="hh:mm:ss"/>
      </dxf>
    </rfmt>
    <rfmt sheetId="1" sqref="H23" start="0" length="0">
      <dxf>
        <numFmt numFmtId="26" formatCode="hh:mm:ss"/>
      </dxf>
    </rfmt>
    <rfmt sheetId="1" sqref="H24" start="0" length="0">
      <dxf>
        <numFmt numFmtId="26" formatCode="hh:mm:ss"/>
      </dxf>
    </rfmt>
    <rfmt sheetId="1" sqref="H25" start="0" length="0">
      <dxf>
        <numFmt numFmtId="26" formatCode="hh:mm:ss"/>
      </dxf>
    </rfmt>
    <rfmt sheetId="1" sqref="H26" start="0" length="0">
      <dxf>
        <numFmt numFmtId="26" formatCode="hh:mm:ss"/>
      </dxf>
    </rfmt>
    <rfmt sheetId="1" sqref="H29" start="0" length="0">
      <dxf>
        <numFmt numFmtId="26" formatCode="hh:mm:ss"/>
      </dxf>
    </rfmt>
    <rfmt sheetId="1" sqref="H30" start="0" length="0">
      <dxf>
        <numFmt numFmtId="26" formatCode="hh:mm:ss"/>
      </dxf>
    </rfmt>
    <rfmt sheetId="1" sqref="H31" start="0" length="0">
      <dxf>
        <numFmt numFmtId="26" formatCode="hh:mm:ss"/>
      </dxf>
    </rfmt>
    <rfmt sheetId="1" sqref="H32" start="0" length="0">
      <dxf>
        <numFmt numFmtId="26" formatCode="hh:mm:ss"/>
      </dxf>
    </rfmt>
    <rfmt sheetId="1" sqref="H33" start="0" length="0">
      <dxf>
        <numFmt numFmtId="26" formatCode="hh:mm:ss"/>
      </dxf>
    </rfmt>
    <rfmt sheetId="1" sqref="H36" start="0" length="0">
      <dxf>
        <numFmt numFmtId="26" formatCode="hh:mm:ss"/>
      </dxf>
    </rfmt>
    <rfmt sheetId="1" sqref="H38" start="0" length="0">
      <dxf>
        <numFmt numFmtId="26" formatCode="hh:mm:ss"/>
      </dxf>
    </rfmt>
    <rfmt sheetId="1" sqref="H39" start="0" length="0">
      <dxf>
        <numFmt numFmtId="26" formatCode="hh:mm:ss"/>
      </dxf>
    </rfmt>
    <rfmt sheetId="1" sqref="H40" start="0" length="0">
      <dxf>
        <numFmt numFmtId="26" formatCode="hh:mm:ss"/>
      </dxf>
    </rfmt>
    <rfmt sheetId="1" sqref="H41" start="0" length="0">
      <dxf>
        <numFmt numFmtId="26" formatCode="hh:mm:ss"/>
      </dxf>
    </rfmt>
    <rfmt sheetId="1" sqref="H42" start="0" length="0">
      <dxf>
        <numFmt numFmtId="26" formatCode="hh:mm:ss"/>
      </dxf>
    </rfmt>
    <rfmt sheetId="1" sqref="H45" start="0" length="0">
      <dxf>
        <numFmt numFmtId="26" formatCode="hh:mm:ss"/>
      </dxf>
    </rfmt>
    <rfmt sheetId="1" sqref="H46" start="0" length="0">
      <dxf>
        <numFmt numFmtId="26" formatCode="hh:mm:ss"/>
      </dxf>
    </rfmt>
    <rfmt sheetId="1" sqref="H47" start="0" length="0">
      <dxf>
        <numFmt numFmtId="26" formatCode="hh:mm:ss"/>
      </dxf>
    </rfmt>
    <rfmt sheetId="1" sqref="H48" start="0" length="0">
      <dxf>
        <numFmt numFmtId="26" formatCode="hh:mm:ss"/>
      </dxf>
    </rfmt>
    <rfmt sheetId="1" sqref="H49" start="0" length="0">
      <dxf>
        <numFmt numFmtId="26" formatCode="hh:mm:ss"/>
      </dxf>
    </rfmt>
    <rfmt sheetId="1" sqref="H50" start="0" length="0">
      <dxf>
        <numFmt numFmtId="26" formatCode="hh:mm:ss"/>
      </dxf>
    </rfmt>
    <rfmt sheetId="1" sqref="H51" start="0" length="0">
      <dxf>
        <numFmt numFmtId="26" formatCode="hh:mm:ss"/>
      </dxf>
    </rfmt>
    <rfmt sheetId="1" sqref="H53" start="0" length="0">
      <dxf>
        <numFmt numFmtId="26" formatCode="hh:mm:ss"/>
      </dxf>
    </rfmt>
    <rfmt sheetId="1" sqref="H54" start="0" length="0">
      <dxf>
        <numFmt numFmtId="26" formatCode="hh:mm:ss"/>
      </dxf>
    </rfmt>
    <rfmt sheetId="1" sqref="H55" start="0" length="0">
      <dxf>
        <numFmt numFmtId="26" formatCode="hh:mm:ss"/>
      </dxf>
    </rfmt>
    <rfmt sheetId="1" sqref="H57" start="0" length="0">
      <dxf>
        <numFmt numFmtId="26" formatCode="hh:mm:ss"/>
      </dxf>
    </rfmt>
    <rfmt sheetId="1" sqref="H58" start="0" length="0">
      <dxf>
        <numFmt numFmtId="26" formatCode="hh:mm:ss"/>
      </dxf>
    </rfmt>
    <rfmt sheetId="1" sqref="H59" start="0" length="0">
      <dxf>
        <numFmt numFmtId="26" formatCode="hh:mm:ss"/>
      </dxf>
    </rfmt>
    <rfmt sheetId="1" sqref="H60" start="0" length="0">
      <dxf>
        <numFmt numFmtId="26" formatCode="hh:mm:ss"/>
      </dxf>
    </rfmt>
    <rfmt sheetId="1" sqref="H61" start="0" length="0">
      <dxf>
        <numFmt numFmtId="26" formatCode="hh:mm:ss"/>
      </dxf>
    </rfmt>
    <rfmt sheetId="1" sqref="H62" start="0" length="0">
      <dxf>
        <numFmt numFmtId="26" formatCode="hh:mm:ss"/>
      </dxf>
    </rfmt>
    <rfmt sheetId="1" sqref="H63" start="0" length="0">
      <dxf>
        <numFmt numFmtId="26" formatCode="hh:mm:ss"/>
      </dxf>
    </rfmt>
    <rfmt sheetId="1" sqref="H67" start="0" length="0">
      <dxf>
        <numFmt numFmtId="26" formatCode="hh:mm:ss"/>
      </dxf>
    </rfmt>
    <rfmt sheetId="1" sqref="H68" start="0" length="0">
      <dxf>
        <numFmt numFmtId="26" formatCode="hh:mm:ss"/>
      </dxf>
    </rfmt>
    <rfmt sheetId="1" sqref="H69" start="0" length="0">
      <dxf>
        <numFmt numFmtId="26" formatCode="hh:mm:ss"/>
      </dxf>
    </rfmt>
    <rfmt sheetId="1" sqref="H70" start="0" length="0">
      <dxf>
        <numFmt numFmtId="26" formatCode="hh:mm:ss"/>
      </dxf>
    </rfmt>
    <rfmt sheetId="1" sqref="H71" start="0" length="0">
      <dxf>
        <numFmt numFmtId="26" formatCode="hh:mm:ss"/>
      </dxf>
    </rfmt>
    <rfmt sheetId="1" sqref="H72" start="0" length="0">
      <dxf>
        <numFmt numFmtId="26" formatCode="hh:mm:ss"/>
      </dxf>
    </rfmt>
    <rfmt sheetId="1" sqref="H73" start="0" length="0">
      <dxf>
        <numFmt numFmtId="26" formatCode="hh:mm:ss"/>
      </dxf>
    </rfmt>
    <rfmt sheetId="1" sqref="H74" start="0" length="0">
      <dxf>
        <numFmt numFmtId="26" formatCode="hh:mm:ss"/>
      </dxf>
    </rfmt>
    <rfmt sheetId="1" sqref="H76" start="0" length="0">
      <dxf>
        <numFmt numFmtId="26" formatCode="hh:mm:ss"/>
      </dxf>
    </rfmt>
    <rfmt sheetId="1" sqref="H77" start="0" length="0">
      <dxf>
        <numFmt numFmtId="26" formatCode="hh:mm:ss"/>
      </dxf>
    </rfmt>
    <rfmt sheetId="1" sqref="H78" start="0" length="0">
      <dxf>
        <numFmt numFmtId="26" formatCode="hh:mm:ss"/>
      </dxf>
    </rfmt>
    <rfmt sheetId="1" sqref="H79" start="0" length="0">
      <dxf>
        <numFmt numFmtId="26" formatCode="hh:mm:ss"/>
      </dxf>
    </rfmt>
    <rfmt sheetId="1" sqref="H82" start="0" length="0">
      <dxf>
        <numFmt numFmtId="26" formatCode="hh:mm:ss"/>
      </dxf>
    </rfmt>
    <rfmt sheetId="1" sqref="H83" start="0" length="0">
      <dxf>
        <numFmt numFmtId="26" formatCode="hh:mm:ss"/>
      </dxf>
    </rfmt>
    <rfmt sheetId="1" sqref="H84" start="0" length="0">
      <dxf>
        <numFmt numFmtId="26" formatCode="hh:mm:ss"/>
      </dxf>
    </rfmt>
    <rfmt sheetId="1" sqref="H86" start="0" length="0">
      <dxf>
        <numFmt numFmtId="26" formatCode="hh:mm:ss"/>
      </dxf>
    </rfmt>
    <rfmt sheetId="1" sqref="H87" start="0" length="0">
      <dxf>
        <numFmt numFmtId="26" formatCode="hh:mm:ss"/>
      </dxf>
    </rfmt>
    <rfmt sheetId="1" sqref="H88" start="0" length="0">
      <dxf>
        <numFmt numFmtId="26" formatCode="hh:mm:ss"/>
      </dxf>
    </rfmt>
    <rfmt sheetId="1" sqref="H89" start="0" length="0">
      <dxf>
        <numFmt numFmtId="26" formatCode="hh:mm:ss"/>
      </dxf>
    </rfmt>
    <rfmt sheetId="1" sqref="H90" start="0" length="0">
      <dxf>
        <numFmt numFmtId="26" formatCode="hh:mm:ss"/>
      </dxf>
    </rfmt>
    <rfmt sheetId="1" sqref="H91" start="0" length="0">
      <dxf>
        <numFmt numFmtId="26" formatCode="hh:mm:ss"/>
      </dxf>
    </rfmt>
    <rfmt sheetId="1" sqref="H92" start="0" length="0">
      <dxf>
        <numFmt numFmtId="26" formatCode="hh:mm:ss"/>
      </dxf>
    </rfmt>
    <rfmt sheetId="1" sqref="H93" start="0" length="0">
      <dxf>
        <numFmt numFmtId="26" formatCode="hh:mm:ss"/>
      </dxf>
    </rfmt>
    <rfmt sheetId="1" sqref="H95" start="0" length="0">
      <dxf>
        <numFmt numFmtId="26" formatCode="hh:mm:ss"/>
      </dxf>
    </rfmt>
    <rfmt sheetId="1" sqref="H96" start="0" length="0">
      <dxf>
        <numFmt numFmtId="26" formatCode="hh:mm:ss"/>
      </dxf>
    </rfmt>
    <rfmt sheetId="1" sqref="H97" start="0" length="0">
      <dxf>
        <numFmt numFmtId="26" formatCode="hh:mm:ss"/>
      </dxf>
    </rfmt>
    <rfmt sheetId="1" sqref="H102" start="0" length="0">
      <dxf>
        <numFmt numFmtId="26" formatCode="hh:mm:ss"/>
      </dxf>
    </rfmt>
    <rfmt sheetId="1" sqref="H103" start="0" length="0">
      <dxf>
        <numFmt numFmtId="26" formatCode="hh:mm:ss"/>
      </dxf>
    </rfmt>
    <rfmt sheetId="1" sqref="H104" start="0" length="0">
      <dxf>
        <numFmt numFmtId="26" formatCode="hh:mm:ss"/>
      </dxf>
    </rfmt>
    <rfmt sheetId="1" sqref="H106" start="0" length="0">
      <dxf>
        <numFmt numFmtId="26" formatCode="hh:mm:ss"/>
      </dxf>
    </rfmt>
    <rfmt sheetId="1" sqref="H109" start="0" length="0">
      <dxf>
        <numFmt numFmtId="26" formatCode="hh:mm:ss"/>
      </dxf>
    </rfmt>
    <rfmt sheetId="1" sqref="H112" start="0" length="0">
      <dxf>
        <numFmt numFmtId="26" formatCode="hh:mm:ss"/>
      </dxf>
    </rfmt>
    <rfmt sheetId="1" sqref="H113" start="0" length="0">
      <dxf>
        <numFmt numFmtId="26" formatCode="hh:mm:ss"/>
      </dxf>
    </rfmt>
    <rfmt sheetId="1" sqref="H114" start="0" length="0">
      <dxf>
        <numFmt numFmtId="26" formatCode="hh:mm:ss"/>
      </dxf>
    </rfmt>
    <rfmt sheetId="1" sqref="H116" start="0" length="0">
      <dxf>
        <numFmt numFmtId="26" formatCode="hh:mm:ss"/>
      </dxf>
    </rfmt>
    <rfmt sheetId="1" sqref="H122" start="0" length="0">
      <dxf>
        <numFmt numFmtId="26" formatCode="hh:mm:ss"/>
      </dxf>
    </rfmt>
    <rfmt sheetId="1" sqref="H123" start="0" length="0">
      <dxf>
        <numFmt numFmtId="26" formatCode="hh:mm:ss"/>
      </dxf>
    </rfmt>
    <rfmt sheetId="1" sqref="H124" start="0" length="0">
      <dxf>
        <numFmt numFmtId="26" formatCode="hh:mm:ss"/>
      </dxf>
    </rfmt>
    <rfmt sheetId="1" sqref="H125" start="0" length="0">
      <dxf>
        <numFmt numFmtId="26" formatCode="hh:mm:ss"/>
      </dxf>
    </rfmt>
    <rfmt sheetId="1" sqref="H126" start="0" length="0">
      <dxf>
        <numFmt numFmtId="26" formatCode="hh:mm:ss"/>
      </dxf>
    </rfmt>
    <rfmt sheetId="1" sqref="H135" start="0" length="0">
      <dxf>
        <numFmt numFmtId="26" formatCode="hh:mm:ss"/>
      </dxf>
    </rfmt>
    <rfmt sheetId="1" sqref="H136" start="0" length="0">
      <dxf>
        <font>
          <sz val="12"/>
          <color rgb="FF000000"/>
          <name val="Calibri"/>
          <family val="2"/>
          <scheme val="minor"/>
        </font>
      </dxf>
    </rfmt>
    <rfmt sheetId="1" sqref="H137" start="0" length="0">
      <dxf>
        <numFmt numFmtId="26" formatCode="hh:mm:ss"/>
      </dxf>
    </rfmt>
    <rfmt sheetId="1" sqref="H138" start="0" length="0">
      <dxf>
        <numFmt numFmtId="26" formatCode="hh:mm:ss"/>
      </dxf>
    </rfmt>
    <rfmt sheetId="1" sqref="H139" start="0" length="0">
      <dxf>
        <numFmt numFmtId="26" formatCode="hh:mm:ss"/>
      </dxf>
    </rfmt>
    <rfmt sheetId="1" sqref="H140" start="0" length="0">
      <dxf>
        <numFmt numFmtId="26" formatCode="hh:mm:ss"/>
      </dxf>
    </rfmt>
    <rfmt sheetId="1" sqref="H142" start="0" length="0">
      <dxf>
        <numFmt numFmtId="26" formatCode="hh:mm:ss"/>
      </dxf>
    </rfmt>
    <rfmt sheetId="1" sqref="H143" start="0" length="0">
      <dxf>
        <numFmt numFmtId="26" formatCode="hh:mm:ss"/>
      </dxf>
    </rfmt>
    <rfmt sheetId="1" sqref="H144" start="0" length="0">
      <dxf>
        <numFmt numFmtId="26" formatCode="hh:mm:ss"/>
      </dxf>
    </rfmt>
    <rfmt sheetId="1" sqref="H145" start="0" length="0">
      <dxf>
        <numFmt numFmtId="26" formatCode="hh:mm:ss"/>
      </dxf>
    </rfmt>
    <rfmt sheetId="1" sqref="H146" start="0" length="0">
      <dxf>
        <numFmt numFmtId="26" formatCode="hh:mm:ss"/>
      </dxf>
    </rfmt>
    <rfmt sheetId="1" sqref="H148" start="0" length="0">
      <dxf>
        <numFmt numFmtId="26" formatCode="hh:mm:ss"/>
      </dxf>
    </rfmt>
    <rfmt sheetId="1" sqref="H149" start="0" length="0">
      <dxf>
        <numFmt numFmtId="26" formatCode="hh:mm:ss"/>
      </dxf>
    </rfmt>
    <rfmt sheetId="1" sqref="H151" start="0" length="0">
      <dxf>
        <numFmt numFmtId="26" formatCode="hh:mm:ss"/>
      </dxf>
    </rfmt>
    <rfmt sheetId="1" sqref="H153" start="0" length="0">
      <dxf>
        <numFmt numFmtId="26" formatCode="hh:mm:ss"/>
      </dxf>
    </rfmt>
    <rfmt sheetId="1" sqref="H155" start="0" length="0">
      <dxf>
        <numFmt numFmtId="26" formatCode="hh:mm:ss"/>
      </dxf>
    </rfmt>
    <rfmt sheetId="1" sqref="H157" start="0" length="0">
      <dxf>
        <numFmt numFmtId="26" formatCode="hh:mm:ss"/>
      </dxf>
    </rfmt>
    <rfmt sheetId="1" sqref="H160" start="0" length="0">
      <dxf>
        <numFmt numFmtId="26" formatCode="hh:mm:ss"/>
      </dxf>
    </rfmt>
    <rfmt sheetId="1" sqref="H162" start="0" length="0">
      <dxf>
        <numFmt numFmtId="26" formatCode="hh:mm:ss"/>
      </dxf>
    </rfmt>
    <rfmt sheetId="1" sqref="H165" start="0" length="0">
      <dxf>
        <numFmt numFmtId="26" formatCode="hh:mm:ss"/>
      </dxf>
    </rfmt>
    <rfmt sheetId="1" sqref="H166" start="0" length="0">
      <dxf>
        <numFmt numFmtId="26" formatCode="hh:mm:ss"/>
      </dxf>
    </rfmt>
    <rfmt sheetId="1" sqref="H169" start="0" length="0">
      <dxf>
        <numFmt numFmtId="26" formatCode="hh:mm:ss"/>
      </dxf>
    </rfmt>
    <rfmt sheetId="1" sqref="H170" start="0" length="0">
      <dxf>
        <numFmt numFmtId="26" formatCode="hh:mm:ss"/>
      </dxf>
    </rfmt>
    <rfmt sheetId="1" sqref="H175" start="0" length="0">
      <dxf>
        <numFmt numFmtId="26" formatCode="hh:mm:ss"/>
      </dxf>
    </rfmt>
    <rfmt sheetId="1" sqref="H176" start="0" length="0">
      <dxf>
        <numFmt numFmtId="26" formatCode="hh:mm:ss"/>
      </dxf>
    </rfmt>
    <rfmt sheetId="1" sqref="H180" start="0" length="0">
      <dxf>
        <numFmt numFmtId="26" formatCode="hh:mm:ss"/>
      </dxf>
    </rfmt>
    <rfmt sheetId="1" sqref="H182" start="0" length="0">
      <dxf>
        <numFmt numFmtId="26" formatCode="hh:mm:ss"/>
      </dxf>
    </rfmt>
    <rfmt sheetId="1" sqref="H183" start="0" length="0">
      <dxf>
        <numFmt numFmtId="26" formatCode="hh:mm:ss"/>
      </dxf>
    </rfmt>
    <rfmt sheetId="1" sqref="H185" start="0" length="0">
      <dxf>
        <numFmt numFmtId="26" formatCode="hh:mm:ss"/>
      </dxf>
    </rfmt>
    <rfmt sheetId="1" sqref="H188" start="0" length="0">
      <dxf>
        <numFmt numFmtId="26" formatCode="hh:mm:ss"/>
      </dxf>
    </rfmt>
    <rfmt sheetId="1" sqref="H190" start="0" length="0">
      <dxf>
        <numFmt numFmtId="26" formatCode="hh:mm:ss"/>
      </dxf>
    </rfmt>
    <rfmt sheetId="1" sqref="H191" start="0" length="0">
      <dxf>
        <numFmt numFmtId="26" formatCode="hh:mm:ss"/>
      </dxf>
    </rfmt>
    <rfmt sheetId="1" sqref="H193" start="0" length="0">
      <dxf>
        <numFmt numFmtId="26" formatCode="hh:mm:ss"/>
      </dxf>
    </rfmt>
    <rfmt sheetId="1" sqref="H195" start="0" length="0">
      <dxf>
        <numFmt numFmtId="26" formatCode="hh:mm:ss"/>
      </dxf>
    </rfmt>
    <rfmt sheetId="1" sqref="H196" start="0" length="0">
      <dxf>
        <numFmt numFmtId="26" formatCode="hh:mm:ss"/>
      </dxf>
    </rfmt>
    <rfmt sheetId="1" sqref="H198" start="0" length="0">
      <dxf>
        <numFmt numFmtId="26" formatCode="hh:mm:ss"/>
      </dxf>
    </rfmt>
    <rfmt sheetId="1" sqref="H199" start="0" length="0">
      <dxf>
        <numFmt numFmtId="26" formatCode="hh:mm:ss"/>
      </dxf>
    </rfmt>
    <rfmt sheetId="1" sqref="H200" start="0" length="0">
      <dxf>
        <numFmt numFmtId="26" formatCode="hh:mm:ss"/>
      </dxf>
    </rfmt>
    <rfmt sheetId="1" sqref="H201" start="0" length="0">
      <dxf>
        <numFmt numFmtId="26" formatCode="hh:mm:ss"/>
      </dxf>
    </rfmt>
    <rfmt sheetId="1" sqref="H202" start="0" length="0">
      <dxf>
        <numFmt numFmtId="26" formatCode="hh:mm:ss"/>
      </dxf>
    </rfmt>
    <rfmt sheetId="1" sqref="H203" start="0" length="0">
      <dxf>
        <numFmt numFmtId="26" formatCode="hh:mm:ss"/>
      </dxf>
    </rfmt>
    <rfmt sheetId="1" sqref="H205" start="0" length="0">
      <dxf>
        <numFmt numFmtId="26" formatCode="hh:mm:ss"/>
      </dxf>
    </rfmt>
    <rfmt sheetId="1" sqref="H206" start="0" length="0">
      <dxf>
        <numFmt numFmtId="26" formatCode="hh:mm:ss"/>
      </dxf>
    </rfmt>
    <rfmt sheetId="1" sqref="H209" start="0" length="0">
      <dxf>
        <numFmt numFmtId="26" formatCode="hh:mm:ss"/>
      </dxf>
    </rfmt>
    <rfmt sheetId="1" sqref="H210" start="0" length="0">
      <dxf>
        <numFmt numFmtId="26" formatCode="hh:mm:ss"/>
      </dxf>
    </rfmt>
    <rfmt sheetId="1" sqref="H211" start="0" length="0">
      <dxf>
        <numFmt numFmtId="26" formatCode="hh:mm:ss"/>
      </dxf>
    </rfmt>
    <rfmt sheetId="1" sqref="H212" start="0" length="0">
      <dxf>
        <numFmt numFmtId="26" formatCode="hh:mm:ss"/>
      </dxf>
    </rfmt>
    <rfmt sheetId="1" sqref="H213" start="0" length="0">
      <dxf>
        <numFmt numFmtId="26" formatCode="hh:mm:ss"/>
      </dxf>
    </rfmt>
    <rfmt sheetId="1" sqref="H214" start="0" length="0">
      <dxf>
        <numFmt numFmtId="26" formatCode="hh:mm:ss"/>
      </dxf>
    </rfmt>
    <rfmt sheetId="1" sqref="H216" start="0" length="0">
      <dxf>
        <numFmt numFmtId="26" formatCode="hh:mm:ss"/>
      </dxf>
    </rfmt>
    <rfmt sheetId="1" sqref="H217" start="0" length="0">
      <dxf>
        <numFmt numFmtId="26" formatCode="hh:mm:ss"/>
      </dxf>
    </rfmt>
    <rfmt sheetId="1" sqref="H218" start="0" length="0">
      <dxf>
        <numFmt numFmtId="26" formatCode="hh:mm:ss"/>
      </dxf>
    </rfmt>
    <rfmt sheetId="1" sqref="H221" start="0" length="0">
      <dxf>
        <numFmt numFmtId="26" formatCode="hh:mm:ss"/>
      </dxf>
    </rfmt>
    <rfmt sheetId="1" sqref="H222" start="0" length="0">
      <dxf>
        <numFmt numFmtId="26" formatCode="hh:mm:ss"/>
      </dxf>
    </rfmt>
    <rfmt sheetId="1" sqref="H224" start="0" length="0">
      <dxf>
        <numFmt numFmtId="26" formatCode="hh:mm:ss"/>
      </dxf>
    </rfmt>
    <rfmt sheetId="1" sqref="H225" start="0" length="0">
      <dxf>
        <numFmt numFmtId="26" formatCode="hh:mm:ss"/>
      </dxf>
    </rfmt>
    <rfmt sheetId="1" sqref="H226" start="0" length="0">
      <dxf>
        <numFmt numFmtId="26" formatCode="hh:mm:ss"/>
      </dxf>
    </rfmt>
    <rfmt sheetId="1" sqref="H227" start="0" length="0">
      <dxf>
        <numFmt numFmtId="26" formatCode="hh:mm:ss"/>
      </dxf>
    </rfmt>
    <rfmt sheetId="1" sqref="H228" start="0" length="0">
      <dxf>
        <numFmt numFmtId="26" formatCode="hh:mm:ss"/>
      </dxf>
    </rfmt>
    <rfmt sheetId="1" sqref="H229" start="0" length="0">
      <dxf>
        <numFmt numFmtId="26" formatCode="hh:mm:ss"/>
      </dxf>
    </rfmt>
    <rfmt sheetId="1" sqref="H230" start="0" length="0">
      <dxf>
        <numFmt numFmtId="26" formatCode="hh:mm:ss"/>
      </dxf>
    </rfmt>
    <rfmt sheetId="1" sqref="H231" start="0" length="0">
      <dxf>
        <numFmt numFmtId="26" formatCode="hh:mm:ss"/>
      </dxf>
    </rfmt>
    <rfmt sheetId="1" sqref="H232" start="0" length="0">
      <dxf>
        <numFmt numFmtId="26" formatCode="hh:mm:ss"/>
      </dxf>
    </rfmt>
    <rfmt sheetId="1" sqref="H233" start="0" length="0">
      <dxf>
        <numFmt numFmtId="26" formatCode="hh:mm:ss"/>
      </dxf>
    </rfmt>
    <rfmt sheetId="1" sqref="H234" start="0" length="0">
      <dxf>
        <numFmt numFmtId="26" formatCode="hh:mm:ss"/>
      </dxf>
    </rfmt>
    <rfmt sheetId="1" sqref="H236" start="0" length="0">
      <dxf>
        <numFmt numFmtId="26" formatCode="hh:mm:ss"/>
      </dxf>
    </rfmt>
    <rfmt sheetId="1" sqref="H238" start="0" length="0">
      <dxf>
        <numFmt numFmtId="26" formatCode="hh:mm:ss"/>
      </dxf>
    </rfmt>
    <rfmt sheetId="1" sqref="H242" start="0" length="0">
      <dxf>
        <numFmt numFmtId="26" formatCode="hh:mm:ss"/>
      </dxf>
    </rfmt>
    <rfmt sheetId="1" sqref="H243" start="0" length="0">
      <dxf>
        <numFmt numFmtId="26" formatCode="hh:mm:ss"/>
      </dxf>
    </rfmt>
    <rfmt sheetId="1" sqref="H244" start="0" length="0">
      <dxf>
        <numFmt numFmtId="26" formatCode="hh:mm:ss"/>
      </dxf>
    </rfmt>
    <rfmt sheetId="1" sqref="H245" start="0" length="0">
      <dxf>
        <numFmt numFmtId="26" formatCode="hh:mm:ss"/>
      </dxf>
    </rfmt>
    <rfmt sheetId="1" sqref="H248" start="0" length="0">
      <dxf>
        <numFmt numFmtId="26" formatCode="hh:mm:ss"/>
      </dxf>
    </rfmt>
    <rfmt sheetId="1" sqref="H249" start="0" length="0">
      <dxf>
        <numFmt numFmtId="26" formatCode="hh:mm:ss"/>
      </dxf>
    </rfmt>
    <rfmt sheetId="1" sqref="H250" start="0" length="0">
      <dxf>
        <numFmt numFmtId="26" formatCode="hh:mm:ss"/>
      </dxf>
    </rfmt>
    <rfmt sheetId="1" sqref="H252" start="0" length="0">
      <dxf>
        <numFmt numFmtId="26" formatCode="hh:mm:ss"/>
      </dxf>
    </rfmt>
    <rfmt sheetId="1" sqref="H253" start="0" length="0">
      <dxf>
        <numFmt numFmtId="26" formatCode="hh:mm:ss"/>
      </dxf>
    </rfmt>
    <rfmt sheetId="1" sqref="H256" start="0" length="0">
      <dxf>
        <numFmt numFmtId="26" formatCode="hh:mm:ss"/>
      </dxf>
    </rfmt>
    <rfmt sheetId="1" sqref="H257" start="0" length="0">
      <dxf>
        <numFmt numFmtId="26" formatCode="hh:mm:ss"/>
      </dxf>
    </rfmt>
    <rfmt sheetId="1" sqref="H261" start="0" length="0">
      <dxf>
        <numFmt numFmtId="26" formatCode="hh:mm:ss"/>
      </dxf>
    </rfmt>
    <rfmt sheetId="1" sqref="H262" start="0" length="0">
      <dxf>
        <numFmt numFmtId="26" formatCode="hh:mm:ss"/>
      </dxf>
    </rfmt>
    <rfmt sheetId="1" sqref="H264" start="0" length="0">
      <dxf>
        <numFmt numFmtId="26" formatCode="hh:mm:ss"/>
      </dxf>
    </rfmt>
    <rfmt sheetId="1" sqref="H265" start="0" length="0">
      <dxf>
        <numFmt numFmtId="26" formatCode="hh:mm:ss"/>
      </dxf>
    </rfmt>
    <rfmt sheetId="1" sqref="H266" start="0" length="0">
      <dxf>
        <numFmt numFmtId="26" formatCode="hh:mm:ss"/>
      </dxf>
    </rfmt>
    <rfmt sheetId="1" sqref="H267" start="0" length="0">
      <dxf>
        <numFmt numFmtId="26" formatCode="hh:mm:ss"/>
      </dxf>
    </rfmt>
    <rfmt sheetId="1" sqref="H269" start="0" length="0">
      <dxf>
        <numFmt numFmtId="26" formatCode="hh:mm:ss"/>
      </dxf>
    </rfmt>
    <rfmt sheetId="1" sqref="H270" start="0" length="0">
      <dxf>
        <numFmt numFmtId="26" formatCode="hh:mm:ss"/>
      </dxf>
    </rfmt>
    <rfmt sheetId="1" sqref="H279" start="0" length="0">
      <dxf>
        <numFmt numFmtId="26" formatCode="hh:mm:ss"/>
      </dxf>
    </rfmt>
    <rfmt sheetId="1" sqref="H281" start="0" length="0">
      <dxf>
        <numFmt numFmtId="26" formatCode="hh:mm:ss"/>
      </dxf>
    </rfmt>
    <rfmt sheetId="1" sqref="H282" start="0" length="0">
      <dxf>
        <numFmt numFmtId="26" formatCode="hh:mm:ss"/>
      </dxf>
    </rfmt>
    <rfmt sheetId="1" sqref="H285" start="0" length="0">
      <dxf>
        <numFmt numFmtId="26" formatCode="hh:mm:ss"/>
      </dxf>
    </rfmt>
    <rfmt sheetId="1" sqref="H286" start="0" length="0">
      <dxf>
        <numFmt numFmtId="26" formatCode="hh:mm:ss"/>
      </dxf>
    </rfmt>
    <rfmt sheetId="1" sqref="H288" start="0" length="0">
      <dxf>
        <numFmt numFmtId="26" formatCode="hh:mm:ss"/>
      </dxf>
    </rfmt>
    <rfmt sheetId="1" sqref="H289" start="0" length="0">
      <dxf>
        <numFmt numFmtId="26" formatCode="hh:mm:ss"/>
      </dxf>
    </rfmt>
    <rfmt sheetId="1" sqref="H291" start="0" length="0">
      <dxf>
        <numFmt numFmtId="26" formatCode="hh:mm:ss"/>
      </dxf>
    </rfmt>
    <rfmt sheetId="1" sqref="H293" start="0" length="0">
      <dxf>
        <numFmt numFmtId="26" formatCode="hh:mm:ss"/>
      </dxf>
    </rfmt>
    <rfmt sheetId="1" sqref="H296" start="0" length="0">
      <dxf>
        <numFmt numFmtId="26" formatCode="hh:mm:ss"/>
      </dxf>
    </rfmt>
    <rfmt sheetId="1" sqref="H297" start="0" length="0">
      <dxf>
        <numFmt numFmtId="26" formatCode="hh:mm:ss"/>
      </dxf>
    </rfmt>
    <rfmt sheetId="1" sqref="H298" start="0" length="0">
      <dxf>
        <numFmt numFmtId="26" formatCode="hh:mm:ss"/>
      </dxf>
    </rfmt>
    <rfmt sheetId="1" sqref="H299" start="0" length="0">
      <dxf>
        <numFmt numFmtId="26" formatCode="hh:mm:ss"/>
      </dxf>
    </rfmt>
    <rfmt sheetId="1" sqref="H301" start="0" length="0">
      <dxf>
        <numFmt numFmtId="26" formatCode="hh:mm:ss"/>
      </dxf>
    </rfmt>
    <rfmt sheetId="1" sqref="H302" start="0" length="0">
      <dxf>
        <numFmt numFmtId="26" formatCode="hh:mm:ss"/>
      </dxf>
    </rfmt>
    <rfmt sheetId="1" sqref="H303" start="0" length="0">
      <dxf>
        <numFmt numFmtId="26" formatCode="hh:mm:ss"/>
      </dxf>
    </rfmt>
    <rfmt sheetId="1" sqref="H304" start="0" length="0">
      <dxf>
        <numFmt numFmtId="26" formatCode="hh:mm:ss"/>
      </dxf>
    </rfmt>
    <rfmt sheetId="1" sqref="H306" start="0" length="0">
      <dxf>
        <numFmt numFmtId="26" formatCode="hh:mm:ss"/>
      </dxf>
    </rfmt>
    <rfmt sheetId="1" sqref="H307" start="0" length="0">
      <dxf>
        <numFmt numFmtId="26" formatCode="hh:mm:ss"/>
      </dxf>
    </rfmt>
    <rfmt sheetId="1" sqref="H308" start="0" length="0">
      <dxf>
        <numFmt numFmtId="26" formatCode="hh:mm:ss"/>
      </dxf>
    </rfmt>
    <rfmt sheetId="1" sqref="H310" start="0" length="0">
      <dxf>
        <numFmt numFmtId="26" formatCode="hh:mm:ss"/>
      </dxf>
    </rfmt>
    <rfmt sheetId="1" sqref="H314" start="0" length="0">
      <dxf>
        <numFmt numFmtId="26" formatCode="hh:mm:ss"/>
      </dxf>
    </rfmt>
    <rfmt sheetId="1" sqref="H317" start="0" length="0">
      <dxf>
        <numFmt numFmtId="26" formatCode="hh:mm:ss"/>
      </dxf>
    </rfmt>
    <rfmt sheetId="1" sqref="H318" start="0" length="0">
      <dxf>
        <numFmt numFmtId="26" formatCode="hh:mm:ss"/>
      </dxf>
    </rfmt>
    <rfmt sheetId="1" sqref="H320" start="0" length="0">
      <dxf>
        <numFmt numFmtId="26" formatCode="hh:mm:ss"/>
      </dxf>
    </rfmt>
    <rfmt sheetId="1" sqref="H321" start="0" length="0">
      <dxf>
        <numFmt numFmtId="26" formatCode="hh:mm:ss"/>
      </dxf>
    </rfmt>
    <rfmt sheetId="1" sqref="H323" start="0" length="0">
      <dxf>
        <numFmt numFmtId="26" formatCode="hh:mm:ss"/>
      </dxf>
    </rfmt>
    <rfmt sheetId="1" sqref="H326" start="0" length="0">
      <dxf>
        <numFmt numFmtId="26" formatCode="hh:mm:ss"/>
      </dxf>
    </rfmt>
    <rfmt sheetId="1" sqref="H328" start="0" length="0">
      <dxf>
        <numFmt numFmtId="26" formatCode="hh:mm:ss"/>
      </dxf>
    </rfmt>
    <rfmt sheetId="1" sqref="H330" start="0" length="0">
      <dxf>
        <numFmt numFmtId="26" formatCode="hh:mm:ss"/>
      </dxf>
    </rfmt>
    <rfmt sheetId="1" sqref="H331" start="0" length="0">
      <dxf>
        <numFmt numFmtId="26" formatCode="hh:mm:ss"/>
      </dxf>
    </rfmt>
    <rfmt sheetId="1" sqref="H332" start="0" length="0">
      <dxf>
        <numFmt numFmtId="26" formatCode="hh:mm:ss"/>
      </dxf>
    </rfmt>
    <rfmt sheetId="1" sqref="H334" start="0" length="0">
      <dxf>
        <numFmt numFmtId="26" formatCode="hh:mm:ss"/>
      </dxf>
    </rfmt>
    <rfmt sheetId="1" sqref="H335" start="0" length="0">
      <dxf>
        <numFmt numFmtId="26" formatCode="hh:mm:ss"/>
      </dxf>
    </rfmt>
    <rfmt sheetId="1" sqref="H336" start="0" length="0">
      <dxf>
        <numFmt numFmtId="26" formatCode="hh:mm:ss"/>
      </dxf>
    </rfmt>
    <rfmt sheetId="1" sqref="H337" start="0" length="0">
      <dxf>
        <numFmt numFmtId="26" formatCode="hh:mm:ss"/>
      </dxf>
    </rfmt>
  </rm>
  <rrc rId="4304" sId="1" ref="J1:J1048576" action="deleteCol">
    <rfmt sheetId="1" xfDxf="1" sqref="J1:J1048576" start="0" length="0"/>
    <rfmt sheetId="1" sqref="J28" start="0" length="0">
      <dxf>
        <font>
          <sz val="12"/>
          <color rgb="FFFF0000"/>
          <name val="Calibri"/>
          <family val="2"/>
          <scheme val="minor"/>
        </font>
        <alignment horizontal="left" vertical="top"/>
      </dxf>
    </rfmt>
    <rfmt sheetId="1" sqref="J43" start="0" length="0">
      <dxf>
        <font>
          <sz val="12"/>
          <color rgb="FFFF0000"/>
          <name val="Calibri"/>
          <family val="2"/>
          <scheme val="minor"/>
        </font>
        <alignment horizontal="left" vertical="top"/>
      </dxf>
    </rfmt>
  </rrc>
  <rcc rId="4305" sId="1">
    <oc r="K1" t="inlineStr">
      <is>
        <t>elapse_t_dep</t>
      </is>
    </oc>
    <nc r="K1" t="inlineStr">
      <is>
        <t>ELTD</t>
      </is>
    </nc>
  </rcc>
  <rcc rId="4306" sId="1">
    <oc r="L1" t="inlineStr">
      <is>
        <t>elapse_t_ret</t>
      </is>
    </oc>
    <nc r="L1" t="inlineStr">
      <is>
        <t>ELTR</t>
      </is>
    </nc>
  </rcc>
  <rrc rId="4307" sId="1" ref="I1:J1048576" action="insertCol"/>
  <rm rId="4308" sheetId="1" source="M1:N1048576" destination="I1:J1048576" sourceSheetId="1">
    <rfmt sheetId="1" xfDxf="1" sqref="I1:I1048576" start="0" length="0">
      <dxf>
        <numFmt numFmtId="164" formatCode="[$-F400]h:mm:ss\ AM/PM"/>
        <alignment horizontal="left"/>
      </dxf>
    </rfmt>
    <rfmt sheetId="1" xfDxf="1" sqref="I1:I1048576" start="0" length="0">
      <dxf>
        <numFmt numFmtId="164" formatCode="[$-F400]h:mm:ss\ AM/PM"/>
        <alignment horizontal="left"/>
      </dxf>
    </rfmt>
    <rfmt sheetId="1" sqref="I100" start="0" length="0">
      <dxf>
        <numFmt numFmtId="0" formatCode="General"/>
      </dxf>
    </rfmt>
    <rfmt sheetId="1" sqref="J100" start="0" length="0">
      <dxf>
        <numFmt numFmtId="0" formatCode="General"/>
      </dxf>
    </rfmt>
    <rfmt sheetId="1" sqref="I101" start="0" length="0">
      <dxf>
        <numFmt numFmtId="0" formatCode="General"/>
      </dxf>
    </rfmt>
    <rfmt sheetId="1" sqref="J101" start="0" length="0">
      <dxf>
        <numFmt numFmtId="0" formatCode="General"/>
      </dxf>
    </rfmt>
    <rfmt sheetId="1" sqref="I127" start="0" length="0">
      <dxf>
        <numFmt numFmtId="0" formatCode="General"/>
      </dxf>
    </rfmt>
    <rfmt sheetId="1" sqref="J127" start="0" length="0">
      <dxf>
        <numFmt numFmtId="0" formatCode="General"/>
      </dxf>
    </rfmt>
    <rfmt sheetId="1" sqref="I128" start="0" length="0">
      <dxf>
        <numFmt numFmtId="0" formatCode="General"/>
      </dxf>
    </rfmt>
    <rfmt sheetId="1" sqref="J128" start="0" length="0">
      <dxf>
        <numFmt numFmtId="0" formatCode="General"/>
      </dxf>
    </rfmt>
  </rm>
  <rrc rId="4309" sId="1" ref="M1:M1048576" action="deleteCol">
    <rfmt sheetId="1" xfDxf="1" sqref="M1:M1048576" start="0" length="0"/>
    <rfmt sheetId="1" sqref="M28" start="0" length="0">
      <dxf>
        <font>
          <sz val="12"/>
          <color rgb="FFFF0000"/>
          <name val="Calibri"/>
          <family val="2"/>
          <scheme val="minor"/>
        </font>
        <alignment horizontal="left" vertical="top"/>
      </dxf>
    </rfmt>
    <rfmt sheetId="1" sqref="M43" start="0" length="0">
      <dxf>
        <font>
          <sz val="12"/>
          <color rgb="FFFF0000"/>
          <name val="Calibri"/>
          <family val="2"/>
          <scheme val="minor"/>
        </font>
        <alignment horizontal="left" vertical="top"/>
      </dxf>
    </rfmt>
  </rrc>
  <rrc rId="4310" sId="1" ref="M1:M1048576" action="deleteCol">
    <rfmt sheetId="1" xfDxf="1" sqref="M1:M1048576" start="0" length="0"/>
    <rfmt sheetId="1" sqref="M28" start="0" length="0">
      <dxf>
        <font>
          <sz val="12"/>
          <color rgb="FFFF0000"/>
          <name val="Calibri"/>
          <family val="2"/>
          <scheme val="minor"/>
        </font>
        <alignment horizontal="left" vertical="top"/>
      </dxf>
    </rfmt>
    <rfmt sheetId="1" sqref="M43" start="0" length="0">
      <dxf>
        <font>
          <sz val="12"/>
          <color rgb="FFFF0000"/>
          <name val="Calibri"/>
          <family val="2"/>
          <scheme val="minor"/>
        </font>
        <alignment horizontal="left" vertical="top"/>
      </dxf>
    </rfmt>
  </rrc>
  <rrc rId="4311" sId="1" ref="W1:W1048576" action="insertCol"/>
  <rm rId="4312" sheetId="1" source="K1:K1048576" destination="W1:W1048576" sourceSheetId="1">
    <rfmt sheetId="1" xfDxf="1" sqref="W1:W1048576" start="0" length="0">
      <dxf>
        <alignment horizontal="left"/>
      </dxf>
    </rfmt>
    <rfmt sheetId="1" sqref="W47" start="0" length="0">
      <dxf>
        <font>
          <sz val="12"/>
          <color rgb="FFFF0000"/>
          <name val="Calibri"/>
          <family val="2"/>
          <scheme val="minor"/>
        </font>
      </dxf>
    </rfmt>
    <rfmt sheetId="1" sqref="W122" start="0" length="0">
      <dxf>
        <alignment wrapText="1"/>
      </dxf>
    </rfmt>
    <rfmt sheetId="1" sqref="W269" start="0" length="0">
      <dxf>
        <numFmt numFmtId="2" formatCode="0.00"/>
      </dxf>
    </rfmt>
    <rfmt sheetId="1" sqref="W270" start="0" length="0">
      <dxf>
        <numFmt numFmtId="2" formatCode="0.00"/>
      </dxf>
    </rfmt>
    <rfmt sheetId="1" sqref="W271" start="0" length="0">
      <dxf>
        <numFmt numFmtId="2" formatCode="0.00"/>
      </dxf>
    </rfmt>
    <rfmt sheetId="1" sqref="W272" start="0" length="0">
      <dxf>
        <numFmt numFmtId="2" formatCode="0.00"/>
      </dxf>
    </rfmt>
  </rm>
  <rrc rId="4313" sId="1" ref="K1:K1048576" action="deleteCol">
    <rfmt sheetId="1" xfDxf="1" sqref="K1:K1048576" start="0" length="0"/>
    <rfmt sheetId="1" sqref="K28" start="0" length="0">
      <dxf>
        <font>
          <sz val="12"/>
          <color rgb="FFFF0000"/>
          <name val="Calibri"/>
          <family val="2"/>
          <scheme val="minor"/>
        </font>
        <alignment horizontal="left" vertical="top"/>
      </dxf>
    </rfmt>
    <rfmt sheetId="1" sqref="K43" start="0" length="0">
      <dxf>
        <font>
          <sz val="12"/>
          <color rgb="FFFF0000"/>
          <name val="Calibri"/>
          <family val="2"/>
          <scheme val="minor"/>
        </font>
        <alignment horizontal="left" vertical="top"/>
      </dxf>
    </rfmt>
  </rrc>
  <rrc rId="4314" sId="1" ref="M1:M1048576" action="insertCol"/>
  <rm rId="4315" sheetId="1" source="O1:O1048576" destination="M1:M1048576" sourceSheetId="1">
    <rfmt sheetId="1" xfDxf="1" sqref="M1:M1048576" start="0" length="0">
      <dxf>
        <alignment horizontal="left"/>
      </dxf>
    </rfmt>
    <rfmt sheetId="1" sqref="M131" start="0" length="0">
      <dxf>
        <font>
          <sz val="12"/>
          <color rgb="FF000000"/>
          <name val="Calibri"/>
          <family val="2"/>
          <scheme val="minor"/>
        </font>
      </dxf>
    </rfmt>
    <rfmt sheetId="1" sqref="M133" start="0" length="0">
      <dxf>
        <font>
          <sz val="12"/>
          <color rgb="FF000000"/>
          <name val="Calibri"/>
          <family val="2"/>
          <scheme val="minor"/>
        </font>
      </dxf>
    </rfmt>
    <rfmt sheetId="1" sqref="M136" start="0" length="0">
      <dxf>
        <font>
          <sz val="12"/>
          <color rgb="FF000000"/>
          <name val="Calibri"/>
          <family val="2"/>
          <scheme val="minor"/>
        </font>
      </dxf>
    </rfmt>
    <rfmt sheetId="1" sqref="M138" start="0" length="0">
      <dxf>
        <font>
          <sz val="12"/>
          <color rgb="FF000000"/>
          <name val="Calibri"/>
          <family val="2"/>
          <scheme val="minor"/>
        </font>
      </dxf>
    </rfmt>
    <rfmt sheetId="1" sqref="M142" start="0" length="0">
      <dxf>
        <fill>
          <patternFill patternType="solid">
            <bgColor rgb="FFFFFF00"/>
          </patternFill>
        </fill>
      </dxf>
    </rfmt>
    <rfmt sheetId="1" sqref="M143" start="0" length="0">
      <dxf>
        <fill>
          <patternFill patternType="solid">
            <bgColor rgb="FFFFFF00"/>
          </patternFill>
        </fill>
      </dxf>
    </rfmt>
    <rfmt sheetId="1" sqref="M226" start="0" length="0">
      <dxf>
        <numFmt numFmtId="26" formatCode="hh:mm:ss"/>
      </dxf>
    </rfmt>
  </rm>
  <rrc rId="4316" sId="1" ref="O1:O1048576" action="deleteCol">
    <rfmt sheetId="1" xfDxf="1" sqref="O1:O1048576" start="0" length="0"/>
    <rfmt sheetId="1" sqref="O28" start="0" length="0">
      <dxf>
        <font>
          <sz val="12"/>
          <color rgb="FFFF0000"/>
          <name val="Calibri"/>
          <family val="2"/>
          <scheme val="minor"/>
        </font>
        <alignment horizontal="left" vertical="top"/>
      </dxf>
    </rfmt>
    <rfmt sheetId="1" sqref="O43" start="0" length="0">
      <dxf>
        <font>
          <sz val="12"/>
          <color rgb="FFFF0000"/>
          <name val="Calibri"/>
          <family val="2"/>
          <scheme val="minor"/>
        </font>
        <alignment horizontal="left" vertical="top"/>
      </dxf>
    </rfmt>
  </rrc>
  <rrc rId="4317" sId="1" ref="R1:R1048576" action="deleteCol">
    <rfmt sheetId="1" xfDxf="1" sqref="R1:R1048576" start="0" length="0">
      <dxf>
        <numFmt numFmtId="2" formatCode="0.00"/>
        <alignment horizontal="left"/>
      </dxf>
    </rfmt>
    <rcc rId="0" sId="1">
      <nc r="R1" t="inlineStr">
        <is>
          <t>cycle_width</t>
        </is>
      </nc>
    </rcc>
    <rfmt sheetId="1" sqref="R19" start="0" length="0">
      <dxf>
        <numFmt numFmtId="0" formatCode="General"/>
      </dxf>
    </rfmt>
    <rfmt sheetId="1" sqref="R21" start="0" length="0">
      <dxf>
        <numFmt numFmtId="0" formatCode="General"/>
      </dxf>
    </rfmt>
    <rfmt sheetId="1" sqref="R23" start="0" length="0">
      <dxf>
        <numFmt numFmtId="0" formatCode="General"/>
      </dxf>
    </rfmt>
    <rfmt sheetId="1" sqref="R24" start="0" length="0">
      <dxf>
        <numFmt numFmtId="0" formatCode="General"/>
      </dxf>
    </rfmt>
    <rfmt sheetId="1" sqref="R25" start="0" length="0">
      <dxf>
        <numFmt numFmtId="0" formatCode="General"/>
      </dxf>
    </rfmt>
    <rfmt sheetId="1" sqref="R29" start="0" length="0">
      <dxf>
        <numFmt numFmtId="0" formatCode="General"/>
      </dxf>
    </rfmt>
    <rfmt sheetId="1" sqref="R30" start="0" length="0">
      <dxf>
        <numFmt numFmtId="0" formatCode="General"/>
      </dxf>
    </rfmt>
    <rfmt sheetId="1" sqref="R32" start="0" length="0">
      <dxf>
        <numFmt numFmtId="0" formatCode="General"/>
      </dxf>
    </rfmt>
    <rfmt sheetId="1" sqref="R33" start="0" length="0">
      <dxf>
        <numFmt numFmtId="0" formatCode="General"/>
      </dxf>
    </rfmt>
    <rfmt sheetId="1" sqref="R36" start="0" length="0">
      <dxf>
        <numFmt numFmtId="0" formatCode="General"/>
      </dxf>
    </rfmt>
    <rfmt sheetId="1" sqref="R37" start="0" length="0">
      <dxf>
        <numFmt numFmtId="0" formatCode="General"/>
      </dxf>
    </rfmt>
    <rfmt sheetId="1" sqref="R38" start="0" length="0">
      <dxf>
        <numFmt numFmtId="0" formatCode="General"/>
      </dxf>
    </rfmt>
    <rfmt sheetId="1" sqref="R39" start="0" length="0">
      <dxf>
        <numFmt numFmtId="0" formatCode="General"/>
      </dxf>
    </rfmt>
    <rfmt sheetId="1" sqref="R40" start="0" length="0">
      <dxf>
        <numFmt numFmtId="0" formatCode="General"/>
      </dxf>
    </rfmt>
    <rfmt sheetId="1" sqref="R41" start="0" length="0">
      <dxf>
        <numFmt numFmtId="0" formatCode="General"/>
      </dxf>
    </rfmt>
    <rfmt sheetId="1" sqref="R42" start="0" length="0">
      <dxf>
        <numFmt numFmtId="0" formatCode="General"/>
      </dxf>
    </rfmt>
    <rfmt sheetId="1" sqref="R43" start="0" length="0">
      <dxf>
        <numFmt numFmtId="0" formatCode="General"/>
      </dxf>
    </rfmt>
    <rfmt sheetId="1" sqref="R44" start="0" length="0">
      <dxf>
        <numFmt numFmtId="0" formatCode="General"/>
      </dxf>
    </rfmt>
    <rfmt sheetId="1" sqref="R45" start="0" length="0">
      <dxf>
        <numFmt numFmtId="0" formatCode="General"/>
      </dxf>
    </rfmt>
    <rfmt sheetId="1" sqref="R46" start="0" length="0">
      <dxf>
        <numFmt numFmtId="0" formatCode="General"/>
      </dxf>
    </rfmt>
    <rfmt sheetId="1" sqref="R47" start="0" length="0">
      <dxf>
        <numFmt numFmtId="0" formatCode="General"/>
      </dxf>
    </rfmt>
    <rfmt sheetId="1" sqref="R48" start="0" length="0">
      <dxf>
        <numFmt numFmtId="0" formatCode="General"/>
      </dxf>
    </rfmt>
    <rfmt sheetId="1" sqref="R49" start="0" length="0">
      <dxf>
        <numFmt numFmtId="0" formatCode="General"/>
      </dxf>
    </rfmt>
    <rfmt sheetId="1" sqref="R50" start="0" length="0">
      <dxf>
        <numFmt numFmtId="0" formatCode="General"/>
      </dxf>
    </rfmt>
    <rfmt sheetId="1" sqref="R51" start="0" length="0">
      <dxf>
        <numFmt numFmtId="0" formatCode="General"/>
      </dxf>
    </rfmt>
    <rfmt sheetId="1" sqref="R52" start="0" length="0">
      <dxf>
        <numFmt numFmtId="0" formatCode="General"/>
      </dxf>
    </rfmt>
    <rfmt sheetId="1" sqref="R53" start="0" length="0">
      <dxf>
        <numFmt numFmtId="0" formatCode="General"/>
      </dxf>
    </rfmt>
    <rfmt sheetId="1" sqref="R54" start="0" length="0">
      <dxf>
        <numFmt numFmtId="0" formatCode="General"/>
      </dxf>
    </rfmt>
    <rfmt sheetId="1" sqref="R55" start="0" length="0">
      <dxf>
        <numFmt numFmtId="0" formatCode="General"/>
      </dxf>
    </rfmt>
    <rfmt sheetId="1" sqref="R56" start="0" length="0">
      <dxf>
        <numFmt numFmtId="0" formatCode="General"/>
      </dxf>
    </rfmt>
    <rfmt sheetId="1" sqref="R57" start="0" length="0">
      <dxf>
        <numFmt numFmtId="0" formatCode="General"/>
      </dxf>
    </rfmt>
    <rfmt sheetId="1" sqref="R58" start="0" length="0">
      <dxf>
        <numFmt numFmtId="0" formatCode="General"/>
      </dxf>
    </rfmt>
    <rfmt sheetId="1" sqref="R59" start="0" length="0">
      <dxf>
        <numFmt numFmtId="0" formatCode="General"/>
      </dxf>
    </rfmt>
    <rfmt sheetId="1" sqref="R60" start="0" length="0">
      <dxf>
        <numFmt numFmtId="0" formatCode="General"/>
      </dxf>
    </rfmt>
    <rfmt sheetId="1" sqref="R61" start="0" length="0">
      <dxf>
        <numFmt numFmtId="0" formatCode="General"/>
      </dxf>
    </rfmt>
    <rfmt sheetId="1" sqref="R62" start="0" length="0">
      <dxf>
        <numFmt numFmtId="0" formatCode="General"/>
      </dxf>
    </rfmt>
    <rfmt sheetId="1" sqref="R63" start="0" length="0">
      <dxf>
        <numFmt numFmtId="0" formatCode="General"/>
      </dxf>
    </rfmt>
    <rfmt sheetId="1" sqref="R66" start="0" length="0">
      <dxf>
        <numFmt numFmtId="0" formatCode="General"/>
      </dxf>
    </rfmt>
    <rfmt sheetId="1" sqref="R67" start="0" length="0">
      <dxf>
        <numFmt numFmtId="0" formatCode="General"/>
      </dxf>
    </rfmt>
    <rfmt sheetId="1" sqref="R68" start="0" length="0">
      <dxf>
        <numFmt numFmtId="0" formatCode="General"/>
      </dxf>
    </rfmt>
    <rfmt sheetId="1" sqref="R69" start="0" length="0">
      <dxf>
        <numFmt numFmtId="0" formatCode="General"/>
      </dxf>
    </rfmt>
    <rfmt sheetId="1" sqref="R70" start="0" length="0">
      <dxf>
        <numFmt numFmtId="0" formatCode="General"/>
      </dxf>
    </rfmt>
    <rfmt sheetId="1" sqref="R71" start="0" length="0">
      <dxf>
        <numFmt numFmtId="0" formatCode="General"/>
      </dxf>
    </rfmt>
    <rfmt sheetId="1" sqref="R72" start="0" length="0">
      <dxf>
        <numFmt numFmtId="0" formatCode="General"/>
      </dxf>
    </rfmt>
    <rfmt sheetId="1" sqref="R73" start="0" length="0">
      <dxf>
        <numFmt numFmtId="0" formatCode="General"/>
      </dxf>
    </rfmt>
    <rfmt sheetId="1" sqref="R74" start="0" length="0">
      <dxf>
        <font>
          <sz val="12"/>
          <color rgb="FFFF0000"/>
          <name val="Calibri"/>
          <family val="2"/>
          <scheme val="minor"/>
        </font>
        <numFmt numFmtId="0" formatCode="General"/>
      </dxf>
    </rfmt>
    <rfmt sheetId="1" sqref="R75" start="0" length="0">
      <dxf>
        <font>
          <sz val="12"/>
          <color rgb="FFFF0000"/>
          <name val="Calibri"/>
          <family val="2"/>
          <scheme val="minor"/>
        </font>
        <numFmt numFmtId="0" formatCode="General"/>
      </dxf>
    </rfmt>
    <rfmt sheetId="1" sqref="R76" start="0" length="0">
      <dxf>
        <font>
          <sz val="12"/>
          <color rgb="FFFF0000"/>
          <name val="Calibri"/>
          <family val="2"/>
          <scheme val="minor"/>
        </font>
        <numFmt numFmtId="0" formatCode="General"/>
      </dxf>
    </rfmt>
    <rfmt sheetId="1" sqref="R77" start="0" length="0">
      <dxf>
        <numFmt numFmtId="0" formatCode="General"/>
      </dxf>
    </rfmt>
    <rfmt sheetId="1" sqref="R78" start="0" length="0">
      <dxf>
        <font>
          <sz val="12"/>
          <color rgb="FFFF0000"/>
          <name val="Calibri"/>
          <family val="2"/>
          <scheme val="minor"/>
        </font>
        <numFmt numFmtId="0" formatCode="General"/>
      </dxf>
    </rfmt>
    <rfmt sheetId="1" sqref="R79" start="0" length="0">
      <dxf>
        <numFmt numFmtId="0" formatCode="General"/>
      </dxf>
    </rfmt>
    <rfmt sheetId="1" sqref="R80" start="0" length="0">
      <dxf>
        <numFmt numFmtId="0" formatCode="General"/>
      </dxf>
    </rfmt>
    <rfmt sheetId="1" sqref="R81" start="0" length="0">
      <dxf>
        <numFmt numFmtId="0" formatCode="General"/>
      </dxf>
    </rfmt>
    <rfmt sheetId="1" sqref="R82" start="0" length="0">
      <dxf>
        <numFmt numFmtId="0" formatCode="General"/>
      </dxf>
    </rfmt>
    <rfmt sheetId="1" sqref="R83" start="0" length="0">
      <dxf>
        <numFmt numFmtId="0" formatCode="General"/>
      </dxf>
    </rfmt>
    <rfmt sheetId="1" sqref="R84" start="0" length="0">
      <dxf>
        <numFmt numFmtId="0" formatCode="General"/>
      </dxf>
    </rfmt>
    <rfmt sheetId="1" sqref="R85" start="0" length="0">
      <dxf>
        <numFmt numFmtId="0" formatCode="General"/>
      </dxf>
    </rfmt>
    <rfmt sheetId="1" sqref="R89" start="0" length="0">
      <dxf>
        <numFmt numFmtId="0" formatCode="General"/>
      </dxf>
    </rfmt>
    <rfmt sheetId="1" sqref="R90" start="0" length="0">
      <dxf>
        <numFmt numFmtId="0" formatCode="General"/>
      </dxf>
    </rfmt>
    <rfmt sheetId="1" sqref="R93" start="0" length="0">
      <dxf>
        <numFmt numFmtId="0" formatCode="General"/>
      </dxf>
    </rfmt>
    <rfmt sheetId="1" sqref="R94" start="0" length="0">
      <dxf>
        <numFmt numFmtId="0" formatCode="General"/>
      </dxf>
    </rfmt>
    <rfmt sheetId="1" sqref="R96" start="0" length="0">
      <dxf>
        <numFmt numFmtId="0" formatCode="General"/>
      </dxf>
    </rfmt>
    <rfmt sheetId="1" sqref="R102" start="0" length="0">
      <dxf>
        <numFmt numFmtId="0" formatCode="General"/>
      </dxf>
    </rfmt>
    <rfmt sheetId="1" sqref="R103" start="0" length="0">
      <dxf>
        <numFmt numFmtId="0" formatCode="General"/>
      </dxf>
    </rfmt>
    <rfmt sheetId="1" sqref="R104" start="0" length="0">
      <dxf>
        <numFmt numFmtId="0" formatCode="General"/>
      </dxf>
    </rfmt>
    <rfmt sheetId="1" sqref="R107" start="0" length="0">
      <dxf>
        <numFmt numFmtId="0" formatCode="General"/>
      </dxf>
    </rfmt>
    <rfmt sheetId="1" sqref="R109" start="0" length="0">
      <dxf>
        <numFmt numFmtId="0" formatCode="General"/>
      </dxf>
    </rfmt>
    <rfmt sheetId="1" sqref="R111" start="0" length="0">
      <dxf>
        <numFmt numFmtId="0" formatCode="General"/>
      </dxf>
    </rfmt>
    <rfmt sheetId="1" sqref="R117" start="0" length="0">
      <dxf>
        <numFmt numFmtId="0" formatCode="General"/>
      </dxf>
    </rfmt>
    <rfmt sheetId="1" sqref="R118" start="0" length="0">
      <dxf>
        <numFmt numFmtId="0" formatCode="General"/>
      </dxf>
    </rfmt>
    <rfmt sheetId="1" sqref="R119" start="0" length="0">
      <dxf>
        <numFmt numFmtId="0" formatCode="General"/>
      </dxf>
    </rfmt>
    <rfmt sheetId="1" sqref="R120" start="0" length="0">
      <dxf>
        <numFmt numFmtId="0" formatCode="General"/>
      </dxf>
    </rfmt>
    <rfmt sheetId="1" sqref="R127" start="0" length="0">
      <dxf>
        <numFmt numFmtId="0" formatCode="General"/>
      </dxf>
    </rfmt>
    <rfmt sheetId="1" sqref="R128" start="0" length="0">
      <dxf>
        <numFmt numFmtId="0" formatCode="General"/>
      </dxf>
    </rfmt>
    <rfmt sheetId="1" sqref="R136" start="0" length="0">
      <dxf>
        <font>
          <sz val="12"/>
          <color rgb="FF000000"/>
          <name val="Calibri"/>
          <family val="2"/>
          <scheme val="minor"/>
        </font>
      </dxf>
    </rfmt>
    <rfmt sheetId="1" sqref="R204" start="0" length="0">
      <dxf>
        <numFmt numFmtId="0" formatCode="General"/>
      </dxf>
    </rfmt>
    <rfmt sheetId="1" sqref="R226" start="0" length="0">
      <dxf>
        <numFmt numFmtId="26" formatCode="hh:mm:ss"/>
      </dxf>
    </rfmt>
  </rrc>
  <rcc rId="4318" sId="1">
    <oc r="P1" t="inlineStr">
      <is>
        <t>patt_freq_dep</t>
      </is>
    </oc>
    <nc r="P1" t="inlineStr">
      <is>
        <t>cycle_width_dep</t>
      </is>
    </nc>
  </rcc>
  <rcc rId="4319" sId="1">
    <oc r="Q1" t="inlineStr">
      <is>
        <t>patt_freq_ret</t>
      </is>
    </oc>
    <nc r="Q1" t="inlineStr">
      <is>
        <t>cycle_width_ret</t>
      </is>
    </nc>
  </rcc>
  <rcc rId="4320" sId="1">
    <oc r="O1" t="inlineStr">
      <is>
        <t>side_home_patt_ret</t>
      </is>
    </oc>
    <nc r="O1" t="inlineStr">
      <is>
        <t>side_home_ret</t>
      </is>
    </nc>
  </rcc>
  <rcv guid="{8A75D892-44B4-104C-BB94-8EB0D0E43396}" action="delete"/>
  <rcv guid="{8A75D892-44B4-104C-BB94-8EB0D0E43396}" action="add"/>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21" sId="1">
    <oc r="N1" t="inlineStr">
      <is>
        <t>side_home_patt_dep</t>
      </is>
    </oc>
    <nc r="N1" t="inlineStr">
      <is>
        <t>side_home_dep</t>
      </is>
    </nc>
  </rcc>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22" sId="1">
    <oc r="M1" t="inlineStr">
      <is>
        <t>pos_patt_ret</t>
      </is>
    </oc>
    <nc r="M1" t="inlineStr">
      <is>
        <t>position_ret</t>
      </is>
    </nc>
  </rcc>
  <rcc rId="4323" sId="1">
    <oc r="L1" t="inlineStr">
      <is>
        <t>pos_patt_dep</t>
      </is>
    </oc>
    <nc r="L1" t="inlineStr">
      <is>
        <t>position_dep</t>
      </is>
    </nc>
  </rcc>
  <rrc rId="4324" sId="1" ref="U1:U1048576" action="insertCol"/>
  <rm rId="4325" sheetId="1" source="S1:S1048576" destination="U1:U1048576" sourceSheetId="1">
    <rfmt sheetId="1" xfDxf="1" sqref="U1:U1048576" start="0" length="0">
      <dxf>
        <alignment horizontal="left"/>
      </dxf>
    </rfmt>
    <rfmt sheetId="1" sqref="U47" start="0" length="0">
      <dxf>
        <font>
          <sz val="12"/>
          <color rgb="FFFF0000"/>
          <name val="Calibri"/>
          <family val="2"/>
          <scheme val="minor"/>
        </font>
      </dxf>
    </rfmt>
    <rfmt sheetId="1" sqref="U122" start="0" length="0">
      <dxf>
        <alignment wrapText="1"/>
      </dxf>
    </rfmt>
    <rfmt sheetId="1" sqref="U269" start="0" length="0">
      <dxf>
        <numFmt numFmtId="2" formatCode="0.00"/>
      </dxf>
    </rfmt>
    <rfmt sheetId="1" sqref="U270" start="0" length="0">
      <dxf>
        <numFmt numFmtId="2" formatCode="0.00"/>
      </dxf>
    </rfmt>
    <rfmt sheetId="1" sqref="U271" start="0" length="0">
      <dxf>
        <numFmt numFmtId="2" formatCode="0.00"/>
      </dxf>
    </rfmt>
    <rfmt sheetId="1" sqref="U272" start="0" length="0">
      <dxf>
        <numFmt numFmtId="2" formatCode="0.00"/>
      </dxf>
    </rfmt>
  </rm>
  <rrc rId="4326" sId="1" ref="S1:S1048576" action="deleteCol">
    <rfmt sheetId="1" xfDxf="1" sqref="S1:S1048576" start="0" length="0"/>
    <rfmt sheetId="1" sqref="S28" start="0" length="0">
      <dxf>
        <font>
          <sz val="12"/>
          <color rgb="FFFF0000"/>
          <name val="Calibri"/>
          <family val="2"/>
          <scheme val="minor"/>
        </font>
        <alignment horizontal="left" vertical="top"/>
      </dxf>
    </rfmt>
    <rfmt sheetId="1" sqref="S43" start="0" length="0">
      <dxf>
        <font>
          <sz val="12"/>
          <color rgb="FFFF0000"/>
          <name val="Calibri"/>
          <family val="2"/>
          <scheme val="minor"/>
        </font>
        <alignment horizontal="left" vertical="top"/>
      </dxf>
    </rfmt>
  </rrc>
  <rcc rId="4327" sId="1">
    <oc r="C1" t="inlineStr">
      <is>
        <t>home_patt_orient</t>
      </is>
    </oc>
    <nc r="C1" t="inlineStr">
      <is>
        <t>home_orient</t>
      </is>
    </nc>
  </rcc>
  <rcc rId="4328" sId="2">
    <oc r="C1" t="inlineStr">
      <is>
        <t>home_patt_orient</t>
      </is>
    </oc>
    <nc r="C1" t="inlineStr">
      <is>
        <t>home_orient</t>
      </is>
    </nc>
  </rcc>
  <rcv guid="{8A75D892-44B4-104C-BB94-8EB0D0E43396}" action="delete"/>
  <rcv guid="{8A75D892-44B4-104C-BB94-8EB0D0E43396}" action="add"/>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29" sId="2">
    <oc r="D1" t="inlineStr">
      <is>
        <t>bee_flight</t>
      </is>
    </oc>
    <nc r="D1" t="inlineStr">
      <is>
        <t>flight</t>
      </is>
    </nc>
  </rcc>
  <rrc rId="4330" sId="2" ref="W1:W1048576" action="insertCol"/>
  <rm rId="4331" sheetId="2" source="F1:F1048576" destination="W1:W1048576" sourceSheetId="2">
    <rfmt sheetId="2" xfDxf="1" sqref="W1:W1048576" start="0" length="0">
      <dxf>
        <alignment horizontal="left"/>
      </dxf>
    </rfmt>
    <rfmt sheetId="2" sqref="W3" start="0" length="0">
      <dxf>
        <font>
          <sz val="12"/>
          <color rgb="FFFF0000"/>
          <name val="Calibri"/>
          <family val="2"/>
          <scheme val="minor"/>
        </font>
      </dxf>
    </rfmt>
    <rfmt sheetId="2" sqref="W13" start="0" length="0">
      <dxf>
        <font>
          <sz val="12"/>
          <color rgb="FFFF0000"/>
          <name val="Calibri"/>
          <family val="2"/>
          <scheme val="minor"/>
        </font>
      </dxf>
    </rfmt>
    <rfmt sheetId="2" sqref="W14" start="0" length="0">
      <dxf>
        <font>
          <sz val="12"/>
          <color rgb="FFFF0000"/>
          <name val="Calibri"/>
          <family val="2"/>
          <scheme val="minor"/>
        </font>
      </dxf>
    </rfmt>
    <rfmt sheetId="2" sqref="W202" start="0" length="0">
      <dxf>
        <fill>
          <patternFill patternType="solid">
            <bgColor rgb="FFFFFF00"/>
          </patternFill>
        </fill>
      </dxf>
    </rfmt>
    <rfmt sheetId="2" sqref="W203" start="0" length="0">
      <dxf>
        <fill>
          <patternFill patternType="solid">
            <bgColor rgb="FFFFFF00"/>
          </patternFill>
        </fill>
      </dxf>
    </rfmt>
    <rfmt sheetId="2" sqref="W204" start="0" length="0">
      <dxf>
        <fill>
          <patternFill patternType="solid">
            <bgColor rgb="FFFFFF00"/>
          </patternFill>
        </fill>
      </dxf>
    </rfmt>
    <rfmt sheetId="2" sqref="W213" start="0" length="0">
      <dxf>
        <fill>
          <patternFill patternType="solid">
            <bgColor theme="0"/>
          </patternFill>
        </fill>
      </dxf>
    </rfmt>
    <rfmt sheetId="2" sqref="W214" start="0" length="0">
      <dxf>
        <fill>
          <patternFill patternType="solid">
            <bgColor theme="0"/>
          </patternFill>
        </fill>
      </dxf>
    </rfmt>
    <rfmt sheetId="2" sqref="W215" start="0" length="0">
      <dxf>
        <fill>
          <patternFill patternType="solid">
            <bgColor theme="0"/>
          </patternFill>
        </fill>
      </dxf>
    </rfmt>
    <rfmt sheetId="2" sqref="W216" start="0" length="0">
      <dxf>
        <fill>
          <patternFill patternType="solid">
            <bgColor theme="0"/>
          </patternFill>
        </fill>
      </dxf>
    </rfmt>
    <rfmt sheetId="2" sqref="W217" start="0" length="0">
      <dxf>
        <fill>
          <patternFill patternType="solid">
            <bgColor theme="0"/>
          </patternFill>
        </fill>
      </dxf>
    </rfmt>
  </rm>
  <rrc rId="4332" sId="2" ref="F1:F1048576" action="deleteCol">
    <rfmt sheetId="2" xfDxf="1" sqref="F1:F1048576" start="0" length="0"/>
    <rfmt sheetId="2" sqref="F59" start="0" length="0">
      <dxf>
        <font>
          <sz val="12"/>
          <color rgb="FFFF0000"/>
          <name val="Calibri"/>
          <family val="2"/>
          <scheme val="minor"/>
        </font>
        <alignment horizontal="left" vertical="top"/>
      </dxf>
    </rfmt>
    <rfmt sheetId="2" sqref="F63" start="0" length="0">
      <dxf>
        <font>
          <sz val="12"/>
          <color rgb="FFFF0000"/>
          <name val="Calibri"/>
          <family val="2"/>
          <scheme val="minor"/>
        </font>
        <alignment horizontal="left" vertical="top"/>
      </dxf>
    </rfmt>
    <rfmt sheetId="2" sqref="F64" start="0" length="0">
      <dxf>
        <font>
          <sz val="12"/>
          <color rgb="FFFF0000"/>
          <name val="Calibri"/>
          <family val="2"/>
          <scheme val="minor"/>
        </font>
        <alignment horizontal="left" vertical="top"/>
      </dxf>
    </rfmt>
    <rfmt sheetId="2" sqref="F77" start="0" length="0">
      <dxf>
        <font>
          <sz val="12"/>
          <color rgb="FFFF0000"/>
          <name val="Calibri"/>
          <family val="2"/>
          <scheme val="minor"/>
        </font>
        <alignment horizontal="left" vertical="top"/>
      </dxf>
    </rfmt>
    <rfmt sheetId="2" sqref="F78" start="0" length="0">
      <dxf>
        <font>
          <sz val="12"/>
          <color rgb="FFFF0000"/>
          <name val="Calibri"/>
          <family val="2"/>
          <scheme val="minor"/>
        </font>
        <alignment horizontal="left" vertical="top"/>
      </dxf>
    </rfmt>
    <rfmt sheetId="2" sqref="F79" start="0" length="0">
      <dxf>
        <font>
          <sz val="12"/>
          <color rgb="FFFF0000"/>
          <name val="Calibri"/>
          <family val="2"/>
          <scheme val="minor"/>
        </font>
        <alignment horizontal="left" vertical="top"/>
      </dxf>
    </rfmt>
    <rfmt sheetId="2" sqref="F202" start="0" length="0">
      <dxf>
        <fill>
          <patternFill patternType="solid">
            <bgColor rgb="FFFFFF00"/>
          </patternFill>
        </fill>
        <alignment horizontal="left" vertical="top"/>
      </dxf>
    </rfmt>
    <rfmt sheetId="2" sqref="F203" start="0" length="0">
      <dxf>
        <fill>
          <patternFill patternType="solid">
            <bgColor rgb="FFFFFF00"/>
          </patternFill>
        </fill>
        <alignment horizontal="left" vertical="top"/>
      </dxf>
    </rfmt>
    <rfmt sheetId="2" sqref="F204" start="0" length="0">
      <dxf>
        <fill>
          <patternFill patternType="solid">
            <bgColor rgb="FFFFFF00"/>
          </patternFill>
        </fill>
        <alignment horizontal="left" vertical="top"/>
      </dxf>
    </rfmt>
    <rfmt sheetId="2" sqref="F213" start="0" length="0">
      <dxf>
        <fill>
          <patternFill patternType="solid">
            <bgColor theme="0"/>
          </patternFill>
        </fill>
        <alignment horizontal="left" vertical="top"/>
      </dxf>
    </rfmt>
    <rfmt sheetId="2" sqref="F214" start="0" length="0">
      <dxf>
        <fill>
          <patternFill patternType="solid">
            <bgColor theme="0"/>
          </patternFill>
        </fill>
        <alignment horizontal="left" vertical="top"/>
      </dxf>
    </rfmt>
    <rfmt sheetId="2" sqref="F215" start="0" length="0">
      <dxf>
        <fill>
          <patternFill patternType="solid">
            <bgColor theme="0"/>
          </patternFill>
        </fill>
        <alignment horizontal="left" vertical="top"/>
      </dxf>
    </rfmt>
    <rfmt sheetId="2" sqref="F216" start="0" length="0">
      <dxf>
        <fill>
          <patternFill patternType="solid">
            <bgColor theme="0"/>
          </patternFill>
        </fill>
        <alignment horizontal="left" vertical="top"/>
      </dxf>
    </rfmt>
    <rfmt sheetId="2" sqref="F217" start="0" length="0">
      <dxf>
        <fill>
          <patternFill patternType="solid">
            <bgColor theme="0"/>
          </patternFill>
        </fill>
        <alignment horizontal="left" vertical="top"/>
      </dxf>
    </rfmt>
  </rrc>
  <rrc rId="4333" sId="2" ref="W1:W1048576" action="deleteCol">
    <undo index="0" exp="ref" v="1" dr="W102" r="Y102" sId="2"/>
    <undo index="0" exp="ref" v="1" dr="W95" r="Y95" sId="2"/>
    <undo index="0" exp="ref" v="1" dr="W94" r="Y94" sId="2"/>
    <undo index="0" exp="ref" v="1" dr="W92" r="Y92" sId="2"/>
    <rfmt sheetId="2" xfDxf="1" sqref="W1:W1048576" start="0" length="0">
      <dxf>
        <numFmt numFmtId="2" formatCode="0.00"/>
        <alignment horizontal="left"/>
      </dxf>
    </rfmt>
    <rcc rId="0" sId="2">
      <nc r="W1" t="inlineStr">
        <is>
          <t>light_level_ret</t>
        </is>
      </nc>
    </rcc>
    <rcc rId="0" sId="2" dxf="1">
      <nc r="W2" t="inlineStr">
        <is>
          <t>NA</t>
        </is>
      </nc>
      <ndxf>
        <numFmt numFmtId="0" formatCode="General"/>
      </ndxf>
    </rcc>
    <rcc rId="0" sId="2" dxf="1">
      <nc r="W3" t="inlineStr">
        <is>
          <t>NA</t>
        </is>
      </nc>
      <ndxf>
        <font>
          <sz val="12"/>
          <color rgb="FFFF0000"/>
          <name val="Calibri"/>
          <family val="2"/>
          <scheme val="minor"/>
        </font>
      </ndxf>
    </rcc>
    <rcc rId="0" sId="2" dxf="1">
      <nc r="W4" t="inlineStr">
        <is>
          <t>NA</t>
        </is>
      </nc>
      <ndxf>
        <numFmt numFmtId="0" formatCode="General"/>
      </ndxf>
    </rcc>
    <rcc rId="0" sId="2">
      <nc r="W12" t="inlineStr">
        <is>
          <t>NA</t>
        </is>
      </nc>
    </rcc>
    <rfmt sheetId="2" sqref="W13" start="0" length="0">
      <dxf>
        <font>
          <sz val="12"/>
          <color rgb="FFFF0000"/>
          <name val="Calibri"/>
          <family val="2"/>
          <scheme val="minor"/>
        </font>
      </dxf>
    </rfmt>
    <rfmt sheetId="2" sqref="W14" start="0" length="0">
      <dxf>
        <font>
          <sz val="12"/>
          <color rgb="FFFF0000"/>
          <name val="Calibri"/>
          <family val="2"/>
          <scheme val="minor"/>
        </font>
      </dxf>
    </rfmt>
    <rcc rId="0" sId="2" dxf="1">
      <nc r="W17" t="inlineStr">
        <is>
          <t>NA</t>
        </is>
      </nc>
      <ndxf>
        <numFmt numFmtId="0" formatCode="General"/>
      </ndxf>
    </rcc>
    <rcc rId="0" sId="2" dxf="1">
      <nc r="W19" t="inlineStr">
        <is>
          <t>NA</t>
        </is>
      </nc>
      <ndxf>
        <numFmt numFmtId="0" formatCode="General"/>
      </ndxf>
    </rcc>
    <rcc rId="0" sId="2" dxf="1">
      <nc r="W28" t="inlineStr">
        <is>
          <t>NA</t>
        </is>
      </nc>
      <ndxf>
        <numFmt numFmtId="0" formatCode="General"/>
      </ndxf>
    </rcc>
    <rcc rId="0" sId="2" dxf="1">
      <nc r="W29" t="inlineStr">
        <is>
          <t>NA</t>
        </is>
      </nc>
      <ndxf>
        <numFmt numFmtId="0" formatCode="General"/>
      </ndxf>
    </rcc>
    <rcc rId="0" sId="2">
      <nc r="W30" t="inlineStr">
        <is>
          <t>NA</t>
        </is>
      </nc>
    </rcc>
    <rcc rId="0" sId="2">
      <nc r="W31" t="inlineStr">
        <is>
          <t>NA</t>
        </is>
      </nc>
    </rcc>
    <rcc rId="0" sId="2" dxf="1">
      <nc r="W32">
        <v>1.7569999999999999E-2</v>
      </nc>
      <ndxf>
        <numFmt numFmtId="0" formatCode="General"/>
      </ndxf>
    </rcc>
    <rcc rId="0" sId="2" dxf="1">
      <nc r="W33" t="inlineStr">
        <is>
          <t>NA</t>
        </is>
      </nc>
      <ndxf>
        <numFmt numFmtId="0" formatCode="General"/>
      </ndxf>
    </rcc>
    <rcc rId="0" sId="2">
      <nc r="W34" t="inlineStr">
        <is>
          <t>NA</t>
        </is>
      </nc>
    </rcc>
    <rcc rId="0" sId="2">
      <nc r="W35" t="inlineStr">
        <is>
          <t>NA</t>
        </is>
      </nc>
    </rcc>
    <rcc rId="0" sId="2">
      <nc r="W36" t="inlineStr">
        <is>
          <t>NA</t>
        </is>
      </nc>
    </rcc>
    <rcc rId="0" sId="2" dxf="1">
      <nc r="W37" t="inlineStr">
        <is>
          <t>NA</t>
        </is>
      </nc>
      <ndxf>
        <numFmt numFmtId="0" formatCode="General"/>
      </ndxf>
    </rcc>
    <rcc rId="0" sId="2" dxf="1">
      <nc r="W38">
        <v>0.54100000000000004</v>
      </nc>
      <ndxf>
        <numFmt numFmtId="0" formatCode="General"/>
      </ndxf>
    </rcc>
    <rcc rId="0" sId="2" dxf="1">
      <nc r="W39">
        <v>5.7799999999999997E-2</v>
      </nc>
      <ndxf>
        <numFmt numFmtId="0" formatCode="General"/>
      </ndxf>
    </rcc>
    <rcc rId="0" sId="2" dxf="1">
      <nc r="W40">
        <v>1.9450000000000001</v>
      </nc>
      <ndxf>
        <numFmt numFmtId="0" formatCode="General"/>
      </ndxf>
    </rcc>
    <rcc rId="0" sId="2" dxf="1">
      <nc r="W41">
        <v>0.15620000000000001</v>
      </nc>
      <ndxf>
        <numFmt numFmtId="0" formatCode="General"/>
      </ndxf>
    </rcc>
    <rcc rId="0" sId="2" dxf="1">
      <nc r="W42">
        <v>0.14530000000000001</v>
      </nc>
      <ndxf>
        <numFmt numFmtId="0" formatCode="General"/>
      </ndxf>
    </rcc>
    <rcc rId="0" sId="2" dxf="1">
      <nc r="W43" t="inlineStr">
        <is>
          <t>NA</t>
        </is>
      </nc>
      <ndxf>
        <numFmt numFmtId="0" formatCode="General"/>
      </ndxf>
    </rcc>
    <rcc rId="0" sId="2" dxf="1">
      <nc r="W44">
        <v>1.389</v>
      </nc>
      <ndxf>
        <numFmt numFmtId="0" formatCode="General"/>
      </ndxf>
    </rcc>
    <rcc rId="0" sId="2" dxf="1">
      <nc r="W45">
        <v>1.7930000000000001E-2</v>
      </nc>
      <ndxf>
        <numFmt numFmtId="0" formatCode="General"/>
      </ndxf>
    </rcc>
    <rcc rId="0" sId="2" dxf="1">
      <nc r="W46">
        <v>2.5299999999999998</v>
      </nc>
      <ndxf>
        <numFmt numFmtId="0" formatCode="General"/>
      </ndxf>
    </rcc>
    <rcc rId="0" sId="2" dxf="1">
      <nc r="W47">
        <v>4.7600000000000003E-2</v>
      </nc>
      <ndxf>
        <numFmt numFmtId="0" formatCode="General"/>
      </ndxf>
    </rcc>
    <rcc rId="0" sId="2">
      <nc r="W48" t="inlineStr">
        <is>
          <t>NA</t>
        </is>
      </nc>
    </rcc>
    <rcc rId="0" sId="2" dxf="1">
      <nc r="W49">
        <v>0.1764</v>
      </nc>
      <ndxf>
        <numFmt numFmtId="0" formatCode="General"/>
      </ndxf>
    </rcc>
    <rcc rId="0" sId="2" dxf="1">
      <nc r="W50">
        <v>1.2969999999999999</v>
      </nc>
      <ndxf>
        <numFmt numFmtId="0" formatCode="General"/>
      </ndxf>
    </rcc>
    <rcc rId="0" sId="2" dxf="1">
      <nc r="W51">
        <v>0.13969999999999999</v>
      </nc>
      <ndxf>
        <numFmt numFmtId="0" formatCode="General"/>
      </ndxf>
    </rcc>
    <rcc rId="0" sId="2" dxf="1">
      <nc r="W52">
        <v>0.64600000000000002</v>
      </nc>
      <ndxf>
        <numFmt numFmtId="0" formatCode="General"/>
      </ndxf>
    </rcc>
    <rcc rId="0" sId="2" dxf="1">
      <nc r="W53">
        <v>0.878</v>
      </nc>
      <ndxf>
        <numFmt numFmtId="0" formatCode="General"/>
      </ndxf>
    </rcc>
    <rcc rId="0" sId="2" dxf="1">
      <nc r="W54">
        <v>0.25600000000000001</v>
      </nc>
      <ndxf>
        <numFmt numFmtId="0" formatCode="General"/>
      </ndxf>
    </rcc>
    <rcc rId="0" sId="2" dxf="1">
      <nc r="W55">
        <v>1.8599999999999998E-2</v>
      </nc>
      <ndxf>
        <numFmt numFmtId="0" formatCode="General"/>
      </ndxf>
    </rcc>
    <rcc rId="0" sId="2" dxf="1">
      <nc r="W56">
        <v>1.6419999999999999</v>
      </nc>
      <ndxf>
        <numFmt numFmtId="0" formatCode="General"/>
      </ndxf>
    </rcc>
    <rcc rId="0" sId="2" dxf="1">
      <nc r="W57">
        <v>0.74199999999999999</v>
      </nc>
      <ndxf>
        <numFmt numFmtId="0" formatCode="General"/>
      </ndxf>
    </rcc>
    <rcc rId="0" sId="2" dxf="1">
      <nc r="W58">
        <v>3.56E-2</v>
      </nc>
      <ndxf>
        <numFmt numFmtId="0" formatCode="General"/>
      </ndxf>
    </rcc>
    <rcc rId="0" sId="2" dxf="1">
      <nc r="W59">
        <v>0.54100000000000004</v>
      </nc>
      <ndxf>
        <numFmt numFmtId="0" formatCode="General"/>
      </ndxf>
    </rcc>
    <rcc rId="0" sId="2" dxf="1">
      <nc r="W60">
        <v>7.1599999999999997E-3</v>
      </nc>
      <ndxf>
        <numFmt numFmtId="0" formatCode="General"/>
      </ndxf>
    </rcc>
    <rcc rId="0" sId="2" dxf="1">
      <nc r="W61">
        <v>0.373</v>
      </nc>
      <ndxf>
        <numFmt numFmtId="0" formatCode="General"/>
      </ndxf>
    </rcc>
    <rcc rId="0" sId="2" dxf="1">
      <nc r="W62">
        <v>1.1180000000000001</v>
      </nc>
      <ndxf>
        <numFmt numFmtId="0" formatCode="General"/>
      </ndxf>
    </rcc>
    <rcc rId="0" sId="2" dxf="1">
      <nc r="W63">
        <v>0.57099999999999995</v>
      </nc>
      <ndxf>
        <numFmt numFmtId="0" formatCode="General"/>
      </ndxf>
    </rcc>
    <rcc rId="0" sId="2" dxf="1">
      <nc r="W64">
        <v>1.208E-2</v>
      </nc>
      <ndxf>
        <numFmt numFmtId="0" formatCode="General"/>
      </ndxf>
    </rcc>
    <rcc rId="0" sId="2">
      <nc r="W65" t="inlineStr">
        <is>
          <t>NA</t>
        </is>
      </nc>
    </rcc>
    <rcc rId="0" sId="2" dxf="1">
      <nc r="W66">
        <v>8.8200000000000001E-2</v>
      </nc>
      <ndxf>
        <numFmt numFmtId="0" formatCode="General"/>
      </ndxf>
    </rcc>
    <rcc rId="0" sId="2" dxf="1">
      <nc r="W67">
        <v>1.069</v>
      </nc>
      <ndxf>
        <numFmt numFmtId="0" formatCode="General"/>
      </ndxf>
    </rcc>
    <rcc rId="0" sId="2" dxf="1">
      <nc r="W68">
        <v>0.67900000000000005</v>
      </nc>
      <ndxf>
        <numFmt numFmtId="0" formatCode="General"/>
      </ndxf>
    </rcc>
    <rcc rId="0" sId="2" dxf="1">
      <nc r="W69">
        <v>4.8500000000000001E-2</v>
      </nc>
      <ndxf>
        <numFmt numFmtId="0" formatCode="General"/>
      </ndxf>
    </rcc>
    <rcc rId="0" sId="2" dxf="1">
      <nc r="W70" t="inlineStr">
        <is>
          <t>NA</t>
        </is>
      </nc>
      <ndxf>
        <numFmt numFmtId="0" formatCode="General"/>
      </ndxf>
    </rcc>
    <rcc rId="0" sId="2" dxf="1">
      <nc r="W71" t="inlineStr">
        <is>
          <t>NA</t>
        </is>
      </nc>
      <ndxf>
        <numFmt numFmtId="0" formatCode="General"/>
      </ndxf>
    </rcc>
    <rcc rId="0" sId="2" dxf="1">
      <nc r="W72">
        <v>6.28</v>
      </nc>
      <ndxf>
        <numFmt numFmtId="0" formatCode="General"/>
      </ndxf>
    </rcc>
    <rcc rId="0" sId="2">
      <nc r="W73" t="inlineStr">
        <is>
          <t>NA</t>
        </is>
      </nc>
    </rcc>
    <rcc rId="0" sId="2" dxf="1">
      <nc r="W74">
        <v>1.0109999999999999</v>
      </nc>
      <ndxf>
        <numFmt numFmtId="0" formatCode="General"/>
      </ndxf>
    </rcc>
    <rcc rId="0" sId="2" dxf="1">
      <nc r="W75">
        <v>0.39</v>
      </nc>
      <ndxf>
        <numFmt numFmtId="0" formatCode="General"/>
      </ndxf>
    </rcc>
    <rcc rId="0" sId="2" dxf="1">
      <nc r="W76">
        <v>2.67</v>
      </nc>
      <ndxf>
        <numFmt numFmtId="0" formatCode="General"/>
      </ndxf>
    </rcc>
    <rcc rId="0" sId="2">
      <nc r="W77" t="inlineStr">
        <is>
          <t>NA</t>
        </is>
      </nc>
    </rcc>
    <rcc rId="0" sId="2" dxf="1">
      <nc r="W78">
        <v>0.1409</v>
      </nc>
      <ndxf>
        <font>
          <sz val="12"/>
          <color rgb="FFFF0000"/>
          <name val="Calibri"/>
          <family val="2"/>
          <scheme val="minor"/>
        </font>
        <numFmt numFmtId="0" formatCode="General"/>
      </ndxf>
    </rcc>
    <rcc rId="0" sId="2" dxf="1">
      <nc r="W79">
        <v>0.23799999999999999</v>
      </nc>
      <ndxf>
        <font>
          <sz val="12"/>
          <color rgb="FFFF0000"/>
          <name val="Calibri"/>
          <family val="2"/>
          <scheme val="minor"/>
        </font>
        <numFmt numFmtId="0" formatCode="General"/>
      </ndxf>
    </rcc>
    <rcc rId="0" sId="2" dxf="1">
      <nc r="W80">
        <v>0.52900000000000003</v>
      </nc>
      <ndxf>
        <numFmt numFmtId="0" formatCode="General"/>
      </ndxf>
    </rcc>
    <rcc rId="0" sId="2">
      <nc r="W81" t="inlineStr">
        <is>
          <t>NA</t>
        </is>
      </nc>
    </rcc>
    <rcc rId="0" sId="2" dxf="1">
      <nc r="W82">
        <v>0.28000000000000003</v>
      </nc>
      <ndxf>
        <numFmt numFmtId="0" formatCode="General"/>
      </ndxf>
    </rcc>
    <rcc rId="0" sId="2" dxf="1">
      <nc r="W83">
        <v>0.20200000000000001</v>
      </nc>
      <ndxf>
        <font>
          <sz val="12"/>
          <color rgb="FFFF0000"/>
          <name val="Calibri"/>
          <family val="2"/>
          <scheme val="minor"/>
        </font>
        <numFmt numFmtId="0" formatCode="General"/>
      </ndxf>
    </rcc>
    <rcc rId="0" sId="2" dxf="1">
      <nc r="W84" t="inlineStr">
        <is>
          <t>NA</t>
        </is>
      </nc>
      <ndxf>
        <numFmt numFmtId="0" formatCode="General"/>
      </ndxf>
    </rcc>
    <rcc rId="0" sId="2" dxf="1">
      <nc r="W85">
        <v>2.2799999999999998</v>
      </nc>
      <ndxf>
        <font>
          <sz val="12"/>
          <color rgb="FFFF0000"/>
          <name val="Calibri"/>
          <family val="2"/>
          <scheme val="minor"/>
        </font>
        <numFmt numFmtId="0" formatCode="General"/>
      </ndxf>
    </rcc>
    <rcc rId="0" sId="2">
      <nc r="W86" t="inlineStr">
        <is>
          <t>NA</t>
        </is>
      </nc>
    </rcc>
    <rcc rId="0" sId="2" dxf="1">
      <nc r="W87">
        <v>1.2869999999999999</v>
      </nc>
      <ndxf>
        <font>
          <sz val="12"/>
          <color rgb="FFFF0000"/>
          <name val="Calibri"/>
          <family val="2"/>
          <scheme val="minor"/>
        </font>
        <numFmt numFmtId="0" formatCode="General"/>
      </ndxf>
    </rcc>
    <rcc rId="0" sId="2">
      <nc r="W88" t="inlineStr">
        <is>
          <t>NA</t>
        </is>
      </nc>
    </rcc>
    <rcc rId="0" sId="2" dxf="1">
      <nc r="W89">
        <v>0.83099999999999996</v>
      </nc>
      <ndxf>
        <font>
          <sz val="12"/>
          <color rgb="FFFF0000"/>
          <name val="Calibri"/>
          <family val="2"/>
          <scheme val="minor"/>
        </font>
        <numFmt numFmtId="0" formatCode="General"/>
      </ndxf>
    </rcc>
    <rcc rId="0" sId="2">
      <nc r="W90" t="inlineStr">
        <is>
          <t>NA</t>
        </is>
      </nc>
    </rcc>
    <rcc rId="0" sId="2">
      <nc r="W91" t="inlineStr">
        <is>
          <t>NA</t>
        </is>
      </nc>
    </rcc>
    <rcc rId="0" sId="2" dxf="1">
      <nc r="W92">
        <v>3.05</v>
      </nc>
      <ndxf>
        <font>
          <sz val="12"/>
          <color rgb="FFFF0000"/>
          <name val="Calibri"/>
          <family val="2"/>
          <scheme val="minor"/>
        </font>
        <numFmt numFmtId="0" formatCode="General"/>
      </ndxf>
    </rcc>
    <rcc rId="0" sId="2" dxf="1">
      <nc r="W93" t="inlineStr">
        <is>
          <t>NA</t>
        </is>
      </nc>
      <ndxf>
        <numFmt numFmtId="0" formatCode="General"/>
      </ndxf>
    </rcc>
    <rcc rId="0" sId="2" dxf="1">
      <nc r="W94">
        <v>0.71299999999999997</v>
      </nc>
      <ndxf>
        <font>
          <sz val="12"/>
          <color rgb="FFFF0000"/>
          <name val="Calibri"/>
          <family val="2"/>
          <scheme val="minor"/>
        </font>
        <numFmt numFmtId="0" formatCode="General"/>
      </ndxf>
    </rcc>
    <rcc rId="0" sId="2" dxf="1">
      <nc r="W95">
        <v>22.2</v>
      </nc>
      <ndxf>
        <font>
          <sz val="12"/>
          <color rgb="FFFF0000"/>
          <name val="Calibri"/>
          <family val="2"/>
          <scheme val="minor"/>
        </font>
        <numFmt numFmtId="0" formatCode="General"/>
      </ndxf>
    </rcc>
    <rcc rId="0" sId="2">
      <nc r="W96" t="inlineStr">
        <is>
          <t>NA</t>
        </is>
      </nc>
    </rcc>
    <rcc rId="0" sId="2">
      <nc r="W97" t="inlineStr">
        <is>
          <t>NA</t>
        </is>
      </nc>
    </rcc>
    <rcc rId="0" sId="2">
      <nc r="W98" t="inlineStr">
        <is>
          <t>NA</t>
        </is>
      </nc>
    </rcc>
    <rcc rId="0" sId="2">
      <nc r="W99" t="inlineStr">
        <is>
          <t>NA</t>
        </is>
      </nc>
    </rcc>
    <rcc rId="0" sId="2">
      <nc r="W100" t="inlineStr">
        <is>
          <t>NA</t>
        </is>
      </nc>
    </rcc>
    <rcc rId="0" sId="2">
      <nc r="W101" t="inlineStr">
        <is>
          <t>NA</t>
        </is>
      </nc>
    </rcc>
    <rcc rId="0" sId="2" dxf="1">
      <nc r="W102">
        <v>0.25800000000000001</v>
      </nc>
      <ndxf>
        <font>
          <sz val="12"/>
          <color rgb="FFFF0000"/>
          <name val="Calibri"/>
          <family val="2"/>
          <scheme val="minor"/>
        </font>
        <numFmt numFmtId="0" formatCode="General"/>
      </ndxf>
    </rcc>
    <rcc rId="0" sId="2">
      <nc r="W103" t="inlineStr">
        <is>
          <t>NA</t>
        </is>
      </nc>
    </rcc>
    <rcc rId="0" sId="2" dxf="1">
      <nc r="W104">
        <v>0.307</v>
      </nc>
      <ndxf>
        <numFmt numFmtId="0" formatCode="General"/>
      </ndxf>
    </rcc>
    <rcc rId="0" sId="2">
      <nc r="W105" t="inlineStr">
        <is>
          <t>NA</t>
        </is>
      </nc>
    </rcc>
    <rcc rId="0" sId="2" dxf="1">
      <nc r="W106" t="inlineStr">
        <is>
          <t>NA</t>
        </is>
      </nc>
      <ndxf>
        <font>
          <sz val="12"/>
          <color rgb="FF000000"/>
          <name val="Calibri"/>
          <family val="2"/>
          <scheme val="minor"/>
        </font>
        <numFmt numFmtId="0" formatCode="General"/>
      </ndxf>
    </rcc>
    <rcc rId="0" sId="2">
      <nc r="W107" t="inlineStr">
        <is>
          <t>NA</t>
        </is>
      </nc>
    </rcc>
    <rcc rId="0" sId="2" dxf="1">
      <nc r="W108" t="inlineStr">
        <is>
          <t>NA</t>
        </is>
      </nc>
      <ndxf>
        <font>
          <sz val="12"/>
          <color rgb="FF000000"/>
          <name val="Calibri"/>
          <family val="2"/>
          <scheme val="minor"/>
        </font>
        <numFmt numFmtId="0" formatCode="General"/>
      </ndxf>
    </rcc>
    <rcc rId="0" sId="2" dxf="1">
      <nc r="W109">
        <v>0.61099999999999999</v>
      </nc>
      <ndxf>
        <numFmt numFmtId="0" formatCode="General"/>
      </ndxf>
    </rcc>
    <rcc rId="0" sId="2">
      <nc r="W110" t="inlineStr">
        <is>
          <t>NA</t>
        </is>
      </nc>
    </rcc>
    <rcc rId="0" sId="2" dxf="1">
      <nc r="W111">
        <v>31.1</v>
      </nc>
      <ndxf>
        <numFmt numFmtId="0" formatCode="General"/>
      </ndxf>
    </rcc>
    <rcc rId="0" sId="2" dxf="1">
      <nc r="W112">
        <v>0.307</v>
      </nc>
      <ndxf>
        <numFmt numFmtId="0" formatCode="General"/>
      </ndxf>
    </rcc>
    <rcc rId="0" sId="2" dxf="1">
      <nc r="W113">
        <v>5.79</v>
      </nc>
      <ndxf>
        <numFmt numFmtId="0" formatCode="General"/>
      </ndxf>
    </rcc>
    <rcc rId="0" sId="2">
      <nc r="W114" t="inlineStr">
        <is>
          <t>NA</t>
        </is>
      </nc>
    </rcc>
    <rcc rId="0" sId="2" dxf="1">
      <nc r="W115">
        <v>2.78</v>
      </nc>
      <ndxf>
        <numFmt numFmtId="0" formatCode="General"/>
      </ndxf>
    </rcc>
    <rcc rId="0" sId="2" dxf="1">
      <nc r="W116">
        <v>5.25</v>
      </nc>
      <ndxf>
        <numFmt numFmtId="0" formatCode="General"/>
      </ndxf>
    </rcc>
    <rcc rId="0" sId="2">
      <nc r="W117" t="inlineStr">
        <is>
          <t>NA</t>
        </is>
      </nc>
    </rcc>
    <rcc rId="0" sId="2" dxf="1">
      <nc r="W118">
        <v>7.26</v>
      </nc>
      <ndxf>
        <numFmt numFmtId="0" formatCode="General"/>
      </ndxf>
    </rcc>
    <rcc rId="0" sId="2" dxf="1">
      <nc r="W119" t="inlineStr">
        <is>
          <t>NA</t>
        </is>
      </nc>
      <ndxf>
        <numFmt numFmtId="0" formatCode="General"/>
      </ndxf>
    </rcc>
    <rcc rId="0" sId="2" dxf="1">
      <nc r="W120" t="inlineStr">
        <is>
          <t>NA</t>
        </is>
      </nc>
      <ndxf>
        <numFmt numFmtId="0" formatCode="General"/>
      </ndxf>
    </rcc>
    <rcc rId="0" sId="2">
      <nc r="W121" t="inlineStr">
        <is>
          <t>NA</t>
        </is>
      </nc>
    </rcc>
    <rcc rId="0" sId="2" dxf="1">
      <nc r="W122">
        <v>21.2</v>
      </nc>
      <ndxf>
        <numFmt numFmtId="0" formatCode="General"/>
      </ndxf>
    </rcc>
    <rcc rId="0" sId="2" dxf="1">
      <nc r="W123" t="inlineStr">
        <is>
          <t>NA</t>
        </is>
      </nc>
      <ndxf>
        <numFmt numFmtId="0" formatCode="General"/>
      </ndxf>
    </rcc>
    <rcc rId="0" sId="2">
      <nc r="W124" t="inlineStr">
        <is>
          <t>NA</t>
        </is>
      </nc>
    </rcc>
    <rcc rId="0" sId="2">
      <nc r="W125" t="inlineStr">
        <is>
          <t>NA</t>
        </is>
      </nc>
    </rcc>
    <rcc rId="0" sId="2">
      <nc r="W126" t="inlineStr">
        <is>
          <t>NA</t>
        </is>
      </nc>
    </rcc>
    <rcc rId="0" sId="2" dxf="1">
      <nc r="W127" t="inlineStr">
        <is>
          <t>NA</t>
        </is>
      </nc>
      <ndxf>
        <numFmt numFmtId="0" formatCode="General"/>
      </ndxf>
    </rcc>
    <rcc rId="0" sId="2">
      <nc r="W129" t="inlineStr">
        <is>
          <t>NA</t>
        </is>
      </nc>
    </rcc>
    <rcc rId="0" sId="2">
      <nc r="W130" t="inlineStr">
        <is>
          <t>NA</t>
        </is>
      </nc>
    </rcc>
    <rcc rId="0" sId="2">
      <nc r="W131" t="inlineStr">
        <is>
          <t>NA</t>
        </is>
      </nc>
    </rcc>
    <rcc rId="0" sId="2">
      <nc r="W132" t="inlineStr">
        <is>
          <t>NA</t>
        </is>
      </nc>
    </rcc>
    <rcc rId="0" sId="2">
      <nc r="W133" t="inlineStr">
        <is>
          <t>NA</t>
        </is>
      </nc>
    </rcc>
    <rcc rId="0" sId="2">
      <nc r="W134" t="inlineStr">
        <is>
          <t>NA</t>
        </is>
      </nc>
    </rcc>
    <rcc rId="0" sId="2">
      <nc r="W135" t="inlineStr">
        <is>
          <t>NA</t>
        </is>
      </nc>
    </rcc>
    <rcc rId="0" sId="2">
      <nc r="W136" t="inlineStr">
        <is>
          <t>NA</t>
        </is>
      </nc>
    </rcc>
    <rcc rId="0" sId="2">
      <nc r="W137" t="inlineStr">
        <is>
          <t>NA</t>
        </is>
      </nc>
    </rcc>
    <rcc rId="0" sId="2">
      <nc r="W138" t="inlineStr">
        <is>
          <t>NA</t>
        </is>
      </nc>
    </rcc>
    <rcc rId="0" sId="2">
      <nc r="W139" t="inlineStr">
        <is>
          <t>NA</t>
        </is>
      </nc>
    </rcc>
    <rcc rId="0" sId="2">
      <nc r="W140" t="inlineStr">
        <is>
          <t>NA</t>
        </is>
      </nc>
    </rcc>
    <rcc rId="0" sId="2">
      <nc r="W141" t="inlineStr">
        <is>
          <t>NA</t>
        </is>
      </nc>
    </rcc>
    <rcc rId="0" sId="2">
      <nc r="W142" t="inlineStr">
        <is>
          <t>NA</t>
        </is>
      </nc>
    </rcc>
    <rcc rId="0" sId="2">
      <nc r="W143" t="inlineStr">
        <is>
          <t>NA</t>
        </is>
      </nc>
    </rcc>
    <rcc rId="0" sId="2">
      <nc r="W144" t="inlineStr">
        <is>
          <t>NA</t>
        </is>
      </nc>
    </rcc>
    <rcc rId="0" sId="2" dxf="1">
      <nc r="W145" t="inlineStr">
        <is>
          <t>NA</t>
        </is>
      </nc>
      <ndxf>
        <numFmt numFmtId="0" formatCode="General"/>
      </ndxf>
    </rcc>
    <rcc rId="0" sId="2" dxf="1">
      <nc r="W146" t="inlineStr">
        <is>
          <t>NA</t>
        </is>
      </nc>
      <ndxf>
        <numFmt numFmtId="0" formatCode="General"/>
      </ndxf>
    </rcc>
    <rcc rId="0" sId="2" dxf="1">
      <nc r="W147" t="inlineStr">
        <is>
          <t>NA</t>
        </is>
      </nc>
      <ndxf>
        <numFmt numFmtId="0" formatCode="General"/>
      </ndxf>
    </rcc>
    <rcc rId="0" sId="2" dxf="1">
      <nc r="W148" t="inlineStr">
        <is>
          <t>NA</t>
        </is>
      </nc>
      <ndxf>
        <numFmt numFmtId="0" formatCode="General"/>
      </ndxf>
    </rcc>
    <rcc rId="0" sId="2" dxf="1">
      <nc r="W149" t="inlineStr">
        <is>
          <t>NA</t>
        </is>
      </nc>
      <ndxf>
        <numFmt numFmtId="0" formatCode="General"/>
      </ndxf>
    </rcc>
    <rcc rId="0" sId="2" dxf="1">
      <nc r="W150" t="inlineStr">
        <is>
          <t>NA</t>
        </is>
      </nc>
      <ndxf>
        <numFmt numFmtId="0" formatCode="General"/>
      </ndxf>
    </rcc>
    <rcc rId="0" sId="2" dxf="1">
      <nc r="W151" t="inlineStr">
        <is>
          <t>NA</t>
        </is>
      </nc>
      <ndxf>
        <numFmt numFmtId="0" formatCode="General"/>
      </ndxf>
    </rcc>
    <rcc rId="0" sId="2" dxf="1">
      <nc r="W152" t="inlineStr">
        <is>
          <t>NA</t>
        </is>
      </nc>
      <ndxf>
        <numFmt numFmtId="0" formatCode="General"/>
      </ndxf>
    </rcc>
    <rcc rId="0" sId="2" dxf="1">
      <nc r="W153" t="inlineStr">
        <is>
          <t>NA</t>
        </is>
      </nc>
      <ndxf>
        <numFmt numFmtId="0" formatCode="General"/>
      </ndxf>
    </rcc>
    <rcc rId="0" sId="2" dxf="1">
      <nc r="W154" t="inlineStr">
        <is>
          <t>NA</t>
        </is>
      </nc>
      <ndxf>
        <numFmt numFmtId="0" formatCode="General"/>
      </ndxf>
    </rcc>
    <rcc rId="0" sId="2" dxf="1">
      <nc r="W155" t="inlineStr">
        <is>
          <t>NA</t>
        </is>
      </nc>
      <ndxf>
        <numFmt numFmtId="0" formatCode="General"/>
      </ndxf>
    </rcc>
    <rcc rId="0" sId="2" dxf="1">
      <nc r="W156" t="inlineStr">
        <is>
          <t>NA</t>
        </is>
      </nc>
      <ndxf>
        <numFmt numFmtId="0" formatCode="General"/>
      </ndxf>
    </rcc>
    <rcc rId="0" sId="2" dxf="1">
      <nc r="W157" t="inlineStr">
        <is>
          <t>NA</t>
        </is>
      </nc>
      <ndxf>
        <numFmt numFmtId="0" formatCode="General"/>
      </ndxf>
    </rcc>
    <rcc rId="0" sId="2" dxf="1">
      <nc r="W158" t="inlineStr">
        <is>
          <t>NA</t>
        </is>
      </nc>
      <ndxf>
        <numFmt numFmtId="0" formatCode="General"/>
      </ndxf>
    </rcc>
    <rcc rId="0" sId="2" dxf="1">
      <nc r="W159" t="inlineStr">
        <is>
          <t>NA</t>
        </is>
      </nc>
      <ndxf>
        <numFmt numFmtId="0" formatCode="General"/>
      </ndxf>
    </rcc>
    <rcc rId="0" sId="2" dxf="1">
      <nc r="W160" t="inlineStr">
        <is>
          <t>NA</t>
        </is>
      </nc>
      <ndxf>
        <numFmt numFmtId="0" formatCode="General"/>
      </ndxf>
    </rcc>
    <rcc rId="0" sId="2" dxf="1">
      <nc r="W161" t="inlineStr">
        <is>
          <t>NA</t>
        </is>
      </nc>
      <ndxf>
        <numFmt numFmtId="0" formatCode="General"/>
      </ndxf>
    </rcc>
    <rcc rId="0" sId="2" dxf="1">
      <nc r="W162" t="inlineStr">
        <is>
          <t>NA</t>
        </is>
      </nc>
      <ndxf>
        <numFmt numFmtId="0" formatCode="General"/>
      </ndxf>
    </rcc>
    <rcc rId="0" sId="2" dxf="1">
      <nc r="W163" t="inlineStr">
        <is>
          <t>NA</t>
        </is>
      </nc>
      <ndxf>
        <numFmt numFmtId="0" formatCode="General"/>
      </ndxf>
    </rcc>
    <rcc rId="0" sId="2" dxf="1">
      <nc r="W164" t="inlineStr">
        <is>
          <t>NA</t>
        </is>
      </nc>
      <ndxf>
        <numFmt numFmtId="0" formatCode="General"/>
      </ndxf>
    </rcc>
    <rcc rId="0" sId="2" dxf="1">
      <nc r="W165" t="inlineStr">
        <is>
          <t>NA</t>
        </is>
      </nc>
      <ndxf>
        <numFmt numFmtId="0" formatCode="General"/>
      </ndxf>
    </rcc>
    <rcc rId="0" sId="2" dxf="1">
      <nc r="W166" t="inlineStr">
        <is>
          <t>NA</t>
        </is>
      </nc>
      <ndxf>
        <numFmt numFmtId="0" formatCode="General"/>
      </ndxf>
    </rcc>
    <rcc rId="0" sId="2" dxf="1">
      <nc r="W167" t="inlineStr">
        <is>
          <t>NA</t>
        </is>
      </nc>
      <ndxf>
        <numFmt numFmtId="0" formatCode="General"/>
      </ndxf>
    </rcc>
    <rcc rId="0" sId="2" dxf="1">
      <nc r="W168" t="inlineStr">
        <is>
          <t>NA</t>
        </is>
      </nc>
      <ndxf>
        <numFmt numFmtId="0" formatCode="General"/>
      </ndxf>
    </rcc>
    <rcc rId="0" sId="2" dxf="1">
      <nc r="W169" t="inlineStr">
        <is>
          <t>NA</t>
        </is>
      </nc>
      <ndxf>
        <numFmt numFmtId="0" formatCode="General"/>
      </ndxf>
    </rcc>
    <rcc rId="0" sId="2" dxf="1">
      <nc r="W170" t="inlineStr">
        <is>
          <t>NA</t>
        </is>
      </nc>
      <ndxf>
        <numFmt numFmtId="0" formatCode="General"/>
      </ndxf>
    </rcc>
    <rcc rId="0" sId="2" dxf="1">
      <nc r="W171" t="inlineStr">
        <is>
          <t>NA</t>
        </is>
      </nc>
      <ndxf>
        <numFmt numFmtId="0" formatCode="General"/>
      </ndxf>
    </rcc>
    <rcc rId="0" sId="2" dxf="1">
      <nc r="W172" t="inlineStr">
        <is>
          <t>NA</t>
        </is>
      </nc>
      <ndxf>
        <numFmt numFmtId="0" formatCode="General"/>
      </ndxf>
    </rcc>
    <rcc rId="0" sId="2" dxf="1">
      <nc r="W173" t="inlineStr">
        <is>
          <t>NA</t>
        </is>
      </nc>
      <ndxf>
        <numFmt numFmtId="0" formatCode="General"/>
      </ndxf>
    </rcc>
    <rcc rId="0" sId="2" dxf="1">
      <nc r="W174" t="inlineStr">
        <is>
          <t>NA</t>
        </is>
      </nc>
      <ndxf>
        <numFmt numFmtId="0" formatCode="General"/>
      </ndxf>
    </rcc>
    <rcc rId="0" sId="2" dxf="1">
      <nc r="W175" t="inlineStr">
        <is>
          <t>NA</t>
        </is>
      </nc>
      <ndxf>
        <numFmt numFmtId="0" formatCode="General"/>
      </ndxf>
    </rcc>
    <rcc rId="0" sId="2" dxf="1">
      <nc r="W176" t="inlineStr">
        <is>
          <t>NA</t>
        </is>
      </nc>
      <ndxf>
        <numFmt numFmtId="0" formatCode="General"/>
      </ndxf>
    </rcc>
    <rcc rId="0" sId="2" dxf="1">
      <nc r="W177" t="inlineStr">
        <is>
          <t>NA</t>
        </is>
      </nc>
      <ndxf>
        <numFmt numFmtId="0" formatCode="General"/>
      </ndxf>
    </rcc>
    <rcc rId="0" sId="2" dxf="1">
      <nc r="W178" t="inlineStr">
        <is>
          <t>NA</t>
        </is>
      </nc>
      <ndxf>
        <numFmt numFmtId="0" formatCode="General"/>
      </ndxf>
    </rcc>
    <rcc rId="0" sId="2" dxf="1">
      <nc r="W179" t="inlineStr">
        <is>
          <t>NA</t>
        </is>
      </nc>
      <ndxf>
        <numFmt numFmtId="0" formatCode="General"/>
      </ndxf>
    </rcc>
    <rcc rId="0" sId="2" dxf="1">
      <nc r="W180" t="inlineStr">
        <is>
          <t>NA</t>
        </is>
      </nc>
      <ndxf>
        <numFmt numFmtId="0" formatCode="General"/>
      </ndxf>
    </rcc>
    <rcc rId="0" sId="2" dxf="1">
      <nc r="W181" t="inlineStr">
        <is>
          <t>NA</t>
        </is>
      </nc>
      <ndxf>
        <numFmt numFmtId="0" formatCode="General"/>
      </ndxf>
    </rcc>
    <rcc rId="0" sId="2" dxf="1">
      <nc r="W182" t="inlineStr">
        <is>
          <t>NA</t>
        </is>
      </nc>
      <ndxf>
        <numFmt numFmtId="0" formatCode="General"/>
      </ndxf>
    </rcc>
    <rcc rId="0" sId="2" dxf="1">
      <nc r="W183" t="inlineStr">
        <is>
          <t>NA</t>
        </is>
      </nc>
      <ndxf>
        <numFmt numFmtId="0" formatCode="General"/>
      </ndxf>
    </rcc>
    <rcc rId="0" sId="2" dxf="1">
      <nc r="W184" t="inlineStr">
        <is>
          <t>NA</t>
        </is>
      </nc>
      <ndxf>
        <numFmt numFmtId="0" formatCode="General"/>
      </ndxf>
    </rcc>
    <rcc rId="0" sId="2" dxf="1">
      <nc r="W185" t="inlineStr">
        <is>
          <t>NA</t>
        </is>
      </nc>
      <ndxf>
        <numFmt numFmtId="0" formatCode="General"/>
      </ndxf>
    </rcc>
    <rcc rId="0" sId="2" dxf="1">
      <nc r="W186" t="inlineStr">
        <is>
          <t>NA</t>
        </is>
      </nc>
      <ndxf>
        <numFmt numFmtId="0" formatCode="General"/>
      </ndxf>
    </rcc>
    <rcc rId="0" sId="2" dxf="1">
      <nc r="W187" t="inlineStr">
        <is>
          <t>NA</t>
        </is>
      </nc>
      <ndxf>
        <numFmt numFmtId="0" formatCode="General"/>
      </ndxf>
    </rcc>
    <rcc rId="0" sId="2" dxf="1">
      <nc r="W188" t="inlineStr">
        <is>
          <t>NA</t>
        </is>
      </nc>
      <ndxf>
        <numFmt numFmtId="0" formatCode="General"/>
      </ndxf>
    </rcc>
    <rcc rId="0" sId="2" dxf="1">
      <nc r="W191" t="inlineStr">
        <is>
          <t>NA</t>
        </is>
      </nc>
      <ndxf>
        <numFmt numFmtId="0" formatCode="General"/>
      </ndxf>
    </rcc>
    <rcc rId="0" sId="2" dxf="1">
      <nc r="W192" t="inlineStr">
        <is>
          <t>NA</t>
        </is>
      </nc>
      <ndxf>
        <numFmt numFmtId="0" formatCode="General"/>
      </ndxf>
    </rcc>
    <rcc rId="0" sId="2" dxf="1">
      <nc r="W193" t="inlineStr">
        <is>
          <t>NA</t>
        </is>
      </nc>
      <ndxf>
        <numFmt numFmtId="0" formatCode="General"/>
      </ndxf>
    </rcc>
    <rcc rId="0" sId="2" dxf="1">
      <nc r="W194" t="inlineStr">
        <is>
          <t>NA</t>
        </is>
      </nc>
      <ndxf>
        <numFmt numFmtId="0" formatCode="General"/>
      </ndxf>
    </rcc>
    <rcc rId="0" sId="2" dxf="1">
      <nc r="W195" t="inlineStr">
        <is>
          <t>NA</t>
        </is>
      </nc>
      <ndxf>
        <numFmt numFmtId="0" formatCode="General"/>
      </ndxf>
    </rcc>
    <rcc rId="0" sId="2" dxf="1">
      <nc r="W196" t="inlineStr">
        <is>
          <t>NA</t>
        </is>
      </nc>
      <ndxf>
        <numFmt numFmtId="0" formatCode="General"/>
      </ndxf>
    </rcc>
    <rcc rId="0" sId="2" dxf="1">
      <nc r="W197" t="inlineStr">
        <is>
          <t>NA</t>
        </is>
      </nc>
      <ndxf>
        <numFmt numFmtId="0" formatCode="General"/>
      </ndxf>
    </rcc>
    <rcc rId="0" sId="2" dxf="1">
      <nc r="W198" t="inlineStr">
        <is>
          <t>NA</t>
        </is>
      </nc>
      <ndxf>
        <numFmt numFmtId="0" formatCode="General"/>
      </ndxf>
    </rcc>
    <rcc rId="0" sId="2" dxf="1">
      <nc r="W199" t="inlineStr">
        <is>
          <t>NA</t>
        </is>
      </nc>
      <ndxf>
        <numFmt numFmtId="0" formatCode="General"/>
      </ndxf>
    </rcc>
    <rcc rId="0" sId="2" dxf="1">
      <nc r="W200" t="inlineStr">
        <is>
          <t>NA</t>
        </is>
      </nc>
      <ndxf>
        <numFmt numFmtId="0" formatCode="General"/>
      </ndxf>
    </rcc>
    <rcc rId="0" sId="2" dxf="1">
      <nc r="W201" t="inlineStr">
        <is>
          <t>NA</t>
        </is>
      </nc>
      <ndxf>
        <numFmt numFmtId="0" formatCode="General"/>
      </ndxf>
    </rcc>
    <rcc rId="0" sId="2" dxf="1">
      <nc r="W202" t="inlineStr">
        <is>
          <t>NA</t>
        </is>
      </nc>
      <ndxf>
        <numFmt numFmtId="0" formatCode="General"/>
        <fill>
          <patternFill patternType="solid">
            <bgColor rgb="FFFFFF00"/>
          </patternFill>
        </fill>
      </ndxf>
    </rcc>
    <rcc rId="0" sId="2" dxf="1">
      <nc r="W203" t="inlineStr">
        <is>
          <t>NA</t>
        </is>
      </nc>
      <ndxf>
        <numFmt numFmtId="0" formatCode="General"/>
        <fill>
          <patternFill patternType="solid">
            <bgColor rgb="FFFFFF00"/>
          </patternFill>
        </fill>
      </ndxf>
    </rcc>
    <rcc rId="0" sId="2" dxf="1">
      <nc r="W204" t="inlineStr">
        <is>
          <t>NA</t>
        </is>
      </nc>
      <ndxf>
        <numFmt numFmtId="0" formatCode="General"/>
        <fill>
          <patternFill patternType="solid">
            <bgColor rgb="FFFFFF00"/>
          </patternFill>
        </fill>
      </ndxf>
    </rcc>
    <rcc rId="0" sId="2" dxf="1">
      <nc r="W205" t="inlineStr">
        <is>
          <t>NA</t>
        </is>
      </nc>
      <ndxf>
        <numFmt numFmtId="0" formatCode="General"/>
      </ndxf>
    </rcc>
    <rcc rId="0" sId="2" dxf="1">
      <nc r="W206" t="inlineStr">
        <is>
          <t>NA</t>
        </is>
      </nc>
      <ndxf>
        <numFmt numFmtId="0" formatCode="General"/>
      </ndxf>
    </rcc>
    <rcc rId="0" sId="2" dxf="1">
      <nc r="W207" t="inlineStr">
        <is>
          <t>NA</t>
        </is>
      </nc>
      <ndxf>
        <numFmt numFmtId="0" formatCode="General"/>
      </ndxf>
    </rcc>
    <rcc rId="0" sId="2" dxf="1">
      <nc r="W208" t="inlineStr">
        <is>
          <t>NA</t>
        </is>
      </nc>
      <ndxf>
        <numFmt numFmtId="0" formatCode="General"/>
      </ndxf>
    </rcc>
    <rcc rId="0" sId="2" dxf="1">
      <nc r="W209" t="inlineStr">
        <is>
          <t>NA</t>
        </is>
      </nc>
      <ndxf>
        <numFmt numFmtId="0" formatCode="General"/>
      </ndxf>
    </rcc>
    <rcc rId="0" sId="2" dxf="1">
      <nc r="W210" t="inlineStr">
        <is>
          <t>NA</t>
        </is>
      </nc>
      <ndxf>
        <numFmt numFmtId="0" formatCode="General"/>
      </ndxf>
    </rcc>
    <rcc rId="0" sId="2" dxf="1">
      <nc r="W211" t="inlineStr">
        <is>
          <t>NA</t>
        </is>
      </nc>
      <ndxf>
        <numFmt numFmtId="0" formatCode="General"/>
      </ndxf>
    </rcc>
    <rcc rId="0" sId="2">
      <nc r="W212" t="inlineStr">
        <is>
          <t>NA</t>
        </is>
      </nc>
    </rcc>
    <rcc rId="0" sId="2" dxf="1">
      <nc r="W213" t="inlineStr">
        <is>
          <t>NA</t>
        </is>
      </nc>
      <ndxf>
        <fill>
          <patternFill patternType="solid">
            <bgColor theme="0"/>
          </patternFill>
        </fill>
      </ndxf>
    </rcc>
    <rcc rId="0" sId="2" dxf="1">
      <nc r="W214" t="inlineStr">
        <is>
          <t>NA</t>
        </is>
      </nc>
      <ndxf>
        <fill>
          <patternFill patternType="solid">
            <bgColor theme="0"/>
          </patternFill>
        </fill>
      </ndxf>
    </rcc>
    <rcc rId="0" sId="2" dxf="1">
      <nc r="W215" t="inlineStr">
        <is>
          <t>NA</t>
        </is>
      </nc>
      <ndxf>
        <fill>
          <patternFill patternType="solid">
            <bgColor theme="0"/>
          </patternFill>
        </fill>
      </ndxf>
    </rcc>
    <rcc rId="0" sId="2" dxf="1">
      <nc r="W216" t="inlineStr">
        <is>
          <t>NA</t>
        </is>
      </nc>
      <ndxf>
        <fill>
          <patternFill patternType="solid">
            <bgColor theme="0"/>
          </patternFill>
        </fill>
      </ndxf>
    </rcc>
    <rcc rId="0" sId="2" dxf="1">
      <nc r="W217" t="inlineStr">
        <is>
          <t>NA</t>
        </is>
      </nc>
      <ndxf>
        <fill>
          <patternFill patternType="solid">
            <bgColor theme="0"/>
          </patternFill>
        </fill>
      </ndxf>
    </rcc>
    <rcc rId="0" sId="2">
      <nc r="W218" t="inlineStr">
        <is>
          <t>NA</t>
        </is>
      </nc>
    </rcc>
    <rcc rId="0" sId="2">
      <nc r="W219" t="inlineStr">
        <is>
          <t>NA</t>
        </is>
      </nc>
    </rcc>
    <rcc rId="0" sId="2">
      <nc r="W220" t="inlineStr">
        <is>
          <t>NA</t>
        </is>
      </nc>
    </rcc>
    <rcc rId="0" sId="2">
      <nc r="W221" t="inlineStr">
        <is>
          <t>NA</t>
        </is>
      </nc>
    </rcc>
    <rcc rId="0" sId="2">
      <nc r="W222" t="inlineStr">
        <is>
          <t>NA</t>
        </is>
      </nc>
    </rcc>
    <rcc rId="0" sId="2">
      <nc r="W223" t="inlineStr">
        <is>
          <t>NA</t>
        </is>
      </nc>
    </rcc>
    <rcc rId="0" sId="2">
      <nc r="W224" t="inlineStr">
        <is>
          <t>NA</t>
        </is>
      </nc>
    </rcc>
    <rcc rId="0" sId="2">
      <nc r="W225" t="inlineStr">
        <is>
          <t>NA</t>
        </is>
      </nc>
    </rcc>
    <rcc rId="0" sId="2">
      <nc r="W226" t="inlineStr">
        <is>
          <t>NA</t>
        </is>
      </nc>
    </rcc>
    <rcc rId="0" sId="2">
      <nc r="W227" t="inlineStr">
        <is>
          <t>NA</t>
        </is>
      </nc>
    </rcc>
    <rcc rId="0" sId="2">
      <nc r="W228" t="inlineStr">
        <is>
          <t>NA</t>
        </is>
      </nc>
    </rcc>
    <rcc rId="0" sId="2">
      <nc r="W229" t="inlineStr">
        <is>
          <t>NA</t>
        </is>
      </nc>
    </rcc>
    <rcc rId="0" sId="2">
      <nc r="W230" t="inlineStr">
        <is>
          <t>NA</t>
        </is>
      </nc>
    </rcc>
    <rcc rId="0" sId="2">
      <nc r="W231" t="inlineStr">
        <is>
          <t>NA</t>
        </is>
      </nc>
    </rcc>
    <rcc rId="0" sId="2">
      <nc r="W232" t="inlineStr">
        <is>
          <t>NA</t>
        </is>
      </nc>
    </rcc>
    <rcc rId="0" sId="2">
      <nc r="W233" t="inlineStr">
        <is>
          <t>NA</t>
        </is>
      </nc>
    </rcc>
    <rcc rId="0" sId="2">
      <nc r="W234" t="inlineStr">
        <is>
          <t>NA</t>
        </is>
      </nc>
    </rcc>
    <rcc rId="0" sId="2">
      <nc r="W235" t="inlineStr">
        <is>
          <t>NA</t>
        </is>
      </nc>
    </rcc>
    <rcc rId="0" sId="2">
      <nc r="W236" t="inlineStr">
        <is>
          <t>NA</t>
        </is>
      </nc>
    </rcc>
    <rcc rId="0" sId="2">
      <nc r="W237" t="inlineStr">
        <is>
          <t>NA</t>
        </is>
      </nc>
    </rcc>
    <rcc rId="0" sId="2">
      <nc r="W238" t="inlineStr">
        <is>
          <t>NA</t>
        </is>
      </nc>
    </rcc>
    <rcc rId="0" sId="2">
      <nc r="W239" t="inlineStr">
        <is>
          <t>NA</t>
        </is>
      </nc>
    </rcc>
    <rcc rId="0" sId="2">
      <nc r="W240" t="inlineStr">
        <is>
          <t>NA</t>
        </is>
      </nc>
    </rcc>
    <rcc rId="0" sId="2">
      <nc r="W241" t="inlineStr">
        <is>
          <t>NA</t>
        </is>
      </nc>
    </rcc>
    <rcc rId="0" sId="2">
      <nc r="W242" t="inlineStr">
        <is>
          <t>NA</t>
        </is>
      </nc>
    </rcc>
    <rcc rId="0" sId="2">
      <nc r="W243" t="inlineStr">
        <is>
          <t>NA</t>
        </is>
      </nc>
    </rcc>
    <rcc rId="0" sId="2">
      <nc r="W244" t="inlineStr">
        <is>
          <t>NA</t>
        </is>
      </nc>
    </rcc>
    <rcc rId="0" sId="2">
      <nc r="W245" t="inlineStr">
        <is>
          <t>NA</t>
        </is>
      </nc>
    </rcc>
    <rcc rId="0" sId="2">
      <nc r="W246" t="inlineStr">
        <is>
          <t>NA</t>
        </is>
      </nc>
    </rcc>
    <rcc rId="0" sId="2">
      <nc r="W247" t="inlineStr">
        <is>
          <t>NA</t>
        </is>
      </nc>
    </rcc>
    <rcc rId="0" sId="2">
      <nc r="W248" t="inlineStr">
        <is>
          <t>NA</t>
        </is>
      </nc>
    </rcc>
    <rcc rId="0" sId="2">
      <nc r="W249" t="inlineStr">
        <is>
          <t>NA</t>
        </is>
      </nc>
    </rcc>
    <rcc rId="0" sId="2">
      <nc r="W250" t="inlineStr">
        <is>
          <t>NA</t>
        </is>
      </nc>
    </rcc>
    <rcc rId="0" sId="2">
      <nc r="W251" t="inlineStr">
        <is>
          <t>NA</t>
        </is>
      </nc>
    </rcc>
    <rcc rId="0" sId="2">
      <nc r="W252" t="inlineStr">
        <is>
          <t>NA</t>
        </is>
      </nc>
    </rcc>
    <rcc rId="0" sId="2">
      <nc r="W253" t="inlineStr">
        <is>
          <t>NA</t>
        </is>
      </nc>
    </rcc>
    <rcc rId="0" sId="2">
      <nc r="W254" t="inlineStr">
        <is>
          <t>NA</t>
        </is>
      </nc>
    </rcc>
    <rcc rId="0" sId="2">
      <nc r="W255" t="inlineStr">
        <is>
          <t>NA</t>
        </is>
      </nc>
    </rcc>
    <rcc rId="0" sId="2">
      <nc r="W256" t="inlineStr">
        <is>
          <t>NA</t>
        </is>
      </nc>
    </rcc>
    <rcc rId="0" sId="2">
      <nc r="W257" t="inlineStr">
        <is>
          <t>NA</t>
        </is>
      </nc>
    </rcc>
    <rcc rId="0" sId="2">
      <nc r="W258" t="inlineStr">
        <is>
          <t>NA</t>
        </is>
      </nc>
    </rcc>
    <rcc rId="0" sId="2">
      <nc r="W259" t="inlineStr">
        <is>
          <t>NA</t>
        </is>
      </nc>
    </rcc>
  </rrc>
  <rrc rId="4334" sId="2" ref="W1:W1048576" action="deleteCol">
    <rfmt sheetId="2" xfDxf="1" sqref="W1:W1048576" start="0" length="0">
      <dxf>
        <numFmt numFmtId="2" formatCode="0.00"/>
        <alignment horizontal="left"/>
      </dxf>
    </rfmt>
    <rcc rId="0" sId="2">
      <nc r="W1" t="inlineStr">
        <is>
          <t>light_level_issue</t>
        </is>
      </nc>
    </rcc>
    <rfmt sheetId="2" sqref="W2" start="0" length="0">
      <dxf>
        <numFmt numFmtId="0" formatCode="General"/>
      </dxf>
    </rfmt>
    <rfmt sheetId="2" sqref="W3" start="0" length="0">
      <dxf>
        <font>
          <sz val="12"/>
          <color rgb="FFFF0000"/>
          <name val="Calibri"/>
          <family val="2"/>
          <scheme val="minor"/>
        </font>
      </dxf>
    </rfmt>
    <rfmt sheetId="2" sqref="W4" start="0" length="0">
      <dxf>
        <numFmt numFmtId="0" formatCode="General"/>
      </dxf>
    </rfmt>
    <rfmt sheetId="2" sqref="W13" start="0" length="0">
      <dxf>
        <font>
          <sz val="12"/>
          <color rgb="FFFF0000"/>
          <name val="Calibri"/>
          <family val="2"/>
          <scheme val="minor"/>
        </font>
      </dxf>
    </rfmt>
    <rfmt sheetId="2" sqref="W14" start="0" length="0">
      <dxf>
        <font>
          <sz val="12"/>
          <color rgb="FFFF0000"/>
          <name val="Calibri"/>
          <family val="2"/>
          <scheme val="minor"/>
        </font>
      </dxf>
    </rfmt>
    <rfmt sheetId="2" sqref="W17" start="0" length="0">
      <dxf>
        <numFmt numFmtId="0" formatCode="General"/>
      </dxf>
    </rfmt>
    <rfmt sheetId="2" sqref="W19" start="0" length="0">
      <dxf>
        <numFmt numFmtId="0" formatCode="General"/>
      </dxf>
    </rfmt>
    <rfmt sheetId="2" sqref="W28" start="0" length="0">
      <dxf>
        <numFmt numFmtId="0" formatCode="General"/>
      </dxf>
    </rfmt>
    <rfmt sheetId="2" sqref="W29" start="0" length="0">
      <dxf>
        <numFmt numFmtId="0" formatCode="General"/>
      </dxf>
    </rfmt>
    <rfmt sheetId="2" sqref="W32" start="0" length="0">
      <dxf>
        <numFmt numFmtId="0" formatCode="General"/>
      </dxf>
    </rfmt>
    <rfmt sheetId="2" sqref="W33" start="0" length="0">
      <dxf>
        <numFmt numFmtId="0" formatCode="General"/>
      </dxf>
    </rfmt>
    <rfmt sheetId="2" sqref="W37" start="0" length="0">
      <dxf>
        <numFmt numFmtId="0" formatCode="General"/>
      </dxf>
    </rfmt>
    <rfmt sheetId="2" sqref="W38" start="0" length="0">
      <dxf>
        <numFmt numFmtId="0" formatCode="General"/>
      </dxf>
    </rfmt>
    <rfmt sheetId="2" sqref="W39" start="0" length="0">
      <dxf>
        <numFmt numFmtId="0" formatCode="General"/>
      </dxf>
    </rfmt>
    <rfmt sheetId="2" sqref="W40" start="0" length="0">
      <dxf>
        <numFmt numFmtId="0" formatCode="General"/>
      </dxf>
    </rfmt>
    <rfmt sheetId="2" sqref="W41" start="0" length="0">
      <dxf>
        <numFmt numFmtId="0" formatCode="General"/>
      </dxf>
    </rfmt>
    <rfmt sheetId="2" sqref="W42" start="0" length="0">
      <dxf>
        <numFmt numFmtId="0" formatCode="General"/>
      </dxf>
    </rfmt>
    <rfmt sheetId="2" sqref="W43" start="0" length="0">
      <dxf>
        <numFmt numFmtId="0" formatCode="General"/>
      </dxf>
    </rfmt>
    <rfmt sheetId="2" sqref="W44" start="0" length="0">
      <dxf>
        <numFmt numFmtId="0" formatCode="General"/>
      </dxf>
    </rfmt>
    <rfmt sheetId="2" sqref="W45" start="0" length="0">
      <dxf>
        <numFmt numFmtId="0" formatCode="General"/>
      </dxf>
    </rfmt>
    <rfmt sheetId="2" sqref="W46" start="0" length="0">
      <dxf>
        <numFmt numFmtId="0" formatCode="General"/>
      </dxf>
    </rfmt>
    <rfmt sheetId="2" sqref="W47" start="0" length="0">
      <dxf>
        <numFmt numFmtId="0" formatCode="General"/>
      </dxf>
    </rfmt>
    <rfmt sheetId="2" sqref="W49" start="0" length="0">
      <dxf>
        <numFmt numFmtId="0" formatCode="General"/>
      </dxf>
    </rfmt>
    <rfmt sheetId="2" sqref="W50" start="0" length="0">
      <dxf>
        <numFmt numFmtId="0" formatCode="General"/>
      </dxf>
    </rfmt>
    <rfmt sheetId="2" sqref="W51" start="0" length="0">
      <dxf>
        <numFmt numFmtId="0" formatCode="General"/>
      </dxf>
    </rfmt>
    <rfmt sheetId="2" sqref="W52" start="0" length="0">
      <dxf>
        <numFmt numFmtId="0" formatCode="General"/>
      </dxf>
    </rfmt>
    <rfmt sheetId="2" sqref="W53" start="0" length="0">
      <dxf>
        <numFmt numFmtId="0" formatCode="General"/>
      </dxf>
    </rfmt>
    <rfmt sheetId="2" sqref="W54" start="0" length="0">
      <dxf>
        <numFmt numFmtId="0" formatCode="General"/>
      </dxf>
    </rfmt>
    <rfmt sheetId="2" sqref="W55" start="0" length="0">
      <dxf>
        <numFmt numFmtId="0" formatCode="General"/>
      </dxf>
    </rfmt>
    <rfmt sheetId="2" sqref="W56" start="0" length="0">
      <dxf>
        <numFmt numFmtId="0" formatCode="General"/>
      </dxf>
    </rfmt>
    <rfmt sheetId="2" sqref="W57" start="0" length="0">
      <dxf>
        <numFmt numFmtId="0" formatCode="General"/>
      </dxf>
    </rfmt>
    <rfmt sheetId="2" sqref="W58" start="0" length="0">
      <dxf>
        <numFmt numFmtId="0" formatCode="General"/>
      </dxf>
    </rfmt>
    <rfmt sheetId="2" sqref="W59" start="0" length="0">
      <dxf>
        <numFmt numFmtId="0" formatCode="General"/>
      </dxf>
    </rfmt>
    <rfmt sheetId="2" sqref="W60" start="0" length="0">
      <dxf>
        <numFmt numFmtId="0" formatCode="General"/>
      </dxf>
    </rfmt>
    <rfmt sheetId="2" sqref="W61" start="0" length="0">
      <dxf>
        <numFmt numFmtId="0" formatCode="General"/>
      </dxf>
    </rfmt>
    <rfmt sheetId="2" sqref="W62" start="0" length="0">
      <dxf>
        <numFmt numFmtId="0" formatCode="General"/>
      </dxf>
    </rfmt>
    <rfmt sheetId="2" sqref="W63" start="0" length="0">
      <dxf>
        <numFmt numFmtId="0" formatCode="General"/>
      </dxf>
    </rfmt>
    <rfmt sheetId="2" sqref="W64" start="0" length="0">
      <dxf>
        <numFmt numFmtId="0" formatCode="General"/>
      </dxf>
    </rfmt>
    <rfmt sheetId="2" sqref="W66" start="0" length="0">
      <dxf>
        <numFmt numFmtId="0" formatCode="General"/>
      </dxf>
    </rfmt>
    <rfmt sheetId="2" sqref="W67" start="0" length="0">
      <dxf>
        <numFmt numFmtId="0" formatCode="General"/>
      </dxf>
    </rfmt>
    <rfmt sheetId="2" sqref="W68" start="0" length="0">
      <dxf>
        <numFmt numFmtId="0" formatCode="General"/>
      </dxf>
    </rfmt>
    <rfmt sheetId="2" sqref="W69" start="0" length="0">
      <dxf>
        <numFmt numFmtId="0" formatCode="General"/>
      </dxf>
    </rfmt>
    <rfmt sheetId="2" sqref="W70" start="0" length="0">
      <dxf>
        <numFmt numFmtId="0" formatCode="General"/>
      </dxf>
    </rfmt>
    <rfmt sheetId="2" sqref="W71" start="0" length="0">
      <dxf>
        <numFmt numFmtId="0" formatCode="General"/>
      </dxf>
    </rfmt>
    <rfmt sheetId="2" sqref="W72" start="0" length="0">
      <dxf>
        <numFmt numFmtId="0" formatCode="General"/>
      </dxf>
    </rfmt>
    <rcc rId="0" sId="2">
      <nc r="W73" t="inlineStr">
        <is>
          <t>light video missing</t>
        </is>
      </nc>
    </rcc>
    <rfmt sheetId="2" sqref="W84" start="0" length="0">
      <dxf>
        <numFmt numFmtId="0" formatCode="General"/>
      </dxf>
    </rfmt>
    <rcc rId="0" sId="2" dxf="1">
      <nc r="W85" t="inlineStr">
        <is>
          <t>Slightly high. 5v bias was on and there were negative numbers initially. Not zeroed properly?</t>
        </is>
      </nc>
      <ndxf>
        <font>
          <sz val="12"/>
          <color rgb="FFFF0000"/>
          <name val="Calibri"/>
          <family val="2"/>
          <scheme val="minor"/>
        </font>
        <numFmt numFmtId="0" formatCode="General"/>
      </ndxf>
    </rcc>
    <rcc rId="0" sId="2" dxf="1">
      <nc r="W87" t="inlineStr">
        <is>
          <t xml:space="preserve">** actually, the light level checks out with level from a previous morning. I guess if the zero is quite large, it means the low-light measurements will be nonsense, but it wont have as much of an effect on the brighter measurements.  previous comment -Bullshit light level. Light meter didnt seem zeroed properly. Starting at -1 and had negative light readings at that level. 5v bias was also on. </t>
        </is>
      </nc>
      <ndxf>
        <numFmt numFmtId="0" formatCode="General"/>
      </ndxf>
    </rcc>
    <rcc rId="0" sId="2" dxf="1">
      <nc r="W89" t="inlineStr">
        <is>
          <t xml:space="preserve">perhaps a tad high? 5v bias was on. Not sure what factor was being used. But the reading is suspiscious seeing as things were going wrong around this time. </t>
        </is>
      </nc>
      <ndxf>
        <numFmt numFmtId="0" formatCode="General"/>
      </ndxf>
    </rcc>
    <rcc rId="0" sId="2" dxf="1">
      <nc r="W92" t="inlineStr">
        <is>
          <t>Factor change? Light levels jumpy at start of video, but appear to normalize</t>
        </is>
      </nc>
      <ndxf>
        <numFmt numFmtId="0" formatCode="General"/>
      </ndxf>
    </rcc>
    <rfmt sheetId="2" sqref="W93" start="0" length="0">
      <dxf>
        <numFmt numFmtId="0" formatCode="General"/>
      </dxf>
    </rfmt>
    <rcc rId="0" sId="2" dxf="1">
      <nc r="W94" t="inlineStr">
        <is>
          <t xml:space="preserve">Meter not zeroed propertly again? Values become negative as light level falls to around 10-2, suggesting the zero was too bright. </t>
        </is>
      </nc>
      <ndxf>
        <numFmt numFmtId="0" formatCode="General"/>
      </ndxf>
    </rcc>
    <rcc rId="0" sId="2" dxf="1">
      <nc r="W95" t="inlineStr">
        <is>
          <t xml:space="preserve">Jumpy light levels in the beginning. </t>
        </is>
      </nc>
      <ndxf>
        <numFmt numFmtId="0" formatCode="General"/>
      </ndxf>
    </rcc>
    <rcc rId="0" sId="2" dxf="1">
      <nc r="W100" t="inlineStr">
        <is>
          <t>No light meter video.</t>
        </is>
      </nc>
      <ndxf>
        <numFmt numFmtId="0" formatCode="General"/>
      </ndxf>
    </rcc>
    <rcc rId="0" sId="2" dxf="1">
      <nc r="W102" t="inlineStr">
        <is>
          <t>factor change</t>
        </is>
      </nc>
      <ndxf>
        <font>
          <sz val="12"/>
          <color rgb="FFFF0000"/>
          <name val="Calibri"/>
          <family val="2"/>
          <scheme val="minor"/>
        </font>
        <numFmt numFmtId="0" formatCode="General"/>
      </ndxf>
    </rcc>
    <rcc rId="0" sId="2">
      <nc r="W103" t="inlineStr">
        <is>
          <t>NA</t>
        </is>
      </nc>
    </rcc>
    <rcc rId="0" sId="2" dxf="1">
      <nc r="W104" t="inlineStr">
        <is>
          <t>factor change</t>
        </is>
      </nc>
      <ndxf>
        <font>
          <sz val="12"/>
          <color rgb="FFFF0000"/>
          <name val="Calibri"/>
          <family val="2"/>
          <scheme val="minor"/>
        </font>
        <numFmt numFmtId="0" formatCode="General"/>
      </ndxf>
    </rcc>
    <rcc rId="0" sId="2">
      <nc r="W105" t="inlineStr">
        <is>
          <t>NA</t>
        </is>
      </nc>
    </rcc>
    <rcc rId="0" sId="2" dxf="1">
      <nc r="W106" t="inlineStr">
        <is>
          <t>NA</t>
        </is>
      </nc>
      <ndxf>
        <font>
          <sz val="12"/>
          <color rgb="FF000000"/>
          <name val="Calibri"/>
          <family val="2"/>
          <scheme val="minor"/>
        </font>
        <numFmt numFmtId="0" formatCode="General"/>
      </ndxf>
    </rcc>
    <rcc rId="0" sId="2" dxf="1">
      <nc r="W107" t="inlineStr">
        <is>
          <t>NA</t>
        </is>
      </nc>
      <ndxf>
        <numFmt numFmtId="0" formatCode="General"/>
      </ndxf>
    </rcc>
    <rcc rId="0" sId="2" dxf="1">
      <nc r="W108" t="inlineStr">
        <is>
          <t>NA</t>
        </is>
      </nc>
      <ndxf>
        <font>
          <sz val="12"/>
          <color rgb="FF000000"/>
          <name val="Calibri"/>
          <family val="2"/>
          <scheme val="minor"/>
        </font>
        <numFmt numFmtId="0" formatCode="General"/>
      </ndxf>
    </rcc>
    <rcc rId="0" sId="2" dxf="1">
      <nc r="W109" t="inlineStr">
        <is>
          <t>factor change</t>
        </is>
      </nc>
      <ndxf>
        <font>
          <sz val="12"/>
          <color rgb="FFFF0000"/>
          <name val="Calibri"/>
          <family val="2"/>
          <scheme val="minor"/>
        </font>
        <numFmt numFmtId="0" formatCode="General"/>
      </ndxf>
    </rcc>
    <rcc rId="0" sId="2" dxf="1">
      <nc r="W110" t="inlineStr">
        <is>
          <t>NA</t>
        </is>
      </nc>
      <ndxf>
        <numFmt numFmtId="0" formatCode="General"/>
      </ndxf>
    </rcc>
    <rcc rId="0" sId="2" dxf="1">
      <nc r="W111" t="inlineStr">
        <is>
          <t>factor change</t>
        </is>
      </nc>
      <ndxf>
        <font>
          <sz val="12"/>
          <color rgb="FFFF0000"/>
          <name val="Calibri"/>
          <family val="2"/>
          <scheme val="minor"/>
        </font>
        <numFmt numFmtId="0" formatCode="General"/>
      </ndxf>
    </rcc>
    <rcc rId="0" sId="2" dxf="1">
      <nc r="W112" t="inlineStr">
        <is>
          <t>factor change</t>
        </is>
      </nc>
      <ndxf>
        <font>
          <sz val="12"/>
          <color rgb="FFFF0000"/>
          <name val="Calibri"/>
          <family val="2"/>
          <scheme val="minor"/>
        </font>
        <numFmt numFmtId="0" formatCode="General"/>
      </ndxf>
    </rcc>
    <rcc rId="0" sId="2" dxf="1">
      <nc r="W113" t="inlineStr">
        <is>
          <t>factor change</t>
        </is>
      </nc>
      <ndxf>
        <font>
          <sz val="12"/>
          <color rgb="FFFF0000"/>
          <name val="Calibri"/>
          <family val="2"/>
          <scheme val="minor"/>
        </font>
        <numFmt numFmtId="0" formatCode="General"/>
      </ndxf>
    </rcc>
    <rcc rId="0" sId="2">
      <nc r="W114" t="inlineStr">
        <is>
          <t>NA</t>
        </is>
      </nc>
    </rcc>
    <rcc rId="0" sId="2" dxf="1">
      <nc r="W115" t="inlineStr">
        <is>
          <t>factor change</t>
        </is>
      </nc>
      <ndxf>
        <font>
          <sz val="12"/>
          <color rgb="FFFF0000"/>
          <name val="Calibri"/>
          <family val="2"/>
          <scheme val="minor"/>
        </font>
        <numFmt numFmtId="0" formatCode="General"/>
      </ndxf>
    </rcc>
    <rcc rId="0" sId="2" dxf="1">
      <nc r="W116" t="inlineStr">
        <is>
          <t>factor change</t>
        </is>
      </nc>
      <ndxf>
        <font>
          <sz val="12"/>
          <color rgb="FFFF0000"/>
          <name val="Calibri"/>
          <family val="2"/>
          <scheme val="minor"/>
        </font>
        <numFmt numFmtId="0" formatCode="General"/>
      </ndxf>
    </rcc>
    <rcc rId="0" sId="2">
      <nc r="W117" t="inlineStr">
        <is>
          <t>NA</t>
        </is>
      </nc>
    </rcc>
    <rcc rId="0" sId="2" dxf="1">
      <nc r="W118" t="inlineStr">
        <is>
          <t>factor change</t>
        </is>
      </nc>
      <ndxf>
        <font>
          <sz val="12"/>
          <color rgb="FFFF0000"/>
          <name val="Calibri"/>
          <family val="2"/>
          <scheme val="minor"/>
        </font>
        <numFmt numFmtId="0" formatCode="General"/>
      </ndxf>
    </rcc>
    <rcc rId="0" sId="2" dxf="1">
      <nc r="W119" t="inlineStr">
        <is>
          <t>NA</t>
        </is>
      </nc>
      <ndxf>
        <numFmt numFmtId="0" formatCode="General"/>
      </ndxf>
    </rcc>
    <rcc rId="0" sId="2" dxf="1">
      <nc r="W120" t="inlineStr">
        <is>
          <t>NA</t>
        </is>
      </nc>
      <ndxf>
        <numFmt numFmtId="0" formatCode="General"/>
      </ndxf>
    </rcc>
    <rcc rId="0" sId="2">
      <nc r="W121" t="inlineStr">
        <is>
          <t>NA</t>
        </is>
      </nc>
    </rcc>
    <rcc rId="0" sId="2" dxf="1">
      <nc r="W122" t="inlineStr">
        <is>
          <t>factor change</t>
        </is>
      </nc>
      <ndxf>
        <font>
          <sz val="12"/>
          <color rgb="FFFF0000"/>
          <name val="Calibri"/>
          <family val="2"/>
          <scheme val="minor"/>
        </font>
        <numFmt numFmtId="0" formatCode="General"/>
      </ndxf>
    </rcc>
    <rcc rId="0" sId="2" dxf="1">
      <nc r="W123" t="inlineStr">
        <is>
          <t>NA</t>
        </is>
      </nc>
      <ndxf>
        <numFmt numFmtId="0" formatCode="General"/>
      </ndxf>
    </rcc>
    <rcc rId="0" sId="2">
      <nc r="W124" t="inlineStr">
        <is>
          <t>didn’t setup light meter</t>
        </is>
      </nc>
    </rcc>
    <rcc rId="0" sId="2">
      <nc r="W125" t="inlineStr">
        <is>
          <t>didn’t setup light meter</t>
        </is>
      </nc>
    </rcc>
    <rcc rId="0" sId="2">
      <nc r="W126" t="inlineStr">
        <is>
          <t>NA</t>
        </is>
      </nc>
    </rcc>
    <rcc rId="0" sId="2" dxf="1">
      <nc r="W127" t="inlineStr">
        <is>
          <t>NA</t>
        </is>
      </nc>
      <ndxf>
        <numFmt numFmtId="0" formatCode="General"/>
      </ndxf>
    </rcc>
    <rcc rId="0" sId="2">
      <nc r="W128" t="inlineStr">
        <is>
          <t>didn’t setup light meter</t>
        </is>
      </nc>
    </rcc>
    <rcc rId="0" sId="2">
      <nc r="W129" t="inlineStr">
        <is>
          <t>didn’t setup light meter</t>
        </is>
      </nc>
    </rcc>
    <rcc rId="0" sId="2">
      <nc r="W130" t="inlineStr">
        <is>
          <t>didn’t setup light meter</t>
        </is>
      </nc>
    </rcc>
    <rcc rId="0" sId="2">
      <nc r="W131" t="inlineStr">
        <is>
          <t>didn’t setup light meter</t>
        </is>
      </nc>
    </rcc>
    <rcc rId="0" sId="2">
      <nc r="W132" t="inlineStr">
        <is>
          <t>didn’t setup light meter</t>
        </is>
      </nc>
    </rcc>
    <rcc rId="0" sId="2">
      <nc r="W133" t="inlineStr">
        <is>
          <t>didn’t setup light meter</t>
        </is>
      </nc>
    </rcc>
    <rcc rId="0" sId="2">
      <nc r="W134" t="inlineStr">
        <is>
          <t>didn’t setup light meter</t>
        </is>
      </nc>
    </rcc>
    <rcc rId="0" sId="2">
      <nc r="W135" t="inlineStr">
        <is>
          <t>didn’t setup light meter</t>
        </is>
      </nc>
    </rcc>
    <rcc rId="0" sId="2">
      <nc r="W136" t="inlineStr">
        <is>
          <t>didn’t setup light meter</t>
        </is>
      </nc>
    </rcc>
    <rcc rId="0" sId="2">
      <nc r="W137" t="inlineStr">
        <is>
          <t>didn’t setup light meter</t>
        </is>
      </nc>
    </rcc>
    <rcc rId="0" sId="2">
      <nc r="W138" t="inlineStr">
        <is>
          <t>didn’t setup light meter</t>
        </is>
      </nc>
    </rcc>
    <rcc rId="0" sId="2">
      <nc r="W139" t="inlineStr">
        <is>
          <t>didn’t setup light meter</t>
        </is>
      </nc>
    </rcc>
    <rcc rId="0" sId="2">
      <nc r="W140" t="inlineStr">
        <is>
          <t>didn’t setup light meter</t>
        </is>
      </nc>
    </rcc>
    <rcc rId="0" sId="2">
      <nc r="W141" t="inlineStr">
        <is>
          <t>didn’t setup light meter</t>
        </is>
      </nc>
    </rcc>
    <rcc rId="0" sId="2">
      <nc r="W142" t="inlineStr">
        <is>
          <t>didn’t setup light meter</t>
        </is>
      </nc>
    </rcc>
    <rcc rId="0" sId="2">
      <nc r="W143" t="inlineStr">
        <is>
          <t>didn’t setup light meter</t>
        </is>
      </nc>
    </rcc>
    <rcc rId="0" sId="2">
      <nc r="W144" t="inlineStr">
        <is>
          <t>didn’t setup light meter</t>
        </is>
      </nc>
    </rcc>
    <rcc rId="0" sId="2">
      <nc r="W145" t="inlineStr">
        <is>
          <t>didn’t setup light meter</t>
        </is>
      </nc>
    </rcc>
    <rcc rId="0" sId="2">
      <nc r="W146" t="inlineStr">
        <is>
          <t>didn’t setup light meter</t>
        </is>
      </nc>
    </rcc>
    <rcc rId="0" sId="2">
      <nc r="W147" t="inlineStr">
        <is>
          <t>didn’t setup light meter</t>
        </is>
      </nc>
    </rcc>
    <rcc rId="0" sId="2">
      <nc r="W148" t="inlineStr">
        <is>
          <t>didn’t setup light meter</t>
        </is>
      </nc>
    </rcc>
    <rcc rId="0" sId="2">
      <nc r="W149" t="inlineStr">
        <is>
          <t>didn’t setup light meter</t>
        </is>
      </nc>
    </rcc>
    <rcc rId="0" sId="2">
      <nc r="W150" t="inlineStr">
        <is>
          <t>didn’t setup light meter</t>
        </is>
      </nc>
    </rcc>
    <rcc rId="0" sId="2">
      <nc r="W151" t="inlineStr">
        <is>
          <t>didn’t setup light meter</t>
        </is>
      </nc>
    </rcc>
    <rcc rId="0" sId="2">
      <nc r="W152" t="inlineStr">
        <is>
          <t>didn’t setup light meter</t>
        </is>
      </nc>
    </rcc>
    <rcc rId="0" sId="2">
      <nc r="W153" t="inlineStr">
        <is>
          <t>didn’t setup light meter</t>
        </is>
      </nc>
    </rcc>
    <rcc rId="0" sId="2">
      <nc r="W154" t="inlineStr">
        <is>
          <t>didn’t setup light meter</t>
        </is>
      </nc>
    </rcc>
    <rcc rId="0" sId="2">
      <nc r="W155" t="inlineStr">
        <is>
          <t>didn’t setup light meter</t>
        </is>
      </nc>
    </rcc>
    <rcc rId="0" sId="2">
      <nc r="W156" t="inlineStr">
        <is>
          <t>didn’t setup light meter</t>
        </is>
      </nc>
    </rcc>
    <rcc rId="0" sId="2">
      <nc r="W157" t="inlineStr">
        <is>
          <t>didn’t setup light meter</t>
        </is>
      </nc>
    </rcc>
    <rcc rId="0" sId="2">
      <nc r="W158" t="inlineStr">
        <is>
          <t>didn’t setup light meter</t>
        </is>
      </nc>
    </rcc>
    <rcc rId="0" sId="2">
      <nc r="W159" t="inlineStr">
        <is>
          <t>didn’t setup light meter</t>
        </is>
      </nc>
    </rcc>
    <rcc rId="0" sId="2">
      <nc r="W160" t="inlineStr">
        <is>
          <t>didn’t setup light meter</t>
        </is>
      </nc>
    </rcc>
    <rcc rId="0" sId="2">
      <nc r="W161" t="inlineStr">
        <is>
          <t>didn’t setup light meter</t>
        </is>
      </nc>
    </rcc>
    <rcc rId="0" sId="2">
      <nc r="W162" t="inlineStr">
        <is>
          <t>didn’t setup light meter</t>
        </is>
      </nc>
    </rcc>
    <rcc rId="0" sId="2">
      <nc r="W163" t="inlineStr">
        <is>
          <t>didn’t setup light meter</t>
        </is>
      </nc>
    </rcc>
    <rcc rId="0" sId="2">
      <nc r="W164" t="inlineStr">
        <is>
          <t>didn’t setup light meter</t>
        </is>
      </nc>
    </rcc>
    <rcc rId="0" sId="2">
      <nc r="W165" t="inlineStr">
        <is>
          <t>didn’t setup light meter</t>
        </is>
      </nc>
    </rcc>
    <rcc rId="0" sId="2">
      <nc r="W166" t="inlineStr">
        <is>
          <t>didn’t setup light meter</t>
        </is>
      </nc>
    </rcc>
    <rcc rId="0" sId="2">
      <nc r="W167" t="inlineStr">
        <is>
          <t>didn’t setup light meter</t>
        </is>
      </nc>
    </rcc>
    <rcc rId="0" sId="2">
      <nc r="W168" t="inlineStr">
        <is>
          <t>didn’t setup light meter</t>
        </is>
      </nc>
    </rcc>
    <rcc rId="0" sId="2">
      <nc r="W169" t="inlineStr">
        <is>
          <t>didn’t setup light meter</t>
        </is>
      </nc>
    </rcc>
    <rcc rId="0" sId="2">
      <nc r="W170" t="inlineStr">
        <is>
          <t>didn’t setup light meter</t>
        </is>
      </nc>
    </rcc>
    <rcc rId="0" sId="2">
      <nc r="W171" t="inlineStr">
        <is>
          <t>didn’t setup light meter</t>
        </is>
      </nc>
    </rcc>
    <rcc rId="0" sId="2">
      <nc r="W172" t="inlineStr">
        <is>
          <t>didn’t setup light meter</t>
        </is>
      </nc>
    </rcc>
    <rcc rId="0" sId="2">
      <nc r="W173" t="inlineStr">
        <is>
          <t>didn’t setup light meter</t>
        </is>
      </nc>
    </rcc>
    <rcc rId="0" sId="2">
      <nc r="W174" t="inlineStr">
        <is>
          <t>didn’t setup light meter</t>
        </is>
      </nc>
    </rcc>
    <rcc rId="0" sId="2">
      <nc r="W175" t="inlineStr">
        <is>
          <t>didn’t setup light meter</t>
        </is>
      </nc>
    </rcc>
    <rcc rId="0" sId="2">
      <nc r="W176" t="inlineStr">
        <is>
          <t>didn’t setup light meter</t>
        </is>
      </nc>
    </rcc>
    <rcc rId="0" sId="2">
      <nc r="W177" t="inlineStr">
        <is>
          <t>didn’t setup light meter</t>
        </is>
      </nc>
    </rcc>
    <rcc rId="0" sId="2">
      <nc r="W178" t="inlineStr">
        <is>
          <t>didn’t setup light meter</t>
        </is>
      </nc>
    </rcc>
    <rcc rId="0" sId="2">
      <nc r="W179" t="inlineStr">
        <is>
          <t>didn’t setup light meter</t>
        </is>
      </nc>
    </rcc>
    <rcc rId="0" sId="2">
      <nc r="W180" t="inlineStr">
        <is>
          <t>didn’t setup light meter</t>
        </is>
      </nc>
    </rcc>
    <rcc rId="0" sId="2">
      <nc r="W181" t="inlineStr">
        <is>
          <t>didn’t setup light meter</t>
        </is>
      </nc>
    </rcc>
    <rcc rId="0" sId="2">
      <nc r="W182" t="inlineStr">
        <is>
          <t>didn’t setup light meter</t>
        </is>
      </nc>
    </rcc>
    <rcc rId="0" sId="2">
      <nc r="W183" t="inlineStr">
        <is>
          <t>didn’t setup light meter</t>
        </is>
      </nc>
    </rcc>
    <rcc rId="0" sId="2">
      <nc r="W184" t="inlineStr">
        <is>
          <t>didn’t setup light meter</t>
        </is>
      </nc>
    </rcc>
    <rcc rId="0" sId="2">
      <nc r="W185" t="inlineStr">
        <is>
          <t>didn’t setup light meter</t>
        </is>
      </nc>
    </rcc>
    <rcc rId="0" sId="2">
      <nc r="W186" t="inlineStr">
        <is>
          <t>didn’t setup light meter</t>
        </is>
      </nc>
    </rcc>
    <rcc rId="0" sId="2">
      <nc r="W187" t="inlineStr">
        <is>
          <t>didn’t setup light meter</t>
        </is>
      </nc>
    </rcc>
    <rcc rId="0" sId="2">
      <nc r="W188" t="inlineStr">
        <is>
          <t>didn’t setup light meter</t>
        </is>
      </nc>
    </rcc>
    <rcc rId="0" sId="2">
      <nc r="W191" t="inlineStr">
        <is>
          <t>didn’t setup light meter</t>
        </is>
      </nc>
    </rcc>
    <rcc rId="0" sId="2">
      <nc r="W192" t="inlineStr">
        <is>
          <t>didn’t setup light meter</t>
        </is>
      </nc>
    </rcc>
    <rcc rId="0" sId="2">
      <nc r="W193" t="inlineStr">
        <is>
          <t>didn’t setup light meter</t>
        </is>
      </nc>
    </rcc>
    <rcc rId="0" sId="2">
      <nc r="W194" t="inlineStr">
        <is>
          <t>didn’t setup light meter</t>
        </is>
      </nc>
    </rcc>
    <rcc rId="0" sId="2">
      <nc r="W195" t="inlineStr">
        <is>
          <t>didn’t setup light meter</t>
        </is>
      </nc>
    </rcc>
    <rcc rId="0" sId="2">
      <nc r="W196" t="inlineStr">
        <is>
          <t>didn’t setup light meter</t>
        </is>
      </nc>
    </rcc>
    <rcc rId="0" sId="2">
      <nc r="W197" t="inlineStr">
        <is>
          <t>didn’t setup light meter</t>
        </is>
      </nc>
    </rcc>
    <rcc rId="0" sId="2">
      <nc r="W198" t="inlineStr">
        <is>
          <t>didn’t setup light meter</t>
        </is>
      </nc>
    </rcc>
    <rcc rId="0" sId="2">
      <nc r="W199" t="inlineStr">
        <is>
          <t>didn’t setup light meter</t>
        </is>
      </nc>
    </rcc>
    <rcc rId="0" sId="2">
      <nc r="W200" t="inlineStr">
        <is>
          <t>didn’t setup light meter</t>
        </is>
      </nc>
    </rcc>
    <rcc rId="0" sId="2" dxf="1">
      <nc r="W201" t="inlineStr">
        <is>
          <t>NA</t>
        </is>
      </nc>
      <ndxf>
        <numFmt numFmtId="0" formatCode="General"/>
      </ndxf>
    </rcc>
    <rcc rId="0" sId="2" dxf="1">
      <nc r="W202" t="inlineStr">
        <is>
          <t>didn’t setup light meter</t>
        </is>
      </nc>
      <ndxf>
        <fill>
          <patternFill patternType="solid">
            <bgColor rgb="FFFFFF00"/>
          </patternFill>
        </fill>
      </ndxf>
    </rcc>
    <rcc rId="0" sId="2" dxf="1">
      <nc r="W203" t="inlineStr">
        <is>
          <t>didn’t setup light meter</t>
        </is>
      </nc>
      <ndxf>
        <fill>
          <patternFill patternType="solid">
            <bgColor rgb="FFFFFF00"/>
          </patternFill>
        </fill>
      </ndxf>
    </rcc>
    <rcc rId="0" sId="2" dxf="1">
      <nc r="W204" t="inlineStr">
        <is>
          <t>didn’t setup light meter</t>
        </is>
      </nc>
      <ndxf>
        <fill>
          <patternFill patternType="solid">
            <bgColor rgb="FFFFFF00"/>
          </patternFill>
        </fill>
      </ndxf>
    </rcc>
    <rcc rId="0" sId="2">
      <nc r="W205" t="inlineStr">
        <is>
          <t>didn’t setup light meter</t>
        </is>
      </nc>
    </rcc>
    <rcc rId="0" sId="2">
      <nc r="W206" t="inlineStr">
        <is>
          <t>didn’t setup light meter</t>
        </is>
      </nc>
    </rcc>
    <rcc rId="0" sId="2">
      <nc r="W207" t="inlineStr">
        <is>
          <t>didn’t setup light meter</t>
        </is>
      </nc>
    </rcc>
    <rcc rId="0" sId="2">
      <nc r="W208" t="inlineStr">
        <is>
          <t>didn’t setup light meter</t>
        </is>
      </nc>
    </rcc>
    <rcc rId="0" sId="2">
      <nc r="W209" t="inlineStr">
        <is>
          <t>didn’t setup light meter</t>
        </is>
      </nc>
    </rcc>
    <rcc rId="0" sId="2">
      <nc r="W210" t="inlineStr">
        <is>
          <t>didn’t setup light meter</t>
        </is>
      </nc>
    </rcc>
    <rcc rId="0" sId="2">
      <nc r="W211" t="inlineStr">
        <is>
          <t>didn’t setup light meter</t>
        </is>
      </nc>
    </rcc>
    <rcc rId="0" sId="2">
      <nc r="W212" t="inlineStr">
        <is>
          <t>didn’t setup light meter</t>
        </is>
      </nc>
    </rcc>
    <rcc rId="0" sId="2" dxf="1">
      <nc r="W213" t="inlineStr">
        <is>
          <t>didn’t setup light meter</t>
        </is>
      </nc>
      <ndxf>
        <fill>
          <patternFill patternType="solid">
            <bgColor theme="0"/>
          </patternFill>
        </fill>
      </ndxf>
    </rcc>
    <rcc rId="0" sId="2" dxf="1">
      <nc r="W214" t="inlineStr">
        <is>
          <t>didn’t setup light meter</t>
        </is>
      </nc>
      <ndxf>
        <fill>
          <patternFill patternType="solid">
            <bgColor theme="0"/>
          </patternFill>
        </fill>
      </ndxf>
    </rcc>
    <rcc rId="0" sId="2" dxf="1">
      <nc r="W215" t="inlineStr">
        <is>
          <t>didn’t setup light meter</t>
        </is>
      </nc>
      <ndxf>
        <fill>
          <patternFill patternType="solid">
            <bgColor theme="0"/>
          </patternFill>
        </fill>
      </ndxf>
    </rcc>
    <rcc rId="0" sId="2" dxf="1">
      <nc r="W216" t="inlineStr">
        <is>
          <t>didn’t setup light meter</t>
        </is>
      </nc>
      <ndxf>
        <fill>
          <patternFill patternType="solid">
            <bgColor theme="0"/>
          </patternFill>
        </fill>
      </ndxf>
    </rcc>
    <rcc rId="0" sId="2" dxf="1">
      <nc r="W217" t="inlineStr">
        <is>
          <t>didn’t setup light meter</t>
        </is>
      </nc>
      <ndxf>
        <fill>
          <patternFill patternType="solid">
            <bgColor theme="0"/>
          </patternFill>
        </fill>
      </ndxf>
    </rcc>
    <rcc rId="0" sId="2">
      <nc r="W218" t="inlineStr">
        <is>
          <t>didn’t setup light meter</t>
        </is>
      </nc>
    </rcc>
    <rcc rId="0" sId="2">
      <nc r="W219" t="inlineStr">
        <is>
          <t>didn’t setup light meter</t>
        </is>
      </nc>
    </rcc>
    <rcc rId="0" sId="2">
      <nc r="W220" t="inlineStr">
        <is>
          <t>didn’t setup light meter</t>
        </is>
      </nc>
    </rcc>
    <rcc rId="0" sId="2">
      <nc r="W221" t="inlineStr">
        <is>
          <t>didn’t setup light meter</t>
        </is>
      </nc>
    </rcc>
    <rcc rId="0" sId="2">
      <nc r="W222" t="inlineStr">
        <is>
          <t>didn’t setup light meter</t>
        </is>
      </nc>
    </rcc>
    <rcc rId="0" sId="2">
      <nc r="W223" t="inlineStr">
        <is>
          <t>didn’t setup light meter</t>
        </is>
      </nc>
    </rcc>
    <rcc rId="0" sId="2">
      <nc r="W224" t="inlineStr">
        <is>
          <t>didn’t setup light meter</t>
        </is>
      </nc>
    </rcc>
    <rcc rId="0" sId="2">
      <nc r="W225" t="inlineStr">
        <is>
          <t>didn’t setup light meter</t>
        </is>
      </nc>
    </rcc>
    <rcc rId="0" sId="2">
      <nc r="W226" t="inlineStr">
        <is>
          <t>didn’t setup light meter</t>
        </is>
      </nc>
    </rcc>
    <rcc rId="0" sId="2">
      <nc r="W227" t="inlineStr">
        <is>
          <t>didn’t setup light meter</t>
        </is>
      </nc>
    </rcc>
    <rcc rId="0" sId="2">
      <nc r="W228" t="inlineStr">
        <is>
          <t>didn’t setup light meter</t>
        </is>
      </nc>
    </rcc>
    <rcc rId="0" sId="2">
      <nc r="W229" t="inlineStr">
        <is>
          <t>didn’t setup light meter</t>
        </is>
      </nc>
    </rcc>
    <rcc rId="0" sId="2">
      <nc r="W230" t="inlineStr">
        <is>
          <t>didn’t setup light meter</t>
        </is>
      </nc>
    </rcc>
    <rcc rId="0" sId="2">
      <nc r="W231" t="inlineStr">
        <is>
          <t>didn’t setup light meter</t>
        </is>
      </nc>
    </rcc>
    <rcc rId="0" sId="2">
      <nc r="W232" t="inlineStr">
        <is>
          <t>didn’t setup light meter</t>
        </is>
      </nc>
    </rcc>
    <rcc rId="0" sId="2">
      <nc r="W233" t="inlineStr">
        <is>
          <t>didn’t setup light meter</t>
        </is>
      </nc>
    </rcc>
    <rcc rId="0" sId="2">
      <nc r="W234" t="inlineStr">
        <is>
          <t>didn’t setup light meter</t>
        </is>
      </nc>
    </rcc>
    <rcc rId="0" sId="2">
      <nc r="W235" t="inlineStr">
        <is>
          <t>didn’t setup light meter</t>
        </is>
      </nc>
    </rcc>
    <rcc rId="0" sId="2">
      <nc r="W236" t="inlineStr">
        <is>
          <t>didn’t setup light meter</t>
        </is>
      </nc>
    </rcc>
    <rcc rId="0" sId="2">
      <nc r="W237" t="inlineStr">
        <is>
          <t>didn’t setup light meter</t>
        </is>
      </nc>
    </rcc>
    <rcc rId="0" sId="2">
      <nc r="W238" t="inlineStr">
        <is>
          <t>didn’t setup light meter</t>
        </is>
      </nc>
    </rcc>
    <rcc rId="0" sId="2">
      <nc r="W239" t="inlineStr">
        <is>
          <t>didn’t setup light meter</t>
        </is>
      </nc>
    </rcc>
    <rcc rId="0" sId="2">
      <nc r="W240" t="inlineStr">
        <is>
          <t>didn’t setup light meter</t>
        </is>
      </nc>
    </rcc>
    <rcc rId="0" sId="2">
      <nc r="W241" t="inlineStr">
        <is>
          <t>didn’t setup light meter</t>
        </is>
      </nc>
    </rcc>
    <rcc rId="0" sId="2">
      <nc r="W242" t="inlineStr">
        <is>
          <t>didn’t setup light meter</t>
        </is>
      </nc>
    </rcc>
    <rcc rId="0" sId="2">
      <nc r="W243" t="inlineStr">
        <is>
          <t>didn’t setup light meter</t>
        </is>
      </nc>
    </rcc>
    <rcc rId="0" sId="2">
      <nc r="W244" t="inlineStr">
        <is>
          <t>didn’t setup light meter</t>
        </is>
      </nc>
    </rcc>
    <rcc rId="0" sId="2">
      <nc r="W245" t="inlineStr">
        <is>
          <t>didn’t setup light meter</t>
        </is>
      </nc>
    </rcc>
    <rcc rId="0" sId="2">
      <nc r="W246" t="inlineStr">
        <is>
          <t>didn’t setup light meter</t>
        </is>
      </nc>
    </rcc>
    <rcc rId="0" sId="2">
      <nc r="W247" t="inlineStr">
        <is>
          <t>didn’t setup light meter</t>
        </is>
      </nc>
    </rcc>
    <rcc rId="0" sId="2">
      <nc r="W248" t="inlineStr">
        <is>
          <t>didn’t setup light meter</t>
        </is>
      </nc>
    </rcc>
    <rcc rId="0" sId="2">
      <nc r="W249" t="inlineStr">
        <is>
          <t>didn’t setup light meter</t>
        </is>
      </nc>
    </rcc>
    <rcc rId="0" sId="2">
      <nc r="W250" t="inlineStr">
        <is>
          <t>didn’t setup light meter</t>
        </is>
      </nc>
    </rcc>
    <rcc rId="0" sId="2">
      <nc r="W251" t="inlineStr">
        <is>
          <t>didn’t setup light meter</t>
        </is>
      </nc>
    </rcc>
    <rcc rId="0" sId="2">
      <nc r="W252" t="inlineStr">
        <is>
          <t>didn’t setup light meter</t>
        </is>
      </nc>
    </rcc>
    <rcc rId="0" sId="2">
      <nc r="W253" t="inlineStr">
        <is>
          <t>didn’t setup light meter</t>
        </is>
      </nc>
    </rcc>
    <rcc rId="0" sId="2">
      <nc r="W254" t="inlineStr">
        <is>
          <t>didn’t setup light meter</t>
        </is>
      </nc>
    </rcc>
    <rcc rId="0" sId="2">
      <nc r="W255" t="inlineStr">
        <is>
          <t>didn’t setup light meter</t>
        </is>
      </nc>
    </rcc>
    <rcc rId="0" sId="2">
      <nc r="W256" t="inlineStr">
        <is>
          <t>didn’t setup light meter</t>
        </is>
      </nc>
    </rcc>
    <rcc rId="0" sId="2">
      <nc r="W257" t="inlineStr">
        <is>
          <t>didn’t setup light meter</t>
        </is>
      </nc>
    </rcc>
    <rcc rId="0" sId="2">
      <nc r="W258" t="inlineStr">
        <is>
          <t>didn’t setup light meter</t>
        </is>
      </nc>
    </rcc>
    <rcc rId="0" sId="2">
      <nc r="W259" t="inlineStr">
        <is>
          <t>didn’t setup light meter</t>
        </is>
      </nc>
    </rcc>
  </rrc>
  <rrc rId="4335" sId="2" ref="W1:W1048576" action="deleteCol">
    <rfmt sheetId="2" xfDxf="1" sqref="W1:W1048576" start="0" length="0">
      <dxf>
        <numFmt numFmtId="2" formatCode="0.00"/>
        <alignment horizontal="left"/>
      </dxf>
    </rfmt>
    <rcc rId="0" sId="2">
      <nc r="W1" t="inlineStr">
        <is>
          <t>light_level_proxy</t>
        </is>
      </nc>
    </rcc>
    <rfmt sheetId="2" sqref="W2" start="0" length="0">
      <dxf>
        <numFmt numFmtId="0" formatCode="General"/>
      </dxf>
    </rfmt>
    <rfmt sheetId="2" sqref="W3" start="0" length="0">
      <dxf>
        <font>
          <sz val="12"/>
          <color rgb="FFFF0000"/>
          <name val="Calibri"/>
          <family val="2"/>
          <scheme val="minor"/>
        </font>
      </dxf>
    </rfmt>
    <rfmt sheetId="2" sqref="W4" start="0" length="0">
      <dxf>
        <numFmt numFmtId="0" formatCode="General"/>
      </dxf>
    </rfmt>
    <rfmt sheetId="2" sqref="W13" start="0" length="0">
      <dxf>
        <font>
          <sz val="12"/>
          <color rgb="FFFF0000"/>
          <name val="Calibri"/>
          <family val="2"/>
          <scheme val="minor"/>
        </font>
      </dxf>
    </rfmt>
    <rfmt sheetId="2" sqref="W14" start="0" length="0">
      <dxf>
        <font>
          <sz val="12"/>
          <color rgb="FFFF0000"/>
          <name val="Calibri"/>
          <family val="2"/>
          <scheme val="minor"/>
        </font>
      </dxf>
    </rfmt>
    <rfmt sheetId="2" sqref="W17" start="0" length="0">
      <dxf>
        <numFmt numFmtId="0" formatCode="General"/>
      </dxf>
    </rfmt>
    <rfmt sheetId="2" sqref="W19" start="0" length="0">
      <dxf>
        <numFmt numFmtId="0" formatCode="General"/>
      </dxf>
    </rfmt>
    <rfmt sheetId="2" sqref="W28" start="0" length="0">
      <dxf>
        <numFmt numFmtId="0" formatCode="General"/>
      </dxf>
    </rfmt>
    <rfmt sheetId="2" sqref="W29" start="0" length="0">
      <dxf>
        <numFmt numFmtId="0" formatCode="General"/>
      </dxf>
    </rfmt>
    <rfmt sheetId="2" sqref="W32" start="0" length="0">
      <dxf>
        <numFmt numFmtId="0" formatCode="General"/>
      </dxf>
    </rfmt>
    <rfmt sheetId="2" sqref="W33" start="0" length="0">
      <dxf>
        <numFmt numFmtId="0" formatCode="General"/>
      </dxf>
    </rfmt>
    <rfmt sheetId="2" sqref="W37" start="0" length="0">
      <dxf>
        <numFmt numFmtId="0" formatCode="General"/>
      </dxf>
    </rfmt>
    <rfmt sheetId="2" sqref="W38" start="0" length="0">
      <dxf>
        <numFmt numFmtId="0" formatCode="General"/>
      </dxf>
    </rfmt>
    <rfmt sheetId="2" sqref="W39" start="0" length="0">
      <dxf>
        <numFmt numFmtId="0" formatCode="General"/>
      </dxf>
    </rfmt>
    <rfmt sheetId="2" sqref="W40" start="0" length="0">
      <dxf>
        <numFmt numFmtId="0" formatCode="General"/>
      </dxf>
    </rfmt>
    <rfmt sheetId="2" sqref="W41" start="0" length="0">
      <dxf>
        <numFmt numFmtId="0" formatCode="General"/>
      </dxf>
    </rfmt>
    <rfmt sheetId="2" sqref="W42" start="0" length="0">
      <dxf>
        <numFmt numFmtId="0" formatCode="General"/>
      </dxf>
    </rfmt>
    <rfmt sheetId="2" sqref="W43" start="0" length="0">
      <dxf>
        <numFmt numFmtId="0" formatCode="General"/>
      </dxf>
    </rfmt>
    <rfmt sheetId="2" sqref="W44" start="0" length="0">
      <dxf>
        <numFmt numFmtId="0" formatCode="General"/>
      </dxf>
    </rfmt>
    <rfmt sheetId="2" sqref="W45" start="0" length="0">
      <dxf>
        <numFmt numFmtId="0" formatCode="General"/>
      </dxf>
    </rfmt>
    <rfmt sheetId="2" sqref="W46" start="0" length="0">
      <dxf>
        <numFmt numFmtId="0" formatCode="General"/>
      </dxf>
    </rfmt>
    <rfmt sheetId="2" sqref="W47" start="0" length="0">
      <dxf>
        <numFmt numFmtId="0" formatCode="General"/>
      </dxf>
    </rfmt>
    <rfmt sheetId="2" sqref="W49" start="0" length="0">
      <dxf>
        <numFmt numFmtId="0" formatCode="General"/>
      </dxf>
    </rfmt>
    <rfmt sheetId="2" sqref="W50" start="0" length="0">
      <dxf>
        <numFmt numFmtId="0" formatCode="General"/>
      </dxf>
    </rfmt>
    <rfmt sheetId="2" sqref="W51" start="0" length="0">
      <dxf>
        <numFmt numFmtId="0" formatCode="General"/>
      </dxf>
    </rfmt>
    <rfmt sheetId="2" sqref="W52" start="0" length="0">
      <dxf>
        <numFmt numFmtId="0" formatCode="General"/>
      </dxf>
    </rfmt>
    <rfmt sheetId="2" sqref="W53" start="0" length="0">
      <dxf>
        <numFmt numFmtId="0" formatCode="General"/>
      </dxf>
    </rfmt>
    <rfmt sheetId="2" sqref="W54" start="0" length="0">
      <dxf>
        <numFmt numFmtId="0" formatCode="General"/>
      </dxf>
    </rfmt>
    <rfmt sheetId="2" sqref="W55" start="0" length="0">
      <dxf>
        <numFmt numFmtId="0" formatCode="General"/>
      </dxf>
    </rfmt>
    <rfmt sheetId="2" sqref="W56" start="0" length="0">
      <dxf>
        <numFmt numFmtId="0" formatCode="General"/>
      </dxf>
    </rfmt>
    <rfmt sheetId="2" sqref="W57" start="0" length="0">
      <dxf>
        <numFmt numFmtId="0" formatCode="General"/>
      </dxf>
    </rfmt>
    <rfmt sheetId="2" sqref="W58" start="0" length="0">
      <dxf>
        <numFmt numFmtId="0" formatCode="General"/>
      </dxf>
    </rfmt>
    <rfmt sheetId="2" sqref="W59" start="0" length="0">
      <dxf>
        <numFmt numFmtId="0" formatCode="General"/>
      </dxf>
    </rfmt>
    <rfmt sheetId="2" sqref="W60" start="0" length="0">
      <dxf>
        <numFmt numFmtId="0" formatCode="General"/>
      </dxf>
    </rfmt>
    <rfmt sheetId="2" sqref="W61" start="0" length="0">
      <dxf>
        <numFmt numFmtId="0" formatCode="General"/>
      </dxf>
    </rfmt>
    <rfmt sheetId="2" sqref="W62" start="0" length="0">
      <dxf>
        <numFmt numFmtId="0" formatCode="General"/>
      </dxf>
    </rfmt>
    <rfmt sheetId="2" sqref="W63" start="0" length="0">
      <dxf>
        <numFmt numFmtId="0" formatCode="General"/>
      </dxf>
    </rfmt>
    <rfmt sheetId="2" sqref="W64" start="0" length="0">
      <dxf>
        <numFmt numFmtId="0" formatCode="General"/>
      </dxf>
    </rfmt>
    <rfmt sheetId="2" sqref="W66" start="0" length="0">
      <dxf>
        <numFmt numFmtId="0" formatCode="General"/>
      </dxf>
    </rfmt>
    <rfmt sheetId="2" sqref="W67" start="0" length="0">
      <dxf>
        <numFmt numFmtId="0" formatCode="General"/>
      </dxf>
    </rfmt>
    <rfmt sheetId="2" sqref="W68" start="0" length="0">
      <dxf>
        <numFmt numFmtId="0" formatCode="General"/>
      </dxf>
    </rfmt>
    <rfmt sheetId="2" sqref="W69" start="0" length="0">
      <dxf>
        <numFmt numFmtId="0" formatCode="General"/>
      </dxf>
    </rfmt>
    <rfmt sheetId="2" sqref="W70" start="0" length="0">
      <dxf>
        <numFmt numFmtId="0" formatCode="General"/>
      </dxf>
    </rfmt>
    <rfmt sheetId="2" sqref="W71" start="0" length="0">
      <dxf>
        <numFmt numFmtId="0" formatCode="General"/>
      </dxf>
    </rfmt>
    <rfmt sheetId="2" sqref="W72" start="0" length="0">
      <dxf>
        <numFmt numFmtId="0" formatCode="General"/>
      </dxf>
    </rfmt>
    <rcc rId="0" sId="2" dxf="1">
      <nc r="W73">
        <v>7.9299999999999995E-2</v>
      </nc>
      <ndxf>
        <numFmt numFmtId="0" formatCode="General"/>
      </ndxf>
    </rcc>
    <rfmt sheetId="2" sqref="W84" start="0" length="0">
      <dxf>
        <numFmt numFmtId="0" formatCode="General"/>
      </dxf>
    </rfmt>
    <rcc rId="0" sId="2" dxf="1">
      <nc r="W92">
        <f xml:space="preserve"> (#REF! *(1.004*10^-6)) / (1.081*10^-5)</f>
      </nc>
      <ndxf>
        <font>
          <sz val="12"/>
          <color rgb="FFFF0000"/>
          <name val="Calibri"/>
          <family val="2"/>
          <scheme val="minor"/>
        </font>
        <numFmt numFmtId="0" formatCode="General"/>
      </ndxf>
    </rcc>
    <rfmt sheetId="2" sqref="W93" start="0" length="0">
      <dxf>
        <numFmt numFmtId="0" formatCode="General"/>
      </dxf>
    </rfmt>
    <rcc rId="0" sId="2" dxf="1">
      <nc r="W94">
        <f xml:space="preserve"> (#REF! *(1.004*10^-6)) / (1.081*10^-5)</f>
      </nc>
      <ndxf>
        <font>
          <sz val="12"/>
          <color rgb="FFFF0000"/>
          <name val="Calibri"/>
          <family val="2"/>
          <scheme val="minor"/>
        </font>
        <numFmt numFmtId="0" formatCode="General"/>
      </ndxf>
    </rcc>
    <rcc rId="0" sId="2" dxf="1">
      <nc r="W95">
        <f xml:space="preserve"> (#REF! *(1.004*10^-6)) / (1.081*10^-5)</f>
      </nc>
      <ndxf>
        <font>
          <sz val="12"/>
          <color rgb="FFFF0000"/>
          <name val="Calibri"/>
          <family val="2"/>
          <scheme val="minor"/>
        </font>
        <numFmt numFmtId="0" formatCode="General"/>
      </ndxf>
    </rcc>
    <rcc rId="0" sId="2" dxf="1">
      <nc r="W100">
        <f xml:space="preserve"> (0.1331*(1.004*10^-6)) / (1.081*10^-5)</f>
      </nc>
      <ndxf>
        <numFmt numFmtId="0" formatCode="General"/>
      </ndxf>
    </rcc>
    <rcc rId="0" sId="2" dxf="1">
      <nc r="W102">
        <f xml:space="preserve"> (#REF! *(1.004*10^-6)) / (1.081*10^-5)</f>
      </nc>
      <ndxf>
        <font>
          <sz val="12"/>
          <color rgb="FFFF0000"/>
          <name val="Calibri"/>
          <family val="2"/>
          <scheme val="minor"/>
        </font>
        <numFmt numFmtId="0" formatCode="General"/>
      </ndxf>
    </rcc>
    <rcc rId="0" sId="2">
      <nc r="W103" t="inlineStr">
        <is>
          <t>NA</t>
        </is>
      </nc>
    </rcc>
    <rcc rId="0" sId="2">
      <nc r="W105" t="inlineStr">
        <is>
          <t>NA</t>
        </is>
      </nc>
    </rcc>
    <rcc rId="0" sId="2" dxf="1">
      <nc r="W106" t="inlineStr">
        <is>
          <t>NA</t>
        </is>
      </nc>
      <ndxf>
        <font>
          <sz val="12"/>
          <color rgb="FF000000"/>
          <name val="Calibri"/>
          <family val="2"/>
          <scheme val="minor"/>
        </font>
        <numFmt numFmtId="0" formatCode="General"/>
      </ndxf>
    </rcc>
    <rcc rId="0" sId="2">
      <nc r="W107" t="inlineStr">
        <is>
          <t>NA</t>
        </is>
      </nc>
    </rcc>
    <rcc rId="0" sId="2" dxf="1">
      <nc r="W108" t="inlineStr">
        <is>
          <t>NA</t>
        </is>
      </nc>
      <ndxf>
        <font>
          <sz val="12"/>
          <color rgb="FF000000"/>
          <name val="Calibri"/>
          <family val="2"/>
          <scheme val="minor"/>
        </font>
        <numFmt numFmtId="0" formatCode="General"/>
      </ndxf>
    </rcc>
    <rcc rId="0" sId="2">
      <nc r="W110" t="inlineStr">
        <is>
          <t>NA</t>
        </is>
      </nc>
    </rcc>
    <rcc rId="0" sId="2">
      <nc r="W114" t="inlineStr">
        <is>
          <t>NA</t>
        </is>
      </nc>
    </rcc>
    <rcc rId="0" sId="2">
      <nc r="W117" t="inlineStr">
        <is>
          <t>NA</t>
        </is>
      </nc>
    </rcc>
    <rcc rId="0" sId="2" dxf="1">
      <nc r="W119" t="inlineStr">
        <is>
          <t>NA</t>
        </is>
      </nc>
      <ndxf>
        <numFmt numFmtId="0" formatCode="General"/>
      </ndxf>
    </rcc>
    <rcc rId="0" sId="2" dxf="1">
      <nc r="W120" t="inlineStr">
        <is>
          <t>NA</t>
        </is>
      </nc>
      <ndxf>
        <numFmt numFmtId="0" formatCode="General"/>
      </ndxf>
    </rcc>
    <rcc rId="0" sId="2">
      <nc r="W121" t="inlineStr">
        <is>
          <t>NA</t>
        </is>
      </nc>
    </rcc>
    <rcc rId="0" sId="2" dxf="1">
      <nc r="W123" t="inlineStr">
        <is>
          <t>NA</t>
        </is>
      </nc>
      <ndxf>
        <numFmt numFmtId="0" formatCode="General"/>
      </ndxf>
    </rcc>
    <rcc rId="0" sId="2">
      <nc r="W126" t="inlineStr">
        <is>
          <t>NA</t>
        </is>
      </nc>
    </rcc>
    <rcc rId="0" sId="2" dxf="1">
      <nc r="W127" t="inlineStr">
        <is>
          <t>NA</t>
        </is>
      </nc>
      <ndxf>
        <numFmt numFmtId="0" formatCode="General"/>
      </ndxf>
    </rcc>
    <rcc rId="0" sId="2">
      <nc r="W130" t="inlineStr">
        <is>
          <t>NA</t>
        </is>
      </nc>
    </rcc>
    <rcc rId="0" sId="2">
      <nc r="W132" t="inlineStr">
        <is>
          <t>NA</t>
        </is>
      </nc>
    </rcc>
    <rcc rId="0" sId="2">
      <nc r="W136" t="inlineStr">
        <is>
          <t>NA</t>
        </is>
      </nc>
    </rcc>
    <rcc rId="0" sId="2">
      <nc r="W137" t="inlineStr">
        <is>
          <t>NA</t>
        </is>
      </nc>
    </rcc>
    <rcc rId="0" sId="2">
      <nc r="W138" t="inlineStr">
        <is>
          <t>NA</t>
        </is>
      </nc>
    </rcc>
    <rcc rId="0" sId="2">
      <nc r="W139" t="inlineStr">
        <is>
          <t>NA</t>
        </is>
      </nc>
    </rcc>
    <rcc rId="0" sId="2">
      <nc r="W140" t="inlineStr">
        <is>
          <t>NA</t>
        </is>
      </nc>
    </rcc>
    <rcc rId="0" sId="2">
      <nc r="W141" t="inlineStr">
        <is>
          <t>NA</t>
        </is>
      </nc>
    </rcc>
    <rcc rId="0" sId="2">
      <nc r="W142" t="inlineStr">
        <is>
          <t>NA</t>
        </is>
      </nc>
    </rcc>
    <rcc rId="0" sId="2" dxf="1">
      <nc r="W201" t="inlineStr">
        <is>
          <t>NA</t>
        </is>
      </nc>
      <ndxf>
        <numFmt numFmtId="0" formatCode="General"/>
      </ndxf>
    </rcc>
    <rfmt sheetId="2" sqref="W202" start="0" length="0">
      <dxf>
        <fill>
          <patternFill patternType="solid">
            <bgColor rgb="FFFFFF00"/>
          </patternFill>
        </fill>
      </dxf>
    </rfmt>
    <rfmt sheetId="2" sqref="W203" start="0" length="0">
      <dxf>
        <fill>
          <patternFill patternType="solid">
            <bgColor rgb="FFFFFF00"/>
          </patternFill>
        </fill>
      </dxf>
    </rfmt>
    <rfmt sheetId="2" sqref="W204" start="0" length="0">
      <dxf>
        <fill>
          <patternFill patternType="solid">
            <bgColor rgb="FFFFFF00"/>
          </patternFill>
        </fill>
      </dxf>
    </rfmt>
    <rfmt sheetId="2" sqref="W213" start="0" length="0">
      <dxf>
        <fill>
          <patternFill patternType="solid">
            <bgColor theme="0"/>
          </patternFill>
        </fill>
      </dxf>
    </rfmt>
    <rfmt sheetId="2" sqref="W214" start="0" length="0">
      <dxf>
        <fill>
          <patternFill patternType="solid">
            <bgColor theme="0"/>
          </patternFill>
        </fill>
      </dxf>
    </rfmt>
    <rfmt sheetId="2" sqref="W215" start="0" length="0">
      <dxf>
        <fill>
          <patternFill patternType="solid">
            <bgColor theme="0"/>
          </patternFill>
        </fill>
      </dxf>
    </rfmt>
    <rfmt sheetId="2" sqref="W216" start="0" length="0">
      <dxf>
        <fill>
          <patternFill patternType="solid">
            <bgColor theme="0"/>
          </patternFill>
        </fill>
      </dxf>
    </rfmt>
    <rfmt sheetId="2" sqref="W217" start="0" length="0">
      <dxf>
        <fill>
          <patternFill patternType="solid">
            <bgColor theme="0"/>
          </patternFill>
        </fill>
      </dxf>
    </rfmt>
  </rrc>
  <rrc rId="4336" sId="2" ref="W1:W1048576" action="deleteCol">
    <rfmt sheetId="2" xfDxf="1" sqref="W1:W1048576" start="0" length="0">
      <dxf>
        <numFmt numFmtId="2" formatCode="0.00"/>
        <alignment horizontal="left"/>
      </dxf>
    </rfmt>
    <rcc rId="0" sId="2">
      <nc r="W1" t="inlineStr">
        <is>
          <t>proxy_method</t>
        </is>
      </nc>
    </rcc>
    <rfmt sheetId="2" sqref="W2" start="0" length="0">
      <dxf>
        <numFmt numFmtId="0" formatCode="General"/>
      </dxf>
    </rfmt>
    <rfmt sheetId="2" sqref="W3" start="0" length="0">
      <dxf>
        <font>
          <sz val="12"/>
          <color rgb="FFFF0000"/>
          <name val="Calibri"/>
          <family val="2"/>
          <scheme val="minor"/>
        </font>
      </dxf>
    </rfmt>
    <rfmt sheetId="2" sqref="W4" start="0" length="0">
      <dxf>
        <numFmt numFmtId="0" formatCode="General"/>
      </dxf>
    </rfmt>
    <rfmt sheetId="2" sqref="W13" start="0" length="0">
      <dxf>
        <font>
          <sz val="12"/>
          <color rgb="FFFF0000"/>
          <name val="Calibri"/>
          <family val="2"/>
          <scheme val="minor"/>
        </font>
      </dxf>
    </rfmt>
    <rfmt sheetId="2" sqref="W14" start="0" length="0">
      <dxf>
        <font>
          <sz val="12"/>
          <color rgb="FFFF0000"/>
          <name val="Calibri"/>
          <family val="2"/>
          <scheme val="minor"/>
        </font>
      </dxf>
    </rfmt>
    <rfmt sheetId="2" sqref="W17" start="0" length="0">
      <dxf>
        <numFmt numFmtId="0" formatCode="General"/>
      </dxf>
    </rfmt>
    <rfmt sheetId="2" sqref="W19" start="0" length="0">
      <dxf>
        <numFmt numFmtId="0" formatCode="General"/>
      </dxf>
    </rfmt>
    <rfmt sheetId="2" sqref="W28" start="0" length="0">
      <dxf>
        <numFmt numFmtId="0" formatCode="General"/>
      </dxf>
    </rfmt>
    <rfmt sheetId="2" sqref="W29" start="0" length="0">
      <dxf>
        <numFmt numFmtId="0" formatCode="General"/>
      </dxf>
    </rfmt>
    <rfmt sheetId="2" sqref="W32" start="0" length="0">
      <dxf>
        <numFmt numFmtId="0" formatCode="General"/>
      </dxf>
    </rfmt>
    <rfmt sheetId="2" sqref="W33" start="0" length="0">
      <dxf>
        <numFmt numFmtId="0" formatCode="General"/>
      </dxf>
    </rfmt>
    <rfmt sheetId="2" sqref="W37" start="0" length="0">
      <dxf>
        <numFmt numFmtId="0" formatCode="General"/>
      </dxf>
    </rfmt>
    <rfmt sheetId="2" sqref="W38" start="0" length="0">
      <dxf>
        <numFmt numFmtId="0" formatCode="General"/>
      </dxf>
    </rfmt>
    <rfmt sheetId="2" sqref="W39" start="0" length="0">
      <dxf>
        <numFmt numFmtId="0" formatCode="General"/>
      </dxf>
    </rfmt>
    <rfmt sheetId="2" sqref="W40" start="0" length="0">
      <dxf>
        <numFmt numFmtId="0" formatCode="General"/>
      </dxf>
    </rfmt>
    <rfmt sheetId="2" sqref="W41" start="0" length="0">
      <dxf>
        <numFmt numFmtId="0" formatCode="General"/>
      </dxf>
    </rfmt>
    <rfmt sheetId="2" sqref="W42" start="0" length="0">
      <dxf>
        <numFmt numFmtId="0" formatCode="General"/>
      </dxf>
    </rfmt>
    <rfmt sheetId="2" sqref="W43" start="0" length="0">
      <dxf>
        <numFmt numFmtId="0" formatCode="General"/>
      </dxf>
    </rfmt>
    <rfmt sheetId="2" sqref="W44" start="0" length="0">
      <dxf>
        <numFmt numFmtId="0" formatCode="General"/>
      </dxf>
    </rfmt>
    <rfmt sheetId="2" sqref="W45" start="0" length="0">
      <dxf>
        <numFmt numFmtId="0" formatCode="General"/>
      </dxf>
    </rfmt>
    <rfmt sheetId="2" sqref="W46" start="0" length="0">
      <dxf>
        <numFmt numFmtId="0" formatCode="General"/>
      </dxf>
    </rfmt>
    <rfmt sheetId="2" sqref="W47" start="0" length="0">
      <dxf>
        <numFmt numFmtId="0" formatCode="General"/>
      </dxf>
    </rfmt>
    <rfmt sheetId="2" sqref="W49" start="0" length="0">
      <dxf>
        <numFmt numFmtId="0" formatCode="General"/>
      </dxf>
    </rfmt>
    <rfmt sheetId="2" sqref="W50" start="0" length="0">
      <dxf>
        <numFmt numFmtId="0" formatCode="General"/>
      </dxf>
    </rfmt>
    <rfmt sheetId="2" sqref="W51" start="0" length="0">
      <dxf>
        <numFmt numFmtId="0" formatCode="General"/>
      </dxf>
    </rfmt>
    <rfmt sheetId="2" sqref="W52" start="0" length="0">
      <dxf>
        <numFmt numFmtId="0" formatCode="General"/>
      </dxf>
    </rfmt>
    <rfmt sheetId="2" sqref="W53" start="0" length="0">
      <dxf>
        <numFmt numFmtId="0" formatCode="General"/>
      </dxf>
    </rfmt>
    <rfmt sheetId="2" sqref="W54" start="0" length="0">
      <dxf>
        <numFmt numFmtId="0" formatCode="General"/>
      </dxf>
    </rfmt>
    <rfmt sheetId="2" sqref="W55" start="0" length="0">
      <dxf>
        <numFmt numFmtId="0" formatCode="General"/>
      </dxf>
    </rfmt>
    <rfmt sheetId="2" sqref="W56" start="0" length="0">
      <dxf>
        <numFmt numFmtId="0" formatCode="General"/>
      </dxf>
    </rfmt>
    <rfmt sheetId="2" sqref="W57" start="0" length="0">
      <dxf>
        <numFmt numFmtId="0" formatCode="General"/>
      </dxf>
    </rfmt>
    <rfmt sheetId="2" sqref="W58" start="0" length="0">
      <dxf>
        <numFmt numFmtId="0" formatCode="General"/>
      </dxf>
    </rfmt>
    <rfmt sheetId="2" sqref="W59" start="0" length="0">
      <dxf>
        <numFmt numFmtId="0" formatCode="General"/>
      </dxf>
    </rfmt>
    <rfmt sheetId="2" sqref="W60" start="0" length="0">
      <dxf>
        <numFmt numFmtId="0" formatCode="General"/>
      </dxf>
    </rfmt>
    <rfmt sheetId="2" sqref="W61" start="0" length="0">
      <dxf>
        <numFmt numFmtId="0" formatCode="General"/>
      </dxf>
    </rfmt>
    <rfmt sheetId="2" sqref="W62" start="0" length="0">
      <dxf>
        <numFmt numFmtId="0" formatCode="General"/>
      </dxf>
    </rfmt>
    <rfmt sheetId="2" sqref="W63" start="0" length="0">
      <dxf>
        <numFmt numFmtId="0" formatCode="General"/>
      </dxf>
    </rfmt>
    <rfmt sheetId="2" sqref="W64" start="0" length="0">
      <dxf>
        <numFmt numFmtId="0" formatCode="General"/>
      </dxf>
    </rfmt>
    <rfmt sheetId="2" sqref="W66" start="0" length="0">
      <dxf>
        <numFmt numFmtId="0" formatCode="General"/>
      </dxf>
    </rfmt>
    <rfmt sheetId="2" sqref="W67" start="0" length="0">
      <dxf>
        <numFmt numFmtId="0" formatCode="General"/>
      </dxf>
    </rfmt>
    <rfmt sheetId="2" sqref="W68" start="0" length="0">
      <dxf>
        <numFmt numFmtId="0" formatCode="General"/>
      </dxf>
    </rfmt>
    <rfmt sheetId="2" sqref="W69" start="0" length="0">
      <dxf>
        <numFmt numFmtId="0" formatCode="General"/>
      </dxf>
    </rfmt>
    <rfmt sheetId="2" sqref="W70" start="0" length="0">
      <dxf>
        <numFmt numFmtId="0" formatCode="General"/>
      </dxf>
    </rfmt>
    <rfmt sheetId="2" sqref="W71" start="0" length="0">
      <dxf>
        <numFmt numFmtId="0" formatCode="General"/>
      </dxf>
    </rfmt>
    <rfmt sheetId="2" sqref="W72" start="0" length="0">
      <dxf>
        <numFmt numFmtId="0" formatCode="General"/>
      </dxf>
    </rfmt>
    <rcc rId="0" sId="2" dxf="1">
      <nc r="W73" t="inlineStr">
        <is>
          <t>same time previous evening</t>
        </is>
      </nc>
      <ndxf>
        <numFmt numFmtId="0" formatCode="General"/>
      </ndxf>
    </rcc>
    <rfmt sheetId="2" sqref="W84" start="0" length="0">
      <dxf>
        <numFmt numFmtId="0" formatCode="General"/>
      </dxf>
    </rfmt>
    <rfmt sheetId="2" sqref="W93" start="0" length="0">
      <dxf>
        <numFmt numFmtId="0" formatCode="General"/>
      </dxf>
    </rfmt>
    <rcc rId="0" sId="2" dxf="1">
      <nc r="W100" t="inlineStr">
        <is>
          <t>same time following evening and factor conversion</t>
        </is>
      </nc>
      <ndxf>
        <numFmt numFmtId="0" formatCode="General"/>
      </ndxf>
    </rcc>
    <rcc rId="0" sId="2">
      <nc r="W103" t="inlineStr">
        <is>
          <t>NA</t>
        </is>
      </nc>
    </rcc>
    <rcc rId="0" sId="2">
      <nc r="W105" t="inlineStr">
        <is>
          <t>NA</t>
        </is>
      </nc>
    </rcc>
    <rcc rId="0" sId="2" dxf="1">
      <nc r="W106" t="inlineStr">
        <is>
          <t>NA</t>
        </is>
      </nc>
      <ndxf>
        <font>
          <sz val="12"/>
          <color rgb="FF000000"/>
          <name val="Calibri"/>
          <family val="2"/>
          <scheme val="minor"/>
        </font>
        <numFmt numFmtId="0" formatCode="General"/>
      </ndxf>
    </rcc>
    <rcc rId="0" sId="2">
      <nc r="W107" t="inlineStr">
        <is>
          <t>NA</t>
        </is>
      </nc>
    </rcc>
    <rcc rId="0" sId="2" dxf="1">
      <nc r="W108" t="inlineStr">
        <is>
          <t>NA</t>
        </is>
      </nc>
      <ndxf>
        <font>
          <sz val="12"/>
          <color rgb="FF000000"/>
          <name val="Calibri"/>
          <family val="2"/>
          <scheme val="minor"/>
        </font>
        <numFmt numFmtId="0" formatCode="General"/>
      </ndxf>
    </rcc>
    <rcc rId="0" sId="2">
      <nc r="W110" t="inlineStr">
        <is>
          <t>NA</t>
        </is>
      </nc>
    </rcc>
    <rcc rId="0" sId="2">
      <nc r="W114" t="inlineStr">
        <is>
          <t>NA</t>
        </is>
      </nc>
    </rcc>
    <rcc rId="0" sId="2">
      <nc r="W117" t="inlineStr">
        <is>
          <t>NA</t>
        </is>
      </nc>
    </rcc>
    <rcc rId="0" sId="2" dxf="1">
      <nc r="W119" t="inlineStr">
        <is>
          <t>NA</t>
        </is>
      </nc>
      <ndxf>
        <numFmt numFmtId="0" formatCode="General"/>
      </ndxf>
    </rcc>
    <rcc rId="0" sId="2" dxf="1">
      <nc r="W120" t="inlineStr">
        <is>
          <t>NA</t>
        </is>
      </nc>
      <ndxf>
        <numFmt numFmtId="0" formatCode="General"/>
      </ndxf>
    </rcc>
    <rcc rId="0" sId="2">
      <nc r="W121" t="inlineStr">
        <is>
          <t>NA</t>
        </is>
      </nc>
    </rcc>
    <rcc rId="0" sId="2" dxf="1">
      <nc r="W123" t="inlineStr">
        <is>
          <t>NA</t>
        </is>
      </nc>
      <ndxf>
        <numFmt numFmtId="0" formatCode="General"/>
      </ndxf>
    </rcc>
    <rcc rId="0" sId="2">
      <nc r="W126" t="inlineStr">
        <is>
          <t>NA</t>
        </is>
      </nc>
    </rcc>
    <rcc rId="0" sId="2" dxf="1">
      <nc r="W127" t="inlineStr">
        <is>
          <t>NA</t>
        </is>
      </nc>
      <ndxf>
        <numFmt numFmtId="0" formatCode="General"/>
      </ndxf>
    </rcc>
    <rcc rId="0" sId="2">
      <nc r="W130" t="inlineStr">
        <is>
          <t>NA</t>
        </is>
      </nc>
    </rcc>
    <rcc rId="0" sId="2">
      <nc r="W132" t="inlineStr">
        <is>
          <t>NA</t>
        </is>
      </nc>
    </rcc>
    <rcc rId="0" sId="2">
      <nc r="W133" t="inlineStr">
        <is>
          <t>NA</t>
        </is>
      </nc>
    </rcc>
    <rcc rId="0" sId="2">
      <nc r="W134" t="inlineStr">
        <is>
          <t>NA</t>
        </is>
      </nc>
    </rcc>
    <rcc rId="0" sId="2">
      <nc r="W136" t="inlineStr">
        <is>
          <t>NA</t>
        </is>
      </nc>
    </rcc>
    <rcc rId="0" sId="2">
      <nc r="W137" t="inlineStr">
        <is>
          <t>NA</t>
        </is>
      </nc>
    </rcc>
    <rcc rId="0" sId="2">
      <nc r="W138" t="inlineStr">
        <is>
          <t>NA</t>
        </is>
      </nc>
    </rcc>
    <rcc rId="0" sId="2">
      <nc r="W139" t="inlineStr">
        <is>
          <t>NA</t>
        </is>
      </nc>
    </rcc>
    <rcc rId="0" sId="2">
      <nc r="W140" t="inlineStr">
        <is>
          <t>NA</t>
        </is>
      </nc>
    </rcc>
    <rcc rId="0" sId="2">
      <nc r="W141" t="inlineStr">
        <is>
          <t>NA</t>
        </is>
      </nc>
    </rcc>
    <rcc rId="0" sId="2">
      <nc r="W142" t="inlineStr">
        <is>
          <t>NA</t>
        </is>
      </nc>
    </rcc>
    <rcc rId="0" sId="2" dxf="1">
      <nc r="W201" t="inlineStr">
        <is>
          <t>NA</t>
        </is>
      </nc>
      <ndxf>
        <numFmt numFmtId="0" formatCode="General"/>
      </ndxf>
    </rcc>
    <rfmt sheetId="2" sqref="W202" start="0" length="0">
      <dxf>
        <fill>
          <patternFill patternType="solid">
            <bgColor rgb="FFFFFF00"/>
          </patternFill>
        </fill>
      </dxf>
    </rfmt>
    <rfmt sheetId="2" sqref="W203" start="0" length="0">
      <dxf>
        <fill>
          <patternFill patternType="solid">
            <bgColor rgb="FFFFFF00"/>
          </patternFill>
        </fill>
      </dxf>
    </rfmt>
    <rfmt sheetId="2" sqref="W204" start="0" length="0">
      <dxf>
        <fill>
          <patternFill patternType="solid">
            <bgColor rgb="FFFFFF00"/>
          </patternFill>
        </fill>
      </dxf>
    </rfmt>
    <rfmt sheetId="2" sqref="W213" start="0" length="0">
      <dxf>
        <fill>
          <patternFill patternType="solid">
            <bgColor theme="0"/>
          </patternFill>
        </fill>
      </dxf>
    </rfmt>
    <rfmt sheetId="2" sqref="W214" start="0" length="0">
      <dxf>
        <fill>
          <patternFill patternType="solid">
            <bgColor theme="0"/>
          </patternFill>
        </fill>
      </dxf>
    </rfmt>
    <rfmt sheetId="2" sqref="W215" start="0" length="0">
      <dxf>
        <fill>
          <patternFill patternType="solid">
            <bgColor theme="0"/>
          </patternFill>
        </fill>
      </dxf>
    </rfmt>
    <rfmt sheetId="2" sqref="W216" start="0" length="0">
      <dxf>
        <fill>
          <patternFill patternType="solid">
            <bgColor theme="0"/>
          </patternFill>
        </fill>
      </dxf>
    </rfmt>
    <rfmt sheetId="2" sqref="W217" start="0" length="0">
      <dxf>
        <fill>
          <patternFill patternType="solid">
            <bgColor theme="0"/>
          </patternFill>
        </fill>
      </dxf>
    </rfmt>
  </rrc>
  <rrc rId="4337" sId="2" ref="G1:G1048576" action="insertCol"/>
  <rm rId="4338" sheetId="2" source="K1:K1048576" destination="G1:G1048576" sourceSheetId="2">
    <rfmt sheetId="2" xfDxf="1" sqref="G1:G1048576" start="0" length="0">
      <dxf>
        <numFmt numFmtId="19" formatCode="yyyy/mm/dd"/>
        <alignment horizontal="left"/>
      </dxf>
    </rfmt>
    <rfmt sheetId="2" sqref="G3" start="0" length="0">
      <dxf>
        <font>
          <sz val="12"/>
          <color rgb="FFFF0000"/>
          <name val="Calibri"/>
          <family val="2"/>
          <scheme val="minor"/>
        </font>
      </dxf>
    </rfmt>
    <rfmt sheetId="2" sqref="G13" start="0" length="0">
      <dxf>
        <font>
          <sz val="12"/>
          <color rgb="FFFF0000"/>
          <name val="Calibri"/>
          <family val="2"/>
          <scheme val="minor"/>
        </font>
      </dxf>
    </rfmt>
    <rfmt sheetId="2" sqref="G14" start="0" length="0">
      <dxf>
        <font>
          <sz val="12"/>
          <color rgb="FFFF0000"/>
          <name val="Calibri"/>
          <family val="2"/>
          <scheme val="minor"/>
        </font>
      </dxf>
    </rfmt>
    <rfmt sheetId="2" sqref="G123" start="0" length="0">
      <dxf>
        <fill>
          <patternFill patternType="solid">
            <bgColor theme="0"/>
          </patternFill>
        </fill>
      </dxf>
    </rfmt>
    <rfmt sheetId="2" sqref="G202" start="0" length="0">
      <dxf>
        <fill>
          <patternFill patternType="solid">
            <bgColor rgb="FFFFFF00"/>
          </patternFill>
        </fill>
      </dxf>
    </rfmt>
    <rfmt sheetId="2" sqref="G203" start="0" length="0">
      <dxf>
        <fill>
          <patternFill patternType="solid">
            <bgColor rgb="FFFFFF00"/>
          </patternFill>
        </fill>
      </dxf>
    </rfmt>
    <rfmt sheetId="2" sqref="G204" start="0" length="0">
      <dxf>
        <fill>
          <patternFill patternType="solid">
            <bgColor rgb="FFFFFF00"/>
          </patternFill>
        </fill>
      </dxf>
    </rfmt>
    <rfmt sheetId="2" sqref="G213" start="0" length="0">
      <dxf>
        <fill>
          <patternFill patternType="solid">
            <bgColor theme="0"/>
          </patternFill>
        </fill>
      </dxf>
    </rfmt>
    <rfmt sheetId="2" sqref="G214" start="0" length="0">
      <dxf>
        <fill>
          <patternFill patternType="solid">
            <bgColor theme="0"/>
          </patternFill>
        </fill>
      </dxf>
    </rfmt>
    <rfmt sheetId="2" sqref="G215" start="0" length="0">
      <dxf>
        <fill>
          <patternFill patternType="solid">
            <bgColor theme="0"/>
          </patternFill>
        </fill>
      </dxf>
    </rfmt>
    <rfmt sheetId="2" sqref="G216" start="0" length="0">
      <dxf>
        <fill>
          <patternFill patternType="solid">
            <bgColor theme="0"/>
          </patternFill>
        </fill>
      </dxf>
    </rfmt>
    <rfmt sheetId="2" sqref="G217" start="0" length="0">
      <dxf>
        <fill>
          <patternFill patternType="solid">
            <bgColor theme="0"/>
          </patternFill>
        </fill>
      </dxf>
    </rfmt>
  </rm>
  <rrc rId="4339" sId="2" ref="K1:K1048576" action="deleteCol">
    <rfmt sheetId="2" xfDxf="1" sqref="K1:K1048576" start="0" length="0"/>
    <rfmt sheetId="2" sqref="K59" start="0" length="0">
      <dxf>
        <font>
          <sz val="12"/>
          <color rgb="FFFF0000"/>
          <name val="Calibri"/>
          <family val="2"/>
          <scheme val="minor"/>
        </font>
        <alignment horizontal="left" vertical="top"/>
      </dxf>
    </rfmt>
    <rfmt sheetId="2" sqref="K63" start="0" length="0">
      <dxf>
        <font>
          <sz val="12"/>
          <color rgb="FFFF0000"/>
          <name val="Calibri"/>
          <family val="2"/>
          <scheme val="minor"/>
        </font>
        <alignment horizontal="left" vertical="top"/>
      </dxf>
    </rfmt>
    <rfmt sheetId="2" sqref="K64" start="0" length="0">
      <dxf>
        <font>
          <sz val="12"/>
          <color rgb="FFFF0000"/>
          <name val="Calibri"/>
          <family val="2"/>
          <scheme val="minor"/>
        </font>
        <alignment horizontal="left" vertical="top"/>
      </dxf>
    </rfmt>
    <rfmt sheetId="2" sqref="K77" start="0" length="0">
      <dxf>
        <font>
          <sz val="12"/>
          <color rgb="FFFF0000"/>
          <name val="Calibri"/>
          <family val="2"/>
          <scheme val="minor"/>
        </font>
        <alignment horizontal="left" vertical="top"/>
      </dxf>
    </rfmt>
    <rfmt sheetId="2" sqref="K78" start="0" length="0">
      <dxf>
        <font>
          <sz val="12"/>
          <color rgb="FFFF0000"/>
          <name val="Calibri"/>
          <family val="2"/>
          <scheme val="minor"/>
        </font>
        <alignment horizontal="left" vertical="top"/>
      </dxf>
    </rfmt>
    <rfmt sheetId="2" sqref="K79" start="0" length="0">
      <dxf>
        <font>
          <sz val="12"/>
          <color rgb="FFFF0000"/>
          <name val="Calibri"/>
          <family val="2"/>
          <scheme val="minor"/>
        </font>
        <alignment horizontal="left" vertical="top"/>
      </dxf>
    </rfmt>
    <rfmt sheetId="2" sqref="K202" start="0" length="0">
      <dxf>
        <fill>
          <patternFill patternType="solid">
            <bgColor rgb="FFFFFF00"/>
          </patternFill>
        </fill>
        <alignment horizontal="left" vertical="top"/>
      </dxf>
    </rfmt>
    <rfmt sheetId="2" sqref="K203" start="0" length="0">
      <dxf>
        <fill>
          <patternFill patternType="solid">
            <bgColor rgb="FFFFFF00"/>
          </patternFill>
        </fill>
        <alignment horizontal="left" vertical="top"/>
      </dxf>
    </rfmt>
    <rfmt sheetId="2" sqref="K204" start="0" length="0">
      <dxf>
        <fill>
          <patternFill patternType="solid">
            <bgColor rgb="FFFFFF00"/>
          </patternFill>
        </fill>
        <alignment horizontal="left" vertical="top"/>
      </dxf>
    </rfmt>
    <rfmt sheetId="2" sqref="K213" start="0" length="0">
      <dxf>
        <fill>
          <patternFill patternType="solid">
            <bgColor theme="0"/>
          </patternFill>
        </fill>
        <alignment horizontal="left" vertical="top"/>
      </dxf>
    </rfmt>
    <rfmt sheetId="2" sqref="K214" start="0" length="0">
      <dxf>
        <fill>
          <patternFill patternType="solid">
            <bgColor theme="0"/>
          </patternFill>
        </fill>
        <alignment horizontal="left" vertical="top"/>
      </dxf>
    </rfmt>
    <rfmt sheetId="2" sqref="K215" start="0" length="0">
      <dxf>
        <fill>
          <patternFill patternType="solid">
            <bgColor theme="0"/>
          </patternFill>
        </fill>
        <alignment horizontal="left" vertical="top"/>
      </dxf>
    </rfmt>
    <rfmt sheetId="2" sqref="K216" start="0" length="0">
      <dxf>
        <fill>
          <patternFill patternType="solid">
            <bgColor theme="0"/>
          </patternFill>
        </fill>
        <alignment horizontal="left" vertical="top"/>
      </dxf>
    </rfmt>
    <rfmt sheetId="2" sqref="K217" start="0" length="0">
      <dxf>
        <fill>
          <patternFill patternType="solid">
            <bgColor theme="0"/>
          </patternFill>
        </fill>
        <alignment horizontal="left" vertical="top"/>
      </dxf>
    </rfmt>
  </rrc>
  <rcc rId="4340" sId="2">
    <oc r="J1" t="inlineStr">
      <is>
        <t>elapse_t_dep</t>
      </is>
    </oc>
    <nc r="J1" t="inlineStr">
      <is>
        <t>ELTD</t>
      </is>
    </nc>
  </rcc>
  <rcc rId="4341" sId="2">
    <oc r="K1" t="inlineStr">
      <is>
        <t>elapse_t_ret</t>
      </is>
    </oc>
    <nc r="K1" t="inlineStr">
      <is>
        <t>ELTR</t>
      </is>
    </nc>
  </rcc>
  <rrc rId="4342" sId="2" ref="I1:J1048576" action="insertCol"/>
  <rm rId="4343" sheetId="2" source="L1:M1048576" destination="I1:J1048576" sourceSheetId="2">
    <rfmt sheetId="2" xfDxf="1" sqref="I1:I1048576" start="0" length="0">
      <dxf>
        <alignment horizontal="left"/>
      </dxf>
    </rfmt>
    <rfmt sheetId="2" xfDxf="1" sqref="I1:I1048576" start="0" length="0">
      <dxf>
        <alignment horizontal="left"/>
      </dxf>
    </rfmt>
    <rfmt sheetId="2" sqref="I3" start="0" length="0">
      <dxf>
        <font>
          <sz val="12"/>
          <color rgb="FFFF0000"/>
          <name val="Calibri"/>
          <family val="2"/>
          <scheme val="minor"/>
        </font>
        <numFmt numFmtId="26" formatCode="hh:mm:ss"/>
      </dxf>
    </rfmt>
    <rfmt sheetId="2" sqref="J3" start="0" length="0">
      <dxf>
        <font>
          <sz val="12"/>
          <color rgb="FFFF0000"/>
          <name val="Calibri"/>
          <family val="2"/>
          <scheme val="minor"/>
        </font>
        <numFmt numFmtId="26" formatCode="hh:mm:ss"/>
      </dxf>
    </rfmt>
    <rfmt sheetId="2" sqref="I5" start="0" length="0">
      <dxf>
        <numFmt numFmtId="26" formatCode="hh:mm:ss"/>
      </dxf>
    </rfmt>
    <rfmt sheetId="2" sqref="J5" start="0" length="0">
      <dxf>
        <numFmt numFmtId="26" formatCode="hh:mm:ss"/>
      </dxf>
    </rfmt>
    <rfmt sheetId="2" sqref="I6" start="0" length="0">
      <dxf>
        <numFmt numFmtId="26" formatCode="hh:mm:ss"/>
      </dxf>
    </rfmt>
    <rfmt sheetId="2" sqref="J6" start="0" length="0">
      <dxf>
        <numFmt numFmtId="26" formatCode="hh:mm:ss"/>
      </dxf>
    </rfmt>
    <rfmt sheetId="2" sqref="I7" start="0" length="0">
      <dxf>
        <numFmt numFmtId="26" formatCode="hh:mm:ss"/>
      </dxf>
    </rfmt>
    <rfmt sheetId="2" sqref="J7" start="0" length="0">
      <dxf>
        <numFmt numFmtId="26" formatCode="hh:mm:ss"/>
      </dxf>
    </rfmt>
    <rfmt sheetId="2" sqref="I8" start="0" length="0">
      <dxf>
        <numFmt numFmtId="26" formatCode="hh:mm:ss"/>
      </dxf>
    </rfmt>
    <rfmt sheetId="2" sqref="J8" start="0" length="0">
      <dxf>
        <numFmt numFmtId="26" formatCode="hh:mm:ss"/>
      </dxf>
    </rfmt>
    <rfmt sheetId="2" sqref="I9" start="0" length="0">
      <dxf>
        <numFmt numFmtId="26" formatCode="hh:mm:ss"/>
      </dxf>
    </rfmt>
    <rfmt sheetId="2" sqref="J9" start="0" length="0">
      <dxf>
        <numFmt numFmtId="26" formatCode="hh:mm:ss"/>
      </dxf>
    </rfmt>
    <rfmt sheetId="2" sqref="I10" start="0" length="0">
      <dxf>
        <numFmt numFmtId="26" formatCode="hh:mm:ss"/>
      </dxf>
    </rfmt>
    <rfmt sheetId="2" sqref="J10" start="0" length="0">
      <dxf>
        <numFmt numFmtId="26" formatCode="hh:mm:ss"/>
      </dxf>
    </rfmt>
    <rfmt sheetId="2" sqref="I11" start="0" length="0">
      <dxf>
        <numFmt numFmtId="26" formatCode="hh:mm:ss"/>
      </dxf>
    </rfmt>
    <rfmt sheetId="2" sqref="J11" start="0" length="0">
      <dxf>
        <numFmt numFmtId="26" formatCode="hh:mm:ss"/>
      </dxf>
    </rfmt>
    <rfmt sheetId="2" sqref="I12" start="0" length="0">
      <dxf>
        <numFmt numFmtId="26" formatCode="hh:mm:ss"/>
      </dxf>
    </rfmt>
    <rfmt sheetId="2" sqref="J12" start="0" length="0">
      <dxf>
        <numFmt numFmtId="26" formatCode="hh:mm:ss"/>
      </dxf>
    </rfmt>
    <rfmt sheetId="2" sqref="I13" start="0" length="0">
      <dxf>
        <font>
          <sz val="12"/>
          <color rgb="FFFF0000"/>
          <name val="Calibri"/>
          <family val="2"/>
          <scheme val="minor"/>
        </font>
        <numFmt numFmtId="26" formatCode="hh:mm:ss"/>
      </dxf>
    </rfmt>
    <rfmt sheetId="2" sqref="J13" start="0" length="0">
      <dxf>
        <font>
          <sz val="12"/>
          <color rgb="FFFF0000"/>
          <name val="Calibri"/>
          <family val="2"/>
          <scheme val="minor"/>
        </font>
        <numFmt numFmtId="26" formatCode="hh:mm:ss"/>
      </dxf>
    </rfmt>
    <rfmt sheetId="2" sqref="I14" start="0" length="0">
      <dxf>
        <font>
          <sz val="12"/>
          <color rgb="FFFF0000"/>
          <name val="Calibri"/>
          <family val="2"/>
          <scheme val="minor"/>
        </font>
        <numFmt numFmtId="26" formatCode="hh:mm:ss"/>
      </dxf>
    </rfmt>
    <rfmt sheetId="2" sqref="J14" start="0" length="0">
      <dxf>
        <font>
          <sz val="12"/>
          <color rgb="FFFF0000"/>
          <name val="Calibri"/>
          <family val="2"/>
          <scheme val="minor"/>
        </font>
        <numFmt numFmtId="26" formatCode="hh:mm:ss"/>
      </dxf>
    </rfmt>
    <rfmt sheetId="2" sqref="I15" start="0" length="0">
      <dxf>
        <numFmt numFmtId="26" formatCode="hh:mm:ss"/>
      </dxf>
    </rfmt>
    <rfmt sheetId="2" sqref="J15" start="0" length="0">
      <dxf>
        <numFmt numFmtId="26" formatCode="hh:mm:ss"/>
      </dxf>
    </rfmt>
    <rfmt sheetId="2" sqref="I16" start="0" length="0">
      <dxf>
        <numFmt numFmtId="26" formatCode="hh:mm:ss"/>
      </dxf>
    </rfmt>
    <rfmt sheetId="2" sqref="J16" start="0" length="0">
      <dxf>
        <numFmt numFmtId="26" formatCode="hh:mm:ss"/>
      </dxf>
    </rfmt>
    <rfmt sheetId="2" sqref="I18" start="0" length="0">
      <dxf>
        <numFmt numFmtId="26" formatCode="hh:mm:ss"/>
      </dxf>
    </rfmt>
    <rfmt sheetId="2" sqref="J18" start="0" length="0">
      <dxf>
        <numFmt numFmtId="26" formatCode="hh:mm:ss"/>
      </dxf>
    </rfmt>
    <rfmt sheetId="2" sqref="I20" start="0" length="0">
      <dxf>
        <numFmt numFmtId="26" formatCode="hh:mm:ss"/>
      </dxf>
    </rfmt>
    <rfmt sheetId="2" sqref="J20" start="0" length="0">
      <dxf>
        <numFmt numFmtId="26" formatCode="hh:mm:ss"/>
      </dxf>
    </rfmt>
    <rfmt sheetId="2" sqref="I21" start="0" length="0">
      <dxf>
        <numFmt numFmtId="26" formatCode="hh:mm:ss"/>
      </dxf>
    </rfmt>
    <rfmt sheetId="2" sqref="J21" start="0" length="0">
      <dxf>
        <numFmt numFmtId="26" formatCode="hh:mm:ss"/>
      </dxf>
    </rfmt>
    <rfmt sheetId="2" sqref="I22" start="0" length="0">
      <dxf>
        <numFmt numFmtId="26" formatCode="hh:mm:ss"/>
      </dxf>
    </rfmt>
    <rfmt sheetId="2" sqref="J22" start="0" length="0">
      <dxf>
        <numFmt numFmtId="26" formatCode="hh:mm:ss"/>
      </dxf>
    </rfmt>
    <rfmt sheetId="2" sqref="I23" start="0" length="0">
      <dxf>
        <numFmt numFmtId="26" formatCode="hh:mm:ss"/>
      </dxf>
    </rfmt>
    <rfmt sheetId="2" sqref="J23" start="0" length="0">
      <dxf>
        <numFmt numFmtId="26" formatCode="hh:mm:ss"/>
      </dxf>
    </rfmt>
    <rfmt sheetId="2" sqref="I24" start="0" length="0">
      <dxf>
        <numFmt numFmtId="26" formatCode="hh:mm:ss"/>
      </dxf>
    </rfmt>
    <rfmt sheetId="2" sqref="J24" start="0" length="0">
      <dxf>
        <numFmt numFmtId="26" formatCode="hh:mm:ss"/>
      </dxf>
    </rfmt>
    <rfmt sheetId="2" sqref="I25" start="0" length="0">
      <dxf>
        <numFmt numFmtId="26" formatCode="hh:mm:ss"/>
      </dxf>
    </rfmt>
    <rfmt sheetId="2" sqref="J25" start="0" length="0">
      <dxf>
        <numFmt numFmtId="26" formatCode="hh:mm:ss"/>
      </dxf>
    </rfmt>
    <rfmt sheetId="2" sqref="I26" start="0" length="0">
      <dxf>
        <numFmt numFmtId="26" formatCode="hh:mm:ss"/>
      </dxf>
    </rfmt>
    <rfmt sheetId="2" sqref="J26" start="0" length="0">
      <dxf>
        <numFmt numFmtId="26" formatCode="hh:mm:ss"/>
      </dxf>
    </rfmt>
    <rfmt sheetId="2" sqref="I27" start="0" length="0">
      <dxf>
        <numFmt numFmtId="26" formatCode="hh:mm:ss"/>
      </dxf>
    </rfmt>
    <rfmt sheetId="2" sqref="J27" start="0" length="0">
      <dxf>
        <numFmt numFmtId="26" formatCode="hh:mm:ss"/>
      </dxf>
    </rfmt>
    <rfmt sheetId="2" sqref="I32" start="0" length="0">
      <dxf>
        <numFmt numFmtId="26" formatCode="hh:mm:ss"/>
      </dxf>
    </rfmt>
    <rfmt sheetId="2" sqref="J32" start="0" length="0">
      <dxf>
        <numFmt numFmtId="26" formatCode="hh:mm:ss"/>
      </dxf>
    </rfmt>
    <rfmt sheetId="2" sqref="I33" start="0" length="0">
      <dxf>
        <numFmt numFmtId="26" formatCode="hh:mm:ss"/>
      </dxf>
    </rfmt>
    <rfmt sheetId="2" sqref="J33" start="0" length="0">
      <dxf>
        <numFmt numFmtId="26" formatCode="hh:mm:ss"/>
      </dxf>
    </rfmt>
    <rfmt sheetId="2" sqref="I38" start="0" length="0">
      <dxf>
        <numFmt numFmtId="26" formatCode="hh:mm:ss"/>
      </dxf>
    </rfmt>
    <rfmt sheetId="2" sqref="J38" start="0" length="0">
      <dxf>
        <numFmt numFmtId="26" formatCode="hh:mm:ss"/>
      </dxf>
    </rfmt>
    <rfmt sheetId="2" sqref="I39" start="0" length="0">
      <dxf>
        <numFmt numFmtId="26" formatCode="hh:mm:ss"/>
      </dxf>
    </rfmt>
    <rfmt sheetId="2" sqref="J39" start="0" length="0">
      <dxf>
        <numFmt numFmtId="26" formatCode="hh:mm:ss"/>
      </dxf>
    </rfmt>
    <rfmt sheetId="2" sqref="I40" start="0" length="0">
      <dxf>
        <numFmt numFmtId="26" formatCode="hh:mm:ss"/>
      </dxf>
    </rfmt>
    <rfmt sheetId="2" sqref="J40" start="0" length="0">
      <dxf>
        <numFmt numFmtId="26" formatCode="hh:mm:ss"/>
      </dxf>
    </rfmt>
    <rfmt sheetId="2" sqref="I41" start="0" length="0">
      <dxf>
        <numFmt numFmtId="26" formatCode="hh:mm:ss"/>
      </dxf>
    </rfmt>
    <rfmt sheetId="2" sqref="J41" start="0" length="0">
      <dxf>
        <numFmt numFmtId="26" formatCode="hh:mm:ss"/>
      </dxf>
    </rfmt>
    <rfmt sheetId="2" sqref="I42" start="0" length="0">
      <dxf>
        <numFmt numFmtId="26" formatCode="hh:mm:ss"/>
      </dxf>
    </rfmt>
    <rfmt sheetId="2" sqref="J42" start="0" length="0">
      <dxf>
        <numFmt numFmtId="26" formatCode="hh:mm:ss"/>
      </dxf>
    </rfmt>
    <rfmt sheetId="2" sqref="I44" start="0" length="0">
      <dxf>
        <numFmt numFmtId="26" formatCode="hh:mm:ss"/>
      </dxf>
    </rfmt>
    <rfmt sheetId="2" sqref="J44" start="0" length="0">
      <dxf>
        <numFmt numFmtId="26" formatCode="hh:mm:ss"/>
      </dxf>
    </rfmt>
    <rfmt sheetId="2" sqref="I45" start="0" length="0">
      <dxf>
        <numFmt numFmtId="26" formatCode="hh:mm:ss"/>
      </dxf>
    </rfmt>
    <rfmt sheetId="2" sqref="J45" start="0" length="0">
      <dxf>
        <numFmt numFmtId="26" formatCode="hh:mm:ss"/>
      </dxf>
    </rfmt>
    <rfmt sheetId="2" sqref="I46" start="0" length="0">
      <dxf>
        <numFmt numFmtId="26" formatCode="hh:mm:ss"/>
      </dxf>
    </rfmt>
    <rfmt sheetId="2" sqref="J46" start="0" length="0">
      <dxf>
        <numFmt numFmtId="26" formatCode="hh:mm:ss"/>
      </dxf>
    </rfmt>
    <rfmt sheetId="2" sqref="I47" start="0" length="0">
      <dxf>
        <numFmt numFmtId="26" formatCode="hh:mm:ss"/>
      </dxf>
    </rfmt>
    <rfmt sheetId="2" sqref="J47" start="0" length="0">
      <dxf>
        <numFmt numFmtId="26" formatCode="hh:mm:ss"/>
      </dxf>
    </rfmt>
    <rfmt sheetId="2" sqref="I48" start="0" length="0">
      <dxf>
        <numFmt numFmtId="26" formatCode="hh:mm:ss"/>
      </dxf>
    </rfmt>
    <rfmt sheetId="2" sqref="J48" start="0" length="0">
      <dxf>
        <numFmt numFmtId="26" formatCode="hh:mm:ss"/>
      </dxf>
    </rfmt>
    <rfmt sheetId="2" sqref="I49" start="0" length="0">
      <dxf>
        <numFmt numFmtId="26" formatCode="hh:mm:ss"/>
      </dxf>
    </rfmt>
    <rfmt sheetId="2" sqref="J49" start="0" length="0">
      <dxf>
        <numFmt numFmtId="26" formatCode="hh:mm:ss"/>
      </dxf>
    </rfmt>
    <rfmt sheetId="2" sqref="I50" start="0" length="0">
      <dxf>
        <numFmt numFmtId="26" formatCode="hh:mm:ss"/>
      </dxf>
    </rfmt>
    <rfmt sheetId="2" sqref="J50" start="0" length="0">
      <dxf>
        <numFmt numFmtId="26" formatCode="hh:mm:ss"/>
      </dxf>
    </rfmt>
    <rfmt sheetId="2" sqref="I51" start="0" length="0">
      <dxf>
        <numFmt numFmtId="26" formatCode="hh:mm:ss"/>
      </dxf>
    </rfmt>
    <rfmt sheetId="2" sqref="J51" start="0" length="0">
      <dxf>
        <numFmt numFmtId="26" formatCode="hh:mm:ss"/>
      </dxf>
    </rfmt>
    <rfmt sheetId="2" sqref="I52" start="0" length="0">
      <dxf>
        <numFmt numFmtId="26" formatCode="hh:mm:ss"/>
      </dxf>
    </rfmt>
    <rfmt sheetId="2" sqref="J52" start="0" length="0">
      <dxf>
        <numFmt numFmtId="26" formatCode="hh:mm:ss"/>
      </dxf>
    </rfmt>
    <rfmt sheetId="2" sqref="I53" start="0" length="0">
      <dxf>
        <numFmt numFmtId="26" formatCode="hh:mm:ss"/>
      </dxf>
    </rfmt>
    <rfmt sheetId="2" sqref="J53" start="0" length="0">
      <dxf>
        <numFmt numFmtId="26" formatCode="hh:mm:ss"/>
      </dxf>
    </rfmt>
    <rfmt sheetId="2" sqref="I54" start="0" length="0">
      <dxf>
        <numFmt numFmtId="26" formatCode="hh:mm:ss"/>
      </dxf>
    </rfmt>
    <rfmt sheetId="2" sqref="J54" start="0" length="0">
      <dxf>
        <numFmt numFmtId="26" formatCode="hh:mm:ss"/>
      </dxf>
    </rfmt>
    <rfmt sheetId="2" sqref="I55" start="0" length="0">
      <dxf>
        <numFmt numFmtId="26" formatCode="hh:mm:ss"/>
      </dxf>
    </rfmt>
    <rfmt sheetId="2" sqref="J55" start="0" length="0">
      <dxf>
        <numFmt numFmtId="26" formatCode="hh:mm:ss"/>
      </dxf>
    </rfmt>
    <rfmt sheetId="2" sqref="I56" start="0" length="0">
      <dxf>
        <numFmt numFmtId="26" formatCode="hh:mm:ss"/>
      </dxf>
    </rfmt>
    <rfmt sheetId="2" sqref="J56" start="0" length="0">
      <dxf>
        <numFmt numFmtId="26" formatCode="hh:mm:ss"/>
      </dxf>
    </rfmt>
    <rfmt sheetId="2" sqref="I57" start="0" length="0">
      <dxf>
        <numFmt numFmtId="26" formatCode="hh:mm:ss"/>
      </dxf>
    </rfmt>
    <rfmt sheetId="2" sqref="J57" start="0" length="0">
      <dxf>
        <numFmt numFmtId="26" formatCode="hh:mm:ss"/>
      </dxf>
    </rfmt>
    <rfmt sheetId="2" sqref="I58" start="0" length="0">
      <dxf>
        <numFmt numFmtId="26" formatCode="hh:mm:ss"/>
      </dxf>
    </rfmt>
    <rfmt sheetId="2" sqref="J58" start="0" length="0">
      <dxf>
        <numFmt numFmtId="26" formatCode="hh:mm:ss"/>
      </dxf>
    </rfmt>
    <rfmt sheetId="2" sqref="I59" start="0" length="0">
      <dxf>
        <numFmt numFmtId="26" formatCode="hh:mm:ss"/>
      </dxf>
    </rfmt>
    <rfmt sheetId="2" sqref="J59" start="0" length="0">
      <dxf>
        <numFmt numFmtId="26" formatCode="hh:mm:ss"/>
      </dxf>
    </rfmt>
    <rfmt sheetId="2" sqref="I60" start="0" length="0">
      <dxf>
        <numFmt numFmtId="26" formatCode="hh:mm:ss"/>
      </dxf>
    </rfmt>
    <rfmt sheetId="2" sqref="J60" start="0" length="0">
      <dxf>
        <numFmt numFmtId="26" formatCode="hh:mm:ss"/>
      </dxf>
    </rfmt>
    <rfmt sheetId="2" sqref="I61" start="0" length="0">
      <dxf>
        <numFmt numFmtId="26" formatCode="hh:mm:ss"/>
      </dxf>
    </rfmt>
    <rfmt sheetId="2" sqref="J61" start="0" length="0">
      <dxf>
        <numFmt numFmtId="26" formatCode="hh:mm:ss"/>
      </dxf>
    </rfmt>
    <rfmt sheetId="2" sqref="I62" start="0" length="0">
      <dxf>
        <numFmt numFmtId="26" formatCode="hh:mm:ss"/>
      </dxf>
    </rfmt>
    <rfmt sheetId="2" sqref="J62" start="0" length="0">
      <dxf>
        <numFmt numFmtId="26" formatCode="hh:mm:ss"/>
      </dxf>
    </rfmt>
    <rfmt sheetId="2" sqref="I63" start="0" length="0">
      <dxf>
        <numFmt numFmtId="26" formatCode="hh:mm:ss"/>
      </dxf>
    </rfmt>
    <rfmt sheetId="2" sqref="J63" start="0" length="0">
      <dxf>
        <numFmt numFmtId="26" formatCode="hh:mm:ss"/>
      </dxf>
    </rfmt>
    <rfmt sheetId="2" sqref="I64" start="0" length="0">
      <dxf>
        <numFmt numFmtId="26" formatCode="hh:mm:ss"/>
      </dxf>
    </rfmt>
    <rfmt sheetId="2" sqref="J64" start="0" length="0">
      <dxf>
        <numFmt numFmtId="26" formatCode="hh:mm:ss"/>
      </dxf>
    </rfmt>
    <rfmt sheetId="2" sqref="I66" start="0" length="0">
      <dxf>
        <numFmt numFmtId="26" formatCode="hh:mm:ss"/>
      </dxf>
    </rfmt>
    <rfmt sheetId="2" sqref="J66" start="0" length="0">
      <dxf>
        <numFmt numFmtId="26" formatCode="hh:mm:ss"/>
      </dxf>
    </rfmt>
    <rfmt sheetId="2" sqref="I67" start="0" length="0">
      <dxf>
        <numFmt numFmtId="26" formatCode="hh:mm:ss"/>
      </dxf>
    </rfmt>
    <rfmt sheetId="2" sqref="J67" start="0" length="0">
      <dxf>
        <numFmt numFmtId="26" formatCode="hh:mm:ss"/>
      </dxf>
    </rfmt>
    <rfmt sheetId="2" sqref="I68" start="0" length="0">
      <dxf>
        <numFmt numFmtId="26" formatCode="hh:mm:ss"/>
      </dxf>
    </rfmt>
    <rfmt sheetId="2" sqref="J68" start="0" length="0">
      <dxf>
        <numFmt numFmtId="26" formatCode="hh:mm:ss"/>
      </dxf>
    </rfmt>
    <rfmt sheetId="2" sqref="I69" start="0" length="0">
      <dxf>
        <numFmt numFmtId="26" formatCode="hh:mm:ss"/>
      </dxf>
    </rfmt>
    <rfmt sheetId="2" sqref="J69" start="0" length="0">
      <dxf>
        <numFmt numFmtId="26" formatCode="hh:mm:ss"/>
      </dxf>
    </rfmt>
    <rfmt sheetId="2" sqref="I72" start="0" length="0">
      <dxf>
        <numFmt numFmtId="26" formatCode="hh:mm:ss"/>
      </dxf>
    </rfmt>
    <rfmt sheetId="2" sqref="J72" start="0" length="0">
      <dxf>
        <numFmt numFmtId="26" formatCode="hh:mm:ss"/>
      </dxf>
    </rfmt>
    <rfmt sheetId="2" sqref="I73" start="0" length="0">
      <dxf>
        <numFmt numFmtId="26" formatCode="hh:mm:ss"/>
      </dxf>
    </rfmt>
    <rfmt sheetId="2" sqref="J73" start="0" length="0">
      <dxf>
        <numFmt numFmtId="26" formatCode="hh:mm:ss"/>
      </dxf>
    </rfmt>
    <rfmt sheetId="2" sqref="I74" start="0" length="0">
      <dxf>
        <numFmt numFmtId="26" formatCode="hh:mm:ss"/>
      </dxf>
    </rfmt>
    <rfmt sheetId="2" sqref="J74" start="0" length="0">
      <dxf>
        <numFmt numFmtId="26" formatCode="hh:mm:ss"/>
      </dxf>
    </rfmt>
    <rfmt sheetId="2" sqref="I75" start="0" length="0">
      <dxf>
        <numFmt numFmtId="26" formatCode="hh:mm:ss"/>
      </dxf>
    </rfmt>
    <rfmt sheetId="2" sqref="J75" start="0" length="0">
      <dxf>
        <numFmt numFmtId="26" formatCode="hh:mm:ss"/>
      </dxf>
    </rfmt>
    <rfmt sheetId="2" sqref="I76" start="0" length="0">
      <dxf>
        <numFmt numFmtId="26" formatCode="hh:mm:ss"/>
      </dxf>
    </rfmt>
    <rfmt sheetId="2" sqref="J76" start="0" length="0">
      <dxf>
        <numFmt numFmtId="26" formatCode="hh:mm:ss"/>
      </dxf>
    </rfmt>
    <rfmt sheetId="2" sqref="I78" start="0" length="0">
      <dxf>
        <numFmt numFmtId="26" formatCode="hh:mm:ss"/>
      </dxf>
    </rfmt>
    <rfmt sheetId="2" sqref="J78" start="0" length="0">
      <dxf>
        <numFmt numFmtId="26" formatCode="hh:mm:ss"/>
      </dxf>
    </rfmt>
    <rfmt sheetId="2" sqref="I79" start="0" length="0">
      <dxf>
        <numFmt numFmtId="26" formatCode="hh:mm:ss"/>
      </dxf>
    </rfmt>
    <rfmt sheetId="2" sqref="J79" start="0" length="0">
      <dxf>
        <numFmt numFmtId="26" formatCode="hh:mm:ss"/>
      </dxf>
    </rfmt>
    <rfmt sheetId="2" sqref="I80" start="0" length="0">
      <dxf>
        <numFmt numFmtId="26" formatCode="hh:mm:ss"/>
      </dxf>
    </rfmt>
    <rfmt sheetId="2" sqref="J80" start="0" length="0">
      <dxf>
        <numFmt numFmtId="26" formatCode="hh:mm:ss"/>
      </dxf>
    </rfmt>
    <rfmt sheetId="2" sqref="I81" start="0" length="0">
      <dxf>
        <numFmt numFmtId="26" formatCode="hh:mm:ss"/>
      </dxf>
    </rfmt>
    <rfmt sheetId="2" sqref="J81" start="0" length="0">
      <dxf>
        <numFmt numFmtId="26" formatCode="hh:mm:ss"/>
      </dxf>
    </rfmt>
    <rfmt sheetId="2" sqref="I82" start="0" length="0">
      <dxf>
        <numFmt numFmtId="26" formatCode="hh:mm:ss"/>
      </dxf>
    </rfmt>
    <rfmt sheetId="2" sqref="J82" start="0" length="0">
      <dxf>
        <numFmt numFmtId="26" formatCode="hh:mm:ss"/>
      </dxf>
    </rfmt>
    <rfmt sheetId="2" sqref="I83" start="0" length="0">
      <dxf>
        <numFmt numFmtId="26" formatCode="hh:mm:ss"/>
      </dxf>
    </rfmt>
    <rfmt sheetId="2" sqref="J83" start="0" length="0">
      <dxf>
        <numFmt numFmtId="26" formatCode="hh:mm:ss"/>
      </dxf>
    </rfmt>
    <rfmt sheetId="2" sqref="I84" start="0" length="0">
      <dxf>
        <numFmt numFmtId="164" formatCode="[$-F400]h:mm:ss\ AM/PM"/>
      </dxf>
    </rfmt>
    <rfmt sheetId="2" sqref="J84" start="0" length="0">
      <dxf>
        <numFmt numFmtId="164" formatCode="[$-F400]h:mm:ss\ AM/PM"/>
      </dxf>
    </rfmt>
    <rfmt sheetId="2" sqref="I85" start="0" length="0">
      <dxf>
        <numFmt numFmtId="26" formatCode="hh:mm:ss"/>
      </dxf>
    </rfmt>
    <rfmt sheetId="2" sqref="J85" start="0" length="0">
      <dxf>
        <numFmt numFmtId="26" formatCode="hh:mm:ss"/>
      </dxf>
    </rfmt>
    <rfmt sheetId="2" sqref="I87" start="0" length="0">
      <dxf>
        <numFmt numFmtId="26" formatCode="hh:mm:ss"/>
      </dxf>
    </rfmt>
    <rfmt sheetId="2" sqref="J87" start="0" length="0">
      <dxf>
        <numFmt numFmtId="26" formatCode="hh:mm:ss"/>
      </dxf>
    </rfmt>
    <rfmt sheetId="2" sqref="I89" start="0" length="0">
      <dxf>
        <numFmt numFmtId="26" formatCode="hh:mm:ss"/>
      </dxf>
    </rfmt>
    <rfmt sheetId="2" sqref="J89" start="0" length="0">
      <dxf>
        <numFmt numFmtId="26" formatCode="hh:mm:ss"/>
      </dxf>
    </rfmt>
    <rfmt sheetId="2" sqref="I92" start="0" length="0">
      <dxf>
        <numFmt numFmtId="26" formatCode="hh:mm:ss"/>
      </dxf>
    </rfmt>
    <rfmt sheetId="2" sqref="J92" start="0" length="0">
      <dxf>
        <numFmt numFmtId="26" formatCode="hh:mm:ss"/>
      </dxf>
    </rfmt>
    <rfmt sheetId="2" sqref="I93" start="0" length="0">
      <dxf>
        <numFmt numFmtId="164" formatCode="[$-F400]h:mm:ss\ AM/PM"/>
      </dxf>
    </rfmt>
    <rfmt sheetId="2" sqref="J93" start="0" length="0">
      <dxf>
        <numFmt numFmtId="164" formatCode="[$-F400]h:mm:ss\ AM/PM"/>
      </dxf>
    </rfmt>
    <rfmt sheetId="2" sqref="I94" start="0" length="0">
      <dxf>
        <numFmt numFmtId="26" formatCode="hh:mm:ss"/>
      </dxf>
    </rfmt>
    <rfmt sheetId="2" sqref="J94" start="0" length="0">
      <dxf>
        <numFmt numFmtId="26" formatCode="hh:mm:ss"/>
      </dxf>
    </rfmt>
    <rfmt sheetId="2" sqref="I95" start="0" length="0">
      <dxf>
        <numFmt numFmtId="26" formatCode="hh:mm:ss"/>
      </dxf>
    </rfmt>
    <rfmt sheetId="2" sqref="J95" start="0" length="0">
      <dxf>
        <numFmt numFmtId="26" formatCode="hh:mm:ss"/>
      </dxf>
    </rfmt>
    <rfmt sheetId="2" sqref="I100" start="0" length="0">
      <dxf>
        <numFmt numFmtId="26" formatCode="hh:mm:ss"/>
      </dxf>
    </rfmt>
    <rfmt sheetId="2" sqref="J100" start="0" length="0">
      <dxf>
        <numFmt numFmtId="26" formatCode="hh:mm:ss"/>
      </dxf>
    </rfmt>
    <rfmt sheetId="2" sqref="I101" start="0" length="0">
      <dxf>
        <numFmt numFmtId="26" formatCode="hh:mm:ss"/>
      </dxf>
    </rfmt>
    <rfmt sheetId="2" sqref="J101" start="0" length="0">
      <dxf>
        <numFmt numFmtId="26" formatCode="hh:mm:ss"/>
      </dxf>
    </rfmt>
    <rfmt sheetId="2" sqref="I102" start="0" length="0">
      <dxf>
        <numFmt numFmtId="26" formatCode="hh:mm:ss"/>
      </dxf>
    </rfmt>
    <rfmt sheetId="2" sqref="J102" start="0" length="0">
      <dxf>
        <numFmt numFmtId="26" formatCode="hh:mm:ss"/>
      </dxf>
    </rfmt>
    <rfmt sheetId="2" sqref="I104" start="0" length="0">
      <dxf>
        <numFmt numFmtId="26" formatCode="hh:mm:ss"/>
      </dxf>
    </rfmt>
    <rfmt sheetId="2" sqref="J104" start="0" length="0">
      <dxf>
        <numFmt numFmtId="26" formatCode="hh:mm:ss"/>
      </dxf>
    </rfmt>
    <rfmt sheetId="2" sqref="I106" start="0" length="0">
      <dxf>
        <font>
          <sz val="12"/>
          <color rgb="FF000000"/>
          <name val="Calibri"/>
          <family val="2"/>
          <scheme val="minor"/>
        </font>
      </dxf>
    </rfmt>
    <rfmt sheetId="2" sqref="J106" start="0" length="0">
      <dxf>
        <font>
          <sz val="12"/>
          <color rgb="FF000000"/>
          <name val="Calibri"/>
          <family val="2"/>
          <scheme val="minor"/>
        </font>
      </dxf>
    </rfmt>
    <rfmt sheetId="2" sqref="I108" start="0" length="0">
      <dxf>
        <font>
          <sz val="12"/>
          <color rgb="FF000000"/>
          <name val="Calibri"/>
          <family val="2"/>
          <scheme val="minor"/>
        </font>
      </dxf>
    </rfmt>
    <rfmt sheetId="2" sqref="J108" start="0" length="0">
      <dxf>
        <font>
          <sz val="12"/>
          <color rgb="FF000000"/>
          <name val="Calibri"/>
          <family val="2"/>
          <scheme val="minor"/>
        </font>
      </dxf>
    </rfmt>
    <rfmt sheetId="2" sqref="I109" start="0" length="0">
      <dxf>
        <numFmt numFmtId="26" formatCode="hh:mm:ss"/>
      </dxf>
    </rfmt>
    <rfmt sheetId="2" sqref="J109" start="0" length="0">
      <dxf>
        <numFmt numFmtId="26" formatCode="hh:mm:ss"/>
      </dxf>
    </rfmt>
    <rfmt sheetId="2" sqref="I111" start="0" length="0">
      <dxf>
        <numFmt numFmtId="26" formatCode="hh:mm:ss"/>
      </dxf>
    </rfmt>
    <rfmt sheetId="2" sqref="J111" start="0" length="0">
      <dxf>
        <numFmt numFmtId="26" formatCode="hh:mm:ss"/>
      </dxf>
    </rfmt>
    <rfmt sheetId="2" sqref="I112" start="0" length="0">
      <dxf>
        <numFmt numFmtId="26" formatCode="hh:mm:ss"/>
      </dxf>
    </rfmt>
    <rfmt sheetId="2" sqref="J112" start="0" length="0">
      <dxf>
        <numFmt numFmtId="26" formatCode="hh:mm:ss"/>
      </dxf>
    </rfmt>
    <rfmt sheetId="2" sqref="I113" start="0" length="0">
      <dxf>
        <numFmt numFmtId="26" formatCode="hh:mm:ss"/>
      </dxf>
    </rfmt>
    <rfmt sheetId="2" sqref="J113" start="0" length="0">
      <dxf>
        <numFmt numFmtId="26" formatCode="hh:mm:ss"/>
      </dxf>
    </rfmt>
    <rfmt sheetId="2" sqref="I115" start="0" length="0">
      <dxf>
        <numFmt numFmtId="26" formatCode="hh:mm:ss"/>
      </dxf>
    </rfmt>
    <rfmt sheetId="2" sqref="J115" start="0" length="0">
      <dxf>
        <numFmt numFmtId="26" formatCode="hh:mm:ss"/>
      </dxf>
    </rfmt>
    <rfmt sheetId="2" sqref="I116" start="0" length="0">
      <dxf>
        <numFmt numFmtId="26" formatCode="hh:mm:ss"/>
      </dxf>
    </rfmt>
    <rfmt sheetId="2" sqref="J116" start="0" length="0">
      <dxf>
        <numFmt numFmtId="26" formatCode="hh:mm:ss"/>
      </dxf>
    </rfmt>
    <rfmt sheetId="2" sqref="I118" start="0" length="0">
      <dxf>
        <numFmt numFmtId="26" formatCode="hh:mm:ss"/>
      </dxf>
    </rfmt>
    <rfmt sheetId="2" sqref="J118" start="0" length="0">
      <dxf>
        <numFmt numFmtId="26" formatCode="hh:mm:ss"/>
      </dxf>
    </rfmt>
    <rfmt sheetId="2" sqref="I122" start="0" length="0">
      <dxf>
        <numFmt numFmtId="26" formatCode="hh:mm:ss"/>
      </dxf>
    </rfmt>
    <rfmt sheetId="2" sqref="J122" start="0" length="0">
      <dxf>
        <numFmt numFmtId="26" formatCode="hh:mm:ss"/>
      </dxf>
    </rfmt>
    <rfmt sheetId="2" sqref="I124" start="0" length="0">
      <dxf>
        <numFmt numFmtId="26" formatCode="hh:mm:ss"/>
      </dxf>
    </rfmt>
    <rfmt sheetId="2" sqref="J124" start="0" length="0">
      <dxf>
        <numFmt numFmtId="26" formatCode="hh:mm:ss"/>
      </dxf>
    </rfmt>
    <rfmt sheetId="2" sqref="I125" start="0" length="0">
      <dxf>
        <numFmt numFmtId="26" formatCode="hh:mm:ss"/>
      </dxf>
    </rfmt>
    <rfmt sheetId="2" sqref="J125" start="0" length="0">
      <dxf>
        <numFmt numFmtId="26" formatCode="hh:mm:ss"/>
      </dxf>
    </rfmt>
    <rfmt sheetId="2" sqref="I128" start="0" length="0">
      <dxf>
        <numFmt numFmtId="26" formatCode="hh:mm:ss"/>
      </dxf>
    </rfmt>
    <rfmt sheetId="2" sqref="J128" start="0" length="0">
      <dxf>
        <numFmt numFmtId="26" formatCode="hh:mm:ss"/>
      </dxf>
    </rfmt>
    <rfmt sheetId="2" sqref="I129" start="0" length="0">
      <dxf>
        <numFmt numFmtId="26" formatCode="hh:mm:ss"/>
      </dxf>
    </rfmt>
    <rfmt sheetId="2" sqref="J129" start="0" length="0">
      <dxf>
        <numFmt numFmtId="26" formatCode="hh:mm:ss"/>
      </dxf>
    </rfmt>
    <rfmt sheetId="2" sqref="I131" start="0" length="0">
      <dxf>
        <numFmt numFmtId="26" formatCode="hh:mm:ss"/>
      </dxf>
    </rfmt>
    <rfmt sheetId="2" sqref="J131" start="0" length="0">
      <dxf>
        <numFmt numFmtId="26" formatCode="hh:mm:ss"/>
      </dxf>
    </rfmt>
    <rfmt sheetId="2" sqref="I135" start="0" length="0">
      <dxf>
        <numFmt numFmtId="26" formatCode="hh:mm:ss"/>
      </dxf>
    </rfmt>
    <rfmt sheetId="2" sqref="J135" start="0" length="0">
      <dxf>
        <numFmt numFmtId="26" formatCode="hh:mm:ss"/>
      </dxf>
    </rfmt>
    <rfmt sheetId="2" sqref="I143" start="0" length="0">
      <dxf>
        <numFmt numFmtId="26" formatCode="hh:mm:ss"/>
      </dxf>
    </rfmt>
    <rfmt sheetId="2" sqref="J143" start="0" length="0">
      <dxf>
        <numFmt numFmtId="26" formatCode="hh:mm:ss"/>
      </dxf>
    </rfmt>
    <rfmt sheetId="2" sqref="I144" start="0" length="0">
      <dxf>
        <numFmt numFmtId="26" formatCode="hh:mm:ss"/>
      </dxf>
    </rfmt>
    <rfmt sheetId="2" sqref="J144" start="0" length="0">
      <dxf>
        <numFmt numFmtId="26" formatCode="hh:mm:ss"/>
      </dxf>
    </rfmt>
    <rfmt sheetId="2" sqref="I147" start="0" length="0">
      <dxf>
        <numFmt numFmtId="26" formatCode="hh:mm:ss"/>
      </dxf>
    </rfmt>
    <rfmt sheetId="2" sqref="J147" start="0" length="0">
      <dxf>
        <numFmt numFmtId="26" formatCode="hh:mm:ss"/>
      </dxf>
    </rfmt>
    <rfmt sheetId="2" sqref="I148" start="0" length="0">
      <dxf>
        <numFmt numFmtId="26" formatCode="hh:mm:ss"/>
      </dxf>
    </rfmt>
    <rfmt sheetId="2" sqref="J148" start="0" length="0">
      <dxf>
        <numFmt numFmtId="26" formatCode="hh:mm:ss"/>
      </dxf>
    </rfmt>
    <rfmt sheetId="2" sqref="I150" start="0" length="0">
      <dxf>
        <numFmt numFmtId="26" formatCode="hh:mm:ss"/>
      </dxf>
    </rfmt>
    <rfmt sheetId="2" sqref="J150" start="0" length="0">
      <dxf>
        <numFmt numFmtId="26" formatCode="hh:mm:ss"/>
      </dxf>
    </rfmt>
    <rfmt sheetId="2" sqref="I151" start="0" length="0">
      <dxf>
        <numFmt numFmtId="26" formatCode="hh:mm:ss"/>
      </dxf>
    </rfmt>
    <rfmt sheetId="2" sqref="J151" start="0" length="0">
      <dxf>
        <numFmt numFmtId="26" formatCode="hh:mm:ss"/>
      </dxf>
    </rfmt>
    <rfmt sheetId="2" sqref="I152" start="0" length="0">
      <dxf>
        <numFmt numFmtId="26" formatCode="hh:mm:ss"/>
      </dxf>
    </rfmt>
    <rfmt sheetId="2" sqref="J152" start="0" length="0">
      <dxf>
        <numFmt numFmtId="26" formatCode="hh:mm:ss"/>
      </dxf>
    </rfmt>
    <rfmt sheetId="2" sqref="I153" start="0" length="0">
      <dxf>
        <numFmt numFmtId="26" formatCode="hh:mm:ss"/>
      </dxf>
    </rfmt>
    <rfmt sheetId="2" sqref="J153" start="0" length="0">
      <dxf>
        <numFmt numFmtId="26" formatCode="hh:mm:ss"/>
      </dxf>
    </rfmt>
    <rfmt sheetId="2" sqref="I154" start="0" length="0">
      <dxf>
        <numFmt numFmtId="26" formatCode="hh:mm:ss"/>
      </dxf>
    </rfmt>
    <rfmt sheetId="2" sqref="J154" start="0" length="0">
      <dxf>
        <numFmt numFmtId="26" formatCode="hh:mm:ss"/>
      </dxf>
    </rfmt>
    <rfmt sheetId="2" sqref="I155" start="0" length="0">
      <dxf>
        <numFmt numFmtId="26" formatCode="hh:mm:ss"/>
      </dxf>
    </rfmt>
    <rfmt sheetId="2" sqref="J155" start="0" length="0">
      <dxf>
        <numFmt numFmtId="26" formatCode="hh:mm:ss"/>
      </dxf>
    </rfmt>
    <rfmt sheetId="2" sqref="I156" start="0" length="0">
      <dxf>
        <numFmt numFmtId="26" formatCode="hh:mm:ss"/>
      </dxf>
    </rfmt>
    <rfmt sheetId="2" sqref="J156" start="0" length="0">
      <dxf>
        <numFmt numFmtId="26" formatCode="hh:mm:ss"/>
      </dxf>
    </rfmt>
    <rfmt sheetId="2" sqref="I157" start="0" length="0">
      <dxf>
        <numFmt numFmtId="26" formatCode="hh:mm:ss"/>
      </dxf>
    </rfmt>
    <rfmt sheetId="2" sqref="J157" start="0" length="0">
      <dxf>
        <numFmt numFmtId="26" formatCode="hh:mm:ss"/>
      </dxf>
    </rfmt>
    <rfmt sheetId="2" sqref="I158" start="0" length="0">
      <dxf>
        <numFmt numFmtId="26" formatCode="hh:mm:ss"/>
      </dxf>
    </rfmt>
    <rfmt sheetId="2" sqref="J158" start="0" length="0">
      <dxf>
        <numFmt numFmtId="26" formatCode="hh:mm:ss"/>
      </dxf>
    </rfmt>
    <rfmt sheetId="2" sqref="I159" start="0" length="0">
      <dxf>
        <numFmt numFmtId="26" formatCode="hh:mm:ss"/>
      </dxf>
    </rfmt>
    <rfmt sheetId="2" sqref="J159" start="0" length="0">
      <dxf>
        <numFmt numFmtId="26" formatCode="hh:mm:ss"/>
      </dxf>
    </rfmt>
    <rfmt sheetId="2" sqref="I160" start="0" length="0">
      <dxf>
        <numFmt numFmtId="26" formatCode="hh:mm:ss"/>
      </dxf>
    </rfmt>
    <rfmt sheetId="2" sqref="J160" start="0" length="0">
      <dxf>
        <numFmt numFmtId="26" formatCode="hh:mm:ss"/>
      </dxf>
    </rfmt>
    <rfmt sheetId="2" sqref="I162" start="0" length="0">
      <dxf>
        <numFmt numFmtId="26" formatCode="hh:mm:ss"/>
      </dxf>
    </rfmt>
    <rfmt sheetId="2" sqref="J162" start="0" length="0">
      <dxf>
        <numFmt numFmtId="26" formatCode="hh:mm:ss"/>
      </dxf>
    </rfmt>
    <rfmt sheetId="2" sqref="I163" start="0" length="0">
      <dxf>
        <numFmt numFmtId="26" formatCode="hh:mm:ss"/>
      </dxf>
    </rfmt>
    <rfmt sheetId="2" sqref="J163" start="0" length="0">
      <dxf>
        <numFmt numFmtId="26" formatCode="hh:mm:ss"/>
      </dxf>
    </rfmt>
    <rfmt sheetId="2" sqref="I164" start="0" length="0">
      <dxf>
        <numFmt numFmtId="26" formatCode="hh:mm:ss"/>
      </dxf>
    </rfmt>
    <rfmt sheetId="2" sqref="J164" start="0" length="0">
      <dxf>
        <numFmt numFmtId="26" formatCode="hh:mm:ss"/>
      </dxf>
    </rfmt>
    <rfmt sheetId="2" sqref="I165" start="0" length="0">
      <dxf>
        <numFmt numFmtId="26" formatCode="hh:mm:ss"/>
      </dxf>
    </rfmt>
    <rfmt sheetId="2" sqref="J165" start="0" length="0">
      <dxf>
        <numFmt numFmtId="26" formatCode="hh:mm:ss"/>
      </dxf>
    </rfmt>
    <rfmt sheetId="2" sqref="I166" start="0" length="0">
      <dxf>
        <numFmt numFmtId="26" formatCode="hh:mm:ss"/>
      </dxf>
    </rfmt>
    <rfmt sheetId="2" sqref="J166" start="0" length="0">
      <dxf>
        <numFmt numFmtId="26" formatCode="hh:mm:ss"/>
      </dxf>
    </rfmt>
    <rfmt sheetId="2" sqref="I170" start="0" length="0">
      <dxf>
        <numFmt numFmtId="26" formatCode="hh:mm:ss"/>
      </dxf>
    </rfmt>
    <rfmt sheetId="2" sqref="J170" start="0" length="0">
      <dxf>
        <numFmt numFmtId="26" formatCode="hh:mm:ss"/>
      </dxf>
    </rfmt>
    <rfmt sheetId="2" sqref="I171" start="0" length="0">
      <dxf>
        <numFmt numFmtId="26" formatCode="hh:mm:ss"/>
      </dxf>
    </rfmt>
    <rfmt sheetId="2" sqref="J171" start="0" length="0">
      <dxf>
        <numFmt numFmtId="26" formatCode="hh:mm:ss"/>
      </dxf>
    </rfmt>
    <rfmt sheetId="2" sqref="I172" start="0" length="0">
      <dxf>
        <numFmt numFmtId="26" formatCode="hh:mm:ss"/>
      </dxf>
    </rfmt>
    <rfmt sheetId="2" sqref="J172" start="0" length="0">
      <dxf>
        <numFmt numFmtId="26" formatCode="hh:mm:ss"/>
      </dxf>
    </rfmt>
    <rfmt sheetId="2" sqref="I175" start="0" length="0">
      <dxf>
        <numFmt numFmtId="26" formatCode="hh:mm:ss"/>
      </dxf>
    </rfmt>
    <rfmt sheetId="2" sqref="J175" start="0" length="0">
      <dxf>
        <numFmt numFmtId="26" formatCode="hh:mm:ss"/>
      </dxf>
    </rfmt>
    <rfmt sheetId="2" sqref="I176" start="0" length="0">
      <dxf>
        <numFmt numFmtId="26" formatCode="hh:mm:ss"/>
      </dxf>
    </rfmt>
    <rfmt sheetId="2" sqref="J176" start="0" length="0">
      <dxf>
        <numFmt numFmtId="26" formatCode="hh:mm:ss"/>
      </dxf>
    </rfmt>
    <rfmt sheetId="2" sqref="I177" start="0" length="0">
      <dxf>
        <numFmt numFmtId="26" formatCode="hh:mm:ss"/>
      </dxf>
    </rfmt>
    <rfmt sheetId="2" sqref="J177" start="0" length="0">
      <dxf>
        <numFmt numFmtId="26" formatCode="hh:mm:ss"/>
      </dxf>
    </rfmt>
    <rfmt sheetId="2" sqref="I178" start="0" length="0">
      <dxf>
        <numFmt numFmtId="26" formatCode="hh:mm:ss"/>
      </dxf>
    </rfmt>
    <rfmt sheetId="2" sqref="J178" start="0" length="0">
      <dxf>
        <numFmt numFmtId="26" formatCode="hh:mm:ss"/>
      </dxf>
    </rfmt>
    <rfmt sheetId="2" sqref="I179" start="0" length="0">
      <dxf>
        <numFmt numFmtId="26" formatCode="hh:mm:ss"/>
      </dxf>
    </rfmt>
    <rfmt sheetId="2" sqref="J179" start="0" length="0">
      <dxf>
        <numFmt numFmtId="26" formatCode="hh:mm:ss"/>
      </dxf>
    </rfmt>
    <rfmt sheetId="2" sqref="I182" start="0" length="0">
      <dxf>
        <numFmt numFmtId="26" formatCode="hh:mm:ss"/>
      </dxf>
    </rfmt>
    <rfmt sheetId="2" sqref="J182" start="0" length="0">
      <dxf>
        <numFmt numFmtId="26" formatCode="hh:mm:ss"/>
      </dxf>
    </rfmt>
    <rfmt sheetId="2" sqref="I184" start="0" length="0">
      <dxf>
        <numFmt numFmtId="26" formatCode="hh:mm:ss"/>
      </dxf>
    </rfmt>
    <rfmt sheetId="2" sqref="J184" start="0" length="0">
      <dxf>
        <numFmt numFmtId="26" formatCode="hh:mm:ss"/>
      </dxf>
    </rfmt>
    <rfmt sheetId="2" sqref="I186" start="0" length="0">
      <dxf>
        <numFmt numFmtId="26" formatCode="hh:mm:ss"/>
      </dxf>
    </rfmt>
    <rfmt sheetId="2" sqref="J186" start="0" length="0">
      <dxf>
        <numFmt numFmtId="26" formatCode="hh:mm:ss"/>
      </dxf>
    </rfmt>
    <rfmt sheetId="2" sqref="I187" start="0" length="0">
      <dxf>
        <numFmt numFmtId="26" formatCode="hh:mm:ss"/>
      </dxf>
    </rfmt>
    <rfmt sheetId="2" sqref="J187" start="0" length="0">
      <dxf>
        <numFmt numFmtId="26" formatCode="hh:mm:ss"/>
      </dxf>
    </rfmt>
    <rfmt sheetId="2" sqref="I188" start="0" length="0">
      <dxf>
        <numFmt numFmtId="26" formatCode="hh:mm:ss"/>
      </dxf>
    </rfmt>
    <rfmt sheetId="2" sqref="J188" start="0" length="0">
      <dxf>
        <numFmt numFmtId="26" formatCode="hh:mm:ss"/>
      </dxf>
    </rfmt>
    <rfmt sheetId="2" sqref="I189" start="0" length="0">
      <dxf>
        <numFmt numFmtId="26" formatCode="hh:mm:ss"/>
      </dxf>
    </rfmt>
    <rfmt sheetId="2" sqref="J189" start="0" length="0">
      <dxf>
        <numFmt numFmtId="26" formatCode="hh:mm:ss"/>
      </dxf>
    </rfmt>
    <rfmt sheetId="2" sqref="I190" start="0" length="0">
      <dxf>
        <numFmt numFmtId="26" formatCode="hh:mm:ss"/>
      </dxf>
    </rfmt>
    <rfmt sheetId="2" sqref="J190" start="0" length="0">
      <dxf>
        <numFmt numFmtId="26" formatCode="hh:mm:ss"/>
      </dxf>
    </rfmt>
    <rfmt sheetId="2" sqref="I197" start="0" length="0">
      <dxf>
        <numFmt numFmtId="26" formatCode="hh:mm:ss"/>
      </dxf>
    </rfmt>
    <rfmt sheetId="2" sqref="J197" start="0" length="0">
      <dxf>
        <numFmt numFmtId="26" formatCode="hh:mm:ss"/>
      </dxf>
    </rfmt>
    <rfmt sheetId="2" sqref="I198" start="0" length="0">
      <dxf>
        <numFmt numFmtId="26" formatCode="hh:mm:ss"/>
      </dxf>
    </rfmt>
    <rfmt sheetId="2" sqref="J198" start="0" length="0">
      <dxf>
        <numFmt numFmtId="26" formatCode="hh:mm:ss"/>
      </dxf>
    </rfmt>
    <rfmt sheetId="2" sqref="I199" start="0" length="0">
      <dxf>
        <numFmt numFmtId="26" formatCode="hh:mm:ss"/>
      </dxf>
    </rfmt>
    <rfmt sheetId="2" sqref="J199" start="0" length="0">
      <dxf>
        <numFmt numFmtId="26" formatCode="hh:mm:ss"/>
      </dxf>
    </rfmt>
    <rfmt sheetId="2" sqref="I200" start="0" length="0">
      <dxf>
        <numFmt numFmtId="26" formatCode="hh:mm:ss"/>
      </dxf>
    </rfmt>
    <rfmt sheetId="2" sqref="J200" start="0" length="0">
      <dxf>
        <numFmt numFmtId="26" formatCode="hh:mm:ss"/>
      </dxf>
    </rfmt>
    <rfmt sheetId="2" sqref="I202" start="0" length="0">
      <dxf>
        <numFmt numFmtId="26" formatCode="hh:mm:ss"/>
        <fill>
          <patternFill patternType="solid">
            <bgColor rgb="FFFFFF00"/>
          </patternFill>
        </fill>
      </dxf>
    </rfmt>
    <rfmt sheetId="2" sqref="J202" start="0" length="0">
      <dxf>
        <numFmt numFmtId="26" formatCode="hh:mm:ss"/>
        <fill>
          <patternFill patternType="solid">
            <bgColor rgb="FFFFFF00"/>
          </patternFill>
        </fill>
      </dxf>
    </rfmt>
    <rfmt sheetId="2" sqref="I203" start="0" length="0">
      <dxf>
        <numFmt numFmtId="26" formatCode="hh:mm:ss"/>
        <fill>
          <patternFill patternType="solid">
            <bgColor rgb="FFFFFF00"/>
          </patternFill>
        </fill>
      </dxf>
    </rfmt>
    <rfmt sheetId="2" sqref="J203" start="0" length="0">
      <dxf>
        <numFmt numFmtId="26" formatCode="hh:mm:ss"/>
        <fill>
          <patternFill patternType="solid">
            <bgColor rgb="FFFFFF00"/>
          </patternFill>
        </fill>
      </dxf>
    </rfmt>
    <rfmt sheetId="2" sqref="I204" start="0" length="0">
      <dxf>
        <numFmt numFmtId="26" formatCode="hh:mm:ss"/>
        <fill>
          <patternFill patternType="solid">
            <bgColor rgb="FFFFFF00"/>
          </patternFill>
        </fill>
      </dxf>
    </rfmt>
    <rfmt sheetId="2" sqref="J204" start="0" length="0">
      <dxf>
        <numFmt numFmtId="26" formatCode="hh:mm:ss"/>
        <fill>
          <patternFill patternType="solid">
            <bgColor rgb="FFFFFF00"/>
          </patternFill>
        </fill>
      </dxf>
    </rfmt>
    <rfmt sheetId="2" sqref="I205" start="0" length="0">
      <dxf>
        <numFmt numFmtId="26" formatCode="hh:mm:ss"/>
      </dxf>
    </rfmt>
    <rfmt sheetId="2" sqref="J205" start="0" length="0">
      <dxf>
        <numFmt numFmtId="26" formatCode="hh:mm:ss"/>
      </dxf>
    </rfmt>
    <rfmt sheetId="2" sqref="I206" start="0" length="0">
      <dxf>
        <numFmt numFmtId="26" formatCode="hh:mm:ss"/>
      </dxf>
    </rfmt>
    <rfmt sheetId="2" sqref="J206" start="0" length="0">
      <dxf>
        <numFmt numFmtId="26" formatCode="hh:mm:ss"/>
      </dxf>
    </rfmt>
    <rfmt sheetId="2" sqref="I207" start="0" length="0">
      <dxf>
        <numFmt numFmtId="26" formatCode="hh:mm:ss"/>
      </dxf>
    </rfmt>
    <rfmt sheetId="2" sqref="J207" start="0" length="0">
      <dxf>
        <numFmt numFmtId="26" formatCode="hh:mm:ss"/>
      </dxf>
    </rfmt>
    <rfmt sheetId="2" sqref="I208" start="0" length="0">
      <dxf>
        <numFmt numFmtId="26" formatCode="hh:mm:ss"/>
      </dxf>
    </rfmt>
    <rfmt sheetId="2" sqref="J208" start="0" length="0">
      <dxf>
        <numFmt numFmtId="26" formatCode="hh:mm:ss"/>
      </dxf>
    </rfmt>
    <rfmt sheetId="2" sqref="I209" start="0" length="0">
      <dxf>
        <numFmt numFmtId="26" formatCode="hh:mm:ss"/>
      </dxf>
    </rfmt>
    <rfmt sheetId="2" sqref="J209" start="0" length="0">
      <dxf>
        <numFmt numFmtId="26" formatCode="hh:mm:ss"/>
      </dxf>
    </rfmt>
    <rfmt sheetId="2" sqref="I210" start="0" length="0">
      <dxf>
        <numFmt numFmtId="26" formatCode="hh:mm:ss"/>
      </dxf>
    </rfmt>
    <rfmt sheetId="2" sqref="J210" start="0" length="0">
      <dxf>
        <numFmt numFmtId="26" formatCode="hh:mm:ss"/>
      </dxf>
    </rfmt>
    <rfmt sheetId="2" sqref="I211" start="0" length="0">
      <dxf>
        <numFmt numFmtId="26" formatCode="hh:mm:ss"/>
      </dxf>
    </rfmt>
    <rfmt sheetId="2" sqref="J211" start="0" length="0">
      <dxf>
        <numFmt numFmtId="26" formatCode="hh:mm:ss"/>
      </dxf>
    </rfmt>
    <rfmt sheetId="2" sqref="I213" start="0" length="0">
      <dxf>
        <numFmt numFmtId="26" formatCode="hh:mm:ss"/>
        <fill>
          <patternFill patternType="solid">
            <bgColor theme="0"/>
          </patternFill>
        </fill>
      </dxf>
    </rfmt>
    <rfmt sheetId="2" sqref="J213" start="0" length="0">
      <dxf>
        <numFmt numFmtId="26" formatCode="hh:mm:ss"/>
        <fill>
          <patternFill patternType="solid">
            <bgColor theme="0"/>
          </patternFill>
        </fill>
      </dxf>
    </rfmt>
    <rfmt sheetId="2" sqref="I214" start="0" length="0">
      <dxf>
        <numFmt numFmtId="26" formatCode="hh:mm:ss"/>
        <fill>
          <patternFill patternType="solid">
            <bgColor theme="0"/>
          </patternFill>
        </fill>
      </dxf>
    </rfmt>
    <rfmt sheetId="2" sqref="J214" start="0" length="0">
      <dxf>
        <numFmt numFmtId="26" formatCode="hh:mm:ss"/>
        <fill>
          <patternFill patternType="solid">
            <bgColor theme="0"/>
          </patternFill>
        </fill>
      </dxf>
    </rfmt>
    <rfmt sheetId="2" sqref="I215" start="0" length="0">
      <dxf>
        <numFmt numFmtId="26" formatCode="hh:mm:ss"/>
        <fill>
          <patternFill patternType="solid">
            <bgColor theme="0"/>
          </patternFill>
        </fill>
      </dxf>
    </rfmt>
    <rfmt sheetId="2" sqref="J215" start="0" length="0">
      <dxf>
        <numFmt numFmtId="26" formatCode="hh:mm:ss"/>
        <fill>
          <patternFill patternType="solid">
            <bgColor theme="0"/>
          </patternFill>
        </fill>
      </dxf>
    </rfmt>
    <rfmt sheetId="2" sqref="I216" start="0" length="0">
      <dxf>
        <numFmt numFmtId="26" formatCode="hh:mm:ss"/>
        <fill>
          <patternFill patternType="solid">
            <bgColor theme="0"/>
          </patternFill>
        </fill>
      </dxf>
    </rfmt>
    <rfmt sheetId="2" sqref="J216" start="0" length="0">
      <dxf>
        <numFmt numFmtId="26" formatCode="hh:mm:ss"/>
        <fill>
          <patternFill patternType="solid">
            <bgColor theme="0"/>
          </patternFill>
        </fill>
      </dxf>
    </rfmt>
    <rfmt sheetId="2" sqref="I217" start="0" length="0">
      <dxf>
        <numFmt numFmtId="26" formatCode="hh:mm:ss"/>
        <fill>
          <patternFill patternType="solid">
            <bgColor theme="0"/>
          </patternFill>
        </fill>
      </dxf>
    </rfmt>
    <rfmt sheetId="2" sqref="J217" start="0" length="0">
      <dxf>
        <numFmt numFmtId="26" formatCode="hh:mm:ss"/>
        <fill>
          <patternFill patternType="solid">
            <bgColor theme="0"/>
          </patternFill>
        </fill>
      </dxf>
    </rfmt>
    <rfmt sheetId="2" sqref="I218" start="0" length="0">
      <dxf>
        <numFmt numFmtId="26" formatCode="hh:mm:ss"/>
      </dxf>
    </rfmt>
    <rfmt sheetId="2" sqref="J218" start="0" length="0">
      <dxf>
        <numFmt numFmtId="26" formatCode="hh:mm:ss"/>
      </dxf>
    </rfmt>
    <rfmt sheetId="2" sqref="I219" start="0" length="0">
      <dxf>
        <numFmt numFmtId="26" formatCode="hh:mm:ss"/>
      </dxf>
    </rfmt>
    <rfmt sheetId="2" sqref="J219" start="0" length="0">
      <dxf>
        <numFmt numFmtId="26" formatCode="hh:mm:ss"/>
      </dxf>
    </rfmt>
    <rfmt sheetId="2" sqref="I220" start="0" length="0">
      <dxf>
        <numFmt numFmtId="26" formatCode="hh:mm:ss"/>
      </dxf>
    </rfmt>
    <rfmt sheetId="2" sqref="J220" start="0" length="0">
      <dxf>
        <numFmt numFmtId="26" formatCode="hh:mm:ss"/>
      </dxf>
    </rfmt>
    <rfmt sheetId="2" sqref="I221" start="0" length="0">
      <dxf>
        <numFmt numFmtId="26" formatCode="hh:mm:ss"/>
      </dxf>
    </rfmt>
    <rfmt sheetId="2" sqref="J221" start="0" length="0">
      <dxf>
        <numFmt numFmtId="26" formatCode="hh:mm:ss"/>
      </dxf>
    </rfmt>
    <rfmt sheetId="2" sqref="I222" start="0" length="0">
      <dxf>
        <numFmt numFmtId="26" formatCode="hh:mm:ss"/>
      </dxf>
    </rfmt>
    <rfmt sheetId="2" sqref="J222" start="0" length="0">
      <dxf>
        <numFmt numFmtId="26" formatCode="hh:mm:ss"/>
      </dxf>
    </rfmt>
    <rfmt sheetId="2" sqref="I223" start="0" length="0">
      <dxf>
        <numFmt numFmtId="26" formatCode="hh:mm:ss"/>
      </dxf>
    </rfmt>
    <rfmt sheetId="2" sqref="J223" start="0" length="0">
      <dxf>
        <numFmt numFmtId="26" formatCode="hh:mm:ss"/>
      </dxf>
    </rfmt>
    <rfmt sheetId="2" sqref="I224" start="0" length="0">
      <dxf>
        <numFmt numFmtId="26" formatCode="hh:mm:ss"/>
      </dxf>
    </rfmt>
    <rfmt sheetId="2" sqref="J224" start="0" length="0">
      <dxf>
        <numFmt numFmtId="26" formatCode="hh:mm:ss"/>
      </dxf>
    </rfmt>
    <rfmt sheetId="2" sqref="I225" start="0" length="0">
      <dxf>
        <numFmt numFmtId="26" formatCode="hh:mm:ss"/>
      </dxf>
    </rfmt>
    <rfmt sheetId="2" sqref="J225" start="0" length="0">
      <dxf>
        <numFmt numFmtId="26" formatCode="hh:mm:ss"/>
      </dxf>
    </rfmt>
    <rfmt sheetId="2" sqref="I226" start="0" length="0">
      <dxf>
        <numFmt numFmtId="26" formatCode="hh:mm:ss"/>
      </dxf>
    </rfmt>
    <rfmt sheetId="2" sqref="J226" start="0" length="0">
      <dxf>
        <numFmt numFmtId="26" formatCode="hh:mm:ss"/>
      </dxf>
    </rfmt>
    <rfmt sheetId="2" sqref="I227" start="0" length="0">
      <dxf>
        <numFmt numFmtId="26" formatCode="hh:mm:ss"/>
      </dxf>
    </rfmt>
    <rfmt sheetId="2" sqref="J227" start="0" length="0">
      <dxf>
        <numFmt numFmtId="26" formatCode="hh:mm:ss"/>
      </dxf>
    </rfmt>
    <rfmt sheetId="2" sqref="I228" start="0" length="0">
      <dxf>
        <numFmt numFmtId="26" formatCode="hh:mm:ss"/>
      </dxf>
    </rfmt>
    <rfmt sheetId="2" sqref="J228" start="0" length="0">
      <dxf>
        <numFmt numFmtId="26" formatCode="hh:mm:ss"/>
      </dxf>
    </rfmt>
    <rfmt sheetId="2" sqref="I229" start="0" length="0">
      <dxf>
        <numFmt numFmtId="26" formatCode="hh:mm:ss"/>
      </dxf>
    </rfmt>
    <rfmt sheetId="2" sqref="J229" start="0" length="0">
      <dxf>
        <numFmt numFmtId="26" formatCode="hh:mm:ss"/>
      </dxf>
    </rfmt>
    <rfmt sheetId="2" sqref="I230" start="0" length="0">
      <dxf>
        <numFmt numFmtId="26" formatCode="hh:mm:ss"/>
      </dxf>
    </rfmt>
    <rfmt sheetId="2" sqref="J230" start="0" length="0">
      <dxf>
        <numFmt numFmtId="26" formatCode="hh:mm:ss"/>
      </dxf>
    </rfmt>
    <rfmt sheetId="2" sqref="I231" start="0" length="0">
      <dxf>
        <numFmt numFmtId="26" formatCode="hh:mm:ss"/>
      </dxf>
    </rfmt>
    <rfmt sheetId="2" sqref="J231" start="0" length="0">
      <dxf>
        <numFmt numFmtId="26" formatCode="hh:mm:ss"/>
      </dxf>
    </rfmt>
    <rfmt sheetId="2" sqref="I232" start="0" length="0">
      <dxf>
        <numFmt numFmtId="26" formatCode="hh:mm:ss"/>
      </dxf>
    </rfmt>
    <rfmt sheetId="2" sqref="J232" start="0" length="0">
      <dxf>
        <numFmt numFmtId="26" formatCode="hh:mm:ss"/>
      </dxf>
    </rfmt>
    <rfmt sheetId="2" sqref="I233" start="0" length="0">
      <dxf>
        <numFmt numFmtId="26" formatCode="hh:mm:ss"/>
      </dxf>
    </rfmt>
    <rfmt sheetId="2" sqref="J233" start="0" length="0">
      <dxf>
        <numFmt numFmtId="26" formatCode="hh:mm:ss"/>
      </dxf>
    </rfmt>
    <rfmt sheetId="2" sqref="I234" start="0" length="0">
      <dxf>
        <numFmt numFmtId="26" formatCode="hh:mm:ss"/>
      </dxf>
    </rfmt>
    <rfmt sheetId="2" sqref="J234" start="0" length="0">
      <dxf>
        <numFmt numFmtId="26" formatCode="hh:mm:ss"/>
      </dxf>
    </rfmt>
    <rfmt sheetId="2" sqref="I235" start="0" length="0">
      <dxf>
        <numFmt numFmtId="26" formatCode="hh:mm:ss"/>
      </dxf>
    </rfmt>
    <rfmt sheetId="2" sqref="J235" start="0" length="0">
      <dxf>
        <numFmt numFmtId="26" formatCode="hh:mm:ss"/>
      </dxf>
    </rfmt>
    <rfmt sheetId="2" sqref="I236" start="0" length="0">
      <dxf>
        <numFmt numFmtId="26" formatCode="hh:mm:ss"/>
      </dxf>
    </rfmt>
    <rfmt sheetId="2" sqref="J236" start="0" length="0">
      <dxf>
        <numFmt numFmtId="26" formatCode="hh:mm:ss"/>
      </dxf>
    </rfmt>
    <rfmt sheetId="2" sqref="I237" start="0" length="0">
      <dxf>
        <numFmt numFmtId="26" formatCode="hh:mm:ss"/>
      </dxf>
    </rfmt>
    <rfmt sheetId="2" sqref="J237" start="0" length="0">
      <dxf>
        <numFmt numFmtId="26" formatCode="hh:mm:ss"/>
      </dxf>
    </rfmt>
    <rfmt sheetId="2" sqref="I238" start="0" length="0">
      <dxf>
        <numFmt numFmtId="26" formatCode="hh:mm:ss"/>
      </dxf>
    </rfmt>
    <rfmt sheetId="2" sqref="J238" start="0" length="0">
      <dxf>
        <numFmt numFmtId="26" formatCode="hh:mm:ss"/>
      </dxf>
    </rfmt>
    <rfmt sheetId="2" sqref="I239" start="0" length="0">
      <dxf>
        <numFmt numFmtId="26" formatCode="hh:mm:ss"/>
      </dxf>
    </rfmt>
    <rfmt sheetId="2" sqref="J239" start="0" length="0">
      <dxf>
        <numFmt numFmtId="26" formatCode="hh:mm:ss"/>
      </dxf>
    </rfmt>
    <rfmt sheetId="2" sqref="I240" start="0" length="0">
      <dxf>
        <numFmt numFmtId="26" formatCode="hh:mm:ss"/>
      </dxf>
    </rfmt>
    <rfmt sheetId="2" sqref="J240" start="0" length="0">
      <dxf>
        <numFmt numFmtId="26" formatCode="hh:mm:ss"/>
      </dxf>
    </rfmt>
    <rfmt sheetId="2" sqref="I241" start="0" length="0">
      <dxf>
        <numFmt numFmtId="26" formatCode="hh:mm:ss"/>
      </dxf>
    </rfmt>
    <rfmt sheetId="2" sqref="J241" start="0" length="0">
      <dxf>
        <numFmt numFmtId="26" formatCode="hh:mm:ss"/>
      </dxf>
    </rfmt>
    <rfmt sheetId="2" sqref="I242" start="0" length="0">
      <dxf>
        <numFmt numFmtId="26" formatCode="hh:mm:ss"/>
      </dxf>
    </rfmt>
    <rfmt sheetId="2" sqref="J242" start="0" length="0">
      <dxf>
        <numFmt numFmtId="26" formatCode="hh:mm:ss"/>
      </dxf>
    </rfmt>
    <rfmt sheetId="2" sqref="I243" start="0" length="0">
      <dxf>
        <numFmt numFmtId="26" formatCode="hh:mm:ss"/>
      </dxf>
    </rfmt>
    <rfmt sheetId="2" sqref="J243" start="0" length="0">
      <dxf>
        <numFmt numFmtId="26" formatCode="hh:mm:ss"/>
      </dxf>
    </rfmt>
    <rfmt sheetId="2" sqref="I244" start="0" length="0">
      <dxf>
        <numFmt numFmtId="26" formatCode="hh:mm:ss"/>
      </dxf>
    </rfmt>
    <rfmt sheetId="2" sqref="J244" start="0" length="0">
      <dxf>
        <numFmt numFmtId="26" formatCode="hh:mm:ss"/>
      </dxf>
    </rfmt>
    <rfmt sheetId="2" sqref="I245" start="0" length="0">
      <dxf>
        <numFmt numFmtId="26" formatCode="hh:mm:ss"/>
      </dxf>
    </rfmt>
    <rfmt sheetId="2" sqref="J245" start="0" length="0">
      <dxf>
        <numFmt numFmtId="26" formatCode="hh:mm:ss"/>
      </dxf>
    </rfmt>
    <rfmt sheetId="2" sqref="I246" start="0" length="0">
      <dxf>
        <numFmt numFmtId="26" formatCode="hh:mm:ss"/>
      </dxf>
    </rfmt>
    <rfmt sheetId="2" sqref="J246" start="0" length="0">
      <dxf>
        <numFmt numFmtId="26" formatCode="hh:mm:ss"/>
      </dxf>
    </rfmt>
    <rfmt sheetId="2" sqref="I247" start="0" length="0">
      <dxf>
        <numFmt numFmtId="26" formatCode="hh:mm:ss"/>
      </dxf>
    </rfmt>
    <rfmt sheetId="2" sqref="J247" start="0" length="0">
      <dxf>
        <numFmt numFmtId="26" formatCode="hh:mm:ss"/>
      </dxf>
    </rfmt>
    <rfmt sheetId="2" sqref="I248" start="0" length="0">
      <dxf>
        <numFmt numFmtId="26" formatCode="hh:mm:ss"/>
      </dxf>
    </rfmt>
    <rfmt sheetId="2" sqref="J248" start="0" length="0">
      <dxf>
        <numFmt numFmtId="26" formatCode="hh:mm:ss"/>
      </dxf>
    </rfmt>
    <rfmt sheetId="2" sqref="I249" start="0" length="0">
      <dxf>
        <numFmt numFmtId="26" formatCode="hh:mm:ss"/>
      </dxf>
    </rfmt>
    <rfmt sheetId="2" sqref="J249" start="0" length="0">
      <dxf>
        <numFmt numFmtId="26" formatCode="hh:mm:ss"/>
      </dxf>
    </rfmt>
    <rfmt sheetId="2" sqref="I250" start="0" length="0">
      <dxf>
        <numFmt numFmtId="26" formatCode="hh:mm:ss"/>
      </dxf>
    </rfmt>
    <rfmt sheetId="2" sqref="J250" start="0" length="0">
      <dxf>
        <numFmt numFmtId="26" formatCode="hh:mm:ss"/>
      </dxf>
    </rfmt>
    <rfmt sheetId="2" sqref="I251" start="0" length="0">
      <dxf>
        <numFmt numFmtId="26" formatCode="hh:mm:ss"/>
      </dxf>
    </rfmt>
    <rfmt sheetId="2" sqref="J251" start="0" length="0">
      <dxf>
        <numFmt numFmtId="26" formatCode="hh:mm:ss"/>
      </dxf>
    </rfmt>
    <rfmt sheetId="2" sqref="I252" start="0" length="0">
      <dxf>
        <numFmt numFmtId="26" formatCode="hh:mm:ss"/>
      </dxf>
    </rfmt>
    <rfmt sheetId="2" sqref="J252" start="0" length="0">
      <dxf>
        <numFmt numFmtId="26" formatCode="hh:mm:ss"/>
      </dxf>
    </rfmt>
    <rfmt sheetId="2" sqref="I253" start="0" length="0">
      <dxf>
        <numFmt numFmtId="26" formatCode="hh:mm:ss"/>
      </dxf>
    </rfmt>
    <rfmt sheetId="2" sqref="J253" start="0" length="0">
      <dxf>
        <numFmt numFmtId="26" formatCode="hh:mm:ss"/>
      </dxf>
    </rfmt>
    <rfmt sheetId="2" sqref="I255" start="0" length="0">
      <dxf>
        <numFmt numFmtId="26" formatCode="hh:mm:ss"/>
      </dxf>
    </rfmt>
    <rfmt sheetId="2" sqref="J255" start="0" length="0">
      <dxf>
        <numFmt numFmtId="26" formatCode="hh:mm:ss"/>
      </dxf>
    </rfmt>
    <rfmt sheetId="2" sqref="I256" start="0" length="0">
      <dxf>
        <numFmt numFmtId="26" formatCode="hh:mm:ss"/>
      </dxf>
    </rfmt>
    <rfmt sheetId="2" sqref="J256" start="0" length="0">
      <dxf>
        <numFmt numFmtId="26" formatCode="hh:mm:ss"/>
      </dxf>
    </rfmt>
    <rfmt sheetId="2" sqref="I257" start="0" length="0">
      <dxf>
        <numFmt numFmtId="26" formatCode="hh:mm:ss"/>
      </dxf>
    </rfmt>
    <rfmt sheetId="2" sqref="J257" start="0" length="0">
      <dxf>
        <numFmt numFmtId="26" formatCode="hh:mm:ss"/>
      </dxf>
    </rfmt>
    <rfmt sheetId="2" sqref="I258" start="0" length="0">
      <dxf>
        <numFmt numFmtId="26" formatCode="hh:mm:ss"/>
      </dxf>
    </rfmt>
    <rfmt sheetId="2" sqref="J258" start="0" length="0">
      <dxf>
        <numFmt numFmtId="26" formatCode="hh:mm:ss"/>
      </dxf>
    </rfmt>
  </rm>
  <rrc rId="4344" sId="2" ref="L1:L1048576" action="deleteCol">
    <rfmt sheetId="2" xfDxf="1" sqref="L1:L1048576" start="0" length="0"/>
    <rfmt sheetId="2" sqref="L59" start="0" length="0">
      <dxf>
        <font>
          <sz val="12"/>
          <color rgb="FFFF0000"/>
          <name val="Calibri"/>
          <family val="2"/>
          <scheme val="minor"/>
        </font>
        <alignment horizontal="left" vertical="top"/>
      </dxf>
    </rfmt>
    <rfmt sheetId="2" sqref="L63" start="0" length="0">
      <dxf>
        <font>
          <sz val="12"/>
          <color rgb="FFFF0000"/>
          <name val="Calibri"/>
          <family val="2"/>
          <scheme val="minor"/>
        </font>
        <alignment horizontal="left" vertical="top"/>
      </dxf>
    </rfmt>
    <rfmt sheetId="2" sqref="L64" start="0" length="0">
      <dxf>
        <font>
          <sz val="12"/>
          <color rgb="FFFF0000"/>
          <name val="Calibri"/>
          <family val="2"/>
          <scheme val="minor"/>
        </font>
        <alignment horizontal="left" vertical="top"/>
      </dxf>
    </rfmt>
    <rfmt sheetId="2" sqref="L77" start="0" length="0">
      <dxf>
        <font>
          <sz val="12"/>
          <color rgb="FFFF0000"/>
          <name val="Calibri"/>
          <family val="2"/>
          <scheme val="minor"/>
        </font>
        <alignment horizontal="left" vertical="top"/>
      </dxf>
    </rfmt>
    <rfmt sheetId="2" sqref="L78" start="0" length="0">
      <dxf>
        <font>
          <sz val="12"/>
          <color rgb="FFFF0000"/>
          <name val="Calibri"/>
          <family val="2"/>
          <scheme val="minor"/>
        </font>
        <alignment horizontal="left" vertical="top"/>
      </dxf>
    </rfmt>
    <rfmt sheetId="2" sqref="L79" start="0" length="0">
      <dxf>
        <font>
          <sz val="12"/>
          <color rgb="FFFF0000"/>
          <name val="Calibri"/>
          <family val="2"/>
          <scheme val="minor"/>
        </font>
        <alignment horizontal="left" vertical="top"/>
      </dxf>
    </rfmt>
    <rfmt sheetId="2" sqref="L202" start="0" length="0">
      <dxf>
        <fill>
          <patternFill patternType="solid">
            <bgColor rgb="FFFFFF00"/>
          </patternFill>
        </fill>
        <alignment horizontal="left" vertical="top"/>
      </dxf>
    </rfmt>
    <rfmt sheetId="2" sqref="L203" start="0" length="0">
      <dxf>
        <fill>
          <patternFill patternType="solid">
            <bgColor rgb="FFFFFF00"/>
          </patternFill>
        </fill>
        <alignment horizontal="left" vertical="top"/>
      </dxf>
    </rfmt>
    <rfmt sheetId="2" sqref="L204" start="0" length="0">
      <dxf>
        <fill>
          <patternFill patternType="solid">
            <bgColor rgb="FFFFFF00"/>
          </patternFill>
        </fill>
        <alignment horizontal="left" vertical="top"/>
      </dxf>
    </rfmt>
    <rfmt sheetId="2" sqref="L213" start="0" length="0">
      <dxf>
        <fill>
          <patternFill patternType="solid">
            <bgColor theme="0"/>
          </patternFill>
        </fill>
        <alignment horizontal="left" vertical="top"/>
      </dxf>
    </rfmt>
    <rfmt sheetId="2" sqref="L214" start="0" length="0">
      <dxf>
        <fill>
          <patternFill patternType="solid">
            <bgColor theme="0"/>
          </patternFill>
        </fill>
        <alignment horizontal="left" vertical="top"/>
      </dxf>
    </rfmt>
    <rfmt sheetId="2" sqref="L215" start="0" length="0">
      <dxf>
        <fill>
          <patternFill patternType="solid">
            <bgColor theme="0"/>
          </patternFill>
        </fill>
        <alignment horizontal="left" vertical="top"/>
      </dxf>
    </rfmt>
    <rfmt sheetId="2" sqref="L216" start="0" length="0">
      <dxf>
        <fill>
          <patternFill patternType="solid">
            <bgColor theme="0"/>
          </patternFill>
        </fill>
        <alignment horizontal="left" vertical="top"/>
      </dxf>
    </rfmt>
    <rfmt sheetId="2" sqref="L217" start="0" length="0">
      <dxf>
        <fill>
          <patternFill patternType="solid">
            <bgColor theme="0"/>
          </patternFill>
        </fill>
        <alignment horizontal="left" vertical="top"/>
      </dxf>
    </rfmt>
  </rrc>
  <rrc rId="4345" sId="2" ref="L1:L1048576" action="deleteCol">
    <rfmt sheetId="2" xfDxf="1" sqref="L1:L1048576" start="0" length="0"/>
    <rfmt sheetId="2" sqref="L59" start="0" length="0">
      <dxf>
        <font>
          <sz val="12"/>
          <color rgb="FFFF0000"/>
          <name val="Calibri"/>
          <family val="2"/>
          <scheme val="minor"/>
        </font>
        <alignment horizontal="left" vertical="top"/>
      </dxf>
    </rfmt>
    <rfmt sheetId="2" sqref="L63" start="0" length="0">
      <dxf>
        <font>
          <sz val="12"/>
          <color rgb="FFFF0000"/>
          <name val="Calibri"/>
          <family val="2"/>
          <scheme val="minor"/>
        </font>
        <alignment horizontal="left" vertical="top"/>
      </dxf>
    </rfmt>
    <rfmt sheetId="2" sqref="L64" start="0" length="0">
      <dxf>
        <font>
          <sz val="12"/>
          <color rgb="FFFF0000"/>
          <name val="Calibri"/>
          <family val="2"/>
          <scheme val="minor"/>
        </font>
        <alignment horizontal="left" vertical="top"/>
      </dxf>
    </rfmt>
    <rfmt sheetId="2" sqref="L77" start="0" length="0">
      <dxf>
        <font>
          <sz val="12"/>
          <color rgb="FFFF0000"/>
          <name val="Calibri"/>
          <family val="2"/>
          <scheme val="minor"/>
        </font>
        <alignment horizontal="left" vertical="top"/>
      </dxf>
    </rfmt>
    <rfmt sheetId="2" sqref="L78" start="0" length="0">
      <dxf>
        <font>
          <sz val="12"/>
          <color rgb="FFFF0000"/>
          <name val="Calibri"/>
          <family val="2"/>
          <scheme val="minor"/>
        </font>
        <alignment horizontal="left" vertical="top"/>
      </dxf>
    </rfmt>
    <rfmt sheetId="2" sqref="L79" start="0" length="0">
      <dxf>
        <font>
          <sz val="12"/>
          <color rgb="FFFF0000"/>
          <name val="Calibri"/>
          <family val="2"/>
          <scheme val="minor"/>
        </font>
        <alignment horizontal="left" vertical="top"/>
      </dxf>
    </rfmt>
    <rfmt sheetId="2" sqref="L202" start="0" length="0">
      <dxf>
        <fill>
          <patternFill patternType="solid">
            <bgColor rgb="FFFFFF00"/>
          </patternFill>
        </fill>
        <alignment horizontal="left" vertical="top"/>
      </dxf>
    </rfmt>
    <rfmt sheetId="2" sqref="L203" start="0" length="0">
      <dxf>
        <fill>
          <patternFill patternType="solid">
            <bgColor rgb="FFFFFF00"/>
          </patternFill>
        </fill>
        <alignment horizontal="left" vertical="top"/>
      </dxf>
    </rfmt>
    <rfmt sheetId="2" sqref="L204" start="0" length="0">
      <dxf>
        <fill>
          <patternFill patternType="solid">
            <bgColor rgb="FFFFFF00"/>
          </patternFill>
        </fill>
        <alignment horizontal="left" vertical="top"/>
      </dxf>
    </rfmt>
    <rfmt sheetId="2" sqref="L213" start="0" length="0">
      <dxf>
        <fill>
          <patternFill patternType="solid">
            <bgColor theme="0"/>
          </patternFill>
        </fill>
        <alignment horizontal="left" vertical="top"/>
      </dxf>
    </rfmt>
    <rfmt sheetId="2" sqref="L214" start="0" length="0">
      <dxf>
        <fill>
          <patternFill patternType="solid">
            <bgColor theme="0"/>
          </patternFill>
        </fill>
        <alignment horizontal="left" vertical="top"/>
      </dxf>
    </rfmt>
    <rfmt sheetId="2" sqref="L215" start="0" length="0">
      <dxf>
        <fill>
          <patternFill patternType="solid">
            <bgColor theme="0"/>
          </patternFill>
        </fill>
        <alignment horizontal="left" vertical="top"/>
      </dxf>
    </rfmt>
    <rfmt sheetId="2" sqref="L216" start="0" length="0">
      <dxf>
        <fill>
          <patternFill patternType="solid">
            <bgColor theme="0"/>
          </patternFill>
        </fill>
        <alignment horizontal="left" vertical="top"/>
      </dxf>
    </rfmt>
    <rfmt sheetId="2" sqref="L217" start="0" length="0">
      <dxf>
        <fill>
          <patternFill patternType="solid">
            <bgColor theme="0"/>
          </patternFill>
        </fill>
        <alignment horizontal="left" vertical="top"/>
      </dxf>
    </rfmt>
  </rrc>
  <rcc rId="4346" sId="2">
    <oc r="L1" t="inlineStr">
      <is>
        <t>pos_patt_dep</t>
      </is>
    </oc>
    <nc r="L1" t="inlineStr">
      <is>
        <t>position_dep</t>
      </is>
    </nc>
  </rcc>
  <rcc rId="4347" sId="2">
    <oc r="M1" t="inlineStr">
      <is>
        <t>side_home_patt_dep</t>
      </is>
    </oc>
    <nc r="M1" t="inlineStr">
      <is>
        <t>side_home_dep</t>
      </is>
    </nc>
  </rcc>
  <rcv guid="{8A75D892-44B4-104C-BB94-8EB0D0E43396}" action="delete"/>
  <rcv guid="{8A75D892-44B4-104C-BB94-8EB0D0E43396}" action="add"/>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48" sId="2">
    <oc r="O1" t="inlineStr">
      <is>
        <t>side_home_patt_ret</t>
      </is>
    </oc>
    <nc r="O1" t="inlineStr">
      <is>
        <t>side_home_ret</t>
      </is>
    </nc>
  </rcc>
  <rrc rId="4349" sId="2" ref="N1:N1048576" action="insertCol"/>
  <rm rId="4350" sheetId="2" source="P1:P1048576" destination="N1:N1048576" sourceSheetId="2">
    <rfmt sheetId="2" xfDxf="1" sqref="N1:N1048576" start="0" length="0">
      <dxf>
        <alignment horizontal="left"/>
      </dxf>
    </rfmt>
    <rfmt sheetId="2" sqref="N3" start="0" length="0">
      <dxf>
        <font>
          <sz val="12"/>
          <color rgb="FFFF0000"/>
          <name val="Calibri"/>
          <family val="2"/>
          <scheme val="minor"/>
        </font>
      </dxf>
    </rfmt>
    <rfmt sheetId="2" sqref="N13" start="0" length="0">
      <dxf>
        <font>
          <sz val="12"/>
          <color rgb="FFFF0000"/>
          <name val="Calibri"/>
          <family val="2"/>
          <scheme val="minor"/>
        </font>
      </dxf>
    </rfmt>
    <rfmt sheetId="2" sqref="N14" start="0" length="0">
      <dxf>
        <font>
          <sz val="12"/>
          <color rgb="FFFF0000"/>
          <name val="Calibri"/>
          <family val="2"/>
          <scheme val="minor"/>
        </font>
      </dxf>
    </rfmt>
    <rfmt sheetId="2" sqref="N202" start="0" length="0">
      <dxf>
        <fill>
          <patternFill patternType="solid">
            <bgColor rgb="FFFFFF00"/>
          </patternFill>
        </fill>
      </dxf>
    </rfmt>
    <rfmt sheetId="2" sqref="N203" start="0" length="0">
      <dxf>
        <fill>
          <patternFill patternType="solid">
            <bgColor rgb="FFFFFF00"/>
          </patternFill>
        </fill>
      </dxf>
    </rfmt>
    <rfmt sheetId="2" sqref="N204" start="0" length="0">
      <dxf>
        <fill>
          <patternFill patternType="solid">
            <bgColor rgb="FFFFFF00"/>
          </patternFill>
        </fill>
      </dxf>
    </rfmt>
    <rfmt sheetId="2" sqref="N213" start="0" length="0">
      <dxf>
        <fill>
          <patternFill patternType="solid">
            <bgColor theme="0"/>
          </patternFill>
        </fill>
      </dxf>
    </rfmt>
    <rfmt sheetId="2" sqref="N214" start="0" length="0">
      <dxf>
        <fill>
          <patternFill patternType="solid">
            <bgColor theme="0"/>
          </patternFill>
        </fill>
      </dxf>
    </rfmt>
    <rfmt sheetId="2" sqref="N215" start="0" length="0">
      <dxf>
        <fill>
          <patternFill patternType="solid">
            <bgColor theme="0"/>
          </patternFill>
        </fill>
      </dxf>
    </rfmt>
    <rfmt sheetId="2" sqref="N216" start="0" length="0">
      <dxf>
        <fill>
          <patternFill patternType="solid">
            <bgColor theme="0"/>
          </patternFill>
        </fill>
      </dxf>
    </rfmt>
    <rfmt sheetId="2" sqref="N217" start="0" length="0">
      <dxf>
        <fill>
          <patternFill patternType="solid">
            <bgColor theme="0"/>
          </patternFill>
        </fill>
      </dxf>
    </rfmt>
  </rm>
  <rrc rId="4351" sId="2" ref="P1:P1048576" action="deleteCol">
    <rfmt sheetId="2" xfDxf="1" sqref="P1:P1048576" start="0" length="0"/>
    <rfmt sheetId="2" sqref="P59" start="0" length="0">
      <dxf>
        <font>
          <sz val="12"/>
          <color rgb="FFFF0000"/>
          <name val="Calibri"/>
          <family val="2"/>
          <scheme val="minor"/>
        </font>
        <alignment horizontal="left" vertical="top"/>
      </dxf>
    </rfmt>
    <rfmt sheetId="2" sqref="P63" start="0" length="0">
      <dxf>
        <font>
          <sz val="12"/>
          <color rgb="FFFF0000"/>
          <name val="Calibri"/>
          <family val="2"/>
          <scheme val="minor"/>
        </font>
        <alignment horizontal="left" vertical="top"/>
      </dxf>
    </rfmt>
    <rfmt sheetId="2" sqref="P64" start="0" length="0">
      <dxf>
        <font>
          <sz val="12"/>
          <color rgb="FFFF0000"/>
          <name val="Calibri"/>
          <family val="2"/>
          <scheme val="minor"/>
        </font>
        <alignment horizontal="left" vertical="top"/>
      </dxf>
    </rfmt>
    <rfmt sheetId="2" sqref="P77" start="0" length="0">
      <dxf>
        <font>
          <sz val="12"/>
          <color rgb="FFFF0000"/>
          <name val="Calibri"/>
          <family val="2"/>
          <scheme val="minor"/>
        </font>
        <alignment horizontal="left" vertical="top"/>
      </dxf>
    </rfmt>
    <rfmt sheetId="2" sqref="P78" start="0" length="0">
      <dxf>
        <font>
          <sz val="12"/>
          <color rgb="FFFF0000"/>
          <name val="Calibri"/>
          <family val="2"/>
          <scheme val="minor"/>
        </font>
        <alignment horizontal="left" vertical="top"/>
      </dxf>
    </rfmt>
    <rfmt sheetId="2" sqref="P79" start="0" length="0">
      <dxf>
        <font>
          <sz val="12"/>
          <color rgb="FFFF0000"/>
          <name val="Calibri"/>
          <family val="2"/>
          <scheme val="minor"/>
        </font>
        <alignment horizontal="left" vertical="top"/>
      </dxf>
    </rfmt>
    <rfmt sheetId="2" sqref="P202" start="0" length="0">
      <dxf>
        <fill>
          <patternFill patternType="solid">
            <bgColor rgb="FFFFFF00"/>
          </patternFill>
        </fill>
        <alignment horizontal="left" vertical="top"/>
      </dxf>
    </rfmt>
    <rfmt sheetId="2" sqref="P203" start="0" length="0">
      <dxf>
        <fill>
          <patternFill patternType="solid">
            <bgColor rgb="FFFFFF00"/>
          </patternFill>
        </fill>
        <alignment horizontal="left" vertical="top"/>
      </dxf>
    </rfmt>
    <rfmt sheetId="2" sqref="P204" start="0" length="0">
      <dxf>
        <fill>
          <patternFill patternType="solid">
            <bgColor rgb="FFFFFF00"/>
          </patternFill>
        </fill>
        <alignment horizontal="left" vertical="top"/>
      </dxf>
    </rfmt>
    <rfmt sheetId="2" sqref="P213" start="0" length="0">
      <dxf>
        <fill>
          <patternFill patternType="solid">
            <bgColor theme="0"/>
          </patternFill>
        </fill>
        <alignment horizontal="left" vertical="top"/>
      </dxf>
    </rfmt>
    <rfmt sheetId="2" sqref="P214" start="0" length="0">
      <dxf>
        <fill>
          <patternFill patternType="solid">
            <bgColor theme="0"/>
          </patternFill>
        </fill>
        <alignment horizontal="left" vertical="top"/>
      </dxf>
    </rfmt>
    <rfmt sheetId="2" sqref="P215" start="0" length="0">
      <dxf>
        <fill>
          <patternFill patternType="solid">
            <bgColor theme="0"/>
          </patternFill>
        </fill>
        <alignment horizontal="left" vertical="top"/>
      </dxf>
    </rfmt>
    <rfmt sheetId="2" sqref="P216" start="0" length="0">
      <dxf>
        <fill>
          <patternFill patternType="solid">
            <bgColor theme="0"/>
          </patternFill>
        </fill>
        <alignment horizontal="left" vertical="top"/>
      </dxf>
    </rfmt>
    <rfmt sheetId="2" sqref="P217" start="0" length="0">
      <dxf>
        <fill>
          <patternFill patternType="solid">
            <bgColor theme="0"/>
          </patternFill>
        </fill>
        <alignment horizontal="left" vertical="top"/>
      </dxf>
    </rfmt>
  </rrc>
  <rcc rId="4352" sId="2">
    <oc r="O1" t="inlineStr">
      <is>
        <t>pos_patt_ret</t>
      </is>
    </oc>
    <nc r="O1" t="inlineStr">
      <is>
        <t>position_ret</t>
      </is>
    </nc>
  </rcc>
  <rrc rId="4353" sId="2" ref="M1:M1048576" action="insertCol"/>
  <rm rId="4354" sheetId="2" source="P1:P1048576" destination="M1:M1048576" sourceSheetId="2">
    <rfmt sheetId="2" xfDxf="1" sqref="M1:M1048576" start="0" length="0">
      <dxf>
        <alignment horizontal="left"/>
      </dxf>
    </rfmt>
    <rfmt sheetId="2" sqref="M3" start="0" length="0">
      <dxf>
        <font>
          <sz val="12"/>
          <color rgb="FFFF0000"/>
          <name val="Calibri"/>
          <family val="2"/>
          <scheme val="minor"/>
        </font>
      </dxf>
    </rfmt>
    <rfmt sheetId="2" sqref="M13" start="0" length="0">
      <dxf>
        <font>
          <sz val="12"/>
          <color rgb="FFFF0000"/>
          <name val="Calibri"/>
          <family val="2"/>
          <scheme val="minor"/>
        </font>
      </dxf>
    </rfmt>
    <rfmt sheetId="2" sqref="M14" start="0" length="0">
      <dxf>
        <font>
          <sz val="12"/>
          <color rgb="FFFF0000"/>
          <name val="Calibri"/>
          <family val="2"/>
          <scheme val="minor"/>
        </font>
      </dxf>
    </rfmt>
    <rfmt sheetId="2" sqref="M202" start="0" length="0">
      <dxf>
        <fill>
          <patternFill patternType="solid">
            <bgColor rgb="FFFFFF00"/>
          </patternFill>
        </fill>
      </dxf>
    </rfmt>
    <rfmt sheetId="2" sqref="M203" start="0" length="0">
      <dxf>
        <fill>
          <patternFill patternType="solid">
            <bgColor rgb="FFFFFF00"/>
          </patternFill>
        </fill>
      </dxf>
    </rfmt>
    <rfmt sheetId="2" sqref="M204" start="0" length="0">
      <dxf>
        <fill>
          <patternFill patternType="solid">
            <bgColor rgb="FFFFFF00"/>
          </patternFill>
        </fill>
      </dxf>
    </rfmt>
    <rfmt sheetId="2" sqref="M213" start="0" length="0">
      <dxf>
        <fill>
          <patternFill patternType="solid">
            <bgColor theme="0"/>
          </patternFill>
        </fill>
      </dxf>
    </rfmt>
    <rfmt sheetId="2" sqref="M214" start="0" length="0">
      <dxf>
        <fill>
          <patternFill patternType="solid">
            <bgColor theme="0"/>
          </patternFill>
        </fill>
      </dxf>
    </rfmt>
    <rfmt sheetId="2" sqref="M215" start="0" length="0">
      <dxf>
        <fill>
          <patternFill patternType="solid">
            <bgColor theme="0"/>
          </patternFill>
        </fill>
      </dxf>
    </rfmt>
    <rfmt sheetId="2" sqref="M216" start="0" length="0">
      <dxf>
        <fill>
          <patternFill patternType="solid">
            <bgColor theme="0"/>
          </patternFill>
        </fill>
      </dxf>
    </rfmt>
    <rfmt sheetId="2" sqref="M217" start="0" length="0">
      <dxf>
        <fill>
          <patternFill patternType="solid">
            <bgColor theme="0"/>
          </patternFill>
        </fill>
      </dxf>
    </rfmt>
  </rm>
  <rrc rId="4355" sId="2" ref="P1:P1048576" action="deleteCol">
    <rfmt sheetId="2" xfDxf="1" sqref="P1:P1048576" start="0" length="0"/>
    <rfmt sheetId="2" sqref="P59" start="0" length="0">
      <dxf>
        <font>
          <sz val="12"/>
          <color rgb="FFFF0000"/>
          <name val="Calibri"/>
          <family val="2"/>
          <scheme val="minor"/>
        </font>
        <alignment horizontal="left" vertical="top"/>
      </dxf>
    </rfmt>
    <rfmt sheetId="2" sqref="P63" start="0" length="0">
      <dxf>
        <font>
          <sz val="12"/>
          <color rgb="FFFF0000"/>
          <name val="Calibri"/>
          <family val="2"/>
          <scheme val="minor"/>
        </font>
        <alignment horizontal="left" vertical="top"/>
      </dxf>
    </rfmt>
    <rfmt sheetId="2" sqref="P64" start="0" length="0">
      <dxf>
        <font>
          <sz val="12"/>
          <color rgb="FFFF0000"/>
          <name val="Calibri"/>
          <family val="2"/>
          <scheme val="minor"/>
        </font>
        <alignment horizontal="left" vertical="top"/>
      </dxf>
    </rfmt>
    <rfmt sheetId="2" sqref="P77" start="0" length="0">
      <dxf>
        <font>
          <sz val="12"/>
          <color rgb="FFFF0000"/>
          <name val="Calibri"/>
          <family val="2"/>
          <scheme val="minor"/>
        </font>
        <alignment horizontal="left" vertical="top"/>
      </dxf>
    </rfmt>
    <rfmt sheetId="2" sqref="P78" start="0" length="0">
      <dxf>
        <font>
          <sz val="12"/>
          <color rgb="FFFF0000"/>
          <name val="Calibri"/>
          <family val="2"/>
          <scheme val="minor"/>
        </font>
        <alignment horizontal="left" vertical="top"/>
      </dxf>
    </rfmt>
    <rfmt sheetId="2" sqref="P79" start="0" length="0">
      <dxf>
        <font>
          <sz val="12"/>
          <color rgb="FFFF0000"/>
          <name val="Calibri"/>
          <family val="2"/>
          <scheme val="minor"/>
        </font>
        <alignment horizontal="left" vertical="top"/>
      </dxf>
    </rfmt>
    <rfmt sheetId="2" sqref="P202" start="0" length="0">
      <dxf>
        <fill>
          <patternFill patternType="solid">
            <bgColor rgb="FFFFFF00"/>
          </patternFill>
        </fill>
        <alignment horizontal="left" vertical="top"/>
      </dxf>
    </rfmt>
    <rfmt sheetId="2" sqref="P203" start="0" length="0">
      <dxf>
        <fill>
          <patternFill patternType="solid">
            <bgColor rgb="FFFFFF00"/>
          </patternFill>
        </fill>
        <alignment horizontal="left" vertical="top"/>
      </dxf>
    </rfmt>
    <rfmt sheetId="2" sqref="P204" start="0" length="0">
      <dxf>
        <fill>
          <patternFill patternType="solid">
            <bgColor rgb="FFFFFF00"/>
          </patternFill>
        </fill>
        <alignment horizontal="left" vertical="top"/>
      </dxf>
    </rfmt>
    <rfmt sheetId="2" sqref="P213" start="0" length="0">
      <dxf>
        <fill>
          <patternFill patternType="solid">
            <bgColor theme="0"/>
          </patternFill>
        </fill>
        <alignment horizontal="left" vertical="top"/>
      </dxf>
    </rfmt>
    <rfmt sheetId="2" sqref="P214" start="0" length="0">
      <dxf>
        <fill>
          <patternFill patternType="solid">
            <bgColor theme="0"/>
          </patternFill>
        </fill>
        <alignment horizontal="left" vertical="top"/>
      </dxf>
    </rfmt>
    <rfmt sheetId="2" sqref="P215" start="0" length="0">
      <dxf>
        <fill>
          <patternFill patternType="solid">
            <bgColor theme="0"/>
          </patternFill>
        </fill>
        <alignment horizontal="left" vertical="top"/>
      </dxf>
    </rfmt>
    <rfmt sheetId="2" sqref="P216" start="0" length="0">
      <dxf>
        <fill>
          <patternFill patternType="solid">
            <bgColor theme="0"/>
          </patternFill>
        </fill>
        <alignment horizontal="left" vertical="top"/>
      </dxf>
    </rfmt>
    <rfmt sheetId="2" sqref="P217" start="0" length="0">
      <dxf>
        <fill>
          <patternFill patternType="solid">
            <bgColor theme="0"/>
          </patternFill>
        </fill>
        <alignment horizontal="left" vertical="top"/>
      </dxf>
    </rfmt>
  </rrc>
  <rcc rId="4356" sId="2">
    <oc r="Q1" t="inlineStr">
      <is>
        <t>patt_freq_dep</t>
      </is>
    </oc>
    <nc r="Q1" t="inlineStr">
      <is>
        <t>freq_dep</t>
      </is>
    </nc>
  </rcc>
  <rcc rId="4357" sId="2">
    <oc r="R1" t="inlineStr">
      <is>
        <t>patt_freq_ret</t>
      </is>
    </oc>
    <nc r="R1" t="inlineStr">
      <is>
        <t>freq_ret</t>
      </is>
    </nc>
  </rcc>
  <rcv guid="{8A75D892-44B4-104C-BB94-8EB0D0E43396}" action="delete"/>
  <rcv guid="{8A75D892-44B4-104C-BB94-8EB0D0E43396}" action="add"/>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4358" sId="2" ref="P1:P1048576" action="deleteCol">
    <rfmt sheetId="2" xfDxf="1" sqref="P1:P1048576" start="0" length="0">
      <dxf>
        <alignment horizontal="left"/>
      </dxf>
    </rfmt>
    <rcc rId="0" sId="2">
      <nc r="P1" t="inlineStr">
        <is>
          <t>cycle_width</t>
        </is>
      </nc>
    </rcc>
    <rfmt sheetId="2" sqref="P3" start="0" length="0">
      <dxf>
        <font>
          <sz val="12"/>
          <color rgb="FFFF0000"/>
          <name val="Calibri"/>
          <family val="2"/>
          <scheme val="minor"/>
        </font>
      </dxf>
    </rfmt>
    <rfmt sheetId="2" sqref="P13" start="0" length="0">
      <dxf>
        <font>
          <sz val="12"/>
          <color rgb="FFFF0000"/>
          <name val="Calibri"/>
          <family val="2"/>
          <scheme val="minor"/>
        </font>
      </dxf>
    </rfmt>
    <rfmt sheetId="2" sqref="P14" start="0" length="0">
      <dxf>
        <font>
          <sz val="12"/>
          <color rgb="FFFF0000"/>
          <name val="Calibri"/>
          <family val="2"/>
          <scheme val="minor"/>
        </font>
      </dxf>
    </rfmt>
    <rfmt sheetId="2" sqref="P202" start="0" length="0">
      <dxf>
        <fill>
          <patternFill patternType="solid">
            <bgColor rgb="FFFFFF00"/>
          </patternFill>
        </fill>
      </dxf>
    </rfmt>
    <rfmt sheetId="2" sqref="P203" start="0" length="0">
      <dxf>
        <fill>
          <patternFill patternType="solid">
            <bgColor rgb="FFFFFF00"/>
          </patternFill>
        </fill>
      </dxf>
    </rfmt>
    <rfmt sheetId="2" sqref="P204" start="0" length="0">
      <dxf>
        <fill>
          <patternFill patternType="solid">
            <bgColor rgb="FFFFFF00"/>
          </patternFill>
        </fill>
      </dxf>
    </rfmt>
    <rfmt sheetId="2" sqref="P213" start="0" length="0">
      <dxf>
        <fill>
          <patternFill patternType="solid">
            <bgColor theme="0"/>
          </patternFill>
        </fill>
      </dxf>
    </rfmt>
    <rfmt sheetId="2" sqref="P214" start="0" length="0">
      <dxf>
        <fill>
          <patternFill patternType="solid">
            <bgColor theme="0"/>
          </patternFill>
        </fill>
      </dxf>
    </rfmt>
    <rfmt sheetId="2" sqref="P215" start="0" length="0">
      <dxf>
        <fill>
          <patternFill patternType="solid">
            <bgColor theme="0"/>
          </patternFill>
        </fill>
      </dxf>
    </rfmt>
    <rfmt sheetId="2" sqref="P216" start="0" length="0">
      <dxf>
        <fill>
          <patternFill patternType="solid">
            <bgColor theme="0"/>
          </patternFill>
        </fill>
      </dxf>
    </rfmt>
    <rfmt sheetId="2" sqref="P217" start="0" length="0">
      <dxf>
        <fill>
          <patternFill patternType="solid">
            <bgColor theme="0"/>
          </patternFill>
        </fill>
      </dxf>
    </rfmt>
  </rrc>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359" sId="2">
    <oc r="Q44">
      <v>0.05</v>
    </oc>
    <nc r="Q44">
      <v>115.17</v>
    </nc>
  </rcc>
  <rcc rId="4360" sId="2">
    <oc r="Q50">
      <v>0.05</v>
    </oc>
    <nc r="Q50">
      <v>115.17</v>
    </nc>
  </rcc>
  <rcc rId="4361" sId="2">
    <oc r="Q51">
      <v>0.05</v>
    </oc>
    <nc r="Q51">
      <v>115.17</v>
    </nc>
  </rcc>
  <rcc rId="4362" sId="2">
    <oc r="P53">
      <v>0.05</v>
    </oc>
    <nc r="P53">
      <v>115.17</v>
    </nc>
  </rcc>
  <rcc rId="4363" sId="2">
    <oc r="Q53">
      <v>0.05</v>
    </oc>
    <nc r="Q53">
      <v>115.17</v>
    </nc>
  </rcc>
  <rcc rId="4364" sId="2">
    <oc r="P54">
      <v>0.05</v>
    </oc>
    <nc r="P54">
      <v>115.17</v>
    </nc>
  </rcc>
  <rcc rId="4365" sId="2">
    <oc r="Q54">
      <v>0.05</v>
    </oc>
    <nc r="Q54">
      <v>115.17</v>
    </nc>
  </rcc>
  <rcc rId="4366" sId="2">
    <oc r="P55">
      <v>0.05</v>
    </oc>
    <nc r="P55">
      <v>115.17</v>
    </nc>
  </rcc>
  <rcc rId="4367" sId="2">
    <oc r="Q55">
      <v>0.05</v>
    </oc>
    <nc r="Q55">
      <v>115.17</v>
    </nc>
  </rcc>
  <rcc rId="4368" sId="2">
    <oc r="P56">
      <v>0.05</v>
    </oc>
    <nc r="P56">
      <v>115.17</v>
    </nc>
  </rcc>
  <rcc rId="4369" sId="2">
    <oc r="Q56">
      <v>0.05</v>
    </oc>
    <nc r="Q56">
      <v>115.17</v>
    </nc>
  </rcc>
  <rcc rId="4370" sId="2">
    <oc r="P57">
      <v>0.05</v>
    </oc>
    <nc r="P57">
      <v>115.17</v>
    </nc>
  </rcc>
  <rcc rId="4371" sId="2">
    <oc r="Q57">
      <v>0.05</v>
    </oc>
    <nc r="Q57">
      <v>115.17</v>
    </nc>
  </rcc>
  <rcc rId="4372" sId="2">
    <oc r="P58">
      <v>0.05</v>
    </oc>
    <nc r="P58">
      <v>115.17</v>
    </nc>
  </rcc>
  <rcc rId="4373" sId="2">
    <oc r="Q58">
      <v>0.05</v>
    </oc>
    <nc r="Q58">
      <v>115.17</v>
    </nc>
  </rcc>
  <rcc rId="4374" sId="2">
    <oc r="P59">
      <v>0.05</v>
    </oc>
    <nc r="P59">
      <v>115.17</v>
    </nc>
  </rcc>
  <rcc rId="4375" sId="2">
    <oc r="Q59">
      <v>0.05</v>
    </oc>
    <nc r="Q59">
      <v>115.17</v>
    </nc>
  </rcc>
  <rcc rId="4376" sId="2">
    <oc r="P60">
      <v>0.05</v>
    </oc>
    <nc r="P60">
      <v>115.17</v>
    </nc>
  </rcc>
  <rcc rId="4377" sId="2">
    <oc r="Q60">
      <v>0.05</v>
    </oc>
    <nc r="Q60">
      <v>115.17</v>
    </nc>
  </rcc>
  <rcc rId="4378" sId="2">
    <oc r="P61">
      <v>0.05</v>
    </oc>
    <nc r="P61">
      <v>115.17</v>
    </nc>
  </rcc>
  <rcc rId="4379" sId="2">
    <oc r="P63">
      <v>0.05</v>
    </oc>
    <nc r="P63">
      <v>115.17</v>
    </nc>
  </rcc>
  <rcc rId="4380" sId="2">
    <oc r="Q63">
      <v>0.05</v>
    </oc>
    <nc r="Q63">
      <v>115.17</v>
    </nc>
  </rcc>
  <rcc rId="4381" sId="2">
    <oc r="P65">
      <v>0.05</v>
    </oc>
    <nc r="P65">
      <v>115.17</v>
    </nc>
  </rcc>
  <rcc rId="4382" sId="2">
    <oc r="Q65">
      <v>0.05</v>
    </oc>
    <nc r="Q65">
      <v>115.17</v>
    </nc>
  </rcc>
  <rcc rId="4383" sId="2">
    <oc r="P66">
      <v>0.05</v>
    </oc>
    <nc r="P66">
      <v>115.17</v>
    </nc>
  </rcc>
  <rcc rId="4384" sId="2">
    <oc r="Q66">
      <v>0.05</v>
    </oc>
    <nc r="Q66">
      <v>115.17</v>
    </nc>
  </rcc>
  <rcc rId="4385" sId="2">
    <oc r="P67">
      <v>0.05</v>
    </oc>
    <nc r="P67">
      <v>115.17</v>
    </nc>
  </rcc>
  <rcc rId="4386" sId="2">
    <oc r="P68">
      <v>0.05</v>
    </oc>
    <nc r="P68">
      <v>115.17</v>
    </nc>
  </rcc>
  <rcc rId="4387" sId="2">
    <oc r="P72">
      <v>0.05</v>
    </oc>
    <nc r="P72">
      <v>115.17</v>
    </nc>
  </rcc>
  <rcc rId="4388" sId="2">
    <oc r="P73">
      <v>0.05</v>
    </oc>
    <nc r="P73">
      <v>115.17</v>
    </nc>
  </rcc>
  <rcc rId="4389" sId="2">
    <oc r="Q73">
      <v>0.05</v>
    </oc>
    <nc r="Q73">
      <v>115.17</v>
    </nc>
  </rcc>
  <rcc rId="4390" sId="2">
    <oc r="P74">
      <v>0.05</v>
    </oc>
    <nc r="P74">
      <v>115.17</v>
    </nc>
  </rcc>
  <rcc rId="4391" sId="2">
    <oc r="P75">
      <v>0.05</v>
    </oc>
    <nc r="P75">
      <v>115.17</v>
    </nc>
  </rcc>
  <rcc rId="4392" sId="2">
    <oc r="P76">
      <v>0.05</v>
    </oc>
    <nc r="P76">
      <v>115.17</v>
    </nc>
  </rcc>
  <rcc rId="4393" sId="2">
    <oc r="P77">
      <v>0.05</v>
    </oc>
    <nc r="P77">
      <v>115.17</v>
    </nc>
  </rcc>
  <rcc rId="4394" sId="2">
    <oc r="Q77">
      <v>0.05</v>
    </oc>
    <nc r="Q77">
      <v>115.17</v>
    </nc>
  </rcc>
  <rcc rId="4395" sId="2">
    <oc r="P78">
      <v>0.05</v>
    </oc>
    <nc r="P78">
      <v>115.17</v>
    </nc>
  </rcc>
  <rcc rId="4396" sId="2">
    <oc r="Q78">
      <v>0.05</v>
    </oc>
    <nc r="Q78">
      <v>115.17</v>
    </nc>
  </rcc>
  <rcc rId="4397" sId="2">
    <oc r="P79">
      <v>0.05</v>
    </oc>
    <nc r="P79">
      <v>115.17</v>
    </nc>
  </rcc>
  <rcc rId="4398" sId="2">
    <oc r="Q79">
      <v>0.05</v>
    </oc>
    <nc r="Q79">
      <v>115.17</v>
    </nc>
  </rcc>
  <rcc rId="4399" sId="2">
    <oc r="P80">
      <v>0.05</v>
    </oc>
    <nc r="P80">
      <v>115.17</v>
    </nc>
  </rcc>
  <rcc rId="4400" sId="2">
    <oc r="P81">
      <v>0.05</v>
    </oc>
    <nc r="P81">
      <v>115.17</v>
    </nc>
  </rcc>
  <rcc rId="4401" sId="2">
    <oc r="Q81">
      <v>0.05</v>
    </oc>
    <nc r="Q81">
      <v>115.17</v>
    </nc>
  </rcc>
  <rcc rId="4402" sId="2">
    <oc r="P82">
      <v>0.05</v>
    </oc>
    <nc r="P82">
      <v>115.17</v>
    </nc>
  </rcc>
  <rcc rId="4403" sId="2">
    <oc r="P83">
      <v>0.05</v>
    </oc>
    <nc r="P83">
      <v>115.17</v>
    </nc>
  </rcc>
  <rcc rId="4404" sId="2">
    <oc r="Q83">
      <v>0.05</v>
    </oc>
    <nc r="Q83">
      <v>115.17</v>
    </nc>
  </rcc>
  <rcc rId="4405" sId="2">
    <oc r="P84">
      <v>0.05</v>
    </oc>
    <nc r="P84">
      <v>115.17</v>
    </nc>
  </rcc>
  <rcc rId="4406" sId="2">
    <oc r="Q84">
      <v>0.05</v>
    </oc>
    <nc r="Q84">
      <v>115.17</v>
    </nc>
  </rcc>
  <rcc rId="4407" sId="2">
    <oc r="P85">
      <v>0.05</v>
    </oc>
    <nc r="P85">
      <v>115.17</v>
    </nc>
  </rcc>
  <rcc rId="4408" sId="2">
    <oc r="P86">
      <v>0.05</v>
    </oc>
    <nc r="P86">
      <v>115.17</v>
    </nc>
  </rcc>
  <rcc rId="4409" sId="2">
    <oc r="Q86">
      <v>0.05</v>
    </oc>
    <nc r="Q86">
      <v>115.17</v>
    </nc>
  </rcc>
  <rcc rId="4410" sId="2">
    <oc r="P87">
      <v>0.05</v>
    </oc>
    <nc r="P87">
      <v>115.17</v>
    </nc>
  </rcc>
  <rcc rId="4411" sId="2">
    <oc r="P88">
      <v>0.05</v>
    </oc>
    <nc r="P88">
      <v>115.17</v>
    </nc>
  </rcc>
  <rcc rId="4412" sId="2">
    <oc r="Q88">
      <v>0.05</v>
    </oc>
    <nc r="Q88">
      <v>115.17</v>
    </nc>
  </rcc>
  <rcc rId="4413" sId="2">
    <oc r="P89">
      <v>0.05</v>
    </oc>
    <nc r="P89">
      <v>115.17</v>
    </nc>
  </rcc>
  <rcc rId="4414" sId="2">
    <oc r="Q89">
      <v>0.05</v>
    </oc>
    <nc r="Q89">
      <v>115.17</v>
    </nc>
  </rcc>
  <rcc rId="4415" sId="2">
    <oc r="P90">
      <v>0.05</v>
    </oc>
    <nc r="P90">
      <v>115.17</v>
    </nc>
  </rcc>
  <rcc rId="4416" sId="2">
    <oc r="Q90">
      <v>0.05</v>
    </oc>
    <nc r="Q90">
      <v>115.17</v>
    </nc>
  </rcc>
  <rcc rId="4417" sId="2">
    <oc r="P91">
      <v>0.05</v>
    </oc>
    <nc r="P91">
      <v>115.17</v>
    </nc>
  </rcc>
  <rcc rId="4418" sId="2">
    <oc r="Q91">
      <v>0.05</v>
    </oc>
    <nc r="Q91">
      <v>115.17</v>
    </nc>
  </rcc>
  <rcc rId="4419" sId="2">
    <oc r="P92">
      <v>0.05</v>
    </oc>
    <nc r="P92">
      <v>115.17</v>
    </nc>
  </rcc>
  <rcc rId="4420" sId="2">
    <oc r="P93">
      <v>0.05</v>
    </oc>
    <nc r="P93">
      <v>115.17</v>
    </nc>
  </rcc>
  <rcc rId="4421" sId="2">
    <oc r="Q93">
      <v>0.05</v>
    </oc>
    <nc r="Q93">
      <v>115.17</v>
    </nc>
  </rcc>
  <rcc rId="4422" sId="2">
    <oc r="P94">
      <v>0.05</v>
    </oc>
    <nc r="P94">
      <v>115.17</v>
    </nc>
  </rcc>
  <rcc rId="4423" sId="2">
    <oc r="P95">
      <v>0.05</v>
    </oc>
    <nc r="P95">
      <v>115.17</v>
    </nc>
  </rcc>
  <rcc rId="4424" sId="2">
    <oc r="Q95">
      <v>0.05</v>
    </oc>
    <nc r="Q95">
      <v>115.17</v>
    </nc>
  </rcc>
  <rcc rId="4425" sId="2">
    <oc r="P100">
      <v>0.05</v>
    </oc>
    <nc r="P100">
      <v>115.17</v>
    </nc>
  </rcc>
  <rcc rId="4426" sId="2">
    <oc r="Q100">
      <v>0.05</v>
    </oc>
    <nc r="Q100">
      <v>115.17</v>
    </nc>
  </rcc>
  <rcc rId="4427" sId="2">
    <oc r="P102">
      <v>0.05</v>
    </oc>
    <nc r="P102">
      <v>115.17</v>
    </nc>
  </rcc>
  <rcc rId="4428" sId="2">
    <oc r="P105">
      <v>0.05</v>
    </oc>
    <nc r="P105">
      <v>115.17</v>
    </nc>
  </rcc>
  <rcc rId="4429" sId="2">
    <oc r="Q105">
      <v>0.05</v>
    </oc>
    <nc r="Q105">
      <v>115.17</v>
    </nc>
  </rcc>
  <rcc rId="4430" sId="2">
    <oc r="P107">
      <v>0.05</v>
    </oc>
    <nc r="P107">
      <v>115.17</v>
    </nc>
  </rcc>
  <rcc rId="4431" sId="2">
    <oc r="Q107">
      <v>0.05</v>
    </oc>
    <nc r="Q107">
      <v>115.17</v>
    </nc>
  </rcc>
  <rcc rId="4432" sId="2">
    <oc r="P109">
      <v>0.05</v>
    </oc>
    <nc r="P109">
      <v>115.17</v>
    </nc>
  </rcc>
  <rcc rId="4433" sId="2">
    <oc r="P110">
      <v>0.05</v>
    </oc>
    <nc r="P110">
      <v>115.17</v>
    </nc>
  </rcc>
  <rcc rId="4434" sId="2">
    <oc r="Q110">
      <v>0.05</v>
    </oc>
    <nc r="Q110">
      <v>115.17</v>
    </nc>
  </rcc>
  <rcc rId="4435" sId="2">
    <oc r="P111">
      <v>0.05</v>
    </oc>
    <nc r="P111">
      <v>115.17</v>
    </nc>
  </rcc>
  <rcc rId="4436" sId="2">
    <oc r="Q111">
      <v>0.05</v>
    </oc>
    <nc r="Q111">
      <v>115.17</v>
    </nc>
  </rcc>
  <rcc rId="4437" sId="2">
    <oc r="P112">
      <v>0.05</v>
    </oc>
    <nc r="P112">
      <v>115.17</v>
    </nc>
  </rcc>
  <rcc rId="4438" sId="2">
    <oc r="P125">
      <v>0.05</v>
    </oc>
    <nc r="P125">
      <v>115.17</v>
    </nc>
  </rcc>
  <rcc rId="4439" sId="2">
    <oc r="Q125">
      <v>0.05</v>
    </oc>
    <nc r="Q125">
      <v>115.17</v>
    </nc>
  </rcc>
  <rcc rId="4440" sId="2">
    <oc r="P126">
      <v>0.05</v>
    </oc>
    <nc r="P126">
      <v>115.17</v>
    </nc>
  </rcc>
  <rcc rId="4441" sId="2">
    <oc r="Q126">
      <v>0.05</v>
    </oc>
    <nc r="Q126">
      <v>115.17</v>
    </nc>
  </rcc>
  <rcc rId="4442" sId="2">
    <oc r="P127">
      <v>0.05</v>
    </oc>
    <nc r="P127">
      <v>115.17</v>
    </nc>
  </rcc>
  <rcc rId="4443" sId="2">
    <oc r="Q127">
      <v>0.05</v>
    </oc>
    <nc r="Q127">
      <v>115.17</v>
    </nc>
  </rcc>
  <rcc rId="4444" sId="2">
    <oc r="P128">
      <v>0.05</v>
    </oc>
    <nc r="P128">
      <v>115.17</v>
    </nc>
  </rcc>
  <rcc rId="4445" sId="2">
    <oc r="Q128">
      <v>0.05</v>
    </oc>
    <nc r="Q128">
      <v>115.17</v>
    </nc>
  </rcc>
  <rcc rId="4446" sId="2">
    <oc r="P129">
      <v>0.05</v>
    </oc>
    <nc r="P129">
      <v>115.17</v>
    </nc>
  </rcc>
  <rcc rId="4447" sId="2">
    <oc r="Q129">
      <v>0.05</v>
    </oc>
    <nc r="Q129">
      <v>115.17</v>
    </nc>
  </rcc>
  <rcc rId="4448" sId="2">
    <oc r="P130">
      <v>0.05</v>
    </oc>
    <nc r="P130">
      <v>115.17</v>
    </nc>
  </rcc>
  <rcc rId="4449" sId="2">
    <oc r="Q130">
      <v>0.05</v>
    </oc>
    <nc r="Q130">
      <v>115.17</v>
    </nc>
  </rcc>
  <rcc rId="4450" sId="2">
    <oc r="P131">
      <v>0.05</v>
    </oc>
    <nc r="P131">
      <v>115.17</v>
    </nc>
  </rcc>
  <rcc rId="4451" sId="2">
    <oc r="Q131">
      <v>0.05</v>
    </oc>
    <nc r="Q131">
      <v>115.17</v>
    </nc>
  </rcc>
  <rcc rId="4452" sId="2">
    <oc r="P132">
      <v>0.05</v>
    </oc>
    <nc r="P132">
      <v>115.17</v>
    </nc>
  </rcc>
  <rcc rId="4453" sId="2">
    <oc r="Q132">
      <v>0.05</v>
    </oc>
    <nc r="Q132">
      <v>115.17</v>
    </nc>
  </rcc>
  <rcc rId="4454" sId="2">
    <oc r="P133">
      <v>0.05</v>
    </oc>
    <nc r="P133">
      <v>115.17</v>
    </nc>
  </rcc>
  <rcc rId="4455" sId="2">
    <oc r="Q133">
      <v>0.05</v>
    </oc>
    <nc r="Q133">
      <v>115.17</v>
    </nc>
  </rcc>
  <rcc rId="4456" sId="2">
    <oc r="P134">
      <v>0.05</v>
    </oc>
    <nc r="P134">
      <v>115.17</v>
    </nc>
  </rcc>
  <rcc rId="4457" sId="2">
    <oc r="Q134">
      <v>0.05</v>
    </oc>
    <nc r="Q134">
      <v>115.17</v>
    </nc>
  </rcc>
  <rcc rId="4458" sId="2">
    <oc r="P135">
      <v>0.05</v>
    </oc>
    <nc r="P135">
      <v>115.17</v>
    </nc>
  </rcc>
  <rcc rId="4459" sId="2">
    <oc r="Q135">
      <v>0.05</v>
    </oc>
    <nc r="Q135">
      <v>115.17</v>
    </nc>
  </rcc>
  <rcc rId="4460" sId="2">
    <oc r="P136">
      <v>0.05</v>
    </oc>
    <nc r="P136">
      <v>115.17</v>
    </nc>
  </rcc>
  <rcc rId="4461" sId="2">
    <oc r="Q136">
      <v>0.05</v>
    </oc>
    <nc r="Q136">
      <v>115.17</v>
    </nc>
  </rcc>
  <rcc rId="4462" sId="2">
    <oc r="P137">
      <v>0.05</v>
    </oc>
    <nc r="P137">
      <v>115.17</v>
    </nc>
  </rcc>
  <rcc rId="4463" sId="2">
    <oc r="Q137">
      <v>0.05</v>
    </oc>
    <nc r="Q137">
      <v>115.17</v>
    </nc>
  </rcc>
  <rcc rId="4464" sId="2">
    <oc r="P138">
      <v>0.05</v>
    </oc>
    <nc r="P138">
      <v>115.17</v>
    </nc>
  </rcc>
  <rcc rId="4465" sId="2">
    <oc r="Q138">
      <v>0.05</v>
    </oc>
    <nc r="Q138">
      <v>115.17</v>
    </nc>
  </rcc>
  <rcc rId="4466" sId="2">
    <oc r="P139">
      <v>0.05</v>
    </oc>
    <nc r="P139">
      <v>115.17</v>
    </nc>
  </rcc>
  <rcc rId="4467" sId="2">
    <oc r="Q139">
      <v>0.05</v>
    </oc>
    <nc r="Q139">
      <v>115.17</v>
    </nc>
  </rcc>
  <rcc rId="4468" sId="2">
    <oc r="P140">
      <v>0.05</v>
    </oc>
    <nc r="P140">
      <v>115.17</v>
    </nc>
  </rcc>
  <rcc rId="4469" sId="2">
    <oc r="Q140">
      <v>0.05</v>
    </oc>
    <nc r="Q140">
      <v>115.17</v>
    </nc>
  </rcc>
  <rcc rId="4470" sId="2">
    <oc r="P141">
      <v>0.05</v>
    </oc>
    <nc r="P141">
      <v>115.17</v>
    </nc>
  </rcc>
  <rcc rId="4471" sId="2">
    <oc r="Q141">
      <v>0.05</v>
    </oc>
    <nc r="Q141">
      <v>115.17</v>
    </nc>
  </rcc>
  <rcc rId="4472" sId="2">
    <oc r="P142">
      <v>0.05</v>
    </oc>
    <nc r="P142">
      <v>115.17</v>
    </nc>
  </rcc>
  <rcc rId="4473" sId="2">
    <oc r="Q142">
      <v>0.05</v>
    </oc>
    <nc r="Q142">
      <v>115.17</v>
    </nc>
  </rcc>
  <rcc rId="4474" sId="2">
    <oc r="P143">
      <v>0.05</v>
    </oc>
    <nc r="P143">
      <v>115.17</v>
    </nc>
  </rcc>
  <rcc rId="4475" sId="2">
    <oc r="Q143">
      <v>0.05</v>
    </oc>
    <nc r="Q143">
      <v>115.17</v>
    </nc>
  </rcc>
  <rcc rId="4476" sId="2">
    <oc r="P144">
      <v>0.05</v>
    </oc>
    <nc r="P144">
      <v>115.17</v>
    </nc>
  </rcc>
  <rcc rId="4477" sId="2">
    <oc r="Q144">
      <v>0.05</v>
    </oc>
    <nc r="Q144">
      <v>115.17</v>
    </nc>
  </rcc>
  <rcc rId="4478" sId="2">
    <oc r="P145">
      <v>0.05</v>
    </oc>
    <nc r="P145">
      <v>115.17</v>
    </nc>
  </rcc>
  <rcc rId="4479" sId="2">
    <oc r="Q145">
      <v>0.05</v>
    </oc>
    <nc r="Q145">
      <v>115.17</v>
    </nc>
  </rcc>
  <rcc rId="4480" sId="2">
    <oc r="P146">
      <v>0.05</v>
    </oc>
    <nc r="P146">
      <v>115.17</v>
    </nc>
  </rcc>
  <rcc rId="4481" sId="2">
    <oc r="Q146">
      <v>0.05</v>
    </oc>
    <nc r="Q146">
      <v>115.17</v>
    </nc>
  </rcc>
  <rcc rId="4482" sId="2">
    <oc r="P166">
      <v>0.05</v>
    </oc>
    <nc r="P166">
      <v>115.17</v>
    </nc>
  </rcc>
  <rcc rId="4483" sId="2">
    <oc r="Q166">
      <v>0.05</v>
    </oc>
    <nc r="Q166">
      <v>115.17</v>
    </nc>
  </rcc>
  <rcc rId="4484" sId="2">
    <oc r="P167">
      <v>0.05</v>
    </oc>
    <nc r="P167">
      <v>115.17</v>
    </nc>
  </rcc>
  <rcc rId="4485" sId="2">
    <oc r="Q167">
      <v>0.05</v>
    </oc>
    <nc r="Q167">
      <v>115.17</v>
    </nc>
  </rcc>
  <rcc rId="4486" sId="2">
    <oc r="P168">
      <v>0.05</v>
    </oc>
    <nc r="P168">
      <v>115.17</v>
    </nc>
  </rcc>
  <rcc rId="4487" sId="2">
    <oc r="Q168">
      <v>0.05</v>
    </oc>
    <nc r="Q168">
      <v>115.17</v>
    </nc>
  </rcc>
  <rcc rId="4488" sId="2">
    <oc r="P169">
      <v>0.05</v>
    </oc>
    <nc r="P169">
      <v>115.17</v>
    </nc>
  </rcc>
  <rcc rId="4489" sId="2">
    <oc r="Q169">
      <v>0.05</v>
    </oc>
    <nc r="Q169">
      <v>115.17</v>
    </nc>
  </rcc>
  <rcc rId="4490" sId="2">
    <oc r="P170">
      <v>0.05</v>
    </oc>
    <nc r="P170">
      <v>115.17</v>
    </nc>
  </rcc>
  <rcc rId="4491" sId="2">
    <oc r="Q170">
      <v>0.05</v>
    </oc>
    <nc r="Q170">
      <v>115.17</v>
    </nc>
  </rcc>
  <rcc rId="4492" sId="2">
    <oc r="P171">
      <v>0.05</v>
    </oc>
    <nc r="P171">
      <v>115.17</v>
    </nc>
  </rcc>
  <rcc rId="4493" sId="2">
    <oc r="Q171">
      <v>0.05</v>
    </oc>
    <nc r="Q171">
      <v>115.17</v>
    </nc>
  </rcc>
  <rcc rId="4494" sId="2">
    <oc r="P172">
      <v>0.05</v>
    </oc>
    <nc r="P172">
      <v>115.17</v>
    </nc>
  </rcc>
  <rcc rId="4495" sId="2">
    <oc r="Q172">
      <v>0.05</v>
    </oc>
    <nc r="Q172">
      <v>115.17</v>
    </nc>
  </rcc>
  <rcc rId="4496" sId="2">
    <oc r="P173">
      <v>0.05</v>
    </oc>
    <nc r="P173">
      <v>115.17</v>
    </nc>
  </rcc>
  <rcc rId="4497" sId="2">
    <oc r="Q173">
      <v>0.05</v>
    </oc>
    <nc r="Q173">
      <v>115.17</v>
    </nc>
  </rcc>
  <rcc rId="4498" sId="2">
    <oc r="P174">
      <v>0.05</v>
    </oc>
    <nc r="P174">
      <v>115.17</v>
    </nc>
  </rcc>
  <rcc rId="4499" sId="2">
    <oc r="Q174">
      <v>0.05</v>
    </oc>
    <nc r="Q174">
      <v>115.17</v>
    </nc>
  </rcc>
  <rcc rId="4500" sId="2">
    <oc r="P4">
      <v>0.1</v>
    </oc>
    <nc r="P4">
      <v>57.59</v>
    </nc>
  </rcc>
  <rcc rId="4501" sId="2">
    <oc r="P5">
      <v>0.1</v>
    </oc>
    <nc r="P5">
      <v>57.59</v>
    </nc>
  </rcc>
  <rcc rId="4502" sId="2">
    <oc r="P6">
      <v>0.1</v>
    </oc>
    <nc r="P6">
      <v>57.59</v>
    </nc>
  </rcc>
  <rcc rId="4503" sId="2">
    <oc r="P7">
      <v>0.1</v>
    </oc>
    <nc r="P7">
      <v>57.59</v>
    </nc>
  </rcc>
  <rcc rId="4504" sId="2">
    <oc r="P8">
      <v>0.1</v>
    </oc>
    <nc r="P8">
      <v>57.59</v>
    </nc>
  </rcc>
  <rcc rId="4505" sId="2">
    <oc r="P9">
      <v>0.1</v>
    </oc>
    <nc r="P9">
      <v>57.59</v>
    </nc>
  </rcc>
  <rcc rId="4506" sId="2">
    <oc r="P10">
      <v>0.1</v>
    </oc>
    <nc r="P10">
      <v>57.59</v>
    </nc>
  </rcc>
  <rcc rId="4507" sId="2">
    <oc r="P11">
      <v>0.1</v>
    </oc>
    <nc r="P11">
      <v>57.59</v>
    </nc>
  </rcc>
  <rcc rId="4508" sId="2">
    <oc r="P12">
      <v>0.1</v>
    </oc>
    <nc r="P12">
      <v>57.59</v>
    </nc>
  </rcc>
  <rcc rId="4509" sId="2">
    <oc r="P13">
      <v>0.1</v>
    </oc>
    <nc r="P13">
      <v>57.59</v>
    </nc>
  </rcc>
  <rcc rId="4510" sId="2">
    <oc r="P14">
      <v>0.1</v>
    </oc>
    <nc r="P14">
      <v>57.59</v>
    </nc>
  </rcc>
  <rcc rId="4511" sId="2">
    <oc r="P15">
      <v>0.1</v>
    </oc>
    <nc r="P15">
      <v>57.59</v>
    </nc>
  </rcc>
  <rcc rId="4512" sId="2">
    <oc r="P16">
      <v>0.1</v>
    </oc>
    <nc r="P16">
      <v>57.59</v>
    </nc>
  </rcc>
  <rcc rId="4513" sId="2">
    <oc r="P18">
      <v>0.1</v>
    </oc>
    <nc r="P18">
      <v>57.59</v>
    </nc>
  </rcc>
  <rcc rId="4514" sId="2">
    <oc r="P19">
      <v>0.1</v>
    </oc>
    <nc r="P19">
      <v>57.59</v>
    </nc>
  </rcc>
  <rcc rId="4515" sId="2">
    <oc r="P20">
      <v>0.1</v>
    </oc>
    <nc r="P20">
      <v>57.59</v>
    </nc>
  </rcc>
  <rcc rId="4516" sId="2">
    <oc r="P21">
      <v>0.1</v>
    </oc>
    <nc r="P21">
      <v>57.59</v>
    </nc>
  </rcc>
  <rcc rId="4517" sId="2">
    <oc r="P22">
      <v>0.1</v>
    </oc>
    <nc r="P22">
      <v>57.59</v>
    </nc>
  </rcc>
  <rcc rId="4518" sId="2">
    <oc r="P23">
      <v>0.1</v>
    </oc>
    <nc r="P23">
      <v>57.59</v>
    </nc>
  </rcc>
  <rcc rId="4519" sId="2">
    <oc r="P24">
      <v>0.1</v>
    </oc>
    <nc r="P24">
      <v>57.59</v>
    </nc>
  </rcc>
  <rcc rId="4520" sId="2">
    <oc r="P25">
      <v>0.1</v>
    </oc>
    <nc r="P25">
      <v>57.59</v>
    </nc>
  </rcc>
  <rcc rId="4521" sId="2">
    <oc r="P26">
      <v>0.1</v>
    </oc>
    <nc r="P26">
      <v>57.59</v>
    </nc>
  </rcc>
  <rcc rId="4522" sId="2">
    <oc r="P27">
      <v>0.1</v>
    </oc>
    <nc r="P27">
      <v>57.59</v>
    </nc>
  </rcc>
  <rcc rId="4523" sId="2">
    <oc r="P28">
      <v>0.1</v>
    </oc>
    <nc r="P28">
      <v>57.59</v>
    </nc>
  </rcc>
  <rcc rId="4524" sId="2">
    <oc r="P29">
      <v>0.1</v>
    </oc>
    <nc r="P29">
      <v>57.59</v>
    </nc>
  </rcc>
  <rcc rId="4525" sId="2">
    <oc r="P30">
      <v>0.1</v>
    </oc>
    <nc r="P30">
      <v>57.59</v>
    </nc>
  </rcc>
  <rcc rId="4526" sId="2">
    <oc r="P31">
      <v>0.1</v>
    </oc>
    <nc r="P31">
      <v>57.59</v>
    </nc>
  </rcc>
  <rcc rId="4527" sId="2">
    <oc r="P32">
      <v>0.1</v>
    </oc>
    <nc r="P32">
      <v>57.59</v>
    </nc>
  </rcc>
  <rcc rId="4528" sId="2">
    <oc r="Q32">
      <v>0.1</v>
    </oc>
    <nc r="Q32">
      <v>57.59</v>
    </nc>
  </rcc>
  <rcc rId="4529" sId="2">
    <oc r="P34">
      <v>0.1</v>
    </oc>
    <nc r="P34">
      <v>57.59</v>
    </nc>
  </rcc>
  <rcc rId="4530" sId="2">
    <oc r="Q34">
      <v>0.1</v>
    </oc>
    <nc r="Q34">
      <v>57.59</v>
    </nc>
  </rcc>
  <rcc rId="4531" sId="2">
    <oc r="P35">
      <v>0.1</v>
    </oc>
    <nc r="P35">
      <v>57.59</v>
    </nc>
  </rcc>
  <rcc rId="4532" sId="2">
    <oc r="P36">
      <v>0.1</v>
    </oc>
    <nc r="P36">
      <v>57.59</v>
    </nc>
  </rcc>
  <rcc rId="4533" sId="2">
    <oc r="P38">
      <v>0.1</v>
    </oc>
    <nc r="P38">
      <v>57.59</v>
    </nc>
  </rcc>
  <rcc rId="4534" sId="2">
    <oc r="Q38">
      <v>0.1</v>
    </oc>
    <nc r="Q38">
      <v>57.59</v>
    </nc>
  </rcc>
  <rcc rId="4535" sId="2">
    <oc r="P39">
      <v>0.1</v>
    </oc>
    <nc r="P39">
      <v>57.59</v>
    </nc>
  </rcc>
  <rcc rId="4536" sId="2">
    <oc r="Q39">
      <v>0.1</v>
    </oc>
    <nc r="Q39">
      <v>57.59</v>
    </nc>
  </rcc>
  <rcc rId="4537" sId="2">
    <oc r="P40">
      <v>0.1</v>
    </oc>
    <nc r="P40">
      <v>57.59</v>
    </nc>
  </rcc>
  <rcc rId="4538" sId="2">
    <oc r="Q40">
      <v>0.1</v>
    </oc>
    <nc r="Q40">
      <v>57.59</v>
    </nc>
  </rcc>
  <rcc rId="4539" sId="2">
    <oc r="P41">
      <v>0.1</v>
    </oc>
    <nc r="P41">
      <v>57.59</v>
    </nc>
  </rcc>
  <rcc rId="4540" sId="2">
    <oc r="Q41">
      <v>0.1</v>
    </oc>
    <nc r="Q41">
      <v>57.59</v>
    </nc>
  </rcc>
  <rcc rId="4541" sId="2">
    <oc r="P42">
      <v>0.1</v>
    </oc>
    <nc r="P42">
      <v>57.59</v>
    </nc>
  </rcc>
  <rcc rId="4542" sId="2">
    <oc r="Q42">
      <v>0.1</v>
    </oc>
    <nc r="Q42">
      <v>57.59</v>
    </nc>
  </rcc>
  <rcc rId="4543" sId="2">
    <oc r="P43">
      <v>0.1</v>
    </oc>
    <nc r="P43">
      <v>57.59</v>
    </nc>
  </rcc>
  <rcc rId="4544" sId="2">
    <oc r="P44">
      <v>0.1</v>
    </oc>
    <nc r="P44">
      <v>57.59</v>
    </nc>
  </rcc>
  <rcc rId="4545" sId="2">
    <oc r="P45">
      <v>0.1</v>
    </oc>
    <nc r="P45">
      <v>57.59</v>
    </nc>
  </rcc>
  <rcc rId="4546" sId="2">
    <oc r="Q45">
      <v>0.1</v>
    </oc>
    <nc r="Q45">
      <v>57.59</v>
    </nc>
  </rcc>
  <rcc rId="4547" sId="2">
    <oc r="P46">
      <v>0.1</v>
    </oc>
    <nc r="P46">
      <v>57.59</v>
    </nc>
  </rcc>
  <rcc rId="4548" sId="2">
    <oc r="Q46">
      <v>0.15</v>
    </oc>
    <nc r="Q46">
      <v>57.594999999999999</v>
    </nc>
  </rcc>
  <rcc rId="4549" sId="2">
    <oc r="P47">
      <v>0.1</v>
    </oc>
    <nc r="P47">
      <v>57.59</v>
    </nc>
  </rcc>
  <rcc rId="4550" sId="2">
    <oc r="Q47">
      <v>0.1</v>
    </oc>
    <nc r="Q47">
      <v>57.59</v>
    </nc>
  </rcc>
  <rcc rId="4551" sId="2">
    <oc r="P48">
      <v>0.1</v>
    </oc>
    <nc r="P48">
      <v>57.59</v>
    </nc>
  </rcc>
  <rcc rId="4552" sId="2">
    <oc r="Q48">
      <v>0.1</v>
    </oc>
    <nc r="Q48">
      <v>57.59</v>
    </nc>
  </rcc>
  <rcc rId="4553" sId="2">
    <oc r="P49">
      <v>0.1</v>
    </oc>
    <nc r="P49">
      <v>57.59</v>
    </nc>
  </rcc>
  <rcc rId="4554" sId="2">
    <oc r="Q49">
      <v>0.15</v>
    </oc>
    <nc r="Q49">
      <v>57.594999999999999</v>
    </nc>
  </rcc>
  <rcc rId="4555" sId="2">
    <oc r="P50">
      <v>0.1</v>
    </oc>
    <nc r="P50">
      <v>57.59</v>
    </nc>
  </rcc>
  <rcc rId="4556" sId="2">
    <oc r="P51">
      <v>0.1</v>
    </oc>
    <nc r="P51">
      <v>57.59</v>
    </nc>
  </rcc>
  <rcc rId="4557" sId="2">
    <oc r="P52">
      <v>0.1</v>
    </oc>
    <nc r="P52">
      <v>57.59</v>
    </nc>
  </rcc>
  <rcc rId="4558" sId="2">
    <oc r="Q52">
      <v>0.15</v>
    </oc>
    <nc r="Q52">
      <v>57.594999999999999</v>
    </nc>
  </rcc>
  <rcc rId="4559" sId="2">
    <oc r="Q61">
      <v>0.15</v>
    </oc>
    <nc r="Q61">
      <v>57.594999999999999</v>
    </nc>
  </rcc>
  <rcc rId="4560" sId="2">
    <oc r="P62">
      <v>0.15</v>
    </oc>
    <nc r="P62">
      <v>57.594999999999999</v>
    </nc>
  </rcc>
  <rcc rId="4561" sId="2">
    <oc r="Q62">
      <v>0.15</v>
    </oc>
    <nc r="Q62">
      <v>57.594999999999999</v>
    </nc>
  </rcc>
  <rcc rId="4562" sId="2">
    <oc r="Q64">
      <v>0.15</v>
    </oc>
    <nc r="Q64">
      <v>57.594999999999999</v>
    </nc>
  </rcc>
  <rcc rId="4563" sId="2">
    <oc r="Q67">
      <v>0.1</v>
    </oc>
    <nc r="Q67">
      <v>57.59</v>
    </nc>
  </rcc>
  <rcc rId="4564" sId="2">
    <oc r="Q68">
      <v>0.1</v>
    </oc>
    <nc r="Q68">
      <v>57.59</v>
    </nc>
  </rcc>
  <rcc rId="4565" sId="2">
    <oc r="P69">
      <v>0.1</v>
    </oc>
    <nc r="P69">
      <v>57.59</v>
    </nc>
  </rcc>
  <rcc rId="4566" sId="2">
    <oc r="Q69">
      <v>0.1</v>
    </oc>
    <nc r="Q69">
      <v>57.59</v>
    </nc>
  </rcc>
  <rcc rId="4567" sId="2">
    <oc r="Q72">
      <v>0.15</v>
    </oc>
    <nc r="Q72">
      <v>57.594999999999999</v>
    </nc>
  </rcc>
  <rcc rId="4568" sId="2">
    <oc r="Q74">
      <v>0.1</v>
    </oc>
    <nc r="Q74">
      <v>57.59</v>
    </nc>
  </rcc>
  <rcc rId="4569" sId="2">
    <oc r="Q75">
      <v>0.1</v>
    </oc>
    <nc r="Q75">
      <v>57.59</v>
    </nc>
  </rcc>
  <rcc rId="4570" sId="2">
    <oc r="Q76">
      <v>0.15</v>
    </oc>
    <nc r="Q76">
      <v>57.594999999999999</v>
    </nc>
  </rcc>
  <rcc rId="4571" sId="2">
    <oc r="Q80">
      <v>0.1</v>
    </oc>
    <nc r="Q80">
      <v>57.59</v>
    </nc>
  </rcc>
  <rcc rId="4572" sId="2">
    <oc r="Q82">
      <v>0.15</v>
    </oc>
    <nc r="Q82">
      <v>57.594999999999999</v>
    </nc>
  </rcc>
  <rcc rId="4573" sId="2">
    <oc r="Q85">
      <v>0.1</v>
    </oc>
    <nc r="Q85">
      <v>57.59</v>
    </nc>
  </rcc>
  <rcc rId="4574" sId="2">
    <oc r="Q87">
      <v>0.15</v>
    </oc>
    <nc r="Q87">
      <v>57.594999999999999</v>
    </nc>
  </rcc>
  <rcc rId="4575" sId="2">
    <oc r="Q92">
      <v>0.1</v>
    </oc>
    <nc r="Q92">
      <v>57.59</v>
    </nc>
  </rcc>
  <rcc rId="4576" sId="2">
    <oc r="Q94">
      <v>0.15</v>
    </oc>
    <nc r="Q94">
      <v>57.594999999999999</v>
    </nc>
  </rcc>
  <rcc rId="4577" sId="2">
    <oc r="Q102">
      <v>0.1</v>
    </oc>
    <nc r="Q102">
      <v>57.59</v>
    </nc>
  </rcc>
  <rcc rId="4578" sId="2">
    <oc r="P103">
      <v>0.1</v>
    </oc>
    <nc r="P103">
      <v>57.59</v>
    </nc>
  </rcc>
  <rcc rId="4579" sId="2">
    <oc r="Q103">
      <v>0.1</v>
    </oc>
    <nc r="Q103">
      <v>57.59</v>
    </nc>
  </rcc>
  <rcc rId="4580" sId="2">
    <oc r="P104">
      <v>0.1</v>
    </oc>
    <nc r="P104">
      <v>57.59</v>
    </nc>
  </rcc>
  <rcc rId="4581" sId="2">
    <oc r="Q104">
      <v>0.15</v>
    </oc>
    <nc r="Q104">
      <v>57.594999999999999</v>
    </nc>
  </rcc>
  <rcc rId="4582" sId="2">
    <oc r="Q109">
      <v>0.15</v>
    </oc>
    <nc r="Q109">
      <v>57.594999999999999</v>
    </nc>
  </rcc>
  <rcc rId="4583" sId="2">
    <oc r="Q112">
      <v>0.15</v>
    </oc>
    <nc r="Q112">
      <v>57.594999999999999</v>
    </nc>
  </rcc>
  <rcc rId="4584" sId="2">
    <oc r="P113">
      <v>0.1</v>
    </oc>
    <nc r="P113">
      <v>57.59</v>
    </nc>
  </rcc>
  <rcc rId="4585" sId="2">
    <oc r="P115">
      <v>0.1</v>
    </oc>
    <nc r="P115">
      <v>57.59</v>
    </nc>
  </rcc>
  <rcc rId="4586" sId="2">
    <oc r="Q118">
      <v>0.15</v>
    </oc>
    <nc r="Q118">
      <v>57.594999999999999</v>
    </nc>
  </rcc>
  <rcc rId="4587" sId="2">
    <oc r="P119">
      <v>0.15</v>
    </oc>
    <nc r="P119">
      <v>57.594999999999999</v>
    </nc>
  </rcc>
  <rcc rId="4588" sId="2">
    <oc r="Q119">
      <v>0.15</v>
    </oc>
    <nc r="Q119">
      <v>57.594999999999999</v>
    </nc>
  </rcc>
  <rcc rId="4589" sId="2">
    <oc r="P120">
      <v>0.15</v>
    </oc>
    <nc r="P120">
      <v>57.594999999999999</v>
    </nc>
  </rcc>
  <rcc rId="4590" sId="2">
    <oc r="Q120">
      <v>0.15</v>
    </oc>
    <nc r="Q120">
      <v>57.594999999999999</v>
    </nc>
  </rcc>
  <rcc rId="4591" sId="2">
    <oc r="P147">
      <v>0.1</v>
    </oc>
    <nc r="P147">
      <v>57.59</v>
    </nc>
  </rcc>
  <rcc rId="4592" sId="2">
    <oc r="Q147">
      <v>0.1</v>
    </oc>
    <nc r="Q147">
      <v>57.59</v>
    </nc>
  </rcc>
  <rcc rId="4593" sId="2">
    <oc r="P148">
      <v>0.1</v>
    </oc>
    <nc r="P148">
      <v>57.59</v>
    </nc>
  </rcc>
  <rcc rId="4594" sId="2">
    <oc r="Q148">
      <v>0.1</v>
    </oc>
    <nc r="Q148">
      <v>57.59</v>
    </nc>
  </rcc>
  <rcc rId="4595" sId="2">
    <oc r="P149">
      <v>0.1</v>
    </oc>
    <nc r="P149">
      <v>57.59</v>
    </nc>
  </rcc>
  <rcc rId="4596" sId="2">
    <oc r="Q149">
      <v>0.1</v>
    </oc>
    <nc r="Q149">
      <v>57.59</v>
    </nc>
  </rcc>
  <rcc rId="4597" sId="2">
    <oc r="P150">
      <v>0.1</v>
    </oc>
    <nc r="P150">
      <v>57.59</v>
    </nc>
  </rcc>
  <rcc rId="4598" sId="2">
    <oc r="Q150">
      <v>0.1</v>
    </oc>
    <nc r="Q150">
      <v>57.59</v>
    </nc>
  </rcc>
  <rcc rId="4599" sId="2">
    <oc r="P151">
      <v>0.1</v>
    </oc>
    <nc r="P151">
      <v>57.59</v>
    </nc>
  </rcc>
  <rcc rId="4600" sId="2">
    <oc r="Q151">
      <v>0.1</v>
    </oc>
    <nc r="Q151">
      <v>57.59</v>
    </nc>
  </rcc>
  <rcc rId="4601" sId="2">
    <oc r="P152">
      <v>0.1</v>
    </oc>
    <nc r="P152">
      <v>57.59</v>
    </nc>
  </rcc>
  <rcc rId="4602" sId="2">
    <oc r="Q152">
      <v>0.1</v>
    </oc>
    <nc r="Q152">
      <v>57.59</v>
    </nc>
  </rcc>
  <rcc rId="4603" sId="2">
    <oc r="P153">
      <v>0.1</v>
    </oc>
    <nc r="P153">
      <v>57.59</v>
    </nc>
  </rcc>
  <rcc rId="4604" sId="2">
    <oc r="Q153">
      <v>0.1</v>
    </oc>
    <nc r="Q153">
      <v>57.59</v>
    </nc>
  </rcc>
  <rcc rId="4605" sId="2">
    <oc r="P154">
      <v>0.1</v>
    </oc>
    <nc r="P154">
      <v>57.59</v>
    </nc>
  </rcc>
  <rcc rId="4606" sId="2">
    <oc r="Q154">
      <v>0.1</v>
    </oc>
    <nc r="Q154">
      <v>57.59</v>
    </nc>
  </rcc>
  <rcc rId="4607" sId="2">
    <oc r="P155">
      <v>0.1</v>
    </oc>
    <nc r="P155">
      <v>57.59</v>
    </nc>
  </rcc>
  <rcc rId="4608" sId="2">
    <oc r="Q155">
      <v>0.1</v>
    </oc>
    <nc r="Q155">
      <v>57.59</v>
    </nc>
  </rcc>
  <rcc rId="4609" sId="2">
    <oc r="P156">
      <v>0.1</v>
    </oc>
    <nc r="P156">
      <v>57.59</v>
    </nc>
  </rcc>
  <rcc rId="4610" sId="2">
    <oc r="Q156">
      <v>0.1</v>
    </oc>
    <nc r="Q156">
      <v>57.59</v>
    </nc>
  </rcc>
  <rcc rId="4611" sId="2">
    <oc r="P157">
      <v>0.1</v>
    </oc>
    <nc r="P157">
      <v>57.59</v>
    </nc>
  </rcc>
  <rcc rId="4612" sId="2">
    <oc r="Q157">
      <v>0.1</v>
    </oc>
    <nc r="Q157">
      <v>57.59</v>
    </nc>
  </rcc>
  <rcc rId="4613" sId="2">
    <oc r="P158">
      <v>0.1</v>
    </oc>
    <nc r="P158">
      <v>57.59</v>
    </nc>
  </rcc>
  <rcc rId="4614" sId="2">
    <oc r="Q158">
      <v>0.1</v>
    </oc>
    <nc r="Q158">
      <v>57.59</v>
    </nc>
  </rcc>
  <rcc rId="4615" sId="2">
    <oc r="P159">
      <v>0.1</v>
    </oc>
    <nc r="P159">
      <v>57.59</v>
    </nc>
  </rcc>
  <rcc rId="4616" sId="2">
    <oc r="Q159">
      <v>0.1</v>
    </oc>
    <nc r="Q159">
      <v>57.59</v>
    </nc>
  </rcc>
  <rcc rId="4617" sId="2">
    <oc r="P160">
      <v>0.1</v>
    </oc>
    <nc r="P160">
      <v>57.59</v>
    </nc>
  </rcc>
  <rcc rId="4618" sId="2">
    <oc r="Q160">
      <v>0.1</v>
    </oc>
    <nc r="Q160">
      <v>57.59</v>
    </nc>
  </rcc>
  <rcc rId="4619" sId="2">
    <oc r="P161">
      <v>0.1</v>
    </oc>
    <nc r="P161">
      <v>57.59</v>
    </nc>
  </rcc>
  <rcc rId="4620" sId="2">
    <oc r="Q161">
      <v>0.1</v>
    </oc>
    <nc r="Q161">
      <v>57.59</v>
    </nc>
  </rcc>
  <rcc rId="4621" sId="2">
    <oc r="P162">
      <v>0.1</v>
    </oc>
    <nc r="P162">
      <v>57.59</v>
    </nc>
  </rcc>
  <rcc rId="4622" sId="2">
    <oc r="Q162">
      <v>0.1</v>
    </oc>
    <nc r="Q162">
      <v>57.59</v>
    </nc>
  </rcc>
  <rcc rId="4623" sId="2">
    <oc r="P163">
      <v>0.1</v>
    </oc>
    <nc r="P163">
      <v>57.59</v>
    </nc>
  </rcc>
  <rcc rId="4624" sId="2">
    <oc r="Q163">
      <v>0.1</v>
    </oc>
    <nc r="Q163">
      <v>57.59</v>
    </nc>
  </rcc>
  <rcc rId="4625" sId="2">
    <oc r="P164">
      <v>0.1</v>
    </oc>
    <nc r="P164">
      <v>57.59</v>
    </nc>
  </rcc>
  <rcc rId="4626" sId="2">
    <oc r="Q164">
      <v>0.1</v>
    </oc>
    <nc r="Q164">
      <v>57.59</v>
    </nc>
  </rcc>
  <rcc rId="4627" sId="2">
    <oc r="P165">
      <v>0.1</v>
    </oc>
    <nc r="P165">
      <v>57.59</v>
    </nc>
  </rcc>
  <rcc rId="4628" sId="2">
    <oc r="Q165">
      <v>0.1</v>
    </oc>
    <nc r="Q165">
      <v>57.59</v>
    </nc>
  </rcc>
  <rcc rId="4629" sId="2">
    <oc r="P175">
      <v>0.1</v>
    </oc>
    <nc r="P175">
      <v>57.59</v>
    </nc>
  </rcc>
  <rcc rId="4630" sId="2">
    <oc r="Q175">
      <v>0.1</v>
    </oc>
    <nc r="Q175">
      <v>57.59</v>
    </nc>
  </rcc>
  <rcc rId="4631" sId="2">
    <oc r="P176">
      <v>0.1</v>
    </oc>
    <nc r="P176">
      <v>57.59</v>
    </nc>
  </rcc>
  <rcc rId="4632" sId="2">
    <oc r="Q176">
      <v>0.1</v>
    </oc>
    <nc r="Q176">
      <v>57.59</v>
    </nc>
  </rcc>
  <rcc rId="4633" sId="2">
    <oc r="P177">
      <v>0.1</v>
    </oc>
    <nc r="P177">
      <v>57.59</v>
    </nc>
  </rcc>
  <rcc rId="4634" sId="2">
    <oc r="Q177">
      <v>0.1</v>
    </oc>
    <nc r="Q177">
      <v>57.59</v>
    </nc>
  </rcc>
  <rcc rId="4635" sId="2">
    <oc r="P178">
      <v>0.1</v>
    </oc>
    <nc r="P178">
      <v>57.59</v>
    </nc>
  </rcc>
  <rcc rId="4636" sId="2">
    <oc r="Q178">
      <v>0.1</v>
    </oc>
    <nc r="Q178">
      <v>57.59</v>
    </nc>
  </rcc>
  <rcc rId="4637" sId="2">
    <oc r="P179">
      <v>0.1</v>
    </oc>
    <nc r="P179">
      <v>57.59</v>
    </nc>
  </rcc>
  <rcc rId="4638" sId="2">
    <oc r="Q179">
      <v>0.1</v>
    </oc>
    <nc r="Q179">
      <v>57.59</v>
    </nc>
  </rcc>
  <rcc rId="4639" sId="2">
    <oc r="P180">
      <v>0.1</v>
    </oc>
    <nc r="P180">
      <v>57.59</v>
    </nc>
  </rcc>
  <rcc rId="4640" sId="2">
    <oc r="Q180">
      <v>0.1</v>
    </oc>
    <nc r="Q180">
      <v>57.59</v>
    </nc>
  </rcc>
  <rcc rId="4641" sId="2">
    <oc r="P181">
      <v>0.1</v>
    </oc>
    <nc r="P181">
      <v>57.59</v>
    </nc>
  </rcc>
  <rcc rId="4642" sId="2">
    <oc r="Q181">
      <v>0.1</v>
    </oc>
    <nc r="Q181">
      <v>57.59</v>
    </nc>
  </rcc>
  <rcc rId="4643" sId="2">
    <oc r="P182">
      <v>0.1</v>
    </oc>
    <nc r="P182">
      <v>57.59</v>
    </nc>
  </rcc>
  <rcc rId="4644" sId="2">
    <oc r="Q182">
      <v>0.1</v>
    </oc>
    <nc r="Q182">
      <v>57.59</v>
    </nc>
  </rcc>
  <rcc rId="4645" sId="2">
    <oc r="P183">
      <v>0.1</v>
    </oc>
    <nc r="P183">
      <v>57.59</v>
    </nc>
  </rcc>
  <rcc rId="4646" sId="2">
    <oc r="Q183">
      <v>0.1</v>
    </oc>
    <nc r="Q183">
      <v>57.59</v>
    </nc>
  </rcc>
  <rcc rId="4647" sId="2">
    <oc r="P184">
      <v>0.1</v>
    </oc>
    <nc r="P184">
      <v>57.59</v>
    </nc>
  </rcc>
  <rcc rId="4648" sId="2">
    <oc r="Q184">
      <v>0.1</v>
    </oc>
    <nc r="Q184">
      <v>57.59</v>
    </nc>
  </rcc>
  <rcc rId="4649" sId="2">
    <oc r="P185">
      <v>0.1</v>
    </oc>
    <nc r="P185">
      <v>57.59</v>
    </nc>
  </rcc>
  <rcc rId="4650" sId="2">
    <oc r="Q185">
      <v>0.1</v>
    </oc>
    <nc r="Q185">
      <v>57.59</v>
    </nc>
  </rcc>
  <rcc rId="4651" sId="2">
    <oc r="P186">
      <v>0.1</v>
    </oc>
    <nc r="P186">
      <v>57.59</v>
    </nc>
  </rcc>
  <rcc rId="4652" sId="2">
    <oc r="Q186">
      <v>0.1</v>
    </oc>
    <nc r="Q186">
      <v>57.59</v>
    </nc>
  </rcc>
  <rcc rId="4653" sId="2">
    <oc r="P187">
      <v>0.1</v>
    </oc>
    <nc r="P187">
      <v>57.59</v>
    </nc>
  </rcc>
  <rcc rId="4654" sId="2">
    <oc r="Q187">
      <v>0.1</v>
    </oc>
    <nc r="Q187">
      <v>57.59</v>
    </nc>
  </rcc>
  <rcc rId="4655" sId="2">
    <oc r="P188">
      <v>0.1</v>
    </oc>
    <nc r="P188">
      <v>57.59</v>
    </nc>
  </rcc>
  <rcc rId="4656" sId="2">
    <oc r="Q188">
      <v>0.1</v>
    </oc>
    <nc r="Q188">
      <v>57.59</v>
    </nc>
  </rcc>
  <rcc rId="4657" sId="2">
    <oc r="P191">
      <v>0.1</v>
    </oc>
    <nc r="P191">
      <v>57.59</v>
    </nc>
  </rcc>
  <rcc rId="4658" sId="2">
    <oc r="Q191">
      <v>0.1</v>
    </oc>
    <nc r="Q191">
      <v>57.59</v>
    </nc>
  </rcc>
  <rcc rId="4659" sId="2">
    <oc r="P192">
      <v>0.1</v>
    </oc>
    <nc r="P192">
      <v>57.59</v>
    </nc>
  </rcc>
  <rcc rId="4660" sId="2">
    <oc r="Q192">
      <v>0.1</v>
    </oc>
    <nc r="Q192">
      <v>57.59</v>
    </nc>
  </rcc>
  <rcc rId="4661" sId="2">
    <oc r="P193">
      <v>0.1</v>
    </oc>
    <nc r="P193">
      <v>57.59</v>
    </nc>
  </rcc>
  <rcc rId="4662" sId="2">
    <oc r="Q193">
      <v>0.1</v>
    </oc>
    <nc r="Q193">
      <v>57.59</v>
    </nc>
  </rcc>
  <rcc rId="4663" sId="2">
    <oc r="P194">
      <v>0.1</v>
    </oc>
    <nc r="P194">
      <v>57.59</v>
    </nc>
  </rcc>
  <rcc rId="4664" sId="2">
    <oc r="Q194">
      <v>0.1</v>
    </oc>
    <nc r="Q194">
      <v>57.59</v>
    </nc>
  </rcc>
  <rcc rId="4665" sId="2">
    <oc r="P195">
      <v>0.1</v>
    </oc>
    <nc r="P195">
      <v>57.59</v>
    </nc>
  </rcc>
  <rcc rId="4666" sId="2">
    <oc r="Q195">
      <v>0.1</v>
    </oc>
    <nc r="Q195">
      <v>57.59</v>
    </nc>
  </rcc>
  <rcc rId="4667" sId="2">
    <oc r="P196">
      <v>0.1</v>
    </oc>
    <nc r="P196">
      <v>57.59</v>
    </nc>
  </rcc>
  <rcc rId="4668" sId="2">
    <oc r="Q196">
      <v>0.1</v>
    </oc>
    <nc r="Q196">
      <v>57.59</v>
    </nc>
  </rcc>
  <rcc rId="4669" sId="2">
    <oc r="P197">
      <v>0.1</v>
    </oc>
    <nc r="P197">
      <v>57.59</v>
    </nc>
  </rcc>
  <rcc rId="4670" sId="2">
    <oc r="Q197">
      <v>0.1</v>
    </oc>
    <nc r="Q197">
      <v>57.59</v>
    </nc>
  </rcc>
  <rcc rId="4671" sId="2">
    <oc r="P198">
      <v>0.1</v>
    </oc>
    <nc r="P198">
      <v>57.59</v>
    </nc>
  </rcc>
  <rcc rId="4672" sId="2">
    <oc r="Q198">
      <v>0.1</v>
    </oc>
    <nc r="Q198">
      <v>57.59</v>
    </nc>
  </rcc>
  <rcc rId="4673" sId="2">
    <oc r="P199">
      <v>0.1</v>
    </oc>
    <nc r="P199">
      <v>57.59</v>
    </nc>
  </rcc>
  <rcc rId="4674" sId="2">
    <oc r="Q199">
      <v>0.1</v>
    </oc>
    <nc r="Q199">
      <v>57.59</v>
    </nc>
  </rcc>
  <rcc rId="4675" sId="2">
    <oc r="P200">
      <v>0.1</v>
    </oc>
    <nc r="P200">
      <v>57.59</v>
    </nc>
  </rcc>
  <rcc rId="4676" sId="2">
    <oc r="Q200">
      <v>0.1</v>
    </oc>
    <nc r="Q200">
      <v>57.59</v>
    </nc>
  </rcc>
  <rcc rId="4677" sId="2">
    <oc r="P202">
      <v>0.1</v>
    </oc>
    <nc r="P202">
      <v>57.59</v>
    </nc>
  </rcc>
  <rcc rId="4678" sId="2">
    <oc r="Q202">
      <v>0.1</v>
    </oc>
    <nc r="Q202">
      <v>57.59</v>
    </nc>
  </rcc>
  <rcc rId="4679" sId="2">
    <oc r="P203">
      <v>0.1</v>
    </oc>
    <nc r="P203">
      <v>57.59</v>
    </nc>
  </rcc>
  <rcc rId="4680" sId="2">
    <oc r="Q203">
      <v>0.1</v>
    </oc>
    <nc r="Q203">
      <v>57.59</v>
    </nc>
  </rcc>
  <rcc rId="4681" sId="2">
    <oc r="P204">
      <v>0.1</v>
    </oc>
    <nc r="P204">
      <v>57.59</v>
    </nc>
  </rcc>
  <rcc rId="4682" sId="2">
    <oc r="Q204">
      <v>0.1</v>
    </oc>
    <nc r="Q204">
      <v>57.59</v>
    </nc>
  </rcc>
  <rcc rId="4683" sId="2">
    <oc r="P205">
      <v>0.1</v>
    </oc>
    <nc r="P205">
      <v>57.59</v>
    </nc>
  </rcc>
  <rcc rId="4684" sId="2">
    <oc r="Q205">
      <v>0.1</v>
    </oc>
    <nc r="Q205">
      <v>57.59</v>
    </nc>
  </rcc>
  <rcc rId="4685" sId="2">
    <oc r="P206">
      <v>0.1</v>
    </oc>
    <nc r="P206">
      <v>57.59</v>
    </nc>
  </rcc>
  <rcc rId="4686" sId="2">
    <oc r="Q206">
      <v>0.1</v>
    </oc>
    <nc r="Q206">
      <v>57.59</v>
    </nc>
  </rcc>
  <rcc rId="4687" sId="2">
    <oc r="P207">
      <v>0.1</v>
    </oc>
    <nc r="P207">
      <v>57.59</v>
    </nc>
  </rcc>
  <rcc rId="4688" sId="2">
    <oc r="Q207">
      <v>0.1</v>
    </oc>
    <nc r="Q207">
      <v>57.59</v>
    </nc>
  </rcc>
  <rcc rId="4689" sId="2">
    <oc r="P208">
      <v>0.1</v>
    </oc>
    <nc r="P208">
      <v>57.59</v>
    </nc>
  </rcc>
  <rcc rId="4690" sId="2">
    <oc r="Q208">
      <v>0.1</v>
    </oc>
    <nc r="Q208">
      <v>57.59</v>
    </nc>
  </rcc>
  <rcc rId="4691" sId="2">
    <oc r="P209">
      <v>0.1</v>
    </oc>
    <nc r="P209">
      <v>57.59</v>
    </nc>
  </rcc>
  <rcc rId="4692" sId="2">
    <oc r="Q209">
      <v>0.1</v>
    </oc>
    <nc r="Q209">
      <v>57.59</v>
    </nc>
  </rcc>
  <rcc rId="4693" sId="2">
    <oc r="P210">
      <v>0.1</v>
    </oc>
    <nc r="P210">
      <v>57.59</v>
    </nc>
  </rcc>
  <rcc rId="4694" sId="2">
    <oc r="Q210">
      <v>0.1</v>
    </oc>
    <nc r="Q210">
      <v>57.59</v>
    </nc>
  </rcc>
  <rcc rId="4695" sId="2">
    <oc r="P211">
      <v>0.1</v>
    </oc>
    <nc r="P211">
      <v>57.59</v>
    </nc>
  </rcc>
  <rcc rId="4696" sId="2">
    <oc r="Q211">
      <v>0.1</v>
    </oc>
    <nc r="Q211">
      <v>57.59</v>
    </nc>
  </rcc>
  <rcc rId="4697" sId="2">
    <oc r="P212">
      <v>0.1</v>
    </oc>
    <nc r="P212">
      <v>57.59</v>
    </nc>
  </rcc>
  <rcc rId="4698" sId="2">
    <oc r="Q212">
      <v>0.1</v>
    </oc>
    <nc r="Q212">
      <v>57.59</v>
    </nc>
  </rcc>
  <rcc rId="4699" sId="2">
    <oc r="P213">
      <v>0.1</v>
    </oc>
    <nc r="P213">
      <v>57.59</v>
    </nc>
  </rcc>
  <rcc rId="4700" sId="2">
    <oc r="Q213">
      <v>0.1</v>
    </oc>
    <nc r="Q213">
      <v>57.59</v>
    </nc>
  </rcc>
  <rcc rId="4701" sId="2">
    <oc r="P214">
      <v>0.1</v>
    </oc>
    <nc r="P214">
      <v>57.59</v>
    </nc>
  </rcc>
  <rcc rId="4702" sId="2">
    <oc r="Q214">
      <v>0.1</v>
    </oc>
    <nc r="Q214">
      <v>57.59</v>
    </nc>
  </rcc>
  <rcc rId="4703" sId="2">
    <oc r="P215">
      <v>0.1</v>
    </oc>
    <nc r="P215">
      <v>57.59</v>
    </nc>
  </rcc>
  <rcc rId="4704" sId="2">
    <oc r="Q215">
      <v>0.1</v>
    </oc>
    <nc r="Q215">
      <v>57.59</v>
    </nc>
  </rcc>
  <rcc rId="4705" sId="2">
    <oc r="P216">
      <v>0.1</v>
    </oc>
    <nc r="P216">
      <v>57.59</v>
    </nc>
  </rcc>
  <rcc rId="4706" sId="2">
    <oc r="Q216">
      <v>0.1</v>
    </oc>
    <nc r="Q216">
      <v>57.59</v>
    </nc>
  </rcc>
  <rcc rId="4707" sId="2">
    <oc r="P217">
      <v>0.1</v>
    </oc>
    <nc r="P217">
      <v>57.59</v>
    </nc>
  </rcc>
  <rcc rId="4708" sId="2">
    <oc r="Q217">
      <v>0.1</v>
    </oc>
    <nc r="Q217">
      <v>57.59</v>
    </nc>
  </rcc>
  <rcc rId="4709" sId="2">
    <oc r="P218">
      <v>0.1</v>
    </oc>
    <nc r="P218">
      <v>57.59</v>
    </nc>
  </rcc>
  <rcc rId="4710" sId="2">
    <oc r="Q218">
      <v>0.1</v>
    </oc>
    <nc r="Q218">
      <v>57.59</v>
    </nc>
  </rcc>
  <rcc rId="4711" sId="2">
    <oc r="P219">
      <v>0.1</v>
    </oc>
    <nc r="P219">
      <v>57.59</v>
    </nc>
  </rcc>
  <rcc rId="4712" sId="2">
    <oc r="Q219">
      <v>0.1</v>
    </oc>
    <nc r="Q219">
      <v>57.59</v>
    </nc>
  </rcc>
  <rcc rId="4713" sId="2">
    <oc r="P220">
      <v>0.1</v>
    </oc>
    <nc r="P220">
      <v>57.59</v>
    </nc>
  </rcc>
  <rcc rId="4714" sId="2">
    <oc r="Q220">
      <v>0.1</v>
    </oc>
    <nc r="Q220">
      <v>57.59</v>
    </nc>
  </rcc>
  <rcc rId="4715" sId="2">
    <oc r="P221">
      <v>0.1</v>
    </oc>
    <nc r="P221">
      <v>57.59</v>
    </nc>
  </rcc>
  <rcc rId="4716" sId="2">
    <oc r="Q221">
      <v>0.1</v>
    </oc>
    <nc r="Q221">
      <v>57.59</v>
    </nc>
  </rcc>
  <rcc rId="4717" sId="2">
    <oc r="P222">
      <v>0.1</v>
    </oc>
    <nc r="P222">
      <v>57.59</v>
    </nc>
  </rcc>
  <rcc rId="4718" sId="2">
    <oc r="Q222">
      <v>0.1</v>
    </oc>
    <nc r="Q222">
      <v>57.59</v>
    </nc>
  </rcc>
  <rcc rId="4719" sId="2">
    <oc r="P223">
      <v>0.1</v>
    </oc>
    <nc r="P223">
      <v>57.59</v>
    </nc>
  </rcc>
  <rcc rId="4720" sId="2">
    <oc r="Q223">
      <v>0.1</v>
    </oc>
    <nc r="Q223">
      <v>57.59</v>
    </nc>
  </rcc>
  <rcc rId="4721" sId="2">
    <oc r="P224">
      <v>0.1</v>
    </oc>
    <nc r="P224">
      <v>57.59</v>
    </nc>
  </rcc>
  <rcc rId="4722" sId="2">
    <oc r="Q224">
      <v>0.1</v>
    </oc>
    <nc r="Q224">
      <v>57.59</v>
    </nc>
  </rcc>
  <rcc rId="4723" sId="2">
    <oc r="P225">
      <v>0.1</v>
    </oc>
    <nc r="P225">
      <v>57.59</v>
    </nc>
  </rcc>
  <rcc rId="4724" sId="2">
    <oc r="Q225">
      <v>0.1</v>
    </oc>
    <nc r="Q225">
      <v>57.59</v>
    </nc>
  </rcc>
  <rcc rId="4725" sId="2">
    <oc r="P227">
      <v>0.1</v>
    </oc>
    <nc r="P227">
      <v>57.59</v>
    </nc>
  </rcc>
  <rcc rId="4726" sId="2">
    <oc r="P230">
      <v>0.1</v>
    </oc>
    <nc r="P230">
      <v>57.59</v>
    </nc>
  </rcc>
  <rcc rId="4727" sId="2">
    <oc r="Q230">
      <v>0.1</v>
    </oc>
    <nc r="Q230">
      <v>57.59</v>
    </nc>
  </rcc>
  <rcc rId="4728" sId="2">
    <oc r="P231">
      <v>0.1</v>
    </oc>
    <nc r="P231">
      <v>57.59</v>
    </nc>
  </rcc>
  <rcc rId="4729" sId="2">
    <oc r="Q231">
      <v>0.1</v>
    </oc>
    <nc r="Q231">
      <v>57.59</v>
    </nc>
  </rcc>
  <rcc rId="4730" sId="2">
    <oc r="P232">
      <v>0.1</v>
    </oc>
    <nc r="P232">
      <v>57.59</v>
    </nc>
  </rcc>
  <rcc rId="4731" sId="2">
    <oc r="Q232">
      <v>0.1</v>
    </oc>
    <nc r="Q232">
      <v>57.59</v>
    </nc>
  </rcc>
  <rcc rId="4732" sId="2">
    <oc r="P233">
      <v>0.1</v>
    </oc>
    <nc r="P233">
      <v>57.59</v>
    </nc>
  </rcc>
  <rcc rId="4733" sId="2">
    <oc r="Q233">
      <v>0.1</v>
    </oc>
    <nc r="Q233">
      <v>57.59</v>
    </nc>
  </rcc>
  <rcc rId="4734" sId="2">
    <oc r="P234">
      <v>0.1</v>
    </oc>
    <nc r="P234">
      <v>57.59</v>
    </nc>
  </rcc>
  <rcc rId="4735" sId="2">
    <oc r="Q234">
      <v>0.1</v>
    </oc>
    <nc r="Q234">
      <v>57.59</v>
    </nc>
  </rcc>
  <rcc rId="4736" sId="2">
    <oc r="P235">
      <v>0.1</v>
    </oc>
    <nc r="P235">
      <v>57.59</v>
    </nc>
  </rcc>
  <rcc rId="4737" sId="2">
    <oc r="P236">
      <v>0.1</v>
    </oc>
    <nc r="P236">
      <v>57.59</v>
    </nc>
  </rcc>
  <rcc rId="4738" sId="2">
    <oc r="Q236">
      <v>0.1</v>
    </oc>
    <nc r="Q236">
      <v>57.59</v>
    </nc>
  </rcc>
  <rcc rId="4739" sId="2">
    <oc r="P237">
      <v>0.1</v>
    </oc>
    <nc r="P237">
      <v>57.59</v>
    </nc>
  </rcc>
  <rcc rId="4740" sId="2">
    <oc r="Q238">
      <v>0.1</v>
    </oc>
    <nc r="Q238">
      <v>57.59</v>
    </nc>
  </rcc>
  <rcc rId="4741" sId="2">
    <oc r="P239">
      <v>0.1</v>
    </oc>
    <nc r="P239">
      <v>57.59</v>
    </nc>
  </rcc>
  <rcc rId="4742" sId="2">
    <oc r="Q239">
      <v>0.1</v>
    </oc>
    <nc r="Q239">
      <v>57.59</v>
    </nc>
  </rcc>
  <rcc rId="4743" sId="2">
    <oc r="P240">
      <v>0.1</v>
    </oc>
    <nc r="P240">
      <v>57.59</v>
    </nc>
  </rcc>
  <rcc rId="4744" sId="2">
    <oc r="Q240">
      <v>0.1</v>
    </oc>
    <nc r="Q240">
      <v>57.59</v>
    </nc>
  </rcc>
  <rcc rId="4745" sId="2">
    <oc r="P241">
      <v>0.1</v>
    </oc>
    <nc r="P241">
      <v>57.59</v>
    </nc>
  </rcc>
  <rcc rId="4746" sId="2">
    <oc r="P242">
      <v>0.1</v>
    </oc>
    <nc r="P242">
      <v>57.59</v>
    </nc>
  </rcc>
  <rcc rId="4747" sId="2">
    <oc r="Q242">
      <v>0.1</v>
    </oc>
    <nc r="Q242">
      <v>57.59</v>
    </nc>
  </rcc>
  <rcc rId="4748" sId="2">
    <oc r="Q245">
      <v>0.1</v>
    </oc>
    <nc r="Q245">
      <v>57.59</v>
    </nc>
  </rcc>
  <rcc rId="4749" sId="2">
    <oc r="P246">
      <v>0.1</v>
    </oc>
    <nc r="P246">
      <v>57.59</v>
    </nc>
  </rcc>
  <rcc rId="4750" sId="2">
    <oc r="Q246">
      <v>0.1</v>
    </oc>
    <nc r="Q246">
      <v>57.59</v>
    </nc>
  </rcc>
  <rcc rId="4751" sId="2">
    <oc r="P247">
      <v>0.1</v>
    </oc>
    <nc r="P247">
      <v>57.59</v>
    </nc>
  </rcc>
  <rcc rId="4752" sId="2">
    <oc r="P248">
      <v>0.1</v>
    </oc>
    <nc r="P248">
      <v>57.59</v>
    </nc>
  </rcc>
  <rcc rId="4753" sId="2">
    <oc r="Q248">
      <v>0.1</v>
    </oc>
    <nc r="Q248">
      <v>57.59</v>
    </nc>
  </rcc>
  <rcc rId="4754" sId="2">
    <oc r="Q249">
      <v>0.1</v>
    </oc>
    <nc r="Q249">
      <v>57.59</v>
    </nc>
  </rcc>
  <rcc rId="4755" sId="2">
    <oc r="P250">
      <v>0.1</v>
    </oc>
    <nc r="P250">
      <v>57.59</v>
    </nc>
  </rcc>
  <rcc rId="4756" sId="2">
    <oc r="P253">
      <v>0.1</v>
    </oc>
    <nc r="P253">
      <v>57.59</v>
    </nc>
  </rcc>
  <rcc rId="4757" sId="2">
    <oc r="Q254">
      <v>0.1</v>
    </oc>
    <nc r="Q254">
      <v>57.59</v>
    </nc>
  </rcc>
  <rcc rId="4758" sId="2">
    <oc r="P255">
      <v>0.1</v>
    </oc>
    <nc r="P255">
      <v>57.59</v>
    </nc>
  </rcc>
  <rcc rId="4759" sId="2">
    <oc r="P256">
      <v>0.1</v>
    </oc>
    <nc r="P256">
      <v>57.59</v>
    </nc>
  </rcc>
  <rcc rId="4760" sId="2">
    <oc r="Q257">
      <v>0.1</v>
    </oc>
    <nc r="Q257">
      <v>57.59</v>
    </nc>
  </rcc>
  <rcc rId="4761" sId="2">
    <oc r="P258">
      <v>0.1</v>
    </oc>
    <nc r="P258">
      <v>57.59</v>
    </nc>
  </rcc>
  <rcc rId="4762" sId="2">
    <oc r="Q259">
      <v>0.1</v>
    </oc>
    <nc r="Q259">
      <v>57.59</v>
    </nc>
  </rcc>
  <rcc rId="4763" sId="2">
    <oc r="P260">
      <v>0.1</v>
    </oc>
    <nc r="P260">
      <v>57.59</v>
    </nc>
  </rcc>
  <rcc rId="4764" sId="2">
    <oc r="Q260">
      <v>0.1</v>
    </oc>
    <nc r="Q260">
      <v>57.59</v>
    </nc>
  </rcc>
  <rcc rId="4765" sId="2">
    <oc r="P1" t="inlineStr">
      <is>
        <t>freq_dep</t>
      </is>
    </oc>
    <nc r="P1" t="inlineStr">
      <is>
        <t>cycle_width_dep</t>
      </is>
    </nc>
  </rcc>
  <rcc rId="4766" sId="2">
    <oc r="Q1" t="inlineStr">
      <is>
        <t>freq_ret</t>
      </is>
    </oc>
    <nc r="Q1" t="inlineStr">
      <is>
        <t>cycle_width_ret</t>
      </is>
    </nc>
  </rcc>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767" sId="2">
    <oc r="Q113">
      <v>0.3</v>
    </oc>
    <nc r="Q113">
      <v>19.2</v>
    </nc>
  </rcc>
  <rcc rId="4768" sId="2">
    <oc r="Q115">
      <v>0.3</v>
    </oc>
    <nc r="Q115">
      <v>19.2</v>
    </nc>
  </rcc>
  <rcc rId="4769" sId="2">
    <oc r="P116">
      <v>0.3</v>
    </oc>
    <nc r="P116">
      <v>19.2</v>
    </nc>
  </rcc>
  <rcc rId="4770" sId="2">
    <oc r="Q116">
      <v>0.3</v>
    </oc>
    <nc r="Q116">
      <v>19.2</v>
    </nc>
  </rcc>
  <rcc rId="4771" sId="2">
    <oc r="P117">
      <v>0.3</v>
    </oc>
    <nc r="P117">
      <v>19.2</v>
    </nc>
  </rcc>
  <rcc rId="4772" sId="2">
    <oc r="Q117">
      <v>0.3</v>
    </oc>
    <nc r="Q117">
      <v>19.2</v>
    </nc>
  </rcc>
  <rcc rId="4773" sId="2">
    <oc r="P118">
      <v>0.3</v>
    </oc>
    <nc r="P118">
      <v>19.2</v>
    </nc>
  </rcc>
  <rcc rId="4774" sId="2">
    <oc r="P121">
      <v>0.3</v>
    </oc>
    <nc r="P121">
      <v>19.2</v>
    </nc>
  </rcc>
  <rcc rId="4775" sId="2">
    <oc r="Q121">
      <v>0.3</v>
    </oc>
    <nc r="Q121">
      <v>19.2</v>
    </nc>
  </rcc>
  <rcc rId="4776" sId="2">
    <oc r="P122">
      <v>0.3</v>
    </oc>
    <nc r="P122">
      <v>19.2</v>
    </nc>
  </rcc>
  <rcc rId="4777" sId="2">
    <oc r="Q122">
      <v>0.3</v>
    </oc>
    <nc r="Q122">
      <v>19.2</v>
    </nc>
  </rcc>
  <rcc rId="4778" sId="2">
    <oc r="P123">
      <v>0.3</v>
    </oc>
    <nc r="P123">
      <v>19.2</v>
    </nc>
  </rcc>
  <rcc rId="4779" sId="2">
    <oc r="Q123">
      <v>0.3</v>
    </oc>
    <nc r="Q123">
      <v>19.2</v>
    </nc>
  </rcc>
  <rcc rId="4780" sId="2">
    <oc r="P124">
      <v>0.3</v>
    </oc>
    <nc r="P124">
      <v>19.2</v>
    </nc>
  </rcc>
  <rcc rId="4781" sId="2">
    <oc r="Q124">
      <v>0.3</v>
    </oc>
    <nc r="Q124">
      <v>19.2</v>
    </nc>
  </rcc>
  <rcc rId="4782" sId="2">
    <oc r="Q46">
      <v>57.594999999999999</v>
    </oc>
    <nc r="Q46">
      <v>57.59</v>
    </nc>
  </rcc>
  <rcc rId="4783" sId="2">
    <oc r="Q49">
      <v>57.594999999999999</v>
    </oc>
    <nc r="Q49">
      <v>57.59</v>
    </nc>
  </rcc>
  <rcc rId="4784" sId="2">
    <oc r="Q52">
      <v>57.594999999999999</v>
    </oc>
    <nc r="Q52">
      <v>57.59</v>
    </nc>
  </rcc>
  <rcc rId="4785" sId="2">
    <oc r="Q61">
      <v>57.594999999999999</v>
    </oc>
    <nc r="Q61">
      <v>57.59</v>
    </nc>
  </rcc>
  <rcc rId="4786" sId="2">
    <oc r="P62">
      <v>57.594999999999999</v>
    </oc>
    <nc r="P62">
      <v>57.59</v>
    </nc>
  </rcc>
  <rcc rId="4787" sId="2">
    <oc r="Q62">
      <v>57.594999999999999</v>
    </oc>
    <nc r="Q62">
      <v>57.59</v>
    </nc>
  </rcc>
  <rcc rId="4788" sId="2">
    <oc r="Q64">
      <v>57.594999999999999</v>
    </oc>
    <nc r="Q64">
      <v>57.59</v>
    </nc>
  </rcc>
  <rcc rId="4789" sId="2">
    <oc r="Q72">
      <v>57.594999999999999</v>
    </oc>
    <nc r="Q72">
      <v>57.59</v>
    </nc>
  </rcc>
  <rcc rId="4790" sId="2">
    <oc r="Q76">
      <v>57.594999999999999</v>
    </oc>
    <nc r="Q76">
      <v>57.59</v>
    </nc>
  </rcc>
  <rcc rId="4791" sId="2">
    <oc r="Q82">
      <v>57.594999999999999</v>
    </oc>
    <nc r="Q82">
      <v>57.59</v>
    </nc>
  </rcc>
  <rcc rId="4792" sId="2">
    <oc r="Q87">
      <v>57.594999999999999</v>
    </oc>
    <nc r="Q87">
      <v>57.59</v>
    </nc>
  </rcc>
  <rcc rId="4793" sId="2">
    <oc r="Q94">
      <v>57.594999999999999</v>
    </oc>
    <nc r="Q94">
      <v>57.59</v>
    </nc>
  </rcc>
  <rcc rId="4794" sId="2">
    <oc r="Q104">
      <v>57.594999999999999</v>
    </oc>
    <nc r="Q104">
      <v>57.59</v>
    </nc>
  </rcc>
  <rcc rId="4795" sId="2">
    <oc r="Q109">
      <v>57.594999999999999</v>
    </oc>
    <nc r="Q109">
      <v>57.59</v>
    </nc>
  </rcc>
  <rcc rId="4796" sId="2">
    <oc r="Q112">
      <v>57.594999999999999</v>
    </oc>
    <nc r="Q112">
      <v>57.59</v>
    </nc>
  </rcc>
  <rcc rId="4797" sId="2">
    <oc r="Q118">
      <v>57.594999999999999</v>
    </oc>
    <nc r="Q118">
      <v>57.59</v>
    </nc>
  </rcc>
  <rcc rId="4798" sId="2">
    <oc r="P119">
      <v>57.594999999999999</v>
    </oc>
    <nc r="P119">
      <v>57.59</v>
    </nc>
  </rcc>
  <rcc rId="4799" sId="2">
    <oc r="Q119">
      <v>57.594999999999999</v>
    </oc>
    <nc r="Q119">
      <v>57.59</v>
    </nc>
  </rcc>
  <rcc rId="4800" sId="2">
    <oc r="P120">
      <v>57.594999999999999</v>
    </oc>
    <nc r="P120">
      <v>57.59</v>
    </nc>
  </rcc>
  <rcc rId="4801" sId="2">
    <oc r="Q120">
      <v>57.594999999999999</v>
    </oc>
    <nc r="Q120">
      <v>57.59</v>
    </nc>
  </rcc>
  <rcc rId="4802" sId="2">
    <oc r="P226">
      <v>0.2</v>
    </oc>
    <nc r="P226">
      <v>28.79</v>
    </nc>
  </rcc>
  <rcc rId="4803" sId="2">
    <oc r="Q226">
      <v>0.2</v>
    </oc>
    <nc r="Q226">
      <v>28.79</v>
    </nc>
  </rcc>
  <rcc rId="4804" sId="2">
    <oc r="Q227">
      <v>0.2</v>
    </oc>
    <nc r="Q227">
      <v>28.79</v>
    </nc>
  </rcc>
  <rcc rId="4805" sId="2">
    <oc r="P228">
      <v>0.2</v>
    </oc>
    <nc r="P228">
      <v>28.79</v>
    </nc>
  </rcc>
  <rcc rId="4806" sId="2">
    <oc r="Q228">
      <v>0.2</v>
    </oc>
    <nc r="Q228">
      <v>28.79</v>
    </nc>
  </rcc>
  <rcc rId="4807" sId="2">
    <oc r="P229">
      <v>0.2</v>
    </oc>
    <nc r="P229">
      <v>28.79</v>
    </nc>
  </rcc>
  <rcc rId="4808" sId="2">
    <oc r="Q229">
      <v>0.2</v>
    </oc>
    <nc r="Q229">
      <v>28.79</v>
    </nc>
  </rcc>
  <rcc rId="4809" sId="2">
    <oc r="Q235">
      <v>0.2</v>
    </oc>
    <nc r="Q235">
      <v>28.79</v>
    </nc>
  </rcc>
  <rcc rId="4810" sId="2">
    <oc r="Q237">
      <v>0.2</v>
    </oc>
    <nc r="Q237">
      <v>28.79</v>
    </nc>
  </rcc>
  <rcc rId="4811" sId="2">
    <oc r="P238">
      <v>0.2</v>
    </oc>
    <nc r="P238">
      <v>28.79</v>
    </nc>
  </rcc>
  <rcc rId="4812" sId="2">
    <oc r="Q241">
      <v>0.2</v>
    </oc>
    <nc r="Q241">
      <v>28.79</v>
    </nc>
  </rcc>
  <rcc rId="4813" sId="2">
    <oc r="P243">
      <v>0.2</v>
    </oc>
    <nc r="P243">
      <v>28.79</v>
    </nc>
  </rcc>
  <rcc rId="4814" sId="2">
    <oc r="Q243">
      <v>0.2</v>
    </oc>
    <nc r="Q243">
      <v>28.79</v>
    </nc>
  </rcc>
  <rcc rId="4815" sId="2">
    <oc r="P244">
      <v>0.2</v>
    </oc>
    <nc r="P244">
      <v>28.79</v>
    </nc>
  </rcc>
  <rcc rId="4816" sId="2">
    <oc r="Q244">
      <v>0.2</v>
    </oc>
    <nc r="Q244">
      <v>28.79</v>
    </nc>
  </rcc>
  <rcc rId="4817" sId="2">
    <oc r="P245">
      <v>0.2</v>
    </oc>
    <nc r="P245">
      <v>28.79</v>
    </nc>
  </rcc>
  <rcc rId="4818" sId="2">
    <oc r="Q247">
      <v>0.2</v>
    </oc>
    <nc r="Q247">
      <v>28.79</v>
    </nc>
  </rcc>
  <rcc rId="4819" sId="2">
    <oc r="P249">
      <v>0.2</v>
    </oc>
    <nc r="P249">
      <v>28.79</v>
    </nc>
  </rcc>
  <rcc rId="4820" sId="2">
    <oc r="Q250">
      <v>0.2</v>
    </oc>
    <nc r="Q250">
      <v>28.79</v>
    </nc>
  </rcc>
  <rcc rId="4821" sId="2">
    <oc r="P251">
      <v>0.2</v>
    </oc>
    <nc r="P251">
      <v>28.79</v>
    </nc>
  </rcc>
  <rcc rId="4822" sId="2">
    <oc r="Q251">
      <v>0.2</v>
    </oc>
    <nc r="Q251">
      <v>28.79</v>
    </nc>
  </rcc>
  <rcc rId="4823" sId="2">
    <oc r="P252">
      <v>0.2</v>
    </oc>
    <nc r="P252">
      <v>28.79</v>
    </nc>
  </rcc>
  <rcc rId="4824" sId="2">
    <oc r="Q252">
      <v>0.2</v>
    </oc>
    <nc r="Q252">
      <v>28.79</v>
    </nc>
  </rcc>
  <rcc rId="4825" sId="2">
    <oc r="Q253">
      <v>0.2</v>
    </oc>
    <nc r="Q253">
      <v>28.79</v>
    </nc>
  </rcc>
  <rcc rId="4826" sId="2">
    <oc r="Q255">
      <v>0.2</v>
    </oc>
    <nc r="Q255">
      <v>28.79</v>
    </nc>
  </rcc>
  <rcc rId="4827" sId="2">
    <oc r="Q256">
      <v>0.2</v>
    </oc>
    <nc r="Q256">
      <v>28.79</v>
    </nc>
  </rcc>
  <rcc rId="4828" sId="2">
    <oc r="P257">
      <v>0.2</v>
    </oc>
    <nc r="P257">
      <v>28.79</v>
    </nc>
  </rcc>
  <rcc rId="4829" sId="2">
    <oc r="Q258">
      <v>0.2</v>
    </oc>
    <nc r="Q258">
      <v>28.79</v>
    </nc>
  </rcc>
  <rcc rId="4830" sId="2">
    <oc r="P259">
      <v>0.2</v>
    </oc>
    <nc r="P259">
      <v>28.79</v>
    </nc>
  </rcc>
  <rrc rId="4831" sId="2" ref="P1:P1048576" action="insertCol"/>
  <rcc rId="4832" sId="2">
    <nc r="P1" t="inlineStr">
      <is>
        <t>contrast_ret</t>
      </is>
    </nc>
  </rcc>
  <rrc rId="4833" sId="2" ref="P1:P1048576" action="insertCol"/>
  <rcc rId="4834" sId="2">
    <nc r="P1" t="inlineStr">
      <is>
        <t>contrast_dep</t>
      </is>
    </nc>
  </rcc>
  <rcc rId="4835" sId="2">
    <nc r="P2">
      <v>90</v>
    </nc>
  </rcc>
  <rcc rId="4836" sId="2">
    <nc r="Q2">
      <v>90</v>
    </nc>
  </rcc>
  <rcc rId="4837" sId="2" odxf="1" dxf="1">
    <nc r="P3">
      <v>90</v>
    </nc>
    <odxf>
      <font>
        <color rgb="FFFF0000"/>
      </font>
    </odxf>
    <ndxf>
      <font>
        <sz val="12"/>
        <color theme="1"/>
        <name val="Calibri"/>
        <family val="2"/>
        <scheme val="minor"/>
      </font>
    </ndxf>
  </rcc>
  <rcc rId="4838" sId="2" odxf="1" dxf="1">
    <nc r="Q3">
      <v>90</v>
    </nc>
    <odxf>
      <font>
        <color rgb="FFFF0000"/>
      </font>
    </odxf>
    <ndxf>
      <font>
        <sz val="12"/>
        <color theme="1"/>
        <name val="Calibri"/>
        <family val="2"/>
        <scheme val="minor"/>
      </font>
    </ndxf>
  </rcc>
  <rcc rId="4839" sId="2">
    <nc r="P4">
      <v>90</v>
    </nc>
  </rcc>
  <rcc rId="4840" sId="2">
    <nc r="Q4">
      <v>90</v>
    </nc>
  </rcc>
  <rcc rId="4841" sId="2">
    <nc r="P5">
      <v>90</v>
    </nc>
  </rcc>
  <rcc rId="4842" sId="2">
    <nc r="Q5">
      <v>90</v>
    </nc>
  </rcc>
  <rcc rId="4843" sId="2">
    <nc r="P6">
      <v>90</v>
    </nc>
  </rcc>
  <rcc rId="4844" sId="2">
    <nc r="Q6">
      <v>90</v>
    </nc>
  </rcc>
  <rcc rId="4845" sId="2">
    <nc r="P7">
      <v>90</v>
    </nc>
  </rcc>
  <rcc rId="4846" sId="2">
    <nc r="Q7">
      <v>90</v>
    </nc>
  </rcc>
  <rcc rId="4847" sId="2">
    <nc r="P8">
      <v>90</v>
    </nc>
  </rcc>
  <rcc rId="4848" sId="2">
    <nc r="Q8">
      <v>90</v>
    </nc>
  </rcc>
  <rcc rId="4849" sId="2">
    <nc r="P9">
      <v>90</v>
    </nc>
  </rcc>
  <rcc rId="4850" sId="2">
    <nc r="Q9">
      <v>90</v>
    </nc>
  </rcc>
  <rcc rId="4851" sId="2">
    <nc r="P10">
      <v>90</v>
    </nc>
  </rcc>
  <rcc rId="4852" sId="2">
    <nc r="Q10">
      <v>90</v>
    </nc>
  </rcc>
  <rcc rId="4853" sId="2">
    <nc r="P11">
      <v>90</v>
    </nc>
  </rcc>
  <rcc rId="4854" sId="2">
    <nc r="Q11">
      <v>90</v>
    </nc>
  </rcc>
  <rcc rId="4855" sId="2">
    <nc r="P12">
      <v>90</v>
    </nc>
  </rcc>
  <rcc rId="4856" sId="2">
    <nc r="Q12">
      <v>90</v>
    </nc>
  </rcc>
  <rcc rId="4857" sId="2" odxf="1" dxf="1">
    <nc r="P13">
      <v>90</v>
    </nc>
    <odxf>
      <font>
        <color rgb="FFFF0000"/>
      </font>
    </odxf>
    <ndxf>
      <font>
        <sz val="12"/>
        <color theme="1"/>
        <name val="Calibri"/>
        <family val="2"/>
        <scheme val="minor"/>
      </font>
    </ndxf>
  </rcc>
  <rcc rId="4858" sId="2" odxf="1" dxf="1">
    <nc r="Q13">
      <v>90</v>
    </nc>
    <odxf>
      <font>
        <color rgb="FFFF0000"/>
      </font>
    </odxf>
    <ndxf>
      <font>
        <sz val="12"/>
        <color theme="1"/>
        <name val="Calibri"/>
        <family val="2"/>
        <scheme val="minor"/>
      </font>
    </ndxf>
  </rcc>
  <rcc rId="4859" sId="2" odxf="1" dxf="1">
    <nc r="P14">
      <v>90</v>
    </nc>
    <odxf>
      <font>
        <color rgb="FFFF0000"/>
      </font>
    </odxf>
    <ndxf>
      <font>
        <sz val="12"/>
        <color theme="1"/>
        <name val="Calibri"/>
        <family val="2"/>
        <scheme val="minor"/>
      </font>
    </ndxf>
  </rcc>
  <rcc rId="4860" sId="2" odxf="1" dxf="1">
    <nc r="Q14">
      <v>90</v>
    </nc>
    <odxf>
      <font>
        <color rgb="FFFF0000"/>
      </font>
    </odxf>
    <ndxf>
      <font>
        <sz val="12"/>
        <color theme="1"/>
        <name val="Calibri"/>
        <family val="2"/>
        <scheme val="minor"/>
      </font>
    </ndxf>
  </rcc>
  <rcc rId="4861" sId="2">
    <nc r="P15">
      <v>90</v>
    </nc>
  </rcc>
  <rcc rId="4862" sId="2">
    <nc r="Q15">
      <v>90</v>
    </nc>
  </rcc>
  <rcc rId="4863" sId="2">
    <nc r="P16">
      <v>90</v>
    </nc>
  </rcc>
  <rcc rId="4864" sId="2">
    <nc r="Q16">
      <v>90</v>
    </nc>
  </rcc>
  <rcc rId="4865" sId="2">
    <nc r="P17">
      <v>90</v>
    </nc>
  </rcc>
  <rcc rId="4866" sId="2">
    <nc r="Q17">
      <v>90</v>
    </nc>
  </rcc>
  <rcc rId="4867" sId="2">
    <nc r="P18">
      <v>90</v>
    </nc>
  </rcc>
  <rcc rId="4868" sId="2">
    <nc r="Q18">
      <v>90</v>
    </nc>
  </rcc>
  <rcc rId="4869" sId="2">
    <nc r="P19">
      <v>90</v>
    </nc>
  </rcc>
  <rcc rId="4870" sId="2">
    <nc r="Q19">
      <v>90</v>
    </nc>
  </rcc>
  <rcc rId="4871" sId="2">
    <nc r="P20">
      <v>90</v>
    </nc>
  </rcc>
  <rcc rId="4872" sId="2">
    <nc r="Q20">
      <v>90</v>
    </nc>
  </rcc>
  <rcc rId="4873" sId="2">
    <nc r="P21">
      <v>90</v>
    </nc>
  </rcc>
  <rcc rId="4874" sId="2">
    <nc r="Q21">
      <v>90</v>
    </nc>
  </rcc>
  <rcc rId="4875" sId="2">
    <nc r="P22">
      <v>90</v>
    </nc>
  </rcc>
  <rcc rId="4876" sId="2">
    <nc r="Q22">
      <v>90</v>
    </nc>
  </rcc>
  <rcc rId="4877" sId="2">
    <nc r="P23">
      <v>90</v>
    </nc>
  </rcc>
  <rcc rId="4878" sId="2">
    <nc r="Q23">
      <v>90</v>
    </nc>
  </rcc>
  <rcc rId="4879" sId="2">
    <nc r="P24">
      <v>90</v>
    </nc>
  </rcc>
  <rcc rId="4880" sId="2">
    <nc r="Q24">
      <v>90</v>
    </nc>
  </rcc>
  <rcc rId="4881" sId="2">
    <nc r="P25">
      <v>90</v>
    </nc>
  </rcc>
  <rcc rId="4882" sId="2">
    <nc r="Q25">
      <v>90</v>
    </nc>
  </rcc>
  <rcc rId="4883" sId="2">
    <nc r="P26">
      <v>90</v>
    </nc>
  </rcc>
  <rcc rId="4884" sId="2">
    <nc r="Q26">
      <v>90</v>
    </nc>
  </rcc>
  <rcc rId="4885" sId="2">
    <nc r="P27">
      <v>90</v>
    </nc>
  </rcc>
  <rcc rId="4886" sId="2">
    <nc r="Q27">
      <v>90</v>
    </nc>
  </rcc>
  <rcc rId="4887" sId="2">
    <nc r="P28">
      <v>90</v>
    </nc>
  </rcc>
  <rcc rId="4888" sId="2">
    <nc r="Q28">
      <v>90</v>
    </nc>
  </rcc>
  <rcc rId="4889" sId="2">
    <nc r="P29">
      <v>90</v>
    </nc>
  </rcc>
  <rcc rId="4890" sId="2">
    <nc r="Q29">
      <v>90</v>
    </nc>
  </rcc>
  <rcc rId="4891" sId="2">
    <nc r="P30">
      <v>90</v>
    </nc>
  </rcc>
  <rcc rId="4892" sId="2">
    <nc r="Q30">
      <v>90</v>
    </nc>
  </rcc>
  <rcc rId="4893" sId="2">
    <nc r="P31">
      <v>90</v>
    </nc>
  </rcc>
  <rcc rId="4894" sId="2">
    <nc r="Q31">
      <v>90</v>
    </nc>
  </rcc>
  <rcc rId="4895" sId="2">
    <nc r="P32">
      <v>90</v>
    </nc>
  </rcc>
  <rcc rId="4896" sId="2">
    <nc r="Q32">
      <v>90</v>
    </nc>
  </rcc>
  <rcc rId="4897" sId="2">
    <nc r="P33">
      <v>90</v>
    </nc>
  </rcc>
  <rcc rId="4898" sId="2">
    <nc r="Q33">
      <v>90</v>
    </nc>
  </rcc>
  <rcc rId="4899" sId="2">
    <nc r="P34">
      <v>90</v>
    </nc>
  </rcc>
  <rcc rId="4900" sId="2">
    <nc r="Q34">
      <v>90</v>
    </nc>
  </rcc>
  <rcc rId="4901" sId="2">
    <nc r="P35">
      <v>90</v>
    </nc>
  </rcc>
  <rcc rId="4902" sId="2">
    <nc r="Q35">
      <v>90</v>
    </nc>
  </rcc>
  <rcc rId="4903" sId="2">
    <nc r="P36">
      <v>90</v>
    </nc>
  </rcc>
  <rcc rId="4904" sId="2">
    <nc r="Q36">
      <v>90</v>
    </nc>
  </rcc>
  <rcc rId="4905" sId="2">
    <nc r="P37">
      <v>90</v>
    </nc>
  </rcc>
  <rcc rId="4906" sId="2">
    <nc r="Q37">
      <v>90</v>
    </nc>
  </rcc>
  <rcc rId="4907" sId="2">
    <nc r="P38">
      <v>90</v>
    </nc>
  </rcc>
  <rcc rId="4908" sId="2">
    <nc r="Q38">
      <v>90</v>
    </nc>
  </rcc>
  <rcc rId="4909" sId="2">
    <nc r="P39">
      <v>90</v>
    </nc>
  </rcc>
  <rcc rId="4910" sId="2">
    <nc r="Q39">
      <v>90</v>
    </nc>
  </rcc>
  <rcc rId="4911" sId="2">
    <nc r="P40">
      <v>90</v>
    </nc>
  </rcc>
  <rcc rId="4912" sId="2">
    <nc r="Q40">
      <v>90</v>
    </nc>
  </rcc>
  <rcc rId="4913" sId="2">
    <nc r="P41">
      <v>90</v>
    </nc>
  </rcc>
  <rcc rId="4914" sId="2">
    <nc r="Q41">
      <v>90</v>
    </nc>
  </rcc>
  <rcc rId="4915" sId="2">
    <nc r="P42">
      <v>90</v>
    </nc>
  </rcc>
  <rcc rId="4916" sId="2">
    <nc r="Q42">
      <v>90</v>
    </nc>
  </rcc>
  <rcc rId="4917" sId="2">
    <nc r="P43">
      <v>90</v>
    </nc>
  </rcc>
  <rcc rId="4918" sId="2">
    <nc r="Q43">
      <v>90</v>
    </nc>
  </rcc>
  <rcc rId="4919" sId="2">
    <nc r="P44">
      <v>90</v>
    </nc>
  </rcc>
  <rcc rId="4920" sId="2">
    <nc r="Q44">
      <v>90</v>
    </nc>
  </rcc>
  <rcc rId="4921" sId="2">
    <nc r="P45">
      <v>90</v>
    </nc>
  </rcc>
  <rcc rId="4922" sId="2">
    <nc r="Q45">
      <v>90</v>
    </nc>
  </rcc>
  <rcc rId="4923" sId="2">
    <nc r="P46">
      <v>90</v>
    </nc>
  </rcc>
  <rcc rId="4924" sId="2">
    <nc r="Q46">
      <v>90</v>
    </nc>
  </rcc>
  <rcc rId="4925" sId="2">
    <nc r="P47">
      <v>90</v>
    </nc>
  </rcc>
  <rcc rId="4926" sId="2">
    <nc r="Q47">
      <v>90</v>
    </nc>
  </rcc>
  <rcc rId="4927" sId="2">
    <nc r="P48">
      <v>90</v>
    </nc>
  </rcc>
  <rcc rId="4928" sId="2">
    <nc r="Q48">
      <v>90</v>
    </nc>
  </rcc>
  <rcc rId="4929" sId="2">
    <nc r="P49">
      <v>90</v>
    </nc>
  </rcc>
  <rcc rId="4930" sId="2">
    <nc r="Q49">
      <v>90</v>
    </nc>
  </rcc>
  <rcc rId="4931" sId="2">
    <nc r="P50">
      <v>90</v>
    </nc>
  </rcc>
  <rcc rId="4932" sId="2">
    <nc r="Q50">
      <v>90</v>
    </nc>
  </rcc>
  <rcc rId="4933" sId="2">
    <nc r="P51">
      <v>90</v>
    </nc>
  </rcc>
  <rcc rId="4934" sId="2">
    <nc r="Q51">
      <v>90</v>
    </nc>
  </rcc>
  <rcc rId="4935" sId="2">
    <nc r="P52">
      <v>90</v>
    </nc>
  </rcc>
  <rcc rId="4936" sId="2">
    <nc r="Q52">
      <v>90</v>
    </nc>
  </rcc>
  <rcc rId="4937" sId="2">
    <nc r="P53">
      <v>90</v>
    </nc>
  </rcc>
  <rcc rId="4938" sId="2">
    <nc r="Q53">
      <v>90</v>
    </nc>
  </rcc>
  <rcc rId="4939" sId="2">
    <nc r="P54">
      <v>90</v>
    </nc>
  </rcc>
  <rcc rId="4940" sId="2">
    <nc r="Q54">
      <v>90</v>
    </nc>
  </rcc>
  <rcc rId="4941" sId="2">
    <nc r="P55">
      <v>90</v>
    </nc>
  </rcc>
  <rcc rId="4942" sId="2">
    <nc r="Q55">
      <v>90</v>
    </nc>
  </rcc>
  <rcc rId="4943" sId="2">
    <nc r="P56">
      <v>90</v>
    </nc>
  </rcc>
  <rcc rId="4944" sId="2">
    <nc r="Q56">
      <v>90</v>
    </nc>
  </rcc>
  <rcc rId="4945" sId="2">
    <nc r="P57">
      <v>90</v>
    </nc>
  </rcc>
  <rcc rId="4946" sId="2">
    <nc r="Q57">
      <v>90</v>
    </nc>
  </rcc>
  <rcc rId="4947" sId="2">
    <nc r="P58">
      <v>90</v>
    </nc>
  </rcc>
  <rcc rId="4948" sId="2">
    <nc r="Q58">
      <v>90</v>
    </nc>
  </rcc>
  <rcc rId="4949" sId="2">
    <nc r="P59">
      <v>90</v>
    </nc>
  </rcc>
  <rcc rId="4950" sId="2">
    <nc r="Q59">
      <v>90</v>
    </nc>
  </rcc>
  <rcc rId="4951" sId="2">
    <nc r="P60">
      <v>90</v>
    </nc>
  </rcc>
  <rcc rId="4952" sId="2">
    <nc r="Q60">
      <v>90</v>
    </nc>
  </rcc>
  <rcc rId="4953" sId="2">
    <nc r="P61">
      <v>90</v>
    </nc>
  </rcc>
  <rcc rId="4954" sId="2">
    <nc r="Q61">
      <v>90</v>
    </nc>
  </rcc>
  <rcc rId="4955" sId="2">
    <nc r="P62">
      <v>90</v>
    </nc>
  </rcc>
  <rcc rId="4956" sId="2">
    <nc r="Q62">
      <v>90</v>
    </nc>
  </rcc>
  <rcc rId="4957" sId="2">
    <nc r="P63">
      <v>90</v>
    </nc>
  </rcc>
  <rcc rId="4958" sId="2">
    <nc r="Q63">
      <v>90</v>
    </nc>
  </rcc>
  <rcc rId="4959" sId="2">
    <nc r="P64">
      <v>90</v>
    </nc>
  </rcc>
  <rcc rId="4960" sId="2">
    <nc r="Q64">
      <v>90</v>
    </nc>
  </rcc>
  <rcc rId="4961" sId="2">
    <nc r="P65">
      <v>90</v>
    </nc>
  </rcc>
  <rcc rId="4962" sId="2">
    <nc r="Q65">
      <v>90</v>
    </nc>
  </rcc>
  <rcc rId="4963" sId="2">
    <nc r="P66">
      <v>90</v>
    </nc>
  </rcc>
  <rcc rId="4964" sId="2">
    <nc r="Q66">
      <v>90</v>
    </nc>
  </rcc>
  <rcc rId="4965" sId="2">
    <nc r="P67">
      <v>90</v>
    </nc>
  </rcc>
  <rcc rId="4966" sId="2">
    <nc r="Q67">
      <v>90</v>
    </nc>
  </rcc>
  <rcc rId="4967" sId="2">
    <nc r="P68">
      <v>90</v>
    </nc>
  </rcc>
  <rcc rId="4968" sId="2">
    <nc r="Q68">
      <v>90</v>
    </nc>
  </rcc>
  <rcc rId="4969" sId="2">
    <nc r="P69">
      <v>90</v>
    </nc>
  </rcc>
  <rcc rId="4970" sId="2">
    <nc r="Q69">
      <v>90</v>
    </nc>
  </rcc>
  <rcc rId="4971" sId="2">
    <nc r="P70">
      <v>90</v>
    </nc>
  </rcc>
  <rcc rId="4972" sId="2">
    <nc r="Q70">
      <v>90</v>
    </nc>
  </rcc>
  <rcc rId="4973" sId="2">
    <nc r="P71">
      <v>90</v>
    </nc>
  </rcc>
  <rcc rId="4974" sId="2">
    <nc r="Q71">
      <v>90</v>
    </nc>
  </rcc>
  <rcc rId="4975" sId="2">
    <nc r="P72">
      <v>90</v>
    </nc>
  </rcc>
  <rcc rId="4976" sId="2">
    <nc r="Q72">
      <v>90</v>
    </nc>
  </rcc>
  <rcc rId="4977" sId="2">
    <nc r="P73">
      <v>90</v>
    </nc>
  </rcc>
  <rcc rId="4978" sId="2">
    <nc r="Q73">
      <v>90</v>
    </nc>
  </rcc>
  <rcc rId="4979" sId="2">
    <nc r="P74">
      <v>90</v>
    </nc>
  </rcc>
  <rcc rId="4980" sId="2">
    <nc r="Q74">
      <v>90</v>
    </nc>
  </rcc>
  <rcc rId="4981" sId="2">
    <nc r="P75">
      <v>90</v>
    </nc>
  </rcc>
  <rcc rId="4982" sId="2">
    <nc r="Q75">
      <v>90</v>
    </nc>
  </rcc>
  <rcc rId="4983" sId="2">
    <nc r="P76">
      <v>90</v>
    </nc>
  </rcc>
  <rcc rId="4984" sId="2">
    <nc r="Q76">
      <v>90</v>
    </nc>
  </rcc>
  <rcc rId="4985" sId="2">
    <nc r="P77">
      <v>90</v>
    </nc>
  </rcc>
  <rcc rId="4986" sId="2">
    <nc r="Q77">
      <v>90</v>
    </nc>
  </rcc>
  <rcc rId="4987" sId="2">
    <nc r="P78">
      <v>90</v>
    </nc>
  </rcc>
  <rcc rId="4988" sId="2">
    <nc r="Q78">
      <v>90</v>
    </nc>
  </rcc>
  <rcc rId="4989" sId="2">
    <nc r="P79">
      <v>90</v>
    </nc>
  </rcc>
  <rcc rId="4990" sId="2">
    <nc r="Q79">
      <v>90</v>
    </nc>
  </rcc>
  <rcc rId="4991" sId="2">
    <nc r="P80">
      <v>90</v>
    </nc>
  </rcc>
  <rcc rId="4992" sId="2">
    <nc r="Q80">
      <v>90</v>
    </nc>
  </rcc>
  <rcc rId="4993" sId="2">
    <nc r="P81">
      <v>90</v>
    </nc>
  </rcc>
  <rcc rId="4994" sId="2">
    <nc r="Q81">
      <v>90</v>
    </nc>
  </rcc>
  <rcc rId="4995" sId="2">
    <nc r="P82">
      <v>90</v>
    </nc>
  </rcc>
  <rcc rId="4996" sId="2">
    <nc r="Q82">
      <v>90</v>
    </nc>
  </rcc>
  <rcc rId="4997" sId="2">
    <nc r="P83">
      <v>90</v>
    </nc>
  </rcc>
  <rcc rId="4998" sId="2">
    <nc r="Q83">
      <v>90</v>
    </nc>
  </rcc>
  <rcc rId="4999" sId="2">
    <nc r="P84">
      <v>90</v>
    </nc>
  </rcc>
  <rcc rId="5000" sId="2">
    <nc r="Q84">
      <v>90</v>
    </nc>
  </rcc>
  <rcc rId="5001" sId="2">
    <nc r="P85">
      <v>90</v>
    </nc>
  </rcc>
  <rcc rId="5002" sId="2">
    <nc r="Q85">
      <v>90</v>
    </nc>
  </rcc>
  <rcc rId="5003" sId="2">
    <nc r="P86">
      <v>90</v>
    </nc>
  </rcc>
  <rcc rId="5004" sId="2">
    <nc r="Q86">
      <v>90</v>
    </nc>
  </rcc>
  <rcc rId="5005" sId="2">
    <nc r="P87">
      <v>90</v>
    </nc>
  </rcc>
  <rcc rId="5006" sId="2">
    <nc r="Q87">
      <v>90</v>
    </nc>
  </rcc>
  <rcc rId="5007" sId="2">
    <nc r="P88">
      <v>90</v>
    </nc>
  </rcc>
  <rcc rId="5008" sId="2">
    <nc r="Q88">
      <v>90</v>
    </nc>
  </rcc>
  <rcc rId="5009" sId="2">
    <nc r="P89">
      <v>90</v>
    </nc>
  </rcc>
  <rcc rId="5010" sId="2">
    <nc r="Q89">
      <v>90</v>
    </nc>
  </rcc>
  <rcc rId="5011" sId="2">
    <nc r="P90">
      <v>90</v>
    </nc>
  </rcc>
  <rcc rId="5012" sId="2">
    <nc r="Q90">
      <v>90</v>
    </nc>
  </rcc>
  <rcc rId="5013" sId="2">
    <nc r="P91">
      <v>90</v>
    </nc>
  </rcc>
  <rcc rId="5014" sId="2">
    <nc r="Q91">
      <v>90</v>
    </nc>
  </rcc>
  <rcc rId="5015" sId="2">
    <nc r="P92">
      <v>90</v>
    </nc>
  </rcc>
  <rcc rId="5016" sId="2">
    <nc r="Q92">
      <v>90</v>
    </nc>
  </rcc>
  <rcc rId="5017" sId="2">
    <nc r="P93">
      <v>90</v>
    </nc>
  </rcc>
  <rcc rId="5018" sId="2">
    <nc r="Q93">
      <v>90</v>
    </nc>
  </rcc>
  <rcc rId="5019" sId="2">
    <nc r="P94">
      <v>90</v>
    </nc>
  </rcc>
  <rcc rId="5020" sId="2">
    <nc r="Q94">
      <v>90</v>
    </nc>
  </rcc>
  <rcc rId="5021" sId="2">
    <nc r="P95">
      <v>90</v>
    </nc>
  </rcc>
  <rcc rId="5022" sId="2">
    <nc r="Q95">
      <v>90</v>
    </nc>
  </rcc>
  <rcc rId="5023" sId="2">
    <nc r="P96">
      <v>90</v>
    </nc>
  </rcc>
  <rcc rId="5024" sId="2">
    <nc r="Q96">
      <v>90</v>
    </nc>
  </rcc>
  <rcc rId="5025" sId="2">
    <nc r="P97">
      <v>90</v>
    </nc>
  </rcc>
  <rcc rId="5026" sId="2">
    <nc r="Q97">
      <v>90</v>
    </nc>
  </rcc>
  <rcc rId="5027" sId="2">
    <nc r="P98">
      <v>90</v>
    </nc>
  </rcc>
  <rcc rId="5028" sId="2">
    <nc r="Q98">
      <v>90</v>
    </nc>
  </rcc>
  <rcc rId="5029" sId="2">
    <nc r="P99">
      <v>90</v>
    </nc>
  </rcc>
  <rcc rId="5030" sId="2">
    <nc r="Q99">
      <v>90</v>
    </nc>
  </rcc>
  <rcc rId="5031" sId="2">
    <nc r="P100">
      <v>90</v>
    </nc>
  </rcc>
  <rcc rId="5032" sId="2">
    <nc r="Q100">
      <v>90</v>
    </nc>
  </rcc>
  <rcc rId="5033" sId="2">
    <nc r="P101">
      <v>90</v>
    </nc>
  </rcc>
  <rcc rId="5034" sId="2">
    <nc r="Q101">
      <v>90</v>
    </nc>
  </rcc>
  <rcc rId="5035" sId="2">
    <nc r="P102">
      <v>90</v>
    </nc>
  </rcc>
  <rcc rId="5036" sId="2">
    <nc r="Q102">
      <v>90</v>
    </nc>
  </rcc>
  <rcc rId="5037" sId="2">
    <nc r="P103">
      <v>90</v>
    </nc>
  </rcc>
  <rcc rId="5038" sId="2">
    <nc r="Q103">
      <v>90</v>
    </nc>
  </rcc>
  <rcc rId="5039" sId="2">
    <nc r="P104">
      <v>90</v>
    </nc>
  </rcc>
  <rcc rId="5040" sId="2">
    <nc r="Q104">
      <v>90</v>
    </nc>
  </rcc>
  <rcc rId="5041" sId="2">
    <nc r="P105">
      <v>90</v>
    </nc>
  </rcc>
  <rcc rId="5042" sId="2">
    <nc r="Q105">
      <v>90</v>
    </nc>
  </rcc>
  <rcc rId="5043" sId="2">
    <nc r="P106">
      <v>90</v>
    </nc>
  </rcc>
  <rcc rId="5044" sId="2">
    <nc r="Q106">
      <v>90</v>
    </nc>
  </rcc>
  <rcc rId="5045" sId="2">
    <nc r="P107">
      <v>90</v>
    </nc>
  </rcc>
  <rcc rId="5046" sId="2">
    <nc r="Q107">
      <v>90</v>
    </nc>
  </rcc>
  <rcc rId="5047" sId="2">
    <nc r="P108">
      <v>90</v>
    </nc>
  </rcc>
  <rcc rId="5048" sId="2">
    <nc r="Q108">
      <v>90</v>
    </nc>
  </rcc>
  <rcc rId="5049" sId="2">
    <nc r="P109">
      <v>90</v>
    </nc>
  </rcc>
  <rcc rId="5050" sId="2">
    <nc r="Q109">
      <v>90</v>
    </nc>
  </rcc>
  <rcc rId="5051" sId="2">
    <nc r="P110">
      <v>90</v>
    </nc>
  </rcc>
  <rcc rId="5052" sId="2">
    <nc r="Q110">
      <v>90</v>
    </nc>
  </rcc>
  <rcc rId="5053" sId="2">
    <nc r="P111">
      <v>90</v>
    </nc>
  </rcc>
  <rcc rId="5054" sId="2">
    <nc r="Q111">
      <v>90</v>
    </nc>
  </rcc>
  <rcc rId="5055" sId="2">
    <nc r="P112">
      <v>90</v>
    </nc>
  </rcc>
  <rcc rId="5056" sId="2">
    <nc r="Q112">
      <v>90</v>
    </nc>
  </rcc>
  <rcc rId="5057" sId="2">
    <nc r="P113">
      <v>90</v>
    </nc>
  </rcc>
  <rcc rId="5058" sId="2">
    <nc r="Q113">
      <v>90</v>
    </nc>
  </rcc>
  <rcc rId="5059" sId="2">
    <nc r="P114">
      <v>90</v>
    </nc>
  </rcc>
  <rcc rId="5060" sId="2">
    <nc r="Q114">
      <v>90</v>
    </nc>
  </rcc>
  <rcc rId="5061" sId="2">
    <nc r="P115">
      <v>90</v>
    </nc>
  </rcc>
  <rcc rId="5062" sId="2">
    <nc r="Q115">
      <v>90</v>
    </nc>
  </rcc>
  <rcc rId="5063" sId="2">
    <nc r="P116">
      <v>90</v>
    </nc>
  </rcc>
  <rcc rId="5064" sId="2">
    <nc r="Q116">
      <v>90</v>
    </nc>
  </rcc>
  <rcc rId="5065" sId="2">
    <nc r="P117">
      <v>90</v>
    </nc>
  </rcc>
  <rcc rId="5066" sId="2">
    <nc r="Q117">
      <v>90</v>
    </nc>
  </rcc>
  <rcc rId="5067" sId="2">
    <nc r="P118">
      <v>90</v>
    </nc>
  </rcc>
  <rcc rId="5068" sId="2">
    <nc r="Q118">
      <v>90</v>
    </nc>
  </rcc>
  <rcc rId="5069" sId="2">
    <nc r="P119">
      <v>90</v>
    </nc>
  </rcc>
  <rcc rId="5070" sId="2">
    <nc r="Q119">
      <v>90</v>
    </nc>
  </rcc>
  <rcc rId="5071" sId="2">
    <nc r="P120">
      <v>90</v>
    </nc>
  </rcc>
  <rcc rId="5072" sId="2">
    <nc r="Q120">
      <v>90</v>
    </nc>
  </rcc>
  <rcc rId="5073" sId="2">
    <nc r="P121">
      <v>90</v>
    </nc>
  </rcc>
  <rcc rId="5074" sId="2">
    <nc r="Q121">
      <v>90</v>
    </nc>
  </rcc>
  <rcc rId="5075" sId="2">
    <nc r="P122">
      <v>90</v>
    </nc>
  </rcc>
  <rcc rId="5076" sId="2">
    <nc r="Q122">
      <v>90</v>
    </nc>
  </rcc>
  <rcc rId="5077" sId="2">
    <nc r="P123">
      <v>90</v>
    </nc>
  </rcc>
  <rcc rId="5078" sId="2">
    <nc r="Q123">
      <v>90</v>
    </nc>
  </rcc>
  <rcc rId="5079" sId="2">
    <nc r="P124">
      <v>90</v>
    </nc>
  </rcc>
  <rcc rId="5080" sId="2">
    <nc r="Q124">
      <v>90</v>
    </nc>
  </rcc>
  <rcc rId="5081" sId="2">
    <nc r="P125">
      <v>90</v>
    </nc>
  </rcc>
  <rcc rId="5082" sId="2">
    <nc r="Q125">
      <v>90</v>
    </nc>
  </rcc>
  <rcc rId="5083" sId="2">
    <nc r="P126">
      <v>90</v>
    </nc>
  </rcc>
  <rcc rId="5084" sId="2">
    <nc r="Q126">
      <v>90</v>
    </nc>
  </rcc>
  <rcc rId="5085" sId="2">
    <nc r="P127">
      <v>90</v>
    </nc>
  </rcc>
  <rcc rId="5086" sId="2">
    <nc r="Q127">
      <v>90</v>
    </nc>
  </rcc>
  <rcc rId="5087" sId="2">
    <nc r="P128">
      <v>90</v>
    </nc>
  </rcc>
  <rcc rId="5088" sId="2">
    <nc r="Q128">
      <v>90</v>
    </nc>
  </rcc>
  <rcc rId="5089" sId="2">
    <nc r="P129">
      <v>90</v>
    </nc>
  </rcc>
  <rcc rId="5090" sId="2">
    <nc r="Q129">
      <v>90</v>
    </nc>
  </rcc>
  <rcc rId="5091" sId="2">
    <nc r="P130">
      <v>90</v>
    </nc>
  </rcc>
  <rcc rId="5092" sId="2">
    <nc r="Q130">
      <v>90</v>
    </nc>
  </rcc>
  <rcc rId="5093" sId="2">
    <nc r="P131">
      <v>90</v>
    </nc>
  </rcc>
  <rcc rId="5094" sId="2">
    <nc r="Q131">
      <v>90</v>
    </nc>
  </rcc>
  <rcc rId="5095" sId="2">
    <nc r="P132">
      <v>90</v>
    </nc>
  </rcc>
  <rcc rId="5096" sId="2">
    <nc r="Q132">
      <v>90</v>
    </nc>
  </rcc>
  <rcc rId="5097" sId="2">
    <nc r="P133">
      <v>90</v>
    </nc>
  </rcc>
  <rcc rId="5098" sId="2">
    <nc r="Q133">
      <v>90</v>
    </nc>
  </rcc>
  <rcc rId="5099" sId="2">
    <nc r="P134">
      <v>90</v>
    </nc>
  </rcc>
  <rcc rId="5100" sId="2">
    <nc r="Q134">
      <v>90</v>
    </nc>
  </rcc>
  <rcc rId="5101" sId="2">
    <nc r="P135">
      <v>90</v>
    </nc>
  </rcc>
  <rcc rId="5102" sId="2">
    <nc r="Q135">
      <v>90</v>
    </nc>
  </rcc>
  <rcc rId="5103" sId="2">
    <nc r="P136">
      <v>90</v>
    </nc>
  </rcc>
  <rcc rId="5104" sId="2">
    <nc r="Q136">
      <v>90</v>
    </nc>
  </rcc>
  <rcc rId="5105" sId="2">
    <nc r="P137">
      <v>90</v>
    </nc>
  </rcc>
  <rcc rId="5106" sId="2">
    <nc r="Q137">
      <v>90</v>
    </nc>
  </rcc>
  <rcc rId="5107" sId="2">
    <nc r="P138">
      <v>90</v>
    </nc>
  </rcc>
  <rcc rId="5108" sId="2">
    <nc r="Q138">
      <v>90</v>
    </nc>
  </rcc>
  <rcc rId="5109" sId="2">
    <nc r="P139">
      <v>90</v>
    </nc>
  </rcc>
  <rcc rId="5110" sId="2">
    <nc r="Q139">
      <v>90</v>
    </nc>
  </rcc>
  <rcc rId="5111" sId="2">
    <nc r="P140">
      <v>90</v>
    </nc>
  </rcc>
  <rcc rId="5112" sId="2">
    <nc r="Q140">
      <v>90</v>
    </nc>
  </rcc>
  <rcc rId="5113" sId="2">
    <nc r="P141">
      <v>90</v>
    </nc>
  </rcc>
  <rcc rId="5114" sId="2">
    <nc r="Q141">
      <v>90</v>
    </nc>
  </rcc>
  <rcc rId="5115" sId="2">
    <nc r="P142">
      <v>90</v>
    </nc>
  </rcc>
  <rcc rId="5116" sId="2">
    <nc r="Q142">
      <v>90</v>
    </nc>
  </rcc>
  <rcc rId="5117" sId="2">
    <nc r="P143">
      <v>90</v>
    </nc>
  </rcc>
  <rcc rId="5118" sId="2">
    <nc r="Q143">
      <v>90</v>
    </nc>
  </rcc>
  <rcc rId="5119" sId="2">
    <nc r="P144">
      <v>90</v>
    </nc>
  </rcc>
  <rcc rId="5120" sId="2">
    <nc r="Q144">
      <v>90</v>
    </nc>
  </rcc>
  <rcc rId="5121" sId="2">
    <nc r="P145">
      <v>90</v>
    </nc>
  </rcc>
  <rcc rId="5122" sId="2">
    <nc r="Q145">
      <v>90</v>
    </nc>
  </rcc>
  <rcc rId="5123" sId="2">
    <nc r="P146">
      <v>90</v>
    </nc>
  </rcc>
  <rcc rId="5124" sId="2">
    <nc r="Q146">
      <v>90</v>
    </nc>
  </rcc>
  <rcc rId="5125" sId="2">
    <nc r="P147">
      <v>90</v>
    </nc>
  </rcc>
  <rcc rId="5126" sId="2">
    <nc r="Q147">
      <v>90</v>
    </nc>
  </rcc>
  <rcc rId="5127" sId="2">
    <nc r="P148">
      <v>90</v>
    </nc>
  </rcc>
  <rcc rId="5128" sId="2">
    <nc r="Q148">
      <v>90</v>
    </nc>
  </rcc>
  <rcc rId="5129" sId="2">
    <nc r="P149">
      <v>90</v>
    </nc>
  </rcc>
  <rcc rId="5130" sId="2">
    <nc r="Q149">
      <v>90</v>
    </nc>
  </rcc>
  <rcc rId="5131" sId="2">
    <nc r="P150">
      <v>90</v>
    </nc>
  </rcc>
  <rcc rId="5132" sId="2">
    <nc r="Q150">
      <v>90</v>
    </nc>
  </rcc>
  <rcc rId="5133" sId="2">
    <nc r="P151">
      <v>90</v>
    </nc>
  </rcc>
  <rcc rId="5134" sId="2">
    <nc r="Q151">
      <v>90</v>
    </nc>
  </rcc>
  <rcc rId="5135" sId="2">
    <nc r="P152">
      <v>90</v>
    </nc>
  </rcc>
  <rcc rId="5136" sId="2">
    <nc r="Q152">
      <v>90</v>
    </nc>
  </rcc>
  <rcc rId="5137" sId="2">
    <nc r="P153">
      <v>90</v>
    </nc>
  </rcc>
  <rcc rId="5138" sId="2">
    <nc r="Q153">
      <v>90</v>
    </nc>
  </rcc>
  <rcc rId="5139" sId="2">
    <nc r="P154">
      <v>90</v>
    </nc>
  </rcc>
  <rcc rId="5140" sId="2">
    <nc r="Q154">
      <v>90</v>
    </nc>
  </rcc>
  <rcc rId="5141" sId="2">
    <nc r="P155">
      <v>90</v>
    </nc>
  </rcc>
  <rcc rId="5142" sId="2">
    <nc r="Q155">
      <v>90</v>
    </nc>
  </rcc>
  <rcc rId="5143" sId="2">
    <nc r="P156">
      <v>90</v>
    </nc>
  </rcc>
  <rcc rId="5144" sId="2">
    <nc r="Q156">
      <v>90</v>
    </nc>
  </rcc>
  <rcc rId="5145" sId="2">
    <nc r="P157">
      <v>90</v>
    </nc>
  </rcc>
  <rcc rId="5146" sId="2">
    <nc r="Q157">
      <v>90</v>
    </nc>
  </rcc>
  <rcc rId="5147" sId="2">
    <nc r="P158">
      <v>90</v>
    </nc>
  </rcc>
  <rcc rId="5148" sId="2">
    <nc r="Q158">
      <v>90</v>
    </nc>
  </rcc>
  <rcc rId="5149" sId="2">
    <nc r="P159">
      <v>90</v>
    </nc>
  </rcc>
  <rcc rId="5150" sId="2">
    <nc r="Q159">
      <v>90</v>
    </nc>
  </rcc>
  <rcc rId="5151" sId="2">
    <nc r="P160">
      <v>90</v>
    </nc>
  </rcc>
  <rcc rId="5152" sId="2">
    <nc r="Q160">
      <v>90</v>
    </nc>
  </rcc>
  <rcc rId="5153" sId="2">
    <nc r="P161">
      <v>90</v>
    </nc>
  </rcc>
  <rcc rId="5154" sId="2">
    <nc r="Q161">
      <v>90</v>
    </nc>
  </rcc>
  <rcc rId="5155" sId="2">
    <nc r="P162">
      <v>90</v>
    </nc>
  </rcc>
  <rcc rId="5156" sId="2">
    <nc r="Q162">
      <v>90</v>
    </nc>
  </rcc>
  <rcc rId="5157" sId="2">
    <nc r="P163">
      <v>90</v>
    </nc>
  </rcc>
  <rcc rId="5158" sId="2">
    <nc r="Q163">
      <v>90</v>
    </nc>
  </rcc>
  <rcc rId="5159" sId="2">
    <nc r="P164">
      <v>90</v>
    </nc>
  </rcc>
  <rcc rId="5160" sId="2">
    <nc r="Q164">
      <v>90</v>
    </nc>
  </rcc>
  <rcc rId="5161" sId="2">
    <nc r="P165">
      <v>90</v>
    </nc>
  </rcc>
  <rcc rId="5162" sId="2">
    <nc r="Q165">
      <v>90</v>
    </nc>
  </rcc>
  <rcc rId="5163" sId="2">
    <nc r="P166">
      <v>90</v>
    </nc>
  </rcc>
  <rcc rId="5164" sId="2">
    <nc r="Q166">
      <v>90</v>
    </nc>
  </rcc>
  <rcc rId="5165" sId="2">
    <nc r="P167">
      <v>90</v>
    </nc>
  </rcc>
  <rcc rId="5166" sId="2">
    <nc r="Q167">
      <v>90</v>
    </nc>
  </rcc>
  <rcc rId="5167" sId="2">
    <nc r="P168">
      <v>90</v>
    </nc>
  </rcc>
  <rcc rId="5168" sId="2">
    <nc r="Q168">
      <v>90</v>
    </nc>
  </rcc>
  <rcc rId="5169" sId="2">
    <nc r="P169">
      <v>90</v>
    </nc>
  </rcc>
  <rcc rId="5170" sId="2">
    <nc r="Q169">
      <v>90</v>
    </nc>
  </rcc>
  <rcc rId="5171" sId="2">
    <nc r="P170">
      <v>90</v>
    </nc>
  </rcc>
  <rcc rId="5172" sId="2">
    <nc r="Q170">
      <v>90</v>
    </nc>
  </rcc>
  <rcc rId="5173" sId="2">
    <nc r="P171">
      <v>90</v>
    </nc>
  </rcc>
  <rcc rId="5174" sId="2">
    <nc r="Q171">
      <v>90</v>
    </nc>
  </rcc>
  <rcc rId="5175" sId="2">
    <nc r="P172">
      <v>90</v>
    </nc>
  </rcc>
  <rcc rId="5176" sId="2">
    <nc r="Q172">
      <v>90</v>
    </nc>
  </rcc>
  <rcc rId="5177" sId="2">
    <nc r="P173">
      <v>90</v>
    </nc>
  </rcc>
  <rcc rId="5178" sId="2">
    <nc r="Q173">
      <v>90</v>
    </nc>
  </rcc>
  <rcc rId="5179" sId="2">
    <nc r="P174">
      <v>90</v>
    </nc>
  </rcc>
  <rcc rId="5180" sId="2">
    <nc r="Q174">
      <v>90</v>
    </nc>
  </rcc>
  <rcc rId="5181" sId="2">
    <nc r="P175">
      <v>90</v>
    </nc>
  </rcc>
  <rcc rId="5182" sId="2">
    <nc r="Q175">
      <v>90</v>
    </nc>
  </rcc>
  <rcc rId="5183" sId="2">
    <nc r="P176">
      <v>90</v>
    </nc>
  </rcc>
  <rcc rId="5184" sId="2">
    <nc r="Q176">
      <v>90</v>
    </nc>
  </rcc>
  <rcc rId="5185" sId="2">
    <nc r="P177">
      <v>90</v>
    </nc>
  </rcc>
  <rcc rId="5186" sId="2">
    <nc r="Q177">
      <v>90</v>
    </nc>
  </rcc>
  <rcc rId="5187" sId="2">
    <nc r="P178">
      <v>90</v>
    </nc>
  </rcc>
  <rcc rId="5188" sId="2">
    <nc r="Q178">
      <v>90</v>
    </nc>
  </rcc>
  <rcc rId="5189" sId="2">
    <nc r="P179">
      <v>90</v>
    </nc>
  </rcc>
  <rcc rId="5190" sId="2">
    <nc r="Q179">
      <v>90</v>
    </nc>
  </rcc>
  <rcc rId="5191" sId="2">
    <nc r="P180">
      <v>90</v>
    </nc>
  </rcc>
  <rcc rId="5192" sId="2">
    <nc r="Q180">
      <v>90</v>
    </nc>
  </rcc>
  <rcc rId="5193" sId="2">
    <nc r="P181">
      <v>90</v>
    </nc>
  </rcc>
  <rcc rId="5194" sId="2">
    <nc r="Q181">
      <v>90</v>
    </nc>
  </rcc>
  <rcc rId="5195" sId="2">
    <nc r="P182">
      <v>90</v>
    </nc>
  </rcc>
  <rcc rId="5196" sId="2">
    <nc r="Q182">
      <v>90</v>
    </nc>
  </rcc>
  <rcc rId="5197" sId="2">
    <nc r="P183">
      <v>90</v>
    </nc>
  </rcc>
  <rcc rId="5198" sId="2">
    <nc r="Q183">
      <v>90</v>
    </nc>
  </rcc>
  <rcc rId="5199" sId="2">
    <nc r="P184">
      <v>90</v>
    </nc>
  </rcc>
  <rcc rId="5200" sId="2">
    <nc r="Q184">
      <v>90</v>
    </nc>
  </rcc>
  <rcc rId="5201" sId="2">
    <nc r="P185">
      <v>90</v>
    </nc>
  </rcc>
  <rcc rId="5202" sId="2">
    <nc r="Q185">
      <v>90</v>
    </nc>
  </rcc>
  <rcc rId="5203" sId="2">
    <nc r="P186">
      <v>90</v>
    </nc>
  </rcc>
  <rcc rId="5204" sId="2">
    <nc r="Q186">
      <v>90</v>
    </nc>
  </rcc>
  <rcc rId="5205" sId="2">
    <nc r="P187">
      <v>90</v>
    </nc>
  </rcc>
  <rcc rId="5206" sId="2">
    <nc r="Q187">
      <v>90</v>
    </nc>
  </rcc>
  <rcc rId="5207" sId="2">
    <nc r="P188">
      <v>90</v>
    </nc>
  </rcc>
  <rcc rId="5208" sId="2">
    <nc r="Q188">
      <v>90</v>
    </nc>
  </rcc>
  <rcc rId="5209" sId="2">
    <nc r="P189">
      <v>90</v>
    </nc>
  </rcc>
  <rcc rId="5210" sId="2">
    <nc r="Q189">
      <v>90</v>
    </nc>
  </rcc>
  <rcc rId="5211" sId="2">
    <nc r="P190">
      <v>90</v>
    </nc>
  </rcc>
  <rcc rId="5212" sId="2">
    <nc r="Q190">
      <v>90</v>
    </nc>
  </rcc>
  <rcc rId="5213" sId="2">
    <nc r="P191">
      <v>90</v>
    </nc>
  </rcc>
  <rcc rId="5214" sId="2">
    <nc r="Q191">
      <v>90</v>
    </nc>
  </rcc>
  <rcc rId="5215" sId="2">
    <nc r="P192">
      <v>90</v>
    </nc>
  </rcc>
  <rcc rId="5216" sId="2">
    <nc r="Q192">
      <v>90</v>
    </nc>
  </rcc>
  <rcc rId="5217" sId="2">
    <nc r="P193">
      <v>90</v>
    </nc>
  </rcc>
  <rcc rId="5218" sId="2">
    <nc r="Q193">
      <v>90</v>
    </nc>
  </rcc>
  <rcc rId="5219" sId="2">
    <nc r="P194">
      <v>90</v>
    </nc>
  </rcc>
  <rcc rId="5220" sId="2">
    <nc r="Q194">
      <v>90</v>
    </nc>
  </rcc>
  <rcc rId="5221" sId="2">
    <nc r="P195">
      <v>90</v>
    </nc>
  </rcc>
  <rcc rId="5222" sId="2">
    <nc r="Q195">
      <v>90</v>
    </nc>
  </rcc>
  <rcc rId="5223" sId="2">
    <nc r="P196">
      <v>90</v>
    </nc>
  </rcc>
  <rcc rId="5224" sId="2">
    <nc r="Q196">
      <v>90</v>
    </nc>
  </rcc>
  <rcc rId="5225" sId="2">
    <nc r="P197">
      <v>90</v>
    </nc>
  </rcc>
  <rcc rId="5226" sId="2">
    <nc r="Q197">
      <v>90</v>
    </nc>
  </rcc>
  <rcc rId="5227" sId="2">
    <nc r="P198">
      <v>90</v>
    </nc>
  </rcc>
  <rcc rId="5228" sId="2">
    <nc r="Q198">
      <v>90</v>
    </nc>
  </rcc>
  <rcc rId="5229" sId="2">
    <nc r="P199">
      <v>90</v>
    </nc>
  </rcc>
  <rcc rId="5230" sId="2">
    <nc r="Q199">
      <v>90</v>
    </nc>
  </rcc>
  <rcc rId="5231" sId="2">
    <nc r="P200">
      <v>90</v>
    </nc>
  </rcc>
  <rcc rId="5232" sId="2">
    <nc r="Q200">
      <v>90</v>
    </nc>
  </rcc>
  <rcc rId="5233" sId="2" odxf="1" dxf="1">
    <nc r="P202">
      <v>90</v>
    </nc>
    <odxf>
      <fill>
        <patternFill patternType="solid">
          <bgColor rgb="FFFFFF00"/>
        </patternFill>
      </fill>
    </odxf>
    <ndxf>
      <fill>
        <patternFill patternType="none">
          <bgColor indexed="65"/>
        </patternFill>
      </fill>
    </ndxf>
  </rcc>
  <rcc rId="5234" sId="2" odxf="1" dxf="1">
    <nc r="Q202">
      <v>90</v>
    </nc>
    <odxf>
      <fill>
        <patternFill patternType="solid">
          <bgColor rgb="FFFFFF00"/>
        </patternFill>
      </fill>
    </odxf>
    <ndxf>
      <fill>
        <patternFill patternType="none">
          <bgColor indexed="65"/>
        </patternFill>
      </fill>
    </ndxf>
  </rcc>
  <rcc rId="5235" sId="2" odxf="1" dxf="1">
    <nc r="P203">
      <v>90</v>
    </nc>
    <odxf>
      <fill>
        <patternFill patternType="solid">
          <bgColor rgb="FFFFFF00"/>
        </patternFill>
      </fill>
    </odxf>
    <ndxf>
      <fill>
        <patternFill patternType="none">
          <bgColor indexed="65"/>
        </patternFill>
      </fill>
    </ndxf>
  </rcc>
  <rcc rId="5236" sId="2" odxf="1" dxf="1">
    <nc r="Q203">
      <v>90</v>
    </nc>
    <odxf>
      <fill>
        <patternFill patternType="solid">
          <bgColor rgb="FFFFFF00"/>
        </patternFill>
      </fill>
    </odxf>
    <ndxf>
      <fill>
        <patternFill patternType="none">
          <bgColor indexed="65"/>
        </patternFill>
      </fill>
    </ndxf>
  </rcc>
  <rcc rId="5237" sId="2" odxf="1" dxf="1">
    <nc r="P204">
      <v>90</v>
    </nc>
    <odxf>
      <fill>
        <patternFill patternType="solid">
          <bgColor rgb="FFFFFF00"/>
        </patternFill>
      </fill>
    </odxf>
    <ndxf>
      <fill>
        <patternFill patternType="none">
          <bgColor indexed="65"/>
        </patternFill>
      </fill>
    </ndxf>
  </rcc>
  <rcc rId="5238" sId="2" odxf="1" dxf="1">
    <nc r="Q204">
      <v>90</v>
    </nc>
    <odxf>
      <fill>
        <patternFill patternType="solid">
          <bgColor rgb="FFFFFF00"/>
        </patternFill>
      </fill>
    </odxf>
    <ndxf>
      <fill>
        <patternFill patternType="none">
          <bgColor indexed="65"/>
        </patternFill>
      </fill>
    </ndxf>
  </rcc>
  <rcc rId="5239" sId="2">
    <nc r="P205">
      <v>90</v>
    </nc>
  </rcc>
  <rcc rId="5240" sId="2">
    <nc r="Q205">
      <v>90</v>
    </nc>
  </rcc>
  <rcc rId="5241" sId="2">
    <nc r="P206">
      <v>90</v>
    </nc>
  </rcc>
  <rcc rId="5242" sId="2">
    <nc r="Q206">
      <v>90</v>
    </nc>
  </rcc>
  <rcc rId="5243" sId="2">
    <nc r="P207">
      <v>90</v>
    </nc>
  </rcc>
  <rcc rId="5244" sId="2">
    <nc r="Q207">
      <v>90</v>
    </nc>
  </rcc>
  <rcc rId="5245" sId="2">
    <nc r="P208">
      <v>90</v>
    </nc>
  </rcc>
  <rcc rId="5246" sId="2">
    <nc r="Q208">
      <v>90</v>
    </nc>
  </rcc>
  <rcc rId="5247" sId="2">
    <nc r="P209">
      <v>90</v>
    </nc>
  </rcc>
  <rcc rId="5248" sId="2">
    <nc r="Q209">
      <v>90</v>
    </nc>
  </rcc>
  <rcc rId="5249" sId="2">
    <nc r="P210">
      <v>90</v>
    </nc>
  </rcc>
  <rcc rId="5250" sId="2">
    <nc r="Q210">
      <v>90</v>
    </nc>
  </rcc>
  <rcc rId="5251" sId="2">
    <nc r="P211">
      <v>90</v>
    </nc>
  </rcc>
  <rcc rId="5252" sId="2">
    <nc r="Q211">
      <v>90</v>
    </nc>
  </rcc>
  <rcc rId="5253" sId="2">
    <nc r="P212">
      <v>90</v>
    </nc>
  </rcc>
  <rcc rId="5254" sId="2">
    <nc r="Q212">
      <v>90</v>
    </nc>
  </rcc>
  <rcc rId="5255" sId="2" odxf="1" dxf="1">
    <nc r="P213">
      <v>90</v>
    </nc>
    <odxf>
      <fill>
        <patternFill patternType="solid">
          <bgColor theme="0"/>
        </patternFill>
      </fill>
    </odxf>
    <ndxf>
      <fill>
        <patternFill patternType="none">
          <bgColor indexed="65"/>
        </patternFill>
      </fill>
    </ndxf>
  </rcc>
  <rcc rId="5256" sId="2" odxf="1" dxf="1">
    <nc r="Q213">
      <v>90</v>
    </nc>
    <odxf>
      <fill>
        <patternFill patternType="solid">
          <bgColor theme="0"/>
        </patternFill>
      </fill>
    </odxf>
    <ndxf>
      <fill>
        <patternFill patternType="none">
          <bgColor indexed="65"/>
        </patternFill>
      </fill>
    </ndxf>
  </rcc>
  <rcc rId="5257" sId="2" odxf="1" dxf="1">
    <nc r="P214">
      <v>90</v>
    </nc>
    <odxf>
      <fill>
        <patternFill patternType="solid">
          <bgColor theme="0"/>
        </patternFill>
      </fill>
    </odxf>
    <ndxf>
      <fill>
        <patternFill patternType="none">
          <bgColor indexed="65"/>
        </patternFill>
      </fill>
    </ndxf>
  </rcc>
  <rcc rId="5258" sId="2" odxf="1" dxf="1">
    <nc r="Q214">
      <v>90</v>
    </nc>
    <odxf>
      <fill>
        <patternFill patternType="solid">
          <bgColor theme="0"/>
        </patternFill>
      </fill>
    </odxf>
    <ndxf>
      <fill>
        <patternFill patternType="none">
          <bgColor indexed="65"/>
        </patternFill>
      </fill>
    </ndxf>
  </rcc>
  <rcc rId="5259" sId="2" odxf="1" dxf="1">
    <nc r="P215">
      <v>90</v>
    </nc>
    <odxf>
      <fill>
        <patternFill patternType="solid">
          <bgColor theme="0"/>
        </patternFill>
      </fill>
    </odxf>
    <ndxf>
      <fill>
        <patternFill patternType="none">
          <bgColor indexed="65"/>
        </patternFill>
      </fill>
    </ndxf>
  </rcc>
  <rcc rId="5260" sId="2" odxf="1" dxf="1">
    <nc r="Q215">
      <v>90</v>
    </nc>
    <odxf>
      <fill>
        <patternFill patternType="solid">
          <bgColor theme="0"/>
        </patternFill>
      </fill>
    </odxf>
    <ndxf>
      <fill>
        <patternFill patternType="none">
          <bgColor indexed="65"/>
        </patternFill>
      </fill>
    </ndxf>
  </rcc>
  <rcc rId="5261" sId="2" odxf="1" dxf="1">
    <nc r="P216">
      <v>90</v>
    </nc>
    <odxf>
      <fill>
        <patternFill patternType="solid">
          <bgColor theme="0"/>
        </patternFill>
      </fill>
    </odxf>
    <ndxf>
      <fill>
        <patternFill patternType="none">
          <bgColor indexed="65"/>
        </patternFill>
      </fill>
    </ndxf>
  </rcc>
  <rcc rId="5262" sId="2" odxf="1" dxf="1">
    <nc r="Q216">
      <v>90</v>
    </nc>
    <odxf>
      <fill>
        <patternFill patternType="solid">
          <bgColor theme="0"/>
        </patternFill>
      </fill>
    </odxf>
    <ndxf>
      <fill>
        <patternFill patternType="none">
          <bgColor indexed="65"/>
        </patternFill>
      </fill>
    </ndxf>
  </rcc>
  <rcc rId="5263" sId="2" odxf="1" dxf="1">
    <nc r="P217">
      <v>90</v>
    </nc>
    <odxf>
      <fill>
        <patternFill patternType="solid">
          <bgColor theme="0"/>
        </patternFill>
      </fill>
    </odxf>
    <ndxf>
      <fill>
        <patternFill patternType="none">
          <bgColor indexed="65"/>
        </patternFill>
      </fill>
    </ndxf>
  </rcc>
  <rcc rId="5264" sId="2" odxf="1" dxf="1">
    <nc r="Q217">
      <v>90</v>
    </nc>
    <odxf>
      <fill>
        <patternFill patternType="solid">
          <bgColor theme="0"/>
        </patternFill>
      </fill>
    </odxf>
    <ndxf>
      <fill>
        <patternFill patternType="none">
          <bgColor indexed="65"/>
        </patternFill>
      </fill>
    </ndxf>
  </rcc>
  <rcc rId="5265" sId="2">
    <nc r="P218">
      <v>90</v>
    </nc>
  </rcc>
  <rcc rId="5266" sId="2">
    <nc r="Q218">
      <v>90</v>
    </nc>
  </rcc>
  <rcc rId="5267" sId="2">
    <nc r="P219">
      <v>90</v>
    </nc>
  </rcc>
  <rcc rId="5268" sId="2">
    <nc r="Q219">
      <v>90</v>
    </nc>
  </rcc>
  <rcc rId="5269" sId="2">
    <nc r="P220">
      <v>90</v>
    </nc>
  </rcc>
  <rcc rId="5270" sId="2">
    <nc r="Q220">
      <v>90</v>
    </nc>
  </rcc>
  <rcc rId="5271" sId="2">
    <nc r="P221">
      <v>90</v>
    </nc>
  </rcc>
  <rcc rId="5272" sId="2">
    <nc r="Q221">
      <v>90</v>
    </nc>
  </rcc>
  <rcc rId="5273" sId="2">
    <nc r="P222">
      <v>90</v>
    </nc>
  </rcc>
  <rcc rId="5274" sId="2">
    <nc r="Q222">
      <v>90</v>
    </nc>
  </rcc>
  <rcc rId="5275" sId="2">
    <nc r="P223">
      <v>90</v>
    </nc>
  </rcc>
  <rcc rId="5276" sId="2">
    <nc r="Q223">
      <v>90</v>
    </nc>
  </rcc>
  <rcc rId="5277" sId="2">
    <nc r="P224">
      <v>90</v>
    </nc>
  </rcc>
  <rcc rId="5278" sId="2">
    <nc r="Q224">
      <v>90</v>
    </nc>
  </rcc>
  <rcc rId="5279" sId="2">
    <nc r="P225">
      <v>90</v>
    </nc>
  </rcc>
  <rcc rId="5280" sId="2">
    <nc r="Q225">
      <v>90</v>
    </nc>
  </rcc>
  <rcc rId="5281" sId="2">
    <nc r="P226">
      <v>90</v>
    </nc>
  </rcc>
  <rcc rId="5282" sId="2">
    <nc r="Q226">
      <v>90</v>
    </nc>
  </rcc>
  <rcc rId="5283" sId="2">
    <nc r="P227">
      <v>90</v>
    </nc>
  </rcc>
  <rcc rId="5284" sId="2">
    <nc r="Q227">
      <v>90</v>
    </nc>
  </rcc>
  <rcc rId="5285" sId="2">
    <nc r="P228">
      <v>90</v>
    </nc>
  </rcc>
  <rcc rId="5286" sId="2">
    <nc r="Q228">
      <v>90</v>
    </nc>
  </rcc>
  <rcc rId="5287" sId="2">
    <nc r="P229">
      <v>90</v>
    </nc>
  </rcc>
  <rcc rId="5288" sId="2">
    <nc r="Q229">
      <v>90</v>
    </nc>
  </rcc>
  <rcc rId="5289" sId="2">
    <nc r="P230">
      <v>90</v>
    </nc>
  </rcc>
  <rcc rId="5290" sId="2">
    <nc r="Q230">
      <v>90</v>
    </nc>
  </rcc>
  <rcc rId="5291" sId="2">
    <nc r="P231">
      <v>90</v>
    </nc>
  </rcc>
  <rcc rId="5292" sId="2">
    <nc r="Q231">
      <v>90</v>
    </nc>
  </rcc>
  <rcc rId="5293" sId="2">
    <nc r="P232">
      <v>90</v>
    </nc>
  </rcc>
  <rcc rId="5294" sId="2">
    <nc r="Q232">
      <v>90</v>
    </nc>
  </rcc>
  <rcc rId="5295" sId="2">
    <nc r="P233">
      <v>90</v>
    </nc>
  </rcc>
  <rcc rId="5296" sId="2">
    <nc r="Q233">
      <v>90</v>
    </nc>
  </rcc>
  <rcc rId="5297" sId="2">
    <nc r="P234">
      <v>90</v>
    </nc>
  </rcc>
  <rcc rId="5298" sId="2">
    <nc r="Q234">
      <v>90</v>
    </nc>
  </rcc>
  <rcc rId="5299" sId="2">
    <nc r="P235">
      <v>90</v>
    </nc>
  </rcc>
  <rcc rId="5300" sId="2">
    <nc r="Q235">
      <v>90</v>
    </nc>
  </rcc>
  <rcc rId="5301" sId="2">
    <nc r="P236">
      <v>90</v>
    </nc>
  </rcc>
  <rcc rId="5302" sId="2">
    <nc r="Q236">
      <v>90</v>
    </nc>
  </rcc>
  <rcc rId="5303" sId="2">
    <nc r="P237">
      <v>90</v>
    </nc>
  </rcc>
  <rcc rId="5304" sId="2">
    <nc r="Q237">
      <v>90</v>
    </nc>
  </rcc>
  <rcc rId="5305" sId="2">
    <nc r="P238">
      <v>90</v>
    </nc>
  </rcc>
  <rcc rId="5306" sId="2">
    <nc r="Q238">
      <v>90</v>
    </nc>
  </rcc>
  <rcc rId="5307" sId="2">
    <nc r="P239">
      <v>90</v>
    </nc>
  </rcc>
  <rcc rId="5308" sId="2">
    <nc r="Q239">
      <v>90</v>
    </nc>
  </rcc>
  <rcc rId="5309" sId="2">
    <nc r="P240">
      <v>90</v>
    </nc>
  </rcc>
  <rcc rId="5310" sId="2">
    <nc r="Q240">
      <v>90</v>
    </nc>
  </rcc>
  <rcc rId="5311" sId="2">
    <nc r="P241">
      <v>90</v>
    </nc>
  </rcc>
  <rcc rId="5312" sId="2">
    <nc r="Q241">
      <v>90</v>
    </nc>
  </rcc>
  <rcc rId="5313" sId="2">
    <nc r="P242">
      <v>90</v>
    </nc>
  </rcc>
  <rcc rId="5314" sId="2">
    <nc r="Q242">
      <v>90</v>
    </nc>
  </rcc>
  <rcc rId="5315" sId="2">
    <nc r="P243">
      <v>90</v>
    </nc>
  </rcc>
  <rcc rId="5316" sId="2">
    <nc r="Q243">
      <v>90</v>
    </nc>
  </rcc>
  <rcc rId="5317" sId="2">
    <nc r="P244">
      <v>90</v>
    </nc>
  </rcc>
  <rcc rId="5318" sId="2">
    <nc r="Q244">
      <v>90</v>
    </nc>
  </rcc>
  <rcc rId="5319" sId="2">
    <nc r="P245">
      <v>90</v>
    </nc>
  </rcc>
  <rcc rId="5320" sId="2">
    <nc r="Q245">
      <v>90</v>
    </nc>
  </rcc>
  <rcc rId="5321" sId="2">
    <nc r="P246">
      <v>90</v>
    </nc>
  </rcc>
  <rcc rId="5322" sId="2">
    <nc r="Q246">
      <v>90</v>
    </nc>
  </rcc>
  <rcc rId="5323" sId="2">
    <nc r="P247">
      <v>90</v>
    </nc>
  </rcc>
  <rcc rId="5324" sId="2">
    <nc r="Q247">
      <v>90</v>
    </nc>
  </rcc>
  <rcc rId="5325" sId="2">
    <nc r="P248">
      <v>90</v>
    </nc>
  </rcc>
  <rcc rId="5326" sId="2">
    <nc r="Q248">
      <v>90</v>
    </nc>
  </rcc>
  <rcc rId="5327" sId="2">
    <nc r="P249">
      <v>90</v>
    </nc>
  </rcc>
  <rcc rId="5328" sId="2">
    <nc r="Q249">
      <v>90</v>
    </nc>
  </rcc>
  <rcc rId="5329" sId="2">
    <nc r="P250">
      <v>90</v>
    </nc>
  </rcc>
  <rcc rId="5330" sId="2">
    <nc r="Q250">
      <v>90</v>
    </nc>
  </rcc>
  <rcc rId="5331" sId="2">
    <nc r="P251">
      <v>90</v>
    </nc>
  </rcc>
  <rcc rId="5332" sId="2">
    <nc r="Q251">
      <v>90</v>
    </nc>
  </rcc>
  <rcc rId="5333" sId="2">
    <nc r="P252">
      <v>90</v>
    </nc>
  </rcc>
  <rcc rId="5334" sId="2">
    <nc r="Q252">
      <v>90</v>
    </nc>
  </rcc>
  <rcc rId="5335" sId="2">
    <nc r="P253">
      <v>90</v>
    </nc>
  </rcc>
  <rcc rId="5336" sId="2">
    <nc r="Q253">
      <v>90</v>
    </nc>
  </rcc>
  <rcc rId="5337" sId="2">
    <nc r="P254">
      <v>90</v>
    </nc>
  </rcc>
  <rcc rId="5338" sId="2">
    <nc r="Q254">
      <v>90</v>
    </nc>
  </rcc>
  <rcc rId="5339" sId="2">
    <nc r="P255">
      <v>90</v>
    </nc>
  </rcc>
  <rcc rId="5340" sId="2">
    <nc r="Q255">
      <v>90</v>
    </nc>
  </rcc>
  <rcc rId="5341" sId="2">
    <nc r="P256">
      <v>90</v>
    </nc>
  </rcc>
  <rcc rId="5342" sId="2">
    <nc r="Q256">
      <v>90</v>
    </nc>
  </rcc>
  <rcc rId="5343" sId="2">
    <nc r="P257">
      <v>90</v>
    </nc>
  </rcc>
  <rcc rId="5344" sId="2">
    <nc r="Q257">
      <v>90</v>
    </nc>
  </rcc>
  <rcc rId="5345" sId="2">
    <nc r="P258">
      <v>90</v>
    </nc>
  </rcc>
  <rcc rId="5346" sId="2">
    <nc r="Q258">
      <v>90</v>
    </nc>
  </rcc>
  <rcc rId="5347" sId="2">
    <nc r="P259">
      <v>90</v>
    </nc>
  </rcc>
  <rcc rId="5348" sId="2">
    <nc r="Q259">
      <v>90</v>
    </nc>
  </rcc>
  <rcc rId="5349" sId="2">
    <nc r="P260">
      <v>90</v>
    </nc>
  </rcc>
  <rcc rId="5350" sId="2">
    <nc r="Q260">
      <v>90</v>
    </nc>
  </rcc>
  <rcc rId="5351" sId="2">
    <nc r="P201" t="inlineStr">
      <is>
        <t>NA</t>
      </is>
    </nc>
  </rcc>
  <rcc rId="5352" sId="2">
    <nc r="Q201" t="inlineStr">
      <is>
        <t>NA</t>
      </is>
    </nc>
  </rcc>
  <rcv guid="{8A75D892-44B4-104C-BB94-8EB0D0E43396}" action="delete"/>
  <rcv guid="{8A75D892-44B4-104C-BB94-8EB0D0E43396}" action="add"/>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53" sId="2">
    <oc r="P189">
      <v>90</v>
    </oc>
    <nc r="P189"/>
  </rcc>
  <rcc rId="5354" sId="2">
    <oc r="Q189">
      <v>90</v>
    </oc>
    <nc r="Q189"/>
  </rcc>
  <rcc rId="5355" sId="2">
    <oc r="P190">
      <v>90</v>
    </oc>
    <nc r="P190"/>
  </rcc>
  <rcc rId="5356" sId="2">
    <oc r="Q190">
      <v>90</v>
    </oc>
    <nc r="Q190"/>
  </rcc>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357" sId="2">
    <oc r="P96">
      <v>90</v>
    </oc>
    <nc r="P96"/>
  </rcc>
  <rcc rId="5358" sId="2">
    <oc r="Q96">
      <v>90</v>
    </oc>
    <nc r="Q96"/>
  </rcc>
  <rcc rId="5359" sId="2">
    <oc r="P97">
      <v>90</v>
    </oc>
    <nc r="P97"/>
  </rcc>
  <rcc rId="5360" sId="2">
    <oc r="Q97">
      <v>90</v>
    </oc>
    <nc r="Q97"/>
  </rcc>
  <rcc rId="5361" sId="2">
    <oc r="P98">
      <v>90</v>
    </oc>
    <nc r="P98"/>
  </rcc>
  <rcc rId="5362" sId="2">
    <oc r="Q98">
      <v>90</v>
    </oc>
    <nc r="Q98"/>
  </rcc>
  <rcc rId="5363" sId="2">
    <oc r="P99">
      <v>90</v>
    </oc>
    <nc r="P99"/>
  </rcc>
  <rcc rId="5364" sId="2">
    <oc r="Q99">
      <v>90</v>
    </oc>
    <nc r="Q99"/>
  </rcc>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5365" sId="1" ref="L1:M1048576" action="insertCol"/>
  <rm rId="5366" sheetId="1" source="P1:Q1048576" destination="L1:M1048576" sourceSheetId="1">
    <rfmt sheetId="1" xfDxf="1" sqref="L1:L1048576" start="0" length="0">
      <dxf>
        <alignment horizontal="left"/>
      </dxf>
    </rfmt>
    <rfmt sheetId="1" xfDxf="1" sqref="L1:L1048576" start="0" length="0">
      <dxf>
        <alignment horizontal="left"/>
      </dxf>
    </rfmt>
    <rfmt sheetId="1" sqref="L3" start="0" length="0">
      <dxf>
        <numFmt numFmtId="26" formatCode="hh:mm:ss"/>
      </dxf>
    </rfmt>
    <rfmt sheetId="1" sqref="M3" start="0" length="0">
      <dxf>
        <numFmt numFmtId="26" formatCode="hh:mm:ss"/>
      </dxf>
    </rfmt>
    <rfmt sheetId="1" sqref="L4" start="0" length="0">
      <dxf>
        <numFmt numFmtId="26" formatCode="hh:mm:ss"/>
      </dxf>
    </rfmt>
    <rfmt sheetId="1" sqref="M4" start="0" length="0">
      <dxf>
        <numFmt numFmtId="26" formatCode="hh:mm:ss"/>
      </dxf>
    </rfmt>
    <rfmt sheetId="1" sqref="L5" start="0" length="0">
      <dxf>
        <numFmt numFmtId="26" formatCode="hh:mm:ss"/>
      </dxf>
    </rfmt>
    <rfmt sheetId="1" sqref="M5" start="0" length="0">
      <dxf>
        <numFmt numFmtId="26" formatCode="hh:mm:ss"/>
      </dxf>
    </rfmt>
    <rfmt sheetId="1" sqref="L6" start="0" length="0">
      <dxf>
        <numFmt numFmtId="26" formatCode="hh:mm:ss"/>
      </dxf>
    </rfmt>
    <rfmt sheetId="1" sqref="M6" start="0" length="0">
      <dxf>
        <numFmt numFmtId="26" formatCode="hh:mm:ss"/>
      </dxf>
    </rfmt>
    <rfmt sheetId="1" sqref="L8" start="0" length="0">
      <dxf>
        <numFmt numFmtId="26" formatCode="hh:mm:ss"/>
      </dxf>
    </rfmt>
    <rfmt sheetId="1" sqref="M8" start="0" length="0">
      <dxf>
        <numFmt numFmtId="26" formatCode="hh:mm:ss"/>
      </dxf>
    </rfmt>
    <rfmt sheetId="1" sqref="L9" start="0" length="0">
      <dxf>
        <numFmt numFmtId="26" formatCode="hh:mm:ss"/>
      </dxf>
    </rfmt>
    <rfmt sheetId="1" sqref="M9" start="0" length="0">
      <dxf>
        <numFmt numFmtId="26" formatCode="hh:mm:ss"/>
      </dxf>
    </rfmt>
    <rfmt sheetId="1" sqref="L10" start="0" length="0">
      <dxf>
        <numFmt numFmtId="26" formatCode="hh:mm:ss"/>
      </dxf>
    </rfmt>
    <rfmt sheetId="1" sqref="M10" start="0" length="0">
      <dxf>
        <numFmt numFmtId="26" formatCode="hh:mm:ss"/>
      </dxf>
    </rfmt>
    <rfmt sheetId="1" sqref="L11" start="0" length="0">
      <dxf>
        <numFmt numFmtId="26" formatCode="hh:mm:ss"/>
      </dxf>
    </rfmt>
    <rfmt sheetId="1" sqref="M11" start="0" length="0">
      <dxf>
        <numFmt numFmtId="26" formatCode="hh:mm:ss"/>
      </dxf>
    </rfmt>
    <rfmt sheetId="1" sqref="L12" start="0" length="0">
      <dxf>
        <numFmt numFmtId="26" formatCode="hh:mm:ss"/>
      </dxf>
    </rfmt>
    <rfmt sheetId="1" sqref="M12" start="0" length="0">
      <dxf>
        <numFmt numFmtId="26" formatCode="hh:mm:ss"/>
      </dxf>
    </rfmt>
    <rfmt sheetId="1" sqref="L13" start="0" length="0">
      <dxf>
        <numFmt numFmtId="26" formatCode="hh:mm:ss"/>
      </dxf>
    </rfmt>
    <rfmt sheetId="1" sqref="M13" start="0" length="0">
      <dxf>
        <numFmt numFmtId="26" formatCode="hh:mm:ss"/>
      </dxf>
    </rfmt>
    <rfmt sheetId="1" sqref="L14" start="0" length="0">
      <dxf>
        <numFmt numFmtId="26" formatCode="hh:mm:ss"/>
      </dxf>
    </rfmt>
    <rfmt sheetId="1" sqref="M14" start="0" length="0">
      <dxf>
        <numFmt numFmtId="26" formatCode="hh:mm:ss"/>
      </dxf>
    </rfmt>
    <rfmt sheetId="1" sqref="L16" start="0" length="0">
      <dxf>
        <numFmt numFmtId="26" formatCode="hh:mm:ss"/>
      </dxf>
    </rfmt>
    <rfmt sheetId="1" sqref="M16" start="0" length="0">
      <dxf>
        <numFmt numFmtId="26" formatCode="hh:mm:ss"/>
      </dxf>
    </rfmt>
    <rfmt sheetId="1" sqref="L17" start="0" length="0">
      <dxf>
        <numFmt numFmtId="26" formatCode="hh:mm:ss"/>
      </dxf>
    </rfmt>
    <rfmt sheetId="1" sqref="M17" start="0" length="0">
      <dxf>
        <numFmt numFmtId="26" formatCode="hh:mm:ss"/>
      </dxf>
    </rfmt>
    <rfmt sheetId="1" sqref="L18" start="0" length="0">
      <dxf>
        <numFmt numFmtId="26" formatCode="hh:mm:ss"/>
      </dxf>
    </rfmt>
    <rfmt sheetId="1" sqref="M18" start="0" length="0">
      <dxf>
        <numFmt numFmtId="26" formatCode="hh:mm:ss"/>
      </dxf>
    </rfmt>
    <rfmt sheetId="1" sqref="L19" start="0" length="0">
      <dxf>
        <numFmt numFmtId="26" formatCode="hh:mm:ss"/>
      </dxf>
    </rfmt>
    <rfmt sheetId="1" sqref="M19" start="0" length="0">
      <dxf>
        <numFmt numFmtId="26" formatCode="hh:mm:ss"/>
      </dxf>
    </rfmt>
    <rfmt sheetId="1" sqref="L20" start="0" length="0">
      <dxf>
        <numFmt numFmtId="26" formatCode="hh:mm:ss"/>
      </dxf>
    </rfmt>
    <rfmt sheetId="1" sqref="M20" start="0" length="0">
      <dxf>
        <numFmt numFmtId="26" formatCode="hh:mm:ss"/>
      </dxf>
    </rfmt>
    <rfmt sheetId="1" sqref="L21" start="0" length="0">
      <dxf>
        <numFmt numFmtId="26" formatCode="hh:mm:ss"/>
      </dxf>
    </rfmt>
    <rfmt sheetId="1" sqref="M21" start="0" length="0">
      <dxf>
        <numFmt numFmtId="26" formatCode="hh:mm:ss"/>
      </dxf>
    </rfmt>
    <rfmt sheetId="1" sqref="L22" start="0" length="0">
      <dxf>
        <numFmt numFmtId="26" formatCode="hh:mm:ss"/>
      </dxf>
    </rfmt>
    <rfmt sheetId="1" sqref="M22" start="0" length="0">
      <dxf>
        <numFmt numFmtId="26" formatCode="hh:mm:ss"/>
      </dxf>
    </rfmt>
    <rfmt sheetId="1" sqref="L23" start="0" length="0">
      <dxf>
        <numFmt numFmtId="26" formatCode="hh:mm:ss"/>
      </dxf>
    </rfmt>
    <rfmt sheetId="1" sqref="M23" start="0" length="0">
      <dxf>
        <numFmt numFmtId="26" formatCode="hh:mm:ss"/>
      </dxf>
    </rfmt>
    <rfmt sheetId="1" sqref="L24" start="0" length="0">
      <dxf>
        <numFmt numFmtId="26" formatCode="hh:mm:ss"/>
      </dxf>
    </rfmt>
    <rfmt sheetId="1" sqref="M24" start="0" length="0">
      <dxf>
        <numFmt numFmtId="26" formatCode="hh:mm:ss"/>
      </dxf>
    </rfmt>
    <rfmt sheetId="1" sqref="L25" start="0" length="0">
      <dxf>
        <numFmt numFmtId="26" formatCode="hh:mm:ss"/>
      </dxf>
    </rfmt>
    <rfmt sheetId="1" sqref="M25" start="0" length="0">
      <dxf>
        <numFmt numFmtId="26" formatCode="hh:mm:ss"/>
      </dxf>
    </rfmt>
    <rfmt sheetId="1" sqref="L26" start="0" length="0">
      <dxf>
        <numFmt numFmtId="26" formatCode="hh:mm:ss"/>
      </dxf>
    </rfmt>
    <rfmt sheetId="1" sqref="M26" start="0" length="0">
      <dxf>
        <numFmt numFmtId="26" formatCode="hh:mm:ss"/>
      </dxf>
    </rfmt>
    <rfmt sheetId="1" sqref="L27" start="0" length="0">
      <dxf>
        <numFmt numFmtId="26" formatCode="hh:mm:ss"/>
      </dxf>
    </rfmt>
    <rfmt sheetId="1" sqref="M27" start="0" length="0">
      <dxf>
        <numFmt numFmtId="26" formatCode="hh:mm:ss"/>
      </dxf>
    </rfmt>
    <rfmt sheetId="1" sqref="L28" start="0" length="0">
      <dxf>
        <numFmt numFmtId="26" formatCode="hh:mm:ss"/>
      </dxf>
    </rfmt>
    <rfmt sheetId="1" sqref="M28" start="0" length="0">
      <dxf>
        <numFmt numFmtId="26" formatCode="hh:mm:ss"/>
      </dxf>
    </rfmt>
    <rfmt sheetId="1" sqref="L29" start="0" length="0">
      <dxf>
        <numFmt numFmtId="26" formatCode="hh:mm:ss"/>
      </dxf>
    </rfmt>
    <rfmt sheetId="1" sqref="M29" start="0" length="0">
      <dxf>
        <numFmt numFmtId="26" formatCode="hh:mm:ss"/>
      </dxf>
    </rfmt>
    <rfmt sheetId="1" sqref="L30" start="0" length="0">
      <dxf>
        <numFmt numFmtId="26" formatCode="hh:mm:ss"/>
      </dxf>
    </rfmt>
    <rfmt sheetId="1" sqref="M30" start="0" length="0">
      <dxf>
        <numFmt numFmtId="26" formatCode="hh:mm:ss"/>
      </dxf>
    </rfmt>
    <rfmt sheetId="1" sqref="L31" start="0" length="0">
      <dxf>
        <numFmt numFmtId="26" formatCode="hh:mm:ss"/>
      </dxf>
    </rfmt>
    <rfmt sheetId="1" sqref="M31" start="0" length="0">
      <dxf>
        <numFmt numFmtId="26" formatCode="hh:mm:ss"/>
      </dxf>
    </rfmt>
    <rfmt sheetId="1" sqref="L32" start="0" length="0">
      <dxf>
        <numFmt numFmtId="26" formatCode="hh:mm:ss"/>
      </dxf>
    </rfmt>
    <rfmt sheetId="1" sqref="M32" start="0" length="0">
      <dxf>
        <numFmt numFmtId="26" formatCode="hh:mm:ss"/>
      </dxf>
    </rfmt>
    <rfmt sheetId="1" sqref="L33" start="0" length="0">
      <dxf>
        <numFmt numFmtId="26" formatCode="hh:mm:ss"/>
      </dxf>
    </rfmt>
    <rfmt sheetId="1" sqref="M33" start="0" length="0">
      <dxf>
        <numFmt numFmtId="26" formatCode="hh:mm:ss"/>
      </dxf>
    </rfmt>
    <rfmt sheetId="1" sqref="L36" start="0" length="0">
      <dxf>
        <numFmt numFmtId="26" formatCode="hh:mm:ss"/>
      </dxf>
    </rfmt>
    <rfmt sheetId="1" sqref="M36" start="0" length="0">
      <dxf>
        <numFmt numFmtId="26" formatCode="hh:mm:ss"/>
      </dxf>
    </rfmt>
    <rfmt sheetId="1" sqref="L37" start="0" length="0">
      <dxf>
        <numFmt numFmtId="26" formatCode="hh:mm:ss"/>
      </dxf>
    </rfmt>
    <rfmt sheetId="1" sqref="M37" start="0" length="0">
      <dxf>
        <numFmt numFmtId="26" formatCode="hh:mm:ss"/>
      </dxf>
    </rfmt>
    <rfmt sheetId="1" sqref="L38" start="0" length="0">
      <dxf>
        <numFmt numFmtId="26" formatCode="hh:mm:ss"/>
      </dxf>
    </rfmt>
    <rfmt sheetId="1" sqref="M38" start="0" length="0">
      <dxf>
        <numFmt numFmtId="26" formatCode="hh:mm:ss"/>
      </dxf>
    </rfmt>
    <rfmt sheetId="1" sqref="L39" start="0" length="0">
      <dxf>
        <numFmt numFmtId="26" formatCode="hh:mm:ss"/>
      </dxf>
    </rfmt>
    <rfmt sheetId="1" sqref="M39" start="0" length="0">
      <dxf>
        <numFmt numFmtId="26" formatCode="hh:mm:ss"/>
      </dxf>
    </rfmt>
    <rfmt sheetId="1" sqref="L40" start="0" length="0">
      <dxf>
        <numFmt numFmtId="26" formatCode="hh:mm:ss"/>
      </dxf>
    </rfmt>
    <rfmt sheetId="1" sqref="M40" start="0" length="0">
      <dxf>
        <numFmt numFmtId="26" formatCode="hh:mm:ss"/>
      </dxf>
    </rfmt>
    <rfmt sheetId="1" sqref="L41" start="0" length="0">
      <dxf>
        <numFmt numFmtId="26" formatCode="hh:mm:ss"/>
      </dxf>
    </rfmt>
    <rfmt sheetId="1" sqref="M41" start="0" length="0">
      <dxf>
        <numFmt numFmtId="26" formatCode="hh:mm:ss"/>
      </dxf>
    </rfmt>
    <rfmt sheetId="1" sqref="L42" start="0" length="0">
      <dxf>
        <numFmt numFmtId="26" formatCode="hh:mm:ss"/>
      </dxf>
    </rfmt>
    <rfmt sheetId="1" sqref="M42" start="0" length="0">
      <dxf>
        <numFmt numFmtId="26" formatCode="hh:mm:ss"/>
      </dxf>
    </rfmt>
    <rfmt sheetId="1" sqref="L43" start="0" length="0">
      <dxf>
        <numFmt numFmtId="26" formatCode="hh:mm:ss"/>
      </dxf>
    </rfmt>
    <rfmt sheetId="1" sqref="M43" start="0" length="0">
      <dxf>
        <numFmt numFmtId="26" formatCode="hh:mm:ss"/>
      </dxf>
    </rfmt>
    <rfmt sheetId="1" sqref="L44" start="0" length="0">
      <dxf>
        <numFmt numFmtId="26" formatCode="hh:mm:ss"/>
      </dxf>
    </rfmt>
    <rfmt sheetId="1" sqref="M44" start="0" length="0">
      <dxf>
        <numFmt numFmtId="26" formatCode="hh:mm:ss"/>
      </dxf>
    </rfmt>
    <rfmt sheetId="1" sqref="L45" start="0" length="0">
      <dxf>
        <numFmt numFmtId="26" formatCode="hh:mm:ss"/>
      </dxf>
    </rfmt>
    <rfmt sheetId="1" sqref="M45" start="0" length="0">
      <dxf>
        <numFmt numFmtId="26" formatCode="hh:mm:ss"/>
      </dxf>
    </rfmt>
    <rfmt sheetId="1" sqref="L46" start="0" length="0">
      <dxf>
        <numFmt numFmtId="26" formatCode="hh:mm:ss"/>
      </dxf>
    </rfmt>
    <rfmt sheetId="1" sqref="M46" start="0" length="0">
      <dxf>
        <numFmt numFmtId="26" formatCode="hh:mm:ss"/>
      </dxf>
    </rfmt>
    <rfmt sheetId="1" sqref="L47" start="0" length="0">
      <dxf>
        <numFmt numFmtId="26" formatCode="hh:mm:ss"/>
      </dxf>
    </rfmt>
    <rfmt sheetId="1" sqref="M47" start="0" length="0">
      <dxf>
        <numFmt numFmtId="26" formatCode="hh:mm:ss"/>
      </dxf>
    </rfmt>
    <rfmt sheetId="1" sqref="L48" start="0" length="0">
      <dxf>
        <numFmt numFmtId="26" formatCode="hh:mm:ss"/>
      </dxf>
    </rfmt>
    <rfmt sheetId="1" sqref="M48" start="0" length="0">
      <dxf>
        <numFmt numFmtId="26" formatCode="hh:mm:ss"/>
      </dxf>
    </rfmt>
    <rfmt sheetId="1" sqref="L49" start="0" length="0">
      <dxf>
        <numFmt numFmtId="26" formatCode="hh:mm:ss"/>
      </dxf>
    </rfmt>
    <rfmt sheetId="1" sqref="M49" start="0" length="0">
      <dxf>
        <numFmt numFmtId="26" formatCode="hh:mm:ss"/>
      </dxf>
    </rfmt>
    <rfmt sheetId="1" sqref="L50" start="0" length="0">
      <dxf>
        <numFmt numFmtId="26" formatCode="hh:mm:ss"/>
      </dxf>
    </rfmt>
    <rfmt sheetId="1" sqref="M50" start="0" length="0">
      <dxf>
        <numFmt numFmtId="26" formatCode="hh:mm:ss"/>
      </dxf>
    </rfmt>
    <rfmt sheetId="1" sqref="L51" start="0" length="0">
      <dxf>
        <numFmt numFmtId="26" formatCode="hh:mm:ss"/>
      </dxf>
    </rfmt>
    <rfmt sheetId="1" sqref="M51" start="0" length="0">
      <dxf>
        <numFmt numFmtId="26" formatCode="hh:mm:ss"/>
      </dxf>
    </rfmt>
    <rfmt sheetId="1" sqref="L52" start="0" length="0">
      <dxf>
        <numFmt numFmtId="26" formatCode="hh:mm:ss"/>
      </dxf>
    </rfmt>
    <rfmt sheetId="1" sqref="M52" start="0" length="0">
      <dxf>
        <numFmt numFmtId="26" formatCode="hh:mm:ss"/>
      </dxf>
    </rfmt>
    <rfmt sheetId="1" sqref="L53" start="0" length="0">
      <dxf>
        <numFmt numFmtId="26" formatCode="hh:mm:ss"/>
      </dxf>
    </rfmt>
    <rfmt sheetId="1" sqref="M53" start="0" length="0">
      <dxf>
        <numFmt numFmtId="26" formatCode="hh:mm:ss"/>
      </dxf>
    </rfmt>
    <rfmt sheetId="1" sqref="L54" start="0" length="0">
      <dxf>
        <numFmt numFmtId="26" formatCode="hh:mm:ss"/>
      </dxf>
    </rfmt>
    <rfmt sheetId="1" sqref="M54" start="0" length="0">
      <dxf>
        <numFmt numFmtId="26" formatCode="hh:mm:ss"/>
      </dxf>
    </rfmt>
    <rfmt sheetId="1" sqref="L55" start="0" length="0">
      <dxf>
        <numFmt numFmtId="26" formatCode="hh:mm:ss"/>
      </dxf>
    </rfmt>
    <rfmt sheetId="1" sqref="M55" start="0" length="0">
      <dxf>
        <numFmt numFmtId="26" formatCode="hh:mm:ss"/>
      </dxf>
    </rfmt>
    <rfmt sheetId="1" sqref="L56" start="0" length="0">
      <dxf>
        <numFmt numFmtId="26" formatCode="hh:mm:ss"/>
      </dxf>
    </rfmt>
    <rfmt sheetId="1" sqref="M56" start="0" length="0">
      <dxf>
        <numFmt numFmtId="26" formatCode="hh:mm:ss"/>
      </dxf>
    </rfmt>
    <rfmt sheetId="1" sqref="L57" start="0" length="0">
      <dxf>
        <numFmt numFmtId="26" formatCode="hh:mm:ss"/>
      </dxf>
    </rfmt>
    <rfmt sheetId="1" sqref="M57" start="0" length="0">
      <dxf>
        <numFmt numFmtId="26" formatCode="hh:mm:ss"/>
      </dxf>
    </rfmt>
    <rfmt sheetId="1" sqref="L58" start="0" length="0">
      <dxf>
        <numFmt numFmtId="26" formatCode="hh:mm:ss"/>
      </dxf>
    </rfmt>
    <rfmt sheetId="1" sqref="M58" start="0" length="0">
      <dxf>
        <numFmt numFmtId="26" formatCode="hh:mm:ss"/>
      </dxf>
    </rfmt>
    <rfmt sheetId="1" sqref="L59" start="0" length="0">
      <dxf>
        <numFmt numFmtId="26" formatCode="hh:mm:ss"/>
      </dxf>
    </rfmt>
    <rfmt sheetId="1" sqref="M59" start="0" length="0">
      <dxf>
        <numFmt numFmtId="26" formatCode="hh:mm:ss"/>
      </dxf>
    </rfmt>
    <rfmt sheetId="1" sqref="L60" start="0" length="0">
      <dxf>
        <numFmt numFmtId="26" formatCode="hh:mm:ss"/>
      </dxf>
    </rfmt>
    <rfmt sheetId="1" sqref="M60" start="0" length="0">
      <dxf>
        <numFmt numFmtId="26" formatCode="hh:mm:ss"/>
      </dxf>
    </rfmt>
    <rfmt sheetId="1" sqref="L61" start="0" length="0">
      <dxf>
        <numFmt numFmtId="26" formatCode="hh:mm:ss"/>
      </dxf>
    </rfmt>
    <rfmt sheetId="1" sqref="M61" start="0" length="0">
      <dxf>
        <numFmt numFmtId="26" formatCode="hh:mm:ss"/>
      </dxf>
    </rfmt>
    <rfmt sheetId="1" sqref="L62" start="0" length="0">
      <dxf>
        <numFmt numFmtId="26" formatCode="hh:mm:ss"/>
      </dxf>
    </rfmt>
    <rfmt sheetId="1" sqref="M62" start="0" length="0">
      <dxf>
        <numFmt numFmtId="26" formatCode="hh:mm:ss"/>
      </dxf>
    </rfmt>
    <rfmt sheetId="1" sqref="L63" start="0" length="0">
      <dxf>
        <numFmt numFmtId="26" formatCode="hh:mm:ss"/>
      </dxf>
    </rfmt>
    <rfmt sheetId="1" sqref="M63" start="0" length="0">
      <dxf>
        <numFmt numFmtId="26" formatCode="hh:mm:ss"/>
      </dxf>
    </rfmt>
    <rfmt sheetId="1" sqref="L66" start="0" length="0">
      <dxf>
        <numFmt numFmtId="26" formatCode="hh:mm:ss"/>
      </dxf>
    </rfmt>
    <rfmt sheetId="1" sqref="M66" start="0" length="0">
      <dxf>
        <numFmt numFmtId="26" formatCode="hh:mm:ss"/>
      </dxf>
    </rfmt>
    <rfmt sheetId="1" sqref="L67" start="0" length="0">
      <dxf>
        <numFmt numFmtId="26" formatCode="hh:mm:ss"/>
      </dxf>
    </rfmt>
    <rfmt sheetId="1" sqref="M67" start="0" length="0">
      <dxf>
        <numFmt numFmtId="26" formatCode="hh:mm:ss"/>
      </dxf>
    </rfmt>
    <rfmt sheetId="1" sqref="L68" start="0" length="0">
      <dxf>
        <numFmt numFmtId="26" formatCode="hh:mm:ss"/>
      </dxf>
    </rfmt>
    <rfmt sheetId="1" sqref="M68" start="0" length="0">
      <dxf>
        <numFmt numFmtId="26" formatCode="hh:mm:ss"/>
      </dxf>
    </rfmt>
    <rfmt sheetId="1" sqref="L69" start="0" length="0">
      <dxf>
        <numFmt numFmtId="26" formatCode="hh:mm:ss"/>
      </dxf>
    </rfmt>
    <rfmt sheetId="1" sqref="M69" start="0" length="0">
      <dxf>
        <numFmt numFmtId="26" formatCode="hh:mm:ss"/>
      </dxf>
    </rfmt>
    <rfmt sheetId="1" sqref="L70" start="0" length="0">
      <dxf>
        <numFmt numFmtId="26" formatCode="hh:mm:ss"/>
      </dxf>
    </rfmt>
    <rfmt sheetId="1" sqref="M70" start="0" length="0">
      <dxf>
        <numFmt numFmtId="26" formatCode="hh:mm:ss"/>
      </dxf>
    </rfmt>
    <rfmt sheetId="1" sqref="L71" start="0" length="0">
      <dxf>
        <numFmt numFmtId="26" formatCode="hh:mm:ss"/>
      </dxf>
    </rfmt>
    <rfmt sheetId="1" sqref="M71" start="0" length="0">
      <dxf>
        <numFmt numFmtId="26" formatCode="hh:mm:ss"/>
      </dxf>
    </rfmt>
    <rfmt sheetId="1" sqref="L72" start="0" length="0">
      <dxf>
        <numFmt numFmtId="26" formatCode="hh:mm:ss"/>
      </dxf>
    </rfmt>
    <rfmt sheetId="1" sqref="M72" start="0" length="0">
      <dxf>
        <numFmt numFmtId="26" formatCode="hh:mm:ss"/>
      </dxf>
    </rfmt>
    <rfmt sheetId="1" sqref="L73" start="0" length="0">
      <dxf>
        <numFmt numFmtId="26" formatCode="hh:mm:ss"/>
      </dxf>
    </rfmt>
    <rfmt sheetId="1" sqref="M73" start="0" length="0">
      <dxf>
        <numFmt numFmtId="26" formatCode="hh:mm:ss"/>
      </dxf>
    </rfmt>
    <rfmt sheetId="1" sqref="L74" start="0" length="0">
      <dxf>
        <numFmt numFmtId="26" formatCode="hh:mm:ss"/>
      </dxf>
    </rfmt>
    <rfmt sheetId="1" sqref="M74" start="0" length="0">
      <dxf>
        <numFmt numFmtId="26" formatCode="hh:mm:ss"/>
      </dxf>
    </rfmt>
    <rfmt sheetId="1" sqref="L75" start="0" length="0">
      <dxf>
        <numFmt numFmtId="26" formatCode="hh:mm:ss"/>
      </dxf>
    </rfmt>
    <rfmt sheetId="1" sqref="M75" start="0" length="0">
      <dxf>
        <numFmt numFmtId="26" formatCode="hh:mm:ss"/>
      </dxf>
    </rfmt>
    <rfmt sheetId="1" sqref="L76" start="0" length="0">
      <dxf>
        <numFmt numFmtId="26" formatCode="hh:mm:ss"/>
      </dxf>
    </rfmt>
    <rfmt sheetId="1" sqref="M76" start="0" length="0">
      <dxf>
        <numFmt numFmtId="26" formatCode="hh:mm:ss"/>
      </dxf>
    </rfmt>
    <rfmt sheetId="1" sqref="L77" start="0" length="0">
      <dxf>
        <numFmt numFmtId="26" formatCode="hh:mm:ss"/>
      </dxf>
    </rfmt>
    <rfmt sheetId="1" sqref="M77" start="0" length="0">
      <dxf>
        <numFmt numFmtId="26" formatCode="hh:mm:ss"/>
      </dxf>
    </rfmt>
    <rfmt sheetId="1" sqref="L78" start="0" length="0">
      <dxf>
        <numFmt numFmtId="26" formatCode="hh:mm:ss"/>
      </dxf>
    </rfmt>
    <rfmt sheetId="1" sqref="M78" start="0" length="0">
      <dxf>
        <numFmt numFmtId="26" formatCode="hh:mm:ss"/>
      </dxf>
    </rfmt>
    <rfmt sheetId="1" sqref="L79" start="0" length="0">
      <dxf>
        <numFmt numFmtId="26" formatCode="hh:mm:ss"/>
      </dxf>
    </rfmt>
    <rfmt sheetId="1" sqref="M79" start="0" length="0">
      <dxf>
        <numFmt numFmtId="26" formatCode="hh:mm:ss"/>
      </dxf>
    </rfmt>
    <rfmt sheetId="1" sqref="L81" start="0" length="0">
      <dxf>
        <numFmt numFmtId="26" formatCode="hh:mm:ss"/>
      </dxf>
    </rfmt>
    <rfmt sheetId="1" sqref="M81" start="0" length="0">
      <dxf>
        <numFmt numFmtId="26" formatCode="hh:mm:ss"/>
      </dxf>
    </rfmt>
    <rfmt sheetId="1" sqref="L82" start="0" length="0">
      <dxf>
        <numFmt numFmtId="26" formatCode="hh:mm:ss"/>
      </dxf>
    </rfmt>
    <rfmt sheetId="1" sqref="M82" start="0" length="0">
      <dxf>
        <numFmt numFmtId="26" formatCode="hh:mm:ss"/>
      </dxf>
    </rfmt>
    <rfmt sheetId="1" sqref="L83" start="0" length="0">
      <dxf>
        <numFmt numFmtId="26" formatCode="hh:mm:ss"/>
      </dxf>
    </rfmt>
    <rfmt sheetId="1" sqref="M83" start="0" length="0">
      <dxf>
        <numFmt numFmtId="26" formatCode="hh:mm:ss"/>
      </dxf>
    </rfmt>
    <rfmt sheetId="1" sqref="L84" start="0" length="0">
      <dxf>
        <numFmt numFmtId="26" formatCode="hh:mm:ss"/>
      </dxf>
    </rfmt>
    <rfmt sheetId="1" sqref="M84" start="0" length="0">
      <dxf>
        <numFmt numFmtId="26" formatCode="hh:mm:ss"/>
      </dxf>
    </rfmt>
    <rfmt sheetId="1" sqref="L85" start="0" length="0">
      <dxf>
        <numFmt numFmtId="26" formatCode="hh:mm:ss"/>
      </dxf>
    </rfmt>
    <rfmt sheetId="1" sqref="M85" start="0" length="0">
      <dxf>
        <numFmt numFmtId="26" formatCode="hh:mm:ss"/>
      </dxf>
    </rfmt>
    <rfmt sheetId="1" sqref="L86" start="0" length="0">
      <dxf>
        <numFmt numFmtId="26" formatCode="hh:mm:ss"/>
      </dxf>
    </rfmt>
    <rfmt sheetId="1" sqref="M86" start="0" length="0">
      <dxf>
        <numFmt numFmtId="26" formatCode="hh:mm:ss"/>
      </dxf>
    </rfmt>
    <rfmt sheetId="1" sqref="L87" start="0" length="0">
      <dxf>
        <numFmt numFmtId="26" formatCode="hh:mm:ss"/>
      </dxf>
    </rfmt>
    <rfmt sheetId="1" sqref="M87" start="0" length="0">
      <dxf>
        <numFmt numFmtId="26" formatCode="hh:mm:ss"/>
      </dxf>
    </rfmt>
    <rfmt sheetId="1" sqref="L88" start="0" length="0">
      <dxf>
        <numFmt numFmtId="26" formatCode="hh:mm:ss"/>
      </dxf>
    </rfmt>
    <rfmt sheetId="1" sqref="M88" start="0" length="0">
      <dxf>
        <numFmt numFmtId="26" formatCode="hh:mm:ss"/>
      </dxf>
    </rfmt>
    <rfmt sheetId="1" sqref="L89" start="0" length="0">
      <dxf>
        <numFmt numFmtId="26" formatCode="hh:mm:ss"/>
      </dxf>
    </rfmt>
    <rfmt sheetId="1" sqref="M89" start="0" length="0">
      <dxf>
        <numFmt numFmtId="26" formatCode="hh:mm:ss"/>
      </dxf>
    </rfmt>
    <rfmt sheetId="1" sqref="L90" start="0" length="0">
      <dxf>
        <numFmt numFmtId="26" formatCode="hh:mm:ss"/>
      </dxf>
    </rfmt>
    <rfmt sheetId="1" sqref="M90" start="0" length="0">
      <dxf>
        <numFmt numFmtId="26" formatCode="hh:mm:ss"/>
      </dxf>
    </rfmt>
    <rfmt sheetId="1" sqref="L91" start="0" length="0">
      <dxf>
        <numFmt numFmtId="26" formatCode="hh:mm:ss"/>
      </dxf>
    </rfmt>
    <rfmt sheetId="1" sqref="M91" start="0" length="0">
      <dxf>
        <numFmt numFmtId="26" formatCode="hh:mm:ss"/>
      </dxf>
    </rfmt>
    <rfmt sheetId="1" sqref="L92" start="0" length="0">
      <dxf>
        <numFmt numFmtId="26" formatCode="hh:mm:ss"/>
      </dxf>
    </rfmt>
    <rfmt sheetId="1" sqref="M92" start="0" length="0">
      <dxf>
        <numFmt numFmtId="26" formatCode="hh:mm:ss"/>
      </dxf>
    </rfmt>
    <rfmt sheetId="1" sqref="L93" start="0" length="0">
      <dxf>
        <numFmt numFmtId="26" formatCode="hh:mm:ss"/>
      </dxf>
    </rfmt>
    <rfmt sheetId="1" sqref="M93" start="0" length="0">
      <dxf>
        <numFmt numFmtId="26" formatCode="hh:mm:ss"/>
      </dxf>
    </rfmt>
    <rfmt sheetId="1" sqref="L95" start="0" length="0">
      <dxf>
        <numFmt numFmtId="26" formatCode="hh:mm:ss"/>
      </dxf>
    </rfmt>
    <rfmt sheetId="1" sqref="M95" start="0" length="0">
      <dxf>
        <numFmt numFmtId="26" formatCode="hh:mm:ss"/>
      </dxf>
    </rfmt>
    <rfmt sheetId="1" sqref="L96" start="0" length="0">
      <dxf>
        <numFmt numFmtId="26" formatCode="hh:mm:ss"/>
      </dxf>
    </rfmt>
    <rfmt sheetId="1" sqref="M96" start="0" length="0">
      <dxf>
        <numFmt numFmtId="26" formatCode="hh:mm:ss"/>
      </dxf>
    </rfmt>
    <rfmt sheetId="1" sqref="L97" start="0" length="0">
      <dxf>
        <numFmt numFmtId="26" formatCode="hh:mm:ss"/>
      </dxf>
    </rfmt>
    <rfmt sheetId="1" sqref="M97" start="0" length="0">
      <dxf>
        <numFmt numFmtId="26" formatCode="hh:mm:ss"/>
      </dxf>
    </rfmt>
    <rfmt sheetId="1" sqref="L102" start="0" length="0">
      <dxf>
        <numFmt numFmtId="26" formatCode="hh:mm:ss"/>
      </dxf>
    </rfmt>
    <rfmt sheetId="1" sqref="M102" start="0" length="0">
      <dxf>
        <numFmt numFmtId="26" formatCode="hh:mm:ss"/>
      </dxf>
    </rfmt>
    <rfmt sheetId="1" sqref="L103" start="0" length="0">
      <dxf>
        <numFmt numFmtId="26" formatCode="hh:mm:ss"/>
      </dxf>
    </rfmt>
    <rfmt sheetId="1" sqref="M103" start="0" length="0">
      <dxf>
        <numFmt numFmtId="26" formatCode="hh:mm:ss"/>
      </dxf>
    </rfmt>
    <rfmt sheetId="1" sqref="L104" start="0" length="0">
      <dxf>
        <numFmt numFmtId="26" formatCode="hh:mm:ss"/>
      </dxf>
    </rfmt>
    <rfmt sheetId="1" sqref="M104" start="0" length="0">
      <dxf>
        <numFmt numFmtId="26" formatCode="hh:mm:ss"/>
      </dxf>
    </rfmt>
    <rfmt sheetId="1" sqref="L106" start="0" length="0">
      <dxf>
        <numFmt numFmtId="26" formatCode="hh:mm:ss"/>
      </dxf>
    </rfmt>
    <rfmt sheetId="1" sqref="M106" start="0" length="0">
      <dxf>
        <numFmt numFmtId="26" formatCode="hh:mm:ss"/>
      </dxf>
    </rfmt>
    <rfmt sheetId="1" sqref="L107" start="0" length="0">
      <dxf>
        <numFmt numFmtId="26" formatCode="hh:mm:ss"/>
      </dxf>
    </rfmt>
    <rfmt sheetId="1" sqref="M107" start="0" length="0">
      <dxf>
        <numFmt numFmtId="26" formatCode="hh:mm:ss"/>
      </dxf>
    </rfmt>
    <rfmt sheetId="1" sqref="L109" start="0" length="0">
      <dxf>
        <numFmt numFmtId="26" formatCode="hh:mm:ss"/>
      </dxf>
    </rfmt>
    <rfmt sheetId="1" sqref="M109" start="0" length="0">
      <dxf>
        <numFmt numFmtId="26" formatCode="hh:mm:ss"/>
      </dxf>
    </rfmt>
    <rfmt sheetId="1" sqref="L110" start="0" length="0">
      <dxf>
        <numFmt numFmtId="26" formatCode="hh:mm:ss"/>
      </dxf>
    </rfmt>
    <rfmt sheetId="1" sqref="M110" start="0" length="0">
      <dxf>
        <numFmt numFmtId="26" formatCode="hh:mm:ss"/>
      </dxf>
    </rfmt>
    <rfmt sheetId="1" sqref="L111" start="0" length="0">
      <dxf>
        <numFmt numFmtId="26" formatCode="hh:mm:ss"/>
      </dxf>
    </rfmt>
    <rfmt sheetId="1" sqref="M111" start="0" length="0">
      <dxf>
        <numFmt numFmtId="26" formatCode="hh:mm:ss"/>
      </dxf>
    </rfmt>
    <rfmt sheetId="1" sqref="L112" start="0" length="0">
      <dxf>
        <numFmt numFmtId="26" formatCode="hh:mm:ss"/>
      </dxf>
    </rfmt>
    <rfmt sheetId="1" sqref="M112" start="0" length="0">
      <dxf>
        <numFmt numFmtId="26" formatCode="hh:mm:ss"/>
      </dxf>
    </rfmt>
    <rfmt sheetId="1" sqref="L113" start="0" length="0">
      <dxf>
        <numFmt numFmtId="26" formatCode="hh:mm:ss"/>
      </dxf>
    </rfmt>
    <rfmt sheetId="1" sqref="M113" start="0" length="0">
      <dxf>
        <numFmt numFmtId="26" formatCode="hh:mm:ss"/>
      </dxf>
    </rfmt>
    <rfmt sheetId="1" sqref="L114" start="0" length="0">
      <dxf>
        <numFmt numFmtId="26" formatCode="hh:mm:ss"/>
      </dxf>
    </rfmt>
    <rfmt sheetId="1" sqref="M114" start="0" length="0">
      <dxf>
        <numFmt numFmtId="26" formatCode="hh:mm:ss"/>
      </dxf>
    </rfmt>
    <rfmt sheetId="1" sqref="L115" start="0" length="0">
      <dxf>
        <numFmt numFmtId="26" formatCode="hh:mm:ss"/>
      </dxf>
    </rfmt>
    <rfmt sheetId="1" sqref="M115" start="0" length="0">
      <dxf>
        <numFmt numFmtId="26" formatCode="hh:mm:ss"/>
      </dxf>
    </rfmt>
    <rfmt sheetId="1" sqref="L116" start="0" length="0">
      <dxf>
        <numFmt numFmtId="26" formatCode="hh:mm:ss"/>
      </dxf>
    </rfmt>
    <rfmt sheetId="1" sqref="M116" start="0" length="0">
      <dxf>
        <numFmt numFmtId="26" formatCode="hh:mm:ss"/>
      </dxf>
    </rfmt>
    <rfmt sheetId="1" sqref="L117" start="0" length="0">
      <dxf>
        <numFmt numFmtId="26" formatCode="hh:mm:ss"/>
      </dxf>
    </rfmt>
    <rfmt sheetId="1" sqref="M117" start="0" length="0">
      <dxf>
        <numFmt numFmtId="26" formatCode="hh:mm:ss"/>
      </dxf>
    </rfmt>
    <rfmt sheetId="1" sqref="L118" start="0" length="0">
      <dxf>
        <numFmt numFmtId="26" formatCode="hh:mm:ss"/>
      </dxf>
    </rfmt>
    <rfmt sheetId="1" sqref="M118" start="0" length="0">
      <dxf>
        <numFmt numFmtId="26" formatCode="hh:mm:ss"/>
      </dxf>
    </rfmt>
    <rfmt sheetId="1" sqref="L119" start="0" length="0">
      <dxf>
        <numFmt numFmtId="26" formatCode="hh:mm:ss"/>
      </dxf>
    </rfmt>
    <rfmt sheetId="1" sqref="M119" start="0" length="0">
      <dxf>
        <numFmt numFmtId="26" formatCode="hh:mm:ss"/>
      </dxf>
    </rfmt>
    <rfmt sheetId="1" sqref="L120" start="0" length="0">
      <dxf>
        <numFmt numFmtId="26" formatCode="hh:mm:ss"/>
      </dxf>
    </rfmt>
    <rfmt sheetId="1" sqref="M120" start="0" length="0">
      <dxf>
        <numFmt numFmtId="26" formatCode="hh:mm:ss"/>
      </dxf>
    </rfmt>
    <rfmt sheetId="1" sqref="L121" start="0" length="0">
      <dxf>
        <numFmt numFmtId="26" formatCode="hh:mm:ss"/>
      </dxf>
    </rfmt>
    <rfmt sheetId="1" sqref="M121" start="0" length="0">
      <dxf>
        <numFmt numFmtId="26" formatCode="hh:mm:ss"/>
      </dxf>
    </rfmt>
    <rfmt sheetId="1" sqref="L122" start="0" length="0">
      <dxf>
        <numFmt numFmtId="26" formatCode="hh:mm:ss"/>
      </dxf>
    </rfmt>
    <rfmt sheetId="1" sqref="M122" start="0" length="0">
      <dxf>
        <numFmt numFmtId="26" formatCode="hh:mm:ss"/>
      </dxf>
    </rfmt>
    <rfmt sheetId="1" sqref="L123" start="0" length="0">
      <dxf>
        <numFmt numFmtId="26" formatCode="hh:mm:ss"/>
      </dxf>
    </rfmt>
    <rfmt sheetId="1" sqref="M123" start="0" length="0">
      <dxf>
        <numFmt numFmtId="26" formatCode="hh:mm:ss"/>
      </dxf>
    </rfmt>
    <rfmt sheetId="1" sqref="L124" start="0" length="0">
      <dxf>
        <numFmt numFmtId="26" formatCode="hh:mm:ss"/>
      </dxf>
    </rfmt>
    <rfmt sheetId="1" sqref="M124" start="0" length="0">
      <dxf>
        <numFmt numFmtId="26" formatCode="hh:mm:ss"/>
      </dxf>
    </rfmt>
    <rfmt sheetId="1" sqref="L125" start="0" length="0">
      <dxf>
        <numFmt numFmtId="26" formatCode="hh:mm:ss"/>
      </dxf>
    </rfmt>
    <rfmt sheetId="1" sqref="M125" start="0" length="0">
      <dxf>
        <numFmt numFmtId="26" formatCode="hh:mm:ss"/>
      </dxf>
    </rfmt>
    <rfmt sheetId="1" sqref="L126" start="0" length="0">
      <dxf>
        <numFmt numFmtId="26" formatCode="hh:mm:ss"/>
      </dxf>
    </rfmt>
    <rfmt sheetId="1" sqref="M126" start="0" length="0">
      <dxf>
        <numFmt numFmtId="26" formatCode="hh:mm:ss"/>
      </dxf>
    </rfmt>
    <rfmt sheetId="1" sqref="L131" start="0" length="0">
      <dxf>
        <numFmt numFmtId="26" formatCode="hh:mm:ss"/>
      </dxf>
    </rfmt>
    <rfmt sheetId="1" sqref="M131" start="0" length="0">
      <dxf>
        <numFmt numFmtId="26" formatCode="hh:mm:ss"/>
      </dxf>
    </rfmt>
    <rfmt sheetId="1" sqref="L132" start="0" length="0">
      <dxf>
        <numFmt numFmtId="26" formatCode="hh:mm:ss"/>
      </dxf>
    </rfmt>
    <rfmt sheetId="1" sqref="M132" start="0" length="0">
      <dxf>
        <numFmt numFmtId="26" formatCode="hh:mm:ss"/>
      </dxf>
    </rfmt>
    <rfmt sheetId="1" sqref="L133" start="0" length="0">
      <dxf>
        <numFmt numFmtId="26" formatCode="hh:mm:ss"/>
      </dxf>
    </rfmt>
    <rfmt sheetId="1" sqref="M133" start="0" length="0">
      <dxf>
        <numFmt numFmtId="26" formatCode="hh:mm:ss"/>
      </dxf>
    </rfmt>
    <rfmt sheetId="1" sqref="L134" start="0" length="0">
      <dxf>
        <numFmt numFmtId="164" formatCode="[$-F400]h:mm:ss\ AM/PM"/>
      </dxf>
    </rfmt>
    <rfmt sheetId="1" sqref="M134" start="0" length="0">
      <dxf>
        <numFmt numFmtId="164" formatCode="[$-F400]h:mm:ss\ AM/PM"/>
      </dxf>
    </rfmt>
    <rfmt sheetId="1" sqref="L135" start="0" length="0">
      <dxf>
        <numFmt numFmtId="26" formatCode="hh:mm:ss"/>
      </dxf>
    </rfmt>
    <rfmt sheetId="1" sqref="M135" start="0" length="0">
      <dxf>
        <numFmt numFmtId="26" formatCode="hh:mm:ss"/>
      </dxf>
    </rfmt>
    <rfmt sheetId="1" sqref="L136" start="0" length="0">
      <dxf>
        <font>
          <sz val="12"/>
          <color rgb="FF000000"/>
          <name val="Calibri"/>
          <family val="2"/>
          <scheme val="minor"/>
        </font>
      </dxf>
    </rfmt>
    <rfmt sheetId="1" sqref="M136" start="0" length="0">
      <dxf>
        <font>
          <sz val="12"/>
          <color rgb="FF000000"/>
          <name val="Calibri"/>
          <family val="2"/>
          <scheme val="minor"/>
        </font>
      </dxf>
    </rfmt>
    <rfmt sheetId="1" sqref="L137" start="0" length="0">
      <dxf>
        <numFmt numFmtId="26" formatCode="hh:mm:ss"/>
      </dxf>
    </rfmt>
    <rfmt sheetId="1" sqref="M137" start="0" length="0">
      <dxf>
        <numFmt numFmtId="26" formatCode="hh:mm:ss"/>
      </dxf>
    </rfmt>
    <rfmt sheetId="1" sqref="L138" start="0" length="0">
      <dxf>
        <numFmt numFmtId="26" formatCode="hh:mm:ss"/>
      </dxf>
    </rfmt>
    <rfmt sheetId="1" sqref="M138" start="0" length="0">
      <dxf>
        <numFmt numFmtId="26" formatCode="hh:mm:ss"/>
      </dxf>
    </rfmt>
    <rfmt sheetId="1" sqref="L139" start="0" length="0">
      <dxf>
        <numFmt numFmtId="26" formatCode="hh:mm:ss"/>
      </dxf>
    </rfmt>
    <rfmt sheetId="1" sqref="M139" start="0" length="0">
      <dxf>
        <numFmt numFmtId="26" formatCode="hh:mm:ss"/>
      </dxf>
    </rfmt>
    <rfmt sheetId="1" sqref="L140" start="0" length="0">
      <dxf>
        <numFmt numFmtId="26" formatCode="hh:mm:ss"/>
      </dxf>
    </rfmt>
    <rfmt sheetId="1" sqref="M140" start="0" length="0">
      <dxf>
        <numFmt numFmtId="26" formatCode="hh:mm:ss"/>
      </dxf>
    </rfmt>
    <rfmt sheetId="1" sqref="L141" start="0" length="0">
      <dxf>
        <numFmt numFmtId="26" formatCode="hh:mm:ss"/>
      </dxf>
    </rfmt>
    <rfmt sheetId="1" sqref="M141" start="0" length="0">
      <dxf>
        <numFmt numFmtId="26" formatCode="hh:mm:ss"/>
      </dxf>
    </rfmt>
    <rfmt sheetId="1" sqref="L142" start="0" length="0">
      <dxf>
        <numFmt numFmtId="26" formatCode="hh:mm:ss"/>
      </dxf>
    </rfmt>
    <rfmt sheetId="1" sqref="M142" start="0" length="0">
      <dxf>
        <numFmt numFmtId="26" formatCode="hh:mm:ss"/>
      </dxf>
    </rfmt>
    <rfmt sheetId="1" sqref="L143" start="0" length="0">
      <dxf>
        <numFmt numFmtId="26" formatCode="hh:mm:ss"/>
      </dxf>
    </rfmt>
    <rfmt sheetId="1" sqref="M143" start="0" length="0">
      <dxf>
        <numFmt numFmtId="26" formatCode="hh:mm:ss"/>
      </dxf>
    </rfmt>
    <rfmt sheetId="1" sqref="L144" start="0" length="0">
      <dxf>
        <numFmt numFmtId="26" formatCode="hh:mm:ss"/>
      </dxf>
    </rfmt>
    <rfmt sheetId="1" sqref="M144" start="0" length="0">
      <dxf>
        <numFmt numFmtId="26" formatCode="hh:mm:ss"/>
      </dxf>
    </rfmt>
    <rfmt sheetId="1" sqref="L145" start="0" length="0">
      <dxf>
        <numFmt numFmtId="26" formatCode="hh:mm:ss"/>
      </dxf>
    </rfmt>
    <rfmt sheetId="1" sqref="M145" start="0" length="0">
      <dxf>
        <numFmt numFmtId="26" formatCode="hh:mm:ss"/>
      </dxf>
    </rfmt>
    <rfmt sheetId="1" sqref="L146" start="0" length="0">
      <dxf>
        <numFmt numFmtId="26" formatCode="hh:mm:ss"/>
      </dxf>
    </rfmt>
    <rfmt sheetId="1" sqref="M146" start="0" length="0">
      <dxf>
        <numFmt numFmtId="26" formatCode="hh:mm:ss"/>
      </dxf>
    </rfmt>
    <rfmt sheetId="1" sqref="L147" start="0" length="0">
      <dxf>
        <numFmt numFmtId="26" formatCode="hh:mm:ss"/>
      </dxf>
    </rfmt>
    <rfmt sheetId="1" sqref="M147" start="0" length="0">
      <dxf>
        <numFmt numFmtId="26" formatCode="hh:mm:ss"/>
      </dxf>
    </rfmt>
    <rfmt sheetId="1" sqref="L148" start="0" length="0">
      <dxf>
        <numFmt numFmtId="26" formatCode="hh:mm:ss"/>
      </dxf>
    </rfmt>
    <rfmt sheetId="1" sqref="M148" start="0" length="0">
      <dxf>
        <numFmt numFmtId="26" formatCode="hh:mm:ss"/>
      </dxf>
    </rfmt>
    <rfmt sheetId="1" sqref="L149" start="0" length="0">
      <dxf>
        <numFmt numFmtId="26" formatCode="hh:mm:ss"/>
      </dxf>
    </rfmt>
    <rfmt sheetId="1" sqref="M149" start="0" length="0">
      <dxf>
        <numFmt numFmtId="26" formatCode="hh:mm:ss"/>
      </dxf>
    </rfmt>
    <rfmt sheetId="1" sqref="L150" start="0" length="0">
      <dxf>
        <numFmt numFmtId="26" formatCode="hh:mm:ss"/>
      </dxf>
    </rfmt>
    <rfmt sheetId="1" sqref="M150" start="0" length="0">
      <dxf>
        <numFmt numFmtId="26" formatCode="hh:mm:ss"/>
      </dxf>
    </rfmt>
    <rfmt sheetId="1" sqref="L151" start="0" length="0">
      <dxf>
        <numFmt numFmtId="26" formatCode="hh:mm:ss"/>
      </dxf>
    </rfmt>
    <rfmt sheetId="1" sqref="M151" start="0" length="0">
      <dxf>
        <numFmt numFmtId="26" formatCode="hh:mm:ss"/>
      </dxf>
    </rfmt>
    <rfmt sheetId="1" sqref="L152" start="0" length="0">
      <dxf>
        <numFmt numFmtId="26" formatCode="hh:mm:ss"/>
      </dxf>
    </rfmt>
    <rfmt sheetId="1" sqref="M152" start="0" length="0">
      <dxf>
        <numFmt numFmtId="26" formatCode="hh:mm:ss"/>
      </dxf>
    </rfmt>
    <rfmt sheetId="1" sqref="L153" start="0" length="0">
      <dxf>
        <numFmt numFmtId="26" formatCode="hh:mm:ss"/>
      </dxf>
    </rfmt>
    <rfmt sheetId="1" sqref="M153" start="0" length="0">
      <dxf>
        <numFmt numFmtId="26" formatCode="hh:mm:ss"/>
      </dxf>
    </rfmt>
    <rfmt sheetId="1" sqref="L154" start="0" length="0">
      <dxf>
        <numFmt numFmtId="26" formatCode="hh:mm:ss"/>
      </dxf>
    </rfmt>
    <rfmt sheetId="1" sqref="M154" start="0" length="0">
      <dxf>
        <numFmt numFmtId="26" formatCode="hh:mm:ss"/>
      </dxf>
    </rfmt>
    <rfmt sheetId="1" sqref="L155" start="0" length="0">
      <dxf>
        <numFmt numFmtId="26" formatCode="hh:mm:ss"/>
      </dxf>
    </rfmt>
    <rfmt sheetId="1" sqref="M155" start="0" length="0">
      <dxf>
        <numFmt numFmtId="26" formatCode="hh:mm:ss"/>
      </dxf>
    </rfmt>
    <rfmt sheetId="1" sqref="L156" start="0" length="0">
      <dxf>
        <numFmt numFmtId="26" formatCode="hh:mm:ss"/>
      </dxf>
    </rfmt>
    <rfmt sheetId="1" sqref="M156" start="0" length="0">
      <dxf>
        <numFmt numFmtId="26" formatCode="hh:mm:ss"/>
      </dxf>
    </rfmt>
    <rfmt sheetId="1" sqref="L157" start="0" length="0">
      <dxf>
        <numFmt numFmtId="26" formatCode="hh:mm:ss"/>
      </dxf>
    </rfmt>
    <rfmt sheetId="1" sqref="M157" start="0" length="0">
      <dxf>
        <numFmt numFmtId="26" formatCode="hh:mm:ss"/>
      </dxf>
    </rfmt>
    <rfmt sheetId="1" sqref="L158" start="0" length="0">
      <dxf>
        <numFmt numFmtId="26" formatCode="hh:mm:ss"/>
      </dxf>
    </rfmt>
    <rfmt sheetId="1" sqref="M158" start="0" length="0">
      <dxf>
        <numFmt numFmtId="26" formatCode="hh:mm:ss"/>
      </dxf>
    </rfmt>
    <rfmt sheetId="1" sqref="L159" start="0" length="0">
      <dxf>
        <numFmt numFmtId="26" formatCode="hh:mm:ss"/>
      </dxf>
    </rfmt>
    <rfmt sheetId="1" sqref="M159" start="0" length="0">
      <dxf>
        <numFmt numFmtId="26" formatCode="hh:mm:ss"/>
      </dxf>
    </rfmt>
    <rfmt sheetId="1" sqref="L160" start="0" length="0">
      <dxf>
        <numFmt numFmtId="26" formatCode="hh:mm:ss"/>
      </dxf>
    </rfmt>
    <rfmt sheetId="1" sqref="M160" start="0" length="0">
      <dxf>
        <numFmt numFmtId="26" formatCode="hh:mm:ss"/>
      </dxf>
    </rfmt>
    <rfmt sheetId="1" sqref="L161" start="0" length="0">
      <dxf>
        <numFmt numFmtId="26" formatCode="hh:mm:ss"/>
      </dxf>
    </rfmt>
    <rfmt sheetId="1" sqref="M161" start="0" length="0">
      <dxf>
        <numFmt numFmtId="26" formatCode="hh:mm:ss"/>
      </dxf>
    </rfmt>
    <rfmt sheetId="1" sqref="L162" start="0" length="0">
      <dxf>
        <numFmt numFmtId="26" formatCode="hh:mm:ss"/>
      </dxf>
    </rfmt>
    <rfmt sheetId="1" sqref="M162" start="0" length="0">
      <dxf>
        <numFmt numFmtId="26" formatCode="hh:mm:ss"/>
      </dxf>
    </rfmt>
    <rfmt sheetId="1" sqref="L163" start="0" length="0">
      <dxf>
        <numFmt numFmtId="26" formatCode="hh:mm:ss"/>
      </dxf>
    </rfmt>
    <rfmt sheetId="1" sqref="M163" start="0" length="0">
      <dxf>
        <numFmt numFmtId="26" formatCode="hh:mm:ss"/>
      </dxf>
    </rfmt>
    <rfmt sheetId="1" sqref="L164" start="0" length="0">
      <dxf>
        <numFmt numFmtId="26" formatCode="hh:mm:ss"/>
      </dxf>
    </rfmt>
    <rfmt sheetId="1" sqref="M164" start="0" length="0">
      <dxf>
        <numFmt numFmtId="26" formatCode="hh:mm:ss"/>
      </dxf>
    </rfmt>
    <rfmt sheetId="1" sqref="L165" start="0" length="0">
      <dxf>
        <numFmt numFmtId="26" formatCode="hh:mm:ss"/>
      </dxf>
    </rfmt>
    <rfmt sheetId="1" sqref="M165" start="0" length="0">
      <dxf>
        <numFmt numFmtId="26" formatCode="hh:mm:ss"/>
      </dxf>
    </rfmt>
    <rfmt sheetId="1" sqref="L166" start="0" length="0">
      <dxf>
        <numFmt numFmtId="26" formatCode="hh:mm:ss"/>
      </dxf>
    </rfmt>
    <rfmt sheetId="1" sqref="M166" start="0" length="0">
      <dxf>
        <numFmt numFmtId="26" formatCode="hh:mm:ss"/>
      </dxf>
    </rfmt>
    <rfmt sheetId="1" sqref="L167" start="0" length="0">
      <dxf>
        <numFmt numFmtId="26" formatCode="hh:mm:ss"/>
      </dxf>
    </rfmt>
    <rfmt sheetId="1" sqref="M167" start="0" length="0">
      <dxf>
        <numFmt numFmtId="26" formatCode="hh:mm:ss"/>
      </dxf>
    </rfmt>
    <rfmt sheetId="1" sqref="L168" start="0" length="0">
      <dxf>
        <numFmt numFmtId="26" formatCode="hh:mm:ss"/>
      </dxf>
    </rfmt>
    <rfmt sheetId="1" sqref="M168" start="0" length="0">
      <dxf>
        <numFmt numFmtId="26" formatCode="hh:mm:ss"/>
      </dxf>
    </rfmt>
    <rfmt sheetId="1" sqref="L169" start="0" length="0">
      <dxf>
        <numFmt numFmtId="26" formatCode="hh:mm:ss"/>
      </dxf>
    </rfmt>
    <rfmt sheetId="1" sqref="M169" start="0" length="0">
      <dxf>
        <numFmt numFmtId="26" formatCode="hh:mm:ss"/>
      </dxf>
    </rfmt>
    <rfmt sheetId="1" sqref="L170" start="0" length="0">
      <dxf>
        <numFmt numFmtId="26" formatCode="hh:mm:ss"/>
      </dxf>
    </rfmt>
    <rfmt sheetId="1" sqref="M170" start="0" length="0">
      <dxf>
        <numFmt numFmtId="26" formatCode="hh:mm:ss"/>
      </dxf>
    </rfmt>
    <rfmt sheetId="1" sqref="L171" start="0" length="0">
      <dxf>
        <numFmt numFmtId="26" formatCode="hh:mm:ss"/>
      </dxf>
    </rfmt>
    <rfmt sheetId="1" sqref="M171" start="0" length="0">
      <dxf>
        <numFmt numFmtId="26" formatCode="hh:mm:ss"/>
      </dxf>
    </rfmt>
    <rfmt sheetId="1" sqref="L172" start="0" length="0">
      <dxf>
        <numFmt numFmtId="26" formatCode="hh:mm:ss"/>
      </dxf>
    </rfmt>
    <rfmt sheetId="1" sqref="M172" start="0" length="0">
      <dxf>
        <numFmt numFmtId="26" formatCode="hh:mm:ss"/>
      </dxf>
    </rfmt>
    <rfmt sheetId="1" sqref="L173" start="0" length="0">
      <dxf>
        <numFmt numFmtId="26" formatCode="hh:mm:ss"/>
      </dxf>
    </rfmt>
    <rfmt sheetId="1" sqref="M173" start="0" length="0">
      <dxf>
        <numFmt numFmtId="26" formatCode="hh:mm:ss"/>
      </dxf>
    </rfmt>
    <rfmt sheetId="1" sqref="L174" start="0" length="0">
      <dxf>
        <numFmt numFmtId="26" formatCode="hh:mm:ss"/>
      </dxf>
    </rfmt>
    <rfmt sheetId="1" sqref="M174" start="0" length="0">
      <dxf>
        <numFmt numFmtId="26" formatCode="hh:mm:ss"/>
      </dxf>
    </rfmt>
    <rfmt sheetId="1" sqref="L175" start="0" length="0">
      <dxf>
        <numFmt numFmtId="26" formatCode="hh:mm:ss"/>
      </dxf>
    </rfmt>
    <rfmt sheetId="1" sqref="M175" start="0" length="0">
      <dxf>
        <numFmt numFmtId="26" formatCode="hh:mm:ss"/>
      </dxf>
    </rfmt>
    <rfmt sheetId="1" sqref="L176" start="0" length="0">
      <dxf>
        <numFmt numFmtId="164" formatCode="[$-F400]h:mm:ss\ AM/PM"/>
      </dxf>
    </rfmt>
    <rfmt sheetId="1" sqref="M176" start="0" length="0">
      <dxf>
        <numFmt numFmtId="164" formatCode="[$-F400]h:mm:ss\ AM/PM"/>
      </dxf>
    </rfmt>
    <rfmt sheetId="1" sqref="L177" start="0" length="0">
      <dxf>
        <numFmt numFmtId="164" formatCode="[$-F400]h:mm:ss\ AM/PM"/>
      </dxf>
    </rfmt>
    <rfmt sheetId="1" sqref="M177" start="0" length="0">
      <dxf>
        <numFmt numFmtId="164" formatCode="[$-F400]h:mm:ss\ AM/PM"/>
      </dxf>
    </rfmt>
    <rfmt sheetId="1" sqref="L178" start="0" length="0">
      <dxf>
        <numFmt numFmtId="26" formatCode="hh:mm:ss"/>
      </dxf>
    </rfmt>
    <rfmt sheetId="1" sqref="M178" start="0" length="0">
      <dxf>
        <numFmt numFmtId="26" formatCode="hh:mm:ss"/>
      </dxf>
    </rfmt>
    <rfmt sheetId="1" sqref="L179" start="0" length="0">
      <dxf>
        <numFmt numFmtId="26" formatCode="hh:mm:ss"/>
      </dxf>
    </rfmt>
    <rfmt sheetId="1" sqref="M179" start="0" length="0">
      <dxf>
        <numFmt numFmtId="26" formatCode="hh:mm:ss"/>
      </dxf>
    </rfmt>
    <rfmt sheetId="1" sqref="L180" start="0" length="0">
      <dxf>
        <numFmt numFmtId="26" formatCode="hh:mm:ss"/>
      </dxf>
    </rfmt>
    <rfmt sheetId="1" sqref="M180" start="0" length="0">
      <dxf>
        <numFmt numFmtId="26" formatCode="hh:mm:ss"/>
      </dxf>
    </rfmt>
    <rfmt sheetId="1" sqref="L181" start="0" length="0">
      <dxf>
        <numFmt numFmtId="26" formatCode="hh:mm:ss"/>
      </dxf>
    </rfmt>
    <rfmt sheetId="1" sqref="M181" start="0" length="0">
      <dxf>
        <numFmt numFmtId="26" formatCode="hh:mm:ss"/>
      </dxf>
    </rfmt>
    <rfmt sheetId="1" sqref="L182" start="0" length="0">
      <dxf>
        <numFmt numFmtId="26" formatCode="hh:mm:ss"/>
      </dxf>
    </rfmt>
    <rfmt sheetId="1" sqref="M182" start="0" length="0">
      <dxf>
        <numFmt numFmtId="26" formatCode="hh:mm:ss"/>
      </dxf>
    </rfmt>
    <rfmt sheetId="1" sqref="L183" start="0" length="0">
      <dxf>
        <numFmt numFmtId="26" formatCode="hh:mm:ss"/>
      </dxf>
    </rfmt>
    <rfmt sheetId="1" sqref="M183" start="0" length="0">
      <dxf>
        <numFmt numFmtId="26" formatCode="hh:mm:ss"/>
      </dxf>
    </rfmt>
    <rfmt sheetId="1" sqref="L184" start="0" length="0">
      <dxf>
        <numFmt numFmtId="26" formatCode="hh:mm:ss"/>
      </dxf>
    </rfmt>
    <rfmt sheetId="1" sqref="M184" start="0" length="0">
      <dxf>
        <numFmt numFmtId="26" formatCode="hh:mm:ss"/>
      </dxf>
    </rfmt>
    <rfmt sheetId="1" sqref="L185" start="0" length="0">
      <dxf>
        <numFmt numFmtId="26" formatCode="hh:mm:ss"/>
      </dxf>
    </rfmt>
    <rfmt sheetId="1" sqref="M185" start="0" length="0">
      <dxf>
        <numFmt numFmtId="26" formatCode="hh:mm:ss"/>
      </dxf>
    </rfmt>
    <rfmt sheetId="1" sqref="L186" start="0" length="0">
      <dxf>
        <numFmt numFmtId="26" formatCode="hh:mm:ss"/>
      </dxf>
    </rfmt>
    <rfmt sheetId="1" sqref="M186" start="0" length="0">
      <dxf>
        <numFmt numFmtId="26" formatCode="hh:mm:ss"/>
      </dxf>
    </rfmt>
    <rfmt sheetId="1" sqref="L187" start="0" length="0">
      <dxf>
        <numFmt numFmtId="26" formatCode="hh:mm:ss"/>
      </dxf>
    </rfmt>
    <rfmt sheetId="1" sqref="M187" start="0" length="0">
      <dxf>
        <numFmt numFmtId="26" formatCode="hh:mm:ss"/>
      </dxf>
    </rfmt>
    <rfmt sheetId="1" sqref="L188" start="0" length="0">
      <dxf>
        <numFmt numFmtId="26" formatCode="hh:mm:ss"/>
      </dxf>
    </rfmt>
    <rfmt sheetId="1" sqref="M188" start="0" length="0">
      <dxf>
        <numFmt numFmtId="26" formatCode="hh:mm:ss"/>
      </dxf>
    </rfmt>
    <rfmt sheetId="1" sqref="L189" start="0" length="0">
      <dxf>
        <numFmt numFmtId="26" formatCode="hh:mm:ss"/>
      </dxf>
    </rfmt>
    <rfmt sheetId="1" sqref="M189" start="0" length="0">
      <dxf>
        <numFmt numFmtId="26" formatCode="hh:mm:ss"/>
      </dxf>
    </rfmt>
    <rfmt sheetId="1" sqref="L190" start="0" length="0">
      <dxf>
        <numFmt numFmtId="26" formatCode="hh:mm:ss"/>
      </dxf>
    </rfmt>
    <rfmt sheetId="1" sqref="M190" start="0" length="0">
      <dxf>
        <numFmt numFmtId="26" formatCode="hh:mm:ss"/>
      </dxf>
    </rfmt>
    <rfmt sheetId="1" sqref="L191" start="0" length="0">
      <dxf>
        <numFmt numFmtId="26" formatCode="hh:mm:ss"/>
      </dxf>
    </rfmt>
    <rfmt sheetId="1" sqref="M191" start="0" length="0">
      <dxf>
        <numFmt numFmtId="26" formatCode="hh:mm:ss"/>
      </dxf>
    </rfmt>
    <rfmt sheetId="1" sqref="L192" start="0" length="0">
      <dxf>
        <numFmt numFmtId="26" formatCode="hh:mm:ss"/>
      </dxf>
    </rfmt>
    <rfmt sheetId="1" sqref="M192" start="0" length="0">
      <dxf>
        <numFmt numFmtId="26" formatCode="hh:mm:ss"/>
      </dxf>
    </rfmt>
    <rfmt sheetId="1" sqref="L193" start="0" length="0">
      <dxf>
        <numFmt numFmtId="26" formatCode="hh:mm:ss"/>
      </dxf>
    </rfmt>
    <rfmt sheetId="1" sqref="M193" start="0" length="0">
      <dxf>
        <numFmt numFmtId="26" formatCode="hh:mm:ss"/>
      </dxf>
    </rfmt>
    <rfmt sheetId="1" sqref="L194" start="0" length="0">
      <dxf>
        <numFmt numFmtId="26" formatCode="hh:mm:ss"/>
      </dxf>
    </rfmt>
    <rfmt sheetId="1" sqref="M194" start="0" length="0">
      <dxf>
        <numFmt numFmtId="26" formatCode="hh:mm:ss"/>
      </dxf>
    </rfmt>
    <rfmt sheetId="1" sqref="L195" start="0" length="0">
      <dxf>
        <numFmt numFmtId="26" formatCode="hh:mm:ss"/>
      </dxf>
    </rfmt>
    <rfmt sheetId="1" sqref="M195" start="0" length="0">
      <dxf>
        <numFmt numFmtId="26" formatCode="hh:mm:ss"/>
      </dxf>
    </rfmt>
    <rfmt sheetId="1" sqref="L196" start="0" length="0">
      <dxf>
        <numFmt numFmtId="26" formatCode="hh:mm:ss"/>
      </dxf>
    </rfmt>
    <rfmt sheetId="1" sqref="M196" start="0" length="0">
      <dxf>
        <numFmt numFmtId="26" formatCode="hh:mm:ss"/>
      </dxf>
    </rfmt>
    <rfmt sheetId="1" sqref="L197" start="0" length="0">
      <dxf>
        <numFmt numFmtId="26" formatCode="hh:mm:ss"/>
      </dxf>
    </rfmt>
    <rfmt sheetId="1" sqref="M197" start="0" length="0">
      <dxf>
        <numFmt numFmtId="26" formatCode="hh:mm:ss"/>
      </dxf>
    </rfmt>
    <rfmt sheetId="1" sqref="L198" start="0" length="0">
      <dxf>
        <numFmt numFmtId="26" formatCode="hh:mm:ss"/>
      </dxf>
    </rfmt>
    <rfmt sheetId="1" sqref="M198" start="0" length="0">
      <dxf>
        <numFmt numFmtId="26" formatCode="hh:mm:ss"/>
      </dxf>
    </rfmt>
    <rfmt sheetId="1" sqref="L199" start="0" length="0">
      <dxf>
        <numFmt numFmtId="26" formatCode="hh:mm:ss"/>
      </dxf>
    </rfmt>
    <rfmt sheetId="1" sqref="M199" start="0" length="0">
      <dxf>
        <numFmt numFmtId="26" formatCode="hh:mm:ss"/>
      </dxf>
    </rfmt>
    <rfmt sheetId="1" sqref="L200" start="0" length="0">
      <dxf>
        <numFmt numFmtId="26" formatCode="hh:mm:ss"/>
      </dxf>
    </rfmt>
    <rfmt sheetId="1" sqref="M200" start="0" length="0">
      <dxf>
        <numFmt numFmtId="26" formatCode="hh:mm:ss"/>
      </dxf>
    </rfmt>
    <rfmt sheetId="1" sqref="L201" start="0" length="0">
      <dxf>
        <numFmt numFmtId="26" formatCode="hh:mm:ss"/>
      </dxf>
    </rfmt>
    <rfmt sheetId="1" sqref="M201" start="0" length="0">
      <dxf>
        <numFmt numFmtId="26" formatCode="hh:mm:ss"/>
      </dxf>
    </rfmt>
    <rfmt sheetId="1" sqref="L202" start="0" length="0">
      <dxf>
        <numFmt numFmtId="26" formatCode="hh:mm:ss"/>
      </dxf>
    </rfmt>
    <rfmt sheetId="1" sqref="M202" start="0" length="0">
      <dxf>
        <numFmt numFmtId="26" formatCode="hh:mm:ss"/>
      </dxf>
    </rfmt>
    <rfmt sheetId="1" sqref="L203" start="0" length="0">
      <dxf>
        <numFmt numFmtId="26" formatCode="hh:mm:ss"/>
      </dxf>
    </rfmt>
    <rfmt sheetId="1" sqref="M203" start="0" length="0">
      <dxf>
        <numFmt numFmtId="26" formatCode="hh:mm:ss"/>
      </dxf>
    </rfmt>
    <rfmt sheetId="1" sqref="L205" start="0" length="0">
      <dxf>
        <numFmt numFmtId="26" formatCode="hh:mm:ss"/>
      </dxf>
    </rfmt>
    <rfmt sheetId="1" sqref="M205" start="0" length="0">
      <dxf>
        <numFmt numFmtId="26" formatCode="hh:mm:ss"/>
      </dxf>
    </rfmt>
    <rfmt sheetId="1" sqref="L206" start="0" length="0">
      <dxf>
        <numFmt numFmtId="26" formatCode="hh:mm:ss"/>
      </dxf>
    </rfmt>
    <rfmt sheetId="1" sqref="M206" start="0" length="0">
      <dxf>
        <numFmt numFmtId="26" formatCode="hh:mm:ss"/>
      </dxf>
    </rfmt>
    <rfmt sheetId="1" sqref="L207" start="0" length="0">
      <dxf>
        <numFmt numFmtId="26" formatCode="hh:mm:ss"/>
      </dxf>
    </rfmt>
    <rfmt sheetId="1" sqref="M207" start="0" length="0">
      <dxf>
        <numFmt numFmtId="26" formatCode="hh:mm:ss"/>
      </dxf>
    </rfmt>
    <rfmt sheetId="1" sqref="L208" start="0" length="0">
      <dxf>
        <numFmt numFmtId="26" formatCode="hh:mm:ss"/>
      </dxf>
    </rfmt>
    <rfmt sheetId="1" sqref="M208" start="0" length="0">
      <dxf>
        <numFmt numFmtId="26" formatCode="hh:mm:ss"/>
      </dxf>
    </rfmt>
    <rfmt sheetId="1" sqref="L209" start="0" length="0">
      <dxf>
        <numFmt numFmtId="26" formatCode="hh:mm:ss"/>
      </dxf>
    </rfmt>
    <rfmt sheetId="1" sqref="M209" start="0" length="0">
      <dxf>
        <numFmt numFmtId="26" formatCode="hh:mm:ss"/>
      </dxf>
    </rfmt>
    <rfmt sheetId="1" sqref="L210" start="0" length="0">
      <dxf>
        <numFmt numFmtId="26" formatCode="hh:mm:ss"/>
      </dxf>
    </rfmt>
    <rfmt sheetId="1" sqref="M210" start="0" length="0">
      <dxf>
        <numFmt numFmtId="26" formatCode="hh:mm:ss"/>
      </dxf>
    </rfmt>
    <rfmt sheetId="1" sqref="L211" start="0" length="0">
      <dxf>
        <numFmt numFmtId="26" formatCode="hh:mm:ss"/>
      </dxf>
    </rfmt>
    <rfmt sheetId="1" sqref="M211" start="0" length="0">
      <dxf>
        <numFmt numFmtId="26" formatCode="hh:mm:ss"/>
      </dxf>
    </rfmt>
    <rfmt sheetId="1" sqref="L212" start="0" length="0">
      <dxf>
        <numFmt numFmtId="26" formatCode="hh:mm:ss"/>
      </dxf>
    </rfmt>
    <rfmt sheetId="1" sqref="M212" start="0" length="0">
      <dxf>
        <numFmt numFmtId="26" formatCode="hh:mm:ss"/>
      </dxf>
    </rfmt>
    <rfmt sheetId="1" sqref="L213" start="0" length="0">
      <dxf>
        <numFmt numFmtId="26" formatCode="hh:mm:ss"/>
      </dxf>
    </rfmt>
    <rfmt sheetId="1" sqref="M213" start="0" length="0">
      <dxf>
        <numFmt numFmtId="26" formatCode="hh:mm:ss"/>
      </dxf>
    </rfmt>
    <rfmt sheetId="1" sqref="L214" start="0" length="0">
      <dxf>
        <numFmt numFmtId="26" formatCode="hh:mm:ss"/>
      </dxf>
    </rfmt>
    <rfmt sheetId="1" sqref="M214" start="0" length="0">
      <dxf>
        <numFmt numFmtId="26" formatCode="hh:mm:ss"/>
      </dxf>
    </rfmt>
    <rfmt sheetId="1" sqref="L215" start="0" length="0">
      <dxf>
        <numFmt numFmtId="26" formatCode="hh:mm:ss"/>
      </dxf>
    </rfmt>
    <rfmt sheetId="1" sqref="M215" start="0" length="0">
      <dxf>
        <numFmt numFmtId="26" formatCode="hh:mm:ss"/>
      </dxf>
    </rfmt>
    <rfmt sheetId="1" sqref="L216" start="0" length="0">
      <dxf>
        <numFmt numFmtId="26" formatCode="hh:mm:ss"/>
      </dxf>
    </rfmt>
    <rfmt sheetId="1" sqref="M216" start="0" length="0">
      <dxf>
        <numFmt numFmtId="26" formatCode="hh:mm:ss"/>
      </dxf>
    </rfmt>
    <rfmt sheetId="1" sqref="L217" start="0" length="0">
      <dxf>
        <numFmt numFmtId="26" formatCode="hh:mm:ss"/>
      </dxf>
    </rfmt>
    <rfmt sheetId="1" sqref="M217" start="0" length="0">
      <dxf>
        <numFmt numFmtId="26" formatCode="hh:mm:ss"/>
      </dxf>
    </rfmt>
    <rfmt sheetId="1" sqref="L218" start="0" length="0">
      <dxf>
        <numFmt numFmtId="26" formatCode="hh:mm:ss"/>
      </dxf>
    </rfmt>
    <rfmt sheetId="1" sqref="M218" start="0" length="0">
      <dxf>
        <numFmt numFmtId="26" formatCode="hh:mm:ss"/>
      </dxf>
    </rfmt>
    <rfmt sheetId="1" sqref="L219" start="0" length="0">
      <dxf>
        <numFmt numFmtId="164" formatCode="[$-F400]h:mm:ss\ AM/PM"/>
      </dxf>
    </rfmt>
    <rfmt sheetId="1" sqref="M219" start="0" length="0">
      <dxf>
        <numFmt numFmtId="164" formatCode="[$-F400]h:mm:ss\ AM/PM"/>
      </dxf>
    </rfmt>
    <rfmt sheetId="1" sqref="L220" start="0" length="0">
      <dxf>
        <numFmt numFmtId="164" formatCode="[$-F400]h:mm:ss\ AM/PM"/>
      </dxf>
    </rfmt>
    <rfmt sheetId="1" sqref="M220" start="0" length="0">
      <dxf>
        <numFmt numFmtId="164" formatCode="[$-F400]h:mm:ss\ AM/PM"/>
      </dxf>
    </rfmt>
    <rfmt sheetId="1" sqref="L221" start="0" length="0">
      <dxf>
        <numFmt numFmtId="26" formatCode="hh:mm:ss"/>
      </dxf>
    </rfmt>
    <rfmt sheetId="1" sqref="M221" start="0" length="0">
      <dxf>
        <numFmt numFmtId="26" formatCode="hh:mm:ss"/>
      </dxf>
    </rfmt>
    <rfmt sheetId="1" sqref="L222" start="0" length="0">
      <dxf>
        <numFmt numFmtId="26" formatCode="hh:mm:ss"/>
      </dxf>
    </rfmt>
    <rfmt sheetId="1" sqref="M222" start="0" length="0">
      <dxf>
        <numFmt numFmtId="26" formatCode="hh:mm:ss"/>
      </dxf>
    </rfmt>
    <rfmt sheetId="1" sqref="L223" start="0" length="0">
      <dxf>
        <numFmt numFmtId="26" formatCode="hh:mm:ss"/>
      </dxf>
    </rfmt>
    <rfmt sheetId="1" sqref="M223" start="0" length="0">
      <dxf>
        <numFmt numFmtId="26" formatCode="hh:mm:ss"/>
      </dxf>
    </rfmt>
    <rfmt sheetId="1" sqref="L224" start="0" length="0">
      <dxf>
        <numFmt numFmtId="26" formatCode="hh:mm:ss"/>
      </dxf>
    </rfmt>
    <rfmt sheetId="1" sqref="M224" start="0" length="0">
      <dxf>
        <numFmt numFmtId="26" formatCode="hh:mm:ss"/>
      </dxf>
    </rfmt>
    <rfmt sheetId="1" sqref="L225" start="0" length="0">
      <dxf>
        <numFmt numFmtId="26" formatCode="hh:mm:ss"/>
      </dxf>
    </rfmt>
    <rfmt sheetId="1" sqref="M225" start="0" length="0">
      <dxf>
        <numFmt numFmtId="26" formatCode="hh:mm:ss"/>
      </dxf>
    </rfmt>
    <rfmt sheetId="1" sqref="L226" start="0" length="0">
      <dxf>
        <numFmt numFmtId="26" formatCode="hh:mm:ss"/>
      </dxf>
    </rfmt>
    <rfmt sheetId="1" sqref="M226" start="0" length="0">
      <dxf>
        <numFmt numFmtId="26" formatCode="hh:mm:ss"/>
      </dxf>
    </rfmt>
    <rfmt sheetId="1" sqref="L227" start="0" length="0">
      <dxf>
        <numFmt numFmtId="26" formatCode="hh:mm:ss"/>
      </dxf>
    </rfmt>
    <rfmt sheetId="1" sqref="M227" start="0" length="0">
      <dxf>
        <numFmt numFmtId="26" formatCode="hh:mm:ss"/>
      </dxf>
    </rfmt>
    <rfmt sheetId="1" sqref="L228" start="0" length="0">
      <dxf>
        <numFmt numFmtId="26" formatCode="hh:mm:ss"/>
      </dxf>
    </rfmt>
    <rfmt sheetId="1" sqref="M228" start="0" length="0">
      <dxf>
        <numFmt numFmtId="26" formatCode="hh:mm:ss"/>
      </dxf>
    </rfmt>
    <rfmt sheetId="1" sqref="L229" start="0" length="0">
      <dxf>
        <numFmt numFmtId="26" formatCode="hh:mm:ss"/>
      </dxf>
    </rfmt>
    <rfmt sheetId="1" sqref="M229" start="0" length="0">
      <dxf>
        <numFmt numFmtId="26" formatCode="hh:mm:ss"/>
      </dxf>
    </rfmt>
    <rfmt sheetId="1" sqref="L230" start="0" length="0">
      <dxf>
        <numFmt numFmtId="26" formatCode="hh:mm:ss"/>
      </dxf>
    </rfmt>
    <rfmt sheetId="1" sqref="M230" start="0" length="0">
      <dxf>
        <numFmt numFmtId="26" formatCode="hh:mm:ss"/>
      </dxf>
    </rfmt>
    <rfmt sheetId="1" sqref="L231" start="0" length="0">
      <dxf>
        <numFmt numFmtId="26" formatCode="hh:mm:ss"/>
      </dxf>
    </rfmt>
    <rfmt sheetId="1" sqref="M231" start="0" length="0">
      <dxf>
        <numFmt numFmtId="26" formatCode="hh:mm:ss"/>
      </dxf>
    </rfmt>
    <rfmt sheetId="1" sqref="L232" start="0" length="0">
      <dxf>
        <numFmt numFmtId="26" formatCode="hh:mm:ss"/>
      </dxf>
    </rfmt>
    <rfmt sheetId="1" sqref="M232" start="0" length="0">
      <dxf>
        <numFmt numFmtId="26" formatCode="hh:mm:ss"/>
      </dxf>
    </rfmt>
    <rfmt sheetId="1" sqref="L233" start="0" length="0">
      <dxf>
        <numFmt numFmtId="26" formatCode="hh:mm:ss"/>
      </dxf>
    </rfmt>
    <rfmt sheetId="1" sqref="M233" start="0" length="0">
      <dxf>
        <numFmt numFmtId="26" formatCode="hh:mm:ss"/>
      </dxf>
    </rfmt>
    <rfmt sheetId="1" sqref="L234" start="0" length="0">
      <dxf>
        <numFmt numFmtId="26" formatCode="hh:mm:ss"/>
      </dxf>
    </rfmt>
    <rfmt sheetId="1" sqref="M234" start="0" length="0">
      <dxf>
        <numFmt numFmtId="26" formatCode="hh:mm:ss"/>
      </dxf>
    </rfmt>
    <rfmt sheetId="1" sqref="L235" start="0" length="0">
      <dxf>
        <numFmt numFmtId="26" formatCode="hh:mm:ss"/>
      </dxf>
    </rfmt>
    <rfmt sheetId="1" sqref="M235" start="0" length="0">
      <dxf>
        <numFmt numFmtId="26" formatCode="hh:mm:ss"/>
      </dxf>
    </rfmt>
    <rfmt sheetId="1" sqref="L236" start="0" length="0">
      <dxf>
        <numFmt numFmtId="26" formatCode="hh:mm:ss"/>
      </dxf>
    </rfmt>
    <rfmt sheetId="1" sqref="M236" start="0" length="0">
      <dxf>
        <numFmt numFmtId="26" formatCode="hh:mm:ss"/>
      </dxf>
    </rfmt>
    <rfmt sheetId="1" sqref="L237" start="0" length="0">
      <dxf>
        <numFmt numFmtId="26" formatCode="hh:mm:ss"/>
      </dxf>
    </rfmt>
    <rfmt sheetId="1" sqref="M237" start="0" length="0">
      <dxf>
        <numFmt numFmtId="26" formatCode="hh:mm:ss"/>
      </dxf>
    </rfmt>
    <rfmt sheetId="1" sqref="L238" start="0" length="0">
      <dxf>
        <numFmt numFmtId="26" formatCode="hh:mm:ss"/>
      </dxf>
    </rfmt>
    <rfmt sheetId="1" sqref="M238" start="0" length="0">
      <dxf>
        <numFmt numFmtId="26" formatCode="hh:mm:ss"/>
      </dxf>
    </rfmt>
    <rfmt sheetId="1" sqref="L239" start="0" length="0">
      <dxf>
        <numFmt numFmtId="26" formatCode="hh:mm:ss"/>
      </dxf>
    </rfmt>
    <rfmt sheetId="1" sqref="M239" start="0" length="0">
      <dxf>
        <numFmt numFmtId="26" formatCode="hh:mm:ss"/>
      </dxf>
    </rfmt>
    <rfmt sheetId="1" sqref="L240" start="0" length="0">
      <dxf>
        <numFmt numFmtId="26" formatCode="hh:mm:ss"/>
      </dxf>
    </rfmt>
    <rfmt sheetId="1" sqref="M240" start="0" length="0">
      <dxf>
        <numFmt numFmtId="26" formatCode="hh:mm:ss"/>
      </dxf>
    </rfmt>
    <rfmt sheetId="1" sqref="L241" start="0" length="0">
      <dxf>
        <numFmt numFmtId="26" formatCode="hh:mm:ss"/>
      </dxf>
    </rfmt>
    <rfmt sheetId="1" sqref="M241" start="0" length="0">
      <dxf>
        <numFmt numFmtId="26" formatCode="hh:mm:ss"/>
      </dxf>
    </rfmt>
    <rfmt sheetId="1" sqref="L242" start="0" length="0">
      <dxf>
        <numFmt numFmtId="26" formatCode="hh:mm:ss"/>
      </dxf>
    </rfmt>
    <rfmt sheetId="1" sqref="M242" start="0" length="0">
      <dxf>
        <numFmt numFmtId="26" formatCode="hh:mm:ss"/>
      </dxf>
    </rfmt>
    <rfmt sheetId="1" sqref="L243" start="0" length="0">
      <dxf>
        <numFmt numFmtId="26" formatCode="hh:mm:ss"/>
      </dxf>
    </rfmt>
    <rfmt sheetId="1" sqref="M243" start="0" length="0">
      <dxf>
        <numFmt numFmtId="26" formatCode="hh:mm:ss"/>
      </dxf>
    </rfmt>
    <rfmt sheetId="1" sqref="L244" start="0" length="0">
      <dxf>
        <numFmt numFmtId="26" formatCode="hh:mm:ss"/>
      </dxf>
    </rfmt>
    <rfmt sheetId="1" sqref="M244" start="0" length="0">
      <dxf>
        <numFmt numFmtId="26" formatCode="hh:mm:ss"/>
      </dxf>
    </rfmt>
    <rfmt sheetId="1" sqref="L245" start="0" length="0">
      <dxf>
        <numFmt numFmtId="26" formatCode="hh:mm:ss"/>
      </dxf>
    </rfmt>
    <rfmt sheetId="1" sqref="M245" start="0" length="0">
      <dxf>
        <numFmt numFmtId="26" formatCode="hh:mm:ss"/>
      </dxf>
    </rfmt>
    <rfmt sheetId="1" sqref="L246" start="0" length="0">
      <dxf>
        <numFmt numFmtId="26" formatCode="hh:mm:ss"/>
      </dxf>
    </rfmt>
    <rfmt sheetId="1" sqref="M246" start="0" length="0">
      <dxf>
        <numFmt numFmtId="26" formatCode="hh:mm:ss"/>
      </dxf>
    </rfmt>
    <rfmt sheetId="1" sqref="L247" start="0" length="0">
      <dxf>
        <numFmt numFmtId="26" formatCode="hh:mm:ss"/>
      </dxf>
    </rfmt>
    <rfmt sheetId="1" sqref="M247" start="0" length="0">
      <dxf>
        <numFmt numFmtId="26" formatCode="hh:mm:ss"/>
      </dxf>
    </rfmt>
    <rfmt sheetId="1" sqref="L248" start="0" length="0">
      <dxf>
        <numFmt numFmtId="26" formatCode="hh:mm:ss"/>
      </dxf>
    </rfmt>
    <rfmt sheetId="1" sqref="M248" start="0" length="0">
      <dxf>
        <numFmt numFmtId="26" formatCode="hh:mm:ss"/>
      </dxf>
    </rfmt>
    <rfmt sheetId="1" sqref="L249" start="0" length="0">
      <dxf>
        <numFmt numFmtId="26" formatCode="hh:mm:ss"/>
      </dxf>
    </rfmt>
    <rfmt sheetId="1" sqref="M249" start="0" length="0">
      <dxf>
        <numFmt numFmtId="26" formatCode="hh:mm:ss"/>
      </dxf>
    </rfmt>
    <rfmt sheetId="1" sqref="L250" start="0" length="0">
      <dxf>
        <numFmt numFmtId="26" formatCode="hh:mm:ss"/>
      </dxf>
    </rfmt>
    <rfmt sheetId="1" sqref="M250" start="0" length="0">
      <dxf>
        <numFmt numFmtId="26" formatCode="hh:mm:ss"/>
      </dxf>
    </rfmt>
    <rfmt sheetId="1" sqref="L251" start="0" length="0">
      <dxf>
        <numFmt numFmtId="26" formatCode="hh:mm:ss"/>
      </dxf>
    </rfmt>
    <rfmt sheetId="1" sqref="M251" start="0" length="0">
      <dxf>
        <numFmt numFmtId="26" formatCode="hh:mm:ss"/>
      </dxf>
    </rfmt>
    <rfmt sheetId="1" sqref="L252" start="0" length="0">
      <dxf>
        <numFmt numFmtId="26" formatCode="hh:mm:ss"/>
      </dxf>
    </rfmt>
    <rfmt sheetId="1" sqref="M252" start="0" length="0">
      <dxf>
        <numFmt numFmtId="26" formatCode="hh:mm:ss"/>
      </dxf>
    </rfmt>
    <rfmt sheetId="1" sqref="L253" start="0" length="0">
      <dxf>
        <numFmt numFmtId="26" formatCode="hh:mm:ss"/>
      </dxf>
    </rfmt>
    <rfmt sheetId="1" sqref="M253" start="0" length="0">
      <dxf>
        <numFmt numFmtId="26" formatCode="hh:mm:ss"/>
      </dxf>
    </rfmt>
    <rfmt sheetId="1" sqref="L254" start="0" length="0">
      <dxf>
        <numFmt numFmtId="26" formatCode="hh:mm:ss"/>
      </dxf>
    </rfmt>
    <rfmt sheetId="1" sqref="M254" start="0" length="0">
      <dxf>
        <numFmt numFmtId="26" formatCode="hh:mm:ss"/>
      </dxf>
    </rfmt>
    <rfmt sheetId="1" sqref="L255" start="0" length="0">
      <dxf>
        <numFmt numFmtId="26" formatCode="hh:mm:ss"/>
      </dxf>
    </rfmt>
    <rfmt sheetId="1" sqref="M255" start="0" length="0">
      <dxf>
        <numFmt numFmtId="26" formatCode="hh:mm:ss"/>
      </dxf>
    </rfmt>
    <rfmt sheetId="1" sqref="L256" start="0" length="0">
      <dxf>
        <numFmt numFmtId="26" formatCode="hh:mm:ss"/>
      </dxf>
    </rfmt>
    <rfmt sheetId="1" sqref="M256" start="0" length="0">
      <dxf>
        <numFmt numFmtId="26" formatCode="hh:mm:ss"/>
      </dxf>
    </rfmt>
    <rfmt sheetId="1" sqref="L257" start="0" length="0">
      <dxf>
        <numFmt numFmtId="26" formatCode="hh:mm:ss"/>
      </dxf>
    </rfmt>
    <rfmt sheetId="1" sqref="M257" start="0" length="0">
      <dxf>
        <numFmt numFmtId="26" formatCode="hh:mm:ss"/>
      </dxf>
    </rfmt>
    <rfmt sheetId="1" sqref="L258" start="0" length="0">
      <dxf>
        <numFmt numFmtId="26" formatCode="hh:mm:ss"/>
      </dxf>
    </rfmt>
    <rfmt sheetId="1" sqref="M258" start="0" length="0">
      <dxf>
        <numFmt numFmtId="26" formatCode="hh:mm:ss"/>
      </dxf>
    </rfmt>
    <rfmt sheetId="1" sqref="L259" start="0" length="0">
      <dxf>
        <numFmt numFmtId="26" formatCode="hh:mm:ss"/>
      </dxf>
    </rfmt>
    <rfmt sheetId="1" sqref="M259" start="0" length="0">
      <dxf>
        <numFmt numFmtId="26" formatCode="hh:mm:ss"/>
      </dxf>
    </rfmt>
    <rfmt sheetId="1" sqref="L260" start="0" length="0">
      <dxf>
        <numFmt numFmtId="26" formatCode="hh:mm:ss"/>
      </dxf>
    </rfmt>
    <rfmt sheetId="1" sqref="M260" start="0" length="0">
      <dxf>
        <numFmt numFmtId="26" formatCode="hh:mm:ss"/>
      </dxf>
    </rfmt>
    <rfmt sheetId="1" sqref="L261" start="0" length="0">
      <dxf>
        <numFmt numFmtId="26" formatCode="hh:mm:ss"/>
      </dxf>
    </rfmt>
    <rfmt sheetId="1" sqref="M261" start="0" length="0">
      <dxf>
        <numFmt numFmtId="26" formatCode="hh:mm:ss"/>
      </dxf>
    </rfmt>
    <rfmt sheetId="1" sqref="L262" start="0" length="0">
      <dxf>
        <numFmt numFmtId="26" formatCode="hh:mm:ss"/>
      </dxf>
    </rfmt>
    <rfmt sheetId="1" sqref="M262" start="0" length="0">
      <dxf>
        <numFmt numFmtId="26" formatCode="hh:mm:ss"/>
      </dxf>
    </rfmt>
    <rfmt sheetId="1" sqref="L263" start="0" length="0">
      <dxf>
        <numFmt numFmtId="26" formatCode="hh:mm:ss"/>
      </dxf>
    </rfmt>
    <rfmt sheetId="1" sqref="M263" start="0" length="0">
      <dxf>
        <numFmt numFmtId="26" formatCode="hh:mm:ss"/>
      </dxf>
    </rfmt>
    <rfmt sheetId="1" sqref="L264" start="0" length="0">
      <dxf>
        <numFmt numFmtId="26" formatCode="hh:mm:ss"/>
      </dxf>
    </rfmt>
    <rfmt sheetId="1" sqref="M264" start="0" length="0">
      <dxf>
        <numFmt numFmtId="26" formatCode="hh:mm:ss"/>
      </dxf>
    </rfmt>
    <rfmt sheetId="1" sqref="L265" start="0" length="0">
      <dxf>
        <numFmt numFmtId="26" formatCode="hh:mm:ss"/>
      </dxf>
    </rfmt>
    <rfmt sheetId="1" sqref="M265" start="0" length="0">
      <dxf>
        <numFmt numFmtId="26" formatCode="hh:mm:ss"/>
      </dxf>
    </rfmt>
    <rfmt sheetId="1" sqref="L266" start="0" length="0">
      <dxf>
        <numFmt numFmtId="26" formatCode="hh:mm:ss"/>
      </dxf>
    </rfmt>
    <rfmt sheetId="1" sqref="M266" start="0" length="0">
      <dxf>
        <numFmt numFmtId="26" formatCode="hh:mm:ss"/>
      </dxf>
    </rfmt>
    <rfmt sheetId="1" sqref="L267" start="0" length="0">
      <dxf>
        <numFmt numFmtId="26" formatCode="hh:mm:ss"/>
      </dxf>
    </rfmt>
    <rfmt sheetId="1" sqref="M267" start="0" length="0">
      <dxf>
        <numFmt numFmtId="26" formatCode="hh:mm:ss"/>
      </dxf>
    </rfmt>
    <rfmt sheetId="1" sqref="L268" start="0" length="0">
      <dxf>
        <numFmt numFmtId="26" formatCode="hh:mm:ss"/>
      </dxf>
    </rfmt>
    <rfmt sheetId="1" sqref="M268" start="0" length="0">
      <dxf>
        <numFmt numFmtId="26" formatCode="hh:mm:ss"/>
      </dxf>
    </rfmt>
    <rfmt sheetId="1" sqref="L269" start="0" length="0">
      <dxf>
        <numFmt numFmtId="26" formatCode="hh:mm:ss"/>
      </dxf>
    </rfmt>
    <rfmt sheetId="1" sqref="M269" start="0" length="0">
      <dxf>
        <numFmt numFmtId="26" formatCode="hh:mm:ss"/>
      </dxf>
    </rfmt>
    <rfmt sheetId="1" sqref="L270" start="0" length="0">
      <dxf>
        <numFmt numFmtId="26" formatCode="hh:mm:ss"/>
      </dxf>
    </rfmt>
    <rfmt sheetId="1" sqref="M270" start="0" length="0">
      <dxf>
        <numFmt numFmtId="26" formatCode="hh:mm:ss"/>
      </dxf>
    </rfmt>
    <rfmt sheetId="1" sqref="L271" start="0" length="0">
      <dxf>
        <numFmt numFmtId="26" formatCode="hh:mm:ss"/>
      </dxf>
    </rfmt>
    <rfmt sheetId="1" sqref="M271" start="0" length="0">
      <dxf>
        <numFmt numFmtId="26" formatCode="hh:mm:ss"/>
      </dxf>
    </rfmt>
    <rfmt sheetId="1" sqref="L273" start="0" length="0">
      <dxf>
        <numFmt numFmtId="26" formatCode="hh:mm:ss"/>
      </dxf>
    </rfmt>
    <rfmt sheetId="1" sqref="M273" start="0" length="0">
      <dxf>
        <numFmt numFmtId="26" formatCode="hh:mm:ss"/>
      </dxf>
    </rfmt>
    <rfmt sheetId="1" sqref="L274" start="0" length="0">
      <dxf>
        <numFmt numFmtId="26" formatCode="hh:mm:ss"/>
      </dxf>
    </rfmt>
    <rfmt sheetId="1" sqref="M274" start="0" length="0">
      <dxf>
        <numFmt numFmtId="26" formatCode="hh:mm:ss"/>
      </dxf>
    </rfmt>
    <rfmt sheetId="1" sqref="L275" start="0" length="0">
      <dxf>
        <numFmt numFmtId="26" formatCode="hh:mm:ss"/>
      </dxf>
    </rfmt>
    <rfmt sheetId="1" sqref="M275" start="0" length="0">
      <dxf>
        <numFmt numFmtId="26" formatCode="hh:mm:ss"/>
      </dxf>
    </rfmt>
    <rfmt sheetId="1" sqref="L276" start="0" length="0">
      <dxf>
        <numFmt numFmtId="26" formatCode="hh:mm:ss"/>
      </dxf>
    </rfmt>
    <rfmt sheetId="1" sqref="M276" start="0" length="0">
      <dxf>
        <numFmt numFmtId="26" formatCode="hh:mm:ss"/>
      </dxf>
    </rfmt>
    <rfmt sheetId="1" sqref="L277" start="0" length="0">
      <dxf>
        <numFmt numFmtId="26" formatCode="hh:mm:ss"/>
      </dxf>
    </rfmt>
    <rfmt sheetId="1" sqref="M277" start="0" length="0">
      <dxf>
        <numFmt numFmtId="26" formatCode="hh:mm:ss"/>
      </dxf>
    </rfmt>
    <rfmt sheetId="1" sqref="L278" start="0" length="0">
      <dxf>
        <numFmt numFmtId="26" formatCode="hh:mm:ss"/>
      </dxf>
    </rfmt>
    <rfmt sheetId="1" sqref="M278" start="0" length="0">
      <dxf>
        <numFmt numFmtId="26" formatCode="hh:mm:ss"/>
      </dxf>
    </rfmt>
    <rfmt sheetId="1" sqref="L279" start="0" length="0">
      <dxf>
        <numFmt numFmtId="26" formatCode="hh:mm:ss"/>
      </dxf>
    </rfmt>
    <rfmt sheetId="1" sqref="M279" start="0" length="0">
      <dxf>
        <numFmt numFmtId="26" formatCode="hh:mm:ss"/>
      </dxf>
    </rfmt>
    <rfmt sheetId="1" sqref="L280" start="0" length="0">
      <dxf>
        <numFmt numFmtId="26" formatCode="hh:mm:ss"/>
      </dxf>
    </rfmt>
    <rfmt sheetId="1" sqref="M280" start="0" length="0">
      <dxf>
        <numFmt numFmtId="26" formatCode="hh:mm:ss"/>
      </dxf>
    </rfmt>
    <rfmt sheetId="1" sqref="L281" start="0" length="0">
      <dxf>
        <numFmt numFmtId="26" formatCode="hh:mm:ss"/>
      </dxf>
    </rfmt>
    <rfmt sheetId="1" sqref="M281" start="0" length="0">
      <dxf>
        <numFmt numFmtId="26" formatCode="hh:mm:ss"/>
      </dxf>
    </rfmt>
    <rfmt sheetId="1" sqref="L282" start="0" length="0">
      <dxf>
        <numFmt numFmtId="26" formatCode="hh:mm:ss"/>
      </dxf>
    </rfmt>
    <rfmt sheetId="1" sqref="M282" start="0" length="0">
      <dxf>
        <numFmt numFmtId="26" formatCode="hh:mm:ss"/>
      </dxf>
    </rfmt>
    <rfmt sheetId="1" sqref="L283" start="0" length="0">
      <dxf>
        <numFmt numFmtId="26" formatCode="hh:mm:ss"/>
      </dxf>
    </rfmt>
    <rfmt sheetId="1" sqref="M283" start="0" length="0">
      <dxf>
        <numFmt numFmtId="26" formatCode="hh:mm:ss"/>
      </dxf>
    </rfmt>
    <rfmt sheetId="1" sqref="L284" start="0" length="0">
      <dxf>
        <numFmt numFmtId="26" formatCode="hh:mm:ss"/>
      </dxf>
    </rfmt>
    <rfmt sheetId="1" sqref="M284" start="0" length="0">
      <dxf>
        <numFmt numFmtId="26" formatCode="hh:mm:ss"/>
      </dxf>
    </rfmt>
    <rfmt sheetId="1" sqref="L285" start="0" length="0">
      <dxf>
        <numFmt numFmtId="26" formatCode="hh:mm:ss"/>
      </dxf>
    </rfmt>
    <rfmt sheetId="1" sqref="M285" start="0" length="0">
      <dxf>
        <numFmt numFmtId="26" formatCode="hh:mm:ss"/>
      </dxf>
    </rfmt>
    <rfmt sheetId="1" sqref="L286" start="0" length="0">
      <dxf>
        <numFmt numFmtId="26" formatCode="hh:mm:ss"/>
      </dxf>
    </rfmt>
    <rfmt sheetId="1" sqref="M286" start="0" length="0">
      <dxf>
        <numFmt numFmtId="26" formatCode="hh:mm:ss"/>
      </dxf>
    </rfmt>
    <rfmt sheetId="1" sqref="L287" start="0" length="0">
      <dxf>
        <numFmt numFmtId="26" formatCode="hh:mm:ss"/>
      </dxf>
    </rfmt>
    <rfmt sheetId="1" sqref="M287" start="0" length="0">
      <dxf>
        <numFmt numFmtId="26" formatCode="hh:mm:ss"/>
      </dxf>
    </rfmt>
    <rfmt sheetId="1" sqref="L288" start="0" length="0">
      <dxf>
        <numFmt numFmtId="26" formatCode="hh:mm:ss"/>
      </dxf>
    </rfmt>
    <rfmt sheetId="1" sqref="M288" start="0" length="0">
      <dxf>
        <numFmt numFmtId="26" formatCode="hh:mm:ss"/>
      </dxf>
    </rfmt>
    <rfmt sheetId="1" sqref="L289" start="0" length="0">
      <dxf>
        <numFmt numFmtId="26" formatCode="hh:mm:ss"/>
      </dxf>
    </rfmt>
    <rfmt sheetId="1" sqref="M289" start="0" length="0">
      <dxf>
        <numFmt numFmtId="26" formatCode="hh:mm:ss"/>
      </dxf>
    </rfmt>
    <rfmt sheetId="1" sqref="L290" start="0" length="0">
      <dxf>
        <numFmt numFmtId="164" formatCode="[$-F400]h:mm:ss\ AM/PM"/>
      </dxf>
    </rfmt>
    <rfmt sheetId="1" sqref="M290" start="0" length="0">
      <dxf>
        <numFmt numFmtId="164" formatCode="[$-F400]h:mm:ss\ AM/PM"/>
      </dxf>
    </rfmt>
    <rfmt sheetId="1" sqref="L291" start="0" length="0">
      <dxf>
        <numFmt numFmtId="164" formatCode="[$-F400]h:mm:ss\ AM/PM"/>
      </dxf>
    </rfmt>
    <rfmt sheetId="1" sqref="M291" start="0" length="0">
      <dxf>
        <numFmt numFmtId="164" formatCode="[$-F400]h:mm:ss\ AM/PM"/>
      </dxf>
    </rfmt>
    <rfmt sheetId="1" sqref="L292" start="0" length="0">
      <dxf>
        <numFmt numFmtId="164" formatCode="[$-F400]h:mm:ss\ AM/PM"/>
      </dxf>
    </rfmt>
    <rfmt sheetId="1" sqref="M292" start="0" length="0">
      <dxf>
        <numFmt numFmtId="164" formatCode="[$-F400]h:mm:ss\ AM/PM"/>
      </dxf>
    </rfmt>
    <rfmt sheetId="1" sqref="L293" start="0" length="0">
      <dxf>
        <numFmt numFmtId="164" formatCode="[$-F400]h:mm:ss\ AM/PM"/>
      </dxf>
    </rfmt>
    <rfmt sheetId="1" sqref="M293" start="0" length="0">
      <dxf>
        <numFmt numFmtId="164" formatCode="[$-F400]h:mm:ss\ AM/PM"/>
      </dxf>
    </rfmt>
    <rfmt sheetId="1" sqref="L294" start="0" length="0">
      <dxf>
        <numFmt numFmtId="26" formatCode="hh:mm:ss"/>
      </dxf>
    </rfmt>
    <rfmt sheetId="1" sqref="M294" start="0" length="0">
      <dxf>
        <numFmt numFmtId="26" formatCode="hh:mm:ss"/>
      </dxf>
    </rfmt>
    <rfmt sheetId="1" sqref="L295" start="0" length="0">
      <dxf>
        <numFmt numFmtId="26" formatCode="hh:mm:ss"/>
      </dxf>
    </rfmt>
    <rfmt sheetId="1" sqref="M295" start="0" length="0">
      <dxf>
        <numFmt numFmtId="26" formatCode="hh:mm:ss"/>
      </dxf>
    </rfmt>
    <rfmt sheetId="1" sqref="L296" start="0" length="0">
      <dxf>
        <numFmt numFmtId="26" formatCode="hh:mm:ss"/>
      </dxf>
    </rfmt>
    <rfmt sheetId="1" sqref="M296" start="0" length="0">
      <dxf>
        <numFmt numFmtId="26" formatCode="hh:mm:ss"/>
      </dxf>
    </rfmt>
    <rfmt sheetId="1" sqref="L297" start="0" length="0">
      <dxf>
        <numFmt numFmtId="26" formatCode="hh:mm:ss"/>
      </dxf>
    </rfmt>
    <rfmt sheetId="1" sqref="M297" start="0" length="0">
      <dxf>
        <numFmt numFmtId="26" formatCode="hh:mm:ss"/>
      </dxf>
    </rfmt>
    <rfmt sheetId="1" sqref="L298" start="0" length="0">
      <dxf>
        <numFmt numFmtId="26" formatCode="hh:mm:ss"/>
      </dxf>
    </rfmt>
    <rfmt sheetId="1" sqref="M298" start="0" length="0">
      <dxf>
        <numFmt numFmtId="26" formatCode="hh:mm:ss"/>
      </dxf>
    </rfmt>
    <rfmt sheetId="1" sqref="L299" start="0" length="0">
      <dxf>
        <numFmt numFmtId="26" formatCode="hh:mm:ss"/>
      </dxf>
    </rfmt>
    <rfmt sheetId="1" sqref="M299" start="0" length="0">
      <dxf>
        <numFmt numFmtId="26" formatCode="hh:mm:ss"/>
      </dxf>
    </rfmt>
    <rfmt sheetId="1" sqref="L300" start="0" length="0">
      <dxf>
        <numFmt numFmtId="26" formatCode="hh:mm:ss"/>
      </dxf>
    </rfmt>
    <rfmt sheetId="1" sqref="M300" start="0" length="0">
      <dxf>
        <numFmt numFmtId="26" formatCode="hh:mm:ss"/>
      </dxf>
    </rfmt>
    <rfmt sheetId="1" sqref="L301" start="0" length="0">
      <dxf>
        <numFmt numFmtId="26" formatCode="hh:mm:ss"/>
      </dxf>
    </rfmt>
    <rfmt sheetId="1" sqref="M301" start="0" length="0">
      <dxf>
        <numFmt numFmtId="26" formatCode="hh:mm:ss"/>
      </dxf>
    </rfmt>
    <rfmt sheetId="1" sqref="L302" start="0" length="0">
      <dxf>
        <numFmt numFmtId="26" formatCode="hh:mm:ss"/>
      </dxf>
    </rfmt>
    <rfmt sheetId="1" sqref="M302" start="0" length="0">
      <dxf>
        <numFmt numFmtId="26" formatCode="hh:mm:ss"/>
      </dxf>
    </rfmt>
    <rfmt sheetId="1" sqref="L303" start="0" length="0">
      <dxf>
        <numFmt numFmtId="26" formatCode="hh:mm:ss"/>
      </dxf>
    </rfmt>
    <rfmt sheetId="1" sqref="M303" start="0" length="0">
      <dxf>
        <numFmt numFmtId="26" formatCode="hh:mm:ss"/>
      </dxf>
    </rfmt>
    <rfmt sheetId="1" sqref="L304" start="0" length="0">
      <dxf>
        <numFmt numFmtId="26" formatCode="hh:mm:ss"/>
      </dxf>
    </rfmt>
    <rfmt sheetId="1" sqref="M304" start="0" length="0">
      <dxf>
        <numFmt numFmtId="26" formatCode="hh:mm:ss"/>
      </dxf>
    </rfmt>
    <rfmt sheetId="1" sqref="L305" start="0" length="0">
      <dxf>
        <numFmt numFmtId="26" formatCode="hh:mm:ss"/>
      </dxf>
    </rfmt>
    <rfmt sheetId="1" sqref="M305" start="0" length="0">
      <dxf>
        <numFmt numFmtId="26" formatCode="hh:mm:ss"/>
      </dxf>
    </rfmt>
    <rfmt sheetId="1" sqref="L306" start="0" length="0">
      <dxf>
        <numFmt numFmtId="26" formatCode="hh:mm:ss"/>
      </dxf>
    </rfmt>
    <rfmt sheetId="1" sqref="M306" start="0" length="0">
      <dxf>
        <numFmt numFmtId="26" formatCode="hh:mm:ss"/>
      </dxf>
    </rfmt>
    <rfmt sheetId="1" sqref="L307" start="0" length="0">
      <dxf>
        <numFmt numFmtId="26" formatCode="hh:mm:ss"/>
      </dxf>
    </rfmt>
    <rfmt sheetId="1" sqref="M307" start="0" length="0">
      <dxf>
        <numFmt numFmtId="26" formatCode="hh:mm:ss"/>
      </dxf>
    </rfmt>
    <rfmt sheetId="1" sqref="L308" start="0" length="0">
      <dxf>
        <numFmt numFmtId="26" formatCode="hh:mm:ss"/>
      </dxf>
    </rfmt>
    <rfmt sheetId="1" sqref="M308" start="0" length="0">
      <dxf>
        <numFmt numFmtId="26" formatCode="hh:mm:ss"/>
      </dxf>
    </rfmt>
    <rfmt sheetId="1" sqref="L309" start="0" length="0">
      <dxf>
        <numFmt numFmtId="26" formatCode="hh:mm:ss"/>
      </dxf>
    </rfmt>
    <rfmt sheetId="1" sqref="M309" start="0" length="0">
      <dxf>
        <numFmt numFmtId="26" formatCode="hh:mm:ss"/>
      </dxf>
    </rfmt>
    <rfmt sheetId="1" sqref="L310" start="0" length="0">
      <dxf>
        <numFmt numFmtId="26" formatCode="hh:mm:ss"/>
      </dxf>
    </rfmt>
    <rfmt sheetId="1" sqref="M310" start="0" length="0">
      <dxf>
        <numFmt numFmtId="26" formatCode="hh:mm:ss"/>
      </dxf>
    </rfmt>
    <rfmt sheetId="1" sqref="L311" start="0" length="0">
      <dxf>
        <numFmt numFmtId="26" formatCode="hh:mm:ss"/>
      </dxf>
    </rfmt>
    <rfmt sheetId="1" sqref="M311" start="0" length="0">
      <dxf>
        <numFmt numFmtId="26" formatCode="hh:mm:ss"/>
      </dxf>
    </rfmt>
    <rfmt sheetId="1" sqref="L312" start="0" length="0">
      <dxf>
        <numFmt numFmtId="26" formatCode="hh:mm:ss"/>
      </dxf>
    </rfmt>
    <rfmt sheetId="1" sqref="M312" start="0" length="0">
      <dxf>
        <numFmt numFmtId="26" formatCode="hh:mm:ss"/>
      </dxf>
    </rfmt>
    <rfmt sheetId="1" sqref="L313" start="0" length="0">
      <dxf>
        <numFmt numFmtId="26" formatCode="hh:mm:ss"/>
      </dxf>
    </rfmt>
    <rfmt sheetId="1" sqref="M313" start="0" length="0">
      <dxf>
        <numFmt numFmtId="26" formatCode="hh:mm:ss"/>
      </dxf>
    </rfmt>
    <rfmt sheetId="1" sqref="L314" start="0" length="0">
      <dxf>
        <numFmt numFmtId="26" formatCode="hh:mm:ss"/>
      </dxf>
    </rfmt>
    <rfmt sheetId="1" sqref="M314" start="0" length="0">
      <dxf>
        <numFmt numFmtId="26" formatCode="hh:mm:ss"/>
      </dxf>
    </rfmt>
    <rfmt sheetId="1" sqref="L315" start="0" length="0">
      <dxf>
        <numFmt numFmtId="26" formatCode="hh:mm:ss"/>
      </dxf>
    </rfmt>
    <rfmt sheetId="1" sqref="M315" start="0" length="0">
      <dxf>
        <numFmt numFmtId="26" formatCode="hh:mm:ss"/>
      </dxf>
    </rfmt>
    <rfmt sheetId="1" sqref="L316" start="0" length="0">
      <dxf>
        <numFmt numFmtId="26" formatCode="hh:mm:ss"/>
      </dxf>
    </rfmt>
    <rfmt sheetId="1" sqref="M316" start="0" length="0">
      <dxf>
        <numFmt numFmtId="26" formatCode="hh:mm:ss"/>
      </dxf>
    </rfmt>
    <rfmt sheetId="1" sqref="L317" start="0" length="0">
      <dxf>
        <numFmt numFmtId="26" formatCode="hh:mm:ss"/>
      </dxf>
    </rfmt>
    <rfmt sheetId="1" sqref="M317" start="0" length="0">
      <dxf>
        <numFmt numFmtId="26" formatCode="hh:mm:ss"/>
      </dxf>
    </rfmt>
    <rfmt sheetId="1" sqref="L318" start="0" length="0">
      <dxf>
        <numFmt numFmtId="26" formatCode="hh:mm:ss"/>
      </dxf>
    </rfmt>
    <rfmt sheetId="1" sqref="M318" start="0" length="0">
      <dxf>
        <numFmt numFmtId="26" formatCode="hh:mm:ss"/>
      </dxf>
    </rfmt>
    <rfmt sheetId="1" sqref="L319" start="0" length="0">
      <dxf>
        <numFmt numFmtId="26" formatCode="hh:mm:ss"/>
      </dxf>
    </rfmt>
    <rfmt sheetId="1" sqref="M319" start="0" length="0">
      <dxf>
        <numFmt numFmtId="26" formatCode="hh:mm:ss"/>
      </dxf>
    </rfmt>
    <rfmt sheetId="1" sqref="L320" start="0" length="0">
      <dxf>
        <numFmt numFmtId="26" formatCode="hh:mm:ss"/>
      </dxf>
    </rfmt>
    <rfmt sheetId="1" sqref="M320" start="0" length="0">
      <dxf>
        <numFmt numFmtId="26" formatCode="hh:mm:ss"/>
      </dxf>
    </rfmt>
    <rfmt sheetId="1" sqref="L321" start="0" length="0">
      <dxf>
        <numFmt numFmtId="26" formatCode="hh:mm:ss"/>
      </dxf>
    </rfmt>
    <rfmt sheetId="1" sqref="M321" start="0" length="0">
      <dxf>
        <numFmt numFmtId="26" formatCode="hh:mm:ss"/>
      </dxf>
    </rfmt>
    <rfmt sheetId="1" sqref="L322" start="0" length="0">
      <dxf>
        <numFmt numFmtId="26" formatCode="hh:mm:ss"/>
      </dxf>
    </rfmt>
    <rfmt sheetId="1" sqref="M322" start="0" length="0">
      <dxf>
        <numFmt numFmtId="26" formatCode="hh:mm:ss"/>
      </dxf>
    </rfmt>
    <rfmt sheetId="1" sqref="L323" start="0" length="0">
      <dxf>
        <numFmt numFmtId="26" formatCode="hh:mm:ss"/>
      </dxf>
    </rfmt>
    <rfmt sheetId="1" sqref="M323" start="0" length="0">
      <dxf>
        <numFmt numFmtId="26" formatCode="hh:mm:ss"/>
      </dxf>
    </rfmt>
    <rfmt sheetId="1" sqref="L324" start="0" length="0">
      <dxf>
        <numFmt numFmtId="164" formatCode="[$-F400]h:mm:ss\ AM/PM"/>
      </dxf>
    </rfmt>
    <rfmt sheetId="1" sqref="M324" start="0" length="0">
      <dxf>
        <numFmt numFmtId="164" formatCode="[$-F400]h:mm:ss\ AM/PM"/>
      </dxf>
    </rfmt>
    <rfmt sheetId="1" sqref="L326" start="0" length="0">
      <dxf>
        <numFmt numFmtId="26" formatCode="hh:mm:ss"/>
      </dxf>
    </rfmt>
    <rfmt sheetId="1" sqref="M326" start="0" length="0">
      <dxf>
        <numFmt numFmtId="26" formatCode="hh:mm:ss"/>
      </dxf>
    </rfmt>
    <rfmt sheetId="1" sqref="L328" start="0" length="0">
      <dxf>
        <numFmt numFmtId="26" formatCode="hh:mm:ss"/>
      </dxf>
    </rfmt>
    <rfmt sheetId="1" sqref="M328" start="0" length="0">
      <dxf>
        <numFmt numFmtId="26" formatCode="hh:mm:ss"/>
      </dxf>
    </rfmt>
    <rfmt sheetId="1" sqref="L329" start="0" length="0">
      <dxf>
        <numFmt numFmtId="164" formatCode="[$-F400]h:mm:ss\ AM/PM"/>
      </dxf>
    </rfmt>
    <rfmt sheetId="1" sqref="M329" start="0" length="0">
      <dxf>
        <numFmt numFmtId="164" formatCode="[$-F400]h:mm:ss\ AM/PM"/>
      </dxf>
    </rfmt>
    <rfmt sheetId="1" sqref="L330" start="0" length="0">
      <dxf>
        <numFmt numFmtId="164" formatCode="[$-F400]h:mm:ss\ AM/PM"/>
      </dxf>
    </rfmt>
    <rfmt sheetId="1" sqref="M330" start="0" length="0">
      <dxf>
        <numFmt numFmtId="164" formatCode="[$-F400]h:mm:ss\ AM/PM"/>
      </dxf>
    </rfmt>
    <rfmt sheetId="1" sqref="L331" start="0" length="0">
      <dxf>
        <numFmt numFmtId="164" formatCode="[$-F400]h:mm:ss\ AM/PM"/>
      </dxf>
    </rfmt>
    <rfmt sheetId="1" sqref="M331" start="0" length="0">
      <dxf>
        <numFmt numFmtId="164" formatCode="[$-F400]h:mm:ss\ AM/PM"/>
      </dxf>
    </rfmt>
    <rfmt sheetId="1" sqref="L332" start="0" length="0">
      <dxf>
        <numFmt numFmtId="26" formatCode="hh:mm:ss"/>
      </dxf>
    </rfmt>
    <rfmt sheetId="1" sqref="M332" start="0" length="0">
      <dxf>
        <numFmt numFmtId="26" formatCode="hh:mm:ss"/>
      </dxf>
    </rfmt>
    <rfmt sheetId="1" sqref="L333" start="0" length="0">
      <dxf>
        <numFmt numFmtId="26" formatCode="hh:mm:ss"/>
      </dxf>
    </rfmt>
    <rfmt sheetId="1" sqref="M333" start="0" length="0">
      <dxf>
        <numFmt numFmtId="26" formatCode="hh:mm:ss"/>
      </dxf>
    </rfmt>
    <rfmt sheetId="1" sqref="L334" start="0" length="0">
      <dxf>
        <numFmt numFmtId="26" formatCode="hh:mm:ss"/>
      </dxf>
    </rfmt>
    <rfmt sheetId="1" sqref="M334" start="0" length="0">
      <dxf>
        <numFmt numFmtId="26" formatCode="hh:mm:ss"/>
      </dxf>
    </rfmt>
    <rfmt sheetId="1" sqref="L335" start="0" length="0">
      <dxf>
        <numFmt numFmtId="164" formatCode="[$-F400]h:mm:ss\ AM/PM"/>
      </dxf>
    </rfmt>
    <rfmt sheetId="1" sqref="M335" start="0" length="0">
      <dxf>
        <numFmt numFmtId="164" formatCode="[$-F400]h:mm:ss\ AM/PM"/>
      </dxf>
    </rfmt>
    <rfmt sheetId="1" sqref="L336" start="0" length="0">
      <dxf>
        <numFmt numFmtId="164" formatCode="[$-F400]h:mm:ss\ AM/PM"/>
      </dxf>
    </rfmt>
    <rfmt sheetId="1" sqref="M336" start="0" length="0">
      <dxf>
        <numFmt numFmtId="164" formatCode="[$-F400]h:mm:ss\ AM/PM"/>
      </dxf>
    </rfmt>
    <rfmt sheetId="1" sqref="L337" start="0" length="0">
      <dxf>
        <numFmt numFmtId="26" formatCode="hh:mm:ss"/>
      </dxf>
    </rfmt>
    <rfmt sheetId="1" sqref="M337" start="0" length="0">
      <dxf>
        <numFmt numFmtId="26" formatCode="hh:mm:ss"/>
      </dxf>
    </rfmt>
    <rfmt sheetId="1" sqref="L338" start="0" length="0">
      <dxf>
        <numFmt numFmtId="26" formatCode="hh:mm:ss"/>
      </dxf>
    </rfmt>
    <rfmt sheetId="1" sqref="M338" start="0" length="0">
      <dxf>
        <numFmt numFmtId="26" formatCode="hh:mm:ss"/>
      </dxf>
    </rfmt>
  </rm>
  <rrc rId="5367" sId="1" ref="P1:P1048576" action="deleteCol">
    <rfmt sheetId="1" xfDxf="1" sqref="P1:P1048576" start="0" length="0"/>
    <rfmt sheetId="1" sqref="P28" start="0" length="0">
      <dxf>
        <font>
          <sz val="12"/>
          <color rgb="FFFF0000"/>
          <name val="Calibri"/>
          <family val="2"/>
          <scheme val="minor"/>
        </font>
        <alignment horizontal="left" vertical="top"/>
      </dxf>
    </rfmt>
    <rfmt sheetId="1" sqref="P43" start="0" length="0">
      <dxf>
        <font>
          <sz val="12"/>
          <color rgb="FFFF0000"/>
          <name val="Calibri"/>
          <family val="2"/>
          <scheme val="minor"/>
        </font>
        <alignment horizontal="left" vertical="top"/>
      </dxf>
    </rfmt>
  </rrc>
  <rrc rId="5368" sId="1" ref="P1:P1048576" action="deleteCol">
    <rfmt sheetId="1" xfDxf="1" sqref="P1:P1048576" start="0" length="0"/>
    <rfmt sheetId="1" sqref="P28" start="0" length="0">
      <dxf>
        <font>
          <sz val="12"/>
          <color rgb="FFFF0000"/>
          <name val="Calibri"/>
          <family val="2"/>
          <scheme val="minor"/>
        </font>
        <alignment horizontal="left" vertical="top"/>
      </dxf>
    </rfmt>
    <rfmt sheetId="1" sqref="P43" start="0" length="0">
      <dxf>
        <font>
          <sz val="12"/>
          <color rgb="FFFF0000"/>
          <name val="Calibri"/>
          <family val="2"/>
          <scheme val="minor"/>
        </font>
        <alignment horizontal="left" vertical="top"/>
      </dxf>
    </rfmt>
  </rrc>
  <rrc rId="5369" sId="2" ref="P1:Q1048576" action="insertCol"/>
  <rm rId="5370" sheetId="2" source="L1:M1048576" destination="P1:Q1048576" sourceSheetId="2">
    <rfmt sheetId="2" xfDxf="1" sqref="P1:P1048576" start="0" length="0">
      <dxf>
        <alignment horizontal="left"/>
      </dxf>
    </rfmt>
    <rfmt sheetId="2" xfDxf="1" sqref="P1:P1048576" start="0" length="0">
      <dxf>
        <alignment horizontal="left"/>
      </dxf>
    </rfmt>
    <rfmt sheetId="2" sqref="P3" start="0" length="0">
      <dxf>
        <font>
          <sz val="12"/>
          <color rgb="FFFF0000"/>
          <name val="Calibri"/>
          <family val="2"/>
          <scheme val="minor"/>
        </font>
      </dxf>
    </rfmt>
    <rfmt sheetId="2" sqref="Q3" start="0" length="0">
      <dxf>
        <font>
          <sz val="12"/>
          <color rgb="FFFF0000"/>
          <name val="Calibri"/>
          <family val="2"/>
          <scheme val="minor"/>
        </font>
      </dxf>
    </rfmt>
    <rfmt sheetId="2" sqref="P13" start="0" length="0">
      <dxf>
        <font>
          <sz val="12"/>
          <color rgb="FFFF0000"/>
          <name val="Calibri"/>
          <family val="2"/>
          <scheme val="minor"/>
        </font>
      </dxf>
    </rfmt>
    <rfmt sheetId="2" sqref="Q13" start="0" length="0">
      <dxf>
        <font>
          <sz val="12"/>
          <color rgb="FFFF0000"/>
          <name val="Calibri"/>
          <family val="2"/>
          <scheme val="minor"/>
        </font>
      </dxf>
    </rfmt>
    <rfmt sheetId="2" sqref="P14" start="0" length="0">
      <dxf>
        <font>
          <sz val="12"/>
          <color rgb="FFFF0000"/>
          <name val="Calibri"/>
          <family val="2"/>
          <scheme val="minor"/>
        </font>
      </dxf>
    </rfmt>
    <rfmt sheetId="2" sqref="Q14" start="0" length="0">
      <dxf>
        <font>
          <sz val="12"/>
          <color rgb="FFFF0000"/>
          <name val="Calibri"/>
          <family val="2"/>
          <scheme val="minor"/>
        </font>
      </dxf>
    </rfmt>
    <rfmt sheetId="2" sqref="P202" start="0" length="0">
      <dxf>
        <fill>
          <patternFill patternType="solid">
            <bgColor rgb="FFFFFF00"/>
          </patternFill>
        </fill>
      </dxf>
    </rfmt>
    <rfmt sheetId="2" sqref="Q202" start="0" length="0">
      <dxf>
        <fill>
          <patternFill patternType="solid">
            <bgColor rgb="FFFFFF00"/>
          </patternFill>
        </fill>
      </dxf>
    </rfmt>
    <rfmt sheetId="2" sqref="P203" start="0" length="0">
      <dxf>
        <fill>
          <patternFill patternType="solid">
            <bgColor rgb="FFFFFF00"/>
          </patternFill>
        </fill>
      </dxf>
    </rfmt>
    <rfmt sheetId="2" sqref="Q203" start="0" length="0">
      <dxf>
        <fill>
          <patternFill patternType="solid">
            <bgColor rgb="FFFFFF00"/>
          </patternFill>
        </fill>
      </dxf>
    </rfmt>
    <rfmt sheetId="2" sqref="P204" start="0" length="0">
      <dxf>
        <fill>
          <patternFill patternType="solid">
            <bgColor rgb="FFFFFF00"/>
          </patternFill>
        </fill>
      </dxf>
    </rfmt>
    <rfmt sheetId="2" sqref="Q204" start="0" length="0">
      <dxf>
        <fill>
          <patternFill patternType="solid">
            <bgColor rgb="FFFFFF00"/>
          </patternFill>
        </fill>
      </dxf>
    </rfmt>
    <rfmt sheetId="2" sqref="P213" start="0" length="0">
      <dxf>
        <fill>
          <patternFill patternType="solid">
            <bgColor theme="0"/>
          </patternFill>
        </fill>
      </dxf>
    </rfmt>
    <rfmt sheetId="2" sqref="Q213" start="0" length="0">
      <dxf>
        <fill>
          <patternFill patternType="solid">
            <bgColor theme="0"/>
          </patternFill>
        </fill>
      </dxf>
    </rfmt>
    <rfmt sheetId="2" sqref="P214" start="0" length="0">
      <dxf>
        <fill>
          <patternFill patternType="solid">
            <bgColor theme="0"/>
          </patternFill>
        </fill>
      </dxf>
    </rfmt>
    <rfmt sheetId="2" sqref="Q214" start="0" length="0">
      <dxf>
        <fill>
          <patternFill patternType="solid">
            <bgColor theme="0"/>
          </patternFill>
        </fill>
      </dxf>
    </rfmt>
    <rfmt sheetId="2" sqref="P215" start="0" length="0">
      <dxf>
        <fill>
          <patternFill patternType="solid">
            <bgColor theme="0"/>
          </patternFill>
        </fill>
      </dxf>
    </rfmt>
    <rfmt sheetId="2" sqref="Q215" start="0" length="0">
      <dxf>
        <fill>
          <patternFill patternType="solid">
            <bgColor theme="0"/>
          </patternFill>
        </fill>
      </dxf>
    </rfmt>
    <rfmt sheetId="2" sqref="P216" start="0" length="0">
      <dxf>
        <fill>
          <patternFill patternType="solid">
            <bgColor theme="0"/>
          </patternFill>
        </fill>
      </dxf>
    </rfmt>
    <rfmt sheetId="2" sqref="Q216" start="0" length="0">
      <dxf>
        <fill>
          <patternFill patternType="solid">
            <bgColor theme="0"/>
          </patternFill>
        </fill>
      </dxf>
    </rfmt>
    <rfmt sheetId="2" sqref="P217" start="0" length="0">
      <dxf>
        <fill>
          <patternFill patternType="solid">
            <bgColor theme="0"/>
          </patternFill>
        </fill>
      </dxf>
    </rfmt>
    <rfmt sheetId="2" sqref="Q217" start="0" length="0">
      <dxf>
        <fill>
          <patternFill patternType="solid">
            <bgColor theme="0"/>
          </patternFill>
        </fill>
      </dxf>
    </rfmt>
  </rm>
  <rrc rId="5371" sId="2" ref="L1:L1048576" action="deleteCol">
    <rfmt sheetId="2" xfDxf="1" sqref="L1:L1048576" start="0" length="0"/>
    <rfmt sheetId="2" sqref="L59" start="0" length="0">
      <dxf>
        <font>
          <sz val="12"/>
          <color rgb="FFFF0000"/>
          <name val="Calibri"/>
          <family val="2"/>
          <scheme val="minor"/>
        </font>
        <alignment horizontal="left" vertical="top"/>
      </dxf>
    </rfmt>
    <rfmt sheetId="2" sqref="L63" start="0" length="0">
      <dxf>
        <font>
          <sz val="12"/>
          <color rgb="FFFF0000"/>
          <name val="Calibri"/>
          <family val="2"/>
          <scheme val="minor"/>
        </font>
        <alignment horizontal="left" vertical="top"/>
      </dxf>
    </rfmt>
    <rfmt sheetId="2" sqref="L64" start="0" length="0">
      <dxf>
        <font>
          <sz val="12"/>
          <color rgb="FFFF0000"/>
          <name val="Calibri"/>
          <family val="2"/>
          <scheme val="minor"/>
        </font>
        <alignment horizontal="left" vertical="top"/>
      </dxf>
    </rfmt>
    <rfmt sheetId="2" sqref="L77" start="0" length="0">
      <dxf>
        <font>
          <sz val="12"/>
          <color rgb="FFFF0000"/>
          <name val="Calibri"/>
          <family val="2"/>
          <scheme val="minor"/>
        </font>
        <alignment horizontal="left" vertical="top"/>
      </dxf>
    </rfmt>
    <rfmt sheetId="2" sqref="L78" start="0" length="0">
      <dxf>
        <font>
          <sz val="12"/>
          <color rgb="FFFF0000"/>
          <name val="Calibri"/>
          <family val="2"/>
          <scheme val="minor"/>
        </font>
        <alignment horizontal="left" vertical="top"/>
      </dxf>
    </rfmt>
    <rfmt sheetId="2" sqref="L79" start="0" length="0">
      <dxf>
        <font>
          <sz val="12"/>
          <color rgb="FFFF0000"/>
          <name val="Calibri"/>
          <family val="2"/>
          <scheme val="minor"/>
        </font>
        <alignment horizontal="left" vertical="top"/>
      </dxf>
    </rfmt>
    <rfmt sheetId="2" sqref="L202" start="0" length="0">
      <dxf>
        <fill>
          <patternFill patternType="solid">
            <bgColor rgb="FFFFFF00"/>
          </patternFill>
        </fill>
        <alignment horizontal="left" vertical="top"/>
      </dxf>
    </rfmt>
    <rfmt sheetId="2" sqref="L203" start="0" length="0">
      <dxf>
        <fill>
          <patternFill patternType="solid">
            <bgColor rgb="FFFFFF00"/>
          </patternFill>
        </fill>
        <alignment horizontal="left" vertical="top"/>
      </dxf>
    </rfmt>
    <rfmt sheetId="2" sqref="L204" start="0" length="0">
      <dxf>
        <fill>
          <patternFill patternType="solid">
            <bgColor rgb="FFFFFF00"/>
          </patternFill>
        </fill>
        <alignment horizontal="left" vertical="top"/>
      </dxf>
    </rfmt>
    <rfmt sheetId="2" sqref="L213" start="0" length="0">
      <dxf>
        <fill>
          <patternFill patternType="solid">
            <bgColor theme="0"/>
          </patternFill>
        </fill>
        <alignment horizontal="left" vertical="top"/>
      </dxf>
    </rfmt>
    <rfmt sheetId="2" sqref="L214" start="0" length="0">
      <dxf>
        <fill>
          <patternFill patternType="solid">
            <bgColor theme="0"/>
          </patternFill>
        </fill>
        <alignment horizontal="left" vertical="top"/>
      </dxf>
    </rfmt>
    <rfmt sheetId="2" sqref="L215" start="0" length="0">
      <dxf>
        <fill>
          <patternFill patternType="solid">
            <bgColor theme="0"/>
          </patternFill>
        </fill>
        <alignment horizontal="left" vertical="top"/>
      </dxf>
    </rfmt>
    <rfmt sheetId="2" sqref="L216" start="0" length="0">
      <dxf>
        <fill>
          <patternFill patternType="solid">
            <bgColor theme="0"/>
          </patternFill>
        </fill>
        <alignment horizontal="left" vertical="top"/>
      </dxf>
    </rfmt>
    <rfmt sheetId="2" sqref="L217" start="0" length="0">
      <dxf>
        <fill>
          <patternFill patternType="solid">
            <bgColor theme="0"/>
          </patternFill>
        </fill>
        <alignment horizontal="left" vertical="top"/>
      </dxf>
    </rfmt>
  </rrc>
  <rrc rId="5372" sId="2" ref="L1:L1048576" action="deleteCol">
    <rfmt sheetId="2" xfDxf="1" sqref="L1:L1048576" start="0" length="0"/>
    <rfmt sheetId="2" sqref="L59" start="0" length="0">
      <dxf>
        <font>
          <sz val="12"/>
          <color rgb="FFFF0000"/>
          <name val="Calibri"/>
          <family val="2"/>
          <scheme val="minor"/>
        </font>
        <alignment horizontal="left" vertical="top"/>
      </dxf>
    </rfmt>
    <rfmt sheetId="2" sqref="L63" start="0" length="0">
      <dxf>
        <font>
          <sz val="12"/>
          <color rgb="FFFF0000"/>
          <name val="Calibri"/>
          <family val="2"/>
          <scheme val="minor"/>
        </font>
        <alignment horizontal="left" vertical="top"/>
      </dxf>
    </rfmt>
    <rfmt sheetId="2" sqref="L64" start="0" length="0">
      <dxf>
        <font>
          <sz val="12"/>
          <color rgb="FFFF0000"/>
          <name val="Calibri"/>
          <family val="2"/>
          <scheme val="minor"/>
        </font>
        <alignment horizontal="left" vertical="top"/>
      </dxf>
    </rfmt>
    <rfmt sheetId="2" sqref="L77" start="0" length="0">
      <dxf>
        <font>
          <sz val="12"/>
          <color rgb="FFFF0000"/>
          <name val="Calibri"/>
          <family val="2"/>
          <scheme val="minor"/>
        </font>
        <alignment horizontal="left" vertical="top"/>
      </dxf>
    </rfmt>
    <rfmt sheetId="2" sqref="L78" start="0" length="0">
      <dxf>
        <font>
          <sz val="12"/>
          <color rgb="FFFF0000"/>
          <name val="Calibri"/>
          <family val="2"/>
          <scheme val="minor"/>
        </font>
        <alignment horizontal="left" vertical="top"/>
      </dxf>
    </rfmt>
    <rfmt sheetId="2" sqref="L79" start="0" length="0">
      <dxf>
        <font>
          <sz val="12"/>
          <color rgb="FFFF0000"/>
          <name val="Calibri"/>
          <family val="2"/>
          <scheme val="minor"/>
        </font>
        <alignment horizontal="left" vertical="top"/>
      </dxf>
    </rfmt>
    <rfmt sheetId="2" sqref="L202" start="0" length="0">
      <dxf>
        <fill>
          <patternFill patternType="solid">
            <bgColor rgb="FFFFFF00"/>
          </patternFill>
        </fill>
        <alignment horizontal="left" vertical="top"/>
      </dxf>
    </rfmt>
    <rfmt sheetId="2" sqref="L203" start="0" length="0">
      <dxf>
        <fill>
          <patternFill patternType="solid">
            <bgColor rgb="FFFFFF00"/>
          </patternFill>
        </fill>
        <alignment horizontal="left" vertical="top"/>
      </dxf>
    </rfmt>
    <rfmt sheetId="2" sqref="L204" start="0" length="0">
      <dxf>
        <fill>
          <patternFill patternType="solid">
            <bgColor rgb="FFFFFF00"/>
          </patternFill>
        </fill>
        <alignment horizontal="left" vertical="top"/>
      </dxf>
    </rfmt>
    <rfmt sheetId="2" sqref="L213" start="0" length="0">
      <dxf>
        <fill>
          <patternFill patternType="solid">
            <bgColor theme="0"/>
          </patternFill>
        </fill>
        <alignment horizontal="left" vertical="top"/>
      </dxf>
    </rfmt>
    <rfmt sheetId="2" sqref="L214" start="0" length="0">
      <dxf>
        <fill>
          <patternFill patternType="solid">
            <bgColor theme="0"/>
          </patternFill>
        </fill>
        <alignment horizontal="left" vertical="top"/>
      </dxf>
    </rfmt>
    <rfmt sheetId="2" sqref="L215" start="0" length="0">
      <dxf>
        <fill>
          <patternFill patternType="solid">
            <bgColor theme="0"/>
          </patternFill>
        </fill>
        <alignment horizontal="left" vertical="top"/>
      </dxf>
    </rfmt>
    <rfmt sheetId="2" sqref="L216" start="0" length="0">
      <dxf>
        <fill>
          <patternFill patternType="solid">
            <bgColor theme="0"/>
          </patternFill>
        </fill>
        <alignment horizontal="left" vertical="top"/>
      </dxf>
    </rfmt>
    <rfmt sheetId="2" sqref="L217" start="0" length="0">
      <dxf>
        <fill>
          <patternFill patternType="solid">
            <bgColor theme="0"/>
          </patternFill>
        </fill>
        <alignment horizontal="left" vertical="top"/>
      </dxf>
    </rfmt>
  </rrc>
  <rrc rId="5373" sId="1" ref="Q1:R1048576" action="insertCol"/>
  <rcc rId="5374" sId="1" odxf="1" dxf="1">
    <nc r="Q1" t="inlineStr">
      <is>
        <t>vpatt_freq_dep</t>
      </is>
    </nc>
    <odxf>
      <fill>
        <patternFill patternType="none">
          <bgColor indexed="65"/>
        </patternFill>
      </fill>
    </odxf>
    <ndxf>
      <fill>
        <patternFill patternType="solid">
          <bgColor rgb="FFFF0000"/>
        </patternFill>
      </fill>
    </ndxf>
  </rcc>
  <rcc rId="5375" sId="1" odxf="1" dxf="1">
    <nc r="R1" t="inlineStr">
      <is>
        <t>vpatt_freq_ret</t>
      </is>
    </nc>
    <odxf>
      <fill>
        <patternFill patternType="none">
          <bgColor indexed="65"/>
        </patternFill>
      </fill>
    </odxf>
    <ndxf>
      <fill>
        <patternFill patternType="solid">
          <bgColor rgb="FFFF0000"/>
        </patternFill>
      </fill>
    </ndxf>
  </rcc>
  <rcc rId="5376" sId="1" odxf="1" dxf="1">
    <nc r="Q2">
      <v>0.1</v>
    </nc>
    <odxf>
      <fill>
        <patternFill patternType="none">
          <bgColor indexed="65"/>
        </patternFill>
      </fill>
    </odxf>
    <ndxf>
      <fill>
        <patternFill patternType="solid">
          <bgColor rgb="FFFF0000"/>
        </patternFill>
      </fill>
    </ndxf>
  </rcc>
  <rfmt sheetId="1" sqref="R2" start="0" length="0">
    <dxf>
      <numFmt numFmtId="2" formatCode="0.00"/>
      <fill>
        <patternFill patternType="solid">
          <bgColor rgb="FFFF0000"/>
        </patternFill>
      </fill>
    </dxf>
  </rfmt>
  <rcc rId="5377" sId="1" odxf="1" dxf="1">
    <nc r="Q3">
      <v>0.1</v>
    </nc>
    <odxf>
      <fill>
        <patternFill patternType="none">
          <bgColor indexed="65"/>
        </patternFill>
      </fill>
    </odxf>
    <ndxf>
      <fill>
        <patternFill patternType="solid">
          <bgColor rgb="FFFF0000"/>
        </patternFill>
      </fill>
    </ndxf>
  </rcc>
  <rfmt sheetId="1" sqref="R3" start="0" length="0">
    <dxf>
      <numFmt numFmtId="2" formatCode="0.00"/>
      <fill>
        <patternFill patternType="solid">
          <bgColor rgb="FFFF0000"/>
        </patternFill>
      </fill>
    </dxf>
  </rfmt>
  <rfmt sheetId="1" sqref="Q4" start="0" length="0">
    <dxf>
      <fill>
        <patternFill patternType="solid">
          <bgColor rgb="FFFF0000"/>
        </patternFill>
      </fill>
    </dxf>
  </rfmt>
  <rfmt sheetId="1" sqref="R4" start="0" length="0">
    <dxf>
      <fill>
        <patternFill patternType="solid">
          <bgColor rgb="FFFF0000"/>
        </patternFill>
      </fill>
    </dxf>
  </rfmt>
  <rfmt sheetId="1" sqref="Q5" start="0" length="0">
    <dxf>
      <fill>
        <patternFill patternType="solid">
          <bgColor rgb="FFFF0000"/>
        </patternFill>
      </fill>
    </dxf>
  </rfmt>
  <rfmt sheetId="1" sqref="R5" start="0" length="0">
    <dxf>
      <fill>
        <patternFill patternType="solid">
          <bgColor rgb="FFFF0000"/>
        </patternFill>
      </fill>
    </dxf>
  </rfmt>
  <rfmt sheetId="1" sqref="Q6" start="0" length="0">
    <dxf>
      <fill>
        <patternFill patternType="solid">
          <bgColor rgb="FFFF0000"/>
        </patternFill>
      </fill>
    </dxf>
  </rfmt>
  <rfmt sheetId="1" sqref="R6" start="0" length="0">
    <dxf>
      <fill>
        <patternFill patternType="solid">
          <bgColor rgb="FFFF0000"/>
        </patternFill>
      </fill>
    </dxf>
  </rfmt>
  <rcc rId="5378" sId="1" odxf="1" dxf="1">
    <nc r="Q7">
      <v>0.1</v>
    </nc>
    <odxf>
      <fill>
        <patternFill patternType="none">
          <bgColor indexed="65"/>
        </patternFill>
      </fill>
    </odxf>
    <ndxf>
      <fill>
        <patternFill patternType="solid">
          <bgColor rgb="FFFF0000"/>
        </patternFill>
      </fill>
    </ndxf>
  </rcc>
  <rfmt sheetId="1" sqref="R7" start="0" length="0">
    <dxf>
      <numFmt numFmtId="2" formatCode="0.00"/>
      <fill>
        <patternFill patternType="solid">
          <bgColor rgb="FFFF0000"/>
        </patternFill>
      </fill>
    </dxf>
  </rfmt>
  <rfmt sheetId="1" sqref="Q8" start="0" length="0">
    <dxf>
      <fill>
        <patternFill patternType="solid">
          <bgColor rgb="FFFF0000"/>
        </patternFill>
      </fill>
    </dxf>
  </rfmt>
  <rfmt sheetId="1" sqref="R8" start="0" length="0">
    <dxf>
      <fill>
        <patternFill patternType="solid">
          <bgColor rgb="FFFF0000"/>
        </patternFill>
      </fill>
    </dxf>
  </rfmt>
  <rcc rId="5379" sId="1" odxf="1" dxf="1">
    <nc r="Q9">
      <v>0.1</v>
    </nc>
    <odxf>
      <fill>
        <patternFill patternType="none">
          <bgColor indexed="65"/>
        </patternFill>
      </fill>
    </odxf>
    <ndxf>
      <fill>
        <patternFill patternType="solid">
          <bgColor rgb="FFFF0000"/>
        </patternFill>
      </fill>
    </ndxf>
  </rcc>
  <rfmt sheetId="1" sqref="R9" start="0" length="0">
    <dxf>
      <numFmt numFmtId="2" formatCode="0.00"/>
      <fill>
        <patternFill patternType="solid">
          <bgColor rgb="FFFF0000"/>
        </patternFill>
      </fill>
    </dxf>
  </rfmt>
  <rcc rId="5380" sId="1" odxf="1" dxf="1">
    <nc r="Q10">
      <v>0.1</v>
    </nc>
    <odxf>
      <fill>
        <patternFill patternType="none">
          <bgColor indexed="65"/>
        </patternFill>
      </fill>
    </odxf>
    <ndxf>
      <fill>
        <patternFill patternType="solid">
          <bgColor rgb="FFFF0000"/>
        </patternFill>
      </fill>
    </ndxf>
  </rcc>
  <rfmt sheetId="1" sqref="R10" start="0" length="0">
    <dxf>
      <numFmt numFmtId="2" formatCode="0.00"/>
      <fill>
        <patternFill patternType="solid">
          <bgColor rgb="FFFF0000"/>
        </patternFill>
      </fill>
    </dxf>
  </rfmt>
  <rcc rId="5381" sId="1" odxf="1" dxf="1">
    <nc r="Q11">
      <v>0.1</v>
    </nc>
    <odxf>
      <fill>
        <patternFill patternType="none">
          <bgColor indexed="65"/>
        </patternFill>
      </fill>
    </odxf>
    <ndxf>
      <fill>
        <patternFill patternType="solid">
          <bgColor rgb="FFFF0000"/>
        </patternFill>
      </fill>
    </ndxf>
  </rcc>
  <rfmt sheetId="1" sqref="R11" start="0" length="0">
    <dxf>
      <numFmt numFmtId="2" formatCode="0.00"/>
      <fill>
        <patternFill patternType="solid">
          <bgColor rgb="FFFF0000"/>
        </patternFill>
      </fill>
    </dxf>
  </rfmt>
  <rcc rId="5382" sId="1" odxf="1" dxf="1">
    <nc r="Q12">
      <v>0.1</v>
    </nc>
    <odxf>
      <fill>
        <patternFill patternType="none">
          <bgColor indexed="65"/>
        </patternFill>
      </fill>
    </odxf>
    <ndxf>
      <fill>
        <patternFill patternType="solid">
          <bgColor rgb="FFFF0000"/>
        </patternFill>
      </fill>
    </ndxf>
  </rcc>
  <rfmt sheetId="1" sqref="R12" start="0" length="0">
    <dxf>
      <numFmt numFmtId="2" formatCode="0.00"/>
      <fill>
        <patternFill patternType="solid">
          <bgColor rgb="FFFF0000"/>
        </patternFill>
      </fill>
    </dxf>
  </rfmt>
  <rcc rId="5383" sId="1" odxf="1" dxf="1">
    <nc r="Q13">
      <v>0.1</v>
    </nc>
    <odxf>
      <fill>
        <patternFill patternType="none">
          <bgColor indexed="65"/>
        </patternFill>
      </fill>
    </odxf>
    <ndxf>
      <fill>
        <patternFill patternType="solid">
          <bgColor rgb="FFFF0000"/>
        </patternFill>
      </fill>
    </ndxf>
  </rcc>
  <rfmt sheetId="1" sqref="R13" start="0" length="0">
    <dxf>
      <numFmt numFmtId="2" formatCode="0.00"/>
      <fill>
        <patternFill patternType="solid">
          <bgColor rgb="FFFF0000"/>
        </patternFill>
      </fill>
    </dxf>
  </rfmt>
  <rcc rId="5384" sId="1" odxf="1" dxf="1">
    <nc r="Q14">
      <v>0.1</v>
    </nc>
    <odxf>
      <fill>
        <patternFill patternType="none">
          <bgColor indexed="65"/>
        </patternFill>
      </fill>
    </odxf>
    <ndxf>
      <fill>
        <patternFill patternType="solid">
          <bgColor rgb="FFFF0000"/>
        </patternFill>
      </fill>
    </ndxf>
  </rcc>
  <rfmt sheetId="1" sqref="R14" start="0" length="0">
    <dxf>
      <numFmt numFmtId="2" formatCode="0.00"/>
      <fill>
        <patternFill patternType="solid">
          <bgColor rgb="FFFF0000"/>
        </patternFill>
      </fill>
    </dxf>
  </rfmt>
  <rcc rId="5385" sId="1" odxf="1" dxf="1">
    <nc r="Q15">
      <v>0.1</v>
    </nc>
    <odxf>
      <fill>
        <patternFill patternType="none">
          <bgColor indexed="65"/>
        </patternFill>
      </fill>
    </odxf>
    <ndxf>
      <fill>
        <patternFill patternType="solid">
          <bgColor rgb="FFFF0000"/>
        </patternFill>
      </fill>
    </ndxf>
  </rcc>
  <rfmt sheetId="1" sqref="R15" start="0" length="0">
    <dxf>
      <numFmt numFmtId="2" formatCode="0.00"/>
      <fill>
        <patternFill patternType="solid">
          <bgColor rgb="FFFF0000"/>
        </patternFill>
      </fill>
    </dxf>
  </rfmt>
  <rcc rId="5386" sId="1" odxf="1" dxf="1">
    <nc r="Q16">
      <v>0.1</v>
    </nc>
    <odxf>
      <fill>
        <patternFill patternType="none">
          <bgColor indexed="65"/>
        </patternFill>
      </fill>
    </odxf>
    <ndxf>
      <fill>
        <patternFill patternType="solid">
          <bgColor rgb="FFFF0000"/>
        </patternFill>
      </fill>
    </ndxf>
  </rcc>
  <rfmt sheetId="1" sqref="R16" start="0" length="0">
    <dxf>
      <numFmt numFmtId="2" formatCode="0.00"/>
      <fill>
        <patternFill patternType="solid">
          <bgColor rgb="FFFF0000"/>
        </patternFill>
      </fill>
    </dxf>
  </rfmt>
  <rcc rId="5387" sId="1" odxf="1" dxf="1">
    <nc r="Q17">
      <v>0.1</v>
    </nc>
    <odxf>
      <fill>
        <patternFill patternType="none">
          <bgColor indexed="65"/>
        </patternFill>
      </fill>
    </odxf>
    <ndxf>
      <fill>
        <patternFill patternType="solid">
          <bgColor rgb="FFFF0000"/>
        </patternFill>
      </fill>
    </ndxf>
  </rcc>
  <rfmt sheetId="1" sqref="R17" start="0" length="0">
    <dxf>
      <numFmt numFmtId="2" formatCode="0.00"/>
      <fill>
        <patternFill patternType="solid">
          <bgColor rgb="FFFF0000"/>
        </patternFill>
      </fill>
    </dxf>
  </rfmt>
  <rcc rId="5388" sId="1" odxf="1" dxf="1">
    <nc r="Q18">
      <v>0.1</v>
    </nc>
    <odxf>
      <fill>
        <patternFill patternType="none">
          <bgColor indexed="65"/>
        </patternFill>
      </fill>
    </odxf>
    <ndxf>
      <fill>
        <patternFill patternType="solid">
          <bgColor rgb="FFFF0000"/>
        </patternFill>
      </fill>
    </ndxf>
  </rcc>
  <rcc rId="5389" sId="1" odxf="1" dxf="1">
    <nc r="R18" t="inlineStr">
      <is>
        <t>NA</t>
      </is>
    </nc>
    <odxf>
      <numFmt numFmtId="0" formatCode="General"/>
      <fill>
        <patternFill patternType="none">
          <bgColor indexed="65"/>
        </patternFill>
      </fill>
    </odxf>
    <ndxf>
      <numFmt numFmtId="2" formatCode="0.00"/>
      <fill>
        <patternFill patternType="solid">
          <bgColor rgb="FFFF0000"/>
        </patternFill>
      </fill>
    </ndxf>
  </rcc>
  <rcc rId="5390" sId="1" odxf="1" dxf="1">
    <nc r="Q19">
      <v>0.1</v>
    </nc>
    <odxf>
      <fill>
        <patternFill patternType="none">
          <bgColor indexed="65"/>
        </patternFill>
      </fill>
    </odxf>
    <ndxf>
      <fill>
        <patternFill patternType="solid">
          <bgColor rgb="FFFF0000"/>
        </patternFill>
      </fill>
    </ndxf>
  </rcc>
  <rcc rId="5391" sId="1" odxf="1" dxf="1">
    <nc r="R19">
      <v>0.05</v>
    </nc>
    <odxf>
      <fill>
        <patternFill patternType="none">
          <bgColor indexed="65"/>
        </patternFill>
      </fill>
    </odxf>
    <ndxf>
      <fill>
        <patternFill patternType="solid">
          <bgColor rgb="FFFF0000"/>
        </patternFill>
      </fill>
    </ndxf>
  </rcc>
  <rcc rId="5392" sId="1" odxf="1" dxf="1">
    <nc r="Q20">
      <v>0.1</v>
    </nc>
    <odxf>
      <fill>
        <patternFill patternType="none">
          <bgColor indexed="65"/>
        </patternFill>
      </fill>
    </odxf>
    <ndxf>
      <fill>
        <patternFill patternType="solid">
          <bgColor rgb="FFFF0000"/>
        </patternFill>
      </fill>
    </ndxf>
  </rcc>
  <rcc rId="5393" sId="1" odxf="1" dxf="1">
    <nc r="R20" t="inlineStr">
      <is>
        <t>NA</t>
      </is>
    </nc>
    <odxf>
      <numFmt numFmtId="0" formatCode="General"/>
      <fill>
        <patternFill patternType="none">
          <bgColor indexed="65"/>
        </patternFill>
      </fill>
    </odxf>
    <ndxf>
      <numFmt numFmtId="2" formatCode="0.00"/>
      <fill>
        <patternFill patternType="solid">
          <bgColor rgb="FFFF0000"/>
        </patternFill>
      </fill>
    </ndxf>
  </rcc>
  <rcc rId="5394" sId="1" odxf="1" dxf="1">
    <nc r="Q21">
      <v>0.1</v>
    </nc>
    <odxf>
      <fill>
        <patternFill patternType="none">
          <bgColor indexed="65"/>
        </patternFill>
      </fill>
    </odxf>
    <ndxf>
      <fill>
        <patternFill patternType="solid">
          <bgColor rgb="FFFF0000"/>
        </patternFill>
      </fill>
    </ndxf>
  </rcc>
  <rcc rId="5395" sId="1" odxf="1" dxf="1">
    <nc r="R21">
      <v>0.15</v>
    </nc>
    <odxf>
      <fill>
        <patternFill patternType="none">
          <bgColor indexed="65"/>
        </patternFill>
      </fill>
    </odxf>
    <ndxf>
      <fill>
        <patternFill patternType="solid">
          <bgColor rgb="FFFF0000"/>
        </patternFill>
      </fill>
    </ndxf>
  </rcc>
  <rcc rId="5396" sId="1" odxf="1" dxf="1">
    <nc r="Q22">
      <v>0.1</v>
    </nc>
    <odxf>
      <fill>
        <patternFill patternType="none">
          <bgColor indexed="65"/>
        </patternFill>
      </fill>
    </odxf>
    <ndxf>
      <fill>
        <patternFill patternType="solid">
          <bgColor rgb="FFFF0000"/>
        </patternFill>
      </fill>
    </ndxf>
  </rcc>
  <rcc rId="5397" sId="1" odxf="1" dxf="1">
    <nc r="R22" t="inlineStr">
      <is>
        <t>NA</t>
      </is>
    </nc>
    <odxf>
      <numFmt numFmtId="0" formatCode="General"/>
      <fill>
        <patternFill patternType="none">
          <bgColor indexed="65"/>
        </patternFill>
      </fill>
    </odxf>
    <ndxf>
      <numFmt numFmtId="2" formatCode="0.00"/>
      <fill>
        <patternFill patternType="solid">
          <bgColor rgb="FFFF0000"/>
        </patternFill>
      </fill>
    </ndxf>
  </rcc>
  <rcc rId="5398" sId="1" odxf="1" dxf="1">
    <nc r="Q23">
      <v>0.1</v>
    </nc>
    <odxf>
      <fill>
        <patternFill patternType="none">
          <bgColor indexed="65"/>
        </patternFill>
      </fill>
    </odxf>
    <ndxf>
      <fill>
        <patternFill patternType="solid">
          <bgColor rgb="FFFF0000"/>
        </patternFill>
      </fill>
    </ndxf>
  </rcc>
  <rcc rId="5399" sId="1" odxf="1" dxf="1">
    <nc r="R23">
      <v>0.05</v>
    </nc>
    <odxf>
      <fill>
        <patternFill patternType="none">
          <bgColor indexed="65"/>
        </patternFill>
      </fill>
    </odxf>
    <ndxf>
      <fill>
        <patternFill patternType="solid">
          <bgColor rgb="FFFF0000"/>
        </patternFill>
      </fill>
    </ndxf>
  </rcc>
  <rcc rId="5400" sId="1" odxf="1" dxf="1">
    <nc r="Q24">
      <v>0.1</v>
    </nc>
    <odxf>
      <fill>
        <patternFill patternType="none">
          <bgColor indexed="65"/>
        </patternFill>
      </fill>
    </odxf>
    <ndxf>
      <fill>
        <patternFill patternType="solid">
          <bgColor rgb="FFFF0000"/>
        </patternFill>
      </fill>
    </ndxf>
  </rcc>
  <rcc rId="5401" sId="1" odxf="1" dxf="1">
    <nc r="R24">
      <v>0.1</v>
    </nc>
    <odxf>
      <fill>
        <patternFill patternType="none">
          <bgColor indexed="65"/>
        </patternFill>
      </fill>
    </odxf>
    <ndxf>
      <fill>
        <patternFill patternType="solid">
          <bgColor rgb="FFFF0000"/>
        </patternFill>
      </fill>
    </ndxf>
  </rcc>
  <rcc rId="5402" sId="1" odxf="1" dxf="1">
    <nc r="Q25">
      <v>0.1</v>
    </nc>
    <odxf>
      <fill>
        <patternFill patternType="none">
          <bgColor indexed="65"/>
        </patternFill>
      </fill>
    </odxf>
    <ndxf>
      <fill>
        <patternFill patternType="solid">
          <bgColor rgb="FFFF0000"/>
        </patternFill>
      </fill>
    </ndxf>
  </rcc>
  <rcc rId="5403" sId="1" odxf="1" dxf="1">
    <nc r="R25">
      <v>0.15</v>
    </nc>
    <odxf>
      <fill>
        <patternFill patternType="none">
          <bgColor indexed="65"/>
        </patternFill>
      </fill>
    </odxf>
    <ndxf>
      <fill>
        <patternFill patternType="solid">
          <bgColor rgb="FFFF0000"/>
        </patternFill>
      </fill>
    </ndxf>
  </rcc>
  <rcc rId="5404" sId="1" odxf="1" dxf="1">
    <nc r="Q26">
      <v>0.1</v>
    </nc>
    <odxf>
      <fill>
        <patternFill patternType="none">
          <bgColor indexed="65"/>
        </patternFill>
      </fill>
    </odxf>
    <ndxf>
      <fill>
        <patternFill patternType="solid">
          <bgColor rgb="FFFF0000"/>
        </patternFill>
      </fill>
    </ndxf>
  </rcc>
  <rcc rId="5405" sId="1" odxf="1" dxf="1">
    <nc r="R26" t="inlineStr">
      <is>
        <t>NA</t>
      </is>
    </nc>
    <odxf>
      <numFmt numFmtId="0" formatCode="General"/>
      <fill>
        <patternFill patternType="none">
          <bgColor indexed="65"/>
        </patternFill>
      </fill>
    </odxf>
    <ndxf>
      <numFmt numFmtId="2" formatCode="0.00"/>
      <fill>
        <patternFill patternType="solid">
          <bgColor rgb="FFFF0000"/>
        </patternFill>
      </fill>
    </ndxf>
  </rcc>
  <rcc rId="5406" sId="1" odxf="1" dxf="1">
    <nc r="Q27">
      <v>0.1</v>
    </nc>
    <odxf>
      <fill>
        <patternFill patternType="none">
          <bgColor indexed="65"/>
        </patternFill>
      </fill>
    </odxf>
    <ndxf>
      <fill>
        <patternFill patternType="solid">
          <bgColor rgb="FFFF0000"/>
        </patternFill>
      </fill>
    </ndxf>
  </rcc>
  <rcc rId="5407" sId="1" odxf="1" dxf="1">
    <nc r="R27" t="inlineStr">
      <is>
        <t>NA</t>
      </is>
    </nc>
    <odxf>
      <numFmt numFmtId="0" formatCode="General"/>
      <fill>
        <patternFill patternType="none">
          <bgColor indexed="65"/>
        </patternFill>
      </fill>
    </odxf>
    <ndxf>
      <numFmt numFmtId="2" formatCode="0.00"/>
      <fill>
        <patternFill patternType="solid">
          <bgColor rgb="FFFF0000"/>
        </patternFill>
      </fill>
    </ndxf>
  </rcc>
  <rcc rId="5408" sId="1" odxf="1" dxf="1">
    <nc r="Q28">
      <v>0.1</v>
    </nc>
    <odxf>
      <fill>
        <patternFill patternType="none">
          <bgColor indexed="65"/>
        </patternFill>
      </fill>
    </odxf>
    <ndxf>
      <fill>
        <patternFill patternType="solid">
          <bgColor rgb="FFFF0000"/>
        </patternFill>
      </fill>
    </ndxf>
  </rcc>
  <rcc rId="5409" sId="1" odxf="1" dxf="1">
    <nc r="R28" t="inlineStr">
      <is>
        <t>NA</t>
      </is>
    </nc>
    <odxf>
      <numFmt numFmtId="0" formatCode="General"/>
      <fill>
        <patternFill patternType="none">
          <bgColor indexed="65"/>
        </patternFill>
      </fill>
    </odxf>
    <ndxf>
      <numFmt numFmtId="2" formatCode="0.00"/>
      <fill>
        <patternFill patternType="solid">
          <bgColor rgb="FFFF0000"/>
        </patternFill>
      </fill>
    </ndxf>
  </rcc>
  <rcc rId="5410" sId="1" odxf="1" dxf="1">
    <nc r="Q29">
      <v>0.1</v>
    </nc>
    <odxf>
      <fill>
        <patternFill patternType="none">
          <bgColor indexed="65"/>
        </patternFill>
      </fill>
    </odxf>
    <ndxf>
      <fill>
        <patternFill patternType="solid">
          <bgColor rgb="FFFF0000"/>
        </patternFill>
      </fill>
    </ndxf>
  </rcc>
  <rcc rId="5411" sId="1" odxf="1" dxf="1">
    <nc r="R29">
      <v>0.15</v>
    </nc>
    <odxf>
      <fill>
        <patternFill patternType="none">
          <bgColor indexed="65"/>
        </patternFill>
      </fill>
    </odxf>
    <ndxf>
      <fill>
        <patternFill patternType="solid">
          <bgColor rgb="FFFF0000"/>
        </patternFill>
      </fill>
    </ndxf>
  </rcc>
  <rcc rId="5412" sId="1" odxf="1" dxf="1">
    <nc r="Q30">
      <v>0.1</v>
    </nc>
    <odxf>
      <fill>
        <patternFill patternType="none">
          <bgColor indexed="65"/>
        </patternFill>
      </fill>
    </odxf>
    <ndxf>
      <fill>
        <patternFill patternType="solid">
          <bgColor rgb="FFFF0000"/>
        </patternFill>
      </fill>
    </ndxf>
  </rcc>
  <rcc rId="5413" sId="1" odxf="1" dxf="1">
    <nc r="R30">
      <v>0.1</v>
    </nc>
    <odxf>
      <fill>
        <patternFill patternType="none">
          <bgColor indexed="65"/>
        </patternFill>
      </fill>
    </odxf>
    <ndxf>
      <fill>
        <patternFill patternType="solid">
          <bgColor rgb="FFFF0000"/>
        </patternFill>
      </fill>
    </ndxf>
  </rcc>
  <rcc rId="5414" sId="1" odxf="1" dxf="1">
    <nc r="Q31">
      <v>0.1</v>
    </nc>
    <odxf>
      <fill>
        <patternFill patternType="none">
          <bgColor indexed="65"/>
        </patternFill>
      </fill>
    </odxf>
    <ndxf>
      <fill>
        <patternFill patternType="solid">
          <bgColor rgb="FFFF0000"/>
        </patternFill>
      </fill>
    </ndxf>
  </rcc>
  <rcc rId="5415" sId="1" odxf="1" dxf="1">
    <nc r="R31" t="inlineStr">
      <is>
        <t>NA</t>
      </is>
    </nc>
    <odxf>
      <numFmt numFmtId="0" formatCode="General"/>
      <fill>
        <patternFill patternType="none">
          <bgColor indexed="65"/>
        </patternFill>
      </fill>
    </odxf>
    <ndxf>
      <numFmt numFmtId="2" formatCode="0.00"/>
      <fill>
        <patternFill patternType="solid">
          <bgColor rgb="FFFF0000"/>
        </patternFill>
      </fill>
    </ndxf>
  </rcc>
  <rcc rId="5416" sId="1" odxf="1" dxf="1">
    <nc r="Q32">
      <v>0.05</v>
    </nc>
    <odxf>
      <fill>
        <patternFill patternType="none">
          <bgColor indexed="65"/>
        </patternFill>
      </fill>
    </odxf>
    <ndxf>
      <fill>
        <patternFill patternType="solid">
          <bgColor rgb="FFFF0000"/>
        </patternFill>
      </fill>
    </ndxf>
  </rcc>
  <rcc rId="5417" sId="1" odxf="1" dxf="1">
    <nc r="R32">
      <v>0.05</v>
    </nc>
    <odxf>
      <fill>
        <patternFill patternType="none">
          <bgColor indexed="65"/>
        </patternFill>
      </fill>
    </odxf>
    <ndxf>
      <fill>
        <patternFill patternType="solid">
          <bgColor rgb="FFFF0000"/>
        </patternFill>
      </fill>
    </ndxf>
  </rcc>
  <rcc rId="5418" sId="1" odxf="1" dxf="1">
    <nc r="Q33">
      <v>0.1</v>
    </nc>
    <odxf>
      <fill>
        <patternFill patternType="none">
          <bgColor indexed="65"/>
        </patternFill>
      </fill>
    </odxf>
    <ndxf>
      <fill>
        <patternFill patternType="solid">
          <bgColor rgb="FFFF0000"/>
        </patternFill>
      </fill>
    </ndxf>
  </rcc>
  <rcc rId="5419" sId="1" odxf="1" dxf="1">
    <nc r="R33">
      <v>0.1</v>
    </nc>
    <odxf>
      <fill>
        <patternFill patternType="none">
          <bgColor indexed="65"/>
        </patternFill>
      </fill>
    </odxf>
    <ndxf>
      <fill>
        <patternFill patternType="solid">
          <bgColor rgb="FFFF0000"/>
        </patternFill>
      </fill>
    </ndxf>
  </rcc>
  <rfmt sheetId="1" sqref="Q34" start="0" length="0">
    <dxf>
      <fill>
        <patternFill patternType="solid">
          <bgColor rgb="FFFF0000"/>
        </patternFill>
      </fill>
    </dxf>
  </rfmt>
  <rfmt sheetId="1" sqref="R34" start="0" length="0">
    <dxf>
      <fill>
        <patternFill patternType="solid">
          <bgColor rgb="FFFF0000"/>
        </patternFill>
      </fill>
    </dxf>
  </rfmt>
  <rfmt sheetId="1" sqref="Q35" start="0" length="0">
    <dxf>
      <fill>
        <patternFill patternType="solid">
          <bgColor rgb="FFFF0000"/>
        </patternFill>
      </fill>
    </dxf>
  </rfmt>
  <rfmt sheetId="1" sqref="R35" start="0" length="0">
    <dxf>
      <fill>
        <patternFill patternType="solid">
          <bgColor rgb="FFFF0000"/>
        </patternFill>
      </fill>
    </dxf>
  </rfmt>
  <rcc rId="5420" sId="1" odxf="1" dxf="1">
    <nc r="Q36">
      <v>0.1</v>
    </nc>
    <odxf>
      <fill>
        <patternFill patternType="none">
          <bgColor indexed="65"/>
        </patternFill>
      </fill>
    </odxf>
    <ndxf>
      <fill>
        <patternFill patternType="solid">
          <bgColor rgb="FFFF0000"/>
        </patternFill>
      </fill>
    </ndxf>
  </rcc>
  <rcc rId="5421" sId="1" odxf="1" dxf="1">
    <nc r="R36">
      <v>0.05</v>
    </nc>
    <odxf>
      <fill>
        <patternFill patternType="none">
          <bgColor indexed="65"/>
        </patternFill>
      </fill>
    </odxf>
    <ndxf>
      <fill>
        <patternFill patternType="solid">
          <bgColor rgb="FFFF0000"/>
        </patternFill>
      </fill>
    </ndxf>
  </rcc>
  <rcc rId="5422" sId="1" odxf="1" dxf="1">
    <nc r="Q37">
      <v>0.1</v>
    </nc>
    <odxf>
      <fill>
        <patternFill patternType="none">
          <bgColor indexed="65"/>
        </patternFill>
      </fill>
    </odxf>
    <ndxf>
      <fill>
        <patternFill patternType="solid">
          <bgColor rgb="FFFF0000"/>
        </patternFill>
      </fill>
    </ndxf>
  </rcc>
  <rcc rId="5423" sId="1" odxf="1" dxf="1">
    <nc r="R37">
      <v>0.1</v>
    </nc>
    <odxf>
      <fill>
        <patternFill patternType="none">
          <bgColor indexed="65"/>
        </patternFill>
      </fill>
    </odxf>
    <ndxf>
      <fill>
        <patternFill patternType="solid">
          <bgColor rgb="FFFF0000"/>
        </patternFill>
      </fill>
    </ndxf>
  </rcc>
  <rcc rId="5424" sId="1" odxf="1" dxf="1">
    <nc r="Q38">
      <v>0.1</v>
    </nc>
    <odxf>
      <fill>
        <patternFill patternType="none">
          <bgColor indexed="65"/>
        </patternFill>
      </fill>
    </odxf>
    <ndxf>
      <fill>
        <patternFill patternType="solid">
          <bgColor rgb="FFFF0000"/>
        </patternFill>
      </fill>
    </ndxf>
  </rcc>
  <rcc rId="5425" sId="1" odxf="1" dxf="1">
    <nc r="R38">
      <v>0.15</v>
    </nc>
    <odxf>
      <fill>
        <patternFill patternType="none">
          <bgColor indexed="65"/>
        </patternFill>
      </fill>
    </odxf>
    <ndxf>
      <fill>
        <patternFill patternType="solid">
          <bgColor rgb="FFFF0000"/>
        </patternFill>
      </fill>
    </ndxf>
  </rcc>
  <rcc rId="5426" sId="1" odxf="1" dxf="1">
    <nc r="Q39">
      <v>0.1</v>
    </nc>
    <odxf>
      <fill>
        <patternFill patternType="none">
          <bgColor indexed="65"/>
        </patternFill>
      </fill>
    </odxf>
    <ndxf>
      <fill>
        <patternFill patternType="solid">
          <bgColor rgb="FFFF0000"/>
        </patternFill>
      </fill>
    </ndxf>
  </rcc>
  <rcc rId="5427" sId="1" odxf="1" dxf="1">
    <nc r="R39">
      <v>0.1</v>
    </nc>
    <odxf>
      <fill>
        <patternFill patternType="none">
          <bgColor indexed="65"/>
        </patternFill>
      </fill>
    </odxf>
    <ndxf>
      <fill>
        <patternFill patternType="solid">
          <bgColor rgb="FFFF0000"/>
        </patternFill>
      </fill>
    </ndxf>
  </rcc>
  <rcc rId="5428" sId="1" odxf="1" dxf="1">
    <nc r="Q40">
      <v>0.1</v>
    </nc>
    <odxf>
      <fill>
        <patternFill patternType="none">
          <bgColor indexed="65"/>
        </patternFill>
      </fill>
    </odxf>
    <ndxf>
      <fill>
        <patternFill patternType="solid">
          <bgColor rgb="FFFF0000"/>
        </patternFill>
      </fill>
    </ndxf>
  </rcc>
  <rcc rId="5429" sId="1" odxf="1" dxf="1">
    <nc r="R40">
      <v>0.1</v>
    </nc>
    <odxf>
      <fill>
        <patternFill patternType="none">
          <bgColor indexed="65"/>
        </patternFill>
      </fill>
    </odxf>
    <ndxf>
      <fill>
        <patternFill patternType="solid">
          <bgColor rgb="FFFF0000"/>
        </patternFill>
      </fill>
    </ndxf>
  </rcc>
  <rcc rId="5430" sId="1" odxf="1" dxf="1">
    <nc r="Q41">
      <v>0.1</v>
    </nc>
    <odxf>
      <fill>
        <patternFill patternType="none">
          <bgColor indexed="65"/>
        </patternFill>
      </fill>
    </odxf>
    <ndxf>
      <fill>
        <patternFill patternType="solid">
          <bgColor rgb="FFFF0000"/>
        </patternFill>
      </fill>
    </ndxf>
  </rcc>
  <rcc rId="5431" sId="1" odxf="1" dxf="1">
    <nc r="R41">
      <v>0.1</v>
    </nc>
    <odxf>
      <fill>
        <patternFill patternType="none">
          <bgColor indexed="65"/>
        </patternFill>
      </fill>
    </odxf>
    <ndxf>
      <fill>
        <patternFill patternType="solid">
          <bgColor rgb="FFFF0000"/>
        </patternFill>
      </fill>
    </ndxf>
  </rcc>
  <rcc rId="5432" sId="1" odxf="1" dxf="1">
    <nc r="Q42">
      <v>0.1</v>
    </nc>
    <odxf>
      <fill>
        <patternFill patternType="none">
          <bgColor indexed="65"/>
        </patternFill>
      </fill>
    </odxf>
    <ndxf>
      <fill>
        <patternFill patternType="solid">
          <bgColor rgb="FFFF0000"/>
        </patternFill>
      </fill>
    </ndxf>
  </rcc>
  <rcc rId="5433" sId="1" odxf="1" dxf="1">
    <nc r="R42">
      <v>0.05</v>
    </nc>
    <odxf>
      <fill>
        <patternFill patternType="none">
          <bgColor indexed="65"/>
        </patternFill>
      </fill>
    </odxf>
    <ndxf>
      <fill>
        <patternFill patternType="solid">
          <bgColor rgb="FFFF0000"/>
        </patternFill>
      </fill>
    </ndxf>
  </rcc>
  <rcc rId="5434" sId="1" odxf="1" dxf="1">
    <nc r="Q43">
      <v>0.05</v>
    </nc>
    <odxf>
      <fill>
        <patternFill patternType="none">
          <bgColor indexed="65"/>
        </patternFill>
      </fill>
    </odxf>
    <ndxf>
      <fill>
        <patternFill patternType="solid">
          <bgColor rgb="FFFF0000"/>
        </patternFill>
      </fill>
    </ndxf>
  </rcc>
  <rcc rId="5435" sId="1" odxf="1" dxf="1">
    <nc r="R43">
      <v>0.05</v>
    </nc>
    <odxf>
      <fill>
        <patternFill patternType="none">
          <bgColor indexed="65"/>
        </patternFill>
      </fill>
    </odxf>
    <ndxf>
      <fill>
        <patternFill patternType="solid">
          <bgColor rgb="FFFF0000"/>
        </patternFill>
      </fill>
    </ndxf>
  </rcc>
  <rcc rId="5436" sId="1" odxf="1" dxf="1">
    <nc r="Q44">
      <v>0.05</v>
    </nc>
    <odxf>
      <fill>
        <patternFill patternType="none">
          <bgColor indexed="65"/>
        </patternFill>
      </fill>
    </odxf>
    <ndxf>
      <fill>
        <patternFill patternType="solid">
          <bgColor rgb="FFFF0000"/>
        </patternFill>
      </fill>
    </ndxf>
  </rcc>
  <rcc rId="5437" sId="1" odxf="1" dxf="1">
    <nc r="R44">
      <v>0.05</v>
    </nc>
    <odxf>
      <fill>
        <patternFill patternType="none">
          <bgColor indexed="65"/>
        </patternFill>
      </fill>
    </odxf>
    <ndxf>
      <fill>
        <patternFill patternType="solid">
          <bgColor rgb="FFFF0000"/>
        </patternFill>
      </fill>
    </ndxf>
  </rcc>
  <rcc rId="5438" sId="1" odxf="1" dxf="1">
    <nc r="Q45">
      <v>0.05</v>
    </nc>
    <odxf>
      <fill>
        <patternFill patternType="none">
          <bgColor indexed="65"/>
        </patternFill>
      </fill>
    </odxf>
    <ndxf>
      <fill>
        <patternFill patternType="solid">
          <bgColor rgb="FFFF0000"/>
        </patternFill>
      </fill>
    </ndxf>
  </rcc>
  <rcc rId="5439" sId="1" odxf="1" dxf="1">
    <nc r="R45">
      <v>0.05</v>
    </nc>
    <odxf>
      <fill>
        <patternFill patternType="none">
          <bgColor indexed="65"/>
        </patternFill>
      </fill>
    </odxf>
    <ndxf>
      <fill>
        <patternFill patternType="solid">
          <bgColor rgb="FFFF0000"/>
        </patternFill>
      </fill>
    </ndxf>
  </rcc>
  <rcc rId="5440" sId="1" odxf="1" dxf="1">
    <nc r="Q46">
      <v>0.05</v>
    </nc>
    <odxf>
      <fill>
        <patternFill patternType="none">
          <bgColor indexed="65"/>
        </patternFill>
      </fill>
    </odxf>
    <ndxf>
      <fill>
        <patternFill patternType="solid">
          <bgColor rgb="FFFF0000"/>
        </patternFill>
      </fill>
    </ndxf>
  </rcc>
  <rcc rId="5441" sId="1" odxf="1" dxf="1">
    <nc r="R46">
      <v>0.05</v>
    </nc>
    <odxf>
      <fill>
        <patternFill patternType="none">
          <bgColor indexed="65"/>
        </patternFill>
      </fill>
    </odxf>
    <ndxf>
      <fill>
        <patternFill patternType="solid">
          <bgColor rgb="FFFF0000"/>
        </patternFill>
      </fill>
    </ndxf>
  </rcc>
  <rcc rId="5442" sId="1" odxf="1" dxf="1">
    <nc r="Q47">
      <v>0.05</v>
    </nc>
    <odxf>
      <fill>
        <patternFill patternType="none">
          <bgColor indexed="65"/>
        </patternFill>
      </fill>
    </odxf>
    <ndxf>
      <fill>
        <patternFill patternType="solid">
          <bgColor rgb="FFFF0000"/>
        </patternFill>
      </fill>
    </ndxf>
  </rcc>
  <rcc rId="5443" sId="1" odxf="1" dxf="1">
    <nc r="R47">
      <v>0.05</v>
    </nc>
    <odxf>
      <fill>
        <patternFill patternType="none">
          <bgColor indexed="65"/>
        </patternFill>
      </fill>
    </odxf>
    <ndxf>
      <fill>
        <patternFill patternType="solid">
          <bgColor rgb="FFFF0000"/>
        </patternFill>
      </fill>
    </ndxf>
  </rcc>
  <rcc rId="5444" sId="1" odxf="1" dxf="1">
    <nc r="Q48">
      <v>0.05</v>
    </nc>
    <odxf>
      <fill>
        <patternFill patternType="none">
          <bgColor indexed="65"/>
        </patternFill>
      </fill>
    </odxf>
    <ndxf>
      <fill>
        <patternFill patternType="solid">
          <bgColor rgb="FFFF0000"/>
        </patternFill>
      </fill>
    </ndxf>
  </rcc>
  <rcc rId="5445" sId="1" odxf="1" dxf="1">
    <nc r="R48">
      <v>0.05</v>
    </nc>
    <odxf>
      <fill>
        <patternFill patternType="none">
          <bgColor indexed="65"/>
        </patternFill>
      </fill>
    </odxf>
    <ndxf>
      <fill>
        <patternFill patternType="solid">
          <bgColor rgb="FFFF0000"/>
        </patternFill>
      </fill>
    </ndxf>
  </rcc>
  <rcc rId="5446" sId="1" odxf="1" dxf="1">
    <nc r="Q49">
      <v>0.05</v>
    </nc>
    <odxf>
      <fill>
        <patternFill patternType="none">
          <bgColor indexed="65"/>
        </patternFill>
      </fill>
    </odxf>
    <ndxf>
      <fill>
        <patternFill patternType="solid">
          <bgColor rgb="FFFF0000"/>
        </patternFill>
      </fill>
    </ndxf>
  </rcc>
  <rcc rId="5447" sId="1" odxf="1" dxf="1">
    <nc r="R49">
      <v>0.05</v>
    </nc>
    <odxf>
      <fill>
        <patternFill patternType="none">
          <bgColor indexed="65"/>
        </patternFill>
      </fill>
    </odxf>
    <ndxf>
      <fill>
        <patternFill patternType="solid">
          <bgColor rgb="FFFF0000"/>
        </patternFill>
      </fill>
    </ndxf>
  </rcc>
  <rcc rId="5448" sId="1" odxf="1" dxf="1">
    <nc r="Q50">
      <v>0.05</v>
    </nc>
    <odxf>
      <fill>
        <patternFill patternType="none">
          <bgColor indexed="65"/>
        </patternFill>
      </fill>
    </odxf>
    <ndxf>
      <fill>
        <patternFill patternType="solid">
          <bgColor rgb="FFFF0000"/>
        </patternFill>
      </fill>
    </ndxf>
  </rcc>
  <rcc rId="5449" sId="1" odxf="1" dxf="1">
    <nc r="R50">
      <v>0.05</v>
    </nc>
    <odxf>
      <fill>
        <patternFill patternType="none">
          <bgColor indexed="65"/>
        </patternFill>
      </fill>
    </odxf>
    <ndxf>
      <fill>
        <patternFill patternType="solid">
          <bgColor rgb="FFFF0000"/>
        </patternFill>
      </fill>
    </ndxf>
  </rcc>
  <rcc rId="5450" sId="1" odxf="1" dxf="1">
    <nc r="Q51">
      <v>0.05</v>
    </nc>
    <odxf>
      <fill>
        <patternFill patternType="none">
          <bgColor indexed="65"/>
        </patternFill>
      </fill>
    </odxf>
    <ndxf>
      <fill>
        <patternFill patternType="solid">
          <bgColor rgb="FFFF0000"/>
        </patternFill>
      </fill>
    </ndxf>
  </rcc>
  <rcc rId="5451" sId="1" odxf="1" dxf="1">
    <nc r="R51">
      <v>0.05</v>
    </nc>
    <odxf>
      <fill>
        <patternFill patternType="none">
          <bgColor indexed="65"/>
        </patternFill>
      </fill>
    </odxf>
    <ndxf>
      <fill>
        <patternFill patternType="solid">
          <bgColor rgb="FFFF0000"/>
        </patternFill>
      </fill>
    </ndxf>
  </rcc>
  <rcc rId="5452" sId="1" odxf="1" dxf="1">
    <nc r="Q52">
      <v>0.05</v>
    </nc>
    <odxf>
      <fill>
        <patternFill patternType="none">
          <bgColor indexed="65"/>
        </patternFill>
      </fill>
    </odxf>
    <ndxf>
      <fill>
        <patternFill patternType="solid">
          <bgColor rgb="FFFF0000"/>
        </patternFill>
      </fill>
    </ndxf>
  </rcc>
  <rcc rId="5453" sId="1" odxf="1" dxf="1">
    <nc r="R52">
      <v>0.05</v>
    </nc>
    <odxf>
      <fill>
        <patternFill patternType="none">
          <bgColor indexed="65"/>
        </patternFill>
      </fill>
    </odxf>
    <ndxf>
      <fill>
        <patternFill patternType="solid">
          <bgColor rgb="FFFF0000"/>
        </patternFill>
      </fill>
    </ndxf>
  </rcc>
  <rcc rId="5454" sId="1" odxf="1" dxf="1">
    <nc r="Q53">
      <v>0.05</v>
    </nc>
    <odxf>
      <fill>
        <patternFill patternType="none">
          <bgColor indexed="65"/>
        </patternFill>
      </fill>
    </odxf>
    <ndxf>
      <fill>
        <patternFill patternType="solid">
          <bgColor rgb="FFFF0000"/>
        </patternFill>
      </fill>
    </ndxf>
  </rcc>
  <rcc rId="5455" sId="1" odxf="1" dxf="1">
    <nc r="R53">
      <v>0.05</v>
    </nc>
    <odxf>
      <fill>
        <patternFill patternType="none">
          <bgColor indexed="65"/>
        </patternFill>
      </fill>
    </odxf>
    <ndxf>
      <fill>
        <patternFill patternType="solid">
          <bgColor rgb="FFFF0000"/>
        </patternFill>
      </fill>
    </ndxf>
  </rcc>
  <rcc rId="5456" sId="1" odxf="1" dxf="1">
    <nc r="Q54">
      <v>0.05</v>
    </nc>
    <odxf>
      <fill>
        <patternFill patternType="none">
          <bgColor indexed="65"/>
        </patternFill>
      </fill>
    </odxf>
    <ndxf>
      <fill>
        <patternFill patternType="solid">
          <bgColor rgb="FFFF0000"/>
        </patternFill>
      </fill>
    </ndxf>
  </rcc>
  <rcc rId="5457" sId="1" odxf="1" dxf="1">
    <nc r="R54">
      <v>0.05</v>
    </nc>
    <odxf>
      <fill>
        <patternFill patternType="none">
          <bgColor indexed="65"/>
        </patternFill>
      </fill>
    </odxf>
    <ndxf>
      <fill>
        <patternFill patternType="solid">
          <bgColor rgb="FFFF0000"/>
        </patternFill>
      </fill>
    </ndxf>
  </rcc>
  <rcc rId="5458" sId="1" odxf="1" dxf="1">
    <nc r="Q55">
      <v>0.05</v>
    </nc>
    <odxf>
      <fill>
        <patternFill patternType="none">
          <bgColor indexed="65"/>
        </patternFill>
      </fill>
    </odxf>
    <ndxf>
      <fill>
        <patternFill patternType="solid">
          <bgColor rgb="FFFF0000"/>
        </patternFill>
      </fill>
    </ndxf>
  </rcc>
  <rcc rId="5459" sId="1" odxf="1" dxf="1">
    <nc r="R55">
      <v>0.05</v>
    </nc>
    <odxf>
      <fill>
        <patternFill patternType="none">
          <bgColor indexed="65"/>
        </patternFill>
      </fill>
    </odxf>
    <ndxf>
      <fill>
        <patternFill patternType="solid">
          <bgColor rgb="FFFF0000"/>
        </patternFill>
      </fill>
    </ndxf>
  </rcc>
  <rcc rId="5460" sId="1" odxf="1" dxf="1">
    <nc r="Q56">
      <v>0.05</v>
    </nc>
    <odxf>
      <fill>
        <patternFill patternType="none">
          <bgColor indexed="65"/>
        </patternFill>
      </fill>
    </odxf>
    <ndxf>
      <fill>
        <patternFill patternType="solid">
          <bgColor rgb="FFFF0000"/>
        </patternFill>
      </fill>
    </ndxf>
  </rcc>
  <rcc rId="5461" sId="1" odxf="1" dxf="1">
    <nc r="R56">
      <v>0.05</v>
    </nc>
    <odxf>
      <fill>
        <patternFill patternType="none">
          <bgColor indexed="65"/>
        </patternFill>
      </fill>
    </odxf>
    <ndxf>
      <fill>
        <patternFill patternType="solid">
          <bgColor rgb="FFFF0000"/>
        </patternFill>
      </fill>
    </ndxf>
  </rcc>
  <rcc rId="5462" sId="1" odxf="1" dxf="1">
    <nc r="Q57">
      <v>0.05</v>
    </nc>
    <odxf>
      <fill>
        <patternFill patternType="none">
          <bgColor indexed="65"/>
        </patternFill>
      </fill>
    </odxf>
    <ndxf>
      <fill>
        <patternFill patternType="solid">
          <bgColor rgb="FFFF0000"/>
        </patternFill>
      </fill>
    </ndxf>
  </rcc>
  <rcc rId="5463" sId="1" odxf="1" dxf="1">
    <nc r="R57">
      <v>0.05</v>
    </nc>
    <odxf>
      <fill>
        <patternFill patternType="none">
          <bgColor indexed="65"/>
        </patternFill>
      </fill>
    </odxf>
    <ndxf>
      <fill>
        <patternFill patternType="solid">
          <bgColor rgb="FFFF0000"/>
        </patternFill>
      </fill>
    </ndxf>
  </rcc>
  <rcc rId="5464" sId="1" odxf="1" dxf="1">
    <nc r="Q58">
      <v>0.05</v>
    </nc>
    <odxf>
      <fill>
        <patternFill patternType="none">
          <bgColor indexed="65"/>
        </patternFill>
      </fill>
    </odxf>
    <ndxf>
      <fill>
        <patternFill patternType="solid">
          <bgColor rgb="FFFF0000"/>
        </patternFill>
      </fill>
    </ndxf>
  </rcc>
  <rcc rId="5465" sId="1" odxf="1" dxf="1">
    <nc r="R58">
      <v>0.05</v>
    </nc>
    <odxf>
      <fill>
        <patternFill patternType="none">
          <bgColor indexed="65"/>
        </patternFill>
      </fill>
    </odxf>
    <ndxf>
      <fill>
        <patternFill patternType="solid">
          <bgColor rgb="FFFF0000"/>
        </patternFill>
      </fill>
    </ndxf>
  </rcc>
  <rcc rId="5466" sId="1" odxf="1" dxf="1">
    <nc r="Q59">
      <v>0.05</v>
    </nc>
    <odxf>
      <fill>
        <patternFill patternType="none">
          <bgColor indexed="65"/>
        </patternFill>
      </fill>
    </odxf>
    <ndxf>
      <fill>
        <patternFill patternType="solid">
          <bgColor rgb="FFFF0000"/>
        </patternFill>
      </fill>
    </ndxf>
  </rcc>
  <rcc rId="5467" sId="1" odxf="1" dxf="1">
    <nc r="R59">
      <v>0.05</v>
    </nc>
    <odxf>
      <fill>
        <patternFill patternType="none">
          <bgColor indexed="65"/>
        </patternFill>
      </fill>
    </odxf>
    <ndxf>
      <fill>
        <patternFill patternType="solid">
          <bgColor rgb="FFFF0000"/>
        </patternFill>
      </fill>
    </ndxf>
  </rcc>
  <rcc rId="5468" sId="1" odxf="1" dxf="1">
    <nc r="Q60">
      <v>0.05</v>
    </nc>
    <odxf>
      <fill>
        <patternFill patternType="none">
          <bgColor indexed="65"/>
        </patternFill>
      </fill>
    </odxf>
    <ndxf>
      <fill>
        <patternFill patternType="solid">
          <bgColor rgb="FFFF0000"/>
        </patternFill>
      </fill>
    </ndxf>
  </rcc>
  <rcc rId="5469" sId="1" odxf="1" dxf="1">
    <nc r="R60">
      <v>0.05</v>
    </nc>
    <odxf>
      <fill>
        <patternFill patternType="none">
          <bgColor indexed="65"/>
        </patternFill>
      </fill>
    </odxf>
    <ndxf>
      <fill>
        <patternFill patternType="solid">
          <bgColor rgb="FFFF0000"/>
        </patternFill>
      </fill>
    </ndxf>
  </rcc>
  <rcc rId="5470" sId="1" odxf="1" dxf="1">
    <nc r="Q61">
      <v>0.05</v>
    </nc>
    <odxf>
      <fill>
        <patternFill patternType="none">
          <bgColor indexed="65"/>
        </patternFill>
      </fill>
    </odxf>
    <ndxf>
      <fill>
        <patternFill patternType="solid">
          <bgColor rgb="FFFF0000"/>
        </patternFill>
      </fill>
    </ndxf>
  </rcc>
  <rcc rId="5471" sId="1" odxf="1" dxf="1">
    <nc r="R61">
      <v>0.05</v>
    </nc>
    <odxf>
      <fill>
        <patternFill patternType="none">
          <bgColor indexed="65"/>
        </patternFill>
      </fill>
    </odxf>
    <ndxf>
      <fill>
        <patternFill patternType="solid">
          <bgColor rgb="FFFF0000"/>
        </patternFill>
      </fill>
    </ndxf>
  </rcc>
  <rcc rId="5472" sId="1" odxf="1" dxf="1">
    <nc r="Q62">
      <v>0.05</v>
    </nc>
    <odxf>
      <fill>
        <patternFill patternType="none">
          <bgColor indexed="65"/>
        </patternFill>
      </fill>
    </odxf>
    <ndxf>
      <fill>
        <patternFill patternType="solid">
          <bgColor rgb="FFFF0000"/>
        </patternFill>
      </fill>
    </ndxf>
  </rcc>
  <rcc rId="5473" sId="1" odxf="1" dxf="1">
    <nc r="R62">
      <v>0.05</v>
    </nc>
    <odxf>
      <fill>
        <patternFill patternType="none">
          <bgColor indexed="65"/>
        </patternFill>
      </fill>
    </odxf>
    <ndxf>
      <fill>
        <patternFill patternType="solid">
          <bgColor rgb="FFFF0000"/>
        </patternFill>
      </fill>
    </ndxf>
  </rcc>
  <rcc rId="5474" sId="1" odxf="1" dxf="1">
    <nc r="Q63">
      <v>0.05</v>
    </nc>
    <odxf>
      <fill>
        <patternFill patternType="none">
          <bgColor indexed="65"/>
        </patternFill>
      </fill>
    </odxf>
    <ndxf>
      <fill>
        <patternFill patternType="solid">
          <bgColor rgb="FFFF0000"/>
        </patternFill>
      </fill>
    </ndxf>
  </rcc>
  <rcc rId="5475" sId="1" odxf="1" dxf="1">
    <nc r="R63">
      <v>0.05</v>
    </nc>
    <odxf>
      <fill>
        <patternFill patternType="none">
          <bgColor indexed="65"/>
        </patternFill>
      </fill>
    </odxf>
    <ndxf>
      <fill>
        <patternFill patternType="solid">
          <bgColor rgb="FFFF0000"/>
        </patternFill>
      </fill>
    </ndxf>
  </rcc>
  <rfmt sheetId="1" sqref="Q64" start="0" length="0">
    <dxf>
      <fill>
        <patternFill patternType="solid">
          <bgColor rgb="FFFF0000"/>
        </patternFill>
      </fill>
    </dxf>
  </rfmt>
  <rfmt sheetId="1" sqref="R64" start="0" length="0">
    <dxf>
      <fill>
        <patternFill patternType="solid">
          <bgColor rgb="FFFF0000"/>
        </patternFill>
      </fill>
    </dxf>
  </rfmt>
  <rfmt sheetId="1" sqref="Q65" start="0" length="0">
    <dxf>
      <fill>
        <patternFill patternType="solid">
          <bgColor rgb="FFFF0000"/>
        </patternFill>
      </fill>
    </dxf>
  </rfmt>
  <rfmt sheetId="1" sqref="R65" start="0" length="0">
    <dxf>
      <fill>
        <patternFill patternType="solid">
          <bgColor rgb="FFFF0000"/>
        </patternFill>
      </fill>
    </dxf>
  </rfmt>
  <rcc rId="5476" sId="1" odxf="1" dxf="1">
    <nc r="Q66">
      <v>0.5</v>
    </nc>
    <odxf>
      <fill>
        <patternFill patternType="none">
          <bgColor indexed="65"/>
        </patternFill>
      </fill>
    </odxf>
    <ndxf>
      <fill>
        <patternFill patternType="solid">
          <bgColor rgb="FFFF0000"/>
        </patternFill>
      </fill>
    </ndxf>
  </rcc>
  <rcc rId="5477" sId="1" odxf="1" dxf="1">
    <nc r="R66">
      <v>0.1</v>
    </nc>
    <odxf>
      <fill>
        <patternFill patternType="none">
          <bgColor indexed="65"/>
        </patternFill>
      </fill>
    </odxf>
    <ndxf>
      <fill>
        <patternFill patternType="solid">
          <bgColor rgb="FFFF0000"/>
        </patternFill>
      </fill>
    </ndxf>
  </rcc>
  <rcc rId="5478" sId="1" odxf="1" dxf="1">
    <nc r="Q67">
      <v>0.05</v>
    </nc>
    <odxf>
      <fill>
        <patternFill patternType="none">
          <bgColor indexed="65"/>
        </patternFill>
      </fill>
    </odxf>
    <ndxf>
      <fill>
        <patternFill patternType="solid">
          <bgColor rgb="FFFF0000"/>
        </patternFill>
      </fill>
    </ndxf>
  </rcc>
  <rcc rId="5479" sId="1" odxf="1" dxf="1">
    <nc r="R67">
      <v>0.05</v>
    </nc>
    <odxf>
      <fill>
        <patternFill patternType="none">
          <bgColor indexed="65"/>
        </patternFill>
      </fill>
    </odxf>
    <ndxf>
      <fill>
        <patternFill patternType="solid">
          <bgColor rgb="FFFF0000"/>
        </patternFill>
      </fill>
    </ndxf>
  </rcc>
  <rcc rId="5480" sId="1" odxf="1" dxf="1">
    <nc r="Q68">
      <v>0.05</v>
    </nc>
    <odxf>
      <fill>
        <patternFill patternType="none">
          <bgColor indexed="65"/>
        </patternFill>
      </fill>
    </odxf>
    <ndxf>
      <fill>
        <patternFill patternType="solid">
          <bgColor rgb="FFFF0000"/>
        </patternFill>
      </fill>
    </ndxf>
  </rcc>
  <rcc rId="5481" sId="1" odxf="1" dxf="1">
    <nc r="R68">
      <v>0.05</v>
    </nc>
    <odxf>
      <fill>
        <patternFill patternType="none">
          <bgColor indexed="65"/>
        </patternFill>
      </fill>
    </odxf>
    <ndxf>
      <fill>
        <patternFill patternType="solid">
          <bgColor rgb="FFFF0000"/>
        </patternFill>
      </fill>
    </ndxf>
  </rcc>
  <rcc rId="5482" sId="1" odxf="1" dxf="1">
    <nc r="Q69">
      <v>0.05</v>
    </nc>
    <odxf>
      <fill>
        <patternFill patternType="none">
          <bgColor indexed="65"/>
        </patternFill>
      </fill>
    </odxf>
    <ndxf>
      <fill>
        <patternFill patternType="solid">
          <bgColor rgb="FFFF0000"/>
        </patternFill>
      </fill>
    </ndxf>
  </rcc>
  <rcc rId="5483" sId="1" odxf="1" dxf="1">
    <nc r="R69">
      <v>0.15</v>
    </nc>
    <odxf>
      <fill>
        <patternFill patternType="none">
          <bgColor indexed="65"/>
        </patternFill>
      </fill>
    </odxf>
    <ndxf>
      <fill>
        <patternFill patternType="solid">
          <bgColor rgb="FFFF0000"/>
        </patternFill>
      </fill>
    </ndxf>
  </rcc>
  <rcc rId="5484" sId="1" odxf="1" dxf="1">
    <nc r="Q70">
      <v>0.05</v>
    </nc>
    <odxf>
      <fill>
        <patternFill patternType="none">
          <bgColor indexed="65"/>
        </patternFill>
      </fill>
    </odxf>
    <ndxf>
      <fill>
        <patternFill patternType="solid">
          <bgColor rgb="FFFF0000"/>
        </patternFill>
      </fill>
    </ndxf>
  </rcc>
  <rcc rId="5485" sId="1" odxf="1" dxf="1">
    <nc r="R70">
      <v>0.05</v>
    </nc>
    <odxf>
      <fill>
        <patternFill patternType="none">
          <bgColor indexed="65"/>
        </patternFill>
      </fill>
    </odxf>
    <ndxf>
      <fill>
        <patternFill patternType="solid">
          <bgColor rgb="FFFF0000"/>
        </patternFill>
      </fill>
    </ndxf>
  </rcc>
  <rcc rId="5486" sId="1" odxf="1" dxf="1">
    <nc r="Q71">
      <v>0.05</v>
    </nc>
    <odxf>
      <fill>
        <patternFill patternType="none">
          <bgColor indexed="65"/>
        </patternFill>
      </fill>
    </odxf>
    <ndxf>
      <fill>
        <patternFill patternType="solid">
          <bgColor rgb="FFFF0000"/>
        </patternFill>
      </fill>
    </ndxf>
  </rcc>
  <rcc rId="5487" sId="1" odxf="1" dxf="1">
    <nc r="R71">
      <v>0.15</v>
    </nc>
    <odxf>
      <fill>
        <patternFill patternType="none">
          <bgColor indexed="65"/>
        </patternFill>
      </fill>
    </odxf>
    <ndxf>
      <fill>
        <patternFill patternType="solid">
          <bgColor rgb="FFFF0000"/>
        </patternFill>
      </fill>
    </ndxf>
  </rcc>
  <rcc rId="5488" sId="1" odxf="1" dxf="1">
    <nc r="Q72">
      <v>0.15</v>
    </nc>
    <odxf>
      <fill>
        <patternFill patternType="none">
          <bgColor indexed="65"/>
        </patternFill>
      </fill>
    </odxf>
    <ndxf>
      <fill>
        <patternFill patternType="solid">
          <bgColor rgb="FFFF0000"/>
        </patternFill>
      </fill>
    </ndxf>
  </rcc>
  <rcc rId="5489" sId="1" odxf="1" dxf="1">
    <nc r="R72">
      <v>0.15</v>
    </nc>
    <odxf>
      <fill>
        <patternFill patternType="none">
          <bgColor indexed="65"/>
        </patternFill>
      </fill>
    </odxf>
    <ndxf>
      <fill>
        <patternFill patternType="solid">
          <bgColor rgb="FFFF0000"/>
        </patternFill>
      </fill>
    </ndxf>
  </rcc>
  <rcc rId="5490" sId="1" odxf="1" dxf="1">
    <nc r="Q73">
      <v>0.05</v>
    </nc>
    <odxf>
      <fill>
        <patternFill patternType="none">
          <bgColor indexed="65"/>
        </patternFill>
      </fill>
    </odxf>
    <ndxf>
      <fill>
        <patternFill patternType="solid">
          <bgColor rgb="FFFF0000"/>
        </patternFill>
      </fill>
    </ndxf>
  </rcc>
  <rcc rId="5491" sId="1" odxf="1" dxf="1">
    <nc r="R73">
      <v>0.05</v>
    </nc>
    <odxf>
      <fill>
        <patternFill patternType="none">
          <bgColor indexed="65"/>
        </patternFill>
      </fill>
    </odxf>
    <ndxf>
      <fill>
        <patternFill patternType="solid">
          <bgColor rgb="FFFF0000"/>
        </patternFill>
      </fill>
    </ndxf>
  </rcc>
  <rcc rId="5492" sId="1" odxf="1" dxf="1">
    <nc r="Q74">
      <v>0.05</v>
    </nc>
    <odxf>
      <fill>
        <patternFill patternType="none">
          <bgColor indexed="65"/>
        </patternFill>
      </fill>
    </odxf>
    <ndxf>
      <fill>
        <patternFill patternType="solid">
          <bgColor rgb="FFFF0000"/>
        </patternFill>
      </fill>
    </ndxf>
  </rcc>
  <rcc rId="5493" sId="1" odxf="1" dxf="1">
    <nc r="R74">
      <v>0.05</v>
    </nc>
    <odxf>
      <font>
        <sz val="12"/>
        <color theme="1"/>
        <name val="Calibri"/>
        <family val="2"/>
        <scheme val="minor"/>
      </font>
      <fill>
        <patternFill patternType="none">
          <bgColor indexed="65"/>
        </patternFill>
      </fill>
    </odxf>
    <ndxf>
      <font>
        <sz val="12"/>
        <color rgb="FFFF0000"/>
        <name val="Calibri"/>
        <family val="2"/>
        <scheme val="minor"/>
      </font>
      <fill>
        <patternFill patternType="solid">
          <bgColor rgb="FFFF0000"/>
        </patternFill>
      </fill>
    </ndxf>
  </rcc>
  <rcc rId="5494" sId="1" odxf="1" dxf="1">
    <nc r="Q75">
      <v>0.05</v>
    </nc>
    <odxf>
      <fill>
        <patternFill patternType="none">
          <bgColor indexed="65"/>
        </patternFill>
      </fill>
    </odxf>
    <ndxf>
      <fill>
        <patternFill patternType="solid">
          <bgColor rgb="FFFF0000"/>
        </patternFill>
      </fill>
    </ndxf>
  </rcc>
  <rcc rId="5495" sId="1" odxf="1" dxf="1">
    <nc r="R75">
      <v>0.05</v>
    </nc>
    <odxf>
      <font>
        <sz val="12"/>
        <color theme="1"/>
        <name val="Calibri"/>
        <family val="2"/>
        <scheme val="minor"/>
      </font>
      <fill>
        <patternFill patternType="none">
          <bgColor indexed="65"/>
        </patternFill>
      </fill>
    </odxf>
    <ndxf>
      <font>
        <sz val="12"/>
        <color rgb="FFFF0000"/>
        <name val="Calibri"/>
        <family val="2"/>
        <scheme val="minor"/>
      </font>
      <fill>
        <patternFill patternType="solid">
          <bgColor rgb="FFFF0000"/>
        </patternFill>
      </fill>
    </ndxf>
  </rcc>
  <rcc rId="5496" sId="1" odxf="1" dxf="1">
    <nc r="Q76">
      <v>0.05</v>
    </nc>
    <odxf>
      <fill>
        <patternFill patternType="none">
          <bgColor indexed="65"/>
        </patternFill>
      </fill>
    </odxf>
    <ndxf>
      <fill>
        <patternFill patternType="solid">
          <bgColor rgb="FFFF0000"/>
        </patternFill>
      </fill>
    </ndxf>
  </rcc>
  <rcc rId="5497" sId="1" odxf="1" dxf="1">
    <nc r="R76">
      <v>0.05</v>
    </nc>
    <odxf>
      <font>
        <sz val="12"/>
        <color theme="1"/>
        <name val="Calibri"/>
        <family val="2"/>
        <scheme val="minor"/>
      </font>
      <fill>
        <patternFill patternType="none">
          <bgColor indexed="65"/>
        </patternFill>
      </fill>
    </odxf>
    <ndxf>
      <font>
        <sz val="12"/>
        <color rgb="FFFF0000"/>
        <name val="Calibri"/>
        <family val="2"/>
        <scheme val="minor"/>
      </font>
      <fill>
        <patternFill patternType="solid">
          <bgColor rgb="FFFF0000"/>
        </patternFill>
      </fill>
    </ndxf>
  </rcc>
  <rcc rId="5498" sId="1" odxf="1" dxf="1">
    <nc r="Q77">
      <v>0.05</v>
    </nc>
    <odxf>
      <fill>
        <patternFill patternType="none">
          <bgColor indexed="65"/>
        </patternFill>
      </fill>
    </odxf>
    <ndxf>
      <fill>
        <patternFill patternType="solid">
          <bgColor rgb="FFFF0000"/>
        </patternFill>
      </fill>
    </ndxf>
  </rcc>
  <rcc rId="5499" sId="1" odxf="1" dxf="1">
    <nc r="R77">
      <v>0.1</v>
    </nc>
    <odxf>
      <fill>
        <patternFill patternType="none">
          <bgColor indexed="65"/>
        </patternFill>
      </fill>
    </odxf>
    <ndxf>
      <fill>
        <patternFill patternType="solid">
          <bgColor rgb="FFFF0000"/>
        </patternFill>
      </fill>
    </ndxf>
  </rcc>
  <rcc rId="5500" sId="1" odxf="1" dxf="1">
    <nc r="Q78">
      <v>0.05</v>
    </nc>
    <odxf>
      <fill>
        <patternFill patternType="none">
          <bgColor indexed="65"/>
        </patternFill>
      </fill>
    </odxf>
    <ndxf>
      <fill>
        <patternFill patternType="solid">
          <bgColor rgb="FFFF0000"/>
        </patternFill>
      </fill>
    </ndxf>
  </rcc>
  <rcc rId="5501" sId="1" odxf="1" dxf="1">
    <nc r="R78">
      <v>0.05</v>
    </nc>
    <odxf>
      <font>
        <sz val="12"/>
        <color theme="1"/>
        <name val="Calibri"/>
        <family val="2"/>
        <scheme val="minor"/>
      </font>
      <fill>
        <patternFill patternType="none">
          <bgColor indexed="65"/>
        </patternFill>
      </fill>
    </odxf>
    <ndxf>
      <font>
        <sz val="12"/>
        <color rgb="FFFF0000"/>
        <name val="Calibri"/>
        <family val="2"/>
        <scheme val="minor"/>
      </font>
      <fill>
        <patternFill patternType="solid">
          <bgColor rgb="FFFF0000"/>
        </patternFill>
      </fill>
    </ndxf>
  </rcc>
  <rcc rId="5502" sId="1" odxf="1" dxf="1">
    <nc r="Q79">
      <v>0.05</v>
    </nc>
    <odxf>
      <fill>
        <patternFill patternType="none">
          <bgColor indexed="65"/>
        </patternFill>
      </fill>
    </odxf>
    <ndxf>
      <fill>
        <patternFill patternType="solid">
          <bgColor rgb="FFFF0000"/>
        </patternFill>
      </fill>
    </ndxf>
  </rcc>
  <rcc rId="5503" sId="1" odxf="1" dxf="1">
    <nc r="R79">
      <v>0.15</v>
    </nc>
    <odxf>
      <fill>
        <patternFill patternType="none">
          <bgColor indexed="65"/>
        </patternFill>
      </fill>
    </odxf>
    <ndxf>
      <fill>
        <patternFill patternType="solid">
          <bgColor rgb="FFFF0000"/>
        </patternFill>
      </fill>
    </ndxf>
  </rcc>
  <rcc rId="5504" sId="1" odxf="1" dxf="1">
    <nc r="Q80">
      <v>0.05</v>
    </nc>
    <odxf>
      <fill>
        <patternFill patternType="none">
          <bgColor indexed="65"/>
        </patternFill>
      </fill>
    </odxf>
    <ndxf>
      <fill>
        <patternFill patternType="solid">
          <bgColor rgb="FFFF0000"/>
        </patternFill>
      </fill>
    </ndxf>
  </rcc>
  <rcc rId="5505" sId="1" odxf="1" dxf="1">
    <nc r="R80">
      <v>0.05</v>
    </nc>
    <odxf>
      <fill>
        <patternFill patternType="none">
          <bgColor indexed="65"/>
        </patternFill>
      </fill>
    </odxf>
    <ndxf>
      <fill>
        <patternFill patternType="solid">
          <bgColor rgb="FFFF0000"/>
        </patternFill>
      </fill>
    </ndxf>
  </rcc>
  <rcc rId="5506" sId="1" odxf="1" dxf="1">
    <nc r="Q81">
      <v>0.05</v>
    </nc>
    <odxf>
      <fill>
        <patternFill patternType="none">
          <bgColor indexed="65"/>
        </patternFill>
      </fill>
    </odxf>
    <ndxf>
      <fill>
        <patternFill patternType="solid">
          <bgColor rgb="FFFF0000"/>
        </patternFill>
      </fill>
    </ndxf>
  </rcc>
  <rcc rId="5507" sId="1" odxf="1" dxf="1">
    <nc r="R81">
      <v>0.1</v>
    </nc>
    <odxf>
      <fill>
        <patternFill patternType="none">
          <bgColor indexed="65"/>
        </patternFill>
      </fill>
    </odxf>
    <ndxf>
      <fill>
        <patternFill patternType="solid">
          <bgColor rgb="FFFF0000"/>
        </patternFill>
      </fill>
    </ndxf>
  </rcc>
  <rcc rId="5508" sId="1" odxf="1" dxf="1">
    <nc r="Q82">
      <v>0.1</v>
    </nc>
    <odxf>
      <fill>
        <patternFill patternType="none">
          <bgColor indexed="65"/>
        </patternFill>
      </fill>
    </odxf>
    <ndxf>
      <fill>
        <patternFill patternType="solid">
          <bgColor rgb="FFFF0000"/>
        </patternFill>
      </fill>
    </ndxf>
  </rcc>
  <rcc rId="5509" sId="1" odxf="1" dxf="1">
    <nc r="R82">
      <v>0.1</v>
    </nc>
    <odxf>
      <fill>
        <patternFill patternType="none">
          <bgColor indexed="65"/>
        </patternFill>
      </fill>
    </odxf>
    <ndxf>
      <fill>
        <patternFill patternType="solid">
          <bgColor rgb="FFFF0000"/>
        </patternFill>
      </fill>
    </ndxf>
  </rcc>
  <rcc rId="5510" sId="1" odxf="1" dxf="1">
    <nc r="Q83">
      <v>0.05</v>
    </nc>
    <odxf>
      <fill>
        <patternFill patternType="none">
          <bgColor indexed="65"/>
        </patternFill>
      </fill>
    </odxf>
    <ndxf>
      <fill>
        <patternFill patternType="solid">
          <bgColor rgb="FFFF0000"/>
        </patternFill>
      </fill>
    </ndxf>
  </rcc>
  <rcc rId="5511" sId="1" odxf="1" dxf="1">
    <nc r="R83">
      <v>0.15</v>
    </nc>
    <odxf>
      <fill>
        <patternFill patternType="none">
          <bgColor indexed="65"/>
        </patternFill>
      </fill>
    </odxf>
    <ndxf>
      <fill>
        <patternFill patternType="solid">
          <bgColor rgb="FFFF0000"/>
        </patternFill>
      </fill>
    </ndxf>
  </rcc>
  <rcc rId="5512" sId="1" odxf="1" dxf="1">
    <nc r="Q84">
      <v>0.05</v>
    </nc>
    <odxf>
      <fill>
        <patternFill patternType="none">
          <bgColor indexed="65"/>
        </patternFill>
      </fill>
    </odxf>
    <ndxf>
      <fill>
        <patternFill patternType="solid">
          <bgColor rgb="FFFF0000"/>
        </patternFill>
      </fill>
    </ndxf>
  </rcc>
  <rcc rId="5513" sId="1" odxf="1" dxf="1">
    <nc r="R84">
      <v>0.05</v>
    </nc>
    <odxf>
      <fill>
        <patternFill patternType="none">
          <bgColor indexed="65"/>
        </patternFill>
      </fill>
    </odxf>
    <ndxf>
      <fill>
        <patternFill patternType="solid">
          <bgColor rgb="FFFF0000"/>
        </patternFill>
      </fill>
    </ndxf>
  </rcc>
  <rcc rId="5514" sId="1" odxf="1" dxf="1">
    <nc r="Q85">
      <v>0.05</v>
    </nc>
    <odxf>
      <fill>
        <patternFill patternType="none">
          <bgColor indexed="65"/>
        </patternFill>
      </fill>
    </odxf>
    <ndxf>
      <fill>
        <patternFill patternType="solid">
          <bgColor rgb="FFFF0000"/>
        </patternFill>
      </fill>
    </ndxf>
  </rcc>
  <rcc rId="5515" sId="1" odxf="1" dxf="1">
    <nc r="R85">
      <v>0.05</v>
    </nc>
    <odxf>
      <fill>
        <patternFill patternType="none">
          <bgColor indexed="65"/>
        </patternFill>
      </fill>
    </odxf>
    <ndxf>
      <fill>
        <patternFill patternType="solid">
          <bgColor rgb="FFFF0000"/>
        </patternFill>
      </fill>
    </ndxf>
  </rcc>
  <rcc rId="5516" sId="1" odxf="1" dxf="1">
    <nc r="Q86">
      <v>0.05</v>
    </nc>
    <odxf>
      <fill>
        <patternFill patternType="none">
          <bgColor indexed="65"/>
        </patternFill>
      </fill>
    </odxf>
    <ndxf>
      <fill>
        <patternFill patternType="solid">
          <bgColor rgb="FFFF0000"/>
        </patternFill>
      </fill>
    </ndxf>
  </rcc>
  <rcc rId="5517" sId="1" odxf="1" dxf="1" numFmtId="4">
    <nc r="R86">
      <v>0.1</v>
    </nc>
    <odxf>
      <numFmt numFmtId="0" formatCode="General"/>
      <fill>
        <patternFill patternType="none">
          <bgColor indexed="65"/>
        </patternFill>
      </fill>
    </odxf>
    <ndxf>
      <numFmt numFmtId="2" formatCode="0.00"/>
      <fill>
        <patternFill patternType="solid">
          <bgColor rgb="FFFF0000"/>
        </patternFill>
      </fill>
    </ndxf>
  </rcc>
  <rcc rId="5518" sId="1" odxf="1" dxf="1">
    <nc r="Q87">
      <v>0.05</v>
    </nc>
    <odxf>
      <fill>
        <patternFill patternType="none">
          <bgColor indexed="65"/>
        </patternFill>
      </fill>
    </odxf>
    <ndxf>
      <fill>
        <patternFill patternType="solid">
          <bgColor rgb="FFFF0000"/>
        </patternFill>
      </fill>
    </ndxf>
  </rcc>
  <rcc rId="5519" sId="1" odxf="1" dxf="1" numFmtId="4">
    <nc r="R87">
      <v>0.1</v>
    </nc>
    <odxf>
      <numFmt numFmtId="0" formatCode="General"/>
      <fill>
        <patternFill patternType="none">
          <bgColor indexed="65"/>
        </patternFill>
      </fill>
    </odxf>
    <ndxf>
      <numFmt numFmtId="2" formatCode="0.00"/>
      <fill>
        <patternFill patternType="solid">
          <bgColor rgb="FFFF0000"/>
        </patternFill>
      </fill>
    </ndxf>
  </rcc>
  <rcc rId="5520" sId="1" odxf="1" dxf="1">
    <nc r="Q88">
      <v>0.05</v>
    </nc>
    <odxf>
      <fill>
        <patternFill patternType="none">
          <bgColor indexed="65"/>
        </patternFill>
      </fill>
    </odxf>
    <ndxf>
      <fill>
        <patternFill patternType="solid">
          <bgColor rgb="FFFF0000"/>
        </patternFill>
      </fill>
    </ndxf>
  </rcc>
  <rcc rId="5521" sId="1" odxf="1" dxf="1" numFmtId="4">
    <nc r="R88">
      <v>0.15</v>
    </nc>
    <odxf>
      <numFmt numFmtId="0" formatCode="General"/>
      <fill>
        <patternFill patternType="none">
          <bgColor indexed="65"/>
        </patternFill>
      </fill>
    </odxf>
    <ndxf>
      <numFmt numFmtId="2" formatCode="0.00"/>
      <fill>
        <patternFill patternType="solid">
          <bgColor rgb="FFFF0000"/>
        </patternFill>
      </fill>
    </ndxf>
  </rcc>
  <rcc rId="5522" sId="1" odxf="1" dxf="1">
    <nc r="Q89">
      <v>0.05</v>
    </nc>
    <odxf>
      <fill>
        <patternFill patternType="none">
          <bgColor indexed="65"/>
        </patternFill>
      </fill>
    </odxf>
    <ndxf>
      <fill>
        <patternFill patternType="solid">
          <bgColor rgb="FFFF0000"/>
        </patternFill>
      </fill>
    </ndxf>
  </rcc>
  <rcc rId="5523" sId="1" odxf="1" dxf="1">
    <nc r="R89">
      <v>0.05</v>
    </nc>
    <odxf>
      <fill>
        <patternFill patternType="none">
          <bgColor indexed="65"/>
        </patternFill>
      </fill>
    </odxf>
    <ndxf>
      <fill>
        <patternFill patternType="solid">
          <bgColor rgb="FFFF0000"/>
        </patternFill>
      </fill>
    </ndxf>
  </rcc>
  <rcc rId="5524" sId="1" odxf="1" dxf="1">
    <nc r="Q90">
      <v>0.05</v>
    </nc>
    <odxf>
      <fill>
        <patternFill patternType="none">
          <bgColor indexed="65"/>
        </patternFill>
      </fill>
    </odxf>
    <ndxf>
      <fill>
        <patternFill patternType="solid">
          <bgColor rgb="FFFF0000"/>
        </patternFill>
      </fill>
    </ndxf>
  </rcc>
  <rcc rId="5525" sId="1" odxf="1" dxf="1">
    <nc r="R90">
      <v>0.05</v>
    </nc>
    <odxf>
      <fill>
        <patternFill patternType="none">
          <bgColor indexed="65"/>
        </patternFill>
      </fill>
    </odxf>
    <ndxf>
      <fill>
        <patternFill patternType="solid">
          <bgColor rgb="FFFF0000"/>
        </patternFill>
      </fill>
    </ndxf>
  </rcc>
  <rcc rId="5526" sId="1" odxf="1" dxf="1">
    <nc r="Q91">
      <v>0.05</v>
    </nc>
    <odxf>
      <fill>
        <patternFill patternType="none">
          <bgColor indexed="65"/>
        </patternFill>
      </fill>
    </odxf>
    <ndxf>
      <fill>
        <patternFill patternType="solid">
          <bgColor rgb="FFFF0000"/>
        </patternFill>
      </fill>
    </ndxf>
  </rcc>
  <rcc rId="5527" sId="1" odxf="1" dxf="1" numFmtId="4">
    <nc r="R91">
      <v>0.1</v>
    </nc>
    <odxf>
      <numFmt numFmtId="0" formatCode="General"/>
      <fill>
        <patternFill patternType="none">
          <bgColor indexed="65"/>
        </patternFill>
      </fill>
    </odxf>
    <ndxf>
      <numFmt numFmtId="2" formatCode="0.00"/>
      <fill>
        <patternFill patternType="solid">
          <bgColor rgb="FFFF0000"/>
        </patternFill>
      </fill>
    </ndxf>
  </rcc>
  <rcc rId="5528" sId="1" odxf="1" dxf="1">
    <nc r="Q92">
      <v>0.05</v>
    </nc>
    <odxf>
      <fill>
        <patternFill patternType="none">
          <bgColor indexed="65"/>
        </patternFill>
      </fill>
    </odxf>
    <ndxf>
      <fill>
        <patternFill patternType="solid">
          <bgColor rgb="FFFF0000"/>
        </patternFill>
      </fill>
    </ndxf>
  </rcc>
  <rcc rId="5529" sId="1" odxf="1" dxf="1" numFmtId="4">
    <nc r="R92">
      <v>0.15</v>
    </nc>
    <odxf>
      <numFmt numFmtId="0" formatCode="General"/>
      <fill>
        <patternFill patternType="none">
          <bgColor indexed="65"/>
        </patternFill>
      </fill>
    </odxf>
    <ndxf>
      <numFmt numFmtId="2" formatCode="0.00"/>
      <fill>
        <patternFill patternType="solid">
          <bgColor rgb="FFFF0000"/>
        </patternFill>
      </fill>
    </ndxf>
  </rcc>
  <rcc rId="5530" sId="1" odxf="1" dxf="1">
    <nc r="Q93">
      <v>0.05</v>
    </nc>
    <odxf>
      <fill>
        <patternFill patternType="none">
          <bgColor indexed="65"/>
        </patternFill>
      </fill>
    </odxf>
    <ndxf>
      <fill>
        <patternFill patternType="solid">
          <bgColor rgb="FFFF0000"/>
        </patternFill>
      </fill>
    </ndxf>
  </rcc>
  <rcc rId="5531" sId="1" odxf="1" dxf="1">
    <nc r="R93">
      <v>0.05</v>
    </nc>
    <odxf>
      <fill>
        <patternFill patternType="none">
          <bgColor indexed="65"/>
        </patternFill>
      </fill>
    </odxf>
    <ndxf>
      <fill>
        <patternFill patternType="solid">
          <bgColor rgb="FFFF0000"/>
        </patternFill>
      </fill>
    </ndxf>
  </rcc>
  <rcc rId="5532" sId="1" odxf="1" dxf="1">
    <nc r="Q94">
      <v>0.05</v>
    </nc>
    <odxf>
      <fill>
        <patternFill patternType="none">
          <bgColor indexed="65"/>
        </patternFill>
      </fill>
    </odxf>
    <ndxf>
      <fill>
        <patternFill patternType="solid">
          <bgColor rgb="FFFF0000"/>
        </patternFill>
      </fill>
    </ndxf>
  </rcc>
  <rcc rId="5533" sId="1" odxf="1" dxf="1">
    <nc r="R94">
      <v>0.05</v>
    </nc>
    <odxf>
      <fill>
        <patternFill patternType="none">
          <bgColor indexed="65"/>
        </patternFill>
      </fill>
    </odxf>
    <ndxf>
      <fill>
        <patternFill patternType="solid">
          <bgColor rgb="FFFF0000"/>
        </patternFill>
      </fill>
    </ndxf>
  </rcc>
  <rcc rId="5534" sId="1" odxf="1" dxf="1" numFmtId="4">
    <nc r="Q95">
      <v>0.05</v>
    </nc>
    <odxf>
      <fill>
        <patternFill patternType="none">
          <bgColor indexed="65"/>
        </patternFill>
      </fill>
    </odxf>
    <ndxf>
      <fill>
        <patternFill patternType="solid">
          <bgColor rgb="FFFF0000"/>
        </patternFill>
      </fill>
    </ndxf>
  </rcc>
  <rcc rId="5535" sId="1" odxf="1" dxf="1" numFmtId="4">
    <nc r="R95">
      <v>0.1</v>
    </nc>
    <odxf>
      <fill>
        <patternFill patternType="none">
          <bgColor indexed="65"/>
        </patternFill>
      </fill>
    </odxf>
    <ndxf>
      <fill>
        <patternFill patternType="solid">
          <bgColor rgb="FFFF0000"/>
        </patternFill>
      </fill>
    </ndxf>
  </rcc>
  <rcc rId="5536" sId="1" odxf="1" dxf="1">
    <nc r="Q96">
      <v>0.05</v>
    </nc>
    <odxf>
      <fill>
        <patternFill patternType="none">
          <bgColor indexed="65"/>
        </patternFill>
      </fill>
    </odxf>
    <ndxf>
      <fill>
        <patternFill patternType="solid">
          <bgColor rgb="FFFF0000"/>
        </patternFill>
      </fill>
    </ndxf>
  </rcc>
  <rcc rId="5537" sId="1" odxf="1" dxf="1">
    <nc r="R96">
      <v>0.05</v>
    </nc>
    <odxf>
      <fill>
        <patternFill patternType="none">
          <bgColor indexed="65"/>
        </patternFill>
      </fill>
    </odxf>
    <ndxf>
      <fill>
        <patternFill patternType="solid">
          <bgColor rgb="FFFF0000"/>
        </patternFill>
      </fill>
    </ndxf>
  </rcc>
  <rcc rId="5538" sId="1" odxf="1" dxf="1" numFmtId="4">
    <nc r="Q97">
      <v>0.05</v>
    </nc>
    <odxf>
      <fill>
        <patternFill patternType="none">
          <bgColor indexed="65"/>
        </patternFill>
      </fill>
    </odxf>
    <ndxf>
      <fill>
        <patternFill patternType="solid">
          <bgColor rgb="FFFF0000"/>
        </patternFill>
      </fill>
    </ndxf>
  </rcc>
  <rcc rId="5539" sId="1" odxf="1" dxf="1" numFmtId="4">
    <nc r="R97">
      <v>0.15</v>
    </nc>
    <odxf>
      <fill>
        <patternFill patternType="none">
          <bgColor indexed="65"/>
        </patternFill>
      </fill>
    </odxf>
    <ndxf>
      <fill>
        <patternFill patternType="solid">
          <bgColor rgb="FFFF0000"/>
        </patternFill>
      </fill>
    </ndxf>
  </rcc>
  <rfmt sheetId="1" sqref="Q98" start="0" length="0">
    <dxf>
      <fill>
        <patternFill patternType="solid">
          <bgColor rgb="FFFF0000"/>
        </patternFill>
      </fill>
    </dxf>
  </rfmt>
  <rfmt sheetId="1" sqref="R98" start="0" length="0">
    <dxf>
      <fill>
        <patternFill patternType="solid">
          <bgColor rgb="FFFF0000"/>
        </patternFill>
      </fill>
    </dxf>
  </rfmt>
  <rfmt sheetId="1" sqref="Q99" start="0" length="0">
    <dxf>
      <fill>
        <patternFill patternType="solid">
          <bgColor rgb="FFFF0000"/>
        </patternFill>
      </fill>
    </dxf>
  </rfmt>
  <rfmt sheetId="1" sqref="R99" start="0" length="0">
    <dxf>
      <fill>
        <patternFill patternType="solid">
          <bgColor rgb="FFFF0000"/>
        </patternFill>
      </fill>
    </dxf>
  </rfmt>
  <rfmt sheetId="1" sqref="Q100" start="0" length="0">
    <dxf>
      <fill>
        <patternFill patternType="solid">
          <bgColor rgb="FFFF0000"/>
        </patternFill>
      </fill>
    </dxf>
  </rfmt>
  <rfmt sheetId="1" sqref="R100" start="0" length="0">
    <dxf>
      <fill>
        <patternFill patternType="solid">
          <bgColor rgb="FFFF0000"/>
        </patternFill>
      </fill>
    </dxf>
  </rfmt>
  <rfmt sheetId="1" sqref="Q101" start="0" length="0">
    <dxf>
      <fill>
        <patternFill patternType="solid">
          <bgColor rgb="FFFF0000"/>
        </patternFill>
      </fill>
    </dxf>
  </rfmt>
  <rfmt sheetId="1" sqref="R101" start="0" length="0">
    <dxf>
      <fill>
        <patternFill patternType="solid">
          <bgColor rgb="FFFF0000"/>
        </patternFill>
      </fill>
    </dxf>
  </rfmt>
  <rcc rId="5540" sId="1" odxf="1" dxf="1">
    <nc r="Q102">
      <v>0.05</v>
    </nc>
    <odxf>
      <fill>
        <patternFill patternType="none">
          <bgColor indexed="65"/>
        </patternFill>
      </fill>
    </odxf>
    <ndxf>
      <fill>
        <patternFill patternType="solid">
          <bgColor rgb="FFFF0000"/>
        </patternFill>
      </fill>
    </ndxf>
  </rcc>
  <rcc rId="5541" sId="1" odxf="1" dxf="1">
    <nc r="R102">
      <v>0.05</v>
    </nc>
    <odxf>
      <fill>
        <patternFill patternType="none">
          <bgColor indexed="65"/>
        </patternFill>
      </fill>
    </odxf>
    <ndxf>
      <fill>
        <patternFill patternType="solid">
          <bgColor rgb="FFFF0000"/>
        </patternFill>
      </fill>
    </ndxf>
  </rcc>
  <rfmt sheetId="1" sqref="Q103" start="0" length="0">
    <dxf>
      <fill>
        <patternFill patternType="solid">
          <bgColor rgb="FFFF0000"/>
        </patternFill>
      </fill>
    </dxf>
  </rfmt>
  <rfmt sheetId="1" sqref="R103" start="0" length="0">
    <dxf>
      <fill>
        <patternFill patternType="solid">
          <bgColor rgb="FFFF0000"/>
        </patternFill>
      </fill>
    </dxf>
  </rfmt>
  <rcc rId="5542" sId="1" odxf="1" dxf="1">
    <nc r="Q104">
      <v>0.05</v>
    </nc>
    <odxf>
      <fill>
        <patternFill patternType="none">
          <bgColor indexed="65"/>
        </patternFill>
      </fill>
    </odxf>
    <ndxf>
      <fill>
        <patternFill patternType="solid">
          <bgColor rgb="FFFF0000"/>
        </patternFill>
      </fill>
    </ndxf>
  </rcc>
  <rcc rId="5543" sId="1" odxf="1" dxf="1">
    <nc r="R104">
      <v>0.05</v>
    </nc>
    <odxf>
      <fill>
        <patternFill patternType="none">
          <bgColor indexed="65"/>
        </patternFill>
      </fill>
    </odxf>
    <ndxf>
      <fill>
        <patternFill patternType="solid">
          <bgColor rgb="FFFF0000"/>
        </patternFill>
      </fill>
    </ndxf>
  </rcc>
  <rfmt sheetId="1" sqref="Q105" start="0" length="0">
    <dxf>
      <fill>
        <patternFill patternType="solid">
          <bgColor rgb="FFFF0000"/>
        </patternFill>
      </fill>
    </dxf>
  </rfmt>
  <rfmt sheetId="1" sqref="R105" start="0" length="0">
    <dxf>
      <fill>
        <patternFill patternType="solid">
          <bgColor rgb="FFFF0000"/>
        </patternFill>
      </fill>
    </dxf>
  </rfmt>
  <rcc rId="5544" sId="1" odxf="1" dxf="1">
    <nc r="Q106">
      <v>0.05</v>
    </nc>
    <odxf>
      <fill>
        <patternFill patternType="none">
          <bgColor indexed="65"/>
        </patternFill>
      </fill>
    </odxf>
    <ndxf>
      <fill>
        <patternFill patternType="solid">
          <bgColor rgb="FFFF0000"/>
        </patternFill>
      </fill>
    </ndxf>
  </rcc>
  <rcc rId="5545" sId="1" odxf="1" dxf="1" numFmtId="4">
    <nc r="R106">
      <v>0.1</v>
    </nc>
    <odxf>
      <numFmt numFmtId="0" formatCode="General"/>
      <fill>
        <patternFill patternType="none">
          <bgColor indexed="65"/>
        </patternFill>
      </fill>
    </odxf>
    <ndxf>
      <numFmt numFmtId="2" formatCode="0.00"/>
      <fill>
        <patternFill patternType="solid">
          <bgColor rgb="FFFF0000"/>
        </patternFill>
      </fill>
    </ndxf>
  </rcc>
  <rcc rId="5546" sId="1" odxf="1" dxf="1">
    <nc r="Q107">
      <v>0.05</v>
    </nc>
    <odxf>
      <fill>
        <patternFill patternType="none">
          <bgColor indexed="65"/>
        </patternFill>
      </fill>
    </odxf>
    <ndxf>
      <fill>
        <patternFill patternType="solid">
          <bgColor rgb="FFFF0000"/>
        </patternFill>
      </fill>
    </ndxf>
  </rcc>
  <rcc rId="5547" sId="1" odxf="1" dxf="1">
    <nc r="R107">
      <v>0.05</v>
    </nc>
    <odxf>
      <fill>
        <patternFill patternType="none">
          <bgColor indexed="65"/>
        </patternFill>
      </fill>
    </odxf>
    <ndxf>
      <fill>
        <patternFill patternType="solid">
          <bgColor rgb="FFFF0000"/>
        </patternFill>
      </fill>
    </ndxf>
  </rcc>
  <rfmt sheetId="1" sqref="Q108" start="0" length="0">
    <dxf>
      <fill>
        <patternFill patternType="solid">
          <bgColor rgb="FFFF0000"/>
        </patternFill>
      </fill>
    </dxf>
  </rfmt>
  <rfmt sheetId="1" sqref="R108" start="0" length="0">
    <dxf>
      <fill>
        <patternFill patternType="solid">
          <bgColor rgb="FFFF0000"/>
        </patternFill>
      </fill>
    </dxf>
  </rfmt>
  <rcc rId="5548" sId="1" odxf="1" dxf="1">
    <nc r="Q109">
      <v>0.05</v>
    </nc>
    <odxf>
      <fill>
        <patternFill patternType="none">
          <bgColor indexed="65"/>
        </patternFill>
      </fill>
    </odxf>
    <ndxf>
      <fill>
        <patternFill patternType="solid">
          <bgColor rgb="FFFF0000"/>
        </patternFill>
      </fill>
    </ndxf>
  </rcc>
  <rcc rId="5549" sId="1" odxf="1" dxf="1">
    <nc r="R109">
      <v>0.05</v>
    </nc>
    <odxf>
      <fill>
        <patternFill patternType="none">
          <bgColor indexed="65"/>
        </patternFill>
      </fill>
    </odxf>
    <ndxf>
      <fill>
        <patternFill patternType="solid">
          <bgColor rgb="FFFF0000"/>
        </patternFill>
      </fill>
    </ndxf>
  </rcc>
  <rcc rId="5550" sId="1" odxf="1" dxf="1">
    <nc r="Q110">
      <v>0.05</v>
    </nc>
    <odxf>
      <fill>
        <patternFill patternType="none">
          <bgColor indexed="65"/>
        </patternFill>
      </fill>
    </odxf>
    <ndxf>
      <fill>
        <patternFill patternType="solid">
          <bgColor rgb="FFFF0000"/>
        </patternFill>
      </fill>
    </ndxf>
  </rcc>
  <rcc rId="5551" sId="1" odxf="1" dxf="1" numFmtId="4">
    <nc r="R110">
      <v>0.1</v>
    </nc>
    <odxf>
      <numFmt numFmtId="0" formatCode="General"/>
      <fill>
        <patternFill patternType="none">
          <bgColor indexed="65"/>
        </patternFill>
      </fill>
    </odxf>
    <ndxf>
      <numFmt numFmtId="2" formatCode="0.00"/>
      <fill>
        <patternFill patternType="solid">
          <bgColor rgb="FFFF0000"/>
        </patternFill>
      </fill>
    </ndxf>
  </rcc>
  <rcc rId="5552" sId="1" odxf="1" dxf="1">
    <nc r="Q111">
      <v>0.05</v>
    </nc>
    <odxf>
      <fill>
        <patternFill patternType="none">
          <bgColor indexed="65"/>
        </patternFill>
      </fill>
    </odxf>
    <ndxf>
      <fill>
        <patternFill patternType="solid">
          <bgColor rgb="FFFF0000"/>
        </patternFill>
      </fill>
    </ndxf>
  </rcc>
  <rcc rId="5553" sId="1" odxf="1" dxf="1">
    <nc r="R111">
      <v>0.05</v>
    </nc>
    <odxf>
      <fill>
        <patternFill patternType="none">
          <bgColor indexed="65"/>
        </patternFill>
      </fill>
    </odxf>
    <ndxf>
      <fill>
        <patternFill patternType="solid">
          <bgColor rgb="FFFF0000"/>
        </patternFill>
      </fill>
    </ndxf>
  </rcc>
  <rcc rId="5554" sId="1" odxf="1" dxf="1">
    <nc r="Q112">
      <v>0.05</v>
    </nc>
    <odxf>
      <fill>
        <patternFill patternType="none">
          <bgColor indexed="65"/>
        </patternFill>
      </fill>
    </odxf>
    <ndxf>
      <fill>
        <patternFill patternType="solid">
          <bgColor rgb="FFFF0000"/>
        </patternFill>
      </fill>
    </ndxf>
  </rcc>
  <rcc rId="5555" sId="1" odxf="1" dxf="1" numFmtId="4">
    <nc r="R112">
      <v>0.1</v>
    </nc>
    <odxf>
      <numFmt numFmtId="0" formatCode="General"/>
      <fill>
        <patternFill patternType="none">
          <bgColor indexed="65"/>
        </patternFill>
      </fill>
    </odxf>
    <ndxf>
      <numFmt numFmtId="2" formatCode="0.00"/>
      <fill>
        <patternFill patternType="solid">
          <bgColor rgb="FFFF0000"/>
        </patternFill>
      </fill>
    </ndxf>
  </rcc>
  <rcc rId="5556" sId="1" odxf="1" dxf="1">
    <nc r="Q113">
      <v>0.05</v>
    </nc>
    <odxf>
      <fill>
        <patternFill patternType="none">
          <bgColor indexed="65"/>
        </patternFill>
      </fill>
    </odxf>
    <ndxf>
      <fill>
        <patternFill patternType="solid">
          <bgColor rgb="FFFF0000"/>
        </patternFill>
      </fill>
    </ndxf>
  </rcc>
  <rcc rId="5557" sId="1" odxf="1" dxf="1" numFmtId="4">
    <nc r="R113">
      <v>0.15</v>
    </nc>
    <odxf>
      <numFmt numFmtId="0" formatCode="General"/>
      <fill>
        <patternFill patternType="none">
          <bgColor indexed="65"/>
        </patternFill>
      </fill>
    </odxf>
    <ndxf>
      <numFmt numFmtId="2" formatCode="0.00"/>
      <fill>
        <patternFill patternType="solid">
          <bgColor rgb="FFFF0000"/>
        </patternFill>
      </fill>
    </ndxf>
  </rcc>
  <rcc rId="5558" sId="1" odxf="1" dxf="1" numFmtId="4">
    <nc r="Q114">
      <v>0.05</v>
    </nc>
    <odxf>
      <fill>
        <patternFill patternType="none">
          <bgColor indexed="65"/>
        </patternFill>
      </fill>
    </odxf>
    <ndxf>
      <fill>
        <patternFill patternType="solid">
          <bgColor rgb="FFFF0000"/>
        </patternFill>
      </fill>
    </ndxf>
  </rcc>
  <rcc rId="5559" sId="1" odxf="1" dxf="1" numFmtId="4">
    <nc r="R114">
      <v>0.15</v>
    </nc>
    <odxf>
      <fill>
        <patternFill patternType="none">
          <bgColor indexed="65"/>
        </patternFill>
      </fill>
    </odxf>
    <ndxf>
      <fill>
        <patternFill patternType="solid">
          <bgColor rgb="FFFF0000"/>
        </patternFill>
      </fill>
    </ndxf>
  </rcc>
  <rcc rId="5560" sId="1" odxf="1" dxf="1" numFmtId="4">
    <nc r="Q115">
      <v>0.15</v>
    </nc>
    <odxf>
      <fill>
        <patternFill patternType="none">
          <bgColor indexed="65"/>
        </patternFill>
      </fill>
    </odxf>
    <ndxf>
      <fill>
        <patternFill patternType="solid">
          <bgColor rgb="FFFF0000"/>
        </patternFill>
      </fill>
    </ndxf>
  </rcc>
  <rcc rId="5561" sId="1" odxf="1" dxf="1" numFmtId="4">
    <nc r="R115">
      <v>0.15</v>
    </nc>
    <odxf>
      <fill>
        <patternFill patternType="none">
          <bgColor indexed="65"/>
        </patternFill>
      </fill>
    </odxf>
    <ndxf>
      <fill>
        <patternFill patternType="solid">
          <bgColor rgb="FFFF0000"/>
        </patternFill>
      </fill>
    </ndxf>
  </rcc>
  <rcc rId="5562" sId="1" odxf="1" dxf="1" numFmtId="4">
    <nc r="Q116">
      <v>0.15</v>
    </nc>
    <odxf>
      <fill>
        <patternFill patternType="none">
          <bgColor indexed="65"/>
        </patternFill>
      </fill>
    </odxf>
    <ndxf>
      <fill>
        <patternFill patternType="solid">
          <bgColor rgb="FFFF0000"/>
        </patternFill>
      </fill>
    </ndxf>
  </rcc>
  <rcc rId="5563" sId="1" odxf="1" dxf="1" numFmtId="4">
    <nc r="R116">
      <v>0.15</v>
    </nc>
    <odxf>
      <fill>
        <patternFill patternType="none">
          <bgColor indexed="65"/>
        </patternFill>
      </fill>
    </odxf>
    <ndxf>
      <fill>
        <patternFill patternType="solid">
          <bgColor rgb="FFFF0000"/>
        </patternFill>
      </fill>
    </ndxf>
  </rcc>
  <rcc rId="5564" sId="1" odxf="1" dxf="1">
    <nc r="Q117">
      <v>0.3</v>
    </nc>
    <odxf>
      <fill>
        <patternFill patternType="none">
          <bgColor indexed="65"/>
        </patternFill>
      </fill>
    </odxf>
    <ndxf>
      <fill>
        <patternFill patternType="solid">
          <bgColor rgb="FFFF0000"/>
        </patternFill>
      </fill>
    </ndxf>
  </rcc>
  <rcc rId="5565" sId="1" odxf="1" dxf="1">
    <nc r="R117">
      <v>0.3</v>
    </nc>
    <odxf>
      <fill>
        <patternFill patternType="none">
          <bgColor indexed="65"/>
        </patternFill>
      </fill>
    </odxf>
    <ndxf>
      <fill>
        <patternFill patternType="solid">
          <bgColor rgb="FFFF0000"/>
        </patternFill>
      </fill>
    </ndxf>
  </rcc>
  <rcc rId="5566" sId="1" odxf="1" dxf="1">
    <nc r="Q118">
      <v>0.3</v>
    </nc>
    <odxf>
      <fill>
        <patternFill patternType="none">
          <bgColor indexed="65"/>
        </patternFill>
      </fill>
    </odxf>
    <ndxf>
      <fill>
        <patternFill patternType="solid">
          <bgColor rgb="FFFF0000"/>
        </patternFill>
      </fill>
    </ndxf>
  </rcc>
  <rcc rId="5567" sId="1" odxf="1" dxf="1">
    <nc r="R118">
      <v>0.3</v>
    </nc>
    <odxf>
      <fill>
        <patternFill patternType="none">
          <bgColor indexed="65"/>
        </patternFill>
      </fill>
    </odxf>
    <ndxf>
      <fill>
        <patternFill patternType="solid">
          <bgColor rgb="FFFF0000"/>
        </patternFill>
      </fill>
    </ndxf>
  </rcc>
  <rcc rId="5568" sId="1" odxf="1" dxf="1">
    <nc r="Q119">
      <v>0.3</v>
    </nc>
    <odxf>
      <fill>
        <patternFill patternType="none">
          <bgColor indexed="65"/>
        </patternFill>
      </fill>
    </odxf>
    <ndxf>
      <fill>
        <patternFill patternType="solid">
          <bgColor rgb="FFFF0000"/>
        </patternFill>
      </fill>
    </ndxf>
  </rcc>
  <rcc rId="5569" sId="1" odxf="1" dxf="1">
    <nc r="R119">
      <v>0.3</v>
    </nc>
    <odxf>
      <fill>
        <patternFill patternType="none">
          <bgColor indexed="65"/>
        </patternFill>
      </fill>
    </odxf>
    <ndxf>
      <fill>
        <patternFill patternType="solid">
          <bgColor rgb="FFFF0000"/>
        </patternFill>
      </fill>
    </ndxf>
  </rcc>
  <rcc rId="5570" sId="1" odxf="1" dxf="1">
    <nc r="Q120">
      <v>0.3</v>
    </nc>
    <odxf>
      <fill>
        <patternFill patternType="none">
          <bgColor indexed="65"/>
        </patternFill>
      </fill>
    </odxf>
    <ndxf>
      <fill>
        <patternFill patternType="solid">
          <bgColor rgb="FFFF0000"/>
        </patternFill>
      </fill>
    </ndxf>
  </rcc>
  <rcc rId="5571" sId="1" odxf="1" dxf="1">
    <nc r="R120">
      <v>0.3</v>
    </nc>
    <odxf>
      <fill>
        <patternFill patternType="none">
          <bgColor indexed="65"/>
        </patternFill>
      </fill>
    </odxf>
    <ndxf>
      <fill>
        <patternFill patternType="solid">
          <bgColor rgb="FFFF0000"/>
        </patternFill>
      </fill>
    </ndxf>
  </rcc>
  <rcc rId="5572" sId="1" odxf="1" dxf="1" numFmtId="4">
    <nc r="Q121">
      <v>0.15</v>
    </nc>
    <odxf>
      <fill>
        <patternFill patternType="none">
          <bgColor indexed="65"/>
        </patternFill>
      </fill>
    </odxf>
    <ndxf>
      <fill>
        <patternFill patternType="solid">
          <bgColor rgb="FFFF0000"/>
        </patternFill>
      </fill>
    </ndxf>
  </rcc>
  <rcc rId="5573" sId="1" odxf="1" dxf="1" numFmtId="4">
    <nc r="R121">
      <v>0.15</v>
    </nc>
    <odxf>
      <fill>
        <patternFill patternType="none">
          <bgColor indexed="65"/>
        </patternFill>
      </fill>
    </odxf>
    <ndxf>
      <fill>
        <patternFill patternType="solid">
          <bgColor rgb="FFFF0000"/>
        </patternFill>
      </fill>
    </ndxf>
  </rcc>
  <rcc rId="5574" sId="1" odxf="1" dxf="1" numFmtId="4">
    <nc r="Q122">
      <v>0.3</v>
    </nc>
    <odxf>
      <fill>
        <patternFill patternType="none">
          <bgColor indexed="65"/>
        </patternFill>
      </fill>
    </odxf>
    <ndxf>
      <fill>
        <patternFill patternType="solid">
          <bgColor rgb="FFFF0000"/>
        </patternFill>
      </fill>
    </ndxf>
  </rcc>
  <rcc rId="5575" sId="1" odxf="1" dxf="1" numFmtId="4">
    <nc r="R122">
      <v>0.3</v>
    </nc>
    <odxf>
      <fill>
        <patternFill patternType="none">
          <bgColor indexed="65"/>
        </patternFill>
      </fill>
    </odxf>
    <ndxf>
      <fill>
        <patternFill patternType="solid">
          <bgColor rgb="FFFF0000"/>
        </patternFill>
      </fill>
    </ndxf>
  </rcc>
  <rcc rId="5576" sId="1" odxf="1" dxf="1" numFmtId="4">
    <nc r="Q123">
      <v>0.3</v>
    </nc>
    <odxf>
      <fill>
        <patternFill patternType="none">
          <bgColor indexed="65"/>
        </patternFill>
      </fill>
    </odxf>
    <ndxf>
      <fill>
        <patternFill patternType="solid">
          <bgColor rgb="FFFF0000"/>
        </patternFill>
      </fill>
    </ndxf>
  </rcc>
  <rcc rId="5577" sId="1" odxf="1" dxf="1" numFmtId="4">
    <nc r="R123">
      <v>0.3</v>
    </nc>
    <odxf>
      <fill>
        <patternFill patternType="none">
          <bgColor indexed="65"/>
        </patternFill>
      </fill>
    </odxf>
    <ndxf>
      <fill>
        <patternFill patternType="solid">
          <bgColor rgb="FFFF0000"/>
        </patternFill>
      </fill>
    </ndxf>
  </rcc>
  <rcc rId="5578" sId="1" odxf="1" dxf="1" numFmtId="4">
    <nc r="Q124">
      <v>0.3</v>
    </nc>
    <odxf>
      <fill>
        <patternFill patternType="none">
          <bgColor indexed="65"/>
        </patternFill>
      </fill>
    </odxf>
    <ndxf>
      <fill>
        <patternFill patternType="solid">
          <bgColor rgb="FFFF0000"/>
        </patternFill>
      </fill>
    </ndxf>
  </rcc>
  <rcc rId="5579" sId="1" odxf="1" dxf="1" numFmtId="4">
    <nc r="R124">
      <v>0.3</v>
    </nc>
    <odxf>
      <fill>
        <patternFill patternType="none">
          <bgColor indexed="65"/>
        </patternFill>
      </fill>
    </odxf>
    <ndxf>
      <fill>
        <patternFill patternType="solid">
          <bgColor rgb="FFFF0000"/>
        </patternFill>
      </fill>
    </ndxf>
  </rcc>
  <rcc rId="5580" sId="1" odxf="1" dxf="1" numFmtId="4">
    <nc r="Q125">
      <v>0.3</v>
    </nc>
    <odxf>
      <fill>
        <patternFill patternType="none">
          <bgColor indexed="65"/>
        </patternFill>
      </fill>
    </odxf>
    <ndxf>
      <fill>
        <patternFill patternType="solid">
          <bgColor rgb="FFFF0000"/>
        </patternFill>
      </fill>
    </ndxf>
  </rcc>
  <rcc rId="5581" sId="1" odxf="1" dxf="1" numFmtId="4">
    <nc r="R125">
      <v>0.3</v>
    </nc>
    <odxf>
      <fill>
        <patternFill patternType="none">
          <bgColor indexed="65"/>
        </patternFill>
      </fill>
    </odxf>
    <ndxf>
      <fill>
        <patternFill patternType="solid">
          <bgColor rgb="FFFF0000"/>
        </patternFill>
      </fill>
    </ndxf>
  </rcc>
  <rcc rId="5582" sId="1" odxf="1" dxf="1" numFmtId="4">
    <nc r="Q126">
      <v>0.3</v>
    </nc>
    <odxf>
      <fill>
        <patternFill patternType="none">
          <bgColor indexed="65"/>
        </patternFill>
      </fill>
    </odxf>
    <ndxf>
      <fill>
        <patternFill patternType="solid">
          <bgColor rgb="FFFF0000"/>
        </patternFill>
      </fill>
    </ndxf>
  </rcc>
  <rcc rId="5583" sId="1" odxf="1" dxf="1" numFmtId="4">
    <nc r="R126">
      <v>0.1</v>
    </nc>
    <odxf>
      <fill>
        <patternFill patternType="none">
          <bgColor indexed="65"/>
        </patternFill>
      </fill>
    </odxf>
    <ndxf>
      <fill>
        <patternFill patternType="solid">
          <bgColor rgb="FFFF0000"/>
        </patternFill>
      </fill>
    </ndxf>
  </rcc>
  <rcc rId="5584" sId="1" odxf="1" dxf="1">
    <nc r="Q127">
      <v>0.15</v>
    </nc>
    <odxf>
      <fill>
        <patternFill patternType="none">
          <bgColor indexed="65"/>
        </patternFill>
      </fill>
    </odxf>
    <ndxf>
      <fill>
        <patternFill patternType="solid">
          <bgColor rgb="FFFF0000"/>
        </patternFill>
      </fill>
    </ndxf>
  </rcc>
  <rcc rId="5585" sId="1" odxf="1" dxf="1">
    <nc r="R127">
      <v>0.15</v>
    </nc>
    <odxf>
      <fill>
        <patternFill patternType="none">
          <bgColor indexed="65"/>
        </patternFill>
      </fill>
    </odxf>
    <ndxf>
      <fill>
        <patternFill patternType="solid">
          <bgColor rgb="FFFF0000"/>
        </patternFill>
      </fill>
    </ndxf>
  </rcc>
  <rcc rId="5586" sId="1" odxf="1" dxf="1">
    <nc r="Q128">
      <v>0.15</v>
    </nc>
    <odxf>
      <fill>
        <patternFill patternType="none">
          <bgColor indexed="65"/>
        </patternFill>
      </fill>
    </odxf>
    <ndxf>
      <fill>
        <patternFill patternType="solid">
          <bgColor rgb="FFFF0000"/>
        </patternFill>
      </fill>
    </ndxf>
  </rcc>
  <rcc rId="5587" sId="1" odxf="1" dxf="1">
    <nc r="R128">
      <v>0.15</v>
    </nc>
    <odxf>
      <fill>
        <patternFill patternType="none">
          <bgColor indexed="65"/>
        </patternFill>
      </fill>
    </odxf>
    <ndxf>
      <fill>
        <patternFill patternType="solid">
          <bgColor rgb="FFFF0000"/>
        </patternFill>
      </fill>
    </ndxf>
  </rcc>
  <rcc rId="5588" sId="1" odxf="1" dxf="1" numFmtId="4">
    <nc r="Q129">
      <v>0.1</v>
    </nc>
    <odxf>
      <fill>
        <patternFill patternType="none">
          <bgColor indexed="65"/>
        </patternFill>
      </fill>
    </odxf>
    <ndxf>
      <fill>
        <patternFill patternType="solid">
          <bgColor rgb="FFFF0000"/>
        </patternFill>
      </fill>
    </ndxf>
  </rcc>
  <rcc rId="5589" sId="1" odxf="1" dxf="1" numFmtId="4">
    <nc r="R129">
      <v>0.3</v>
    </nc>
    <odxf>
      <fill>
        <patternFill patternType="none">
          <bgColor indexed="65"/>
        </patternFill>
      </fill>
    </odxf>
    <ndxf>
      <fill>
        <patternFill patternType="solid">
          <bgColor rgb="FFFF0000"/>
        </patternFill>
      </fill>
    </ndxf>
  </rcc>
  <rcc rId="5590" sId="1" odxf="1" dxf="1" numFmtId="4">
    <nc r="Q130">
      <v>0.3</v>
    </nc>
    <odxf>
      <fill>
        <patternFill patternType="none">
          <bgColor indexed="65"/>
        </patternFill>
      </fill>
    </odxf>
    <ndxf>
      <fill>
        <patternFill patternType="solid">
          <bgColor rgb="FFFF0000"/>
        </patternFill>
      </fill>
    </ndxf>
  </rcc>
  <rcc rId="5591" sId="1" odxf="1" dxf="1" numFmtId="4">
    <nc r="R130">
      <v>0.3</v>
    </nc>
    <odxf>
      <fill>
        <patternFill patternType="none">
          <bgColor indexed="65"/>
        </patternFill>
      </fill>
    </odxf>
    <ndxf>
      <fill>
        <patternFill patternType="solid">
          <bgColor rgb="FFFF0000"/>
        </patternFill>
      </fill>
    </ndxf>
  </rcc>
  <rcc rId="5592" sId="1" odxf="1" dxf="1" numFmtId="4">
    <nc r="Q131">
      <v>0.3</v>
    </nc>
    <odxf>
      <fill>
        <patternFill patternType="none">
          <bgColor indexed="65"/>
        </patternFill>
      </fill>
    </odxf>
    <ndxf>
      <fill>
        <patternFill patternType="solid">
          <bgColor rgb="FFFF0000"/>
        </patternFill>
      </fill>
    </ndxf>
  </rcc>
  <rcc rId="5593" sId="1" odxf="1" dxf="1" numFmtId="4">
    <nc r="R131">
      <v>0.3</v>
    </nc>
    <odxf>
      <fill>
        <patternFill patternType="none">
          <bgColor indexed="65"/>
        </patternFill>
      </fill>
    </odxf>
    <ndxf>
      <fill>
        <patternFill patternType="solid">
          <bgColor rgb="FFFF0000"/>
        </patternFill>
      </fill>
    </ndxf>
  </rcc>
  <rcc rId="5594" sId="1" odxf="1" dxf="1" numFmtId="4">
    <nc r="Q132">
      <v>0.3</v>
    </nc>
    <odxf>
      <fill>
        <patternFill patternType="none">
          <bgColor indexed="65"/>
        </patternFill>
      </fill>
    </odxf>
    <ndxf>
      <fill>
        <patternFill patternType="solid">
          <bgColor rgb="FFFF0000"/>
        </patternFill>
      </fill>
    </ndxf>
  </rcc>
  <rcc rId="5595" sId="1" odxf="1" dxf="1" numFmtId="4">
    <nc r="R132">
      <v>0.3</v>
    </nc>
    <odxf>
      <fill>
        <patternFill patternType="none">
          <bgColor indexed="65"/>
        </patternFill>
      </fill>
    </odxf>
    <ndxf>
      <fill>
        <patternFill patternType="solid">
          <bgColor rgb="FFFF0000"/>
        </patternFill>
      </fill>
    </ndxf>
  </rcc>
  <rcc rId="5596" sId="1" odxf="1" dxf="1" numFmtId="4">
    <nc r="Q133">
      <v>0.3</v>
    </nc>
    <odxf>
      <fill>
        <patternFill patternType="none">
          <bgColor indexed="65"/>
        </patternFill>
      </fill>
    </odxf>
    <ndxf>
      <fill>
        <patternFill patternType="solid">
          <bgColor rgb="FFFF0000"/>
        </patternFill>
      </fill>
    </ndxf>
  </rcc>
  <rcc rId="5597" sId="1" odxf="1" dxf="1" numFmtId="4">
    <nc r="R133">
      <v>0.3</v>
    </nc>
    <odxf>
      <fill>
        <patternFill patternType="none">
          <bgColor indexed="65"/>
        </patternFill>
      </fill>
    </odxf>
    <ndxf>
      <fill>
        <patternFill patternType="solid">
          <bgColor rgb="FFFF0000"/>
        </patternFill>
      </fill>
    </ndxf>
  </rcc>
  <rcc rId="5598" sId="1" odxf="1" dxf="1" numFmtId="4">
    <nc r="Q134">
      <v>0.3</v>
    </nc>
    <odxf>
      <fill>
        <patternFill patternType="none">
          <bgColor indexed="65"/>
        </patternFill>
      </fill>
    </odxf>
    <ndxf>
      <fill>
        <patternFill patternType="solid">
          <bgColor rgb="FFFF0000"/>
        </patternFill>
      </fill>
    </ndxf>
  </rcc>
  <rcc rId="5599" sId="1" odxf="1" dxf="1" numFmtId="4">
    <nc r="R134">
      <v>0.3</v>
    </nc>
    <odxf>
      <fill>
        <patternFill patternType="none">
          <bgColor indexed="65"/>
        </patternFill>
      </fill>
    </odxf>
    <ndxf>
      <fill>
        <patternFill patternType="solid">
          <bgColor rgb="FFFF0000"/>
        </patternFill>
      </fill>
    </ndxf>
  </rcc>
  <rcc rId="5600" sId="1" odxf="1" dxf="1" numFmtId="4">
    <nc r="Q135">
      <v>0.3</v>
    </nc>
    <odxf>
      <fill>
        <patternFill patternType="none">
          <bgColor indexed="65"/>
        </patternFill>
      </fill>
    </odxf>
    <ndxf>
      <fill>
        <patternFill patternType="solid">
          <bgColor rgb="FFFF0000"/>
        </patternFill>
      </fill>
    </ndxf>
  </rcc>
  <rcc rId="5601" sId="1" odxf="1" dxf="1" numFmtId="4">
    <nc r="R135">
      <v>0.3</v>
    </nc>
    <odxf>
      <fill>
        <patternFill patternType="none">
          <bgColor indexed="65"/>
        </patternFill>
      </fill>
    </odxf>
    <ndxf>
      <fill>
        <patternFill patternType="solid">
          <bgColor rgb="FFFF0000"/>
        </patternFill>
      </fill>
    </ndxf>
  </rcc>
  <rcc rId="5602" sId="1" odxf="1" dxf="1" numFmtId="4">
    <nc r="Q136">
      <v>0.3</v>
    </nc>
    <odxf>
      <fill>
        <patternFill patternType="none">
          <bgColor indexed="65"/>
        </patternFill>
      </fill>
    </odxf>
    <ndxf>
      <fill>
        <patternFill patternType="solid">
          <bgColor rgb="FFFF0000"/>
        </patternFill>
      </fill>
    </ndxf>
  </rcc>
  <rcc rId="5603" sId="1" odxf="1" dxf="1" numFmtId="4">
    <nc r="R136">
      <v>0.3</v>
    </nc>
    <odxf>
      <fill>
        <patternFill patternType="none">
          <bgColor indexed="65"/>
        </patternFill>
      </fill>
    </odxf>
    <ndxf>
      <fill>
        <patternFill patternType="solid">
          <bgColor rgb="FFFF0000"/>
        </patternFill>
      </fill>
    </ndxf>
  </rcc>
  <rcc rId="5604" sId="1" odxf="1" dxf="1" numFmtId="4">
    <nc r="Q137">
      <v>0.1</v>
    </nc>
    <odxf>
      <fill>
        <patternFill patternType="none">
          <bgColor indexed="65"/>
        </patternFill>
      </fill>
    </odxf>
    <ndxf>
      <fill>
        <patternFill patternType="solid">
          <bgColor rgb="FFFF0000"/>
        </patternFill>
      </fill>
    </ndxf>
  </rcc>
  <rcc rId="5605" sId="1" odxf="1" dxf="1" numFmtId="4">
    <nc r="R137">
      <v>0.1</v>
    </nc>
    <odxf>
      <fill>
        <patternFill patternType="none">
          <bgColor indexed="65"/>
        </patternFill>
      </fill>
    </odxf>
    <ndxf>
      <fill>
        <patternFill patternType="solid">
          <bgColor rgb="FFFF0000"/>
        </patternFill>
      </fill>
    </ndxf>
  </rcc>
  <rcc rId="5606" sId="1" odxf="1" dxf="1" numFmtId="4">
    <nc r="Q138">
      <v>0.1</v>
    </nc>
    <odxf>
      <fill>
        <patternFill patternType="none">
          <bgColor indexed="65"/>
        </patternFill>
      </fill>
    </odxf>
    <ndxf>
      <fill>
        <patternFill patternType="solid">
          <bgColor rgb="FFFF0000"/>
        </patternFill>
      </fill>
    </ndxf>
  </rcc>
  <rcc rId="5607" sId="1" odxf="1" dxf="1" numFmtId="4">
    <nc r="R138">
      <v>0.1</v>
    </nc>
    <odxf>
      <fill>
        <patternFill patternType="none">
          <bgColor indexed="65"/>
        </patternFill>
      </fill>
    </odxf>
    <ndxf>
      <fill>
        <patternFill patternType="solid">
          <bgColor rgb="FFFF0000"/>
        </patternFill>
      </fill>
    </ndxf>
  </rcc>
  <rcc rId="5608" sId="1" odxf="1" dxf="1" numFmtId="4">
    <nc r="Q139">
      <v>0.05</v>
    </nc>
    <odxf>
      <fill>
        <patternFill patternType="none">
          <bgColor indexed="65"/>
        </patternFill>
      </fill>
    </odxf>
    <ndxf>
      <fill>
        <patternFill patternType="solid">
          <bgColor rgb="FFFF0000"/>
        </patternFill>
      </fill>
    </ndxf>
  </rcc>
  <rcc rId="5609" sId="1" odxf="1" dxf="1" numFmtId="4">
    <nc r="R139">
      <v>0.05</v>
    </nc>
    <odxf>
      <fill>
        <patternFill patternType="none">
          <bgColor indexed="65"/>
        </patternFill>
      </fill>
    </odxf>
    <ndxf>
      <fill>
        <patternFill patternType="solid">
          <bgColor rgb="FFFF0000"/>
        </patternFill>
      </fill>
    </ndxf>
  </rcc>
  <rcc rId="5610" sId="1" odxf="1" dxf="1" numFmtId="4">
    <nc r="Q140">
      <v>0.05</v>
    </nc>
    <odxf>
      <fill>
        <patternFill patternType="none">
          <bgColor indexed="65"/>
        </patternFill>
      </fill>
    </odxf>
    <ndxf>
      <fill>
        <patternFill patternType="solid">
          <bgColor rgb="FFFF0000"/>
        </patternFill>
      </fill>
    </ndxf>
  </rcc>
  <rcc rId="5611" sId="1" odxf="1" dxf="1" numFmtId="4">
    <nc r="R140">
      <v>0.05</v>
    </nc>
    <odxf>
      <fill>
        <patternFill patternType="none">
          <bgColor indexed="65"/>
        </patternFill>
      </fill>
    </odxf>
    <ndxf>
      <fill>
        <patternFill patternType="solid">
          <bgColor rgb="FFFF0000"/>
        </patternFill>
      </fill>
    </ndxf>
  </rcc>
  <rcc rId="5612" sId="1" odxf="1" dxf="1" numFmtId="4">
    <nc r="Q141">
      <v>0.05</v>
    </nc>
    <odxf>
      <fill>
        <patternFill patternType="none">
          <bgColor indexed="65"/>
        </patternFill>
      </fill>
    </odxf>
    <ndxf>
      <fill>
        <patternFill patternType="solid">
          <bgColor rgb="FFFF0000"/>
        </patternFill>
      </fill>
    </ndxf>
  </rcc>
  <rcc rId="5613" sId="1" odxf="1" dxf="1" numFmtId="4">
    <nc r="R141">
      <v>0.05</v>
    </nc>
    <odxf>
      <fill>
        <patternFill patternType="none">
          <bgColor indexed="65"/>
        </patternFill>
      </fill>
    </odxf>
    <ndxf>
      <fill>
        <patternFill patternType="solid">
          <bgColor rgb="FFFF0000"/>
        </patternFill>
      </fill>
    </ndxf>
  </rcc>
  <rcc rId="5614" sId="1" odxf="1" dxf="1" numFmtId="4">
    <nc r="Q142">
      <v>0.05</v>
    </nc>
    <odxf>
      <fill>
        <patternFill patternType="none">
          <bgColor indexed="65"/>
        </patternFill>
      </fill>
    </odxf>
    <ndxf>
      <fill>
        <patternFill patternType="solid">
          <bgColor rgb="FFFF0000"/>
        </patternFill>
      </fill>
    </ndxf>
  </rcc>
  <rcc rId="5615" sId="1" odxf="1" dxf="1" numFmtId="4">
    <nc r="R142">
      <v>0.05</v>
    </nc>
    <odxf>
      <fill>
        <patternFill patternType="none">
          <bgColor indexed="65"/>
        </patternFill>
      </fill>
    </odxf>
    <ndxf>
      <fill>
        <patternFill patternType="solid">
          <bgColor rgb="FFFF0000"/>
        </patternFill>
      </fill>
    </ndxf>
  </rcc>
  <rcc rId="5616" sId="1" odxf="1" dxf="1" numFmtId="4">
    <nc r="Q143">
      <v>0.05</v>
    </nc>
    <odxf>
      <fill>
        <patternFill patternType="none">
          <bgColor indexed="65"/>
        </patternFill>
      </fill>
    </odxf>
    <ndxf>
      <fill>
        <patternFill patternType="solid">
          <bgColor rgb="FFFF0000"/>
        </patternFill>
      </fill>
    </ndxf>
  </rcc>
  <rcc rId="5617" sId="1" odxf="1" dxf="1" numFmtId="4">
    <nc r="R143">
      <v>0.05</v>
    </nc>
    <odxf>
      <fill>
        <patternFill patternType="none">
          <bgColor indexed="65"/>
        </patternFill>
      </fill>
    </odxf>
    <ndxf>
      <fill>
        <patternFill patternType="solid">
          <bgColor rgb="FFFF0000"/>
        </patternFill>
      </fill>
    </ndxf>
  </rcc>
  <rcc rId="5618" sId="1" odxf="1" dxf="1" numFmtId="4">
    <nc r="Q144">
      <v>0.05</v>
    </nc>
    <odxf>
      <fill>
        <patternFill patternType="none">
          <bgColor indexed="65"/>
        </patternFill>
      </fill>
    </odxf>
    <ndxf>
      <fill>
        <patternFill patternType="solid">
          <bgColor rgb="FFFF0000"/>
        </patternFill>
      </fill>
    </ndxf>
  </rcc>
  <rcc rId="5619" sId="1" odxf="1" dxf="1" numFmtId="4">
    <nc r="R144">
      <v>0.05</v>
    </nc>
    <odxf>
      <fill>
        <patternFill patternType="none">
          <bgColor indexed="65"/>
        </patternFill>
      </fill>
    </odxf>
    <ndxf>
      <fill>
        <patternFill patternType="solid">
          <bgColor rgb="FFFF0000"/>
        </patternFill>
      </fill>
    </ndxf>
  </rcc>
  <rcc rId="5620" sId="1" odxf="1" dxf="1" numFmtId="4">
    <nc r="Q145">
      <v>0.05</v>
    </nc>
    <odxf>
      <fill>
        <patternFill patternType="none">
          <bgColor indexed="65"/>
        </patternFill>
      </fill>
    </odxf>
    <ndxf>
      <fill>
        <patternFill patternType="solid">
          <bgColor rgb="FFFF0000"/>
        </patternFill>
      </fill>
    </ndxf>
  </rcc>
  <rcc rId="5621" sId="1" odxf="1" dxf="1" numFmtId="4">
    <nc r="R145">
      <v>0.05</v>
    </nc>
    <odxf>
      <fill>
        <patternFill patternType="none">
          <bgColor indexed="65"/>
        </patternFill>
      </fill>
    </odxf>
    <ndxf>
      <fill>
        <patternFill patternType="solid">
          <bgColor rgb="FFFF0000"/>
        </patternFill>
      </fill>
    </ndxf>
  </rcc>
  <rcc rId="5622" sId="1" odxf="1" dxf="1" numFmtId="4">
    <nc r="Q146">
      <v>0.05</v>
    </nc>
    <odxf>
      <fill>
        <patternFill patternType="none">
          <bgColor indexed="65"/>
        </patternFill>
      </fill>
    </odxf>
    <ndxf>
      <fill>
        <patternFill patternType="solid">
          <bgColor rgb="FFFF0000"/>
        </patternFill>
      </fill>
    </ndxf>
  </rcc>
  <rcc rId="5623" sId="1" odxf="1" dxf="1" numFmtId="4">
    <nc r="R146">
      <v>0.05</v>
    </nc>
    <odxf>
      <fill>
        <patternFill patternType="none">
          <bgColor indexed="65"/>
        </patternFill>
      </fill>
    </odxf>
    <ndxf>
      <fill>
        <patternFill patternType="solid">
          <bgColor rgb="FFFF0000"/>
        </patternFill>
      </fill>
    </ndxf>
  </rcc>
  <rcc rId="5624" sId="1" odxf="1" dxf="1" numFmtId="4">
    <nc r="Q147">
      <v>0.05</v>
    </nc>
    <odxf>
      <fill>
        <patternFill patternType="none">
          <bgColor indexed="65"/>
        </patternFill>
      </fill>
    </odxf>
    <ndxf>
      <fill>
        <patternFill patternType="solid">
          <bgColor rgb="FFFF0000"/>
        </patternFill>
      </fill>
    </ndxf>
  </rcc>
  <rcc rId="5625" sId="1" odxf="1" dxf="1" numFmtId="4">
    <nc r="R147">
      <v>0.05</v>
    </nc>
    <odxf>
      <fill>
        <patternFill patternType="none">
          <bgColor indexed="65"/>
        </patternFill>
      </fill>
    </odxf>
    <ndxf>
      <fill>
        <patternFill patternType="solid">
          <bgColor rgb="FFFF0000"/>
        </patternFill>
      </fill>
    </ndxf>
  </rcc>
  <rcc rId="5626" sId="1" odxf="1" dxf="1" numFmtId="4">
    <nc r="Q148">
      <v>0.05</v>
    </nc>
    <odxf>
      <fill>
        <patternFill patternType="none">
          <bgColor indexed="65"/>
        </patternFill>
      </fill>
    </odxf>
    <ndxf>
      <fill>
        <patternFill patternType="solid">
          <bgColor rgb="FFFF0000"/>
        </patternFill>
      </fill>
    </ndxf>
  </rcc>
  <rcc rId="5627" sId="1" odxf="1" dxf="1" numFmtId="4">
    <nc r="R148">
      <v>0.05</v>
    </nc>
    <odxf>
      <fill>
        <patternFill patternType="none">
          <bgColor indexed="65"/>
        </patternFill>
      </fill>
    </odxf>
    <ndxf>
      <fill>
        <patternFill patternType="solid">
          <bgColor rgb="FFFF0000"/>
        </patternFill>
      </fill>
    </ndxf>
  </rcc>
  <rcc rId="5628" sId="1" odxf="1" dxf="1" numFmtId="4">
    <nc r="Q149">
      <v>0.05</v>
    </nc>
    <odxf>
      <fill>
        <patternFill patternType="none">
          <bgColor indexed="65"/>
        </patternFill>
      </fill>
    </odxf>
    <ndxf>
      <fill>
        <patternFill patternType="solid">
          <bgColor rgb="FFFF0000"/>
        </patternFill>
      </fill>
    </ndxf>
  </rcc>
  <rcc rId="5629" sId="1" odxf="1" dxf="1" numFmtId="4">
    <nc r="R149">
      <v>0.05</v>
    </nc>
    <odxf>
      <fill>
        <patternFill patternType="none">
          <bgColor indexed="65"/>
        </patternFill>
      </fill>
    </odxf>
    <ndxf>
      <fill>
        <patternFill patternType="solid">
          <bgColor rgb="FFFF0000"/>
        </patternFill>
      </fill>
    </ndxf>
  </rcc>
  <rcc rId="5630" sId="1" odxf="1" dxf="1" numFmtId="4">
    <nc r="Q150">
      <v>0.05</v>
    </nc>
    <odxf>
      <fill>
        <patternFill patternType="none">
          <bgColor indexed="65"/>
        </patternFill>
      </fill>
    </odxf>
    <ndxf>
      <fill>
        <patternFill patternType="solid">
          <bgColor rgb="FFFF0000"/>
        </patternFill>
      </fill>
    </ndxf>
  </rcc>
  <rcc rId="5631" sId="1" odxf="1" dxf="1" numFmtId="4">
    <nc r="R150">
      <v>0.05</v>
    </nc>
    <odxf>
      <fill>
        <patternFill patternType="none">
          <bgColor indexed="65"/>
        </patternFill>
      </fill>
    </odxf>
    <ndxf>
      <fill>
        <patternFill patternType="solid">
          <bgColor rgb="FFFF0000"/>
        </patternFill>
      </fill>
    </ndxf>
  </rcc>
  <rcc rId="5632" sId="1" odxf="1" dxf="1" numFmtId="4">
    <nc r="Q151">
      <v>0.05</v>
    </nc>
    <odxf>
      <fill>
        <patternFill patternType="none">
          <bgColor indexed="65"/>
        </patternFill>
      </fill>
    </odxf>
    <ndxf>
      <fill>
        <patternFill patternType="solid">
          <bgColor rgb="FFFF0000"/>
        </patternFill>
      </fill>
    </ndxf>
  </rcc>
  <rcc rId="5633" sId="1" odxf="1" dxf="1" numFmtId="4">
    <nc r="R151">
      <v>0.05</v>
    </nc>
    <odxf>
      <fill>
        <patternFill patternType="none">
          <bgColor indexed="65"/>
        </patternFill>
      </fill>
    </odxf>
    <ndxf>
      <fill>
        <patternFill patternType="solid">
          <bgColor rgb="FFFF0000"/>
        </patternFill>
      </fill>
    </ndxf>
  </rcc>
  <rcc rId="5634" sId="1" odxf="1" dxf="1" numFmtId="4">
    <nc r="Q152">
      <v>0.05</v>
    </nc>
    <odxf>
      <fill>
        <patternFill patternType="none">
          <bgColor indexed="65"/>
        </patternFill>
      </fill>
    </odxf>
    <ndxf>
      <fill>
        <patternFill patternType="solid">
          <bgColor rgb="FFFF0000"/>
        </patternFill>
      </fill>
    </ndxf>
  </rcc>
  <rcc rId="5635" sId="1" odxf="1" dxf="1" numFmtId="4">
    <nc r="R152">
      <v>0.05</v>
    </nc>
    <odxf>
      <fill>
        <patternFill patternType="none">
          <bgColor indexed="65"/>
        </patternFill>
      </fill>
    </odxf>
    <ndxf>
      <fill>
        <patternFill patternType="solid">
          <bgColor rgb="FFFF0000"/>
        </patternFill>
      </fill>
    </ndxf>
  </rcc>
  <rcc rId="5636" sId="1" odxf="1" dxf="1" numFmtId="4">
    <nc r="Q153">
      <v>0.05</v>
    </nc>
    <odxf>
      <fill>
        <patternFill patternType="none">
          <bgColor indexed="65"/>
        </patternFill>
      </fill>
    </odxf>
    <ndxf>
      <fill>
        <patternFill patternType="solid">
          <bgColor rgb="FFFF0000"/>
        </patternFill>
      </fill>
    </ndxf>
  </rcc>
  <rcc rId="5637" sId="1" odxf="1" dxf="1" numFmtId="4">
    <nc r="R153">
      <v>0.05</v>
    </nc>
    <odxf>
      <fill>
        <patternFill patternType="none">
          <bgColor indexed="65"/>
        </patternFill>
      </fill>
    </odxf>
    <ndxf>
      <fill>
        <patternFill patternType="solid">
          <bgColor rgb="FFFF0000"/>
        </patternFill>
      </fill>
    </ndxf>
  </rcc>
  <rcc rId="5638" sId="1" odxf="1" dxf="1" numFmtId="4">
    <nc r="Q154">
      <v>0.05</v>
    </nc>
    <odxf>
      <fill>
        <patternFill patternType="none">
          <bgColor indexed="65"/>
        </patternFill>
      </fill>
    </odxf>
    <ndxf>
      <fill>
        <patternFill patternType="solid">
          <bgColor rgb="FFFF0000"/>
        </patternFill>
      </fill>
    </ndxf>
  </rcc>
  <rcc rId="5639" sId="1" odxf="1" dxf="1" numFmtId="4">
    <nc r="R154">
      <v>0.05</v>
    </nc>
    <odxf>
      <fill>
        <patternFill patternType="none">
          <bgColor indexed="65"/>
        </patternFill>
      </fill>
    </odxf>
    <ndxf>
      <fill>
        <patternFill patternType="solid">
          <bgColor rgb="FFFF0000"/>
        </patternFill>
      </fill>
    </ndxf>
  </rcc>
  <rcc rId="5640" sId="1" odxf="1" dxf="1" numFmtId="4">
    <nc r="Q155">
      <v>0.05</v>
    </nc>
    <odxf>
      <fill>
        <patternFill patternType="none">
          <bgColor indexed="65"/>
        </patternFill>
      </fill>
    </odxf>
    <ndxf>
      <fill>
        <patternFill patternType="solid">
          <bgColor rgb="FFFF0000"/>
        </patternFill>
      </fill>
    </ndxf>
  </rcc>
  <rcc rId="5641" sId="1" odxf="1" dxf="1" numFmtId="4">
    <nc r="R155">
      <v>0.05</v>
    </nc>
    <odxf>
      <fill>
        <patternFill patternType="none">
          <bgColor indexed="65"/>
        </patternFill>
      </fill>
    </odxf>
    <ndxf>
      <fill>
        <patternFill patternType="solid">
          <bgColor rgb="FFFF0000"/>
        </patternFill>
      </fill>
    </ndxf>
  </rcc>
  <rcc rId="5642" sId="1" odxf="1" dxf="1" numFmtId="4">
    <nc r="Q156">
      <v>0.05</v>
    </nc>
    <odxf>
      <fill>
        <patternFill patternType="none">
          <bgColor indexed="65"/>
        </patternFill>
      </fill>
    </odxf>
    <ndxf>
      <fill>
        <patternFill patternType="solid">
          <bgColor rgb="FFFF0000"/>
        </patternFill>
      </fill>
    </ndxf>
  </rcc>
  <rcc rId="5643" sId="1" odxf="1" dxf="1" numFmtId="4">
    <nc r="R156">
      <v>0.05</v>
    </nc>
    <odxf>
      <fill>
        <patternFill patternType="none">
          <bgColor indexed="65"/>
        </patternFill>
      </fill>
    </odxf>
    <ndxf>
      <fill>
        <patternFill patternType="solid">
          <bgColor rgb="FFFF0000"/>
        </patternFill>
      </fill>
    </ndxf>
  </rcc>
  <rcc rId="5644" sId="1" odxf="1" dxf="1" numFmtId="4">
    <nc r="Q157">
      <v>0.05</v>
    </nc>
    <odxf>
      <fill>
        <patternFill patternType="none">
          <bgColor indexed="65"/>
        </patternFill>
      </fill>
    </odxf>
    <ndxf>
      <fill>
        <patternFill patternType="solid">
          <bgColor rgb="FFFF0000"/>
        </patternFill>
      </fill>
    </ndxf>
  </rcc>
  <rcc rId="5645" sId="1" odxf="1" dxf="1" numFmtId="4">
    <nc r="R157">
      <v>0.05</v>
    </nc>
    <odxf>
      <fill>
        <patternFill patternType="none">
          <bgColor indexed="65"/>
        </patternFill>
      </fill>
    </odxf>
    <ndxf>
      <fill>
        <patternFill patternType="solid">
          <bgColor rgb="FFFF0000"/>
        </patternFill>
      </fill>
    </ndxf>
  </rcc>
  <rcc rId="5646" sId="1" odxf="1" dxf="1" numFmtId="4">
    <nc r="Q158">
      <v>0.05</v>
    </nc>
    <odxf>
      <fill>
        <patternFill patternType="none">
          <bgColor indexed="65"/>
        </patternFill>
      </fill>
    </odxf>
    <ndxf>
      <fill>
        <patternFill patternType="solid">
          <bgColor rgb="FFFF0000"/>
        </patternFill>
      </fill>
    </ndxf>
  </rcc>
  <rcc rId="5647" sId="1" odxf="1" dxf="1" numFmtId="4">
    <nc r="R158">
      <v>0.05</v>
    </nc>
    <odxf>
      <fill>
        <patternFill patternType="none">
          <bgColor indexed="65"/>
        </patternFill>
      </fill>
    </odxf>
    <ndxf>
      <fill>
        <patternFill patternType="solid">
          <bgColor rgb="FFFF0000"/>
        </patternFill>
      </fill>
    </ndxf>
  </rcc>
  <rcc rId="5648" sId="1" odxf="1" dxf="1" numFmtId="4">
    <nc r="Q159">
      <v>0.05</v>
    </nc>
    <odxf>
      <fill>
        <patternFill patternType="none">
          <bgColor indexed="65"/>
        </patternFill>
      </fill>
    </odxf>
    <ndxf>
      <fill>
        <patternFill patternType="solid">
          <bgColor rgb="FFFF0000"/>
        </patternFill>
      </fill>
    </ndxf>
  </rcc>
  <rcc rId="5649" sId="1" odxf="1" dxf="1" numFmtId="4">
    <nc r="R159">
      <v>0.05</v>
    </nc>
    <odxf>
      <fill>
        <patternFill patternType="none">
          <bgColor indexed="65"/>
        </patternFill>
      </fill>
    </odxf>
    <ndxf>
      <fill>
        <patternFill patternType="solid">
          <bgColor rgb="FFFF0000"/>
        </patternFill>
      </fill>
    </ndxf>
  </rcc>
  <rcc rId="5650" sId="1" odxf="1" dxf="1" numFmtId="4">
    <nc r="Q160">
      <v>0.05</v>
    </nc>
    <odxf>
      <fill>
        <patternFill patternType="none">
          <bgColor indexed="65"/>
        </patternFill>
      </fill>
    </odxf>
    <ndxf>
      <fill>
        <patternFill patternType="solid">
          <bgColor rgb="FFFF0000"/>
        </patternFill>
      </fill>
    </ndxf>
  </rcc>
  <rcc rId="5651" sId="1" odxf="1" dxf="1" numFmtId="4">
    <nc r="R160">
      <v>0.05</v>
    </nc>
    <odxf>
      <fill>
        <patternFill patternType="none">
          <bgColor indexed="65"/>
        </patternFill>
      </fill>
    </odxf>
    <ndxf>
      <fill>
        <patternFill patternType="solid">
          <bgColor rgb="FFFF0000"/>
        </patternFill>
      </fill>
    </ndxf>
  </rcc>
  <rcc rId="5652" sId="1" odxf="1" dxf="1" numFmtId="4">
    <nc r="Q161">
      <v>0.05</v>
    </nc>
    <odxf>
      <fill>
        <patternFill patternType="none">
          <bgColor indexed="65"/>
        </patternFill>
      </fill>
    </odxf>
    <ndxf>
      <fill>
        <patternFill patternType="solid">
          <bgColor rgb="FFFF0000"/>
        </patternFill>
      </fill>
    </ndxf>
  </rcc>
  <rcc rId="5653" sId="1" odxf="1" dxf="1" numFmtId="4">
    <nc r="R161">
      <v>0.05</v>
    </nc>
    <odxf>
      <fill>
        <patternFill patternType="none">
          <bgColor indexed="65"/>
        </patternFill>
      </fill>
    </odxf>
    <ndxf>
      <fill>
        <patternFill patternType="solid">
          <bgColor rgb="FFFF0000"/>
        </patternFill>
      </fill>
    </ndxf>
  </rcc>
  <rcc rId="5654" sId="1" odxf="1" dxf="1" numFmtId="4">
    <nc r="Q162">
      <v>0.05</v>
    </nc>
    <odxf>
      <fill>
        <patternFill patternType="none">
          <bgColor indexed="65"/>
        </patternFill>
      </fill>
    </odxf>
    <ndxf>
      <fill>
        <patternFill patternType="solid">
          <bgColor rgb="FFFF0000"/>
        </patternFill>
      </fill>
    </ndxf>
  </rcc>
  <rcc rId="5655" sId="1" odxf="1" dxf="1" numFmtId="4">
    <nc r="R162">
      <v>0.05</v>
    </nc>
    <odxf>
      <fill>
        <patternFill patternType="none">
          <bgColor indexed="65"/>
        </patternFill>
      </fill>
    </odxf>
    <ndxf>
      <fill>
        <patternFill patternType="solid">
          <bgColor rgb="FFFF0000"/>
        </patternFill>
      </fill>
    </ndxf>
  </rcc>
  <rcc rId="5656" sId="1" odxf="1" dxf="1" numFmtId="4">
    <nc r="Q163">
      <v>0.05</v>
    </nc>
    <odxf>
      <fill>
        <patternFill patternType="none">
          <bgColor indexed="65"/>
        </patternFill>
      </fill>
    </odxf>
    <ndxf>
      <fill>
        <patternFill patternType="solid">
          <bgColor rgb="FFFF0000"/>
        </patternFill>
      </fill>
    </ndxf>
  </rcc>
  <rcc rId="5657" sId="1" odxf="1" dxf="1" numFmtId="4">
    <nc r="R163">
      <v>0.05</v>
    </nc>
    <odxf>
      <fill>
        <patternFill patternType="none">
          <bgColor indexed="65"/>
        </patternFill>
      </fill>
    </odxf>
    <ndxf>
      <fill>
        <patternFill patternType="solid">
          <bgColor rgb="FFFF0000"/>
        </patternFill>
      </fill>
    </ndxf>
  </rcc>
  <rcc rId="5658" sId="1" odxf="1" dxf="1" numFmtId="4">
    <nc r="Q164">
      <v>0.05</v>
    </nc>
    <odxf>
      <fill>
        <patternFill patternType="none">
          <bgColor indexed="65"/>
        </patternFill>
      </fill>
    </odxf>
    <ndxf>
      <fill>
        <patternFill patternType="solid">
          <bgColor rgb="FFFF0000"/>
        </patternFill>
      </fill>
    </ndxf>
  </rcc>
  <rcc rId="5659" sId="1" odxf="1" dxf="1" numFmtId="4">
    <nc r="R164">
      <v>0.05</v>
    </nc>
    <odxf>
      <fill>
        <patternFill patternType="none">
          <bgColor indexed="65"/>
        </patternFill>
      </fill>
    </odxf>
    <ndxf>
      <fill>
        <patternFill patternType="solid">
          <bgColor rgb="FFFF0000"/>
        </patternFill>
      </fill>
    </ndxf>
  </rcc>
  <rcc rId="5660" sId="1" odxf="1" dxf="1" numFmtId="4">
    <nc r="Q165">
      <v>0.05</v>
    </nc>
    <odxf>
      <fill>
        <patternFill patternType="none">
          <bgColor indexed="65"/>
        </patternFill>
      </fill>
    </odxf>
    <ndxf>
      <fill>
        <patternFill patternType="solid">
          <bgColor rgb="FFFF0000"/>
        </patternFill>
      </fill>
    </ndxf>
  </rcc>
  <rcc rId="5661" sId="1" odxf="1" dxf="1" numFmtId="4">
    <nc r="R165">
      <v>0.05</v>
    </nc>
    <odxf>
      <fill>
        <patternFill patternType="none">
          <bgColor indexed="65"/>
        </patternFill>
      </fill>
    </odxf>
    <ndxf>
      <fill>
        <patternFill patternType="solid">
          <bgColor rgb="FFFF0000"/>
        </patternFill>
      </fill>
    </ndxf>
  </rcc>
  <rcc rId="5662" sId="1" odxf="1" dxf="1" numFmtId="4">
    <nc r="Q166">
      <v>0.05</v>
    </nc>
    <odxf>
      <fill>
        <patternFill patternType="none">
          <bgColor indexed="65"/>
        </patternFill>
      </fill>
    </odxf>
    <ndxf>
      <fill>
        <patternFill patternType="solid">
          <bgColor rgb="FFFF0000"/>
        </patternFill>
      </fill>
    </ndxf>
  </rcc>
  <rcc rId="5663" sId="1" odxf="1" dxf="1" numFmtId="4">
    <nc r="R166">
      <v>0.1</v>
    </nc>
    <odxf>
      <fill>
        <patternFill patternType="none">
          <bgColor indexed="65"/>
        </patternFill>
      </fill>
    </odxf>
    <ndxf>
      <fill>
        <patternFill patternType="solid">
          <bgColor rgb="FFFF0000"/>
        </patternFill>
      </fill>
    </ndxf>
  </rcc>
  <rcc rId="5664" sId="1" odxf="1" dxf="1" numFmtId="4">
    <nc r="Q167">
      <v>0.05</v>
    </nc>
    <odxf>
      <fill>
        <patternFill patternType="none">
          <bgColor indexed="65"/>
        </patternFill>
      </fill>
    </odxf>
    <ndxf>
      <fill>
        <patternFill patternType="solid">
          <bgColor rgb="FFFF0000"/>
        </patternFill>
      </fill>
    </ndxf>
  </rcc>
  <rcc rId="5665" sId="1" odxf="1" dxf="1" numFmtId="4">
    <nc r="R167">
      <v>0.1</v>
    </nc>
    <odxf>
      <fill>
        <patternFill patternType="none">
          <bgColor indexed="65"/>
        </patternFill>
      </fill>
    </odxf>
    <ndxf>
      <fill>
        <patternFill patternType="solid">
          <bgColor rgb="FFFF0000"/>
        </patternFill>
      </fill>
    </ndxf>
  </rcc>
  <rcc rId="5666" sId="1" odxf="1" dxf="1" numFmtId="4">
    <nc r="Q168">
      <v>0.1</v>
    </nc>
    <odxf>
      <fill>
        <patternFill patternType="none">
          <bgColor indexed="65"/>
        </patternFill>
      </fill>
    </odxf>
    <ndxf>
      <fill>
        <patternFill patternType="solid">
          <bgColor rgb="FFFF0000"/>
        </patternFill>
      </fill>
    </ndxf>
  </rcc>
  <rcc rId="5667" sId="1" odxf="1" dxf="1" numFmtId="4">
    <nc r="R168">
      <v>0.1</v>
    </nc>
    <odxf>
      <fill>
        <patternFill patternType="none">
          <bgColor indexed="65"/>
        </patternFill>
      </fill>
    </odxf>
    <ndxf>
      <fill>
        <patternFill patternType="solid">
          <bgColor rgb="FFFF0000"/>
        </patternFill>
      </fill>
    </ndxf>
  </rcc>
  <rcc rId="5668" sId="1" odxf="1" dxf="1" numFmtId="4">
    <nc r="Q169">
      <v>0.1</v>
    </nc>
    <odxf>
      <fill>
        <patternFill patternType="none">
          <bgColor indexed="65"/>
        </patternFill>
      </fill>
    </odxf>
    <ndxf>
      <fill>
        <patternFill patternType="solid">
          <bgColor rgb="FFFF0000"/>
        </patternFill>
      </fill>
    </ndxf>
  </rcc>
  <rcc rId="5669" sId="1" odxf="1" dxf="1" numFmtId="4">
    <nc r="R169">
      <v>0.1</v>
    </nc>
    <odxf>
      <fill>
        <patternFill patternType="none">
          <bgColor indexed="65"/>
        </patternFill>
      </fill>
    </odxf>
    <ndxf>
      <fill>
        <patternFill patternType="solid">
          <bgColor rgb="FFFF0000"/>
        </patternFill>
      </fill>
    </ndxf>
  </rcc>
  <rcc rId="5670" sId="1" odxf="1" dxf="1" numFmtId="4">
    <nc r="Q170">
      <v>0.1</v>
    </nc>
    <odxf>
      <fill>
        <patternFill patternType="none">
          <bgColor indexed="65"/>
        </patternFill>
      </fill>
    </odxf>
    <ndxf>
      <fill>
        <patternFill patternType="solid">
          <bgColor rgb="FFFF0000"/>
        </patternFill>
      </fill>
    </ndxf>
  </rcc>
  <rcc rId="5671" sId="1" odxf="1" dxf="1" numFmtId="4">
    <nc r="R170">
      <v>0.1</v>
    </nc>
    <odxf>
      <fill>
        <patternFill patternType="none">
          <bgColor indexed="65"/>
        </patternFill>
      </fill>
    </odxf>
    <ndxf>
      <fill>
        <patternFill patternType="solid">
          <bgColor rgb="FFFF0000"/>
        </patternFill>
      </fill>
    </ndxf>
  </rcc>
  <rcc rId="5672" sId="1" odxf="1" dxf="1" numFmtId="4">
    <nc r="Q171">
      <v>0.1</v>
    </nc>
    <odxf>
      <fill>
        <patternFill patternType="none">
          <bgColor indexed="65"/>
        </patternFill>
      </fill>
    </odxf>
    <ndxf>
      <fill>
        <patternFill patternType="solid">
          <bgColor rgb="FFFF0000"/>
        </patternFill>
      </fill>
    </ndxf>
  </rcc>
  <rcc rId="5673" sId="1" odxf="1" dxf="1" numFmtId="4">
    <nc r="R171">
      <v>0.1</v>
    </nc>
    <odxf>
      <fill>
        <patternFill patternType="none">
          <bgColor indexed="65"/>
        </patternFill>
      </fill>
    </odxf>
    <ndxf>
      <fill>
        <patternFill patternType="solid">
          <bgColor rgb="FFFF0000"/>
        </patternFill>
      </fill>
    </ndxf>
  </rcc>
  <rcc rId="5674" sId="1" odxf="1" dxf="1" numFmtId="4">
    <nc r="Q172">
      <v>0.1</v>
    </nc>
    <odxf>
      <fill>
        <patternFill patternType="none">
          <bgColor indexed="65"/>
        </patternFill>
      </fill>
    </odxf>
    <ndxf>
      <fill>
        <patternFill patternType="solid">
          <bgColor rgb="FFFF0000"/>
        </patternFill>
      </fill>
    </ndxf>
  </rcc>
  <rcc rId="5675" sId="1" odxf="1" dxf="1" numFmtId="4">
    <nc r="R172">
      <v>0.1</v>
    </nc>
    <odxf>
      <fill>
        <patternFill patternType="none">
          <bgColor indexed="65"/>
        </patternFill>
      </fill>
    </odxf>
    <ndxf>
      <fill>
        <patternFill patternType="solid">
          <bgColor rgb="FFFF0000"/>
        </patternFill>
      </fill>
    </ndxf>
  </rcc>
  <rcc rId="5676" sId="1" odxf="1" dxf="1" numFmtId="4">
    <nc r="Q173">
      <v>0.1</v>
    </nc>
    <odxf>
      <fill>
        <patternFill patternType="none">
          <bgColor indexed="65"/>
        </patternFill>
      </fill>
    </odxf>
    <ndxf>
      <fill>
        <patternFill patternType="solid">
          <bgColor rgb="FFFF0000"/>
        </patternFill>
      </fill>
    </ndxf>
  </rcc>
  <rcc rId="5677" sId="1" odxf="1" dxf="1" numFmtId="4">
    <nc r="R173">
      <v>0.1</v>
    </nc>
    <odxf>
      <fill>
        <patternFill patternType="none">
          <bgColor indexed="65"/>
        </patternFill>
      </fill>
    </odxf>
    <ndxf>
      <fill>
        <patternFill patternType="solid">
          <bgColor rgb="FFFF0000"/>
        </patternFill>
      </fill>
    </ndxf>
  </rcc>
  <rcc rId="5678" sId="1" odxf="1" dxf="1" numFmtId="4">
    <nc r="Q174">
      <v>0.1</v>
    </nc>
    <odxf>
      <fill>
        <patternFill patternType="none">
          <bgColor indexed="65"/>
        </patternFill>
      </fill>
    </odxf>
    <ndxf>
      <fill>
        <patternFill patternType="solid">
          <bgColor rgb="FFFF0000"/>
        </patternFill>
      </fill>
    </ndxf>
  </rcc>
  <rcc rId="5679" sId="1" odxf="1" dxf="1" numFmtId="4">
    <nc r="R174">
      <v>0.1</v>
    </nc>
    <odxf>
      <fill>
        <patternFill patternType="none">
          <bgColor indexed="65"/>
        </patternFill>
      </fill>
    </odxf>
    <ndxf>
      <fill>
        <patternFill patternType="solid">
          <bgColor rgb="FFFF0000"/>
        </patternFill>
      </fill>
    </ndxf>
  </rcc>
  <rcc rId="5680" sId="1" odxf="1" dxf="1" numFmtId="4">
    <nc r="Q175">
      <v>0.1</v>
    </nc>
    <odxf>
      <fill>
        <patternFill patternType="none">
          <bgColor indexed="65"/>
        </patternFill>
      </fill>
    </odxf>
    <ndxf>
      <fill>
        <patternFill patternType="solid">
          <bgColor rgb="FFFF0000"/>
        </patternFill>
      </fill>
    </ndxf>
  </rcc>
  <rcc rId="5681" sId="1" odxf="1" dxf="1" numFmtId="4">
    <nc r="R175">
      <v>0.1</v>
    </nc>
    <odxf>
      <fill>
        <patternFill patternType="none">
          <bgColor indexed="65"/>
        </patternFill>
      </fill>
    </odxf>
    <ndxf>
      <fill>
        <patternFill patternType="solid">
          <bgColor rgb="FFFF0000"/>
        </patternFill>
      </fill>
    </ndxf>
  </rcc>
  <rcc rId="5682" sId="1" odxf="1" dxf="1" numFmtId="4">
    <nc r="Q176">
      <v>0.1</v>
    </nc>
    <odxf>
      <fill>
        <patternFill patternType="none">
          <bgColor indexed="65"/>
        </patternFill>
      </fill>
    </odxf>
    <ndxf>
      <fill>
        <patternFill patternType="solid">
          <bgColor rgb="FFFF0000"/>
        </patternFill>
      </fill>
    </ndxf>
  </rcc>
  <rcc rId="5683" sId="1" odxf="1" dxf="1" numFmtId="4">
    <nc r="R176">
      <v>0.1</v>
    </nc>
    <odxf>
      <fill>
        <patternFill patternType="none">
          <bgColor indexed="65"/>
        </patternFill>
      </fill>
    </odxf>
    <ndxf>
      <fill>
        <patternFill patternType="solid">
          <bgColor rgb="FFFF0000"/>
        </patternFill>
      </fill>
    </ndxf>
  </rcc>
  <rcc rId="5684" sId="1" odxf="1" dxf="1" numFmtId="4">
    <nc r="Q177">
      <v>0.1</v>
    </nc>
    <odxf>
      <fill>
        <patternFill patternType="none">
          <bgColor indexed="65"/>
        </patternFill>
      </fill>
    </odxf>
    <ndxf>
      <fill>
        <patternFill patternType="solid">
          <bgColor rgb="FFFF0000"/>
        </patternFill>
      </fill>
    </ndxf>
  </rcc>
  <rcc rId="5685" sId="1" odxf="1" dxf="1" numFmtId="4">
    <nc r="R177">
      <v>0.1</v>
    </nc>
    <odxf>
      <fill>
        <patternFill patternType="none">
          <bgColor indexed="65"/>
        </patternFill>
      </fill>
    </odxf>
    <ndxf>
      <fill>
        <patternFill patternType="solid">
          <bgColor rgb="FFFF0000"/>
        </patternFill>
      </fill>
    </ndxf>
  </rcc>
  <rcc rId="5686" sId="1" odxf="1" dxf="1" numFmtId="4">
    <nc r="Q178">
      <v>0.1</v>
    </nc>
    <odxf>
      <fill>
        <patternFill patternType="none">
          <bgColor indexed="65"/>
        </patternFill>
      </fill>
    </odxf>
    <ndxf>
      <fill>
        <patternFill patternType="solid">
          <bgColor rgb="FFFF0000"/>
        </patternFill>
      </fill>
    </ndxf>
  </rcc>
  <rcc rId="5687" sId="1" odxf="1" dxf="1" numFmtId="4">
    <nc r="R178">
      <v>0.1</v>
    </nc>
    <odxf>
      <fill>
        <patternFill patternType="none">
          <bgColor indexed="65"/>
        </patternFill>
      </fill>
    </odxf>
    <ndxf>
      <fill>
        <patternFill patternType="solid">
          <bgColor rgb="FFFF0000"/>
        </patternFill>
      </fill>
    </ndxf>
  </rcc>
  <rcc rId="5688" sId="1" odxf="1" dxf="1" numFmtId="4">
    <nc r="Q179">
      <v>0.1</v>
    </nc>
    <odxf>
      <fill>
        <patternFill patternType="none">
          <bgColor indexed="65"/>
        </patternFill>
      </fill>
    </odxf>
    <ndxf>
      <fill>
        <patternFill patternType="solid">
          <bgColor rgb="FFFF0000"/>
        </patternFill>
      </fill>
    </ndxf>
  </rcc>
  <rcc rId="5689" sId="1" odxf="1" dxf="1" numFmtId="4">
    <nc r="R179">
      <v>0.1</v>
    </nc>
    <odxf>
      <fill>
        <patternFill patternType="none">
          <bgColor indexed="65"/>
        </patternFill>
      </fill>
    </odxf>
    <ndxf>
      <fill>
        <patternFill patternType="solid">
          <bgColor rgb="FFFF0000"/>
        </patternFill>
      </fill>
    </ndxf>
  </rcc>
  <rcc rId="5690" sId="1" odxf="1" dxf="1" numFmtId="4">
    <nc r="Q180">
      <v>0.1</v>
    </nc>
    <odxf>
      <fill>
        <patternFill patternType="none">
          <bgColor indexed="65"/>
        </patternFill>
      </fill>
    </odxf>
    <ndxf>
      <fill>
        <patternFill patternType="solid">
          <bgColor rgb="FFFF0000"/>
        </patternFill>
      </fill>
    </ndxf>
  </rcc>
  <rcc rId="5691" sId="1" odxf="1" dxf="1" numFmtId="4">
    <nc r="R180">
      <v>0.1</v>
    </nc>
    <odxf>
      <fill>
        <patternFill patternType="none">
          <bgColor indexed="65"/>
        </patternFill>
      </fill>
    </odxf>
    <ndxf>
      <fill>
        <patternFill patternType="solid">
          <bgColor rgb="FFFF0000"/>
        </patternFill>
      </fill>
    </ndxf>
  </rcc>
  <rcc rId="5692" sId="1" odxf="1" dxf="1" numFmtId="4">
    <nc r="Q181">
      <v>0.1</v>
    </nc>
    <odxf>
      <fill>
        <patternFill patternType="none">
          <bgColor indexed="65"/>
        </patternFill>
      </fill>
    </odxf>
    <ndxf>
      <fill>
        <patternFill patternType="solid">
          <bgColor rgb="FFFF0000"/>
        </patternFill>
      </fill>
    </ndxf>
  </rcc>
  <rcc rId="5693" sId="1" odxf="1" dxf="1" numFmtId="4">
    <nc r="R181">
      <v>0.1</v>
    </nc>
    <odxf>
      <fill>
        <patternFill patternType="none">
          <bgColor indexed="65"/>
        </patternFill>
      </fill>
    </odxf>
    <ndxf>
      <fill>
        <patternFill patternType="solid">
          <bgColor rgb="FFFF0000"/>
        </patternFill>
      </fill>
    </ndxf>
  </rcc>
  <rcc rId="5694" sId="1" odxf="1" dxf="1" numFmtId="4">
    <nc r="Q182">
      <v>0.1</v>
    </nc>
    <odxf>
      <fill>
        <patternFill patternType="none">
          <bgColor indexed="65"/>
        </patternFill>
      </fill>
    </odxf>
    <ndxf>
      <fill>
        <patternFill patternType="solid">
          <bgColor rgb="FFFF0000"/>
        </patternFill>
      </fill>
    </ndxf>
  </rcc>
  <rcc rId="5695" sId="1" odxf="1" dxf="1" numFmtId="4">
    <nc r="R182">
      <v>0.1</v>
    </nc>
    <odxf>
      <fill>
        <patternFill patternType="none">
          <bgColor indexed="65"/>
        </patternFill>
      </fill>
    </odxf>
    <ndxf>
      <fill>
        <patternFill patternType="solid">
          <bgColor rgb="FFFF0000"/>
        </patternFill>
      </fill>
    </ndxf>
  </rcc>
  <rcc rId="5696" sId="1" odxf="1" dxf="1" numFmtId="4">
    <nc r="Q183">
      <v>0.1</v>
    </nc>
    <odxf>
      <fill>
        <patternFill patternType="none">
          <bgColor indexed="65"/>
        </patternFill>
      </fill>
    </odxf>
    <ndxf>
      <fill>
        <patternFill patternType="solid">
          <bgColor rgb="FFFF0000"/>
        </patternFill>
      </fill>
    </ndxf>
  </rcc>
  <rcc rId="5697" sId="1" odxf="1" dxf="1" numFmtId="4">
    <nc r="R183">
      <v>0.1</v>
    </nc>
    <odxf>
      <fill>
        <patternFill patternType="none">
          <bgColor indexed="65"/>
        </patternFill>
      </fill>
    </odxf>
    <ndxf>
      <fill>
        <patternFill patternType="solid">
          <bgColor rgb="FFFF0000"/>
        </patternFill>
      </fill>
    </ndxf>
  </rcc>
  <rcc rId="5698" sId="1" odxf="1" dxf="1" numFmtId="4">
    <nc r="Q184">
      <v>0.1</v>
    </nc>
    <odxf>
      <fill>
        <patternFill patternType="none">
          <bgColor indexed="65"/>
        </patternFill>
      </fill>
    </odxf>
    <ndxf>
      <fill>
        <patternFill patternType="solid">
          <bgColor rgb="FFFF0000"/>
        </patternFill>
      </fill>
    </ndxf>
  </rcc>
  <rcc rId="5699" sId="1" odxf="1" dxf="1" numFmtId="4">
    <nc r="R184">
      <v>0.1</v>
    </nc>
    <odxf>
      <fill>
        <patternFill patternType="none">
          <bgColor indexed="65"/>
        </patternFill>
      </fill>
    </odxf>
    <ndxf>
      <fill>
        <patternFill patternType="solid">
          <bgColor rgb="FFFF0000"/>
        </patternFill>
      </fill>
    </ndxf>
  </rcc>
  <rcc rId="5700" sId="1" odxf="1" dxf="1" numFmtId="4">
    <nc r="Q185">
      <v>0.1</v>
    </nc>
    <odxf>
      <fill>
        <patternFill patternType="none">
          <bgColor indexed="65"/>
        </patternFill>
      </fill>
    </odxf>
    <ndxf>
      <fill>
        <patternFill patternType="solid">
          <bgColor rgb="FFFF0000"/>
        </patternFill>
      </fill>
    </ndxf>
  </rcc>
  <rcc rId="5701" sId="1" odxf="1" dxf="1" numFmtId="4">
    <nc r="R185">
      <v>0.1</v>
    </nc>
    <odxf>
      <fill>
        <patternFill patternType="none">
          <bgColor indexed="65"/>
        </patternFill>
      </fill>
    </odxf>
    <ndxf>
      <fill>
        <patternFill patternType="solid">
          <bgColor rgb="FFFF0000"/>
        </patternFill>
      </fill>
    </ndxf>
  </rcc>
  <rcc rId="5702" sId="1" odxf="1" dxf="1" numFmtId="4">
    <nc r="Q186">
      <v>0.1</v>
    </nc>
    <odxf>
      <fill>
        <patternFill patternType="none">
          <bgColor indexed="65"/>
        </patternFill>
      </fill>
    </odxf>
    <ndxf>
      <fill>
        <patternFill patternType="solid">
          <bgColor rgb="FFFF0000"/>
        </patternFill>
      </fill>
    </ndxf>
  </rcc>
  <rcc rId="5703" sId="1" odxf="1" dxf="1" numFmtId="4">
    <nc r="R186">
      <v>0.1</v>
    </nc>
    <odxf>
      <fill>
        <patternFill patternType="none">
          <bgColor indexed="65"/>
        </patternFill>
      </fill>
    </odxf>
    <ndxf>
      <fill>
        <patternFill patternType="solid">
          <bgColor rgb="FFFF0000"/>
        </patternFill>
      </fill>
    </ndxf>
  </rcc>
  <rcc rId="5704" sId="1" odxf="1" dxf="1" numFmtId="4">
    <nc r="Q187">
      <v>0.1</v>
    </nc>
    <odxf>
      <fill>
        <patternFill patternType="none">
          <bgColor indexed="65"/>
        </patternFill>
      </fill>
    </odxf>
    <ndxf>
      <fill>
        <patternFill patternType="solid">
          <bgColor rgb="FFFF0000"/>
        </patternFill>
      </fill>
    </ndxf>
  </rcc>
  <rcc rId="5705" sId="1" odxf="1" dxf="1" numFmtId="4">
    <nc r="R187">
      <v>0.1</v>
    </nc>
    <odxf>
      <fill>
        <patternFill patternType="none">
          <bgColor indexed="65"/>
        </patternFill>
      </fill>
    </odxf>
    <ndxf>
      <fill>
        <patternFill patternType="solid">
          <bgColor rgb="FFFF0000"/>
        </patternFill>
      </fill>
    </ndxf>
  </rcc>
  <rcc rId="5706" sId="1" odxf="1" dxf="1" numFmtId="4">
    <nc r="Q188">
      <v>0.1</v>
    </nc>
    <odxf>
      <fill>
        <patternFill patternType="none">
          <bgColor indexed="65"/>
        </patternFill>
      </fill>
    </odxf>
    <ndxf>
      <fill>
        <patternFill patternType="solid">
          <bgColor rgb="FFFF0000"/>
        </patternFill>
      </fill>
    </ndxf>
  </rcc>
  <rcc rId="5707" sId="1" odxf="1" dxf="1" numFmtId="4">
    <nc r="R188">
      <v>0.1</v>
    </nc>
    <odxf>
      <fill>
        <patternFill patternType="none">
          <bgColor indexed="65"/>
        </patternFill>
      </fill>
    </odxf>
    <ndxf>
      <fill>
        <patternFill patternType="solid">
          <bgColor rgb="FFFF0000"/>
        </patternFill>
      </fill>
    </ndxf>
  </rcc>
  <rcc rId="5708" sId="1" odxf="1" dxf="1" numFmtId="4">
    <nc r="Q189">
      <v>0.1</v>
    </nc>
    <odxf>
      <fill>
        <patternFill patternType="none">
          <bgColor indexed="65"/>
        </patternFill>
      </fill>
    </odxf>
    <ndxf>
      <fill>
        <patternFill patternType="solid">
          <bgColor rgb="FFFF0000"/>
        </patternFill>
      </fill>
    </ndxf>
  </rcc>
  <rcc rId="5709" sId="1" odxf="1" dxf="1" numFmtId="4">
    <nc r="R189">
      <v>0.1</v>
    </nc>
    <odxf>
      <fill>
        <patternFill patternType="none">
          <bgColor indexed="65"/>
        </patternFill>
      </fill>
    </odxf>
    <ndxf>
      <fill>
        <patternFill patternType="solid">
          <bgColor rgb="FFFF0000"/>
        </patternFill>
      </fill>
    </ndxf>
  </rcc>
  <rcc rId="5710" sId="1" odxf="1" dxf="1" numFmtId="4">
    <nc r="Q190">
      <v>0.1</v>
    </nc>
    <odxf>
      <fill>
        <patternFill patternType="none">
          <bgColor indexed="65"/>
        </patternFill>
      </fill>
    </odxf>
    <ndxf>
      <fill>
        <patternFill patternType="solid">
          <bgColor rgb="FFFF0000"/>
        </patternFill>
      </fill>
    </ndxf>
  </rcc>
  <rcc rId="5711" sId="1" odxf="1" dxf="1" numFmtId="4">
    <nc r="R190">
      <v>0.1</v>
    </nc>
    <odxf>
      <fill>
        <patternFill patternType="none">
          <bgColor indexed="65"/>
        </patternFill>
      </fill>
    </odxf>
    <ndxf>
      <fill>
        <patternFill patternType="solid">
          <bgColor rgb="FFFF0000"/>
        </patternFill>
      </fill>
    </ndxf>
  </rcc>
  <rcc rId="5712" sId="1" odxf="1" dxf="1" numFmtId="4">
    <nc r="Q191">
      <v>0.1</v>
    </nc>
    <odxf>
      <fill>
        <patternFill patternType="none">
          <bgColor indexed="65"/>
        </patternFill>
      </fill>
    </odxf>
    <ndxf>
      <fill>
        <patternFill patternType="solid">
          <bgColor rgb="FFFF0000"/>
        </patternFill>
      </fill>
    </ndxf>
  </rcc>
  <rcc rId="5713" sId="1" odxf="1" dxf="1" numFmtId="4">
    <nc r="R191">
      <v>0.1</v>
    </nc>
    <odxf>
      <fill>
        <patternFill patternType="none">
          <bgColor indexed="65"/>
        </patternFill>
      </fill>
    </odxf>
    <ndxf>
      <fill>
        <patternFill patternType="solid">
          <bgColor rgb="FFFF0000"/>
        </patternFill>
      </fill>
    </ndxf>
  </rcc>
  <rcc rId="5714" sId="1" odxf="1" dxf="1" numFmtId="4">
    <nc r="Q192">
      <v>0.1</v>
    </nc>
    <odxf>
      <fill>
        <patternFill patternType="none">
          <bgColor indexed="65"/>
        </patternFill>
      </fill>
    </odxf>
    <ndxf>
      <fill>
        <patternFill patternType="solid">
          <bgColor rgb="FFFF0000"/>
        </patternFill>
      </fill>
    </ndxf>
  </rcc>
  <rcc rId="5715" sId="1" odxf="1" dxf="1" numFmtId="4">
    <nc r="R192">
      <v>0.1</v>
    </nc>
    <odxf>
      <fill>
        <patternFill patternType="none">
          <bgColor indexed="65"/>
        </patternFill>
      </fill>
    </odxf>
    <ndxf>
      <fill>
        <patternFill patternType="solid">
          <bgColor rgb="FFFF0000"/>
        </patternFill>
      </fill>
    </ndxf>
  </rcc>
  <rcc rId="5716" sId="1" odxf="1" dxf="1" numFmtId="4">
    <nc r="Q193">
      <v>0.1</v>
    </nc>
    <odxf>
      <fill>
        <patternFill patternType="none">
          <bgColor indexed="65"/>
        </patternFill>
      </fill>
    </odxf>
    <ndxf>
      <fill>
        <patternFill patternType="solid">
          <bgColor rgb="FFFF0000"/>
        </patternFill>
      </fill>
    </ndxf>
  </rcc>
  <rcc rId="5717" sId="1" odxf="1" dxf="1" numFmtId="4">
    <nc r="R193">
      <v>0.1</v>
    </nc>
    <odxf>
      <fill>
        <patternFill patternType="none">
          <bgColor indexed="65"/>
        </patternFill>
      </fill>
    </odxf>
    <ndxf>
      <fill>
        <patternFill patternType="solid">
          <bgColor rgb="FFFF0000"/>
        </patternFill>
      </fill>
    </ndxf>
  </rcc>
  <rcc rId="5718" sId="1" odxf="1" dxf="1" numFmtId="4">
    <nc r="Q194">
      <v>0.1</v>
    </nc>
    <odxf>
      <fill>
        <patternFill patternType="none">
          <bgColor indexed="65"/>
        </patternFill>
      </fill>
    </odxf>
    <ndxf>
      <fill>
        <patternFill patternType="solid">
          <bgColor rgb="FFFF0000"/>
        </patternFill>
      </fill>
    </ndxf>
  </rcc>
  <rcc rId="5719" sId="1" odxf="1" dxf="1" numFmtId="4">
    <nc r="R194">
      <v>0.1</v>
    </nc>
    <odxf>
      <fill>
        <patternFill patternType="none">
          <bgColor indexed="65"/>
        </patternFill>
      </fill>
    </odxf>
    <ndxf>
      <fill>
        <patternFill patternType="solid">
          <bgColor rgb="FFFF0000"/>
        </patternFill>
      </fill>
    </ndxf>
  </rcc>
  <rcc rId="5720" sId="1" odxf="1" dxf="1" numFmtId="4">
    <nc r="Q195">
      <v>0.1</v>
    </nc>
    <odxf>
      <fill>
        <patternFill patternType="none">
          <bgColor indexed="65"/>
        </patternFill>
      </fill>
    </odxf>
    <ndxf>
      <fill>
        <patternFill patternType="solid">
          <bgColor rgb="FFFF0000"/>
        </patternFill>
      </fill>
    </ndxf>
  </rcc>
  <rcc rId="5721" sId="1" odxf="1" dxf="1" numFmtId="4">
    <nc r="R195">
      <v>0.1</v>
    </nc>
    <odxf>
      <fill>
        <patternFill patternType="none">
          <bgColor indexed="65"/>
        </patternFill>
      </fill>
    </odxf>
    <ndxf>
      <fill>
        <patternFill patternType="solid">
          <bgColor rgb="FFFF0000"/>
        </patternFill>
      </fill>
    </ndxf>
  </rcc>
  <rcc rId="5722" sId="1" odxf="1" dxf="1" numFmtId="4">
    <nc r="Q196">
      <v>0.1</v>
    </nc>
    <odxf>
      <fill>
        <patternFill patternType="none">
          <bgColor indexed="65"/>
        </patternFill>
      </fill>
    </odxf>
    <ndxf>
      <fill>
        <patternFill patternType="solid">
          <bgColor rgb="FFFF0000"/>
        </patternFill>
      </fill>
    </ndxf>
  </rcc>
  <rcc rId="5723" sId="1" odxf="1" dxf="1" numFmtId="4">
    <nc r="R196">
      <v>0.1</v>
    </nc>
    <odxf>
      <fill>
        <patternFill patternType="none">
          <bgColor indexed="65"/>
        </patternFill>
      </fill>
    </odxf>
    <ndxf>
      <fill>
        <patternFill patternType="solid">
          <bgColor rgb="FFFF0000"/>
        </patternFill>
      </fill>
    </ndxf>
  </rcc>
  <rcc rId="5724" sId="1" odxf="1" dxf="1" numFmtId="4">
    <nc r="Q197">
      <v>0.1</v>
    </nc>
    <odxf>
      <fill>
        <patternFill patternType="none">
          <bgColor indexed="65"/>
        </patternFill>
      </fill>
    </odxf>
    <ndxf>
      <fill>
        <patternFill patternType="solid">
          <bgColor rgb="FFFF0000"/>
        </patternFill>
      </fill>
    </ndxf>
  </rcc>
  <rcc rId="5725" sId="1" odxf="1" dxf="1" numFmtId="4">
    <nc r="R197">
      <v>0.1</v>
    </nc>
    <odxf>
      <fill>
        <patternFill patternType="none">
          <bgColor indexed="65"/>
        </patternFill>
      </fill>
    </odxf>
    <ndxf>
      <fill>
        <patternFill patternType="solid">
          <bgColor rgb="FFFF0000"/>
        </patternFill>
      </fill>
    </ndxf>
  </rcc>
  <rcc rId="5726" sId="1" odxf="1" dxf="1" numFmtId="4">
    <nc r="Q198">
      <v>0.1</v>
    </nc>
    <odxf>
      <fill>
        <patternFill patternType="none">
          <bgColor indexed="65"/>
        </patternFill>
      </fill>
    </odxf>
    <ndxf>
      <fill>
        <patternFill patternType="solid">
          <bgColor rgb="FFFF0000"/>
        </patternFill>
      </fill>
    </ndxf>
  </rcc>
  <rcc rId="5727" sId="1" odxf="1" dxf="1" numFmtId="4">
    <nc r="R198">
      <v>0.1</v>
    </nc>
    <odxf>
      <fill>
        <patternFill patternType="none">
          <bgColor indexed="65"/>
        </patternFill>
      </fill>
    </odxf>
    <ndxf>
      <fill>
        <patternFill patternType="solid">
          <bgColor rgb="FFFF0000"/>
        </patternFill>
      </fill>
    </ndxf>
  </rcc>
  <rcc rId="5728" sId="1" odxf="1" dxf="1" numFmtId="4">
    <nc r="Q199">
      <v>0.3</v>
    </nc>
    <odxf>
      <fill>
        <patternFill patternType="none">
          <bgColor indexed="65"/>
        </patternFill>
      </fill>
    </odxf>
    <ndxf>
      <fill>
        <patternFill patternType="solid">
          <bgColor rgb="FFFF0000"/>
        </patternFill>
      </fill>
    </ndxf>
  </rcc>
  <rcc rId="5729" sId="1" odxf="1" dxf="1" numFmtId="4">
    <nc r="R199">
      <v>0.3</v>
    </nc>
    <odxf>
      <fill>
        <patternFill patternType="none">
          <bgColor indexed="65"/>
        </patternFill>
      </fill>
    </odxf>
    <ndxf>
      <fill>
        <patternFill patternType="solid">
          <bgColor rgb="FFFF0000"/>
        </patternFill>
      </fill>
    </ndxf>
  </rcc>
  <rcc rId="5730" sId="1" odxf="1" dxf="1" numFmtId="4">
    <nc r="Q200">
      <v>0.3</v>
    </nc>
    <odxf>
      <fill>
        <patternFill patternType="none">
          <bgColor indexed="65"/>
        </patternFill>
      </fill>
    </odxf>
    <ndxf>
      <fill>
        <patternFill patternType="solid">
          <bgColor rgb="FFFF0000"/>
        </patternFill>
      </fill>
    </ndxf>
  </rcc>
  <rcc rId="5731" sId="1" odxf="1" dxf="1" numFmtId="4">
    <nc r="R200">
      <v>0.3</v>
    </nc>
    <odxf>
      <fill>
        <patternFill patternType="none">
          <bgColor indexed="65"/>
        </patternFill>
      </fill>
    </odxf>
    <ndxf>
      <fill>
        <patternFill patternType="solid">
          <bgColor rgb="FFFF0000"/>
        </patternFill>
      </fill>
    </ndxf>
  </rcc>
  <rcc rId="5732" sId="1" odxf="1" dxf="1" numFmtId="4">
    <nc r="Q201">
      <v>0.3</v>
    </nc>
    <odxf>
      <fill>
        <patternFill patternType="none">
          <bgColor indexed="65"/>
        </patternFill>
      </fill>
    </odxf>
    <ndxf>
      <fill>
        <patternFill patternType="solid">
          <bgColor rgb="FFFF0000"/>
        </patternFill>
      </fill>
    </ndxf>
  </rcc>
  <rcc rId="5733" sId="1" odxf="1" dxf="1" numFmtId="4">
    <nc r="R201">
      <v>0.3</v>
    </nc>
    <odxf>
      <fill>
        <patternFill patternType="none">
          <bgColor indexed="65"/>
        </patternFill>
      </fill>
    </odxf>
    <ndxf>
      <fill>
        <patternFill patternType="solid">
          <bgColor rgb="FFFF0000"/>
        </patternFill>
      </fill>
    </ndxf>
  </rcc>
  <rcc rId="5734" sId="1" odxf="1" dxf="1" numFmtId="4">
    <nc r="Q202">
      <v>0.1</v>
    </nc>
    <odxf>
      <fill>
        <patternFill patternType="none">
          <bgColor indexed="65"/>
        </patternFill>
      </fill>
    </odxf>
    <ndxf>
      <fill>
        <patternFill patternType="solid">
          <bgColor rgb="FFFF0000"/>
        </patternFill>
      </fill>
    </ndxf>
  </rcc>
  <rcc rId="5735" sId="1" odxf="1" dxf="1" numFmtId="4">
    <nc r="R202">
      <v>0.1</v>
    </nc>
    <odxf>
      <fill>
        <patternFill patternType="none">
          <bgColor indexed="65"/>
        </patternFill>
      </fill>
    </odxf>
    <ndxf>
      <fill>
        <patternFill patternType="solid">
          <bgColor rgb="FFFF0000"/>
        </patternFill>
      </fill>
    </ndxf>
  </rcc>
  <rcc rId="5736" sId="1" odxf="1" dxf="1" numFmtId="4">
    <nc r="Q203">
      <v>0.1</v>
    </nc>
    <odxf>
      <fill>
        <patternFill patternType="none">
          <bgColor indexed="65"/>
        </patternFill>
      </fill>
    </odxf>
    <ndxf>
      <fill>
        <patternFill patternType="solid">
          <bgColor rgb="FFFF0000"/>
        </patternFill>
      </fill>
    </ndxf>
  </rcc>
  <rcc rId="5737" sId="1" odxf="1" dxf="1" numFmtId="4">
    <nc r="R203">
      <v>0.1</v>
    </nc>
    <odxf>
      <fill>
        <patternFill patternType="none">
          <bgColor indexed="65"/>
        </patternFill>
      </fill>
    </odxf>
    <ndxf>
      <fill>
        <patternFill patternType="solid">
          <bgColor rgb="FFFF0000"/>
        </patternFill>
      </fill>
    </ndxf>
  </rcc>
  <rcc rId="5738" sId="1" odxf="1" dxf="1">
    <nc r="Q204" t="inlineStr">
      <is>
        <t>NA</t>
      </is>
    </nc>
    <odxf>
      <fill>
        <patternFill patternType="none">
          <bgColor indexed="65"/>
        </patternFill>
      </fill>
    </odxf>
    <ndxf>
      <fill>
        <patternFill patternType="solid">
          <bgColor rgb="FFFF0000"/>
        </patternFill>
      </fill>
    </ndxf>
  </rcc>
  <rcc rId="5739" sId="1" odxf="1" dxf="1">
    <nc r="R204" t="inlineStr">
      <is>
        <t>NA</t>
      </is>
    </nc>
    <odxf>
      <fill>
        <patternFill patternType="none">
          <bgColor indexed="65"/>
        </patternFill>
      </fill>
    </odxf>
    <ndxf>
      <fill>
        <patternFill patternType="solid">
          <bgColor rgb="FFFF0000"/>
        </patternFill>
      </fill>
    </ndxf>
  </rcc>
  <rcc rId="5740" sId="1" odxf="1" dxf="1" numFmtId="4">
    <nc r="Q205">
      <v>0.1</v>
    </nc>
    <odxf>
      <fill>
        <patternFill patternType="none">
          <bgColor indexed="65"/>
        </patternFill>
      </fill>
    </odxf>
    <ndxf>
      <fill>
        <patternFill patternType="solid">
          <bgColor rgb="FFFF0000"/>
        </patternFill>
      </fill>
    </ndxf>
  </rcc>
  <rcc rId="5741" sId="1" odxf="1" dxf="1" numFmtId="4">
    <nc r="R205">
      <v>0.1</v>
    </nc>
    <odxf>
      <fill>
        <patternFill patternType="none">
          <bgColor indexed="65"/>
        </patternFill>
      </fill>
    </odxf>
    <ndxf>
      <fill>
        <patternFill patternType="solid">
          <bgColor rgb="FFFF0000"/>
        </patternFill>
      </fill>
    </ndxf>
  </rcc>
  <rcc rId="5742" sId="1" odxf="1" dxf="1" numFmtId="4">
    <nc r="Q206">
      <v>0.1</v>
    </nc>
    <odxf>
      <fill>
        <patternFill patternType="none">
          <bgColor indexed="65"/>
        </patternFill>
      </fill>
    </odxf>
    <ndxf>
      <fill>
        <patternFill patternType="solid">
          <bgColor rgb="FFFF0000"/>
        </patternFill>
      </fill>
    </ndxf>
  </rcc>
  <rcc rId="5743" sId="1" odxf="1" dxf="1" numFmtId="4">
    <nc r="R206">
      <v>0.1</v>
    </nc>
    <odxf>
      <fill>
        <patternFill patternType="none">
          <bgColor indexed="65"/>
        </patternFill>
      </fill>
    </odxf>
    <ndxf>
      <fill>
        <patternFill patternType="solid">
          <bgColor rgb="FFFF0000"/>
        </patternFill>
      </fill>
    </ndxf>
  </rcc>
  <rcc rId="5744" sId="1" odxf="1" dxf="1" numFmtId="4">
    <nc r="Q207">
      <v>0.1</v>
    </nc>
    <odxf>
      <fill>
        <patternFill patternType="none">
          <bgColor indexed="65"/>
        </patternFill>
      </fill>
    </odxf>
    <ndxf>
      <fill>
        <patternFill patternType="solid">
          <bgColor rgb="FFFF0000"/>
        </patternFill>
      </fill>
    </ndxf>
  </rcc>
  <rcc rId="5745" sId="1" odxf="1" dxf="1" numFmtId="4">
    <nc r="R207">
      <v>0.1</v>
    </nc>
    <odxf>
      <fill>
        <patternFill patternType="none">
          <bgColor indexed="65"/>
        </patternFill>
      </fill>
    </odxf>
    <ndxf>
      <fill>
        <patternFill patternType="solid">
          <bgColor rgb="FFFF0000"/>
        </patternFill>
      </fill>
    </ndxf>
  </rcc>
  <rcc rId="5746" sId="1" odxf="1" dxf="1" numFmtId="4">
    <nc r="Q208">
      <v>0.1</v>
    </nc>
    <odxf>
      <fill>
        <patternFill patternType="none">
          <bgColor indexed="65"/>
        </patternFill>
      </fill>
    </odxf>
    <ndxf>
      <fill>
        <patternFill patternType="solid">
          <bgColor rgb="FFFF0000"/>
        </patternFill>
      </fill>
    </ndxf>
  </rcc>
  <rcc rId="5747" sId="1" odxf="1" dxf="1" numFmtId="4">
    <nc r="R208">
      <v>0.1</v>
    </nc>
    <odxf>
      <fill>
        <patternFill patternType="none">
          <bgColor indexed="65"/>
        </patternFill>
      </fill>
    </odxf>
    <ndxf>
      <fill>
        <patternFill patternType="solid">
          <bgColor rgb="FFFF0000"/>
        </patternFill>
      </fill>
    </ndxf>
  </rcc>
  <rcc rId="5748" sId="1" odxf="1" dxf="1" numFmtId="4">
    <nc r="Q209">
      <v>0.1</v>
    </nc>
    <odxf>
      <fill>
        <patternFill patternType="none">
          <bgColor indexed="65"/>
        </patternFill>
      </fill>
    </odxf>
    <ndxf>
      <fill>
        <patternFill patternType="solid">
          <bgColor rgb="FFFF0000"/>
        </patternFill>
      </fill>
    </ndxf>
  </rcc>
  <rcc rId="5749" sId="1" odxf="1" dxf="1" numFmtId="4">
    <nc r="R209">
      <v>0.1</v>
    </nc>
    <odxf>
      <fill>
        <patternFill patternType="none">
          <bgColor indexed="65"/>
        </patternFill>
      </fill>
    </odxf>
    <ndxf>
      <fill>
        <patternFill patternType="solid">
          <bgColor rgb="FFFF0000"/>
        </patternFill>
      </fill>
    </ndxf>
  </rcc>
  <rcc rId="5750" sId="1" odxf="1" dxf="1" numFmtId="4">
    <nc r="Q210">
      <v>0.1</v>
    </nc>
    <odxf>
      <fill>
        <patternFill patternType="none">
          <bgColor indexed="65"/>
        </patternFill>
      </fill>
    </odxf>
    <ndxf>
      <fill>
        <patternFill patternType="solid">
          <bgColor rgb="FFFF0000"/>
        </patternFill>
      </fill>
    </ndxf>
  </rcc>
  <rcc rId="5751" sId="1" odxf="1" dxf="1" numFmtId="4">
    <nc r="R210">
      <v>0.1</v>
    </nc>
    <odxf>
      <fill>
        <patternFill patternType="none">
          <bgColor indexed="65"/>
        </patternFill>
      </fill>
    </odxf>
    <ndxf>
      <fill>
        <patternFill patternType="solid">
          <bgColor rgb="FFFF0000"/>
        </patternFill>
      </fill>
    </ndxf>
  </rcc>
  <rcc rId="5752" sId="1" odxf="1" dxf="1" numFmtId="4">
    <nc r="Q211">
      <v>0.1</v>
    </nc>
    <odxf>
      <fill>
        <patternFill patternType="none">
          <bgColor indexed="65"/>
        </patternFill>
      </fill>
    </odxf>
    <ndxf>
      <fill>
        <patternFill patternType="solid">
          <bgColor rgb="FFFF0000"/>
        </patternFill>
      </fill>
    </ndxf>
  </rcc>
  <rcc rId="5753" sId="1" odxf="1" dxf="1" numFmtId="4">
    <nc r="R211">
      <v>0.1</v>
    </nc>
    <odxf>
      <fill>
        <patternFill patternType="none">
          <bgColor indexed="65"/>
        </patternFill>
      </fill>
    </odxf>
    <ndxf>
      <fill>
        <patternFill patternType="solid">
          <bgColor rgb="FFFF0000"/>
        </patternFill>
      </fill>
    </ndxf>
  </rcc>
  <rcc rId="5754" sId="1" odxf="1" dxf="1" numFmtId="4">
    <nc r="Q212">
      <v>0.1</v>
    </nc>
    <odxf>
      <fill>
        <patternFill patternType="none">
          <bgColor indexed="65"/>
        </patternFill>
      </fill>
    </odxf>
    <ndxf>
      <fill>
        <patternFill patternType="solid">
          <bgColor rgb="FFFF0000"/>
        </patternFill>
      </fill>
    </ndxf>
  </rcc>
  <rcc rId="5755" sId="1" odxf="1" dxf="1" numFmtId="4">
    <nc r="R212">
      <v>0.1</v>
    </nc>
    <odxf>
      <fill>
        <patternFill patternType="none">
          <bgColor indexed="65"/>
        </patternFill>
      </fill>
    </odxf>
    <ndxf>
      <fill>
        <patternFill patternType="solid">
          <bgColor rgb="FFFF0000"/>
        </patternFill>
      </fill>
    </ndxf>
  </rcc>
  <rcc rId="5756" sId="1" odxf="1" dxf="1" numFmtId="4">
    <nc r="Q213">
      <v>0.1</v>
    </nc>
    <odxf>
      <fill>
        <patternFill patternType="none">
          <bgColor indexed="65"/>
        </patternFill>
      </fill>
    </odxf>
    <ndxf>
      <fill>
        <patternFill patternType="solid">
          <bgColor rgb="FFFF0000"/>
        </patternFill>
      </fill>
    </ndxf>
  </rcc>
  <rcc rId="5757" sId="1" odxf="1" dxf="1" numFmtId="4">
    <nc r="R213">
      <v>0.3</v>
    </nc>
    <odxf>
      <fill>
        <patternFill patternType="none">
          <bgColor indexed="65"/>
        </patternFill>
      </fill>
    </odxf>
    <ndxf>
      <fill>
        <patternFill patternType="solid">
          <bgColor rgb="FFFF0000"/>
        </patternFill>
      </fill>
    </ndxf>
  </rcc>
  <rcc rId="5758" sId="1" odxf="1" dxf="1" numFmtId="4">
    <nc r="Q214">
      <v>0.3</v>
    </nc>
    <odxf>
      <fill>
        <patternFill patternType="none">
          <bgColor indexed="65"/>
        </patternFill>
      </fill>
    </odxf>
    <ndxf>
      <fill>
        <patternFill patternType="solid">
          <bgColor rgb="FFFF0000"/>
        </patternFill>
      </fill>
    </ndxf>
  </rcc>
  <rcc rId="5759" sId="1" odxf="1" dxf="1" numFmtId="4">
    <nc r="R214">
      <v>0.3</v>
    </nc>
    <odxf>
      <fill>
        <patternFill patternType="none">
          <bgColor indexed="65"/>
        </patternFill>
      </fill>
    </odxf>
    <ndxf>
      <fill>
        <patternFill patternType="solid">
          <bgColor rgb="FFFF0000"/>
        </patternFill>
      </fill>
    </ndxf>
  </rcc>
  <rcc rId="5760" sId="1" odxf="1" dxf="1" numFmtId="4">
    <nc r="Q215">
      <v>0.3</v>
    </nc>
    <odxf>
      <fill>
        <patternFill patternType="none">
          <bgColor indexed="65"/>
        </patternFill>
      </fill>
    </odxf>
    <ndxf>
      <fill>
        <patternFill patternType="solid">
          <bgColor rgb="FFFF0000"/>
        </patternFill>
      </fill>
    </ndxf>
  </rcc>
  <rcc rId="5761" sId="1" odxf="1" dxf="1" numFmtId="4">
    <nc r="R215">
      <v>0.3</v>
    </nc>
    <odxf>
      <fill>
        <patternFill patternType="none">
          <bgColor indexed="65"/>
        </patternFill>
      </fill>
    </odxf>
    <ndxf>
      <fill>
        <patternFill patternType="solid">
          <bgColor rgb="FFFF0000"/>
        </patternFill>
      </fill>
    </ndxf>
  </rcc>
  <rcc rId="5762" sId="1" odxf="1" dxf="1" numFmtId="4">
    <nc r="Q216">
      <v>0.3</v>
    </nc>
    <odxf>
      <fill>
        <patternFill patternType="none">
          <bgColor indexed="65"/>
        </patternFill>
      </fill>
    </odxf>
    <ndxf>
      <fill>
        <patternFill patternType="solid">
          <bgColor rgb="FFFF0000"/>
        </patternFill>
      </fill>
    </ndxf>
  </rcc>
  <rcc rId="5763" sId="1" odxf="1" dxf="1" numFmtId="4">
    <nc r="R216">
      <v>0.3</v>
    </nc>
    <odxf>
      <fill>
        <patternFill patternType="none">
          <bgColor indexed="65"/>
        </patternFill>
      </fill>
    </odxf>
    <ndxf>
      <fill>
        <patternFill patternType="solid">
          <bgColor rgb="FFFF0000"/>
        </patternFill>
      </fill>
    </ndxf>
  </rcc>
  <rcc rId="5764" sId="1" odxf="1" dxf="1" numFmtId="4">
    <nc r="Q217">
      <v>0.3</v>
    </nc>
    <odxf>
      <fill>
        <patternFill patternType="none">
          <bgColor indexed="65"/>
        </patternFill>
      </fill>
    </odxf>
    <ndxf>
      <fill>
        <patternFill patternType="solid">
          <bgColor rgb="FFFF0000"/>
        </patternFill>
      </fill>
    </ndxf>
  </rcc>
  <rcc rId="5765" sId="1" odxf="1" dxf="1" numFmtId="4">
    <nc r="R217">
      <v>0.3</v>
    </nc>
    <odxf>
      <fill>
        <patternFill patternType="none">
          <bgColor indexed="65"/>
        </patternFill>
      </fill>
    </odxf>
    <ndxf>
      <fill>
        <patternFill patternType="solid">
          <bgColor rgb="FFFF0000"/>
        </patternFill>
      </fill>
    </ndxf>
  </rcc>
  <rcc rId="5766" sId="1" odxf="1" dxf="1" numFmtId="4">
    <nc r="Q218">
      <v>0.3</v>
    </nc>
    <odxf>
      <fill>
        <patternFill patternType="none">
          <bgColor indexed="65"/>
        </patternFill>
      </fill>
    </odxf>
    <ndxf>
      <fill>
        <patternFill patternType="solid">
          <bgColor rgb="FFFF0000"/>
        </patternFill>
      </fill>
    </ndxf>
  </rcc>
  <rcc rId="5767" sId="1" odxf="1" dxf="1" numFmtId="4">
    <nc r="R218">
      <v>0.3</v>
    </nc>
    <odxf>
      <fill>
        <patternFill patternType="none">
          <bgColor indexed="65"/>
        </patternFill>
      </fill>
    </odxf>
    <ndxf>
      <fill>
        <patternFill patternType="solid">
          <bgColor rgb="FFFF0000"/>
        </patternFill>
      </fill>
    </ndxf>
  </rcc>
  <rcc rId="5768" sId="1" odxf="1" dxf="1" numFmtId="4">
    <nc r="Q219">
      <v>0.1</v>
    </nc>
    <odxf>
      <fill>
        <patternFill patternType="none">
          <bgColor indexed="65"/>
        </patternFill>
      </fill>
    </odxf>
    <ndxf>
      <fill>
        <patternFill patternType="solid">
          <bgColor rgb="FFFF0000"/>
        </patternFill>
      </fill>
    </ndxf>
  </rcc>
  <rcc rId="5769" sId="1" odxf="1" dxf="1" numFmtId="4">
    <nc r="R219">
      <v>0.1</v>
    </nc>
    <odxf>
      <fill>
        <patternFill patternType="none">
          <bgColor indexed="65"/>
        </patternFill>
      </fill>
    </odxf>
    <ndxf>
      <fill>
        <patternFill patternType="solid">
          <bgColor rgb="FFFF0000"/>
        </patternFill>
      </fill>
    </ndxf>
  </rcc>
  <rcc rId="5770" sId="1" odxf="1" dxf="1" numFmtId="4">
    <nc r="Q220">
      <v>0.1</v>
    </nc>
    <odxf>
      <fill>
        <patternFill patternType="none">
          <bgColor indexed="65"/>
        </patternFill>
      </fill>
    </odxf>
    <ndxf>
      <fill>
        <patternFill patternType="solid">
          <bgColor rgb="FFFF0000"/>
        </patternFill>
      </fill>
    </ndxf>
  </rcc>
  <rcc rId="5771" sId="1" odxf="1" dxf="1" numFmtId="4">
    <nc r="R220">
      <v>0.1</v>
    </nc>
    <odxf>
      <fill>
        <patternFill patternType="none">
          <bgColor indexed="65"/>
        </patternFill>
      </fill>
    </odxf>
    <ndxf>
      <fill>
        <patternFill patternType="solid">
          <bgColor rgb="FFFF0000"/>
        </patternFill>
      </fill>
    </ndxf>
  </rcc>
  <rcc rId="5772" sId="1" odxf="1" dxf="1" numFmtId="4">
    <nc r="Q221">
      <v>0.1</v>
    </nc>
    <odxf>
      <fill>
        <patternFill patternType="none">
          <bgColor indexed="65"/>
        </patternFill>
      </fill>
    </odxf>
    <ndxf>
      <fill>
        <patternFill patternType="solid">
          <bgColor rgb="FFFF0000"/>
        </patternFill>
      </fill>
    </ndxf>
  </rcc>
  <rcc rId="5773" sId="1" odxf="1" dxf="1" numFmtId="4">
    <nc r="R221">
      <v>0.1</v>
    </nc>
    <odxf>
      <fill>
        <patternFill patternType="none">
          <bgColor indexed="65"/>
        </patternFill>
      </fill>
    </odxf>
    <ndxf>
      <fill>
        <patternFill patternType="solid">
          <bgColor rgb="FFFF0000"/>
        </patternFill>
      </fill>
    </ndxf>
  </rcc>
  <rcc rId="5774" sId="1" odxf="1" dxf="1" numFmtId="4">
    <nc r="Q222">
      <v>0.1</v>
    </nc>
    <odxf>
      <fill>
        <patternFill patternType="none">
          <bgColor indexed="65"/>
        </patternFill>
      </fill>
    </odxf>
    <ndxf>
      <fill>
        <patternFill patternType="solid">
          <bgColor rgb="FFFF0000"/>
        </patternFill>
      </fill>
    </ndxf>
  </rcc>
  <rcc rId="5775" sId="1" odxf="1" dxf="1" numFmtId="4">
    <nc r="R222">
      <v>0.1</v>
    </nc>
    <odxf>
      <fill>
        <patternFill patternType="none">
          <bgColor indexed="65"/>
        </patternFill>
      </fill>
    </odxf>
    <ndxf>
      <fill>
        <patternFill patternType="solid">
          <bgColor rgb="FFFF0000"/>
        </patternFill>
      </fill>
    </ndxf>
  </rcc>
  <rcc rId="5776" sId="1" odxf="1" dxf="1" numFmtId="4">
    <nc r="Q223">
      <v>0.1</v>
    </nc>
    <odxf>
      <fill>
        <patternFill patternType="none">
          <bgColor indexed="65"/>
        </patternFill>
      </fill>
    </odxf>
    <ndxf>
      <fill>
        <patternFill patternType="solid">
          <bgColor rgb="FFFF0000"/>
        </patternFill>
      </fill>
    </ndxf>
  </rcc>
  <rcc rId="5777" sId="1" odxf="1" dxf="1" numFmtId="4">
    <nc r="R223">
      <v>0.3</v>
    </nc>
    <odxf>
      <fill>
        <patternFill patternType="none">
          <bgColor indexed="65"/>
        </patternFill>
      </fill>
    </odxf>
    <ndxf>
      <fill>
        <patternFill patternType="solid">
          <bgColor rgb="FFFF0000"/>
        </patternFill>
      </fill>
    </ndxf>
  </rcc>
  <rcc rId="5778" sId="1" odxf="1" dxf="1" numFmtId="4">
    <nc r="Q224">
      <v>0.3</v>
    </nc>
    <odxf>
      <fill>
        <patternFill patternType="none">
          <bgColor indexed="65"/>
        </patternFill>
      </fill>
    </odxf>
    <ndxf>
      <fill>
        <patternFill patternType="solid">
          <bgColor rgb="FFFF0000"/>
        </patternFill>
      </fill>
    </ndxf>
  </rcc>
  <rcc rId="5779" sId="1" odxf="1" dxf="1" numFmtId="4">
    <nc r="R224">
      <v>0.3</v>
    </nc>
    <odxf>
      <fill>
        <patternFill patternType="none">
          <bgColor indexed="65"/>
        </patternFill>
      </fill>
    </odxf>
    <ndxf>
      <fill>
        <patternFill patternType="solid">
          <bgColor rgb="FFFF0000"/>
        </patternFill>
      </fill>
    </ndxf>
  </rcc>
  <rcc rId="5780" sId="1" odxf="1" dxf="1" numFmtId="4">
    <nc r="Q225">
      <v>0.3</v>
    </nc>
    <odxf>
      <fill>
        <patternFill patternType="none">
          <bgColor indexed="65"/>
        </patternFill>
      </fill>
    </odxf>
    <ndxf>
      <fill>
        <patternFill patternType="solid">
          <bgColor rgb="FFFF0000"/>
        </patternFill>
      </fill>
    </ndxf>
  </rcc>
  <rcc rId="5781" sId="1" odxf="1" dxf="1" numFmtId="4">
    <nc r="R225">
      <v>0.3</v>
    </nc>
    <odxf>
      <fill>
        <patternFill patternType="none">
          <bgColor indexed="65"/>
        </patternFill>
      </fill>
    </odxf>
    <ndxf>
      <fill>
        <patternFill patternType="solid">
          <bgColor rgb="FFFF0000"/>
        </patternFill>
      </fill>
    </ndxf>
  </rcc>
  <rcc rId="5782" sId="1" odxf="1" dxf="1">
    <nc r="Q226" t="inlineStr">
      <is>
        <t>NA</t>
      </is>
    </nc>
    <odxf>
      <fill>
        <patternFill patternType="none">
          <bgColor indexed="65"/>
        </patternFill>
      </fill>
    </odxf>
    <ndxf>
      <fill>
        <patternFill patternType="solid">
          <bgColor rgb="FFFF0000"/>
        </patternFill>
      </fill>
    </ndxf>
  </rcc>
  <rcc rId="5783" sId="1" odxf="1" dxf="1">
    <nc r="R226" t="inlineStr">
      <is>
        <t>NA</t>
      </is>
    </nc>
    <odxf>
      <fill>
        <patternFill patternType="none">
          <bgColor indexed="65"/>
        </patternFill>
      </fill>
    </odxf>
    <ndxf>
      <fill>
        <patternFill patternType="solid">
          <bgColor rgb="FFFF0000"/>
        </patternFill>
      </fill>
    </ndxf>
  </rcc>
  <rcc rId="5784" sId="1" odxf="1" dxf="1" numFmtId="4">
    <nc r="Q227">
      <v>0.1</v>
    </nc>
    <odxf>
      <fill>
        <patternFill patternType="none">
          <bgColor indexed="65"/>
        </patternFill>
      </fill>
    </odxf>
    <ndxf>
      <fill>
        <patternFill patternType="solid">
          <bgColor rgb="FFFF0000"/>
        </patternFill>
      </fill>
    </ndxf>
  </rcc>
  <rcc rId="5785" sId="1" odxf="1" dxf="1" numFmtId="4">
    <nc r="R227">
      <v>0.1</v>
    </nc>
    <odxf>
      <fill>
        <patternFill patternType="none">
          <bgColor indexed="65"/>
        </patternFill>
      </fill>
    </odxf>
    <ndxf>
      <fill>
        <patternFill patternType="solid">
          <bgColor rgb="FFFF0000"/>
        </patternFill>
      </fill>
    </ndxf>
  </rcc>
  <rcc rId="5786" sId="1" odxf="1" dxf="1" numFmtId="4">
    <nc r="Q228">
      <v>0.1</v>
    </nc>
    <odxf>
      <fill>
        <patternFill patternType="none">
          <bgColor indexed="65"/>
        </patternFill>
      </fill>
    </odxf>
    <ndxf>
      <fill>
        <patternFill patternType="solid">
          <bgColor rgb="FFFF0000"/>
        </patternFill>
      </fill>
    </ndxf>
  </rcc>
  <rcc rId="5787" sId="1" odxf="1" dxf="1" numFmtId="4">
    <nc r="R228">
      <v>0.1</v>
    </nc>
    <odxf>
      <fill>
        <patternFill patternType="none">
          <bgColor indexed="65"/>
        </patternFill>
      </fill>
    </odxf>
    <ndxf>
      <fill>
        <patternFill patternType="solid">
          <bgColor rgb="FFFF0000"/>
        </patternFill>
      </fill>
    </ndxf>
  </rcc>
  <rcc rId="5788" sId="1" odxf="1" dxf="1" numFmtId="4">
    <nc r="Q229">
      <v>0.1</v>
    </nc>
    <odxf>
      <fill>
        <patternFill patternType="none">
          <bgColor indexed="65"/>
        </patternFill>
      </fill>
    </odxf>
    <ndxf>
      <fill>
        <patternFill patternType="solid">
          <bgColor rgb="FFFF0000"/>
        </patternFill>
      </fill>
    </ndxf>
  </rcc>
  <rcc rId="5789" sId="1" odxf="1" dxf="1" numFmtId="4">
    <nc r="R229">
      <v>0.1</v>
    </nc>
    <odxf>
      <fill>
        <patternFill patternType="none">
          <bgColor indexed="65"/>
        </patternFill>
      </fill>
    </odxf>
    <ndxf>
      <fill>
        <patternFill patternType="solid">
          <bgColor rgb="FFFF0000"/>
        </patternFill>
      </fill>
    </ndxf>
  </rcc>
  <rcc rId="5790" sId="1" odxf="1" dxf="1" numFmtId="4">
    <nc r="Q230">
      <v>0.1</v>
    </nc>
    <odxf>
      <fill>
        <patternFill patternType="none">
          <bgColor indexed="65"/>
        </patternFill>
      </fill>
    </odxf>
    <ndxf>
      <fill>
        <patternFill patternType="solid">
          <bgColor rgb="FFFF0000"/>
        </patternFill>
      </fill>
    </ndxf>
  </rcc>
  <rcc rId="5791" sId="1" odxf="1" dxf="1" numFmtId="4">
    <nc r="R230">
      <v>0.3</v>
    </nc>
    <odxf>
      <fill>
        <patternFill patternType="none">
          <bgColor indexed="65"/>
        </patternFill>
      </fill>
    </odxf>
    <ndxf>
      <fill>
        <patternFill patternType="solid">
          <bgColor rgb="FFFF0000"/>
        </patternFill>
      </fill>
    </ndxf>
  </rcc>
  <rcc rId="5792" sId="1" odxf="1" dxf="1" numFmtId="4">
    <nc r="Q231">
      <v>0.1</v>
    </nc>
    <odxf>
      <fill>
        <patternFill patternType="none">
          <bgColor indexed="65"/>
        </patternFill>
      </fill>
    </odxf>
    <ndxf>
      <fill>
        <patternFill patternType="solid">
          <bgColor rgb="FFFF0000"/>
        </patternFill>
      </fill>
    </ndxf>
  </rcc>
  <rcc rId="5793" sId="1" odxf="1" dxf="1" numFmtId="4">
    <nc r="R231">
      <v>0.1</v>
    </nc>
    <odxf>
      <fill>
        <patternFill patternType="none">
          <bgColor indexed="65"/>
        </patternFill>
      </fill>
    </odxf>
    <ndxf>
      <fill>
        <patternFill patternType="solid">
          <bgColor rgb="FFFF0000"/>
        </patternFill>
      </fill>
    </ndxf>
  </rcc>
  <rcc rId="5794" sId="1" odxf="1" dxf="1" numFmtId="4">
    <nc r="Q232">
      <v>0.1</v>
    </nc>
    <odxf>
      <fill>
        <patternFill patternType="none">
          <bgColor indexed="65"/>
        </patternFill>
      </fill>
    </odxf>
    <ndxf>
      <fill>
        <patternFill patternType="solid">
          <bgColor rgb="FFFF0000"/>
        </patternFill>
      </fill>
    </ndxf>
  </rcc>
  <rcc rId="5795" sId="1" odxf="1" dxf="1" numFmtId="4">
    <nc r="R232">
      <v>0.1</v>
    </nc>
    <odxf>
      <fill>
        <patternFill patternType="none">
          <bgColor indexed="65"/>
        </patternFill>
      </fill>
    </odxf>
    <ndxf>
      <fill>
        <patternFill patternType="solid">
          <bgColor rgb="FFFF0000"/>
        </patternFill>
      </fill>
    </ndxf>
  </rcc>
  <rcc rId="5796" sId="1" odxf="1" dxf="1" numFmtId="4">
    <nc r="Q233">
      <v>0.1</v>
    </nc>
    <odxf>
      <fill>
        <patternFill patternType="none">
          <bgColor indexed="65"/>
        </patternFill>
      </fill>
    </odxf>
    <ndxf>
      <fill>
        <patternFill patternType="solid">
          <bgColor rgb="FFFF0000"/>
        </patternFill>
      </fill>
    </ndxf>
  </rcc>
  <rcc rId="5797" sId="1" odxf="1" dxf="1" numFmtId="4">
    <nc r="R233">
      <v>0.3</v>
    </nc>
    <odxf>
      <fill>
        <patternFill patternType="none">
          <bgColor indexed="65"/>
        </patternFill>
      </fill>
    </odxf>
    <ndxf>
      <fill>
        <patternFill patternType="solid">
          <bgColor rgb="FFFF0000"/>
        </patternFill>
      </fill>
    </ndxf>
  </rcc>
  <rcc rId="5798" sId="1" odxf="1" dxf="1" numFmtId="4">
    <nc r="Q234">
      <v>0.1</v>
    </nc>
    <odxf>
      <fill>
        <patternFill patternType="none">
          <bgColor indexed="65"/>
        </patternFill>
      </fill>
    </odxf>
    <ndxf>
      <fill>
        <patternFill patternType="solid">
          <bgColor rgb="FFFF0000"/>
        </patternFill>
      </fill>
    </ndxf>
  </rcc>
  <rcc rId="5799" sId="1" odxf="1" dxf="1" numFmtId="4">
    <nc r="R234">
      <v>0.3</v>
    </nc>
    <odxf>
      <fill>
        <patternFill patternType="none">
          <bgColor indexed="65"/>
        </patternFill>
      </fill>
    </odxf>
    <ndxf>
      <fill>
        <patternFill patternType="solid">
          <bgColor rgb="FFFF0000"/>
        </patternFill>
      </fill>
    </ndxf>
  </rcc>
  <rcc rId="5800" sId="1" odxf="1" dxf="1" numFmtId="4">
    <nc r="Q235">
      <v>0.1</v>
    </nc>
    <odxf>
      <fill>
        <patternFill patternType="none">
          <bgColor indexed="65"/>
        </patternFill>
      </fill>
    </odxf>
    <ndxf>
      <fill>
        <patternFill patternType="solid">
          <bgColor rgb="FFFF0000"/>
        </patternFill>
      </fill>
    </ndxf>
  </rcc>
  <rcc rId="5801" sId="1" odxf="1" dxf="1" numFmtId="4">
    <nc r="R235">
      <v>0.1</v>
    </nc>
    <odxf>
      <fill>
        <patternFill patternType="none">
          <bgColor indexed="65"/>
        </patternFill>
      </fill>
    </odxf>
    <ndxf>
      <fill>
        <patternFill patternType="solid">
          <bgColor rgb="FFFF0000"/>
        </patternFill>
      </fill>
    </ndxf>
  </rcc>
  <rcc rId="5802" sId="1" odxf="1" dxf="1" numFmtId="4">
    <nc r="Q236">
      <v>0.1</v>
    </nc>
    <odxf>
      <fill>
        <patternFill patternType="none">
          <bgColor indexed="65"/>
        </patternFill>
      </fill>
    </odxf>
    <ndxf>
      <fill>
        <patternFill patternType="solid">
          <bgColor rgb="FFFF0000"/>
        </patternFill>
      </fill>
    </ndxf>
  </rcc>
  <rcc rId="5803" sId="1" odxf="1" dxf="1" numFmtId="4">
    <nc r="R236">
      <v>0.1</v>
    </nc>
    <odxf>
      <fill>
        <patternFill patternType="none">
          <bgColor indexed="65"/>
        </patternFill>
      </fill>
    </odxf>
    <ndxf>
      <fill>
        <patternFill patternType="solid">
          <bgColor rgb="FFFF0000"/>
        </patternFill>
      </fill>
    </ndxf>
  </rcc>
  <rcc rId="5804" sId="1" odxf="1" dxf="1" numFmtId="4">
    <nc r="Q237">
      <v>0.1</v>
    </nc>
    <odxf>
      <fill>
        <patternFill patternType="none">
          <bgColor indexed="65"/>
        </patternFill>
      </fill>
    </odxf>
    <ndxf>
      <fill>
        <patternFill patternType="solid">
          <bgColor rgb="FFFF0000"/>
        </patternFill>
      </fill>
    </ndxf>
  </rcc>
  <rcc rId="5805" sId="1" odxf="1" dxf="1" numFmtId="4">
    <nc r="R237">
      <v>0.1</v>
    </nc>
    <odxf>
      <fill>
        <patternFill patternType="none">
          <bgColor indexed="65"/>
        </patternFill>
      </fill>
    </odxf>
    <ndxf>
      <fill>
        <patternFill patternType="solid">
          <bgColor rgb="FFFF0000"/>
        </patternFill>
      </fill>
    </ndxf>
  </rcc>
  <rcc rId="5806" sId="1" odxf="1" dxf="1" numFmtId="4">
    <nc r="Q238">
      <v>0.1</v>
    </nc>
    <odxf>
      <fill>
        <patternFill patternType="none">
          <bgColor indexed="65"/>
        </patternFill>
      </fill>
    </odxf>
    <ndxf>
      <fill>
        <patternFill patternType="solid">
          <bgColor rgb="FFFF0000"/>
        </patternFill>
      </fill>
    </ndxf>
  </rcc>
  <rcc rId="5807" sId="1" odxf="1" dxf="1" numFmtId="4">
    <nc r="R238">
      <v>0.1</v>
    </nc>
    <odxf>
      <fill>
        <patternFill patternType="none">
          <bgColor indexed="65"/>
        </patternFill>
      </fill>
    </odxf>
    <ndxf>
      <fill>
        <patternFill patternType="solid">
          <bgColor rgb="FFFF0000"/>
        </patternFill>
      </fill>
    </ndxf>
  </rcc>
  <rcc rId="5808" sId="1" odxf="1" dxf="1" numFmtId="4">
    <nc r="Q239">
      <v>0.1</v>
    </nc>
    <odxf>
      <fill>
        <patternFill patternType="none">
          <bgColor indexed="65"/>
        </patternFill>
      </fill>
    </odxf>
    <ndxf>
      <fill>
        <patternFill patternType="solid">
          <bgColor rgb="FFFF0000"/>
        </patternFill>
      </fill>
    </ndxf>
  </rcc>
  <rcc rId="5809" sId="1" odxf="1" dxf="1" numFmtId="4">
    <nc r="R239">
      <v>0.1</v>
    </nc>
    <odxf>
      <fill>
        <patternFill patternType="none">
          <bgColor indexed="65"/>
        </patternFill>
      </fill>
    </odxf>
    <ndxf>
      <fill>
        <patternFill patternType="solid">
          <bgColor rgb="FFFF0000"/>
        </patternFill>
      </fill>
    </ndxf>
  </rcc>
  <rcc rId="5810" sId="1" odxf="1" dxf="1" numFmtId="4">
    <nc r="Q240">
      <v>0.1</v>
    </nc>
    <odxf>
      <fill>
        <patternFill patternType="none">
          <bgColor indexed="65"/>
        </patternFill>
      </fill>
    </odxf>
    <ndxf>
      <fill>
        <patternFill patternType="solid">
          <bgColor rgb="FFFF0000"/>
        </patternFill>
      </fill>
    </ndxf>
  </rcc>
  <rcc rId="5811" sId="1" odxf="1" dxf="1" numFmtId="4">
    <nc r="R240">
      <v>0.1</v>
    </nc>
    <odxf>
      <fill>
        <patternFill patternType="none">
          <bgColor indexed="65"/>
        </patternFill>
      </fill>
    </odxf>
    <ndxf>
      <fill>
        <patternFill patternType="solid">
          <bgColor rgb="FFFF0000"/>
        </patternFill>
      </fill>
    </ndxf>
  </rcc>
  <rcc rId="5812" sId="1" odxf="1" dxf="1" numFmtId="4">
    <nc r="Q241">
      <v>0.1</v>
    </nc>
    <odxf>
      <fill>
        <patternFill patternType="none">
          <bgColor indexed="65"/>
        </patternFill>
      </fill>
    </odxf>
    <ndxf>
      <fill>
        <patternFill patternType="solid">
          <bgColor rgb="FFFF0000"/>
        </patternFill>
      </fill>
    </ndxf>
  </rcc>
  <rcc rId="5813" sId="1" odxf="1" dxf="1" numFmtId="4">
    <nc r="R241">
      <v>0.2</v>
    </nc>
    <odxf>
      <fill>
        <patternFill patternType="none">
          <bgColor indexed="65"/>
        </patternFill>
      </fill>
    </odxf>
    <ndxf>
      <fill>
        <patternFill patternType="solid">
          <bgColor rgb="FFFF0000"/>
        </patternFill>
      </fill>
    </ndxf>
  </rcc>
  <rcc rId="5814" sId="1" odxf="1" dxf="1" numFmtId="4">
    <nc r="Q242">
      <v>0.1</v>
    </nc>
    <odxf>
      <fill>
        <patternFill patternType="none">
          <bgColor indexed="65"/>
        </patternFill>
      </fill>
    </odxf>
    <ndxf>
      <fill>
        <patternFill patternType="solid">
          <bgColor rgb="FFFF0000"/>
        </patternFill>
      </fill>
    </ndxf>
  </rcc>
  <rcc rId="5815" sId="1" odxf="1" dxf="1" numFmtId="4">
    <nc r="R242">
      <v>0.2</v>
    </nc>
    <odxf>
      <fill>
        <patternFill patternType="none">
          <bgColor indexed="65"/>
        </patternFill>
      </fill>
    </odxf>
    <ndxf>
      <fill>
        <patternFill patternType="solid">
          <bgColor rgb="FFFF0000"/>
        </patternFill>
      </fill>
    </ndxf>
  </rcc>
  <rcc rId="5816" sId="1" odxf="1" dxf="1" numFmtId="4">
    <nc r="Q243">
      <v>0.2</v>
    </nc>
    <odxf>
      <fill>
        <patternFill patternType="none">
          <bgColor indexed="65"/>
        </patternFill>
      </fill>
    </odxf>
    <ndxf>
      <fill>
        <patternFill patternType="solid">
          <bgColor rgb="FFFF0000"/>
        </patternFill>
      </fill>
    </ndxf>
  </rcc>
  <rcc rId="5817" sId="1" odxf="1" dxf="1" numFmtId="4">
    <nc r="R243">
      <v>0.2</v>
    </nc>
    <odxf>
      <fill>
        <patternFill patternType="none">
          <bgColor indexed="65"/>
        </patternFill>
      </fill>
    </odxf>
    <ndxf>
      <fill>
        <patternFill patternType="solid">
          <bgColor rgb="FFFF0000"/>
        </patternFill>
      </fill>
    </ndxf>
  </rcc>
  <rcc rId="5818" sId="1" odxf="1" dxf="1" numFmtId="4">
    <nc r="Q244">
      <v>0.1</v>
    </nc>
    <odxf>
      <fill>
        <patternFill patternType="none">
          <bgColor indexed="65"/>
        </patternFill>
      </fill>
    </odxf>
    <ndxf>
      <fill>
        <patternFill patternType="solid">
          <bgColor rgb="FFFF0000"/>
        </patternFill>
      </fill>
    </ndxf>
  </rcc>
  <rcc rId="5819" sId="1" odxf="1" dxf="1" numFmtId="4">
    <nc r="R244">
      <v>0.1</v>
    </nc>
    <odxf>
      <fill>
        <patternFill patternType="none">
          <bgColor indexed="65"/>
        </patternFill>
      </fill>
    </odxf>
    <ndxf>
      <fill>
        <patternFill patternType="solid">
          <bgColor rgb="FFFF0000"/>
        </patternFill>
      </fill>
    </ndxf>
  </rcc>
  <rcc rId="5820" sId="1" odxf="1" dxf="1" numFmtId="4">
    <nc r="Q245">
      <v>0.1</v>
    </nc>
    <odxf>
      <fill>
        <patternFill patternType="none">
          <bgColor indexed="65"/>
        </patternFill>
      </fill>
    </odxf>
    <ndxf>
      <fill>
        <patternFill patternType="solid">
          <bgColor rgb="FFFF0000"/>
        </patternFill>
      </fill>
    </ndxf>
  </rcc>
  <rcc rId="5821" sId="1" odxf="1" dxf="1" numFmtId="4">
    <nc r="R245">
      <v>0.1</v>
    </nc>
    <odxf>
      <fill>
        <patternFill patternType="none">
          <bgColor indexed="65"/>
        </patternFill>
      </fill>
    </odxf>
    <ndxf>
      <fill>
        <patternFill patternType="solid">
          <bgColor rgb="FFFF0000"/>
        </patternFill>
      </fill>
    </ndxf>
  </rcc>
  <rcc rId="5822" sId="1" odxf="1" dxf="1" numFmtId="4">
    <nc r="Q246">
      <v>0.1</v>
    </nc>
    <odxf>
      <fill>
        <patternFill patternType="none">
          <bgColor indexed="65"/>
        </patternFill>
      </fill>
    </odxf>
    <ndxf>
      <fill>
        <patternFill patternType="solid">
          <bgColor rgb="FFFF0000"/>
        </patternFill>
      </fill>
    </ndxf>
  </rcc>
  <rcc rId="5823" sId="1" odxf="1" dxf="1" numFmtId="4">
    <nc r="R246">
      <v>0.2</v>
    </nc>
    <odxf>
      <fill>
        <patternFill patternType="none">
          <bgColor indexed="65"/>
        </patternFill>
      </fill>
    </odxf>
    <ndxf>
      <fill>
        <patternFill patternType="solid">
          <bgColor rgb="FFFF0000"/>
        </patternFill>
      </fill>
    </ndxf>
  </rcc>
  <rcc rId="5824" sId="1" odxf="1" dxf="1" numFmtId="4">
    <nc r="Q247">
      <v>0.1</v>
    </nc>
    <odxf>
      <fill>
        <patternFill patternType="none">
          <bgColor indexed="65"/>
        </patternFill>
      </fill>
    </odxf>
    <ndxf>
      <fill>
        <patternFill patternType="solid">
          <bgColor rgb="FFFF0000"/>
        </patternFill>
      </fill>
    </ndxf>
  </rcc>
  <rcc rId="5825" sId="1" odxf="1" dxf="1" numFmtId="4">
    <nc r="R247">
      <v>0.2</v>
    </nc>
    <odxf>
      <fill>
        <patternFill patternType="none">
          <bgColor indexed="65"/>
        </patternFill>
      </fill>
    </odxf>
    <ndxf>
      <fill>
        <patternFill patternType="solid">
          <bgColor rgb="FFFF0000"/>
        </patternFill>
      </fill>
    </ndxf>
  </rcc>
  <rcc rId="5826" sId="1" odxf="1" dxf="1" numFmtId="4">
    <nc r="Q248">
      <v>0.2</v>
    </nc>
    <odxf>
      <fill>
        <patternFill patternType="none">
          <bgColor indexed="65"/>
        </patternFill>
      </fill>
    </odxf>
    <ndxf>
      <fill>
        <patternFill patternType="solid">
          <bgColor rgb="FFFF0000"/>
        </patternFill>
      </fill>
    </ndxf>
  </rcc>
  <rcc rId="5827" sId="1" odxf="1" dxf="1" numFmtId="4">
    <nc r="R248">
      <v>0.1</v>
    </nc>
    <odxf>
      <fill>
        <patternFill patternType="none">
          <bgColor indexed="65"/>
        </patternFill>
      </fill>
    </odxf>
    <ndxf>
      <fill>
        <patternFill patternType="solid">
          <bgColor rgb="FFFF0000"/>
        </patternFill>
      </fill>
    </ndxf>
  </rcc>
  <rcc rId="5828" sId="1" odxf="1" dxf="1" numFmtId="4">
    <nc r="Q249">
      <v>0.1</v>
    </nc>
    <odxf>
      <fill>
        <patternFill patternType="none">
          <bgColor indexed="65"/>
        </patternFill>
      </fill>
    </odxf>
    <ndxf>
      <fill>
        <patternFill patternType="solid">
          <bgColor rgb="FFFF0000"/>
        </patternFill>
      </fill>
    </ndxf>
  </rcc>
  <rcc rId="5829" sId="1" odxf="1" dxf="1" numFmtId="4">
    <nc r="R249">
      <v>0.1</v>
    </nc>
    <odxf>
      <fill>
        <patternFill patternType="none">
          <bgColor indexed="65"/>
        </patternFill>
      </fill>
    </odxf>
    <ndxf>
      <fill>
        <patternFill patternType="solid">
          <bgColor rgb="FFFF0000"/>
        </patternFill>
      </fill>
    </ndxf>
  </rcc>
  <rcc rId="5830" sId="1" odxf="1" dxf="1" numFmtId="4">
    <nc r="Q250">
      <v>0.1</v>
    </nc>
    <odxf>
      <fill>
        <patternFill patternType="none">
          <bgColor indexed="65"/>
        </patternFill>
      </fill>
    </odxf>
    <ndxf>
      <fill>
        <patternFill patternType="solid">
          <bgColor rgb="FFFF0000"/>
        </patternFill>
      </fill>
    </ndxf>
  </rcc>
  <rcc rId="5831" sId="1" odxf="1" dxf="1" numFmtId="4">
    <nc r="R250">
      <v>0.1</v>
    </nc>
    <odxf>
      <fill>
        <patternFill patternType="none">
          <bgColor indexed="65"/>
        </patternFill>
      </fill>
    </odxf>
    <ndxf>
      <fill>
        <patternFill patternType="solid">
          <bgColor rgb="FFFF0000"/>
        </patternFill>
      </fill>
    </ndxf>
  </rcc>
  <rcc rId="5832" sId="1" odxf="1" dxf="1" numFmtId="4">
    <nc r="Q251">
      <v>0.1</v>
    </nc>
    <odxf>
      <fill>
        <patternFill patternType="none">
          <bgColor indexed="65"/>
        </patternFill>
      </fill>
    </odxf>
    <ndxf>
      <fill>
        <patternFill patternType="solid">
          <bgColor rgb="FFFF0000"/>
        </patternFill>
      </fill>
    </ndxf>
  </rcc>
  <rcc rId="5833" sId="1" odxf="1" dxf="1" numFmtId="4">
    <nc r="R251">
      <v>0.2</v>
    </nc>
    <odxf>
      <fill>
        <patternFill patternType="none">
          <bgColor indexed="65"/>
        </patternFill>
      </fill>
    </odxf>
    <ndxf>
      <fill>
        <patternFill patternType="solid">
          <bgColor rgb="FFFF0000"/>
        </patternFill>
      </fill>
    </ndxf>
  </rcc>
  <rcc rId="5834" sId="1" odxf="1" dxf="1" numFmtId="4">
    <nc r="Q252">
      <v>0.1</v>
    </nc>
    <odxf>
      <fill>
        <patternFill patternType="none">
          <bgColor indexed="65"/>
        </patternFill>
      </fill>
    </odxf>
    <ndxf>
      <fill>
        <patternFill patternType="solid">
          <bgColor rgb="FFFF0000"/>
        </patternFill>
      </fill>
    </ndxf>
  </rcc>
  <rcc rId="5835" sId="1" odxf="1" dxf="1" numFmtId="4">
    <nc r="R252">
      <v>0.2</v>
    </nc>
    <odxf>
      <fill>
        <patternFill patternType="none">
          <bgColor indexed="65"/>
        </patternFill>
      </fill>
    </odxf>
    <ndxf>
      <fill>
        <patternFill patternType="solid">
          <bgColor rgb="FFFF0000"/>
        </patternFill>
      </fill>
    </ndxf>
  </rcc>
  <rcc rId="5836" sId="1" odxf="1" dxf="1" numFmtId="4">
    <nc r="Q253">
      <v>0.2</v>
    </nc>
    <odxf>
      <fill>
        <patternFill patternType="none">
          <bgColor indexed="65"/>
        </patternFill>
      </fill>
    </odxf>
    <ndxf>
      <fill>
        <patternFill patternType="solid">
          <bgColor rgb="FFFF0000"/>
        </patternFill>
      </fill>
    </ndxf>
  </rcc>
  <rcc rId="5837" sId="1" odxf="1" dxf="1" numFmtId="4">
    <nc r="R253">
      <v>0.2</v>
    </nc>
    <odxf>
      <fill>
        <patternFill patternType="none">
          <bgColor indexed="65"/>
        </patternFill>
      </fill>
    </odxf>
    <ndxf>
      <fill>
        <patternFill patternType="solid">
          <bgColor rgb="FFFF0000"/>
        </patternFill>
      </fill>
    </ndxf>
  </rcc>
  <rcc rId="5838" sId="1" odxf="1" dxf="1" numFmtId="4">
    <nc r="Q254">
      <v>0.1</v>
    </nc>
    <odxf>
      <fill>
        <patternFill patternType="none">
          <bgColor indexed="65"/>
        </patternFill>
      </fill>
    </odxf>
    <ndxf>
      <fill>
        <patternFill patternType="solid">
          <bgColor rgb="FFFF0000"/>
        </patternFill>
      </fill>
    </ndxf>
  </rcc>
  <rcc rId="5839" sId="1" odxf="1" dxf="1" numFmtId="4">
    <nc r="R254">
      <v>0.1</v>
    </nc>
    <odxf>
      <fill>
        <patternFill patternType="none">
          <bgColor indexed="65"/>
        </patternFill>
      </fill>
    </odxf>
    <ndxf>
      <fill>
        <patternFill patternType="solid">
          <bgColor rgb="FFFF0000"/>
        </patternFill>
      </fill>
    </ndxf>
  </rcc>
  <rcc rId="5840" sId="1" odxf="1" dxf="1" numFmtId="4">
    <nc r="Q255">
      <v>0.1</v>
    </nc>
    <odxf>
      <fill>
        <patternFill patternType="none">
          <bgColor indexed="65"/>
        </patternFill>
      </fill>
    </odxf>
    <ndxf>
      <fill>
        <patternFill patternType="solid">
          <bgColor rgb="FFFF0000"/>
        </patternFill>
      </fill>
    </ndxf>
  </rcc>
  <rcc rId="5841" sId="1" odxf="1" dxf="1" numFmtId="4">
    <nc r="R255">
      <v>0.2</v>
    </nc>
    <odxf>
      <fill>
        <patternFill patternType="none">
          <bgColor indexed="65"/>
        </patternFill>
      </fill>
    </odxf>
    <ndxf>
      <fill>
        <patternFill patternType="solid">
          <bgColor rgb="FFFF0000"/>
        </patternFill>
      </fill>
    </ndxf>
  </rcc>
  <rcc rId="5842" sId="1" odxf="1" dxf="1" numFmtId="4">
    <nc r="Q256">
      <v>0.2</v>
    </nc>
    <odxf>
      <fill>
        <patternFill patternType="none">
          <bgColor indexed="65"/>
        </patternFill>
      </fill>
    </odxf>
    <ndxf>
      <fill>
        <patternFill patternType="solid">
          <bgColor rgb="FFFF0000"/>
        </patternFill>
      </fill>
    </ndxf>
  </rcc>
  <rcc rId="5843" sId="1" odxf="1" dxf="1" numFmtId="4">
    <nc r="R256">
      <v>0.2</v>
    </nc>
    <odxf>
      <fill>
        <patternFill patternType="none">
          <bgColor indexed="65"/>
        </patternFill>
      </fill>
    </odxf>
    <ndxf>
      <fill>
        <patternFill patternType="solid">
          <bgColor rgb="FFFF0000"/>
        </patternFill>
      </fill>
    </ndxf>
  </rcc>
  <rcc rId="5844" sId="1" odxf="1" dxf="1" numFmtId="4">
    <nc r="Q257">
      <v>0.2</v>
    </nc>
    <odxf>
      <fill>
        <patternFill patternType="none">
          <bgColor indexed="65"/>
        </patternFill>
      </fill>
    </odxf>
    <ndxf>
      <fill>
        <patternFill patternType="solid">
          <bgColor rgb="FFFF0000"/>
        </patternFill>
      </fill>
    </ndxf>
  </rcc>
  <rcc rId="5845" sId="1" odxf="1" dxf="1" numFmtId="4">
    <nc r="R257">
      <v>0.2</v>
    </nc>
    <odxf>
      <fill>
        <patternFill patternType="none">
          <bgColor indexed="65"/>
        </patternFill>
      </fill>
    </odxf>
    <ndxf>
      <fill>
        <patternFill patternType="solid">
          <bgColor rgb="FFFF0000"/>
        </patternFill>
      </fill>
    </ndxf>
  </rcc>
  <rcc rId="5846" sId="1" odxf="1" dxf="1" numFmtId="4">
    <nc r="Q258">
      <v>0.1</v>
    </nc>
    <odxf>
      <fill>
        <patternFill patternType="none">
          <bgColor indexed="65"/>
        </patternFill>
      </fill>
    </odxf>
    <ndxf>
      <fill>
        <patternFill patternType="solid">
          <bgColor rgb="FFFF0000"/>
        </patternFill>
      </fill>
    </ndxf>
  </rcc>
  <rcc rId="5847" sId="1" odxf="1" dxf="1" numFmtId="4">
    <nc r="R258">
      <v>0.2</v>
    </nc>
    <odxf>
      <fill>
        <patternFill patternType="none">
          <bgColor indexed="65"/>
        </patternFill>
      </fill>
    </odxf>
    <ndxf>
      <fill>
        <patternFill patternType="solid">
          <bgColor rgb="FFFF0000"/>
        </patternFill>
      </fill>
    </ndxf>
  </rcc>
  <rcc rId="5848" sId="1" odxf="1" dxf="1" numFmtId="4">
    <nc r="Q259">
      <v>0.1</v>
    </nc>
    <odxf>
      <fill>
        <patternFill patternType="none">
          <bgColor indexed="65"/>
        </patternFill>
      </fill>
    </odxf>
    <ndxf>
      <fill>
        <patternFill patternType="solid">
          <bgColor rgb="FFFF0000"/>
        </patternFill>
      </fill>
    </ndxf>
  </rcc>
  <rcc rId="5849" sId="1" odxf="1" dxf="1" numFmtId="4">
    <nc r="R259">
      <v>0.2</v>
    </nc>
    <odxf>
      <fill>
        <patternFill patternType="none">
          <bgColor indexed="65"/>
        </patternFill>
      </fill>
    </odxf>
    <ndxf>
      <fill>
        <patternFill patternType="solid">
          <bgColor rgb="FFFF0000"/>
        </patternFill>
      </fill>
    </ndxf>
  </rcc>
  <rcc rId="5850" sId="1" odxf="1" dxf="1" numFmtId="4">
    <nc r="Q260">
      <v>0.1</v>
    </nc>
    <odxf>
      <fill>
        <patternFill patternType="none">
          <bgColor indexed="65"/>
        </patternFill>
      </fill>
    </odxf>
    <ndxf>
      <fill>
        <patternFill patternType="solid">
          <bgColor rgb="FFFF0000"/>
        </patternFill>
      </fill>
    </ndxf>
  </rcc>
  <rcc rId="5851" sId="1" odxf="1" dxf="1" numFmtId="4">
    <nc r="R260">
      <v>0.2</v>
    </nc>
    <odxf>
      <fill>
        <patternFill patternType="none">
          <bgColor indexed="65"/>
        </patternFill>
      </fill>
    </odxf>
    <ndxf>
      <fill>
        <patternFill patternType="solid">
          <bgColor rgb="FFFF0000"/>
        </patternFill>
      </fill>
    </ndxf>
  </rcc>
  <rcc rId="5852" sId="1" odxf="1" dxf="1" numFmtId="4">
    <nc r="Q261">
      <v>0.1</v>
    </nc>
    <odxf>
      <fill>
        <patternFill patternType="none">
          <bgColor indexed="65"/>
        </patternFill>
      </fill>
    </odxf>
    <ndxf>
      <fill>
        <patternFill patternType="solid">
          <bgColor rgb="FFFF0000"/>
        </patternFill>
      </fill>
    </ndxf>
  </rcc>
  <rcc rId="5853" sId="1" odxf="1" dxf="1" numFmtId="4">
    <nc r="R261">
      <v>0.2</v>
    </nc>
    <odxf>
      <fill>
        <patternFill patternType="none">
          <bgColor indexed="65"/>
        </patternFill>
      </fill>
    </odxf>
    <ndxf>
      <fill>
        <patternFill patternType="solid">
          <bgColor rgb="FFFF0000"/>
        </patternFill>
      </fill>
    </ndxf>
  </rcc>
  <rcc rId="5854" sId="1" odxf="1" dxf="1" numFmtId="4">
    <nc r="Q262">
      <v>0.2</v>
    </nc>
    <odxf>
      <fill>
        <patternFill patternType="none">
          <bgColor indexed="65"/>
        </patternFill>
      </fill>
    </odxf>
    <ndxf>
      <fill>
        <patternFill patternType="solid">
          <bgColor rgb="FFFF0000"/>
        </patternFill>
      </fill>
    </ndxf>
  </rcc>
  <rcc rId="5855" sId="1" odxf="1" dxf="1" numFmtId="4">
    <nc r="R262">
      <v>0.1</v>
    </nc>
    <odxf>
      <fill>
        <patternFill patternType="none">
          <bgColor indexed="65"/>
        </patternFill>
      </fill>
    </odxf>
    <ndxf>
      <fill>
        <patternFill patternType="solid">
          <bgColor rgb="FFFF0000"/>
        </patternFill>
      </fill>
    </ndxf>
  </rcc>
  <rcc rId="5856" sId="1" odxf="1" dxf="1" numFmtId="4">
    <nc r="Q263">
      <v>0.1</v>
    </nc>
    <odxf>
      <fill>
        <patternFill patternType="none">
          <bgColor indexed="65"/>
        </patternFill>
      </fill>
    </odxf>
    <ndxf>
      <fill>
        <patternFill patternType="solid">
          <bgColor rgb="FFFF0000"/>
        </patternFill>
      </fill>
    </ndxf>
  </rcc>
  <rcc rId="5857" sId="1" odxf="1" dxf="1" numFmtId="4">
    <nc r="R263">
      <v>0.2</v>
    </nc>
    <odxf>
      <fill>
        <patternFill patternType="none">
          <bgColor indexed="65"/>
        </patternFill>
      </fill>
    </odxf>
    <ndxf>
      <fill>
        <patternFill patternType="solid">
          <bgColor rgb="FFFF0000"/>
        </patternFill>
      </fill>
    </ndxf>
  </rcc>
  <rcc rId="5858" sId="1" odxf="1" dxf="1" numFmtId="4">
    <nc r="Q264">
      <v>0.1</v>
    </nc>
    <odxf>
      <fill>
        <patternFill patternType="none">
          <bgColor indexed="65"/>
        </patternFill>
      </fill>
    </odxf>
    <ndxf>
      <fill>
        <patternFill patternType="solid">
          <bgColor rgb="FFFF0000"/>
        </patternFill>
      </fill>
    </ndxf>
  </rcc>
  <rcc rId="5859" sId="1" odxf="1" dxf="1" numFmtId="4">
    <nc r="R264">
      <v>0.2</v>
    </nc>
    <odxf>
      <fill>
        <patternFill patternType="none">
          <bgColor indexed="65"/>
        </patternFill>
      </fill>
    </odxf>
    <ndxf>
      <fill>
        <patternFill patternType="solid">
          <bgColor rgb="FFFF0000"/>
        </patternFill>
      </fill>
    </ndxf>
  </rcc>
  <rcc rId="5860" sId="1" odxf="1" dxf="1" numFmtId="4">
    <nc r="Q265">
      <v>0.1</v>
    </nc>
    <odxf>
      <fill>
        <patternFill patternType="none">
          <bgColor indexed="65"/>
        </patternFill>
      </fill>
    </odxf>
    <ndxf>
      <fill>
        <patternFill patternType="solid">
          <bgColor rgb="FFFF0000"/>
        </patternFill>
      </fill>
    </ndxf>
  </rcc>
  <rcc rId="5861" sId="1" odxf="1" dxf="1" numFmtId="4">
    <nc r="R265">
      <v>0.1</v>
    </nc>
    <odxf>
      <fill>
        <patternFill patternType="none">
          <bgColor indexed="65"/>
        </patternFill>
      </fill>
    </odxf>
    <ndxf>
      <fill>
        <patternFill patternType="solid">
          <bgColor rgb="FFFF0000"/>
        </patternFill>
      </fill>
    </ndxf>
  </rcc>
  <rcc rId="5862" sId="1" odxf="1" dxf="1" numFmtId="4">
    <nc r="Q266">
      <v>0.1</v>
    </nc>
    <odxf>
      <fill>
        <patternFill patternType="none">
          <bgColor indexed="65"/>
        </patternFill>
      </fill>
    </odxf>
    <ndxf>
      <fill>
        <patternFill patternType="solid">
          <bgColor rgb="FFFF0000"/>
        </patternFill>
      </fill>
    </ndxf>
  </rcc>
  <rcc rId="5863" sId="1" odxf="1" dxf="1" numFmtId="4">
    <nc r="R266">
      <v>0.2</v>
    </nc>
    <odxf>
      <fill>
        <patternFill patternType="none">
          <bgColor indexed="65"/>
        </patternFill>
      </fill>
    </odxf>
    <ndxf>
      <fill>
        <patternFill patternType="solid">
          <bgColor rgb="FFFF0000"/>
        </patternFill>
      </fill>
    </ndxf>
  </rcc>
  <rcc rId="5864" sId="1" odxf="1" dxf="1" numFmtId="4">
    <nc r="Q267">
      <v>0.1</v>
    </nc>
    <odxf>
      <fill>
        <patternFill patternType="none">
          <bgColor indexed="65"/>
        </patternFill>
      </fill>
    </odxf>
    <ndxf>
      <fill>
        <patternFill patternType="solid">
          <bgColor rgb="FFFF0000"/>
        </patternFill>
      </fill>
    </ndxf>
  </rcc>
  <rcc rId="5865" sId="1" odxf="1" dxf="1" numFmtId="4">
    <nc r="R267">
      <v>0.2</v>
    </nc>
    <odxf>
      <fill>
        <patternFill patternType="none">
          <bgColor indexed="65"/>
        </patternFill>
      </fill>
    </odxf>
    <ndxf>
      <fill>
        <patternFill patternType="solid">
          <bgColor rgb="FFFF0000"/>
        </patternFill>
      </fill>
    </ndxf>
  </rcc>
  <rcc rId="5866" sId="1" odxf="1" dxf="1" numFmtId="4">
    <nc r="Q268">
      <v>0.2</v>
    </nc>
    <odxf>
      <fill>
        <patternFill patternType="none">
          <bgColor indexed="65"/>
        </patternFill>
      </fill>
    </odxf>
    <ndxf>
      <fill>
        <patternFill patternType="solid">
          <bgColor rgb="FFFF0000"/>
        </patternFill>
      </fill>
    </ndxf>
  </rcc>
  <rcc rId="5867" sId="1" odxf="1" dxf="1" numFmtId="4">
    <nc r="R268">
      <v>0.2</v>
    </nc>
    <odxf>
      <fill>
        <patternFill patternType="none">
          <bgColor indexed="65"/>
        </patternFill>
      </fill>
    </odxf>
    <ndxf>
      <fill>
        <patternFill patternType="solid">
          <bgColor rgb="FFFF0000"/>
        </patternFill>
      </fill>
    </ndxf>
  </rcc>
  <rcc rId="5868" sId="1" odxf="1" dxf="1" numFmtId="4">
    <nc r="Q269">
      <v>0.2</v>
    </nc>
    <odxf>
      <fill>
        <patternFill patternType="none">
          <bgColor indexed="65"/>
        </patternFill>
      </fill>
    </odxf>
    <ndxf>
      <fill>
        <patternFill patternType="solid">
          <bgColor rgb="FFFF0000"/>
        </patternFill>
      </fill>
    </ndxf>
  </rcc>
  <rcc rId="5869" sId="1" odxf="1" dxf="1" numFmtId="4">
    <nc r="R269">
      <v>0.2</v>
    </nc>
    <odxf>
      <fill>
        <patternFill patternType="none">
          <bgColor indexed="65"/>
        </patternFill>
      </fill>
    </odxf>
    <ndxf>
      <fill>
        <patternFill patternType="solid">
          <bgColor rgb="FFFF0000"/>
        </patternFill>
      </fill>
    </ndxf>
  </rcc>
  <rcc rId="5870" sId="1" odxf="1" dxf="1" numFmtId="4">
    <nc r="Q270">
      <v>0.2</v>
    </nc>
    <odxf>
      <fill>
        <patternFill patternType="none">
          <bgColor indexed="65"/>
        </patternFill>
      </fill>
    </odxf>
    <ndxf>
      <fill>
        <patternFill patternType="solid">
          <bgColor rgb="FFFF0000"/>
        </patternFill>
      </fill>
    </ndxf>
  </rcc>
  <rcc rId="5871" sId="1" odxf="1" dxf="1" numFmtId="4">
    <nc r="R270">
      <v>0.2</v>
    </nc>
    <odxf>
      <fill>
        <patternFill patternType="none">
          <bgColor indexed="65"/>
        </patternFill>
      </fill>
    </odxf>
    <ndxf>
      <fill>
        <patternFill patternType="solid">
          <bgColor rgb="FFFF0000"/>
        </patternFill>
      </fill>
    </ndxf>
  </rcc>
  <rcc rId="5872" sId="1" odxf="1" dxf="1" numFmtId="4">
    <nc r="Q271">
      <v>0.2</v>
    </nc>
    <odxf>
      <fill>
        <patternFill patternType="none">
          <bgColor indexed="65"/>
        </patternFill>
      </fill>
    </odxf>
    <ndxf>
      <fill>
        <patternFill patternType="solid">
          <bgColor rgb="FFFF0000"/>
        </patternFill>
      </fill>
    </ndxf>
  </rcc>
  <rcc rId="5873" sId="1" odxf="1" dxf="1" numFmtId="4">
    <nc r="R271">
      <v>0.2</v>
    </nc>
    <odxf>
      <fill>
        <patternFill patternType="none">
          <bgColor indexed="65"/>
        </patternFill>
      </fill>
    </odxf>
    <ndxf>
      <fill>
        <patternFill patternType="solid">
          <bgColor rgb="FFFF0000"/>
        </patternFill>
      </fill>
    </ndxf>
  </rcc>
  <rcc rId="5874" sId="1" odxf="1" dxf="1" numFmtId="4">
    <nc r="Q272">
      <v>0.2</v>
    </nc>
    <odxf>
      <fill>
        <patternFill patternType="none">
          <bgColor indexed="65"/>
        </patternFill>
      </fill>
    </odxf>
    <ndxf>
      <fill>
        <patternFill patternType="solid">
          <bgColor rgb="FFFF0000"/>
        </patternFill>
      </fill>
    </ndxf>
  </rcc>
  <rcc rId="5875" sId="1" odxf="1" dxf="1" numFmtId="4">
    <nc r="R272">
      <v>0.1</v>
    </nc>
    <odxf>
      <fill>
        <patternFill patternType="none">
          <bgColor indexed="65"/>
        </patternFill>
      </fill>
    </odxf>
    <ndxf>
      <fill>
        <patternFill patternType="solid">
          <bgColor rgb="FFFF0000"/>
        </patternFill>
      </fill>
    </ndxf>
  </rcc>
  <rcc rId="5876" sId="1" odxf="1" dxf="1" numFmtId="4">
    <nc r="Q273">
      <v>0.2</v>
    </nc>
    <odxf>
      <fill>
        <patternFill patternType="none">
          <bgColor indexed="65"/>
        </patternFill>
      </fill>
    </odxf>
    <ndxf>
      <fill>
        <patternFill patternType="solid">
          <bgColor rgb="FFFF0000"/>
        </patternFill>
      </fill>
    </ndxf>
  </rcc>
  <rcc rId="5877" sId="1" odxf="1" dxf="1" numFmtId="4">
    <nc r="R273">
      <v>0.2</v>
    </nc>
    <odxf>
      <fill>
        <patternFill patternType="none">
          <bgColor indexed="65"/>
        </patternFill>
      </fill>
    </odxf>
    <ndxf>
      <fill>
        <patternFill patternType="solid">
          <bgColor rgb="FFFF0000"/>
        </patternFill>
      </fill>
    </ndxf>
  </rcc>
  <rcc rId="5878" sId="1" odxf="1" dxf="1" numFmtId="4">
    <nc r="Q274">
      <v>0.2</v>
    </nc>
    <odxf>
      <fill>
        <patternFill patternType="none">
          <bgColor indexed="65"/>
        </patternFill>
      </fill>
    </odxf>
    <ndxf>
      <fill>
        <patternFill patternType="solid">
          <bgColor rgb="FFFF0000"/>
        </patternFill>
      </fill>
    </ndxf>
  </rcc>
  <rcc rId="5879" sId="1" odxf="1" dxf="1" numFmtId="4">
    <nc r="R274">
      <v>0.2</v>
    </nc>
    <odxf>
      <fill>
        <patternFill patternType="none">
          <bgColor indexed="65"/>
        </patternFill>
      </fill>
    </odxf>
    <ndxf>
      <fill>
        <patternFill patternType="solid">
          <bgColor rgb="FFFF0000"/>
        </patternFill>
      </fill>
    </ndxf>
  </rcc>
  <rcc rId="5880" sId="1" odxf="1" dxf="1" numFmtId="4">
    <nc r="Q275">
      <v>0.2</v>
    </nc>
    <odxf>
      <fill>
        <patternFill patternType="none">
          <bgColor indexed="65"/>
        </patternFill>
      </fill>
    </odxf>
    <ndxf>
      <fill>
        <patternFill patternType="solid">
          <bgColor rgb="FFFF0000"/>
        </patternFill>
      </fill>
    </ndxf>
  </rcc>
  <rcc rId="5881" sId="1" odxf="1" dxf="1" numFmtId="4">
    <nc r="R275">
      <v>0.2</v>
    </nc>
    <odxf>
      <fill>
        <patternFill patternType="none">
          <bgColor indexed="65"/>
        </patternFill>
      </fill>
    </odxf>
    <ndxf>
      <fill>
        <patternFill patternType="solid">
          <bgColor rgb="FFFF0000"/>
        </patternFill>
      </fill>
    </ndxf>
  </rcc>
  <rcc rId="5882" sId="1" odxf="1" dxf="1" numFmtId="4">
    <nc r="Q276">
      <v>0.1</v>
    </nc>
    <odxf>
      <fill>
        <patternFill patternType="none">
          <bgColor indexed="65"/>
        </patternFill>
      </fill>
    </odxf>
    <ndxf>
      <fill>
        <patternFill patternType="solid">
          <bgColor rgb="FFFF0000"/>
        </patternFill>
      </fill>
    </ndxf>
  </rcc>
  <rcc rId="5883" sId="1" odxf="1" dxf="1" numFmtId="4">
    <nc r="R276">
      <v>0.1</v>
    </nc>
    <odxf>
      <fill>
        <patternFill patternType="none">
          <bgColor indexed="65"/>
        </patternFill>
      </fill>
    </odxf>
    <ndxf>
      <fill>
        <patternFill patternType="solid">
          <bgColor rgb="FFFF0000"/>
        </patternFill>
      </fill>
    </ndxf>
  </rcc>
  <rcc rId="5884" sId="1" odxf="1" dxf="1" numFmtId="4">
    <nc r="Q277">
      <v>0.2</v>
    </nc>
    <odxf>
      <fill>
        <patternFill patternType="none">
          <bgColor indexed="65"/>
        </patternFill>
      </fill>
    </odxf>
    <ndxf>
      <fill>
        <patternFill patternType="solid">
          <bgColor rgb="FFFF0000"/>
        </patternFill>
      </fill>
    </ndxf>
  </rcc>
  <rcc rId="5885" sId="1" odxf="1" dxf="1" numFmtId="4">
    <nc r="R277">
      <v>0.2</v>
    </nc>
    <odxf>
      <fill>
        <patternFill patternType="none">
          <bgColor indexed="65"/>
        </patternFill>
      </fill>
    </odxf>
    <ndxf>
      <fill>
        <patternFill patternType="solid">
          <bgColor rgb="FFFF0000"/>
        </patternFill>
      </fill>
    </ndxf>
  </rcc>
  <rcc rId="5886" sId="1" odxf="1" dxf="1" numFmtId="4">
    <nc r="Q278">
      <v>0.2</v>
    </nc>
    <odxf>
      <fill>
        <patternFill patternType="none">
          <bgColor indexed="65"/>
        </patternFill>
      </fill>
    </odxf>
    <ndxf>
      <fill>
        <patternFill patternType="solid">
          <bgColor rgb="FFFF0000"/>
        </patternFill>
      </fill>
    </ndxf>
  </rcc>
  <rcc rId="5887" sId="1" odxf="1" dxf="1" numFmtId="4">
    <nc r="R278">
      <v>0.2</v>
    </nc>
    <odxf>
      <fill>
        <patternFill patternType="none">
          <bgColor indexed="65"/>
        </patternFill>
      </fill>
    </odxf>
    <ndxf>
      <fill>
        <patternFill patternType="solid">
          <bgColor rgb="FFFF0000"/>
        </patternFill>
      </fill>
    </ndxf>
  </rcc>
  <rcc rId="5888" sId="1" odxf="1" dxf="1" numFmtId="4">
    <nc r="Q279">
      <v>0.1</v>
    </nc>
    <odxf>
      <fill>
        <patternFill patternType="none">
          <bgColor indexed="65"/>
        </patternFill>
      </fill>
    </odxf>
    <ndxf>
      <fill>
        <patternFill patternType="solid">
          <bgColor rgb="FFFF0000"/>
        </patternFill>
      </fill>
    </ndxf>
  </rcc>
  <rcc rId="5889" sId="1" odxf="1" dxf="1" numFmtId="4">
    <nc r="R279">
      <v>0.15</v>
    </nc>
    <odxf>
      <fill>
        <patternFill patternType="none">
          <bgColor indexed="65"/>
        </patternFill>
      </fill>
    </odxf>
    <ndxf>
      <fill>
        <patternFill patternType="solid">
          <bgColor rgb="FFFF0000"/>
        </patternFill>
      </fill>
    </ndxf>
  </rcc>
  <rcc rId="5890" sId="1" odxf="1" dxf="1" numFmtId="4">
    <nc r="Q280">
      <v>0.15</v>
    </nc>
    <odxf>
      <fill>
        <patternFill patternType="none">
          <bgColor indexed="65"/>
        </patternFill>
      </fill>
    </odxf>
    <ndxf>
      <fill>
        <patternFill patternType="solid">
          <bgColor rgb="FFFF0000"/>
        </patternFill>
      </fill>
    </ndxf>
  </rcc>
  <rcc rId="5891" sId="1" odxf="1" dxf="1" numFmtId="4">
    <nc r="R280">
      <v>0.15</v>
    </nc>
    <odxf>
      <fill>
        <patternFill patternType="none">
          <bgColor indexed="65"/>
        </patternFill>
      </fill>
    </odxf>
    <ndxf>
      <fill>
        <patternFill patternType="solid">
          <bgColor rgb="FFFF0000"/>
        </patternFill>
      </fill>
    </ndxf>
  </rcc>
  <rcc rId="5892" sId="1" odxf="1" dxf="1" numFmtId="4">
    <nc r="Q281">
      <v>0.15</v>
    </nc>
    <odxf>
      <fill>
        <patternFill patternType="none">
          <bgColor indexed="65"/>
        </patternFill>
      </fill>
    </odxf>
    <ndxf>
      <fill>
        <patternFill patternType="solid">
          <bgColor rgb="FFFF0000"/>
        </patternFill>
      </fill>
    </ndxf>
  </rcc>
  <rcc rId="5893" sId="1" odxf="1" dxf="1" numFmtId="4">
    <nc r="R281">
      <v>0.15</v>
    </nc>
    <odxf>
      <fill>
        <patternFill patternType="none">
          <bgColor indexed="65"/>
        </patternFill>
      </fill>
    </odxf>
    <ndxf>
      <fill>
        <patternFill patternType="solid">
          <bgColor rgb="FFFF0000"/>
        </patternFill>
      </fill>
    </ndxf>
  </rcc>
  <rcc rId="5894" sId="1" odxf="1" dxf="1" numFmtId="4">
    <nc r="Q282">
      <v>0.15</v>
    </nc>
    <odxf>
      <fill>
        <patternFill patternType="none">
          <bgColor indexed="65"/>
        </patternFill>
      </fill>
    </odxf>
    <ndxf>
      <fill>
        <patternFill patternType="solid">
          <bgColor rgb="FFFF0000"/>
        </patternFill>
      </fill>
    </ndxf>
  </rcc>
  <rcc rId="5895" sId="1" odxf="1" dxf="1" numFmtId="4">
    <nc r="R282">
      <v>0.15</v>
    </nc>
    <odxf>
      <fill>
        <patternFill patternType="none">
          <bgColor indexed="65"/>
        </patternFill>
      </fill>
    </odxf>
    <ndxf>
      <fill>
        <patternFill patternType="solid">
          <bgColor rgb="FFFF0000"/>
        </patternFill>
      </fill>
    </ndxf>
  </rcc>
  <rcc rId="5896" sId="1" odxf="1" dxf="1" numFmtId="4">
    <nc r="Q283">
      <v>0.15</v>
    </nc>
    <odxf>
      <fill>
        <patternFill patternType="none">
          <bgColor indexed="65"/>
        </patternFill>
      </fill>
    </odxf>
    <ndxf>
      <fill>
        <patternFill patternType="solid">
          <bgColor rgb="FFFF0000"/>
        </patternFill>
      </fill>
    </ndxf>
  </rcc>
  <rcc rId="5897" sId="1" odxf="1" dxf="1" numFmtId="4">
    <nc r="R283">
      <v>0.15</v>
    </nc>
    <odxf>
      <fill>
        <patternFill patternType="none">
          <bgColor indexed="65"/>
        </patternFill>
      </fill>
    </odxf>
    <ndxf>
      <fill>
        <patternFill patternType="solid">
          <bgColor rgb="FFFF0000"/>
        </patternFill>
      </fill>
    </ndxf>
  </rcc>
  <rcc rId="5898" sId="1" odxf="1" dxf="1" numFmtId="4">
    <nc r="Q284">
      <v>0.15</v>
    </nc>
    <odxf>
      <fill>
        <patternFill patternType="none">
          <bgColor indexed="65"/>
        </patternFill>
      </fill>
    </odxf>
    <ndxf>
      <fill>
        <patternFill patternType="solid">
          <bgColor rgb="FFFF0000"/>
        </patternFill>
      </fill>
    </ndxf>
  </rcc>
  <rcc rId="5899" sId="1" odxf="1" dxf="1" numFmtId="4">
    <nc r="R284">
      <v>0.15</v>
    </nc>
    <odxf>
      <fill>
        <patternFill patternType="none">
          <bgColor indexed="65"/>
        </patternFill>
      </fill>
    </odxf>
    <ndxf>
      <fill>
        <patternFill patternType="solid">
          <bgColor rgb="FFFF0000"/>
        </patternFill>
      </fill>
    </ndxf>
  </rcc>
  <rcc rId="5900" sId="1" odxf="1" dxf="1" numFmtId="4">
    <nc r="Q285">
      <v>0.15</v>
    </nc>
    <odxf>
      <fill>
        <patternFill patternType="none">
          <bgColor indexed="65"/>
        </patternFill>
      </fill>
    </odxf>
    <ndxf>
      <fill>
        <patternFill patternType="solid">
          <bgColor rgb="FFFF0000"/>
        </patternFill>
      </fill>
    </ndxf>
  </rcc>
  <rcc rId="5901" sId="1" odxf="1" dxf="1" numFmtId="4">
    <nc r="R285">
      <v>0.15</v>
    </nc>
    <odxf>
      <fill>
        <patternFill patternType="none">
          <bgColor indexed="65"/>
        </patternFill>
      </fill>
    </odxf>
    <ndxf>
      <fill>
        <patternFill patternType="solid">
          <bgColor rgb="FFFF0000"/>
        </patternFill>
      </fill>
    </ndxf>
  </rcc>
  <rcc rId="5902" sId="1" odxf="1" dxf="1" numFmtId="4">
    <nc r="Q286">
      <v>0.15</v>
    </nc>
    <odxf>
      <fill>
        <patternFill patternType="none">
          <bgColor indexed="65"/>
        </patternFill>
      </fill>
    </odxf>
    <ndxf>
      <fill>
        <patternFill patternType="solid">
          <bgColor rgb="FFFF0000"/>
        </patternFill>
      </fill>
    </ndxf>
  </rcc>
  <rcc rId="5903" sId="1" odxf="1" dxf="1" numFmtId="4">
    <nc r="R286">
      <v>0.15</v>
    </nc>
    <odxf>
      <fill>
        <patternFill patternType="none">
          <bgColor indexed="65"/>
        </patternFill>
      </fill>
    </odxf>
    <ndxf>
      <fill>
        <patternFill patternType="solid">
          <bgColor rgb="FFFF0000"/>
        </patternFill>
      </fill>
    </ndxf>
  </rcc>
  <rcc rId="5904" sId="1" odxf="1" dxf="1" numFmtId="4">
    <nc r="Q287">
      <v>0.15</v>
    </nc>
    <odxf>
      <fill>
        <patternFill patternType="none">
          <bgColor indexed="65"/>
        </patternFill>
      </fill>
    </odxf>
    <ndxf>
      <fill>
        <patternFill patternType="solid">
          <bgColor rgb="FFFF0000"/>
        </patternFill>
      </fill>
    </ndxf>
  </rcc>
  <rcc rId="5905" sId="1" odxf="1" dxf="1" numFmtId="4">
    <nc r="R287">
      <v>0.15</v>
    </nc>
    <odxf>
      <fill>
        <patternFill patternType="none">
          <bgColor indexed="65"/>
        </patternFill>
      </fill>
    </odxf>
    <ndxf>
      <fill>
        <patternFill patternType="solid">
          <bgColor rgb="FFFF0000"/>
        </patternFill>
      </fill>
    </ndxf>
  </rcc>
  <rcc rId="5906" sId="1" odxf="1" dxf="1" numFmtId="4">
    <nc r="Q288">
      <v>0.15</v>
    </nc>
    <odxf>
      <fill>
        <patternFill patternType="none">
          <bgColor indexed="65"/>
        </patternFill>
      </fill>
    </odxf>
    <ndxf>
      <fill>
        <patternFill patternType="solid">
          <bgColor rgb="FFFF0000"/>
        </patternFill>
      </fill>
    </ndxf>
  </rcc>
  <rcc rId="5907" sId="1" odxf="1" dxf="1" numFmtId="4">
    <nc r="R288">
      <v>0.15</v>
    </nc>
    <odxf>
      <fill>
        <patternFill patternType="none">
          <bgColor indexed="65"/>
        </patternFill>
      </fill>
    </odxf>
    <ndxf>
      <fill>
        <patternFill patternType="solid">
          <bgColor rgb="FFFF0000"/>
        </patternFill>
      </fill>
    </ndxf>
  </rcc>
  <rcc rId="5908" sId="1" odxf="1" dxf="1" numFmtId="4">
    <nc r="Q289">
      <v>0.15</v>
    </nc>
    <odxf>
      <fill>
        <patternFill patternType="none">
          <bgColor indexed="65"/>
        </patternFill>
      </fill>
    </odxf>
    <ndxf>
      <fill>
        <patternFill patternType="solid">
          <bgColor rgb="FFFF0000"/>
        </patternFill>
      </fill>
    </ndxf>
  </rcc>
  <rcc rId="5909" sId="1" odxf="1" dxf="1" numFmtId="4">
    <nc r="R289">
      <v>0.15</v>
    </nc>
    <odxf>
      <fill>
        <patternFill patternType="none">
          <bgColor indexed="65"/>
        </patternFill>
      </fill>
    </odxf>
    <ndxf>
      <fill>
        <patternFill patternType="solid">
          <bgColor rgb="FFFF0000"/>
        </patternFill>
      </fill>
    </ndxf>
  </rcc>
  <rcc rId="5910" sId="1" odxf="1" dxf="1" numFmtId="4">
    <nc r="Q290">
      <v>0.15</v>
    </nc>
    <odxf>
      <fill>
        <patternFill patternType="none">
          <bgColor indexed="65"/>
        </patternFill>
      </fill>
    </odxf>
    <ndxf>
      <fill>
        <patternFill patternType="solid">
          <bgColor rgb="FFFF0000"/>
        </patternFill>
      </fill>
    </ndxf>
  </rcc>
  <rcc rId="5911" sId="1" odxf="1" dxf="1" numFmtId="4">
    <nc r="R290">
      <v>0.15</v>
    </nc>
    <odxf>
      <fill>
        <patternFill patternType="none">
          <bgColor indexed="65"/>
        </patternFill>
      </fill>
    </odxf>
    <ndxf>
      <fill>
        <patternFill patternType="solid">
          <bgColor rgb="FFFF0000"/>
        </patternFill>
      </fill>
    </ndxf>
  </rcc>
  <rcc rId="5912" sId="1" odxf="1" dxf="1" numFmtId="4">
    <nc r="Q291">
      <v>0.15</v>
    </nc>
    <odxf>
      <fill>
        <patternFill patternType="none">
          <bgColor indexed="65"/>
        </patternFill>
      </fill>
    </odxf>
    <ndxf>
      <fill>
        <patternFill patternType="solid">
          <bgColor rgb="FFFF0000"/>
        </patternFill>
      </fill>
    </ndxf>
  </rcc>
  <rcc rId="5913" sId="1" odxf="1" dxf="1" numFmtId="4">
    <nc r="R291">
      <v>0.15</v>
    </nc>
    <odxf>
      <fill>
        <patternFill patternType="none">
          <bgColor indexed="65"/>
        </patternFill>
      </fill>
    </odxf>
    <ndxf>
      <fill>
        <patternFill patternType="solid">
          <bgColor rgb="FFFF0000"/>
        </patternFill>
      </fill>
    </ndxf>
  </rcc>
  <rcc rId="5914" sId="1" odxf="1" dxf="1" numFmtId="4">
    <nc r="Q292">
      <v>0.15</v>
    </nc>
    <odxf>
      <fill>
        <patternFill patternType="none">
          <bgColor indexed="65"/>
        </patternFill>
      </fill>
    </odxf>
    <ndxf>
      <fill>
        <patternFill patternType="solid">
          <bgColor rgb="FFFF0000"/>
        </patternFill>
      </fill>
    </ndxf>
  </rcc>
  <rcc rId="5915" sId="1" odxf="1" dxf="1" numFmtId="4">
    <nc r="R292">
      <v>0.15</v>
    </nc>
    <odxf>
      <fill>
        <patternFill patternType="none">
          <bgColor indexed="65"/>
        </patternFill>
      </fill>
    </odxf>
    <ndxf>
      <fill>
        <patternFill patternType="solid">
          <bgColor rgb="FFFF0000"/>
        </patternFill>
      </fill>
    </ndxf>
  </rcc>
  <rcc rId="5916" sId="1" odxf="1" dxf="1" numFmtId="4">
    <nc r="Q293">
      <v>0.15</v>
    </nc>
    <odxf>
      <fill>
        <patternFill patternType="none">
          <bgColor indexed="65"/>
        </patternFill>
      </fill>
    </odxf>
    <ndxf>
      <fill>
        <patternFill patternType="solid">
          <bgColor rgb="FFFF0000"/>
        </patternFill>
      </fill>
    </ndxf>
  </rcc>
  <rcc rId="5917" sId="1" odxf="1" dxf="1" numFmtId="4">
    <nc r="R293">
      <v>0.15</v>
    </nc>
    <odxf>
      <fill>
        <patternFill patternType="none">
          <bgColor indexed="65"/>
        </patternFill>
      </fill>
    </odxf>
    <ndxf>
      <fill>
        <patternFill patternType="solid">
          <bgColor rgb="FFFF0000"/>
        </patternFill>
      </fill>
    </ndxf>
  </rcc>
  <rcc rId="5918" sId="1" odxf="1" dxf="1" numFmtId="4">
    <nc r="Q294">
      <v>0.15</v>
    </nc>
    <odxf>
      <fill>
        <patternFill patternType="none">
          <bgColor indexed="65"/>
        </patternFill>
      </fill>
    </odxf>
    <ndxf>
      <fill>
        <patternFill patternType="solid">
          <bgColor rgb="FFFF0000"/>
        </patternFill>
      </fill>
    </ndxf>
  </rcc>
  <rcc rId="5919" sId="1" odxf="1" dxf="1" numFmtId="4">
    <nc r="R294">
      <v>0.15</v>
    </nc>
    <odxf>
      <fill>
        <patternFill patternType="none">
          <bgColor indexed="65"/>
        </patternFill>
      </fill>
    </odxf>
    <ndxf>
      <fill>
        <patternFill patternType="solid">
          <bgColor rgb="FFFF0000"/>
        </patternFill>
      </fill>
    </ndxf>
  </rcc>
  <rcc rId="5920" sId="1" odxf="1" dxf="1" numFmtId="4">
    <nc r="Q295">
      <v>0.15</v>
    </nc>
    <odxf>
      <fill>
        <patternFill patternType="none">
          <bgColor indexed="65"/>
        </patternFill>
      </fill>
    </odxf>
    <ndxf>
      <fill>
        <patternFill patternType="solid">
          <bgColor rgb="FFFF0000"/>
        </patternFill>
      </fill>
    </ndxf>
  </rcc>
  <rcc rId="5921" sId="1" odxf="1" dxf="1" numFmtId="4">
    <nc r="R295">
      <v>0.15</v>
    </nc>
    <odxf>
      <fill>
        <patternFill patternType="none">
          <bgColor indexed="65"/>
        </patternFill>
      </fill>
    </odxf>
    <ndxf>
      <fill>
        <patternFill patternType="solid">
          <bgColor rgb="FFFF0000"/>
        </patternFill>
      </fill>
    </ndxf>
  </rcc>
  <rcc rId="5922" sId="1" odxf="1" dxf="1" numFmtId="4">
    <nc r="Q296">
      <v>0.15</v>
    </nc>
    <odxf>
      <fill>
        <patternFill patternType="none">
          <bgColor indexed="65"/>
        </patternFill>
      </fill>
    </odxf>
    <ndxf>
      <fill>
        <patternFill patternType="solid">
          <bgColor rgb="FFFF0000"/>
        </patternFill>
      </fill>
    </ndxf>
  </rcc>
  <rcc rId="5923" sId="1" odxf="1" dxf="1" numFmtId="4">
    <nc r="R296">
      <v>0.15</v>
    </nc>
    <odxf>
      <fill>
        <patternFill patternType="none">
          <bgColor indexed="65"/>
        </patternFill>
      </fill>
    </odxf>
    <ndxf>
      <fill>
        <patternFill patternType="solid">
          <bgColor rgb="FFFF0000"/>
        </patternFill>
      </fill>
    </ndxf>
  </rcc>
  <rcc rId="5924" sId="1" odxf="1" dxf="1" numFmtId="4">
    <nc r="Q297">
      <v>0.15</v>
    </nc>
    <odxf>
      <fill>
        <patternFill patternType="none">
          <bgColor indexed="65"/>
        </patternFill>
      </fill>
    </odxf>
    <ndxf>
      <fill>
        <patternFill patternType="solid">
          <bgColor rgb="FFFF0000"/>
        </patternFill>
      </fill>
    </ndxf>
  </rcc>
  <rcc rId="5925" sId="1" odxf="1" dxf="1" numFmtId="4">
    <nc r="R297">
      <v>0.15</v>
    </nc>
    <odxf>
      <fill>
        <patternFill patternType="none">
          <bgColor indexed="65"/>
        </patternFill>
      </fill>
    </odxf>
    <ndxf>
      <fill>
        <patternFill patternType="solid">
          <bgColor rgb="FFFF0000"/>
        </patternFill>
      </fill>
    </ndxf>
  </rcc>
  <rcc rId="5926" sId="1" odxf="1" dxf="1" numFmtId="4">
    <nc r="Q298">
      <v>0.15</v>
    </nc>
    <odxf>
      <fill>
        <patternFill patternType="none">
          <bgColor indexed="65"/>
        </patternFill>
      </fill>
    </odxf>
    <ndxf>
      <fill>
        <patternFill patternType="solid">
          <bgColor rgb="FFFF0000"/>
        </patternFill>
      </fill>
    </ndxf>
  </rcc>
  <rcc rId="5927" sId="1" odxf="1" dxf="1" numFmtId="4">
    <nc r="R298">
      <v>0.15</v>
    </nc>
    <odxf>
      <fill>
        <patternFill patternType="none">
          <bgColor indexed="65"/>
        </patternFill>
      </fill>
    </odxf>
    <ndxf>
      <fill>
        <patternFill patternType="solid">
          <bgColor rgb="FFFF0000"/>
        </patternFill>
      </fill>
    </ndxf>
  </rcc>
  <rcc rId="5928" sId="1" odxf="1" dxf="1" numFmtId="4">
    <nc r="Q299">
      <v>0.15</v>
    </nc>
    <odxf>
      <fill>
        <patternFill patternType="none">
          <bgColor indexed="65"/>
        </patternFill>
      </fill>
    </odxf>
    <ndxf>
      <fill>
        <patternFill patternType="solid">
          <bgColor rgb="FFFF0000"/>
        </patternFill>
      </fill>
    </ndxf>
  </rcc>
  <rcc rId="5929" sId="1" odxf="1" dxf="1" numFmtId="4">
    <nc r="R299">
      <v>0.15</v>
    </nc>
    <odxf>
      <fill>
        <patternFill patternType="none">
          <bgColor indexed="65"/>
        </patternFill>
      </fill>
    </odxf>
    <ndxf>
      <fill>
        <patternFill patternType="solid">
          <bgColor rgb="FFFF0000"/>
        </patternFill>
      </fill>
    </ndxf>
  </rcc>
  <rcc rId="5930" sId="1" odxf="1" dxf="1" numFmtId="4">
    <nc r="Q300">
      <v>0.15</v>
    </nc>
    <odxf>
      <fill>
        <patternFill patternType="none">
          <bgColor indexed="65"/>
        </patternFill>
      </fill>
    </odxf>
    <ndxf>
      <fill>
        <patternFill patternType="solid">
          <bgColor rgb="FFFF0000"/>
        </patternFill>
      </fill>
    </ndxf>
  </rcc>
  <rcc rId="5931" sId="1" odxf="1" dxf="1" numFmtId="4">
    <nc r="R300">
      <v>0.15</v>
    </nc>
    <odxf>
      <fill>
        <patternFill patternType="none">
          <bgColor indexed="65"/>
        </patternFill>
      </fill>
    </odxf>
    <ndxf>
      <fill>
        <patternFill patternType="solid">
          <bgColor rgb="FFFF0000"/>
        </patternFill>
      </fill>
    </ndxf>
  </rcc>
  <rcc rId="5932" sId="1" odxf="1" dxf="1" numFmtId="4">
    <nc r="Q301">
      <v>0.15</v>
    </nc>
    <odxf>
      <fill>
        <patternFill patternType="none">
          <bgColor indexed="65"/>
        </patternFill>
      </fill>
    </odxf>
    <ndxf>
      <fill>
        <patternFill patternType="solid">
          <bgColor rgb="FFFF0000"/>
        </patternFill>
      </fill>
    </ndxf>
  </rcc>
  <rcc rId="5933" sId="1" odxf="1" dxf="1" numFmtId="4">
    <nc r="R301">
      <v>0.15</v>
    </nc>
    <odxf>
      <fill>
        <patternFill patternType="none">
          <bgColor indexed="65"/>
        </patternFill>
      </fill>
    </odxf>
    <ndxf>
      <fill>
        <patternFill patternType="solid">
          <bgColor rgb="FFFF0000"/>
        </patternFill>
      </fill>
    </ndxf>
  </rcc>
  <rcc rId="5934" sId="1" odxf="1" dxf="1" numFmtId="4">
    <nc r="Q302">
      <v>0.15</v>
    </nc>
    <odxf>
      <fill>
        <patternFill patternType="none">
          <bgColor indexed="65"/>
        </patternFill>
      </fill>
    </odxf>
    <ndxf>
      <fill>
        <patternFill patternType="solid">
          <bgColor rgb="FFFF0000"/>
        </patternFill>
      </fill>
    </ndxf>
  </rcc>
  <rcc rId="5935" sId="1" odxf="1" dxf="1" numFmtId="4">
    <nc r="R302">
      <v>0.15</v>
    </nc>
    <odxf>
      <fill>
        <patternFill patternType="none">
          <bgColor indexed="65"/>
        </patternFill>
      </fill>
    </odxf>
    <ndxf>
      <fill>
        <patternFill patternType="solid">
          <bgColor rgb="FFFF0000"/>
        </patternFill>
      </fill>
    </ndxf>
  </rcc>
  <rcc rId="5936" sId="1" odxf="1" dxf="1" numFmtId="4">
    <nc r="Q303">
      <v>0.15</v>
    </nc>
    <odxf>
      <fill>
        <patternFill patternType="none">
          <bgColor indexed="65"/>
        </patternFill>
      </fill>
    </odxf>
    <ndxf>
      <fill>
        <patternFill patternType="solid">
          <bgColor rgb="FFFF0000"/>
        </patternFill>
      </fill>
    </ndxf>
  </rcc>
  <rcc rId="5937" sId="1" odxf="1" dxf="1" numFmtId="4">
    <nc r="R303">
      <v>0.15</v>
    </nc>
    <odxf>
      <fill>
        <patternFill patternType="none">
          <bgColor indexed="65"/>
        </patternFill>
      </fill>
    </odxf>
    <ndxf>
      <fill>
        <patternFill patternType="solid">
          <bgColor rgb="FFFF0000"/>
        </patternFill>
      </fill>
    </ndxf>
  </rcc>
  <rcc rId="5938" sId="1" odxf="1" dxf="1" numFmtId="4">
    <nc r="Q304">
      <v>0.15</v>
    </nc>
    <odxf>
      <fill>
        <patternFill patternType="none">
          <bgColor indexed="65"/>
        </patternFill>
      </fill>
    </odxf>
    <ndxf>
      <fill>
        <patternFill patternType="solid">
          <bgColor rgb="FFFF0000"/>
        </patternFill>
      </fill>
    </ndxf>
  </rcc>
  <rcc rId="5939" sId="1" odxf="1" dxf="1" numFmtId="4">
    <nc r="R304">
      <v>0.15</v>
    </nc>
    <odxf>
      <fill>
        <patternFill patternType="none">
          <bgColor indexed="65"/>
        </patternFill>
      </fill>
    </odxf>
    <ndxf>
      <fill>
        <patternFill patternType="solid">
          <bgColor rgb="FFFF0000"/>
        </patternFill>
      </fill>
    </ndxf>
  </rcc>
  <rcc rId="5940" sId="1" odxf="1" dxf="1" numFmtId="4">
    <nc r="Q305">
      <v>0.15</v>
    </nc>
    <odxf>
      <fill>
        <patternFill patternType="none">
          <bgColor indexed="65"/>
        </patternFill>
      </fill>
    </odxf>
    <ndxf>
      <fill>
        <patternFill patternType="solid">
          <bgColor rgb="FFFF0000"/>
        </patternFill>
      </fill>
    </ndxf>
  </rcc>
  <rcc rId="5941" sId="1" odxf="1" dxf="1" numFmtId="4">
    <nc r="R305">
      <v>0.15</v>
    </nc>
    <odxf>
      <fill>
        <patternFill patternType="none">
          <bgColor indexed="65"/>
        </patternFill>
      </fill>
    </odxf>
    <ndxf>
      <fill>
        <patternFill patternType="solid">
          <bgColor rgb="FFFF0000"/>
        </patternFill>
      </fill>
    </ndxf>
  </rcc>
  <rcc rId="5942" sId="1" odxf="1" dxf="1" numFmtId="4">
    <nc r="Q306">
      <v>0.15</v>
    </nc>
    <odxf>
      <fill>
        <patternFill patternType="none">
          <bgColor indexed="65"/>
        </patternFill>
      </fill>
    </odxf>
    <ndxf>
      <fill>
        <patternFill patternType="solid">
          <bgColor rgb="FFFF0000"/>
        </patternFill>
      </fill>
    </ndxf>
  </rcc>
  <rcc rId="5943" sId="1" odxf="1" dxf="1" numFmtId="4">
    <nc r="R306">
      <v>0.15</v>
    </nc>
    <odxf>
      <fill>
        <patternFill patternType="none">
          <bgColor indexed="65"/>
        </patternFill>
      </fill>
    </odxf>
    <ndxf>
      <fill>
        <patternFill patternType="solid">
          <bgColor rgb="FFFF0000"/>
        </patternFill>
      </fill>
    </ndxf>
  </rcc>
  <rcc rId="5944" sId="1" odxf="1" dxf="1" numFmtId="4">
    <nc r="Q307">
      <v>0.15</v>
    </nc>
    <odxf>
      <fill>
        <patternFill patternType="none">
          <bgColor indexed="65"/>
        </patternFill>
      </fill>
    </odxf>
    <ndxf>
      <fill>
        <patternFill patternType="solid">
          <bgColor rgb="FFFF0000"/>
        </patternFill>
      </fill>
    </ndxf>
  </rcc>
  <rcc rId="5945" sId="1" odxf="1" dxf="1" numFmtId="4">
    <nc r="R307">
      <v>0.15</v>
    </nc>
    <odxf>
      <fill>
        <patternFill patternType="none">
          <bgColor indexed="65"/>
        </patternFill>
      </fill>
    </odxf>
    <ndxf>
      <fill>
        <patternFill patternType="solid">
          <bgColor rgb="FFFF0000"/>
        </patternFill>
      </fill>
    </ndxf>
  </rcc>
  <rcc rId="5946" sId="1" odxf="1" dxf="1" numFmtId="4">
    <nc r="Q308">
      <v>0.15</v>
    </nc>
    <odxf>
      <fill>
        <patternFill patternType="none">
          <bgColor indexed="65"/>
        </patternFill>
      </fill>
    </odxf>
    <ndxf>
      <fill>
        <patternFill patternType="solid">
          <bgColor rgb="FFFF0000"/>
        </patternFill>
      </fill>
    </ndxf>
  </rcc>
  <rcc rId="5947" sId="1" odxf="1" dxf="1" numFmtId="4">
    <nc r="R308">
      <v>0.05</v>
    </nc>
    <odxf>
      <fill>
        <patternFill patternType="none">
          <bgColor indexed="65"/>
        </patternFill>
      </fill>
    </odxf>
    <ndxf>
      <fill>
        <patternFill patternType="solid">
          <bgColor rgb="FFFF0000"/>
        </patternFill>
      </fill>
    </ndxf>
  </rcc>
  <rcc rId="5948" sId="1" odxf="1" dxf="1" numFmtId="4">
    <nc r="Q309">
      <v>0.05</v>
    </nc>
    <odxf>
      <fill>
        <patternFill patternType="none">
          <bgColor indexed="65"/>
        </patternFill>
      </fill>
    </odxf>
    <ndxf>
      <fill>
        <patternFill patternType="solid">
          <bgColor rgb="FFFF0000"/>
        </patternFill>
      </fill>
    </ndxf>
  </rcc>
  <rcc rId="5949" sId="1" odxf="1" dxf="1" numFmtId="4">
    <nc r="R309">
      <v>0.05</v>
    </nc>
    <odxf>
      <fill>
        <patternFill patternType="none">
          <bgColor indexed="65"/>
        </patternFill>
      </fill>
    </odxf>
    <ndxf>
      <fill>
        <patternFill patternType="solid">
          <bgColor rgb="FFFF0000"/>
        </patternFill>
      </fill>
    </ndxf>
  </rcc>
  <rcc rId="5950" sId="1" odxf="1" dxf="1" numFmtId="4">
    <nc r="Q310">
      <v>0.05</v>
    </nc>
    <odxf>
      <fill>
        <patternFill patternType="none">
          <bgColor indexed="65"/>
        </patternFill>
      </fill>
    </odxf>
    <ndxf>
      <fill>
        <patternFill patternType="solid">
          <bgColor rgb="FFFF0000"/>
        </patternFill>
      </fill>
    </ndxf>
  </rcc>
  <rcc rId="5951" sId="1" odxf="1" dxf="1" numFmtId="4">
    <nc r="R310">
      <v>0.05</v>
    </nc>
    <odxf>
      <fill>
        <patternFill patternType="none">
          <bgColor indexed="65"/>
        </patternFill>
      </fill>
    </odxf>
    <ndxf>
      <fill>
        <patternFill patternType="solid">
          <bgColor rgb="FFFF0000"/>
        </patternFill>
      </fill>
    </ndxf>
  </rcc>
  <rcc rId="5952" sId="1" odxf="1" dxf="1" numFmtId="4">
    <nc r="Q311">
      <v>0.05</v>
    </nc>
    <odxf>
      <fill>
        <patternFill patternType="none">
          <bgColor indexed="65"/>
        </patternFill>
      </fill>
    </odxf>
    <ndxf>
      <fill>
        <patternFill patternType="solid">
          <bgColor rgb="FFFF0000"/>
        </patternFill>
      </fill>
    </ndxf>
  </rcc>
  <rcc rId="5953" sId="1" odxf="1" dxf="1" numFmtId="4">
    <nc r="R311">
      <v>0.05</v>
    </nc>
    <odxf>
      <fill>
        <patternFill patternType="none">
          <bgColor indexed="65"/>
        </patternFill>
      </fill>
    </odxf>
    <ndxf>
      <fill>
        <patternFill patternType="solid">
          <bgColor rgb="FFFF0000"/>
        </patternFill>
      </fill>
    </ndxf>
  </rcc>
  <rcc rId="5954" sId="1" odxf="1" dxf="1" numFmtId="4">
    <nc r="Q312">
      <v>0.05</v>
    </nc>
    <odxf>
      <fill>
        <patternFill patternType="none">
          <bgColor indexed="65"/>
        </patternFill>
      </fill>
    </odxf>
    <ndxf>
      <fill>
        <patternFill patternType="solid">
          <bgColor rgb="FFFF0000"/>
        </patternFill>
      </fill>
    </ndxf>
  </rcc>
  <rcc rId="5955" sId="1" odxf="1" dxf="1" numFmtId="4">
    <nc r="R312">
      <v>0.05</v>
    </nc>
    <odxf>
      <fill>
        <patternFill patternType="none">
          <bgColor indexed="65"/>
        </patternFill>
      </fill>
    </odxf>
    <ndxf>
      <fill>
        <patternFill patternType="solid">
          <bgColor rgb="FFFF0000"/>
        </patternFill>
      </fill>
    </ndxf>
  </rcc>
  <rcc rId="5956" sId="1" odxf="1" dxf="1" numFmtId="4">
    <nc r="Q313">
      <v>0.05</v>
    </nc>
    <odxf>
      <fill>
        <patternFill patternType="none">
          <bgColor indexed="65"/>
        </patternFill>
      </fill>
    </odxf>
    <ndxf>
      <fill>
        <patternFill patternType="solid">
          <bgColor rgb="FFFF0000"/>
        </patternFill>
      </fill>
    </ndxf>
  </rcc>
  <rcc rId="5957" sId="1" odxf="1" dxf="1" numFmtId="4">
    <nc r="R313">
      <v>0.05</v>
    </nc>
    <odxf>
      <fill>
        <patternFill patternType="none">
          <bgColor indexed="65"/>
        </patternFill>
      </fill>
    </odxf>
    <ndxf>
      <fill>
        <patternFill patternType="solid">
          <bgColor rgb="FFFF0000"/>
        </patternFill>
      </fill>
    </ndxf>
  </rcc>
  <rcc rId="5958" sId="1" odxf="1" dxf="1" numFmtId="4">
    <nc r="Q314">
      <v>0.05</v>
    </nc>
    <odxf>
      <fill>
        <patternFill patternType="none">
          <bgColor indexed="65"/>
        </patternFill>
      </fill>
    </odxf>
    <ndxf>
      <fill>
        <patternFill patternType="solid">
          <bgColor rgb="FFFF0000"/>
        </patternFill>
      </fill>
    </ndxf>
  </rcc>
  <rcc rId="5959" sId="1" odxf="1" dxf="1" numFmtId="4">
    <nc r="R314">
      <v>0.05</v>
    </nc>
    <odxf>
      <fill>
        <patternFill patternType="none">
          <bgColor indexed="65"/>
        </patternFill>
      </fill>
    </odxf>
    <ndxf>
      <fill>
        <patternFill patternType="solid">
          <bgColor rgb="FFFF0000"/>
        </patternFill>
      </fill>
    </ndxf>
  </rcc>
  <rcc rId="5960" sId="1" odxf="1" dxf="1" numFmtId="4">
    <nc r="Q315">
      <v>0.05</v>
    </nc>
    <odxf>
      <fill>
        <patternFill patternType="none">
          <bgColor indexed="65"/>
        </patternFill>
      </fill>
    </odxf>
    <ndxf>
      <fill>
        <patternFill patternType="solid">
          <bgColor rgb="FFFF0000"/>
        </patternFill>
      </fill>
    </ndxf>
  </rcc>
  <rcc rId="5961" sId="1" odxf="1" dxf="1" numFmtId="4">
    <nc r="R315">
      <v>0.05</v>
    </nc>
    <odxf>
      <fill>
        <patternFill patternType="none">
          <bgColor indexed="65"/>
        </patternFill>
      </fill>
    </odxf>
    <ndxf>
      <fill>
        <patternFill patternType="solid">
          <bgColor rgb="FFFF0000"/>
        </patternFill>
      </fill>
    </ndxf>
  </rcc>
  <rcc rId="5962" sId="1" odxf="1" dxf="1" numFmtId="4">
    <nc r="Q316">
      <v>0.05</v>
    </nc>
    <odxf>
      <fill>
        <patternFill patternType="none">
          <bgColor indexed="65"/>
        </patternFill>
      </fill>
    </odxf>
    <ndxf>
      <fill>
        <patternFill patternType="solid">
          <bgColor rgb="FFFF0000"/>
        </patternFill>
      </fill>
    </ndxf>
  </rcc>
  <rcc rId="5963" sId="1" odxf="1" dxf="1" numFmtId="4">
    <nc r="R316">
      <v>0.05</v>
    </nc>
    <odxf>
      <fill>
        <patternFill patternType="none">
          <bgColor indexed="65"/>
        </patternFill>
      </fill>
    </odxf>
    <ndxf>
      <fill>
        <patternFill patternType="solid">
          <bgColor rgb="FFFF0000"/>
        </patternFill>
      </fill>
    </ndxf>
  </rcc>
  <rcc rId="5964" sId="1" odxf="1" dxf="1" numFmtId="4">
    <nc r="Q317">
      <v>0.05</v>
    </nc>
    <odxf>
      <fill>
        <patternFill patternType="none">
          <bgColor indexed="65"/>
        </patternFill>
      </fill>
    </odxf>
    <ndxf>
      <fill>
        <patternFill patternType="solid">
          <bgColor rgb="FFFF0000"/>
        </patternFill>
      </fill>
    </ndxf>
  </rcc>
  <rcc rId="5965" sId="1" odxf="1" dxf="1" numFmtId="4">
    <nc r="R317">
      <v>0.05</v>
    </nc>
    <odxf>
      <fill>
        <patternFill patternType="none">
          <bgColor indexed="65"/>
        </patternFill>
      </fill>
    </odxf>
    <ndxf>
      <fill>
        <patternFill patternType="solid">
          <bgColor rgb="FFFF0000"/>
        </patternFill>
      </fill>
    </ndxf>
  </rcc>
  <rcc rId="5966" sId="1" odxf="1" dxf="1" numFmtId="4">
    <nc r="Q318">
      <v>0.05</v>
    </nc>
    <odxf>
      <fill>
        <patternFill patternType="none">
          <bgColor indexed="65"/>
        </patternFill>
      </fill>
    </odxf>
    <ndxf>
      <fill>
        <patternFill patternType="solid">
          <bgColor rgb="FFFF0000"/>
        </patternFill>
      </fill>
    </ndxf>
  </rcc>
  <rcc rId="5967" sId="1" odxf="1" dxf="1" numFmtId="4">
    <nc r="R318">
      <v>0.05</v>
    </nc>
    <odxf>
      <fill>
        <patternFill patternType="none">
          <bgColor indexed="65"/>
        </patternFill>
      </fill>
    </odxf>
    <ndxf>
      <fill>
        <patternFill patternType="solid">
          <bgColor rgb="FFFF0000"/>
        </patternFill>
      </fill>
    </ndxf>
  </rcc>
  <rcc rId="5968" sId="1" odxf="1" dxf="1" numFmtId="4">
    <nc r="Q319">
      <v>0.05</v>
    </nc>
    <odxf>
      <fill>
        <patternFill patternType="none">
          <bgColor indexed="65"/>
        </patternFill>
      </fill>
    </odxf>
    <ndxf>
      <fill>
        <patternFill patternType="solid">
          <bgColor rgb="FFFF0000"/>
        </patternFill>
      </fill>
    </ndxf>
  </rcc>
  <rcc rId="5969" sId="1" odxf="1" dxf="1" numFmtId="4">
    <nc r="R319">
      <v>0.05</v>
    </nc>
    <odxf>
      <fill>
        <patternFill patternType="none">
          <bgColor indexed="65"/>
        </patternFill>
      </fill>
    </odxf>
    <ndxf>
      <fill>
        <patternFill patternType="solid">
          <bgColor rgb="FFFF0000"/>
        </patternFill>
      </fill>
    </ndxf>
  </rcc>
  <rcc rId="5970" sId="1" odxf="1" dxf="1" numFmtId="4">
    <nc r="Q320">
      <v>0.05</v>
    </nc>
    <odxf>
      <fill>
        <patternFill patternType="none">
          <bgColor indexed="65"/>
        </patternFill>
      </fill>
    </odxf>
    <ndxf>
      <fill>
        <patternFill patternType="solid">
          <bgColor rgb="FFFF0000"/>
        </patternFill>
      </fill>
    </ndxf>
  </rcc>
  <rcc rId="5971" sId="1" odxf="1" dxf="1" numFmtId="4">
    <nc r="R320">
      <v>0.05</v>
    </nc>
    <odxf>
      <fill>
        <patternFill patternType="none">
          <bgColor indexed="65"/>
        </patternFill>
      </fill>
    </odxf>
    <ndxf>
      <fill>
        <patternFill patternType="solid">
          <bgColor rgb="FFFF0000"/>
        </patternFill>
      </fill>
    </ndxf>
  </rcc>
  <rcc rId="5972" sId="1" odxf="1" dxf="1" numFmtId="4">
    <nc r="Q321">
      <v>0.05</v>
    </nc>
    <odxf>
      <fill>
        <patternFill patternType="none">
          <bgColor indexed="65"/>
        </patternFill>
      </fill>
    </odxf>
    <ndxf>
      <fill>
        <patternFill patternType="solid">
          <bgColor rgb="FFFF0000"/>
        </patternFill>
      </fill>
    </ndxf>
  </rcc>
  <rcc rId="5973" sId="1" odxf="1" dxf="1" numFmtId="4">
    <nc r="R321">
      <v>0.05</v>
    </nc>
    <odxf>
      <fill>
        <patternFill patternType="none">
          <bgColor indexed="65"/>
        </patternFill>
      </fill>
    </odxf>
    <ndxf>
      <fill>
        <patternFill patternType="solid">
          <bgColor rgb="FFFF0000"/>
        </patternFill>
      </fill>
    </ndxf>
  </rcc>
  <rcc rId="5974" sId="1" odxf="1" dxf="1" numFmtId="4">
    <nc r="Q322">
      <v>0.05</v>
    </nc>
    <odxf>
      <fill>
        <patternFill patternType="none">
          <bgColor indexed="65"/>
        </patternFill>
      </fill>
    </odxf>
    <ndxf>
      <fill>
        <patternFill patternType="solid">
          <bgColor rgb="FFFF0000"/>
        </patternFill>
      </fill>
    </ndxf>
  </rcc>
  <rcc rId="5975" sId="1" odxf="1" dxf="1" numFmtId="4">
    <nc r="R322">
      <v>0.05</v>
    </nc>
    <odxf>
      <fill>
        <patternFill patternType="none">
          <bgColor indexed="65"/>
        </patternFill>
      </fill>
    </odxf>
    <ndxf>
      <fill>
        <patternFill patternType="solid">
          <bgColor rgb="FFFF0000"/>
        </patternFill>
      </fill>
    </ndxf>
  </rcc>
  <rcc rId="5976" sId="1" odxf="1" dxf="1" numFmtId="4">
    <nc r="Q323">
      <v>0.05</v>
    </nc>
    <odxf>
      <fill>
        <patternFill patternType="none">
          <bgColor indexed="65"/>
        </patternFill>
      </fill>
    </odxf>
    <ndxf>
      <fill>
        <patternFill patternType="solid">
          <bgColor rgb="FFFF0000"/>
        </patternFill>
      </fill>
    </ndxf>
  </rcc>
  <rcc rId="5977" sId="1" odxf="1" dxf="1" numFmtId="4">
    <nc r="R323">
      <v>0.05</v>
    </nc>
    <odxf>
      <fill>
        <patternFill patternType="none">
          <bgColor indexed="65"/>
        </patternFill>
      </fill>
    </odxf>
    <ndxf>
      <fill>
        <patternFill patternType="solid">
          <bgColor rgb="FFFF0000"/>
        </patternFill>
      </fill>
    </ndxf>
  </rcc>
  <rcc rId="5978" sId="1" odxf="1" dxf="1" numFmtId="4">
    <nc r="Q324">
      <v>0.05</v>
    </nc>
    <odxf>
      <fill>
        <patternFill patternType="none">
          <bgColor indexed="65"/>
        </patternFill>
      </fill>
    </odxf>
    <ndxf>
      <fill>
        <patternFill patternType="solid">
          <bgColor rgb="FFFF0000"/>
        </patternFill>
      </fill>
    </ndxf>
  </rcc>
  <rcc rId="5979" sId="1" odxf="1" dxf="1" numFmtId="4">
    <nc r="R324">
      <v>0.05</v>
    </nc>
    <odxf>
      <fill>
        <patternFill patternType="none">
          <bgColor indexed="65"/>
        </patternFill>
      </fill>
    </odxf>
    <ndxf>
      <fill>
        <patternFill patternType="solid">
          <bgColor rgb="FFFF0000"/>
        </patternFill>
      </fill>
    </ndxf>
  </rcc>
  <rfmt sheetId="1" sqref="Q325" start="0" length="0">
    <dxf>
      <fill>
        <patternFill patternType="solid">
          <bgColor rgb="FFFF0000"/>
        </patternFill>
      </fill>
    </dxf>
  </rfmt>
  <rfmt sheetId="1" sqref="R325" start="0" length="0">
    <dxf>
      <fill>
        <patternFill patternType="solid">
          <bgColor rgb="FFFF0000"/>
        </patternFill>
      </fill>
    </dxf>
  </rfmt>
  <rcc rId="5980" sId="1" odxf="1" dxf="1" numFmtId="4">
    <nc r="Q326">
      <v>0.05</v>
    </nc>
    <odxf>
      <fill>
        <patternFill patternType="none">
          <bgColor indexed="65"/>
        </patternFill>
      </fill>
    </odxf>
    <ndxf>
      <fill>
        <patternFill patternType="solid">
          <bgColor rgb="FFFF0000"/>
        </patternFill>
      </fill>
    </ndxf>
  </rcc>
  <rcc rId="5981" sId="1" odxf="1" dxf="1" numFmtId="4">
    <nc r="R326">
      <v>0.05</v>
    </nc>
    <odxf>
      <fill>
        <patternFill patternType="none">
          <bgColor indexed="65"/>
        </patternFill>
      </fill>
    </odxf>
    <ndxf>
      <fill>
        <patternFill patternType="solid">
          <bgColor rgb="FFFF0000"/>
        </patternFill>
      </fill>
    </ndxf>
  </rcc>
  <rcc rId="5982" sId="1" odxf="1" dxf="1" numFmtId="4">
    <nc r="Q327">
      <v>0.05</v>
    </nc>
    <odxf>
      <fill>
        <patternFill patternType="none">
          <bgColor indexed="65"/>
        </patternFill>
      </fill>
    </odxf>
    <ndxf>
      <fill>
        <patternFill patternType="solid">
          <bgColor rgb="FFFF0000"/>
        </patternFill>
      </fill>
    </ndxf>
  </rcc>
  <rcc rId="5983" sId="1" odxf="1" dxf="1" numFmtId="4">
    <nc r="R327">
      <v>0.05</v>
    </nc>
    <odxf>
      <fill>
        <patternFill patternType="none">
          <bgColor indexed="65"/>
        </patternFill>
      </fill>
    </odxf>
    <ndxf>
      <fill>
        <patternFill patternType="solid">
          <bgColor rgb="FFFF0000"/>
        </patternFill>
      </fill>
    </ndxf>
  </rcc>
  <rcc rId="5984" sId="1" odxf="1" dxf="1" numFmtId="4">
    <nc r="Q328">
      <v>0.05</v>
    </nc>
    <odxf>
      <fill>
        <patternFill patternType="none">
          <bgColor indexed="65"/>
        </patternFill>
      </fill>
    </odxf>
    <ndxf>
      <fill>
        <patternFill patternType="solid">
          <bgColor rgb="FFFF0000"/>
        </patternFill>
      </fill>
    </ndxf>
  </rcc>
  <rcc rId="5985" sId="1" odxf="1" dxf="1" numFmtId="4">
    <nc r="R328">
      <v>0.05</v>
    </nc>
    <odxf>
      <fill>
        <patternFill patternType="none">
          <bgColor indexed="65"/>
        </patternFill>
      </fill>
    </odxf>
    <ndxf>
      <fill>
        <patternFill patternType="solid">
          <bgColor rgb="FFFF0000"/>
        </patternFill>
      </fill>
    </ndxf>
  </rcc>
  <rcc rId="5986" sId="1" odxf="1" dxf="1" numFmtId="4">
    <nc r="Q329">
      <v>0.05</v>
    </nc>
    <odxf>
      <fill>
        <patternFill patternType="none">
          <bgColor indexed="65"/>
        </patternFill>
      </fill>
    </odxf>
    <ndxf>
      <fill>
        <patternFill patternType="solid">
          <bgColor rgb="FFFF0000"/>
        </patternFill>
      </fill>
    </ndxf>
  </rcc>
  <rcc rId="5987" sId="1" odxf="1" dxf="1" numFmtId="4">
    <nc r="R329">
      <v>0.05</v>
    </nc>
    <odxf>
      <fill>
        <patternFill patternType="none">
          <bgColor indexed="65"/>
        </patternFill>
      </fill>
    </odxf>
    <ndxf>
      <fill>
        <patternFill patternType="solid">
          <bgColor rgb="FFFF0000"/>
        </patternFill>
      </fill>
    </ndxf>
  </rcc>
  <rcc rId="5988" sId="1" odxf="1" dxf="1" numFmtId="4">
    <nc r="Q330">
      <v>0.05</v>
    </nc>
    <odxf>
      <fill>
        <patternFill patternType="none">
          <bgColor indexed="65"/>
        </patternFill>
      </fill>
    </odxf>
    <ndxf>
      <fill>
        <patternFill patternType="solid">
          <bgColor rgb="FFFF0000"/>
        </patternFill>
      </fill>
    </ndxf>
  </rcc>
  <rcc rId="5989" sId="1" odxf="1" dxf="1" numFmtId="4">
    <nc r="R330">
      <v>0.05</v>
    </nc>
    <odxf>
      <fill>
        <patternFill patternType="none">
          <bgColor indexed="65"/>
        </patternFill>
      </fill>
    </odxf>
    <ndxf>
      <fill>
        <patternFill patternType="solid">
          <bgColor rgb="FFFF0000"/>
        </patternFill>
      </fill>
    </ndxf>
  </rcc>
  <rcc rId="5990" sId="1" odxf="1" dxf="1" numFmtId="4">
    <nc r="Q331">
      <v>0.05</v>
    </nc>
    <odxf>
      <fill>
        <patternFill patternType="none">
          <bgColor indexed="65"/>
        </patternFill>
      </fill>
    </odxf>
    <ndxf>
      <fill>
        <patternFill patternType="solid">
          <bgColor rgb="FFFF0000"/>
        </patternFill>
      </fill>
    </ndxf>
  </rcc>
  <rcc rId="5991" sId="1" odxf="1" dxf="1" numFmtId="4">
    <nc r="R331">
      <v>0.05</v>
    </nc>
    <odxf>
      <fill>
        <patternFill patternType="none">
          <bgColor indexed="65"/>
        </patternFill>
      </fill>
    </odxf>
    <ndxf>
      <fill>
        <patternFill patternType="solid">
          <bgColor rgb="FFFF0000"/>
        </patternFill>
      </fill>
    </ndxf>
  </rcc>
  <rcc rId="5992" sId="1" odxf="1" dxf="1" numFmtId="4">
    <nc r="Q332">
      <v>0.05</v>
    </nc>
    <odxf>
      <fill>
        <patternFill patternType="none">
          <bgColor indexed="65"/>
        </patternFill>
      </fill>
    </odxf>
    <ndxf>
      <fill>
        <patternFill patternType="solid">
          <bgColor rgb="FFFF0000"/>
        </patternFill>
      </fill>
    </ndxf>
  </rcc>
  <rcc rId="5993" sId="1" odxf="1" dxf="1" numFmtId="4">
    <nc r="R332">
      <v>0.05</v>
    </nc>
    <odxf>
      <fill>
        <patternFill patternType="none">
          <bgColor indexed="65"/>
        </patternFill>
      </fill>
    </odxf>
    <ndxf>
      <fill>
        <patternFill patternType="solid">
          <bgColor rgb="FFFF0000"/>
        </patternFill>
      </fill>
    </ndxf>
  </rcc>
  <rcc rId="5994" sId="1" odxf="1" dxf="1" numFmtId="4">
    <nc r="Q333">
      <v>0.05</v>
    </nc>
    <odxf>
      <fill>
        <patternFill patternType="none">
          <bgColor indexed="65"/>
        </patternFill>
      </fill>
    </odxf>
    <ndxf>
      <fill>
        <patternFill patternType="solid">
          <bgColor rgb="FFFF0000"/>
        </patternFill>
      </fill>
    </ndxf>
  </rcc>
  <rcc rId="5995" sId="1" odxf="1" dxf="1" numFmtId="4">
    <nc r="R333">
      <v>0.05</v>
    </nc>
    <odxf>
      <fill>
        <patternFill patternType="none">
          <bgColor indexed="65"/>
        </patternFill>
      </fill>
    </odxf>
    <ndxf>
      <fill>
        <patternFill patternType="solid">
          <bgColor rgb="FFFF0000"/>
        </patternFill>
      </fill>
    </ndxf>
  </rcc>
  <rcc rId="5996" sId="1" odxf="1" dxf="1" numFmtId="4">
    <nc r="Q334">
      <v>0.05</v>
    </nc>
    <odxf>
      <fill>
        <patternFill patternType="none">
          <bgColor indexed="65"/>
        </patternFill>
      </fill>
    </odxf>
    <ndxf>
      <fill>
        <patternFill patternType="solid">
          <bgColor rgb="FFFF0000"/>
        </patternFill>
      </fill>
    </ndxf>
  </rcc>
  <rcc rId="5997" sId="1" odxf="1" dxf="1" numFmtId="4">
    <nc r="R334">
      <v>0.05</v>
    </nc>
    <odxf>
      <fill>
        <patternFill patternType="none">
          <bgColor indexed="65"/>
        </patternFill>
      </fill>
    </odxf>
    <ndxf>
      <fill>
        <patternFill patternType="solid">
          <bgColor rgb="FFFF0000"/>
        </patternFill>
      </fill>
    </ndxf>
  </rcc>
  <rcc rId="5998" sId="1" odxf="1" dxf="1" numFmtId="4">
    <nc r="Q335">
      <v>0.05</v>
    </nc>
    <odxf>
      <fill>
        <patternFill patternType="none">
          <bgColor indexed="65"/>
        </patternFill>
      </fill>
    </odxf>
    <ndxf>
      <fill>
        <patternFill patternType="solid">
          <bgColor rgb="FFFF0000"/>
        </patternFill>
      </fill>
    </ndxf>
  </rcc>
  <rcc rId="5999" sId="1" odxf="1" dxf="1" numFmtId="4">
    <nc r="R335">
      <v>0.05</v>
    </nc>
    <odxf>
      <fill>
        <patternFill patternType="none">
          <bgColor indexed="65"/>
        </patternFill>
      </fill>
    </odxf>
    <ndxf>
      <fill>
        <patternFill patternType="solid">
          <bgColor rgb="FFFF0000"/>
        </patternFill>
      </fill>
    </ndxf>
  </rcc>
  <rcc rId="6000" sId="1" odxf="1" dxf="1" numFmtId="4">
    <nc r="Q336">
      <v>0.05</v>
    </nc>
    <odxf>
      <fill>
        <patternFill patternType="none">
          <bgColor indexed="65"/>
        </patternFill>
      </fill>
    </odxf>
    <ndxf>
      <fill>
        <patternFill patternType="solid">
          <bgColor rgb="FFFF0000"/>
        </patternFill>
      </fill>
    </ndxf>
  </rcc>
  <rcc rId="6001" sId="1" odxf="1" dxf="1" numFmtId="4">
    <nc r="R336">
      <v>0.05</v>
    </nc>
    <odxf>
      <fill>
        <patternFill patternType="none">
          <bgColor indexed="65"/>
        </patternFill>
      </fill>
    </odxf>
    <ndxf>
      <fill>
        <patternFill patternType="solid">
          <bgColor rgb="FFFF0000"/>
        </patternFill>
      </fill>
    </ndxf>
  </rcc>
  <rcc rId="6002" sId="1" odxf="1" dxf="1" numFmtId="4">
    <nc r="Q337">
      <v>0.05</v>
    </nc>
    <odxf>
      <fill>
        <patternFill patternType="none">
          <bgColor indexed="65"/>
        </patternFill>
      </fill>
    </odxf>
    <ndxf>
      <fill>
        <patternFill patternType="solid">
          <bgColor rgb="FFFF0000"/>
        </patternFill>
      </fill>
    </ndxf>
  </rcc>
  <rcc rId="6003" sId="1" odxf="1" dxf="1" numFmtId="4">
    <nc r="R337">
      <v>0.05</v>
    </nc>
    <odxf>
      <fill>
        <patternFill patternType="none">
          <bgColor indexed="65"/>
        </patternFill>
      </fill>
    </odxf>
    <ndxf>
      <fill>
        <patternFill patternType="solid">
          <bgColor rgb="FFFF0000"/>
        </patternFill>
      </fill>
    </ndxf>
  </rcc>
  <rfmt sheetId="1" sqref="Q338" start="0" length="0">
    <dxf>
      <fill>
        <patternFill patternType="solid">
          <bgColor rgb="FFFF0000"/>
        </patternFill>
      </fill>
    </dxf>
  </rfmt>
  <rfmt sheetId="1" sqref="R338" start="0" length="0">
    <dxf>
      <fill>
        <patternFill patternType="solid">
          <bgColor rgb="FFFF0000"/>
        </patternFill>
      </fill>
    </dxf>
  </rfmt>
  <rfmt sheetId="1" sqref="Q1:Q1048576" start="0" length="0">
    <dxf>
      <fill>
        <patternFill patternType="solid">
          <bgColor rgb="FFFF0000"/>
        </patternFill>
      </fill>
    </dxf>
  </rfmt>
  <rfmt sheetId="1" sqref="R1:R1048576" start="0" length="0">
    <dxf>
      <fill>
        <patternFill patternType="solid">
          <bgColor rgb="FFFF0000"/>
        </patternFill>
      </fill>
    </dxf>
  </rfmt>
  <rrc rId="6004" sId="1" ref="T1:U1048576" action="insertCol"/>
  <rm rId="6005" sheetId="1" source="Q1:R1048576" destination="T1:U1048576" sourceSheetId="1">
    <rfmt sheetId="1" xfDxf="1" sqref="T1:T1048576" start="0" length="0">
      <dxf>
        <numFmt numFmtId="2" formatCode="0.00"/>
        <alignment horizontal="left"/>
      </dxf>
    </rfmt>
    <rfmt sheetId="1" xfDxf="1" sqref="T1:T1048576" start="0" length="0">
      <dxf>
        <numFmt numFmtId="2" formatCode="0.00"/>
        <alignment horizontal="left"/>
      </dxf>
    </rfmt>
    <rfmt sheetId="1" sqref="T19" start="0" length="0">
      <dxf>
        <numFmt numFmtId="0" formatCode="General"/>
      </dxf>
    </rfmt>
    <rfmt sheetId="1" sqref="U19" start="0" length="0">
      <dxf>
        <numFmt numFmtId="0" formatCode="General"/>
      </dxf>
    </rfmt>
    <rfmt sheetId="1" sqref="T21" start="0" length="0">
      <dxf>
        <numFmt numFmtId="0" formatCode="General"/>
      </dxf>
    </rfmt>
    <rfmt sheetId="1" sqref="U21" start="0" length="0">
      <dxf>
        <numFmt numFmtId="0" formatCode="General"/>
      </dxf>
    </rfmt>
    <rfmt sheetId="1" sqref="T23" start="0" length="0">
      <dxf>
        <numFmt numFmtId="0" formatCode="General"/>
      </dxf>
    </rfmt>
    <rfmt sheetId="1" sqref="U23" start="0" length="0">
      <dxf>
        <numFmt numFmtId="0" formatCode="General"/>
      </dxf>
    </rfmt>
    <rfmt sheetId="1" sqref="T24" start="0" length="0">
      <dxf>
        <numFmt numFmtId="0" formatCode="General"/>
      </dxf>
    </rfmt>
    <rfmt sheetId="1" sqref="U24" start="0" length="0">
      <dxf>
        <numFmt numFmtId="0" formatCode="General"/>
      </dxf>
    </rfmt>
    <rfmt sheetId="1" sqref="T25" start="0" length="0">
      <dxf>
        <numFmt numFmtId="0" formatCode="General"/>
      </dxf>
    </rfmt>
    <rfmt sheetId="1" sqref="U25" start="0" length="0">
      <dxf>
        <numFmt numFmtId="0" formatCode="General"/>
      </dxf>
    </rfmt>
    <rfmt sheetId="1" sqref="T29" start="0" length="0">
      <dxf>
        <numFmt numFmtId="0" formatCode="General"/>
      </dxf>
    </rfmt>
    <rfmt sheetId="1" sqref="U29" start="0" length="0">
      <dxf>
        <numFmt numFmtId="0" formatCode="General"/>
      </dxf>
    </rfmt>
    <rfmt sheetId="1" sqref="T30" start="0" length="0">
      <dxf>
        <numFmt numFmtId="0" formatCode="General"/>
      </dxf>
    </rfmt>
    <rfmt sheetId="1" sqref="U30" start="0" length="0">
      <dxf>
        <numFmt numFmtId="0" formatCode="General"/>
      </dxf>
    </rfmt>
    <rfmt sheetId="1" sqref="T32" start="0" length="0">
      <dxf>
        <numFmt numFmtId="0" formatCode="General"/>
      </dxf>
    </rfmt>
    <rfmt sheetId="1" sqref="U32" start="0" length="0">
      <dxf>
        <numFmt numFmtId="0" formatCode="General"/>
      </dxf>
    </rfmt>
    <rfmt sheetId="1" sqref="T33" start="0" length="0">
      <dxf>
        <numFmt numFmtId="0" formatCode="General"/>
      </dxf>
    </rfmt>
    <rfmt sheetId="1" sqref="U33" start="0" length="0">
      <dxf>
        <numFmt numFmtId="0" formatCode="General"/>
      </dxf>
    </rfmt>
    <rfmt sheetId="1" sqref="T36" start="0" length="0">
      <dxf>
        <numFmt numFmtId="0" formatCode="General"/>
      </dxf>
    </rfmt>
    <rfmt sheetId="1" sqref="U36" start="0" length="0">
      <dxf>
        <numFmt numFmtId="0" formatCode="General"/>
      </dxf>
    </rfmt>
    <rfmt sheetId="1" sqref="T37" start="0" length="0">
      <dxf>
        <numFmt numFmtId="0" formatCode="General"/>
      </dxf>
    </rfmt>
    <rfmt sheetId="1" sqref="U37" start="0" length="0">
      <dxf>
        <numFmt numFmtId="0" formatCode="General"/>
      </dxf>
    </rfmt>
    <rfmt sheetId="1" sqref="T38" start="0" length="0">
      <dxf>
        <numFmt numFmtId="0" formatCode="General"/>
      </dxf>
    </rfmt>
    <rfmt sheetId="1" sqref="U38" start="0" length="0">
      <dxf>
        <numFmt numFmtId="0" formatCode="General"/>
      </dxf>
    </rfmt>
    <rfmt sheetId="1" sqref="T39" start="0" length="0">
      <dxf>
        <numFmt numFmtId="0" formatCode="General"/>
      </dxf>
    </rfmt>
    <rfmt sheetId="1" sqref="U39" start="0" length="0">
      <dxf>
        <numFmt numFmtId="0" formatCode="General"/>
      </dxf>
    </rfmt>
    <rfmt sheetId="1" sqref="T40" start="0" length="0">
      <dxf>
        <numFmt numFmtId="0" formatCode="General"/>
      </dxf>
    </rfmt>
    <rfmt sheetId="1" sqref="U40" start="0" length="0">
      <dxf>
        <numFmt numFmtId="0" formatCode="General"/>
      </dxf>
    </rfmt>
    <rfmt sheetId="1" sqref="T41" start="0" length="0">
      <dxf>
        <numFmt numFmtId="0" formatCode="General"/>
      </dxf>
    </rfmt>
    <rfmt sheetId="1" sqref="U41" start="0" length="0">
      <dxf>
        <numFmt numFmtId="0" formatCode="General"/>
      </dxf>
    </rfmt>
    <rfmt sheetId="1" sqref="T42" start="0" length="0">
      <dxf>
        <numFmt numFmtId="0" formatCode="General"/>
      </dxf>
    </rfmt>
    <rfmt sheetId="1" sqref="U42" start="0" length="0">
      <dxf>
        <numFmt numFmtId="0" formatCode="General"/>
      </dxf>
    </rfmt>
    <rfmt sheetId="1" sqref="T43" start="0" length="0">
      <dxf>
        <numFmt numFmtId="0" formatCode="General"/>
      </dxf>
    </rfmt>
    <rfmt sheetId="1" sqref="U43" start="0" length="0">
      <dxf>
        <numFmt numFmtId="0" formatCode="General"/>
      </dxf>
    </rfmt>
    <rfmt sheetId="1" sqref="T44" start="0" length="0">
      <dxf>
        <numFmt numFmtId="0" formatCode="General"/>
      </dxf>
    </rfmt>
    <rfmt sheetId="1" sqref="U44" start="0" length="0">
      <dxf>
        <numFmt numFmtId="0" formatCode="General"/>
      </dxf>
    </rfmt>
    <rfmt sheetId="1" sqref="T45" start="0" length="0">
      <dxf>
        <numFmt numFmtId="0" formatCode="General"/>
      </dxf>
    </rfmt>
    <rfmt sheetId="1" sqref="U45" start="0" length="0">
      <dxf>
        <numFmt numFmtId="0" formatCode="General"/>
      </dxf>
    </rfmt>
    <rfmt sheetId="1" sqref="T46" start="0" length="0">
      <dxf>
        <numFmt numFmtId="0" formatCode="General"/>
      </dxf>
    </rfmt>
    <rfmt sheetId="1" sqref="U46" start="0" length="0">
      <dxf>
        <numFmt numFmtId="0" formatCode="General"/>
      </dxf>
    </rfmt>
    <rfmt sheetId="1" sqref="T47" start="0" length="0">
      <dxf>
        <numFmt numFmtId="0" formatCode="General"/>
      </dxf>
    </rfmt>
    <rfmt sheetId="1" sqref="U47" start="0" length="0">
      <dxf>
        <numFmt numFmtId="0" formatCode="General"/>
      </dxf>
    </rfmt>
    <rfmt sheetId="1" sqref="T48" start="0" length="0">
      <dxf>
        <numFmt numFmtId="0" formatCode="General"/>
      </dxf>
    </rfmt>
    <rfmt sheetId="1" sqref="U48" start="0" length="0">
      <dxf>
        <numFmt numFmtId="0" formatCode="General"/>
      </dxf>
    </rfmt>
    <rfmt sheetId="1" sqref="T49" start="0" length="0">
      <dxf>
        <numFmt numFmtId="0" formatCode="General"/>
      </dxf>
    </rfmt>
    <rfmt sheetId="1" sqref="U49" start="0" length="0">
      <dxf>
        <numFmt numFmtId="0" formatCode="General"/>
      </dxf>
    </rfmt>
    <rfmt sheetId="1" sqref="T50" start="0" length="0">
      <dxf>
        <numFmt numFmtId="0" formatCode="General"/>
      </dxf>
    </rfmt>
    <rfmt sheetId="1" sqref="U50" start="0" length="0">
      <dxf>
        <numFmt numFmtId="0" formatCode="General"/>
      </dxf>
    </rfmt>
    <rfmt sheetId="1" sqref="T51" start="0" length="0">
      <dxf>
        <numFmt numFmtId="0" formatCode="General"/>
      </dxf>
    </rfmt>
    <rfmt sheetId="1" sqref="U51" start="0" length="0">
      <dxf>
        <numFmt numFmtId="0" formatCode="General"/>
      </dxf>
    </rfmt>
    <rfmt sheetId="1" sqref="T52" start="0" length="0">
      <dxf>
        <numFmt numFmtId="0" formatCode="General"/>
      </dxf>
    </rfmt>
    <rfmt sheetId="1" sqref="U52" start="0" length="0">
      <dxf>
        <numFmt numFmtId="0" formatCode="General"/>
      </dxf>
    </rfmt>
    <rfmt sheetId="1" sqref="T53" start="0" length="0">
      <dxf>
        <numFmt numFmtId="0" formatCode="General"/>
      </dxf>
    </rfmt>
    <rfmt sheetId="1" sqref="U53" start="0" length="0">
      <dxf>
        <numFmt numFmtId="0" formatCode="General"/>
      </dxf>
    </rfmt>
    <rfmt sheetId="1" sqref="T54" start="0" length="0">
      <dxf>
        <numFmt numFmtId="0" formatCode="General"/>
      </dxf>
    </rfmt>
    <rfmt sheetId="1" sqref="U54" start="0" length="0">
      <dxf>
        <numFmt numFmtId="0" formatCode="General"/>
      </dxf>
    </rfmt>
    <rfmt sheetId="1" sqref="T55" start="0" length="0">
      <dxf>
        <numFmt numFmtId="0" formatCode="General"/>
      </dxf>
    </rfmt>
    <rfmt sheetId="1" sqref="U55" start="0" length="0">
      <dxf>
        <numFmt numFmtId="0" formatCode="General"/>
      </dxf>
    </rfmt>
    <rfmt sheetId="1" sqref="T56" start="0" length="0">
      <dxf>
        <numFmt numFmtId="0" formatCode="General"/>
      </dxf>
    </rfmt>
    <rfmt sheetId="1" sqref="U56" start="0" length="0">
      <dxf>
        <numFmt numFmtId="0" formatCode="General"/>
      </dxf>
    </rfmt>
    <rfmt sheetId="1" sqref="T57" start="0" length="0">
      <dxf>
        <numFmt numFmtId="0" formatCode="General"/>
      </dxf>
    </rfmt>
    <rfmt sheetId="1" sqref="U57" start="0" length="0">
      <dxf>
        <numFmt numFmtId="0" formatCode="General"/>
      </dxf>
    </rfmt>
    <rfmt sheetId="1" sqref="T58" start="0" length="0">
      <dxf>
        <numFmt numFmtId="0" formatCode="General"/>
      </dxf>
    </rfmt>
    <rfmt sheetId="1" sqref="U58" start="0" length="0">
      <dxf>
        <numFmt numFmtId="0" formatCode="General"/>
      </dxf>
    </rfmt>
    <rfmt sheetId="1" sqref="T59" start="0" length="0">
      <dxf>
        <numFmt numFmtId="0" formatCode="General"/>
      </dxf>
    </rfmt>
    <rfmt sheetId="1" sqref="U59" start="0" length="0">
      <dxf>
        <numFmt numFmtId="0" formatCode="General"/>
      </dxf>
    </rfmt>
    <rfmt sheetId="1" sqref="T60" start="0" length="0">
      <dxf>
        <numFmt numFmtId="0" formatCode="General"/>
      </dxf>
    </rfmt>
    <rfmt sheetId="1" sqref="U60" start="0" length="0">
      <dxf>
        <numFmt numFmtId="0" formatCode="General"/>
      </dxf>
    </rfmt>
    <rfmt sheetId="1" sqref="T61" start="0" length="0">
      <dxf>
        <numFmt numFmtId="0" formatCode="General"/>
      </dxf>
    </rfmt>
    <rfmt sheetId="1" sqref="U61" start="0" length="0">
      <dxf>
        <numFmt numFmtId="0" formatCode="General"/>
      </dxf>
    </rfmt>
    <rfmt sheetId="1" sqref="T62" start="0" length="0">
      <dxf>
        <numFmt numFmtId="0" formatCode="General"/>
      </dxf>
    </rfmt>
    <rfmt sheetId="1" sqref="U62" start="0" length="0">
      <dxf>
        <numFmt numFmtId="0" formatCode="General"/>
      </dxf>
    </rfmt>
    <rfmt sheetId="1" sqref="T63" start="0" length="0">
      <dxf>
        <numFmt numFmtId="0" formatCode="General"/>
      </dxf>
    </rfmt>
    <rfmt sheetId="1" sqref="U63" start="0" length="0">
      <dxf>
        <numFmt numFmtId="0" formatCode="General"/>
      </dxf>
    </rfmt>
    <rfmt sheetId="1" sqref="T66" start="0" length="0">
      <dxf>
        <numFmt numFmtId="0" formatCode="General"/>
      </dxf>
    </rfmt>
    <rfmt sheetId="1" sqref="U66" start="0" length="0">
      <dxf>
        <numFmt numFmtId="0" formatCode="General"/>
      </dxf>
    </rfmt>
    <rfmt sheetId="1" sqref="T67" start="0" length="0">
      <dxf>
        <numFmt numFmtId="0" formatCode="General"/>
      </dxf>
    </rfmt>
    <rfmt sheetId="1" sqref="U67" start="0" length="0">
      <dxf>
        <numFmt numFmtId="0" formatCode="General"/>
      </dxf>
    </rfmt>
    <rfmt sheetId="1" sqref="T68" start="0" length="0">
      <dxf>
        <numFmt numFmtId="0" formatCode="General"/>
      </dxf>
    </rfmt>
    <rfmt sheetId="1" sqref="U68" start="0" length="0">
      <dxf>
        <numFmt numFmtId="0" formatCode="General"/>
      </dxf>
    </rfmt>
    <rfmt sheetId="1" sqref="T69" start="0" length="0">
      <dxf>
        <numFmt numFmtId="0" formatCode="General"/>
      </dxf>
    </rfmt>
    <rfmt sheetId="1" sqref="U69" start="0" length="0">
      <dxf>
        <numFmt numFmtId="0" formatCode="General"/>
      </dxf>
    </rfmt>
    <rfmt sheetId="1" sqref="T70" start="0" length="0">
      <dxf>
        <numFmt numFmtId="0" formatCode="General"/>
      </dxf>
    </rfmt>
    <rfmt sheetId="1" sqref="U70" start="0" length="0">
      <dxf>
        <numFmt numFmtId="0" formatCode="General"/>
      </dxf>
    </rfmt>
    <rfmt sheetId="1" sqref="T71" start="0" length="0">
      <dxf>
        <numFmt numFmtId="0" formatCode="General"/>
      </dxf>
    </rfmt>
    <rfmt sheetId="1" sqref="U71" start="0" length="0">
      <dxf>
        <numFmt numFmtId="0" formatCode="General"/>
      </dxf>
    </rfmt>
    <rfmt sheetId="1" sqref="T72" start="0" length="0">
      <dxf>
        <numFmt numFmtId="0" formatCode="General"/>
      </dxf>
    </rfmt>
    <rfmt sheetId="1" sqref="U72" start="0" length="0">
      <dxf>
        <numFmt numFmtId="0" formatCode="General"/>
      </dxf>
    </rfmt>
    <rfmt sheetId="1" sqref="T73" start="0" length="0">
      <dxf>
        <numFmt numFmtId="0" formatCode="General"/>
      </dxf>
    </rfmt>
    <rfmt sheetId="1" sqref="U73" start="0" length="0">
      <dxf>
        <numFmt numFmtId="0" formatCode="General"/>
      </dxf>
    </rfmt>
    <rfmt sheetId="1" sqref="T74" start="0" length="0">
      <dxf>
        <font>
          <sz val="12"/>
          <color rgb="FFFF0000"/>
          <name val="Calibri"/>
          <family val="2"/>
          <scheme val="minor"/>
        </font>
        <numFmt numFmtId="0" formatCode="General"/>
      </dxf>
    </rfmt>
    <rfmt sheetId="1" sqref="U74" start="0" length="0">
      <dxf>
        <font>
          <sz val="12"/>
          <color rgb="FFFF0000"/>
          <name val="Calibri"/>
          <family val="2"/>
          <scheme val="minor"/>
        </font>
        <numFmt numFmtId="0" formatCode="General"/>
      </dxf>
    </rfmt>
    <rfmt sheetId="1" sqref="T75" start="0" length="0">
      <dxf>
        <font>
          <sz val="12"/>
          <color rgb="FFFF0000"/>
          <name val="Calibri"/>
          <family val="2"/>
          <scheme val="minor"/>
        </font>
        <numFmt numFmtId="0" formatCode="General"/>
      </dxf>
    </rfmt>
    <rfmt sheetId="1" sqref="U75" start="0" length="0">
      <dxf>
        <font>
          <sz val="12"/>
          <color rgb="FFFF0000"/>
          <name val="Calibri"/>
          <family val="2"/>
          <scheme val="minor"/>
        </font>
        <numFmt numFmtId="0" formatCode="General"/>
      </dxf>
    </rfmt>
    <rfmt sheetId="1" sqref="T76" start="0" length="0">
      <dxf>
        <font>
          <sz val="12"/>
          <color rgb="FFFF0000"/>
          <name val="Calibri"/>
          <family val="2"/>
          <scheme val="minor"/>
        </font>
        <numFmt numFmtId="0" formatCode="General"/>
      </dxf>
    </rfmt>
    <rfmt sheetId="1" sqref="U76" start="0" length="0">
      <dxf>
        <font>
          <sz val="12"/>
          <color rgb="FFFF0000"/>
          <name val="Calibri"/>
          <family val="2"/>
          <scheme val="minor"/>
        </font>
        <numFmt numFmtId="0" formatCode="General"/>
      </dxf>
    </rfmt>
    <rfmt sheetId="1" sqref="T77" start="0" length="0">
      <dxf>
        <numFmt numFmtId="0" formatCode="General"/>
      </dxf>
    </rfmt>
    <rfmt sheetId="1" sqref="U77" start="0" length="0">
      <dxf>
        <numFmt numFmtId="0" formatCode="General"/>
      </dxf>
    </rfmt>
    <rfmt sheetId="1" sqref="T78" start="0" length="0">
      <dxf>
        <font>
          <sz val="12"/>
          <color rgb="FFFF0000"/>
          <name val="Calibri"/>
          <family val="2"/>
          <scheme val="minor"/>
        </font>
        <numFmt numFmtId="0" formatCode="General"/>
      </dxf>
    </rfmt>
    <rfmt sheetId="1" sqref="U78" start="0" length="0">
      <dxf>
        <font>
          <sz val="12"/>
          <color rgb="FFFF0000"/>
          <name val="Calibri"/>
          <family val="2"/>
          <scheme val="minor"/>
        </font>
        <numFmt numFmtId="0" formatCode="General"/>
      </dxf>
    </rfmt>
    <rfmt sheetId="1" sqref="T79" start="0" length="0">
      <dxf>
        <numFmt numFmtId="0" formatCode="General"/>
      </dxf>
    </rfmt>
    <rfmt sheetId="1" sqref="U79" start="0" length="0">
      <dxf>
        <numFmt numFmtId="0" formatCode="General"/>
      </dxf>
    </rfmt>
    <rfmt sheetId="1" sqref="T80" start="0" length="0">
      <dxf>
        <numFmt numFmtId="0" formatCode="General"/>
      </dxf>
    </rfmt>
    <rfmt sheetId="1" sqref="U80" start="0" length="0">
      <dxf>
        <numFmt numFmtId="0" formatCode="General"/>
      </dxf>
    </rfmt>
    <rfmt sheetId="1" sqref="T81" start="0" length="0">
      <dxf>
        <numFmt numFmtId="0" formatCode="General"/>
      </dxf>
    </rfmt>
    <rfmt sheetId="1" sqref="U81" start="0" length="0">
      <dxf>
        <numFmt numFmtId="0" formatCode="General"/>
      </dxf>
    </rfmt>
    <rfmt sheetId="1" sqref="T82" start="0" length="0">
      <dxf>
        <numFmt numFmtId="0" formatCode="General"/>
      </dxf>
    </rfmt>
    <rfmt sheetId="1" sqref="U82" start="0" length="0">
      <dxf>
        <numFmt numFmtId="0" formatCode="General"/>
      </dxf>
    </rfmt>
    <rfmt sheetId="1" sqref="T83" start="0" length="0">
      <dxf>
        <numFmt numFmtId="0" formatCode="General"/>
      </dxf>
    </rfmt>
    <rfmt sheetId="1" sqref="U83" start="0" length="0">
      <dxf>
        <numFmt numFmtId="0" formatCode="General"/>
      </dxf>
    </rfmt>
    <rfmt sheetId="1" sqref="T84" start="0" length="0">
      <dxf>
        <numFmt numFmtId="0" formatCode="General"/>
      </dxf>
    </rfmt>
    <rfmt sheetId="1" sqref="U84" start="0" length="0">
      <dxf>
        <numFmt numFmtId="0" formatCode="General"/>
      </dxf>
    </rfmt>
    <rfmt sheetId="1" sqref="T85" start="0" length="0">
      <dxf>
        <numFmt numFmtId="0" formatCode="General"/>
      </dxf>
    </rfmt>
    <rfmt sheetId="1" sqref="U85" start="0" length="0">
      <dxf>
        <numFmt numFmtId="0" formatCode="General"/>
      </dxf>
    </rfmt>
    <rfmt sheetId="1" sqref="T89" start="0" length="0">
      <dxf>
        <numFmt numFmtId="0" formatCode="General"/>
      </dxf>
    </rfmt>
    <rfmt sheetId="1" sqref="U89" start="0" length="0">
      <dxf>
        <numFmt numFmtId="0" formatCode="General"/>
      </dxf>
    </rfmt>
    <rfmt sheetId="1" sqref="T90" start="0" length="0">
      <dxf>
        <numFmt numFmtId="0" formatCode="General"/>
      </dxf>
    </rfmt>
    <rfmt sheetId="1" sqref="U90" start="0" length="0">
      <dxf>
        <numFmt numFmtId="0" formatCode="General"/>
      </dxf>
    </rfmt>
    <rfmt sheetId="1" sqref="T93" start="0" length="0">
      <dxf>
        <numFmt numFmtId="0" formatCode="General"/>
      </dxf>
    </rfmt>
    <rfmt sheetId="1" sqref="U93" start="0" length="0">
      <dxf>
        <numFmt numFmtId="0" formatCode="General"/>
      </dxf>
    </rfmt>
    <rfmt sheetId="1" sqref="T94" start="0" length="0">
      <dxf>
        <numFmt numFmtId="0" formatCode="General"/>
      </dxf>
    </rfmt>
    <rfmt sheetId="1" sqref="U94" start="0" length="0">
      <dxf>
        <numFmt numFmtId="0" formatCode="General"/>
      </dxf>
    </rfmt>
    <rfmt sheetId="1" sqref="T96" start="0" length="0">
      <dxf>
        <numFmt numFmtId="0" formatCode="General"/>
      </dxf>
    </rfmt>
    <rfmt sheetId="1" sqref="U96" start="0" length="0">
      <dxf>
        <numFmt numFmtId="0" formatCode="General"/>
      </dxf>
    </rfmt>
    <rfmt sheetId="1" sqref="T102" start="0" length="0">
      <dxf>
        <numFmt numFmtId="0" formatCode="General"/>
      </dxf>
    </rfmt>
    <rfmt sheetId="1" sqref="U102" start="0" length="0">
      <dxf>
        <numFmt numFmtId="0" formatCode="General"/>
      </dxf>
    </rfmt>
    <rfmt sheetId="1" sqref="T103" start="0" length="0">
      <dxf>
        <numFmt numFmtId="0" formatCode="General"/>
      </dxf>
    </rfmt>
    <rfmt sheetId="1" sqref="U103" start="0" length="0">
      <dxf>
        <numFmt numFmtId="0" formatCode="General"/>
      </dxf>
    </rfmt>
    <rfmt sheetId="1" sqref="T104" start="0" length="0">
      <dxf>
        <numFmt numFmtId="0" formatCode="General"/>
      </dxf>
    </rfmt>
    <rfmt sheetId="1" sqref="U104" start="0" length="0">
      <dxf>
        <numFmt numFmtId="0" formatCode="General"/>
      </dxf>
    </rfmt>
    <rfmt sheetId="1" sqref="T107" start="0" length="0">
      <dxf>
        <numFmt numFmtId="0" formatCode="General"/>
      </dxf>
    </rfmt>
    <rfmt sheetId="1" sqref="U107" start="0" length="0">
      <dxf>
        <numFmt numFmtId="0" formatCode="General"/>
      </dxf>
    </rfmt>
    <rfmt sheetId="1" sqref="T109" start="0" length="0">
      <dxf>
        <numFmt numFmtId="0" formatCode="General"/>
      </dxf>
    </rfmt>
    <rfmt sheetId="1" sqref="U109" start="0" length="0">
      <dxf>
        <numFmt numFmtId="0" formatCode="General"/>
      </dxf>
    </rfmt>
    <rfmt sheetId="1" sqref="T111" start="0" length="0">
      <dxf>
        <numFmt numFmtId="0" formatCode="General"/>
      </dxf>
    </rfmt>
    <rfmt sheetId="1" sqref="U111" start="0" length="0">
      <dxf>
        <numFmt numFmtId="0" formatCode="General"/>
      </dxf>
    </rfmt>
    <rfmt sheetId="1" sqref="T117" start="0" length="0">
      <dxf>
        <numFmt numFmtId="0" formatCode="General"/>
      </dxf>
    </rfmt>
    <rfmt sheetId="1" sqref="U117" start="0" length="0">
      <dxf>
        <numFmt numFmtId="0" formatCode="General"/>
      </dxf>
    </rfmt>
    <rfmt sheetId="1" sqref="T118" start="0" length="0">
      <dxf>
        <numFmt numFmtId="0" formatCode="General"/>
      </dxf>
    </rfmt>
    <rfmt sheetId="1" sqref="U118" start="0" length="0">
      <dxf>
        <numFmt numFmtId="0" formatCode="General"/>
      </dxf>
    </rfmt>
    <rfmt sheetId="1" sqref="T119" start="0" length="0">
      <dxf>
        <numFmt numFmtId="0" formatCode="General"/>
      </dxf>
    </rfmt>
    <rfmt sheetId="1" sqref="U119" start="0" length="0">
      <dxf>
        <numFmt numFmtId="0" formatCode="General"/>
      </dxf>
    </rfmt>
    <rfmt sheetId="1" sqref="T120" start="0" length="0">
      <dxf>
        <numFmt numFmtId="0" formatCode="General"/>
      </dxf>
    </rfmt>
    <rfmt sheetId="1" sqref="U120" start="0" length="0">
      <dxf>
        <numFmt numFmtId="0" formatCode="General"/>
      </dxf>
    </rfmt>
    <rfmt sheetId="1" sqref="T127" start="0" length="0">
      <dxf>
        <numFmt numFmtId="0" formatCode="General"/>
      </dxf>
    </rfmt>
    <rfmt sheetId="1" sqref="U127" start="0" length="0">
      <dxf>
        <numFmt numFmtId="0" formatCode="General"/>
      </dxf>
    </rfmt>
    <rfmt sheetId="1" sqref="T128" start="0" length="0">
      <dxf>
        <numFmt numFmtId="0" formatCode="General"/>
      </dxf>
    </rfmt>
    <rfmt sheetId="1" sqref="U128" start="0" length="0">
      <dxf>
        <numFmt numFmtId="0" formatCode="General"/>
      </dxf>
    </rfmt>
    <rfmt sheetId="1" sqref="T136" start="0" length="0">
      <dxf>
        <font>
          <sz val="12"/>
          <color rgb="FF000000"/>
          <name val="Calibri"/>
          <family val="2"/>
          <scheme val="minor"/>
        </font>
      </dxf>
    </rfmt>
    <rfmt sheetId="1" sqref="U136" start="0" length="0">
      <dxf>
        <font>
          <sz val="12"/>
          <color rgb="FF000000"/>
          <name val="Calibri"/>
          <family val="2"/>
          <scheme val="minor"/>
        </font>
      </dxf>
    </rfmt>
    <rfmt sheetId="1" sqref="T204" start="0" length="0">
      <dxf>
        <numFmt numFmtId="0" formatCode="General"/>
      </dxf>
    </rfmt>
    <rfmt sheetId="1" sqref="U204" start="0" length="0">
      <dxf>
        <numFmt numFmtId="0" formatCode="General"/>
      </dxf>
    </rfmt>
    <rfmt sheetId="1" sqref="T226" start="0" length="0">
      <dxf>
        <numFmt numFmtId="26" formatCode="hh:mm:ss"/>
      </dxf>
    </rfmt>
    <rfmt sheetId="1" sqref="U226" start="0" length="0">
      <dxf>
        <numFmt numFmtId="26" formatCode="hh:mm:ss"/>
      </dxf>
    </rfmt>
  </rm>
  <rrc rId="6006" sId="1" ref="Q1:Q1048576" action="deleteCol">
    <rfmt sheetId="1" xfDxf="1" sqref="Q1:Q1048576" start="0" length="0"/>
    <rfmt sheetId="1" sqref="Q28" start="0" length="0">
      <dxf>
        <font>
          <sz val="12"/>
          <color rgb="FFFF0000"/>
          <name val="Calibri"/>
          <family val="2"/>
          <scheme val="minor"/>
        </font>
        <alignment horizontal="left" vertical="top"/>
      </dxf>
    </rfmt>
    <rfmt sheetId="1" sqref="Q43" start="0" length="0">
      <dxf>
        <font>
          <sz val="12"/>
          <color rgb="FFFF0000"/>
          <name val="Calibri"/>
          <family val="2"/>
          <scheme val="minor"/>
        </font>
        <alignment horizontal="left" vertical="top"/>
      </dxf>
    </rfmt>
  </rrc>
  <rrc rId="6007" sId="1" ref="Q1:Q1048576" action="deleteCol">
    <rfmt sheetId="1" xfDxf="1" sqref="Q1:Q1048576" start="0" length="0"/>
    <rfmt sheetId="1" sqref="Q28" start="0" length="0">
      <dxf>
        <font>
          <sz val="12"/>
          <color rgb="FFFF0000"/>
          <name val="Calibri"/>
          <family val="2"/>
          <scheme val="minor"/>
        </font>
        <alignment horizontal="left" vertical="top"/>
      </dxf>
    </rfmt>
    <rfmt sheetId="1" sqref="Q43" start="0" length="0">
      <dxf>
        <font>
          <sz val="12"/>
          <color rgb="FFFF0000"/>
          <name val="Calibri"/>
          <family val="2"/>
          <scheme val="minor"/>
        </font>
        <alignment horizontal="left" vertical="top"/>
      </dxf>
    </rfmt>
  </rrc>
  <rcc rId="6008" sId="1">
    <oc r="Q21">
      <v>57.59</v>
    </oc>
    <nc r="Q21">
      <v>38.39</v>
    </nc>
  </rcc>
  <rcc rId="6009" sId="1">
    <oc r="Q25">
      <v>57.59</v>
    </oc>
    <nc r="Q25">
      <v>38.39</v>
    </nc>
  </rcc>
  <rcc rId="6010" sId="1">
    <oc r="Q29">
      <v>57.59</v>
    </oc>
    <nc r="Q29">
      <v>38.39</v>
    </nc>
  </rcc>
  <rcc rId="6011" sId="1">
    <oc r="Q38">
      <v>57.59</v>
    </oc>
    <nc r="Q38">
      <v>38.39</v>
    </nc>
  </rcc>
  <rcc rId="6012" sId="1">
    <oc r="Q69">
      <v>57.59</v>
    </oc>
    <nc r="Q69">
      <v>38.39</v>
    </nc>
  </rcc>
  <rcc rId="6013" sId="1">
    <oc r="Q71">
      <v>57.59</v>
    </oc>
    <nc r="Q71">
      <v>38.39</v>
    </nc>
  </rcc>
  <rcc rId="6014" sId="1">
    <oc r="Q72">
      <v>57.59</v>
    </oc>
    <nc r="Q72">
      <v>38.39</v>
    </nc>
  </rcc>
  <rcc rId="6015" sId="1">
    <oc r="Q79">
      <v>57.59</v>
    </oc>
    <nc r="Q79">
      <v>38.39</v>
    </nc>
  </rcc>
  <rcc rId="6016" sId="1">
    <oc r="Q83">
      <v>57.59</v>
    </oc>
    <nc r="Q83">
      <v>38.39</v>
    </nc>
  </rcc>
  <rcc rId="6017" sId="1" odxf="1" dxf="1">
    <oc r="Q88">
      <v>57.59</v>
    </oc>
    <nc r="Q88">
      <v>38.39</v>
    </nc>
    <odxf>
      <numFmt numFmtId="2" formatCode="0.00"/>
    </odxf>
    <ndxf>
      <numFmt numFmtId="0" formatCode="General"/>
    </ndxf>
  </rcc>
  <rcc rId="6018" sId="1" odxf="1" dxf="1">
    <oc r="Q92">
      <v>57.59</v>
    </oc>
    <nc r="Q92">
      <v>38.39</v>
    </nc>
    <odxf>
      <numFmt numFmtId="2" formatCode="0.00"/>
    </odxf>
    <ndxf>
      <numFmt numFmtId="0" formatCode="General"/>
    </ndxf>
  </rcc>
  <rcc rId="6019" sId="1" odxf="1" dxf="1">
    <oc r="Q97">
      <v>57.59</v>
    </oc>
    <nc r="Q97">
      <v>38.39</v>
    </nc>
    <odxf>
      <numFmt numFmtId="2" formatCode="0.00"/>
    </odxf>
    <ndxf>
      <numFmt numFmtId="0" formatCode="General"/>
    </ndxf>
  </rcc>
  <rcc rId="6020" sId="1" odxf="1" dxf="1">
    <oc r="Q113">
      <v>57.59</v>
    </oc>
    <nc r="Q113">
      <v>38.39</v>
    </nc>
    <odxf>
      <numFmt numFmtId="2" formatCode="0.00"/>
    </odxf>
    <ndxf>
      <numFmt numFmtId="0" formatCode="General"/>
    </ndxf>
  </rcc>
  <rcc rId="6021" sId="1" odxf="1" dxf="1">
    <oc r="Q114">
      <v>57.59</v>
    </oc>
    <nc r="Q114">
      <v>38.39</v>
    </nc>
    <odxf>
      <numFmt numFmtId="2" formatCode="0.00"/>
    </odxf>
    <ndxf>
      <numFmt numFmtId="0" formatCode="General"/>
    </ndxf>
  </rcc>
  <rcc rId="6022" sId="1" odxf="1" dxf="1">
    <oc r="Q115">
      <v>57.59</v>
    </oc>
    <nc r="Q115">
      <v>38.39</v>
    </nc>
    <odxf>
      <numFmt numFmtId="2" formatCode="0.00"/>
    </odxf>
    <ndxf>
      <numFmt numFmtId="0" formatCode="General"/>
    </ndxf>
  </rcc>
  <rcc rId="6023" sId="1" odxf="1" dxf="1">
    <oc r="Q116">
      <v>57.59</v>
    </oc>
    <nc r="Q116">
      <v>38.39</v>
    </nc>
    <odxf>
      <numFmt numFmtId="2" formatCode="0.00"/>
    </odxf>
    <ndxf>
      <numFmt numFmtId="0" formatCode="General"/>
    </ndxf>
  </rcc>
  <rcc rId="6024" sId="1" odxf="1" dxf="1">
    <oc r="Q121">
      <v>57.59</v>
    </oc>
    <nc r="Q121">
      <v>38.39</v>
    </nc>
    <odxf>
      <numFmt numFmtId="2" formatCode="0.00"/>
    </odxf>
    <ndxf>
      <numFmt numFmtId="0" formatCode="General"/>
    </ndxf>
  </rcc>
  <rcc rId="6025" sId="1">
    <oc r="Q127">
      <v>57.59</v>
    </oc>
    <nc r="Q127">
      <v>38.39</v>
    </nc>
  </rcc>
  <rcc rId="6026" sId="1">
    <oc r="Q128">
      <v>57.59</v>
    </oc>
    <nc r="Q128">
      <v>38.39</v>
    </nc>
  </rcc>
  <rcc rId="6027" sId="1" odxf="1" dxf="1">
    <oc r="Q279">
      <v>57.59</v>
    </oc>
    <nc r="Q279">
      <v>38.39</v>
    </nc>
    <odxf>
      <numFmt numFmtId="2" formatCode="0.00"/>
    </odxf>
    <ndxf>
      <numFmt numFmtId="0" formatCode="General"/>
    </ndxf>
  </rcc>
  <rcc rId="6028" sId="1" odxf="1" dxf="1">
    <oc r="Q280">
      <v>57.59</v>
    </oc>
    <nc r="Q280">
      <v>38.39</v>
    </nc>
    <odxf>
      <numFmt numFmtId="2" formatCode="0.00"/>
    </odxf>
    <ndxf>
      <numFmt numFmtId="0" formatCode="General"/>
    </ndxf>
  </rcc>
  <rcc rId="6029" sId="1" odxf="1" dxf="1">
    <oc r="Q281">
      <v>57.59</v>
    </oc>
    <nc r="Q281">
      <v>38.39</v>
    </nc>
    <odxf>
      <numFmt numFmtId="2" formatCode="0.00"/>
    </odxf>
    <ndxf>
      <numFmt numFmtId="0" formatCode="General"/>
    </ndxf>
  </rcc>
  <rcc rId="6030" sId="1" odxf="1" dxf="1">
    <oc r="Q282">
      <v>57.59</v>
    </oc>
    <nc r="Q282">
      <v>38.39</v>
    </nc>
    <odxf>
      <numFmt numFmtId="2" formatCode="0.00"/>
    </odxf>
    <ndxf>
      <numFmt numFmtId="0" formatCode="General"/>
    </ndxf>
  </rcc>
  <rcc rId="6031" sId="1" odxf="1" dxf="1">
    <oc r="Q283">
      <v>57.59</v>
    </oc>
    <nc r="Q283">
      <v>38.39</v>
    </nc>
    <odxf>
      <numFmt numFmtId="2" formatCode="0.00"/>
    </odxf>
    <ndxf>
      <numFmt numFmtId="0" formatCode="General"/>
    </ndxf>
  </rcc>
  <rcc rId="6032" sId="1" odxf="1" dxf="1">
    <oc r="Q284">
      <v>57.59</v>
    </oc>
    <nc r="Q284">
      <v>38.39</v>
    </nc>
    <odxf>
      <numFmt numFmtId="2" formatCode="0.00"/>
    </odxf>
    <ndxf>
      <numFmt numFmtId="0" formatCode="General"/>
    </ndxf>
  </rcc>
  <rcc rId="6033" sId="1" odxf="1" dxf="1">
    <oc r="Q285">
      <v>57.59</v>
    </oc>
    <nc r="Q285">
      <v>38.39</v>
    </nc>
    <odxf>
      <numFmt numFmtId="2" formatCode="0.00"/>
    </odxf>
    <ndxf>
      <numFmt numFmtId="0" formatCode="General"/>
    </ndxf>
  </rcc>
  <rcc rId="6034" sId="1" odxf="1" dxf="1">
    <oc r="Q286">
      <v>57.59</v>
    </oc>
    <nc r="Q286">
      <v>38.39</v>
    </nc>
    <odxf>
      <numFmt numFmtId="2" formatCode="0.00"/>
    </odxf>
    <ndxf>
      <numFmt numFmtId="0" formatCode="General"/>
    </ndxf>
  </rcc>
  <rcc rId="6035" sId="1" odxf="1" dxf="1">
    <oc r="Q287">
      <v>57.59</v>
    </oc>
    <nc r="Q287">
      <v>38.39</v>
    </nc>
    <odxf>
      <numFmt numFmtId="2" formatCode="0.00"/>
    </odxf>
    <ndxf>
      <numFmt numFmtId="0" formatCode="General"/>
    </ndxf>
  </rcc>
  <rcc rId="6036" sId="1" odxf="1" dxf="1">
    <oc r="Q288">
      <v>57.59</v>
    </oc>
    <nc r="Q288">
      <v>38.39</v>
    </nc>
    <odxf>
      <numFmt numFmtId="2" formatCode="0.00"/>
    </odxf>
    <ndxf>
      <numFmt numFmtId="0" formatCode="General"/>
    </ndxf>
  </rcc>
  <rcc rId="6037" sId="1" odxf="1" dxf="1">
    <oc r="Q289">
      <v>57.59</v>
    </oc>
    <nc r="Q289">
      <v>38.39</v>
    </nc>
    <odxf>
      <numFmt numFmtId="2" formatCode="0.00"/>
    </odxf>
    <ndxf>
      <numFmt numFmtId="0" formatCode="General"/>
    </ndxf>
  </rcc>
  <rcc rId="6038" sId="1" odxf="1" dxf="1">
    <oc r="Q290">
      <v>57.59</v>
    </oc>
    <nc r="Q290">
      <v>38.39</v>
    </nc>
    <odxf>
      <numFmt numFmtId="2" formatCode="0.00"/>
    </odxf>
    <ndxf>
      <numFmt numFmtId="0" formatCode="General"/>
    </ndxf>
  </rcc>
  <rcc rId="6039" sId="1" odxf="1" dxf="1">
    <oc r="Q291">
      <v>57.59</v>
    </oc>
    <nc r="Q291">
      <v>38.39</v>
    </nc>
    <odxf>
      <numFmt numFmtId="2" formatCode="0.00"/>
    </odxf>
    <ndxf>
      <numFmt numFmtId="0" formatCode="General"/>
    </ndxf>
  </rcc>
  <rcc rId="6040" sId="1" odxf="1" dxf="1">
    <oc r="Q292">
      <v>57.59</v>
    </oc>
    <nc r="Q292">
      <v>38.39</v>
    </nc>
    <odxf>
      <numFmt numFmtId="2" formatCode="0.00"/>
    </odxf>
    <ndxf>
      <numFmt numFmtId="0" formatCode="General"/>
    </ndxf>
  </rcc>
  <rcc rId="6041" sId="1" odxf="1" dxf="1">
    <oc r="Q293">
      <v>57.59</v>
    </oc>
    <nc r="Q293">
      <v>38.39</v>
    </nc>
    <odxf>
      <numFmt numFmtId="2" formatCode="0.00"/>
    </odxf>
    <ndxf>
      <numFmt numFmtId="0" formatCode="General"/>
    </ndxf>
  </rcc>
  <rcc rId="6042" sId="1" odxf="1" dxf="1">
    <oc r="Q294">
      <v>57.59</v>
    </oc>
    <nc r="Q294">
      <v>38.39</v>
    </nc>
    <odxf>
      <numFmt numFmtId="2" formatCode="0.00"/>
    </odxf>
    <ndxf>
      <numFmt numFmtId="0" formatCode="General"/>
    </ndxf>
  </rcc>
  <rcc rId="6043" sId="1" odxf="1" dxf="1">
    <oc r="Q295">
      <v>57.59</v>
    </oc>
    <nc r="Q295">
      <v>38.39</v>
    </nc>
    <odxf>
      <numFmt numFmtId="2" formatCode="0.00"/>
    </odxf>
    <ndxf>
      <numFmt numFmtId="0" formatCode="General"/>
    </ndxf>
  </rcc>
  <rcc rId="6044" sId="1" odxf="1" dxf="1">
    <oc r="Q296">
      <v>57.59</v>
    </oc>
    <nc r="Q296">
      <v>38.39</v>
    </nc>
    <odxf>
      <numFmt numFmtId="2" formatCode="0.00"/>
    </odxf>
    <ndxf>
      <numFmt numFmtId="0" formatCode="General"/>
    </ndxf>
  </rcc>
  <rcc rId="6045" sId="1" odxf="1" dxf="1">
    <oc r="Q297">
      <v>57.59</v>
    </oc>
    <nc r="Q297">
      <v>38.39</v>
    </nc>
    <odxf>
      <numFmt numFmtId="2" formatCode="0.00"/>
    </odxf>
    <ndxf>
      <numFmt numFmtId="0" formatCode="General"/>
    </ndxf>
  </rcc>
  <rcc rId="6046" sId="1" odxf="1" dxf="1">
    <oc r="Q298">
      <v>57.59</v>
    </oc>
    <nc r="Q298">
      <v>38.39</v>
    </nc>
    <odxf>
      <numFmt numFmtId="2" formatCode="0.00"/>
    </odxf>
    <ndxf>
      <numFmt numFmtId="0" formatCode="General"/>
    </ndxf>
  </rcc>
  <rcc rId="6047" sId="1" odxf="1" dxf="1">
    <oc r="Q299">
      <v>57.59</v>
    </oc>
    <nc r="Q299">
      <v>38.39</v>
    </nc>
    <odxf>
      <numFmt numFmtId="2" formatCode="0.00"/>
    </odxf>
    <ndxf>
      <numFmt numFmtId="0" formatCode="General"/>
    </ndxf>
  </rcc>
  <rcc rId="6048" sId="1" odxf="1" dxf="1">
    <oc r="Q300">
      <v>57.59</v>
    </oc>
    <nc r="Q300">
      <v>38.39</v>
    </nc>
    <odxf>
      <numFmt numFmtId="2" formatCode="0.00"/>
    </odxf>
    <ndxf>
      <numFmt numFmtId="0" formatCode="General"/>
    </ndxf>
  </rcc>
  <rcc rId="6049" sId="1" odxf="1" dxf="1">
    <oc r="Q301">
      <v>57.59</v>
    </oc>
    <nc r="Q301">
      <v>38.39</v>
    </nc>
    <odxf>
      <numFmt numFmtId="2" formatCode="0.00"/>
    </odxf>
    <ndxf>
      <numFmt numFmtId="0" formatCode="General"/>
    </ndxf>
  </rcc>
  <rcc rId="6050" sId="1" odxf="1" dxf="1">
    <oc r="Q302">
      <v>57.59</v>
    </oc>
    <nc r="Q302">
      <v>38.39</v>
    </nc>
    <odxf>
      <numFmt numFmtId="2" formatCode="0.00"/>
    </odxf>
    <ndxf>
      <numFmt numFmtId="0" formatCode="General"/>
    </ndxf>
  </rcc>
  <rcc rId="6051" sId="1" odxf="1" dxf="1">
    <oc r="Q303">
      <v>57.59</v>
    </oc>
    <nc r="Q303">
      <v>38.39</v>
    </nc>
    <odxf>
      <numFmt numFmtId="2" formatCode="0.00"/>
    </odxf>
    <ndxf>
      <numFmt numFmtId="0" formatCode="General"/>
    </ndxf>
  </rcc>
  <rcc rId="6052" sId="1" odxf="1" dxf="1">
    <oc r="Q304">
      <v>57.59</v>
    </oc>
    <nc r="Q304">
      <v>38.39</v>
    </nc>
    <odxf>
      <numFmt numFmtId="2" formatCode="0.00"/>
    </odxf>
    <ndxf>
      <numFmt numFmtId="0" formatCode="General"/>
    </ndxf>
  </rcc>
  <rcc rId="6053" sId="1" odxf="1" dxf="1">
    <oc r="Q305">
      <v>57.59</v>
    </oc>
    <nc r="Q305">
      <v>38.39</v>
    </nc>
    <odxf>
      <numFmt numFmtId="2" formatCode="0.00"/>
    </odxf>
    <ndxf>
      <numFmt numFmtId="0" formatCode="General"/>
    </ndxf>
  </rcc>
  <rcc rId="6054" sId="1" odxf="1" dxf="1">
    <oc r="Q306">
      <v>57.59</v>
    </oc>
    <nc r="Q306">
      <v>38.39</v>
    </nc>
    <odxf>
      <numFmt numFmtId="2" formatCode="0.00"/>
    </odxf>
    <ndxf>
      <numFmt numFmtId="0" formatCode="General"/>
    </ndxf>
  </rcc>
  <rcc rId="6055" sId="1" odxf="1" dxf="1">
    <oc r="Q307">
      <v>57.59</v>
    </oc>
    <nc r="Q307">
      <v>38.39</v>
    </nc>
    <odxf>
      <numFmt numFmtId="2" formatCode="0.00"/>
    </odxf>
    <ndxf>
      <numFmt numFmtId="0" formatCode="General"/>
    </ndxf>
  </rcc>
  <rcc rId="6056" sId="1" xfDxf="1" dxf="1">
    <oc r="P72">
      <v>57.59</v>
    </oc>
    <nc r="P72">
      <v>38.39</v>
    </nc>
    <ndxf>
      <alignment horizontal="left"/>
    </ndxf>
  </rcc>
  <rcc rId="6057" sId="1" odxf="1" dxf="1">
    <oc r="P115">
      <v>57.59</v>
    </oc>
    <nc r="P115">
      <v>38.39</v>
    </nc>
    <odxf>
      <numFmt numFmtId="2" formatCode="0.00"/>
    </odxf>
    <ndxf>
      <numFmt numFmtId="0" formatCode="General"/>
    </ndxf>
  </rcc>
  <rcc rId="6058" sId="1" odxf="1" dxf="1">
    <oc r="P116">
      <v>57.59</v>
    </oc>
    <nc r="P116">
      <v>38.39</v>
    </nc>
    <odxf>
      <numFmt numFmtId="2" formatCode="0.00"/>
    </odxf>
    <ndxf>
      <numFmt numFmtId="0" formatCode="General"/>
    </ndxf>
  </rcc>
  <rcc rId="6059" sId="1" odxf="1" dxf="1">
    <oc r="P121">
      <v>57.59</v>
    </oc>
    <nc r="P121">
      <v>38.39</v>
    </nc>
    <odxf>
      <numFmt numFmtId="2" formatCode="0.00"/>
    </odxf>
    <ndxf>
      <numFmt numFmtId="0" formatCode="General"/>
    </ndxf>
  </rcc>
  <rcc rId="6060" sId="1">
    <oc r="P127">
      <v>57.59</v>
    </oc>
    <nc r="P127">
      <v>38.39</v>
    </nc>
  </rcc>
  <rcc rId="6061" sId="1">
    <oc r="P128">
      <v>57.59</v>
    </oc>
    <nc r="P128">
      <v>38.39</v>
    </nc>
  </rcc>
  <rcc rId="6062" sId="1" odxf="1" dxf="1">
    <oc r="P280">
      <v>57.59</v>
    </oc>
    <nc r="P280">
      <v>38.39</v>
    </nc>
    <odxf>
      <numFmt numFmtId="2" formatCode="0.00"/>
    </odxf>
    <ndxf>
      <numFmt numFmtId="0" formatCode="General"/>
    </ndxf>
  </rcc>
  <rcc rId="6063" sId="1" odxf="1" dxf="1">
    <oc r="P281">
      <v>57.59</v>
    </oc>
    <nc r="P281">
      <v>38.39</v>
    </nc>
    <odxf>
      <numFmt numFmtId="2" formatCode="0.00"/>
    </odxf>
    <ndxf>
      <numFmt numFmtId="0" formatCode="General"/>
    </ndxf>
  </rcc>
  <rcc rId="6064" sId="1" odxf="1" dxf="1">
    <oc r="P282">
      <v>57.59</v>
    </oc>
    <nc r="P282">
      <v>38.39</v>
    </nc>
    <odxf>
      <numFmt numFmtId="2" formatCode="0.00"/>
    </odxf>
    <ndxf>
      <numFmt numFmtId="0" formatCode="General"/>
    </ndxf>
  </rcc>
  <rcc rId="6065" sId="1" odxf="1" dxf="1">
    <oc r="P283">
      <v>57.59</v>
    </oc>
    <nc r="P283">
      <v>38.39</v>
    </nc>
    <odxf>
      <numFmt numFmtId="2" formatCode="0.00"/>
    </odxf>
    <ndxf>
      <numFmt numFmtId="0" formatCode="General"/>
    </ndxf>
  </rcc>
  <rcc rId="6066" sId="1" odxf="1" dxf="1">
    <oc r="P284">
      <v>57.59</v>
    </oc>
    <nc r="P284">
      <v>38.39</v>
    </nc>
    <odxf>
      <numFmt numFmtId="2" formatCode="0.00"/>
    </odxf>
    <ndxf>
      <numFmt numFmtId="0" formatCode="General"/>
    </ndxf>
  </rcc>
  <rcc rId="6067" sId="1" odxf="1" dxf="1">
    <oc r="P285">
      <v>57.59</v>
    </oc>
    <nc r="P285">
      <v>38.39</v>
    </nc>
    <odxf>
      <numFmt numFmtId="2" formatCode="0.00"/>
    </odxf>
    <ndxf>
      <numFmt numFmtId="0" formatCode="General"/>
    </ndxf>
  </rcc>
  <rcc rId="6068" sId="1" odxf="1" dxf="1">
    <oc r="P286">
      <v>57.59</v>
    </oc>
    <nc r="P286">
      <v>38.39</v>
    </nc>
    <odxf>
      <numFmt numFmtId="2" formatCode="0.00"/>
    </odxf>
    <ndxf>
      <numFmt numFmtId="0" formatCode="General"/>
    </ndxf>
  </rcc>
  <rcc rId="6069" sId="1" odxf="1" dxf="1">
    <oc r="P287">
      <v>57.59</v>
    </oc>
    <nc r="P287">
      <v>38.39</v>
    </nc>
    <odxf>
      <numFmt numFmtId="2" formatCode="0.00"/>
    </odxf>
    <ndxf>
      <numFmt numFmtId="0" formatCode="General"/>
    </ndxf>
  </rcc>
  <rcc rId="6070" sId="1" odxf="1" dxf="1">
    <oc r="P288">
      <v>57.59</v>
    </oc>
    <nc r="P288">
      <v>38.39</v>
    </nc>
    <odxf>
      <numFmt numFmtId="2" formatCode="0.00"/>
    </odxf>
    <ndxf>
      <numFmt numFmtId="0" formatCode="General"/>
    </ndxf>
  </rcc>
  <rcc rId="6071" sId="1" odxf="1" dxf="1">
    <oc r="P289">
      <v>57.59</v>
    </oc>
    <nc r="P289">
      <v>38.39</v>
    </nc>
    <odxf>
      <numFmt numFmtId="2" formatCode="0.00"/>
    </odxf>
    <ndxf>
      <numFmt numFmtId="0" formatCode="General"/>
    </ndxf>
  </rcc>
  <rcc rId="6072" sId="1" odxf="1" dxf="1">
    <oc r="P290">
      <v>57.59</v>
    </oc>
    <nc r="P290">
      <v>38.39</v>
    </nc>
    <odxf>
      <numFmt numFmtId="2" formatCode="0.00"/>
    </odxf>
    <ndxf>
      <numFmt numFmtId="0" formatCode="General"/>
    </ndxf>
  </rcc>
  <rcc rId="6073" sId="1" odxf="1" dxf="1">
    <oc r="P291">
      <v>57.59</v>
    </oc>
    <nc r="P291">
      <v>38.39</v>
    </nc>
    <odxf>
      <numFmt numFmtId="2" formatCode="0.00"/>
    </odxf>
    <ndxf>
      <numFmt numFmtId="0" formatCode="General"/>
    </ndxf>
  </rcc>
  <rcc rId="6074" sId="1" odxf="1" dxf="1">
    <oc r="P292">
      <v>57.59</v>
    </oc>
    <nc r="P292">
      <v>38.39</v>
    </nc>
    <odxf>
      <numFmt numFmtId="2" formatCode="0.00"/>
    </odxf>
    <ndxf>
      <numFmt numFmtId="0" formatCode="General"/>
    </ndxf>
  </rcc>
  <rcc rId="6075" sId="1" odxf="1" dxf="1">
    <oc r="P293">
      <v>57.59</v>
    </oc>
    <nc r="P293">
      <v>38.39</v>
    </nc>
    <odxf>
      <numFmt numFmtId="2" formatCode="0.00"/>
    </odxf>
    <ndxf>
      <numFmt numFmtId="0" formatCode="General"/>
    </ndxf>
  </rcc>
  <rcc rId="6076" sId="1" odxf="1" dxf="1">
    <oc r="P294">
      <v>57.59</v>
    </oc>
    <nc r="P294">
      <v>38.39</v>
    </nc>
    <odxf>
      <numFmt numFmtId="2" formatCode="0.00"/>
    </odxf>
    <ndxf>
      <numFmt numFmtId="0" formatCode="General"/>
    </ndxf>
  </rcc>
  <rcc rId="6077" sId="1" odxf="1" dxf="1">
    <oc r="P295">
      <v>57.59</v>
    </oc>
    <nc r="P295">
      <v>38.39</v>
    </nc>
    <odxf>
      <numFmt numFmtId="2" formatCode="0.00"/>
    </odxf>
    <ndxf>
      <numFmt numFmtId="0" formatCode="General"/>
    </ndxf>
  </rcc>
  <rcc rId="6078" sId="1" odxf="1" dxf="1">
    <oc r="P296">
      <v>57.59</v>
    </oc>
    <nc r="P296">
      <v>38.39</v>
    </nc>
    <odxf>
      <numFmt numFmtId="2" formatCode="0.00"/>
    </odxf>
    <ndxf>
      <numFmt numFmtId="0" formatCode="General"/>
    </ndxf>
  </rcc>
  <rcc rId="6079" sId="1" odxf="1" dxf="1">
    <oc r="P297">
      <v>57.59</v>
    </oc>
    <nc r="P297">
      <v>38.39</v>
    </nc>
    <odxf>
      <numFmt numFmtId="2" formatCode="0.00"/>
    </odxf>
    <ndxf>
      <numFmt numFmtId="0" formatCode="General"/>
    </ndxf>
  </rcc>
  <rcc rId="6080" sId="1" odxf="1" dxf="1">
    <oc r="P298">
      <v>57.59</v>
    </oc>
    <nc r="P298">
      <v>38.39</v>
    </nc>
    <odxf>
      <numFmt numFmtId="2" formatCode="0.00"/>
    </odxf>
    <ndxf>
      <numFmt numFmtId="0" formatCode="General"/>
    </ndxf>
  </rcc>
  <rcc rId="6081" sId="1" odxf="1" dxf="1">
    <oc r="P299">
      <v>57.59</v>
    </oc>
    <nc r="P299">
      <v>38.39</v>
    </nc>
    <odxf>
      <numFmt numFmtId="2" formatCode="0.00"/>
    </odxf>
    <ndxf>
      <numFmt numFmtId="0" formatCode="General"/>
    </ndxf>
  </rcc>
  <rcc rId="6082" sId="1" odxf="1" dxf="1">
    <oc r="P300">
      <v>57.59</v>
    </oc>
    <nc r="P300">
      <v>38.39</v>
    </nc>
    <odxf>
      <numFmt numFmtId="2" formatCode="0.00"/>
    </odxf>
    <ndxf>
      <numFmt numFmtId="0" formatCode="General"/>
    </ndxf>
  </rcc>
  <rcc rId="6083" sId="1" odxf="1" dxf="1">
    <oc r="P301">
      <v>57.59</v>
    </oc>
    <nc r="P301">
      <v>38.39</v>
    </nc>
    <odxf>
      <numFmt numFmtId="2" formatCode="0.00"/>
    </odxf>
    <ndxf>
      <numFmt numFmtId="0" formatCode="General"/>
    </ndxf>
  </rcc>
  <rcc rId="6084" sId="1" odxf="1" dxf="1">
    <oc r="P302">
      <v>57.59</v>
    </oc>
    <nc r="P302">
      <v>38.39</v>
    </nc>
    <odxf>
      <numFmt numFmtId="2" formatCode="0.00"/>
    </odxf>
    <ndxf>
      <numFmt numFmtId="0" formatCode="General"/>
    </ndxf>
  </rcc>
  <rcc rId="6085" sId="1" odxf="1" dxf="1">
    <oc r="P303">
      <v>57.59</v>
    </oc>
    <nc r="P303">
      <v>38.39</v>
    </nc>
    <odxf>
      <numFmt numFmtId="2" formatCode="0.00"/>
    </odxf>
    <ndxf>
      <numFmt numFmtId="0" formatCode="General"/>
    </ndxf>
  </rcc>
  <rcc rId="6086" sId="1" odxf="1" dxf="1">
    <oc r="P304">
      <v>57.59</v>
    </oc>
    <nc r="P304">
      <v>38.39</v>
    </nc>
    <odxf>
      <numFmt numFmtId="2" formatCode="0.00"/>
    </odxf>
    <ndxf>
      <numFmt numFmtId="0" formatCode="General"/>
    </ndxf>
  </rcc>
  <rcc rId="6087" sId="1" odxf="1" dxf="1">
    <oc r="P305">
      <v>57.59</v>
    </oc>
    <nc r="P305">
      <v>38.39</v>
    </nc>
    <odxf>
      <numFmt numFmtId="2" formatCode="0.00"/>
    </odxf>
    <ndxf>
      <numFmt numFmtId="0" formatCode="General"/>
    </ndxf>
  </rcc>
  <rcc rId="6088" sId="1" odxf="1" dxf="1">
    <oc r="P306">
      <v>57.59</v>
    </oc>
    <nc r="P306">
      <v>38.39</v>
    </nc>
    <odxf>
      <numFmt numFmtId="2" formatCode="0.00"/>
    </odxf>
    <ndxf>
      <numFmt numFmtId="0" formatCode="General"/>
    </ndxf>
  </rcc>
  <rcc rId="6089" sId="1" odxf="1" dxf="1">
    <oc r="P307">
      <v>57.59</v>
    </oc>
    <nc r="P307">
      <v>38.39</v>
    </nc>
    <odxf>
      <numFmt numFmtId="2" formatCode="0.00"/>
    </odxf>
    <ndxf>
      <numFmt numFmtId="0" formatCode="General"/>
    </ndxf>
  </rcc>
  <rcc rId="6090" sId="1" odxf="1" dxf="1">
    <oc r="P308">
      <v>57.59</v>
    </oc>
    <nc r="P308">
      <v>38.39</v>
    </nc>
    <odxf>
      <numFmt numFmtId="2" formatCode="0.00"/>
    </odxf>
    <ndxf>
      <numFmt numFmtId="0" formatCode="General"/>
    </ndxf>
  </rcc>
  <rrc rId="6091" sId="2" ref="S1:T1048576" action="insertCol"/>
  <rcc rId="6092" sId="2">
    <nc r="S1" t="inlineStr">
      <is>
        <t>vpatt_freq_dep</t>
      </is>
    </nc>
  </rcc>
  <rcc rId="6093" sId="2">
    <nc r="T1" t="inlineStr">
      <is>
        <t>vpatt_freq_ret</t>
      </is>
    </nc>
  </rcc>
  <rcc rId="6094" sId="2">
    <nc r="S4">
      <v>0.1</v>
    </nc>
  </rcc>
  <rcc rId="6095" sId="2">
    <nc r="S5">
      <v>0.1</v>
    </nc>
  </rcc>
  <rcc rId="6096" sId="2">
    <nc r="S6">
      <v>0.1</v>
    </nc>
  </rcc>
  <rcc rId="6097" sId="2">
    <nc r="S7">
      <v>0.1</v>
    </nc>
  </rcc>
  <rcc rId="6098" sId="2">
    <nc r="S8">
      <v>0.1</v>
    </nc>
  </rcc>
  <rcc rId="6099" sId="2">
    <nc r="S9">
      <v>0.1</v>
    </nc>
  </rcc>
  <rcc rId="6100" sId="2">
    <nc r="S10">
      <v>0.1</v>
    </nc>
  </rcc>
  <rcc rId="6101" sId="2">
    <nc r="S11">
      <v>0.1</v>
    </nc>
  </rcc>
  <rcc rId="6102" sId="2">
    <nc r="S12">
      <v>0.1</v>
    </nc>
  </rcc>
  <rcc rId="6103" sId="2">
    <nc r="S13">
      <v>0.1</v>
    </nc>
  </rcc>
  <rcc rId="6104" sId="2">
    <nc r="S14">
      <v>0.1</v>
    </nc>
  </rcc>
  <rcc rId="6105" sId="2">
    <nc r="S15">
      <v>0.1</v>
    </nc>
  </rcc>
  <rcc rId="6106" sId="2">
    <nc r="S16">
      <v>0.1</v>
    </nc>
  </rcc>
  <rcc rId="6107" sId="2">
    <nc r="S18">
      <v>0.1</v>
    </nc>
  </rcc>
  <rcc rId="6108" sId="2">
    <nc r="S19">
      <v>0.1</v>
    </nc>
  </rcc>
  <rcc rId="6109" sId="2">
    <nc r="S20">
      <v>0.1</v>
    </nc>
  </rcc>
  <rcc rId="6110" sId="2">
    <nc r="S21">
      <v>0.1</v>
    </nc>
  </rcc>
  <rcc rId="6111" sId="2">
    <nc r="S22">
      <v>0.1</v>
    </nc>
  </rcc>
  <rcc rId="6112" sId="2">
    <nc r="S23">
      <v>0.1</v>
    </nc>
  </rcc>
  <rcc rId="6113" sId="2">
    <nc r="S24">
      <v>0.1</v>
    </nc>
  </rcc>
  <rcc rId="6114" sId="2">
    <nc r="S25">
      <v>0.1</v>
    </nc>
  </rcc>
  <rcc rId="6115" sId="2">
    <nc r="S26">
      <v>0.1</v>
    </nc>
  </rcc>
  <rcc rId="6116" sId="2">
    <nc r="S27">
      <v>0.1</v>
    </nc>
  </rcc>
  <rcc rId="6117" sId="2">
    <nc r="S28">
      <v>0.1</v>
    </nc>
  </rcc>
  <rcc rId="6118" sId="2">
    <nc r="S29">
      <v>0.1</v>
    </nc>
  </rcc>
  <rcc rId="6119" sId="2">
    <nc r="S30">
      <v>0.1</v>
    </nc>
  </rcc>
  <rcc rId="6120" sId="2">
    <nc r="S31">
      <v>0.1</v>
    </nc>
  </rcc>
  <rcc rId="6121" sId="2">
    <nc r="S32">
      <v>0.1</v>
    </nc>
  </rcc>
  <rcc rId="6122" sId="2">
    <nc r="T32">
      <v>0.1</v>
    </nc>
  </rcc>
  <rcc rId="6123" sId="2">
    <nc r="S33" t="inlineStr">
      <is>
        <t>NA</t>
      </is>
    </nc>
  </rcc>
  <rcc rId="6124" sId="2">
    <nc r="T33" t="inlineStr">
      <is>
        <t>NA</t>
      </is>
    </nc>
  </rcc>
  <rcc rId="6125" sId="2">
    <nc r="S34">
      <v>0.1</v>
    </nc>
  </rcc>
  <rcc rId="6126" sId="2">
    <nc r="T34">
      <v>0.1</v>
    </nc>
  </rcc>
  <rcc rId="6127" sId="2">
    <nc r="S35">
      <v>0.1</v>
    </nc>
  </rcc>
  <rcc rId="6128" sId="2">
    <nc r="T35" t="inlineStr">
      <is>
        <t>NA</t>
      </is>
    </nc>
  </rcc>
  <rcc rId="6129" sId="2">
    <nc r="S36">
      <v>0.1</v>
    </nc>
  </rcc>
  <rcc rId="6130" sId="2">
    <nc r="T36" t="inlineStr">
      <is>
        <t>NA</t>
      </is>
    </nc>
  </rcc>
  <rcc rId="6131" sId="2">
    <nc r="S37" t="inlineStr">
      <is>
        <t>NA</t>
      </is>
    </nc>
  </rcc>
  <rcc rId="6132" sId="2">
    <nc r="T37" t="inlineStr">
      <is>
        <t>NA</t>
      </is>
    </nc>
  </rcc>
  <rcc rId="6133" sId="2">
    <nc r="S38">
      <v>0.1</v>
    </nc>
  </rcc>
  <rcc rId="6134" sId="2">
    <nc r="T38">
      <v>0.1</v>
    </nc>
  </rcc>
  <rcc rId="6135" sId="2">
    <nc r="S39">
      <v>0.1</v>
    </nc>
  </rcc>
  <rcc rId="6136" sId="2">
    <nc r="T39">
      <v>0.1</v>
    </nc>
  </rcc>
  <rcc rId="6137" sId="2">
    <nc r="S40">
      <v>0.1</v>
    </nc>
  </rcc>
  <rcc rId="6138" sId="2">
    <nc r="T40">
      <v>0.1</v>
    </nc>
  </rcc>
  <rcc rId="6139" sId="2">
    <nc r="S41">
      <v>0.1</v>
    </nc>
  </rcc>
  <rcc rId="6140" sId="2">
    <nc r="T41">
      <v>0.1</v>
    </nc>
  </rcc>
  <rcc rId="6141" sId="2">
    <nc r="S42">
      <v>0.1</v>
    </nc>
  </rcc>
  <rcc rId="6142" sId="2">
    <nc r="T42">
      <v>0.1</v>
    </nc>
  </rcc>
  <rcc rId="6143" sId="2">
    <nc r="S43">
      <v>0.1</v>
    </nc>
  </rcc>
  <rcc rId="6144" sId="2">
    <nc r="T43" t="inlineStr">
      <is>
        <t>NA</t>
      </is>
    </nc>
  </rcc>
  <rcc rId="6145" sId="2">
    <nc r="S44">
      <v>0.1</v>
    </nc>
  </rcc>
  <rcc rId="6146" sId="2">
    <nc r="T44">
      <v>0.05</v>
    </nc>
  </rcc>
  <rcc rId="6147" sId="2">
    <nc r="S45">
      <v>0.1</v>
    </nc>
  </rcc>
  <rcc rId="6148" sId="2">
    <nc r="T45">
      <v>0.1</v>
    </nc>
  </rcc>
  <rcc rId="6149" sId="2">
    <nc r="S46">
      <v>0.1</v>
    </nc>
  </rcc>
  <rcc rId="6150" sId="2">
    <nc r="T46">
      <v>0.15</v>
    </nc>
  </rcc>
  <rcc rId="6151" sId="2">
    <nc r="S47">
      <v>0.1</v>
    </nc>
  </rcc>
  <rcc rId="6152" sId="2">
    <nc r="T47">
      <v>0.1</v>
    </nc>
  </rcc>
  <rcc rId="6153" sId="2">
    <nc r="S48">
      <v>0.1</v>
    </nc>
  </rcc>
  <rcc rId="6154" sId="2">
    <nc r="T48">
      <v>0.1</v>
    </nc>
  </rcc>
  <rcc rId="6155" sId="2">
    <nc r="S49">
      <v>0.1</v>
    </nc>
  </rcc>
  <rcc rId="6156" sId="2">
    <nc r="T49">
      <v>0.15</v>
    </nc>
  </rcc>
  <rcc rId="6157" sId="2">
    <nc r="S50">
      <v>0.1</v>
    </nc>
  </rcc>
  <rcc rId="6158" sId="2">
    <nc r="T50">
      <v>0.05</v>
    </nc>
  </rcc>
  <rcc rId="6159" sId="2">
    <nc r="S51">
      <v>0.1</v>
    </nc>
  </rcc>
  <rcc rId="6160" sId="2">
    <nc r="T51">
      <v>0.05</v>
    </nc>
  </rcc>
  <rcc rId="6161" sId="2">
    <nc r="S52">
      <v>0.1</v>
    </nc>
  </rcc>
  <rcc rId="6162" sId="2">
    <nc r="T52">
      <v>0.15</v>
    </nc>
  </rcc>
  <rcc rId="6163" sId="2">
    <nc r="S53">
      <v>0.05</v>
    </nc>
  </rcc>
  <rcc rId="6164" sId="2">
    <nc r="T53">
      <v>0.05</v>
    </nc>
  </rcc>
  <rcc rId="6165" sId="2">
    <nc r="S54">
      <v>0.05</v>
    </nc>
  </rcc>
  <rcc rId="6166" sId="2">
    <nc r="T54">
      <v>0.05</v>
    </nc>
  </rcc>
  <rcc rId="6167" sId="2">
    <nc r="S55">
      <v>0.05</v>
    </nc>
  </rcc>
  <rcc rId="6168" sId="2">
    <nc r="T55">
      <v>0.05</v>
    </nc>
  </rcc>
  <rcc rId="6169" sId="2">
    <nc r="S56">
      <v>0.05</v>
    </nc>
  </rcc>
  <rcc rId="6170" sId="2">
    <nc r="T56">
      <v>0.05</v>
    </nc>
  </rcc>
  <rcc rId="6171" sId="2">
    <nc r="S57">
      <v>0.05</v>
    </nc>
  </rcc>
  <rcc rId="6172" sId="2">
    <nc r="T57">
      <v>0.05</v>
    </nc>
  </rcc>
  <rcc rId="6173" sId="2">
    <nc r="S58">
      <v>0.05</v>
    </nc>
  </rcc>
  <rcc rId="6174" sId="2">
    <nc r="T58">
      <v>0.05</v>
    </nc>
  </rcc>
  <rcc rId="6175" sId="2">
    <nc r="S59">
      <v>0.05</v>
    </nc>
  </rcc>
  <rcc rId="6176" sId="2">
    <nc r="T59">
      <v>0.05</v>
    </nc>
  </rcc>
  <rcc rId="6177" sId="2">
    <nc r="S60">
      <v>0.05</v>
    </nc>
  </rcc>
  <rcc rId="6178" sId="2">
    <nc r="T60">
      <v>0.05</v>
    </nc>
  </rcc>
  <rcc rId="6179" sId="2">
    <nc r="S61">
      <v>0.05</v>
    </nc>
  </rcc>
  <rcc rId="6180" sId="2">
    <nc r="T61">
      <v>0.15</v>
    </nc>
  </rcc>
  <rcc rId="6181" sId="2">
    <nc r="S62">
      <v>0.15</v>
    </nc>
  </rcc>
  <rcc rId="6182" sId="2">
    <nc r="T62">
      <v>0.15</v>
    </nc>
  </rcc>
  <rcc rId="6183" sId="2">
    <nc r="S63">
      <v>0.05</v>
    </nc>
  </rcc>
  <rcc rId="6184" sId="2">
    <nc r="T63">
      <v>0.05</v>
    </nc>
  </rcc>
  <rcc rId="6185" sId="2">
    <nc r="S64" t="inlineStr">
      <is>
        <t>NA</t>
      </is>
    </nc>
  </rcc>
  <rcc rId="6186" sId="2">
    <nc r="T64">
      <v>0.15</v>
    </nc>
  </rcc>
  <rcc rId="6187" sId="2">
    <nc r="S65">
      <v>0.05</v>
    </nc>
  </rcc>
  <rcc rId="6188" sId="2">
    <nc r="T65">
      <v>0.05</v>
    </nc>
  </rcc>
  <rcc rId="6189" sId="2">
    <nc r="S66">
      <v>0.05</v>
    </nc>
  </rcc>
  <rcc rId="6190" sId="2">
    <nc r="T66">
      <v>0.05</v>
    </nc>
  </rcc>
  <rcc rId="6191" sId="2">
    <nc r="S67">
      <v>0.05</v>
    </nc>
  </rcc>
  <rcc rId="6192" sId="2">
    <nc r="T67">
      <v>0.1</v>
    </nc>
  </rcc>
  <rcc rId="6193" sId="2">
    <nc r="S68">
      <v>0.05</v>
    </nc>
  </rcc>
  <rcc rId="6194" sId="2">
    <nc r="T68">
      <v>0.1</v>
    </nc>
  </rcc>
  <rcc rId="6195" sId="2">
    <nc r="S69">
      <v>0.1</v>
    </nc>
  </rcc>
  <rcc rId="6196" sId="2">
    <nc r="T69">
      <v>0.1</v>
    </nc>
  </rcc>
  <rcc rId="6197" sId="2">
    <nc r="S72">
      <v>0.05</v>
    </nc>
  </rcc>
  <rcc rId="6198" sId="2">
    <nc r="T72">
      <v>0.15</v>
    </nc>
  </rcc>
  <rcc rId="6199" sId="2">
    <nc r="S73">
      <v>0.05</v>
    </nc>
  </rcc>
  <rcc rId="6200" sId="2">
    <nc r="T73">
      <v>0.05</v>
    </nc>
  </rcc>
  <rcc rId="6201" sId="2">
    <nc r="S74">
      <v>0.05</v>
    </nc>
  </rcc>
  <rcc rId="6202" sId="2">
    <nc r="T74">
      <v>0.1</v>
    </nc>
  </rcc>
  <rcc rId="6203" sId="2">
    <nc r="S75">
      <v>0.05</v>
    </nc>
  </rcc>
  <rcc rId="6204" sId="2">
    <nc r="T75">
      <v>0.1</v>
    </nc>
  </rcc>
  <rcc rId="6205" sId="2">
    <nc r="S76">
      <v>0.05</v>
    </nc>
  </rcc>
  <rcc rId="6206" sId="2">
    <nc r="T76">
      <v>0.15</v>
    </nc>
  </rcc>
  <rcc rId="6207" sId="2">
    <nc r="S77">
      <v>0.05</v>
    </nc>
  </rcc>
  <rcc rId="6208" sId="2">
    <nc r="T77">
      <v>0.05</v>
    </nc>
  </rcc>
  <rcc rId="6209" sId="2">
    <nc r="S78">
      <v>0.05</v>
    </nc>
  </rcc>
  <rcc rId="6210" sId="2">
    <nc r="T78">
      <v>0.05</v>
    </nc>
  </rcc>
  <rcc rId="6211" sId="2">
    <nc r="S79">
      <v>0.05</v>
    </nc>
  </rcc>
  <rcc rId="6212" sId="2">
    <nc r="T79">
      <v>0.05</v>
    </nc>
  </rcc>
  <rcc rId="6213" sId="2">
    <nc r="S80">
      <v>0.05</v>
    </nc>
  </rcc>
  <rcc rId="6214" sId="2">
    <nc r="T80">
      <v>0.1</v>
    </nc>
  </rcc>
  <rcc rId="6215" sId="2">
    <nc r="S81">
      <v>0.05</v>
    </nc>
  </rcc>
  <rcc rId="6216" sId="2">
    <nc r="T81">
      <v>0.05</v>
    </nc>
  </rcc>
  <rcc rId="6217" sId="2">
    <nc r="S82">
      <v>0.05</v>
    </nc>
  </rcc>
  <rcc rId="6218" sId="2">
    <nc r="T82">
      <v>0.15</v>
    </nc>
  </rcc>
  <rcc rId="6219" sId="2">
    <nc r="S83">
      <v>0.05</v>
    </nc>
  </rcc>
  <rcc rId="6220" sId="2">
    <nc r="T83">
      <v>0.05</v>
    </nc>
  </rcc>
  <rcc rId="6221" sId="2">
    <nc r="S84">
      <v>0.05</v>
    </nc>
  </rcc>
  <rcc rId="6222" sId="2">
    <nc r="T84">
      <v>0.05</v>
    </nc>
  </rcc>
  <rcc rId="6223" sId="2">
    <nc r="S85">
      <v>0.05</v>
    </nc>
  </rcc>
  <rcc rId="6224" sId="2">
    <nc r="T85">
      <v>0.1</v>
    </nc>
  </rcc>
  <rcc rId="6225" sId="2">
    <nc r="S86">
      <v>0.05</v>
    </nc>
  </rcc>
  <rcc rId="6226" sId="2">
    <nc r="T86">
      <v>0.05</v>
    </nc>
  </rcc>
  <rcc rId="6227" sId="2">
    <nc r="S87">
      <v>0.05</v>
    </nc>
  </rcc>
  <rcc rId="6228" sId="2">
    <nc r="T87">
      <v>0.15</v>
    </nc>
  </rcc>
  <rcc rId="6229" sId="2">
    <nc r="S88">
      <v>0.05</v>
    </nc>
  </rcc>
  <rcc rId="6230" sId="2">
    <nc r="T88">
      <v>0.05</v>
    </nc>
  </rcc>
  <rcc rId="6231" sId="2">
    <nc r="S89">
      <v>0.05</v>
    </nc>
  </rcc>
  <rcc rId="6232" sId="2">
    <nc r="T89">
      <v>0.05</v>
    </nc>
  </rcc>
  <rcc rId="6233" sId="2">
    <nc r="S90">
      <v>0.05</v>
    </nc>
  </rcc>
  <rcc rId="6234" sId="2">
    <nc r="T90">
      <v>0.05</v>
    </nc>
  </rcc>
  <rcc rId="6235" sId="2">
    <nc r="S91">
      <v>0.05</v>
    </nc>
  </rcc>
  <rcc rId="6236" sId="2">
    <nc r="T91">
      <v>0.05</v>
    </nc>
  </rcc>
  <rcc rId="6237" sId="2">
    <nc r="S92">
      <v>0.05</v>
    </nc>
  </rcc>
  <rcc rId="6238" sId="2">
    <nc r="T92">
      <v>0.1</v>
    </nc>
  </rcc>
  <rcc rId="6239" sId="2">
    <nc r="S93">
      <v>0.05</v>
    </nc>
  </rcc>
  <rcc rId="6240" sId="2">
    <nc r="T93">
      <v>0.05</v>
    </nc>
  </rcc>
  <rcc rId="6241" sId="2">
    <nc r="S94">
      <v>0.05</v>
    </nc>
  </rcc>
  <rcc rId="6242" sId="2">
    <nc r="T94">
      <v>0.15</v>
    </nc>
  </rcc>
  <rcc rId="6243" sId="2">
    <nc r="S95">
      <v>0.05</v>
    </nc>
  </rcc>
  <rcc rId="6244" sId="2">
    <nc r="T95">
      <v>0.05</v>
    </nc>
  </rcc>
  <rcc rId="6245" sId="2">
    <nc r="S100">
      <v>0.05</v>
    </nc>
  </rcc>
  <rcc rId="6246" sId="2">
    <nc r="T100">
      <v>0.05</v>
    </nc>
  </rcc>
  <rcc rId="6247" sId="2">
    <nc r="S102">
      <v>0.05</v>
    </nc>
  </rcc>
  <rcc rId="6248" sId="2">
    <nc r="T102">
      <v>0.1</v>
    </nc>
  </rcc>
  <rcc rId="6249" sId="2">
    <nc r="S103">
      <v>0.1</v>
    </nc>
  </rcc>
  <rcc rId="6250" sId="2">
    <nc r="T103">
      <v>0.1</v>
    </nc>
  </rcc>
  <rcc rId="6251" sId="2">
    <nc r="S104">
      <v>0.1</v>
    </nc>
  </rcc>
  <rcc rId="6252" sId="2">
    <nc r="T104">
      <v>0.15</v>
    </nc>
  </rcc>
  <rcc rId="6253" sId="2">
    <nc r="S105">
      <v>0.05</v>
    </nc>
  </rcc>
  <rcc rId="6254" sId="2">
    <nc r="T105">
      <v>0.05</v>
    </nc>
  </rcc>
  <rcc rId="6255" sId="2">
    <nc r="S107">
      <v>0.05</v>
    </nc>
  </rcc>
  <rcc rId="6256" sId="2">
    <nc r="T107">
      <v>0.05</v>
    </nc>
  </rcc>
  <rcc rId="6257" sId="2">
    <nc r="S109">
      <v>0.05</v>
    </nc>
  </rcc>
  <rcc rId="6258" sId="2">
    <nc r="T109">
      <v>0.15</v>
    </nc>
  </rcc>
  <rcc rId="6259" sId="2">
    <nc r="S110">
      <v>0.05</v>
    </nc>
  </rcc>
  <rcc rId="6260" sId="2">
    <nc r="T110">
      <v>0.05</v>
    </nc>
  </rcc>
  <rcc rId="6261" sId="2">
    <nc r="S111">
      <v>0.05</v>
    </nc>
  </rcc>
  <rcc rId="6262" sId="2">
    <nc r="T111">
      <v>0.05</v>
    </nc>
  </rcc>
  <rcc rId="6263" sId="2">
    <nc r="S112">
      <v>0.05</v>
    </nc>
  </rcc>
  <rcc rId="6264" sId="2">
    <nc r="T112">
      <v>0.15</v>
    </nc>
  </rcc>
  <rcc rId="6265" sId="2">
    <nc r="S113">
      <v>0.1</v>
    </nc>
  </rcc>
  <rcc rId="6266" sId="2">
    <nc r="T113">
      <v>0.3</v>
    </nc>
  </rcc>
  <rcc rId="6267" sId="2">
    <nc r="S115">
      <v>0.1</v>
    </nc>
  </rcc>
  <rcc rId="6268" sId="2">
    <nc r="T115">
      <v>0.3</v>
    </nc>
  </rcc>
  <rcc rId="6269" sId="2">
    <nc r="S116">
      <v>0.3</v>
    </nc>
  </rcc>
  <rcc rId="6270" sId="2">
    <nc r="T116">
      <v>0.3</v>
    </nc>
  </rcc>
  <rcc rId="6271" sId="2">
    <nc r="S117">
      <v>0.3</v>
    </nc>
  </rcc>
  <rcc rId="6272" sId="2">
    <nc r="T117">
      <v>0.3</v>
    </nc>
  </rcc>
  <rcc rId="6273" sId="2">
    <nc r="S118">
      <v>0.3</v>
    </nc>
  </rcc>
  <rcc rId="6274" sId="2">
    <nc r="T118">
      <v>0.15</v>
    </nc>
  </rcc>
  <rcc rId="6275" sId="2">
    <nc r="S119">
      <v>0.15</v>
    </nc>
  </rcc>
  <rcc rId="6276" sId="2">
    <nc r="T119">
      <v>0.15</v>
    </nc>
  </rcc>
  <rcc rId="6277" sId="2">
    <nc r="S120">
      <v>0.15</v>
    </nc>
  </rcc>
  <rcc rId="6278" sId="2">
    <nc r="T120">
      <v>0.15</v>
    </nc>
  </rcc>
  <rcc rId="6279" sId="2">
    <nc r="S121">
      <v>0.3</v>
    </nc>
  </rcc>
  <rcc rId="6280" sId="2">
    <nc r="T121">
      <v>0.3</v>
    </nc>
  </rcc>
  <rcc rId="6281" sId="2">
    <nc r="S122">
      <v>0.3</v>
    </nc>
  </rcc>
  <rcc rId="6282" sId="2">
    <nc r="T122">
      <v>0.3</v>
    </nc>
  </rcc>
  <rcc rId="6283" sId="2">
    <nc r="S123">
      <v>0.3</v>
    </nc>
  </rcc>
  <rcc rId="6284" sId="2">
    <nc r="T123">
      <v>0.3</v>
    </nc>
  </rcc>
  <rcc rId="6285" sId="2">
    <nc r="S124">
      <v>0.3</v>
    </nc>
  </rcc>
  <rcc rId="6286" sId="2">
    <nc r="T124">
      <v>0.3</v>
    </nc>
  </rcc>
  <rcc rId="6287" sId="2">
    <nc r="S125">
      <v>0.05</v>
    </nc>
  </rcc>
  <rcc rId="6288" sId="2">
    <nc r="T125">
      <v>0.05</v>
    </nc>
  </rcc>
  <rcc rId="6289" sId="2">
    <nc r="S126">
      <v>0.05</v>
    </nc>
  </rcc>
  <rcc rId="6290" sId="2">
    <nc r="T126">
      <v>0.05</v>
    </nc>
  </rcc>
  <rcc rId="6291" sId="2">
    <nc r="S127">
      <v>0.05</v>
    </nc>
  </rcc>
  <rcc rId="6292" sId="2">
    <nc r="T127">
      <v>0.05</v>
    </nc>
  </rcc>
  <rcc rId="6293" sId="2">
    <nc r="S128">
      <v>0.05</v>
    </nc>
  </rcc>
  <rcc rId="6294" sId="2">
    <nc r="T128">
      <v>0.05</v>
    </nc>
  </rcc>
  <rcc rId="6295" sId="2">
    <nc r="S129">
      <v>0.05</v>
    </nc>
  </rcc>
  <rcc rId="6296" sId="2">
    <nc r="T129">
      <v>0.05</v>
    </nc>
  </rcc>
  <rcc rId="6297" sId="2">
    <nc r="S130">
      <v>0.05</v>
    </nc>
  </rcc>
  <rcc rId="6298" sId="2">
    <nc r="T130">
      <v>0.05</v>
    </nc>
  </rcc>
  <rcc rId="6299" sId="2">
    <nc r="S131">
      <v>0.05</v>
    </nc>
  </rcc>
  <rcc rId="6300" sId="2">
    <nc r="T131">
      <v>0.05</v>
    </nc>
  </rcc>
  <rcc rId="6301" sId="2">
    <nc r="S132">
      <v>0.05</v>
    </nc>
  </rcc>
  <rcc rId="6302" sId="2">
    <nc r="T132">
      <v>0.05</v>
    </nc>
  </rcc>
  <rcc rId="6303" sId="2">
    <nc r="S133">
      <v>0.05</v>
    </nc>
  </rcc>
  <rcc rId="6304" sId="2">
    <nc r="T133">
      <v>0.05</v>
    </nc>
  </rcc>
  <rcc rId="6305" sId="2">
    <nc r="S134">
      <v>0.05</v>
    </nc>
  </rcc>
  <rcc rId="6306" sId="2">
    <nc r="T134">
      <v>0.05</v>
    </nc>
  </rcc>
  <rcc rId="6307" sId="2">
    <nc r="S135">
      <v>0.05</v>
    </nc>
  </rcc>
  <rcc rId="6308" sId="2">
    <nc r="T135">
      <v>0.05</v>
    </nc>
  </rcc>
  <rcc rId="6309" sId="2">
    <nc r="S136">
      <v>0.05</v>
    </nc>
  </rcc>
  <rcc rId="6310" sId="2">
    <nc r="T136">
      <v>0.05</v>
    </nc>
  </rcc>
  <rcc rId="6311" sId="2">
    <nc r="S137">
      <v>0.05</v>
    </nc>
  </rcc>
  <rcc rId="6312" sId="2">
    <nc r="T137">
      <v>0.05</v>
    </nc>
  </rcc>
  <rcc rId="6313" sId="2">
    <nc r="S138">
      <v>0.05</v>
    </nc>
  </rcc>
  <rcc rId="6314" sId="2">
    <nc r="T138">
      <v>0.05</v>
    </nc>
  </rcc>
  <rcc rId="6315" sId="2">
    <nc r="S139">
      <v>0.05</v>
    </nc>
  </rcc>
  <rcc rId="6316" sId="2">
    <nc r="T139">
      <v>0.05</v>
    </nc>
  </rcc>
  <rcc rId="6317" sId="2">
    <nc r="S140">
      <v>0.05</v>
    </nc>
  </rcc>
  <rcc rId="6318" sId="2">
    <nc r="T140">
      <v>0.05</v>
    </nc>
  </rcc>
  <rcc rId="6319" sId="2">
    <nc r="S141">
      <v>0.05</v>
    </nc>
  </rcc>
  <rcc rId="6320" sId="2">
    <nc r="T141">
      <v>0.05</v>
    </nc>
  </rcc>
  <rcc rId="6321" sId="2">
    <nc r="S142">
      <v>0.05</v>
    </nc>
  </rcc>
  <rcc rId="6322" sId="2">
    <nc r="T142">
      <v>0.05</v>
    </nc>
  </rcc>
  <rcc rId="6323" sId="2">
    <nc r="S143">
      <v>0.05</v>
    </nc>
  </rcc>
  <rcc rId="6324" sId="2">
    <nc r="T143">
      <v>0.05</v>
    </nc>
  </rcc>
  <rcc rId="6325" sId="2">
    <nc r="S144">
      <v>0.05</v>
    </nc>
  </rcc>
  <rcc rId="6326" sId="2">
    <nc r="T144">
      <v>0.05</v>
    </nc>
  </rcc>
  <rcc rId="6327" sId="2">
    <nc r="S145">
      <v>0.05</v>
    </nc>
  </rcc>
  <rcc rId="6328" sId="2">
    <nc r="T145">
      <v>0.05</v>
    </nc>
  </rcc>
  <rcc rId="6329" sId="2">
    <nc r="S146">
      <v>0.05</v>
    </nc>
  </rcc>
  <rcc rId="6330" sId="2">
    <nc r="T146">
      <v>0.05</v>
    </nc>
  </rcc>
  <rcc rId="6331" sId="2">
    <nc r="S147">
      <v>0.1</v>
    </nc>
  </rcc>
  <rcc rId="6332" sId="2">
    <nc r="T147">
      <v>0.1</v>
    </nc>
  </rcc>
  <rcc rId="6333" sId="2">
    <nc r="S148">
      <v>0.1</v>
    </nc>
  </rcc>
  <rcc rId="6334" sId="2">
    <nc r="T148">
      <v>0.1</v>
    </nc>
  </rcc>
  <rcc rId="6335" sId="2">
    <nc r="S149">
      <v>0.1</v>
    </nc>
  </rcc>
  <rcc rId="6336" sId="2">
    <nc r="T149">
      <v>0.1</v>
    </nc>
  </rcc>
  <rcc rId="6337" sId="2">
    <nc r="S150">
      <v>0.1</v>
    </nc>
  </rcc>
  <rcc rId="6338" sId="2">
    <nc r="T150">
      <v>0.1</v>
    </nc>
  </rcc>
  <rcc rId="6339" sId="2">
    <nc r="S151">
      <v>0.1</v>
    </nc>
  </rcc>
  <rcc rId="6340" sId="2">
    <nc r="T151">
      <v>0.1</v>
    </nc>
  </rcc>
  <rcc rId="6341" sId="2">
    <nc r="S152">
      <v>0.1</v>
    </nc>
  </rcc>
  <rcc rId="6342" sId="2">
    <nc r="T152">
      <v>0.1</v>
    </nc>
  </rcc>
  <rcc rId="6343" sId="2">
    <nc r="S153">
      <v>0.1</v>
    </nc>
  </rcc>
  <rcc rId="6344" sId="2">
    <nc r="T153">
      <v>0.1</v>
    </nc>
  </rcc>
  <rcc rId="6345" sId="2">
    <nc r="S154">
      <v>0.1</v>
    </nc>
  </rcc>
  <rcc rId="6346" sId="2">
    <nc r="T154">
      <v>0.1</v>
    </nc>
  </rcc>
  <rcc rId="6347" sId="2">
    <nc r="S155">
      <v>0.1</v>
    </nc>
  </rcc>
  <rcc rId="6348" sId="2">
    <nc r="T155">
      <v>0.1</v>
    </nc>
  </rcc>
  <rcc rId="6349" sId="2">
    <nc r="S156">
      <v>0.1</v>
    </nc>
  </rcc>
  <rcc rId="6350" sId="2">
    <nc r="T156">
      <v>0.1</v>
    </nc>
  </rcc>
  <rcc rId="6351" sId="2">
    <nc r="S157">
      <v>0.1</v>
    </nc>
  </rcc>
  <rcc rId="6352" sId="2">
    <nc r="T157">
      <v>0.1</v>
    </nc>
  </rcc>
  <rcc rId="6353" sId="2">
    <nc r="S158">
      <v>0.1</v>
    </nc>
  </rcc>
  <rcc rId="6354" sId="2">
    <nc r="T158">
      <v>0.1</v>
    </nc>
  </rcc>
  <rcc rId="6355" sId="2">
    <nc r="S159">
      <v>0.1</v>
    </nc>
  </rcc>
  <rcc rId="6356" sId="2">
    <nc r="T159">
      <v>0.1</v>
    </nc>
  </rcc>
  <rcc rId="6357" sId="2">
    <nc r="S160">
      <v>0.1</v>
    </nc>
  </rcc>
  <rcc rId="6358" sId="2">
    <nc r="T160">
      <v>0.1</v>
    </nc>
  </rcc>
  <rcc rId="6359" sId="2">
    <nc r="S161">
      <v>0.1</v>
    </nc>
  </rcc>
  <rcc rId="6360" sId="2">
    <nc r="T161">
      <v>0.1</v>
    </nc>
  </rcc>
  <rcc rId="6361" sId="2">
    <nc r="S162">
      <v>0.1</v>
    </nc>
  </rcc>
  <rcc rId="6362" sId="2">
    <nc r="T162">
      <v>0.1</v>
    </nc>
  </rcc>
  <rcc rId="6363" sId="2">
    <nc r="S163">
      <v>0.1</v>
    </nc>
  </rcc>
  <rcc rId="6364" sId="2">
    <nc r="T163">
      <v>0.1</v>
    </nc>
  </rcc>
  <rcc rId="6365" sId="2">
    <nc r="S164">
      <v>0.1</v>
    </nc>
  </rcc>
  <rcc rId="6366" sId="2">
    <nc r="T164">
      <v>0.1</v>
    </nc>
  </rcc>
  <rcc rId="6367" sId="2">
    <nc r="S165">
      <v>0.1</v>
    </nc>
  </rcc>
  <rcc rId="6368" sId="2">
    <nc r="T165">
      <v>0.1</v>
    </nc>
  </rcc>
  <rcc rId="6369" sId="2">
    <nc r="S166">
      <v>0.05</v>
    </nc>
  </rcc>
  <rcc rId="6370" sId="2">
    <nc r="T166">
      <v>0.05</v>
    </nc>
  </rcc>
  <rcc rId="6371" sId="2">
    <nc r="S167">
      <v>0.05</v>
    </nc>
  </rcc>
  <rcc rId="6372" sId="2">
    <nc r="T167">
      <v>0.05</v>
    </nc>
  </rcc>
  <rcc rId="6373" sId="2">
    <nc r="S168">
      <v>0.05</v>
    </nc>
  </rcc>
  <rcc rId="6374" sId="2">
    <nc r="T168">
      <v>0.05</v>
    </nc>
  </rcc>
  <rcc rId="6375" sId="2">
    <nc r="S169">
      <v>0.05</v>
    </nc>
  </rcc>
  <rcc rId="6376" sId="2">
    <nc r="T169">
      <v>0.05</v>
    </nc>
  </rcc>
  <rcc rId="6377" sId="2">
    <nc r="S170">
      <v>0.05</v>
    </nc>
  </rcc>
  <rcc rId="6378" sId="2">
    <nc r="T170">
      <v>0.05</v>
    </nc>
  </rcc>
  <rcc rId="6379" sId="2">
    <nc r="S171">
      <v>0.05</v>
    </nc>
  </rcc>
  <rcc rId="6380" sId="2">
    <nc r="T171">
      <v>0.05</v>
    </nc>
  </rcc>
  <rcc rId="6381" sId="2">
    <nc r="S172">
      <v>0.05</v>
    </nc>
  </rcc>
  <rcc rId="6382" sId="2">
    <nc r="T172">
      <v>0.05</v>
    </nc>
  </rcc>
  <rcc rId="6383" sId="2">
    <nc r="S173">
      <v>0.05</v>
    </nc>
  </rcc>
  <rcc rId="6384" sId="2">
    <nc r="T173">
      <v>0.05</v>
    </nc>
  </rcc>
  <rcc rId="6385" sId="2">
    <nc r="S174">
      <v>0.05</v>
    </nc>
  </rcc>
  <rcc rId="6386" sId="2">
    <nc r="T174">
      <v>0.05</v>
    </nc>
  </rcc>
  <rcc rId="6387" sId="2">
    <nc r="S175">
      <v>0.1</v>
    </nc>
  </rcc>
  <rcc rId="6388" sId="2">
    <nc r="T175">
      <v>0.1</v>
    </nc>
  </rcc>
  <rcc rId="6389" sId="2">
    <nc r="S176">
      <v>0.1</v>
    </nc>
  </rcc>
  <rcc rId="6390" sId="2">
    <nc r="T176">
      <v>0.1</v>
    </nc>
  </rcc>
  <rcc rId="6391" sId="2">
    <nc r="S177">
      <v>0.1</v>
    </nc>
  </rcc>
  <rcc rId="6392" sId="2">
    <nc r="T177">
      <v>0.1</v>
    </nc>
  </rcc>
  <rcc rId="6393" sId="2">
    <nc r="S178">
      <v>0.1</v>
    </nc>
  </rcc>
  <rcc rId="6394" sId="2">
    <nc r="T178">
      <v>0.1</v>
    </nc>
  </rcc>
  <rcc rId="6395" sId="2">
    <nc r="S179">
      <v>0.1</v>
    </nc>
  </rcc>
  <rcc rId="6396" sId="2">
    <nc r="T179">
      <v>0.1</v>
    </nc>
  </rcc>
  <rcc rId="6397" sId="2">
    <nc r="S180">
      <v>0.1</v>
    </nc>
  </rcc>
  <rcc rId="6398" sId="2">
    <nc r="T180">
      <v>0.1</v>
    </nc>
  </rcc>
  <rcc rId="6399" sId="2">
    <nc r="S181">
      <v>0.1</v>
    </nc>
  </rcc>
  <rcc rId="6400" sId="2">
    <nc r="T181">
      <v>0.1</v>
    </nc>
  </rcc>
  <rcc rId="6401" sId="2">
    <nc r="S182">
      <v>0.1</v>
    </nc>
  </rcc>
  <rcc rId="6402" sId="2">
    <nc r="T182">
      <v>0.1</v>
    </nc>
  </rcc>
  <rcc rId="6403" sId="2">
    <nc r="S183">
      <v>0.1</v>
    </nc>
  </rcc>
  <rcc rId="6404" sId="2">
    <nc r="T183">
      <v>0.1</v>
    </nc>
  </rcc>
  <rcc rId="6405" sId="2">
    <nc r="S184">
      <v>0.1</v>
    </nc>
  </rcc>
  <rcc rId="6406" sId="2">
    <nc r="T184">
      <v>0.1</v>
    </nc>
  </rcc>
  <rcc rId="6407" sId="2">
    <nc r="S185">
      <v>0.1</v>
    </nc>
  </rcc>
  <rcc rId="6408" sId="2">
    <nc r="T185">
      <v>0.1</v>
    </nc>
  </rcc>
  <rcc rId="6409" sId="2">
    <nc r="S186">
      <v>0.1</v>
    </nc>
  </rcc>
  <rcc rId="6410" sId="2">
    <nc r="T186">
      <v>0.1</v>
    </nc>
  </rcc>
  <rcc rId="6411" sId="2">
    <nc r="S187">
      <v>0.1</v>
    </nc>
  </rcc>
  <rcc rId="6412" sId="2">
    <nc r="T187">
      <v>0.1</v>
    </nc>
  </rcc>
  <rcc rId="6413" sId="2">
    <nc r="S188">
      <v>0.1</v>
    </nc>
  </rcc>
  <rcc rId="6414" sId="2">
    <nc r="T188">
      <v>0.1</v>
    </nc>
  </rcc>
  <rcc rId="6415" sId="2">
    <nc r="S191">
      <v>0.1</v>
    </nc>
  </rcc>
  <rcc rId="6416" sId="2">
    <nc r="T191">
      <v>0.1</v>
    </nc>
  </rcc>
  <rcc rId="6417" sId="2">
    <nc r="S192">
      <v>0.1</v>
    </nc>
  </rcc>
  <rcc rId="6418" sId="2">
    <nc r="T192">
      <v>0.1</v>
    </nc>
  </rcc>
  <rcc rId="6419" sId="2">
    <nc r="S193">
      <v>0.1</v>
    </nc>
  </rcc>
  <rcc rId="6420" sId="2">
    <nc r="T193">
      <v>0.1</v>
    </nc>
  </rcc>
  <rcc rId="6421" sId="2">
    <nc r="S194">
      <v>0.1</v>
    </nc>
  </rcc>
  <rcc rId="6422" sId="2">
    <nc r="T194">
      <v>0.1</v>
    </nc>
  </rcc>
  <rcc rId="6423" sId="2">
    <nc r="S195">
      <v>0.1</v>
    </nc>
  </rcc>
  <rcc rId="6424" sId="2">
    <nc r="T195">
      <v>0.1</v>
    </nc>
  </rcc>
  <rcc rId="6425" sId="2">
    <nc r="S196">
      <v>0.1</v>
    </nc>
  </rcc>
  <rcc rId="6426" sId="2">
    <nc r="T196">
      <v>0.1</v>
    </nc>
  </rcc>
  <rcc rId="6427" sId="2">
    <nc r="S197">
      <v>0.1</v>
    </nc>
  </rcc>
  <rcc rId="6428" sId="2">
    <nc r="T197">
      <v>0.1</v>
    </nc>
  </rcc>
  <rcc rId="6429" sId="2">
    <nc r="S198">
      <v>0.1</v>
    </nc>
  </rcc>
  <rcc rId="6430" sId="2">
    <nc r="T198">
      <v>0.1</v>
    </nc>
  </rcc>
  <rcc rId="6431" sId="2">
    <nc r="S199">
      <v>0.1</v>
    </nc>
  </rcc>
  <rcc rId="6432" sId="2">
    <nc r="T199">
      <v>0.1</v>
    </nc>
  </rcc>
  <rcc rId="6433" sId="2">
    <nc r="S200">
      <v>0.1</v>
    </nc>
  </rcc>
  <rcc rId="6434" sId="2">
    <nc r="T200">
      <v>0.1</v>
    </nc>
  </rcc>
  <rcc rId="6435" sId="2">
    <nc r="S201" t="inlineStr">
      <is>
        <t>NA</t>
      </is>
    </nc>
  </rcc>
  <rcc rId="6436" sId="2">
    <nc r="T201" t="inlineStr">
      <is>
        <t>NA</t>
      </is>
    </nc>
  </rcc>
  <rcc rId="6437" sId="2">
    <nc r="S202">
      <v>0.1</v>
    </nc>
  </rcc>
  <rcc rId="6438" sId="2">
    <nc r="T202">
      <v>0.1</v>
    </nc>
  </rcc>
  <rcc rId="6439" sId="2">
    <nc r="S203">
      <v>0.1</v>
    </nc>
  </rcc>
  <rcc rId="6440" sId="2">
    <nc r="T203">
      <v>0.1</v>
    </nc>
  </rcc>
  <rcc rId="6441" sId="2">
    <nc r="S204">
      <v>0.1</v>
    </nc>
  </rcc>
  <rcc rId="6442" sId="2">
    <nc r="T204">
      <v>0.1</v>
    </nc>
  </rcc>
  <rcc rId="6443" sId="2">
    <nc r="S205">
      <v>0.1</v>
    </nc>
  </rcc>
  <rcc rId="6444" sId="2">
    <nc r="T205">
      <v>0.1</v>
    </nc>
  </rcc>
  <rcc rId="6445" sId="2">
    <nc r="S206">
      <v>0.1</v>
    </nc>
  </rcc>
  <rcc rId="6446" sId="2">
    <nc r="T206">
      <v>0.1</v>
    </nc>
  </rcc>
  <rcc rId="6447" sId="2">
    <nc r="S207">
      <v>0.1</v>
    </nc>
  </rcc>
  <rcc rId="6448" sId="2">
    <nc r="T207">
      <v>0.1</v>
    </nc>
  </rcc>
  <rcc rId="6449" sId="2">
    <nc r="S208">
      <v>0.1</v>
    </nc>
  </rcc>
  <rcc rId="6450" sId="2">
    <nc r="T208">
      <v>0.1</v>
    </nc>
  </rcc>
  <rcc rId="6451" sId="2">
    <nc r="S209">
      <v>0.1</v>
    </nc>
  </rcc>
  <rcc rId="6452" sId="2">
    <nc r="T209">
      <v>0.1</v>
    </nc>
  </rcc>
  <rcc rId="6453" sId="2">
    <nc r="S210">
      <v>0.1</v>
    </nc>
  </rcc>
  <rcc rId="6454" sId="2">
    <nc r="T210">
      <v>0.1</v>
    </nc>
  </rcc>
  <rcc rId="6455" sId="2">
    <nc r="S211">
      <v>0.1</v>
    </nc>
  </rcc>
  <rcc rId="6456" sId="2">
    <nc r="T211">
      <v>0.1</v>
    </nc>
  </rcc>
  <rcc rId="6457" sId="2">
    <nc r="S212">
      <v>0.1</v>
    </nc>
  </rcc>
  <rcc rId="6458" sId="2">
    <nc r="T212">
      <v>0.1</v>
    </nc>
  </rcc>
  <rcc rId="6459" sId="2">
    <nc r="S213">
      <v>0.1</v>
    </nc>
  </rcc>
  <rcc rId="6460" sId="2">
    <nc r="T213">
      <v>0.1</v>
    </nc>
  </rcc>
  <rcc rId="6461" sId="2">
    <nc r="S214">
      <v>0.1</v>
    </nc>
  </rcc>
  <rcc rId="6462" sId="2">
    <nc r="T214">
      <v>0.1</v>
    </nc>
  </rcc>
  <rcc rId="6463" sId="2">
    <nc r="S215">
      <v>0.1</v>
    </nc>
  </rcc>
  <rcc rId="6464" sId="2">
    <nc r="T215">
      <v>0.1</v>
    </nc>
  </rcc>
  <rcc rId="6465" sId="2">
    <nc r="S216">
      <v>0.1</v>
    </nc>
  </rcc>
  <rcc rId="6466" sId="2">
    <nc r="T216">
      <v>0.1</v>
    </nc>
  </rcc>
  <rcc rId="6467" sId="2">
    <nc r="S217">
      <v>0.1</v>
    </nc>
  </rcc>
  <rcc rId="6468" sId="2">
    <nc r="T217">
      <v>0.1</v>
    </nc>
  </rcc>
  <rcc rId="6469" sId="2">
    <nc r="S218">
      <v>0.1</v>
    </nc>
  </rcc>
  <rcc rId="6470" sId="2">
    <nc r="T218">
      <v>0.1</v>
    </nc>
  </rcc>
  <rcc rId="6471" sId="2">
    <nc r="S219">
      <v>0.1</v>
    </nc>
  </rcc>
  <rcc rId="6472" sId="2">
    <nc r="T219">
      <v>0.1</v>
    </nc>
  </rcc>
  <rcc rId="6473" sId="2">
    <nc r="S220">
      <v>0.1</v>
    </nc>
  </rcc>
  <rcc rId="6474" sId="2">
    <nc r="T220">
      <v>0.1</v>
    </nc>
  </rcc>
  <rcc rId="6475" sId="2">
    <nc r="S221">
      <v>0.1</v>
    </nc>
  </rcc>
  <rcc rId="6476" sId="2">
    <nc r="T221">
      <v>0.1</v>
    </nc>
  </rcc>
  <rcc rId="6477" sId="2">
    <nc r="S222">
      <v>0.1</v>
    </nc>
  </rcc>
  <rcc rId="6478" sId="2">
    <nc r="T222">
      <v>0.1</v>
    </nc>
  </rcc>
  <rcc rId="6479" sId="2">
    <nc r="S223">
      <v>0.1</v>
    </nc>
  </rcc>
  <rcc rId="6480" sId="2">
    <nc r="T223">
      <v>0.1</v>
    </nc>
  </rcc>
  <rcc rId="6481" sId="2">
    <nc r="S224">
      <v>0.1</v>
    </nc>
  </rcc>
  <rcc rId="6482" sId="2">
    <nc r="T224">
      <v>0.1</v>
    </nc>
  </rcc>
  <rcc rId="6483" sId="2">
    <nc r="S225">
      <v>0.1</v>
    </nc>
  </rcc>
  <rcc rId="6484" sId="2">
    <nc r="T225">
      <v>0.1</v>
    </nc>
  </rcc>
  <rcc rId="6485" sId="2">
    <nc r="S226">
      <v>0.2</v>
    </nc>
  </rcc>
  <rcc rId="6486" sId="2">
    <nc r="T226">
      <v>0.2</v>
    </nc>
  </rcc>
  <rcc rId="6487" sId="2">
    <nc r="S227">
      <v>0.1</v>
    </nc>
  </rcc>
  <rcc rId="6488" sId="2">
    <nc r="T227">
      <v>0.2</v>
    </nc>
  </rcc>
  <rcc rId="6489" sId="2">
    <nc r="S228">
      <v>0.2</v>
    </nc>
  </rcc>
  <rcc rId="6490" sId="2">
    <nc r="T228">
      <v>0.2</v>
    </nc>
  </rcc>
  <rcc rId="6491" sId="2">
    <nc r="S229">
      <v>0.2</v>
    </nc>
  </rcc>
  <rcc rId="6492" sId="2">
    <nc r="T229">
      <v>0.2</v>
    </nc>
  </rcc>
  <rcc rId="6493" sId="2">
    <nc r="S230">
      <v>0.1</v>
    </nc>
  </rcc>
  <rcc rId="6494" sId="2">
    <nc r="T230">
      <v>0.1</v>
    </nc>
  </rcc>
  <rcc rId="6495" sId="2">
    <nc r="S231">
      <v>0.1</v>
    </nc>
  </rcc>
  <rcc rId="6496" sId="2">
    <nc r="T231">
      <v>0.1</v>
    </nc>
  </rcc>
  <rcc rId="6497" sId="2">
    <nc r="S232">
      <v>0.1</v>
    </nc>
  </rcc>
  <rcc rId="6498" sId="2">
    <nc r="T232">
      <v>0.1</v>
    </nc>
  </rcc>
  <rcc rId="6499" sId="2">
    <nc r="S233">
      <v>0.1</v>
    </nc>
  </rcc>
  <rcc rId="6500" sId="2">
    <nc r="T233">
      <v>0.1</v>
    </nc>
  </rcc>
  <rcc rId="6501" sId="2">
    <nc r="S234">
      <v>0.1</v>
    </nc>
  </rcc>
  <rcc rId="6502" sId="2">
    <nc r="T234">
      <v>0.1</v>
    </nc>
  </rcc>
  <rcc rId="6503" sId="2">
    <nc r="S235">
      <v>0.1</v>
    </nc>
  </rcc>
  <rcc rId="6504" sId="2">
    <nc r="T235">
      <v>0.2</v>
    </nc>
  </rcc>
  <rcc rId="6505" sId="2">
    <nc r="S236">
      <v>0.1</v>
    </nc>
  </rcc>
  <rcc rId="6506" sId="2">
    <nc r="T236">
      <v>0.1</v>
    </nc>
  </rcc>
  <rcc rId="6507" sId="2">
    <nc r="S237">
      <v>0.1</v>
    </nc>
  </rcc>
  <rcc rId="6508" sId="2">
    <nc r="T237">
      <v>0.2</v>
    </nc>
  </rcc>
  <rcc rId="6509" sId="2">
    <nc r="S238">
      <v>0.2</v>
    </nc>
  </rcc>
  <rcc rId="6510" sId="2">
    <nc r="T238">
      <v>0.1</v>
    </nc>
  </rcc>
  <rcc rId="6511" sId="2">
    <nc r="S239">
      <v>0.1</v>
    </nc>
  </rcc>
  <rcc rId="6512" sId="2">
    <nc r="T239">
      <v>0.1</v>
    </nc>
  </rcc>
  <rcc rId="6513" sId="2">
    <nc r="S240">
      <v>0.1</v>
    </nc>
  </rcc>
  <rcc rId="6514" sId="2">
    <nc r="T240">
      <v>0.1</v>
    </nc>
  </rcc>
  <rcc rId="6515" sId="2">
    <nc r="S241">
      <v>0.1</v>
    </nc>
  </rcc>
  <rcc rId="6516" sId="2">
    <nc r="T241">
      <v>0.2</v>
    </nc>
  </rcc>
  <rcc rId="6517" sId="2">
    <nc r="S242">
      <v>0.1</v>
    </nc>
  </rcc>
  <rcc rId="6518" sId="2">
    <nc r="T242">
      <v>0.1</v>
    </nc>
  </rcc>
  <rcc rId="6519" sId="2">
    <nc r="S243">
      <v>0.2</v>
    </nc>
  </rcc>
  <rcc rId="6520" sId="2">
    <nc r="T243">
      <v>0.2</v>
    </nc>
  </rcc>
  <rcc rId="6521" sId="2">
    <nc r="S244">
      <v>0.2</v>
    </nc>
  </rcc>
  <rcc rId="6522" sId="2">
    <nc r="T244">
      <v>0.2</v>
    </nc>
  </rcc>
  <rcc rId="6523" sId="2">
    <nc r="S245">
      <v>0.2</v>
    </nc>
  </rcc>
  <rcc rId="6524" sId="2">
    <nc r="T245">
      <v>0.1</v>
    </nc>
  </rcc>
  <rcc rId="6525" sId="2">
    <nc r="S246">
      <v>0.1</v>
    </nc>
  </rcc>
  <rcc rId="6526" sId="2">
    <nc r="T246">
      <v>0.1</v>
    </nc>
  </rcc>
  <rcc rId="6527" sId="2">
    <nc r="S247">
      <v>0.1</v>
    </nc>
  </rcc>
  <rcc rId="6528" sId="2">
    <nc r="T247">
      <v>0.2</v>
    </nc>
  </rcc>
  <rcc rId="6529" sId="2">
    <nc r="S248">
      <v>0.1</v>
    </nc>
  </rcc>
  <rcc rId="6530" sId="2">
    <nc r="T248">
      <v>0.1</v>
    </nc>
  </rcc>
  <rcc rId="6531" sId="2">
    <nc r="S249">
      <v>0.2</v>
    </nc>
  </rcc>
  <rcc rId="6532" sId="2">
    <nc r="T249">
      <v>0.1</v>
    </nc>
  </rcc>
  <rcc rId="6533" sId="2">
    <nc r="S250">
      <v>0.1</v>
    </nc>
  </rcc>
  <rcc rId="6534" sId="2">
    <nc r="T250">
      <v>0.2</v>
    </nc>
  </rcc>
  <rcc rId="6535" sId="2">
    <nc r="S251">
      <v>0.2</v>
    </nc>
  </rcc>
  <rcc rId="6536" sId="2">
    <nc r="T251">
      <v>0.2</v>
    </nc>
  </rcc>
  <rcc rId="6537" sId="2">
    <nc r="S252">
      <v>0.2</v>
    </nc>
  </rcc>
  <rcc rId="6538" sId="2">
    <nc r="T252">
      <v>0.2</v>
    </nc>
  </rcc>
  <rcc rId="6539" sId="2">
    <nc r="S253">
      <v>0.1</v>
    </nc>
  </rcc>
  <rcc rId="6540" sId="2">
    <nc r="T253">
      <v>0.2</v>
    </nc>
  </rcc>
  <rcc rId="6541" sId="2">
    <nc r="T254">
      <v>0.1</v>
    </nc>
  </rcc>
  <rcc rId="6542" sId="2">
    <nc r="S255">
      <v>0.1</v>
    </nc>
  </rcc>
  <rcc rId="6543" sId="2">
    <nc r="T255">
      <v>0.2</v>
    </nc>
  </rcc>
  <rcc rId="6544" sId="2">
    <nc r="S256">
      <v>0.1</v>
    </nc>
  </rcc>
  <rcc rId="6545" sId="2">
    <nc r="T256">
      <v>0.2</v>
    </nc>
  </rcc>
  <rcc rId="6546" sId="2">
    <nc r="S257">
      <v>0.2</v>
    </nc>
  </rcc>
  <rcc rId="6547" sId="2">
    <nc r="T257">
      <v>0.1</v>
    </nc>
  </rcc>
  <rcc rId="6548" sId="2">
    <nc r="S258">
      <v>0.1</v>
    </nc>
  </rcc>
  <rcc rId="6549" sId="2">
    <nc r="T258">
      <v>0.2</v>
    </nc>
  </rcc>
  <rcc rId="6550" sId="2">
    <nc r="S259">
      <v>0.2</v>
    </nc>
  </rcc>
  <rcc rId="6551" sId="2">
    <nc r="T259">
      <v>0.1</v>
    </nc>
  </rcc>
  <rcc rId="6552" sId="2">
    <nc r="S260">
      <v>0.1</v>
    </nc>
  </rcc>
  <rcc rId="6553" sId="2">
    <nc r="T260">
      <v>0.1</v>
    </nc>
  </rcc>
  <rrc rId="6554" sId="2" ref="V1:W1048576" action="insertCol"/>
  <rm rId="6555" sheetId="2" source="S1:T1048576" destination="V1:W1048576" sourceSheetId="2">
    <rfmt sheetId="2" xfDxf="1" sqref="V1:V1048576" start="0" length="0">
      <dxf>
        <alignment horizontal="left"/>
      </dxf>
    </rfmt>
    <rfmt sheetId="2" xfDxf="1" sqref="V1:V1048576" start="0" length="0">
      <dxf>
        <alignment horizontal="left"/>
      </dxf>
    </rfmt>
    <rfmt sheetId="2" sqref="V3" start="0" length="0">
      <dxf>
        <font>
          <sz val="12"/>
          <color rgb="FFFF0000"/>
          <name val="Calibri"/>
          <family val="2"/>
          <scheme val="minor"/>
        </font>
      </dxf>
    </rfmt>
    <rfmt sheetId="2" sqref="W3" start="0" length="0">
      <dxf>
        <font>
          <sz val="12"/>
          <color rgb="FFFF0000"/>
          <name val="Calibri"/>
          <family val="2"/>
          <scheme val="minor"/>
        </font>
      </dxf>
    </rfmt>
    <rfmt sheetId="2" sqref="V13" start="0" length="0">
      <dxf>
        <font>
          <sz val="12"/>
          <color rgb="FFFF0000"/>
          <name val="Calibri"/>
          <family val="2"/>
          <scheme val="minor"/>
        </font>
      </dxf>
    </rfmt>
    <rfmt sheetId="2" sqref="W13" start="0" length="0">
      <dxf>
        <font>
          <sz val="12"/>
          <color rgb="FFFF0000"/>
          <name val="Calibri"/>
          <family val="2"/>
          <scheme val="minor"/>
        </font>
      </dxf>
    </rfmt>
    <rfmt sheetId="2" sqref="V14" start="0" length="0">
      <dxf>
        <font>
          <sz val="12"/>
          <color rgb="FFFF0000"/>
          <name val="Calibri"/>
          <family val="2"/>
          <scheme val="minor"/>
        </font>
      </dxf>
    </rfmt>
    <rfmt sheetId="2" sqref="W14" start="0" length="0">
      <dxf>
        <font>
          <sz val="12"/>
          <color rgb="FFFF0000"/>
          <name val="Calibri"/>
          <family val="2"/>
          <scheme val="minor"/>
        </font>
      </dxf>
    </rfmt>
    <rfmt sheetId="2" sqref="V86" start="0" length="0">
      <dxf>
        <font>
          <sz val="12"/>
          <color rgb="FF000000"/>
          <name val="Calibri"/>
          <family val="2"/>
          <scheme val="minor"/>
        </font>
      </dxf>
    </rfmt>
    <rfmt sheetId="2" sqref="W86" start="0" length="0">
      <dxf>
        <font>
          <sz val="12"/>
          <color rgb="FF000000"/>
          <name val="Calibri"/>
          <family val="2"/>
          <scheme val="minor"/>
        </font>
      </dxf>
    </rfmt>
    <rfmt sheetId="2" sqref="V202" start="0" length="0">
      <dxf>
        <fill>
          <patternFill patternType="solid">
            <bgColor rgb="FFFFFF00"/>
          </patternFill>
        </fill>
      </dxf>
    </rfmt>
    <rfmt sheetId="2" sqref="W202" start="0" length="0">
      <dxf>
        <fill>
          <patternFill patternType="solid">
            <bgColor rgb="FFFFFF00"/>
          </patternFill>
        </fill>
      </dxf>
    </rfmt>
    <rfmt sheetId="2" sqref="V203" start="0" length="0">
      <dxf>
        <fill>
          <patternFill patternType="solid">
            <bgColor rgb="FFFFFF00"/>
          </patternFill>
        </fill>
      </dxf>
    </rfmt>
    <rfmt sheetId="2" sqref="W203" start="0" length="0">
      <dxf>
        <fill>
          <patternFill patternType="solid">
            <bgColor rgb="FFFFFF00"/>
          </patternFill>
        </fill>
      </dxf>
    </rfmt>
    <rfmt sheetId="2" sqref="V204" start="0" length="0">
      <dxf>
        <fill>
          <patternFill patternType="solid">
            <bgColor rgb="FFFFFF00"/>
          </patternFill>
        </fill>
      </dxf>
    </rfmt>
    <rfmt sheetId="2" sqref="W204" start="0" length="0">
      <dxf>
        <fill>
          <patternFill patternType="solid">
            <bgColor rgb="FFFFFF00"/>
          </patternFill>
        </fill>
      </dxf>
    </rfmt>
    <rfmt sheetId="2" sqref="V213" start="0" length="0">
      <dxf>
        <fill>
          <patternFill patternType="solid">
            <bgColor theme="0"/>
          </patternFill>
        </fill>
      </dxf>
    </rfmt>
    <rfmt sheetId="2" sqref="W213" start="0" length="0">
      <dxf>
        <fill>
          <patternFill patternType="solid">
            <bgColor theme="0"/>
          </patternFill>
        </fill>
      </dxf>
    </rfmt>
    <rfmt sheetId="2" sqref="V214" start="0" length="0">
      <dxf>
        <fill>
          <patternFill patternType="solid">
            <bgColor theme="0"/>
          </patternFill>
        </fill>
      </dxf>
    </rfmt>
    <rfmt sheetId="2" sqref="W214" start="0" length="0">
      <dxf>
        <fill>
          <patternFill patternType="solid">
            <bgColor theme="0"/>
          </patternFill>
        </fill>
      </dxf>
    </rfmt>
    <rfmt sheetId="2" sqref="V215" start="0" length="0">
      <dxf>
        <fill>
          <patternFill patternType="solid">
            <bgColor theme="0"/>
          </patternFill>
        </fill>
      </dxf>
    </rfmt>
    <rfmt sheetId="2" sqref="W215" start="0" length="0">
      <dxf>
        <fill>
          <patternFill patternType="solid">
            <bgColor theme="0"/>
          </patternFill>
        </fill>
      </dxf>
    </rfmt>
    <rfmt sheetId="2" sqref="V216" start="0" length="0">
      <dxf>
        <fill>
          <patternFill patternType="solid">
            <bgColor theme="0"/>
          </patternFill>
        </fill>
      </dxf>
    </rfmt>
    <rfmt sheetId="2" sqref="W216" start="0" length="0">
      <dxf>
        <fill>
          <patternFill patternType="solid">
            <bgColor theme="0"/>
          </patternFill>
        </fill>
      </dxf>
    </rfmt>
    <rfmt sheetId="2" sqref="V217" start="0" length="0">
      <dxf>
        <fill>
          <patternFill patternType="solid">
            <bgColor theme="0"/>
          </patternFill>
        </fill>
      </dxf>
    </rfmt>
    <rfmt sheetId="2" sqref="W217" start="0" length="0">
      <dxf>
        <fill>
          <patternFill patternType="solid">
            <bgColor theme="0"/>
          </patternFill>
        </fill>
      </dxf>
    </rfmt>
  </rm>
  <rrc rId="6556" sId="2" ref="S1:S1048576" action="deleteCol">
    <rfmt sheetId="2" xfDxf="1" sqref="S1:S1048576" start="0" length="0"/>
    <rfmt sheetId="2" sqref="S59" start="0" length="0">
      <dxf>
        <font>
          <sz val="12"/>
          <color rgb="FFFF0000"/>
          <name val="Calibri"/>
          <family val="2"/>
          <scheme val="minor"/>
        </font>
        <alignment horizontal="left" vertical="top"/>
      </dxf>
    </rfmt>
    <rfmt sheetId="2" sqref="S63" start="0" length="0">
      <dxf>
        <font>
          <sz val="12"/>
          <color rgb="FFFF0000"/>
          <name val="Calibri"/>
          <family val="2"/>
          <scheme val="minor"/>
        </font>
        <alignment horizontal="left" vertical="top"/>
      </dxf>
    </rfmt>
    <rfmt sheetId="2" sqref="S64" start="0" length="0">
      <dxf>
        <font>
          <sz val="12"/>
          <color rgb="FFFF0000"/>
          <name val="Calibri"/>
          <family val="2"/>
          <scheme val="minor"/>
        </font>
        <alignment horizontal="left" vertical="top"/>
      </dxf>
    </rfmt>
    <rfmt sheetId="2" sqref="S77" start="0" length="0">
      <dxf>
        <font>
          <sz val="12"/>
          <color rgb="FFFF0000"/>
          <name val="Calibri"/>
          <family val="2"/>
          <scheme val="minor"/>
        </font>
        <alignment horizontal="left" vertical="top"/>
      </dxf>
    </rfmt>
    <rfmt sheetId="2" sqref="S78" start="0" length="0">
      <dxf>
        <font>
          <sz val="12"/>
          <color rgb="FFFF0000"/>
          <name val="Calibri"/>
          <family val="2"/>
          <scheme val="minor"/>
        </font>
        <alignment horizontal="left" vertical="top"/>
      </dxf>
    </rfmt>
    <rfmt sheetId="2" sqref="S79" start="0" length="0">
      <dxf>
        <font>
          <sz val="12"/>
          <color rgb="FFFF0000"/>
          <name val="Calibri"/>
          <family val="2"/>
          <scheme val="minor"/>
        </font>
        <alignment horizontal="left" vertical="top"/>
      </dxf>
    </rfmt>
    <rfmt sheetId="2" sqref="S202" start="0" length="0">
      <dxf>
        <fill>
          <patternFill patternType="solid">
            <bgColor rgb="FFFFFF00"/>
          </patternFill>
        </fill>
        <alignment horizontal="left" vertical="top"/>
      </dxf>
    </rfmt>
    <rfmt sheetId="2" sqref="S203" start="0" length="0">
      <dxf>
        <fill>
          <patternFill patternType="solid">
            <bgColor rgb="FFFFFF00"/>
          </patternFill>
        </fill>
        <alignment horizontal="left" vertical="top"/>
      </dxf>
    </rfmt>
    <rfmt sheetId="2" sqref="S204" start="0" length="0">
      <dxf>
        <fill>
          <patternFill patternType="solid">
            <bgColor rgb="FFFFFF00"/>
          </patternFill>
        </fill>
        <alignment horizontal="left" vertical="top"/>
      </dxf>
    </rfmt>
    <rfmt sheetId="2" sqref="S213" start="0" length="0">
      <dxf>
        <fill>
          <patternFill patternType="solid">
            <bgColor theme="0"/>
          </patternFill>
        </fill>
        <alignment horizontal="left" vertical="top"/>
      </dxf>
    </rfmt>
    <rfmt sheetId="2" sqref="S214" start="0" length="0">
      <dxf>
        <fill>
          <patternFill patternType="solid">
            <bgColor theme="0"/>
          </patternFill>
        </fill>
        <alignment horizontal="left" vertical="top"/>
      </dxf>
    </rfmt>
    <rfmt sheetId="2" sqref="S215" start="0" length="0">
      <dxf>
        <fill>
          <patternFill patternType="solid">
            <bgColor theme="0"/>
          </patternFill>
        </fill>
        <alignment horizontal="left" vertical="top"/>
      </dxf>
    </rfmt>
    <rfmt sheetId="2" sqref="S216" start="0" length="0">
      <dxf>
        <fill>
          <patternFill patternType="solid">
            <bgColor theme="0"/>
          </patternFill>
        </fill>
        <alignment horizontal="left" vertical="top"/>
      </dxf>
    </rfmt>
    <rfmt sheetId="2" sqref="S217" start="0" length="0">
      <dxf>
        <fill>
          <patternFill patternType="solid">
            <bgColor theme="0"/>
          </patternFill>
        </fill>
        <alignment horizontal="left" vertical="top"/>
      </dxf>
    </rfmt>
  </rrc>
  <rrc rId="6557" sId="2" ref="S1:S1048576" action="deleteCol">
    <rfmt sheetId="2" xfDxf="1" sqref="S1:S1048576" start="0" length="0"/>
    <rfmt sheetId="2" sqref="S59" start="0" length="0">
      <dxf>
        <font>
          <sz val="12"/>
          <color rgb="FFFF0000"/>
          <name val="Calibri"/>
          <family val="2"/>
          <scheme val="minor"/>
        </font>
        <alignment horizontal="left" vertical="top"/>
      </dxf>
    </rfmt>
    <rfmt sheetId="2" sqref="S63" start="0" length="0">
      <dxf>
        <font>
          <sz val="12"/>
          <color rgb="FFFF0000"/>
          <name val="Calibri"/>
          <family val="2"/>
          <scheme val="minor"/>
        </font>
        <alignment horizontal="left" vertical="top"/>
      </dxf>
    </rfmt>
    <rfmt sheetId="2" sqref="S64" start="0" length="0">
      <dxf>
        <font>
          <sz val="12"/>
          <color rgb="FFFF0000"/>
          <name val="Calibri"/>
          <family val="2"/>
          <scheme val="minor"/>
        </font>
        <alignment horizontal="left" vertical="top"/>
      </dxf>
    </rfmt>
    <rfmt sheetId="2" sqref="S77" start="0" length="0">
      <dxf>
        <font>
          <sz val="12"/>
          <color rgb="FFFF0000"/>
          <name val="Calibri"/>
          <family val="2"/>
          <scheme val="minor"/>
        </font>
        <alignment horizontal="left" vertical="top"/>
      </dxf>
    </rfmt>
    <rfmt sheetId="2" sqref="S78" start="0" length="0">
      <dxf>
        <font>
          <sz val="12"/>
          <color rgb="FFFF0000"/>
          <name val="Calibri"/>
          <family val="2"/>
          <scheme val="minor"/>
        </font>
        <alignment horizontal="left" vertical="top"/>
      </dxf>
    </rfmt>
    <rfmt sheetId="2" sqref="S79" start="0" length="0">
      <dxf>
        <font>
          <sz val="12"/>
          <color rgb="FFFF0000"/>
          <name val="Calibri"/>
          <family val="2"/>
          <scheme val="minor"/>
        </font>
        <alignment horizontal="left" vertical="top"/>
      </dxf>
    </rfmt>
    <rfmt sheetId="2" sqref="S202" start="0" length="0">
      <dxf>
        <fill>
          <patternFill patternType="solid">
            <bgColor rgb="FFFFFF00"/>
          </patternFill>
        </fill>
        <alignment horizontal="left" vertical="top"/>
      </dxf>
    </rfmt>
    <rfmt sheetId="2" sqref="S203" start="0" length="0">
      <dxf>
        <fill>
          <patternFill patternType="solid">
            <bgColor rgb="FFFFFF00"/>
          </patternFill>
        </fill>
        <alignment horizontal="left" vertical="top"/>
      </dxf>
    </rfmt>
    <rfmt sheetId="2" sqref="S204" start="0" length="0">
      <dxf>
        <fill>
          <patternFill patternType="solid">
            <bgColor rgb="FFFFFF00"/>
          </patternFill>
        </fill>
        <alignment horizontal="left" vertical="top"/>
      </dxf>
    </rfmt>
    <rfmt sheetId="2" sqref="S213" start="0" length="0">
      <dxf>
        <fill>
          <patternFill patternType="solid">
            <bgColor theme="0"/>
          </patternFill>
        </fill>
        <alignment horizontal="left" vertical="top"/>
      </dxf>
    </rfmt>
    <rfmt sheetId="2" sqref="S214" start="0" length="0">
      <dxf>
        <fill>
          <patternFill patternType="solid">
            <bgColor theme="0"/>
          </patternFill>
        </fill>
        <alignment horizontal="left" vertical="top"/>
      </dxf>
    </rfmt>
    <rfmt sheetId="2" sqref="S215" start="0" length="0">
      <dxf>
        <fill>
          <patternFill patternType="solid">
            <bgColor theme="0"/>
          </patternFill>
        </fill>
        <alignment horizontal="left" vertical="top"/>
      </dxf>
    </rfmt>
    <rfmt sheetId="2" sqref="S216" start="0" length="0">
      <dxf>
        <fill>
          <patternFill patternType="solid">
            <bgColor theme="0"/>
          </patternFill>
        </fill>
        <alignment horizontal="left" vertical="top"/>
      </dxf>
    </rfmt>
    <rfmt sheetId="2" sqref="S217" start="0" length="0">
      <dxf>
        <fill>
          <patternFill patternType="solid">
            <bgColor theme="0"/>
          </patternFill>
        </fill>
        <alignment horizontal="left" vertical="top"/>
      </dxf>
    </rfmt>
  </rrc>
  <rcc rId="6558" sId="2">
    <oc r="S46">
      <v>57.59</v>
    </oc>
    <nc r="S46">
      <v>38.39</v>
    </nc>
  </rcc>
  <rcc rId="6559" sId="2">
    <oc r="S49">
      <v>57.59</v>
    </oc>
    <nc r="S49">
      <v>38.39</v>
    </nc>
  </rcc>
  <rcc rId="6560" sId="2">
    <oc r="S52">
      <v>57.59</v>
    </oc>
    <nc r="S52">
      <v>38.39</v>
    </nc>
  </rcc>
  <rcc rId="6561" sId="2">
    <oc r="S61">
      <v>57.59</v>
    </oc>
    <nc r="S61">
      <v>38.39</v>
    </nc>
  </rcc>
  <rcc rId="6562" sId="2">
    <oc r="S62">
      <v>57.59</v>
    </oc>
    <nc r="S62">
      <v>38.39</v>
    </nc>
  </rcc>
  <rcc rId="6563" sId="2">
    <oc r="S64">
      <v>57.59</v>
    </oc>
    <nc r="S64">
      <v>38.39</v>
    </nc>
  </rcc>
  <rcc rId="6564" sId="2">
    <oc r="S72">
      <v>57.59</v>
    </oc>
    <nc r="S72">
      <v>38.39</v>
    </nc>
  </rcc>
  <rcc rId="6565" sId="2">
    <oc r="S76">
      <v>57.59</v>
    </oc>
    <nc r="S76">
      <v>38.39</v>
    </nc>
  </rcc>
  <rcc rId="6566" sId="2">
    <oc r="S82">
      <v>57.59</v>
    </oc>
    <nc r="S82">
      <v>38.39</v>
    </nc>
  </rcc>
  <rcc rId="6567" sId="2">
    <oc r="S87">
      <v>57.59</v>
    </oc>
    <nc r="S87">
      <v>38.39</v>
    </nc>
  </rcc>
  <rcc rId="6568" sId="2">
    <oc r="S94">
      <v>57.59</v>
    </oc>
    <nc r="S94">
      <v>38.39</v>
    </nc>
  </rcc>
  <rcc rId="6569" sId="2">
    <oc r="S104">
      <v>57.59</v>
    </oc>
    <nc r="S104">
      <v>38.39</v>
    </nc>
  </rcc>
  <rcc rId="6570" sId="2">
    <oc r="S109">
      <v>57.59</v>
    </oc>
    <nc r="S109">
      <v>38.39</v>
    </nc>
  </rcc>
  <rcc rId="6571" sId="2">
    <oc r="S112">
      <v>57.59</v>
    </oc>
    <nc r="S112">
      <v>38.39</v>
    </nc>
  </rcc>
  <rcc rId="6572" sId="2">
    <oc r="S118">
      <v>57.59</v>
    </oc>
    <nc r="S118">
      <v>38.39</v>
    </nc>
  </rcc>
  <rcc rId="6573" sId="2">
    <oc r="S119">
      <v>57.59</v>
    </oc>
    <nc r="S119">
      <v>38.39</v>
    </nc>
  </rcc>
  <rcc rId="6574" sId="2">
    <oc r="S120">
      <v>57.59</v>
    </oc>
    <nc r="S120">
      <v>38.39</v>
    </nc>
  </rcc>
  <rcc rId="6575" sId="2">
    <oc r="R62">
      <v>57.59</v>
    </oc>
    <nc r="R62">
      <v>38.39</v>
    </nc>
  </rcc>
  <rcc rId="6576" sId="2">
    <oc r="R119">
      <v>57.59</v>
    </oc>
    <nc r="R119">
      <v>38.39</v>
    </nc>
  </rcc>
  <rcc rId="6577" sId="2">
    <oc r="R120">
      <v>57.59</v>
    </oc>
    <nc r="R120">
      <v>38.39</v>
    </nc>
  </rcc>
  <rcv guid="{8A75D892-44B4-104C-BB94-8EB0D0E43396}" action="delete"/>
  <rdn rId="0" localSheetId="1" customView="1" name="Z_8A75D892_44B4_104C_BB94_8EB0D0E43396_.wvu.FilterData" hidden="1" oldHidden="1">
    <formula>maze1!$A$1:$W$338</formula>
  </rdn>
  <rdn rId="0" localSheetId="2" customView="1" name="Z_8A75D892_44B4_104C_BB94_8EB0D0E43396_.wvu.FilterData" hidden="1" oldHidden="1">
    <formula>maze2!$A$1:$Y$263</formula>
  </rdn>
  <rcv guid="{8A75D892-44B4-104C-BB94-8EB0D0E43396}" action="add"/>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6580" sId="1" ref="R1:R1048576" action="deleteCol">
    <rfmt sheetId="1" xfDxf="1" sqref="R1:R1048576" start="0" length="0">
      <dxf>
        <numFmt numFmtId="2" formatCode="0.00"/>
        <fill>
          <patternFill patternType="solid">
            <bgColor rgb="FFFF0000"/>
          </patternFill>
        </fill>
        <alignment horizontal="left"/>
      </dxf>
    </rfmt>
    <rcc rId="0" sId="1">
      <nc r="R1" t="inlineStr">
        <is>
          <t>vpatt_freq_dep</t>
        </is>
      </nc>
    </rcc>
    <rcc rId="0" sId="1" dxf="1">
      <nc r="R2">
        <v>0.1</v>
      </nc>
      <ndxf>
        <numFmt numFmtId="0" formatCode="General"/>
      </ndxf>
    </rcc>
    <rcc rId="0" sId="1" dxf="1">
      <nc r="R3">
        <v>0.1</v>
      </nc>
      <ndxf>
        <numFmt numFmtId="0" formatCode="General"/>
      </ndxf>
    </rcc>
    <rcc rId="0" sId="1" dxf="1">
      <nc r="R7">
        <v>0.1</v>
      </nc>
      <ndxf>
        <numFmt numFmtId="0" formatCode="General"/>
      </ndxf>
    </rcc>
    <rcc rId="0" sId="1" dxf="1">
      <nc r="R9">
        <v>0.1</v>
      </nc>
      <ndxf>
        <numFmt numFmtId="0" formatCode="General"/>
      </ndxf>
    </rcc>
    <rcc rId="0" sId="1" dxf="1">
      <nc r="R10">
        <v>0.1</v>
      </nc>
      <ndxf>
        <numFmt numFmtId="0" formatCode="General"/>
      </ndxf>
    </rcc>
    <rcc rId="0" sId="1" dxf="1">
      <nc r="R11">
        <v>0.1</v>
      </nc>
      <ndxf>
        <numFmt numFmtId="0" formatCode="General"/>
      </ndxf>
    </rcc>
    <rcc rId="0" sId="1" dxf="1">
      <nc r="R12">
        <v>0.1</v>
      </nc>
      <ndxf>
        <numFmt numFmtId="0" formatCode="General"/>
      </ndxf>
    </rcc>
    <rcc rId="0" sId="1" dxf="1">
      <nc r="R13">
        <v>0.1</v>
      </nc>
      <ndxf>
        <numFmt numFmtId="0" formatCode="General"/>
      </ndxf>
    </rcc>
    <rcc rId="0" sId="1" dxf="1">
      <nc r="R14">
        <v>0.1</v>
      </nc>
      <ndxf>
        <numFmt numFmtId="0" formatCode="General"/>
      </ndxf>
    </rcc>
    <rcc rId="0" sId="1" dxf="1">
      <nc r="R15">
        <v>0.1</v>
      </nc>
      <ndxf>
        <numFmt numFmtId="0" formatCode="General"/>
      </ndxf>
    </rcc>
    <rcc rId="0" sId="1" dxf="1">
      <nc r="R16">
        <v>0.1</v>
      </nc>
      <ndxf>
        <numFmt numFmtId="0" formatCode="General"/>
      </ndxf>
    </rcc>
    <rcc rId="0" sId="1" dxf="1">
      <nc r="R17">
        <v>0.1</v>
      </nc>
      <ndxf>
        <numFmt numFmtId="0" formatCode="General"/>
      </ndxf>
    </rcc>
    <rcc rId="0" sId="1" dxf="1">
      <nc r="R18">
        <v>0.1</v>
      </nc>
      <ndxf>
        <numFmt numFmtId="0" formatCode="General"/>
      </ndxf>
    </rcc>
    <rcc rId="0" sId="1" dxf="1">
      <nc r="R19">
        <v>0.1</v>
      </nc>
      <ndxf>
        <numFmt numFmtId="0" formatCode="General"/>
      </ndxf>
    </rcc>
    <rcc rId="0" sId="1" dxf="1">
      <nc r="R20">
        <v>0.1</v>
      </nc>
      <ndxf>
        <numFmt numFmtId="0" formatCode="General"/>
      </ndxf>
    </rcc>
    <rcc rId="0" sId="1" dxf="1">
      <nc r="R21">
        <v>0.1</v>
      </nc>
      <ndxf>
        <numFmt numFmtId="0" formatCode="General"/>
      </ndxf>
    </rcc>
    <rcc rId="0" sId="1" dxf="1">
      <nc r="R22">
        <v>0.1</v>
      </nc>
      <ndxf>
        <numFmt numFmtId="0" formatCode="General"/>
      </ndxf>
    </rcc>
    <rcc rId="0" sId="1" dxf="1">
      <nc r="R23">
        <v>0.1</v>
      </nc>
      <ndxf>
        <numFmt numFmtId="0" formatCode="General"/>
      </ndxf>
    </rcc>
    <rcc rId="0" sId="1" dxf="1">
      <nc r="R24">
        <v>0.1</v>
      </nc>
      <ndxf>
        <numFmt numFmtId="0" formatCode="General"/>
      </ndxf>
    </rcc>
    <rcc rId="0" sId="1" dxf="1">
      <nc r="R25">
        <v>0.1</v>
      </nc>
      <ndxf>
        <numFmt numFmtId="0" formatCode="General"/>
      </ndxf>
    </rcc>
    <rcc rId="0" sId="1" dxf="1">
      <nc r="R26">
        <v>0.1</v>
      </nc>
      <ndxf>
        <numFmt numFmtId="0" formatCode="General"/>
      </ndxf>
    </rcc>
    <rcc rId="0" sId="1" dxf="1">
      <nc r="R27">
        <v>0.1</v>
      </nc>
      <ndxf>
        <numFmt numFmtId="0" formatCode="General"/>
      </ndxf>
    </rcc>
    <rcc rId="0" sId="1" dxf="1">
      <nc r="R28">
        <v>0.1</v>
      </nc>
      <ndxf>
        <numFmt numFmtId="0" formatCode="General"/>
      </ndxf>
    </rcc>
    <rcc rId="0" sId="1" dxf="1">
      <nc r="R29">
        <v>0.1</v>
      </nc>
      <ndxf>
        <numFmt numFmtId="0" formatCode="General"/>
      </ndxf>
    </rcc>
    <rcc rId="0" sId="1" dxf="1">
      <nc r="R30">
        <v>0.1</v>
      </nc>
      <ndxf>
        <numFmt numFmtId="0" formatCode="General"/>
      </ndxf>
    </rcc>
    <rcc rId="0" sId="1" dxf="1">
      <nc r="R31">
        <v>0.1</v>
      </nc>
      <ndxf>
        <numFmt numFmtId="0" formatCode="General"/>
      </ndxf>
    </rcc>
    <rcc rId="0" sId="1" dxf="1">
      <nc r="R32">
        <v>0.05</v>
      </nc>
      <ndxf>
        <numFmt numFmtId="0" formatCode="General"/>
      </ndxf>
    </rcc>
    <rcc rId="0" sId="1" dxf="1">
      <nc r="R33">
        <v>0.1</v>
      </nc>
      <ndxf>
        <numFmt numFmtId="0" formatCode="General"/>
      </ndxf>
    </rcc>
    <rcc rId="0" sId="1" dxf="1">
      <nc r="R36">
        <v>0.1</v>
      </nc>
      <ndxf>
        <numFmt numFmtId="0" formatCode="General"/>
      </ndxf>
    </rcc>
    <rcc rId="0" sId="1" dxf="1">
      <nc r="R37">
        <v>0.1</v>
      </nc>
      <ndxf>
        <numFmt numFmtId="0" formatCode="General"/>
      </ndxf>
    </rcc>
    <rcc rId="0" sId="1" dxf="1">
      <nc r="R38">
        <v>0.1</v>
      </nc>
      <ndxf>
        <numFmt numFmtId="0" formatCode="General"/>
      </ndxf>
    </rcc>
    <rcc rId="0" sId="1" dxf="1">
      <nc r="R39">
        <v>0.1</v>
      </nc>
      <ndxf>
        <numFmt numFmtId="0" formatCode="General"/>
      </ndxf>
    </rcc>
    <rcc rId="0" sId="1" dxf="1">
      <nc r="R40">
        <v>0.1</v>
      </nc>
      <ndxf>
        <numFmt numFmtId="0" formatCode="General"/>
      </ndxf>
    </rcc>
    <rcc rId="0" sId="1" dxf="1">
      <nc r="R41">
        <v>0.1</v>
      </nc>
      <ndxf>
        <numFmt numFmtId="0" formatCode="General"/>
      </ndxf>
    </rcc>
    <rcc rId="0" sId="1" dxf="1">
      <nc r="R42">
        <v>0.1</v>
      </nc>
      <ndxf>
        <numFmt numFmtId="0" formatCode="General"/>
      </ndxf>
    </rcc>
    <rcc rId="0" sId="1" dxf="1">
      <nc r="R43">
        <v>0.05</v>
      </nc>
      <ndxf>
        <numFmt numFmtId="0" formatCode="General"/>
      </ndxf>
    </rcc>
    <rcc rId="0" sId="1" dxf="1">
      <nc r="R44">
        <v>0.05</v>
      </nc>
      <ndxf>
        <numFmt numFmtId="0" formatCode="General"/>
      </ndxf>
    </rcc>
    <rcc rId="0" sId="1" dxf="1">
      <nc r="R45">
        <v>0.05</v>
      </nc>
      <ndxf>
        <numFmt numFmtId="0" formatCode="General"/>
      </ndxf>
    </rcc>
    <rcc rId="0" sId="1" dxf="1">
      <nc r="R46">
        <v>0.05</v>
      </nc>
      <ndxf>
        <numFmt numFmtId="0" formatCode="General"/>
      </ndxf>
    </rcc>
    <rcc rId="0" sId="1" dxf="1">
      <nc r="R47">
        <v>0.05</v>
      </nc>
      <ndxf>
        <numFmt numFmtId="0" formatCode="General"/>
      </ndxf>
    </rcc>
    <rcc rId="0" sId="1" dxf="1">
      <nc r="R48">
        <v>0.05</v>
      </nc>
      <ndxf>
        <numFmt numFmtId="0" formatCode="General"/>
      </ndxf>
    </rcc>
    <rcc rId="0" sId="1" dxf="1">
      <nc r="R49">
        <v>0.05</v>
      </nc>
      <ndxf>
        <numFmt numFmtId="0" formatCode="General"/>
      </ndxf>
    </rcc>
    <rcc rId="0" sId="1" dxf="1">
      <nc r="R50">
        <v>0.05</v>
      </nc>
      <ndxf>
        <numFmt numFmtId="0" formatCode="General"/>
      </ndxf>
    </rcc>
    <rcc rId="0" sId="1" dxf="1">
      <nc r="R51">
        <v>0.05</v>
      </nc>
      <ndxf>
        <numFmt numFmtId="0" formatCode="General"/>
      </ndxf>
    </rcc>
    <rcc rId="0" sId="1" dxf="1">
      <nc r="R52">
        <v>0.05</v>
      </nc>
      <ndxf>
        <numFmt numFmtId="0" formatCode="General"/>
      </ndxf>
    </rcc>
    <rcc rId="0" sId="1" dxf="1">
      <nc r="R53">
        <v>0.05</v>
      </nc>
      <ndxf>
        <numFmt numFmtId="0" formatCode="General"/>
      </ndxf>
    </rcc>
    <rcc rId="0" sId="1" dxf="1">
      <nc r="R54">
        <v>0.05</v>
      </nc>
      <ndxf>
        <numFmt numFmtId="0" formatCode="General"/>
      </ndxf>
    </rcc>
    <rcc rId="0" sId="1" dxf="1">
      <nc r="R55">
        <v>0.05</v>
      </nc>
      <ndxf>
        <numFmt numFmtId="0" formatCode="General"/>
      </ndxf>
    </rcc>
    <rcc rId="0" sId="1" dxf="1">
      <nc r="R56">
        <v>0.05</v>
      </nc>
      <ndxf>
        <numFmt numFmtId="0" formatCode="General"/>
      </ndxf>
    </rcc>
    <rcc rId="0" sId="1" dxf="1">
      <nc r="R57">
        <v>0.05</v>
      </nc>
      <ndxf>
        <numFmt numFmtId="0" formatCode="General"/>
      </ndxf>
    </rcc>
    <rcc rId="0" sId="1" dxf="1">
      <nc r="R58">
        <v>0.05</v>
      </nc>
      <ndxf>
        <numFmt numFmtId="0" formatCode="General"/>
      </ndxf>
    </rcc>
    <rcc rId="0" sId="1" dxf="1">
      <nc r="R59">
        <v>0.05</v>
      </nc>
      <ndxf>
        <numFmt numFmtId="0" formatCode="General"/>
      </ndxf>
    </rcc>
    <rcc rId="0" sId="1" dxf="1">
      <nc r="R60">
        <v>0.05</v>
      </nc>
      <ndxf>
        <numFmt numFmtId="0" formatCode="General"/>
      </ndxf>
    </rcc>
    <rcc rId="0" sId="1" dxf="1">
      <nc r="R61">
        <v>0.05</v>
      </nc>
      <ndxf>
        <numFmt numFmtId="0" formatCode="General"/>
      </ndxf>
    </rcc>
    <rcc rId="0" sId="1" dxf="1">
      <nc r="R62">
        <v>0.05</v>
      </nc>
      <ndxf>
        <numFmt numFmtId="0" formatCode="General"/>
      </ndxf>
    </rcc>
    <rcc rId="0" sId="1" dxf="1">
      <nc r="R63">
        <v>0.05</v>
      </nc>
      <ndxf>
        <numFmt numFmtId="0" formatCode="General"/>
      </ndxf>
    </rcc>
    <rcc rId="0" sId="1" dxf="1">
      <nc r="R66">
        <v>0.5</v>
      </nc>
      <ndxf>
        <numFmt numFmtId="0" formatCode="General"/>
      </ndxf>
    </rcc>
    <rcc rId="0" sId="1" dxf="1">
      <nc r="R67">
        <v>0.05</v>
      </nc>
      <ndxf>
        <numFmt numFmtId="0" formatCode="General"/>
      </ndxf>
    </rcc>
    <rcc rId="0" sId="1" dxf="1">
      <nc r="R68">
        <v>0.05</v>
      </nc>
      <ndxf>
        <numFmt numFmtId="0" formatCode="General"/>
      </ndxf>
    </rcc>
    <rcc rId="0" sId="1" dxf="1">
      <nc r="R69">
        <v>0.05</v>
      </nc>
      <ndxf>
        <numFmt numFmtId="0" formatCode="General"/>
      </ndxf>
    </rcc>
    <rcc rId="0" sId="1" dxf="1">
      <nc r="R70">
        <v>0.05</v>
      </nc>
      <ndxf>
        <numFmt numFmtId="0" formatCode="General"/>
      </ndxf>
    </rcc>
    <rcc rId="0" sId="1" dxf="1">
      <nc r="R71">
        <v>0.05</v>
      </nc>
      <ndxf>
        <numFmt numFmtId="0" formatCode="General"/>
      </ndxf>
    </rcc>
    <rcc rId="0" sId="1" dxf="1">
      <nc r="R72">
        <v>0.15</v>
      </nc>
      <ndxf>
        <numFmt numFmtId="0" formatCode="General"/>
      </ndxf>
    </rcc>
    <rcc rId="0" sId="1" dxf="1">
      <nc r="R73">
        <v>0.05</v>
      </nc>
      <ndxf>
        <numFmt numFmtId="0" formatCode="General"/>
      </ndxf>
    </rcc>
    <rcc rId="0" sId="1" dxf="1">
      <nc r="R74">
        <v>0.05</v>
      </nc>
      <ndxf>
        <numFmt numFmtId="0" formatCode="General"/>
      </ndxf>
    </rcc>
    <rcc rId="0" sId="1" dxf="1">
      <nc r="R75">
        <v>0.05</v>
      </nc>
      <ndxf>
        <numFmt numFmtId="0" formatCode="General"/>
      </ndxf>
    </rcc>
    <rcc rId="0" sId="1" dxf="1">
      <nc r="R76">
        <v>0.05</v>
      </nc>
      <ndxf>
        <numFmt numFmtId="0" formatCode="General"/>
      </ndxf>
    </rcc>
    <rcc rId="0" sId="1" dxf="1">
      <nc r="R77">
        <v>0.05</v>
      </nc>
      <ndxf>
        <numFmt numFmtId="0" formatCode="General"/>
      </ndxf>
    </rcc>
    <rcc rId="0" sId="1" dxf="1">
      <nc r="R78">
        <v>0.05</v>
      </nc>
      <ndxf>
        <numFmt numFmtId="0" formatCode="General"/>
      </ndxf>
    </rcc>
    <rcc rId="0" sId="1" dxf="1">
      <nc r="R79">
        <v>0.05</v>
      </nc>
      <ndxf>
        <numFmt numFmtId="0" formatCode="General"/>
      </ndxf>
    </rcc>
    <rcc rId="0" sId="1" dxf="1">
      <nc r="R80">
        <v>0.05</v>
      </nc>
      <ndxf>
        <numFmt numFmtId="0" formatCode="General"/>
      </ndxf>
    </rcc>
    <rcc rId="0" sId="1" dxf="1">
      <nc r="R81">
        <v>0.05</v>
      </nc>
      <ndxf>
        <numFmt numFmtId="0" formatCode="General"/>
      </ndxf>
    </rcc>
    <rcc rId="0" sId="1" dxf="1">
      <nc r="R82">
        <v>0.1</v>
      </nc>
      <ndxf>
        <numFmt numFmtId="0" formatCode="General"/>
      </ndxf>
    </rcc>
    <rcc rId="0" sId="1" dxf="1">
      <nc r="R83">
        <v>0.05</v>
      </nc>
      <ndxf>
        <numFmt numFmtId="0" formatCode="General"/>
      </ndxf>
    </rcc>
    <rcc rId="0" sId="1" dxf="1">
      <nc r="R84">
        <v>0.05</v>
      </nc>
      <ndxf>
        <numFmt numFmtId="0" formatCode="General"/>
      </ndxf>
    </rcc>
    <rcc rId="0" sId="1" dxf="1">
      <nc r="R85">
        <v>0.05</v>
      </nc>
      <ndxf>
        <numFmt numFmtId="0" formatCode="General"/>
      </ndxf>
    </rcc>
    <rcc rId="0" sId="1" dxf="1">
      <nc r="R86">
        <v>0.05</v>
      </nc>
      <ndxf>
        <numFmt numFmtId="0" formatCode="General"/>
      </ndxf>
    </rcc>
    <rcc rId="0" sId="1" dxf="1">
      <nc r="R87">
        <v>0.05</v>
      </nc>
      <ndxf>
        <numFmt numFmtId="0" formatCode="General"/>
      </ndxf>
    </rcc>
    <rcc rId="0" sId="1" dxf="1">
      <nc r="R88">
        <v>0.05</v>
      </nc>
      <ndxf>
        <numFmt numFmtId="0" formatCode="General"/>
      </ndxf>
    </rcc>
    <rcc rId="0" sId="1" dxf="1">
      <nc r="R89">
        <v>0.05</v>
      </nc>
      <ndxf>
        <numFmt numFmtId="0" formatCode="General"/>
      </ndxf>
    </rcc>
    <rcc rId="0" sId="1" dxf="1">
      <nc r="R90">
        <v>0.05</v>
      </nc>
      <ndxf>
        <numFmt numFmtId="0" formatCode="General"/>
      </ndxf>
    </rcc>
    <rcc rId="0" sId="1" dxf="1">
      <nc r="R91">
        <v>0.05</v>
      </nc>
      <ndxf>
        <numFmt numFmtId="0" formatCode="General"/>
      </ndxf>
    </rcc>
    <rcc rId="0" sId="1" dxf="1">
      <nc r="R92">
        <v>0.05</v>
      </nc>
      <ndxf>
        <numFmt numFmtId="0" formatCode="General"/>
      </ndxf>
    </rcc>
    <rcc rId="0" sId="1" dxf="1">
      <nc r="R93">
        <v>0.05</v>
      </nc>
      <ndxf>
        <numFmt numFmtId="0" formatCode="General"/>
      </ndxf>
    </rcc>
    <rcc rId="0" sId="1" dxf="1">
      <nc r="R94">
        <v>0.05</v>
      </nc>
      <ndxf>
        <numFmt numFmtId="0" formatCode="General"/>
      </ndxf>
    </rcc>
    <rcc rId="0" sId="1" numFmtId="4">
      <nc r="R95">
        <v>0.05</v>
      </nc>
    </rcc>
    <rcc rId="0" sId="1" dxf="1">
      <nc r="R96">
        <v>0.05</v>
      </nc>
      <ndxf>
        <numFmt numFmtId="0" formatCode="General"/>
      </ndxf>
    </rcc>
    <rcc rId="0" sId="1" numFmtId="4">
      <nc r="R97">
        <v>0.05</v>
      </nc>
    </rcc>
    <rcc rId="0" sId="1" dxf="1">
      <nc r="R102">
        <v>0.05</v>
      </nc>
      <ndxf>
        <numFmt numFmtId="0" formatCode="General"/>
      </ndxf>
    </rcc>
    <rfmt sheetId="1" sqref="R103" start="0" length="0">
      <dxf>
        <numFmt numFmtId="0" formatCode="General"/>
      </dxf>
    </rfmt>
    <rcc rId="0" sId="1" dxf="1">
      <nc r="R104">
        <v>0.05</v>
      </nc>
      <ndxf>
        <numFmt numFmtId="0" formatCode="General"/>
      </ndxf>
    </rcc>
    <rcc rId="0" sId="1" dxf="1">
      <nc r="R106">
        <v>0.05</v>
      </nc>
      <ndxf>
        <numFmt numFmtId="0" formatCode="General"/>
      </ndxf>
    </rcc>
    <rcc rId="0" sId="1" dxf="1">
      <nc r="R107">
        <v>0.05</v>
      </nc>
      <ndxf>
        <numFmt numFmtId="0" formatCode="General"/>
      </ndxf>
    </rcc>
    <rcc rId="0" sId="1" dxf="1">
      <nc r="R109">
        <v>0.05</v>
      </nc>
      <ndxf>
        <numFmt numFmtId="0" formatCode="General"/>
      </ndxf>
    </rcc>
    <rcc rId="0" sId="1" dxf="1">
      <nc r="R110">
        <v>0.05</v>
      </nc>
      <ndxf>
        <numFmt numFmtId="0" formatCode="General"/>
      </ndxf>
    </rcc>
    <rcc rId="0" sId="1" dxf="1">
      <nc r="R111">
        <v>0.05</v>
      </nc>
      <ndxf>
        <numFmt numFmtId="0" formatCode="General"/>
      </ndxf>
    </rcc>
    <rcc rId="0" sId="1" dxf="1">
      <nc r="R112">
        <v>0.05</v>
      </nc>
      <ndxf>
        <numFmt numFmtId="0" formatCode="General"/>
      </ndxf>
    </rcc>
    <rcc rId="0" sId="1" dxf="1">
      <nc r="R113">
        <v>0.05</v>
      </nc>
      <ndxf>
        <numFmt numFmtId="0" formatCode="General"/>
      </ndxf>
    </rcc>
    <rcc rId="0" sId="1" numFmtId="4">
      <nc r="R114">
        <v>0.05</v>
      </nc>
    </rcc>
    <rcc rId="0" sId="1" numFmtId="4">
      <nc r="R115">
        <v>0.15</v>
      </nc>
    </rcc>
    <rcc rId="0" sId="1" numFmtId="4">
      <nc r="R116">
        <v>0.15</v>
      </nc>
    </rcc>
    <rcc rId="0" sId="1" dxf="1">
      <nc r="R117">
        <v>0.3</v>
      </nc>
      <ndxf>
        <numFmt numFmtId="0" formatCode="General"/>
      </ndxf>
    </rcc>
    <rcc rId="0" sId="1" dxf="1">
      <nc r="R118">
        <v>0.3</v>
      </nc>
      <ndxf>
        <numFmt numFmtId="0" formatCode="General"/>
      </ndxf>
    </rcc>
    <rcc rId="0" sId="1" dxf="1">
      <nc r="R119">
        <v>0.3</v>
      </nc>
      <ndxf>
        <numFmt numFmtId="0" formatCode="General"/>
      </ndxf>
    </rcc>
    <rcc rId="0" sId="1" dxf="1">
      <nc r="R120">
        <v>0.3</v>
      </nc>
      <ndxf>
        <numFmt numFmtId="0" formatCode="General"/>
      </ndxf>
    </rcc>
    <rcc rId="0" sId="1" numFmtId="4">
      <nc r="R121">
        <v>0.15</v>
      </nc>
    </rcc>
    <rcc rId="0" sId="1" numFmtId="4">
      <nc r="R122">
        <v>0.3</v>
      </nc>
    </rcc>
    <rcc rId="0" sId="1" numFmtId="4">
      <nc r="R123">
        <v>0.3</v>
      </nc>
    </rcc>
    <rcc rId="0" sId="1" numFmtId="4">
      <nc r="R124">
        <v>0.3</v>
      </nc>
    </rcc>
    <rcc rId="0" sId="1" numFmtId="4">
      <nc r="R125">
        <v>0.3</v>
      </nc>
    </rcc>
    <rcc rId="0" sId="1" numFmtId="4">
      <nc r="R126">
        <v>0.3</v>
      </nc>
    </rcc>
    <rcc rId="0" sId="1" dxf="1">
      <nc r="R127">
        <v>0.15</v>
      </nc>
      <ndxf>
        <numFmt numFmtId="0" formatCode="General"/>
      </ndxf>
    </rcc>
    <rcc rId="0" sId="1" dxf="1">
      <nc r="R128">
        <v>0.15</v>
      </nc>
      <ndxf>
        <numFmt numFmtId="0" formatCode="General"/>
      </ndxf>
    </rcc>
    <rcc rId="0" sId="1" numFmtId="4">
      <nc r="R129">
        <v>0.1</v>
      </nc>
    </rcc>
    <rcc rId="0" sId="1" numFmtId="4">
      <nc r="R130">
        <v>0.3</v>
      </nc>
    </rcc>
    <rcc rId="0" sId="1" numFmtId="4">
      <nc r="R131">
        <v>0.3</v>
      </nc>
    </rcc>
    <rcc rId="0" sId="1" numFmtId="4">
      <nc r="R132">
        <v>0.3</v>
      </nc>
    </rcc>
    <rcc rId="0" sId="1" numFmtId="4">
      <nc r="R133">
        <v>0.3</v>
      </nc>
    </rcc>
    <rcc rId="0" sId="1" numFmtId="4">
      <nc r="R134">
        <v>0.3</v>
      </nc>
    </rcc>
    <rcc rId="0" sId="1" numFmtId="4">
      <nc r="R135">
        <v>0.3</v>
      </nc>
    </rcc>
    <rcc rId="0" sId="1" dxf="1" numFmtId="4">
      <nc r="R136">
        <v>0.3</v>
      </nc>
      <ndxf>
        <font>
          <sz val="12"/>
          <color rgb="FF000000"/>
          <name val="Calibri"/>
          <family val="2"/>
          <scheme val="minor"/>
        </font>
      </ndxf>
    </rcc>
    <rcc rId="0" sId="1" numFmtId="4">
      <nc r="R137">
        <v>0.1</v>
      </nc>
    </rcc>
    <rcc rId="0" sId="1" numFmtId="4">
      <nc r="R138">
        <v>0.1</v>
      </nc>
    </rcc>
    <rcc rId="0" sId="1" numFmtId="4">
      <nc r="R139">
        <v>0.05</v>
      </nc>
    </rcc>
    <rcc rId="0" sId="1" numFmtId="4">
      <nc r="R140">
        <v>0.05</v>
      </nc>
    </rcc>
    <rcc rId="0" sId="1" numFmtId="4">
      <nc r="R141">
        <v>0.05</v>
      </nc>
    </rcc>
    <rcc rId="0" sId="1" numFmtId="4">
      <nc r="R142">
        <v>0.05</v>
      </nc>
    </rcc>
    <rcc rId="0" sId="1" numFmtId="4">
      <nc r="R143">
        <v>0.05</v>
      </nc>
    </rcc>
    <rcc rId="0" sId="1" numFmtId="4">
      <nc r="R144">
        <v>0.05</v>
      </nc>
    </rcc>
    <rcc rId="0" sId="1" numFmtId="4">
      <nc r="R145">
        <v>0.05</v>
      </nc>
    </rcc>
    <rcc rId="0" sId="1" numFmtId="4">
      <nc r="R146">
        <v>0.05</v>
      </nc>
    </rcc>
    <rcc rId="0" sId="1" numFmtId="4">
      <nc r="R147">
        <v>0.05</v>
      </nc>
    </rcc>
    <rcc rId="0" sId="1" numFmtId="4">
      <nc r="R148">
        <v>0.05</v>
      </nc>
    </rcc>
    <rcc rId="0" sId="1" numFmtId="4">
      <nc r="R149">
        <v>0.05</v>
      </nc>
    </rcc>
    <rcc rId="0" sId="1" numFmtId="4">
      <nc r="R150">
        <v>0.05</v>
      </nc>
    </rcc>
    <rcc rId="0" sId="1" numFmtId="4">
      <nc r="R151">
        <v>0.05</v>
      </nc>
    </rcc>
    <rcc rId="0" sId="1" numFmtId="4">
      <nc r="R152">
        <v>0.05</v>
      </nc>
    </rcc>
    <rcc rId="0" sId="1" numFmtId="4">
      <nc r="R153">
        <v>0.05</v>
      </nc>
    </rcc>
    <rcc rId="0" sId="1" numFmtId="4">
      <nc r="R154">
        <v>0.05</v>
      </nc>
    </rcc>
    <rcc rId="0" sId="1" numFmtId="4">
      <nc r="R155">
        <v>0.05</v>
      </nc>
    </rcc>
    <rcc rId="0" sId="1" numFmtId="4">
      <nc r="R156">
        <v>0.05</v>
      </nc>
    </rcc>
    <rcc rId="0" sId="1" numFmtId="4">
      <nc r="R157">
        <v>0.05</v>
      </nc>
    </rcc>
    <rcc rId="0" sId="1" numFmtId="4">
      <nc r="R158">
        <v>0.05</v>
      </nc>
    </rcc>
    <rcc rId="0" sId="1" numFmtId="4">
      <nc r="R159">
        <v>0.05</v>
      </nc>
    </rcc>
    <rcc rId="0" sId="1" numFmtId="4">
      <nc r="R160">
        <v>0.05</v>
      </nc>
    </rcc>
    <rcc rId="0" sId="1" numFmtId="4">
      <nc r="R161">
        <v>0.05</v>
      </nc>
    </rcc>
    <rcc rId="0" sId="1" numFmtId="4">
      <nc r="R162">
        <v>0.05</v>
      </nc>
    </rcc>
    <rcc rId="0" sId="1" numFmtId="4">
      <nc r="R163">
        <v>0.05</v>
      </nc>
    </rcc>
    <rcc rId="0" sId="1" numFmtId="4">
      <nc r="R164">
        <v>0.05</v>
      </nc>
    </rcc>
    <rcc rId="0" sId="1" numFmtId="4">
      <nc r="R165">
        <v>0.05</v>
      </nc>
    </rcc>
    <rcc rId="0" sId="1" numFmtId="4">
      <nc r="R166">
        <v>0.05</v>
      </nc>
    </rcc>
    <rcc rId="0" sId="1" numFmtId="4">
      <nc r="R167">
        <v>0.05</v>
      </nc>
    </rcc>
    <rcc rId="0" sId="1" numFmtId="4">
      <nc r="R168">
        <v>0.1</v>
      </nc>
    </rcc>
    <rcc rId="0" sId="1" numFmtId="4">
      <nc r="R169">
        <v>0.1</v>
      </nc>
    </rcc>
    <rcc rId="0" sId="1" numFmtId="4">
      <nc r="R170">
        <v>0.1</v>
      </nc>
    </rcc>
    <rcc rId="0" sId="1" numFmtId="4">
      <nc r="R171">
        <v>0.1</v>
      </nc>
    </rcc>
    <rcc rId="0" sId="1" numFmtId="4">
      <nc r="R172">
        <v>0.1</v>
      </nc>
    </rcc>
    <rcc rId="0" sId="1" numFmtId="4">
      <nc r="R173">
        <v>0.1</v>
      </nc>
    </rcc>
    <rcc rId="0" sId="1" numFmtId="4">
      <nc r="R174">
        <v>0.1</v>
      </nc>
    </rcc>
    <rcc rId="0" sId="1" numFmtId="4">
      <nc r="R175">
        <v>0.1</v>
      </nc>
    </rcc>
    <rcc rId="0" sId="1" numFmtId="4">
      <nc r="R176">
        <v>0.1</v>
      </nc>
    </rcc>
    <rcc rId="0" sId="1" numFmtId="4">
      <nc r="R177">
        <v>0.1</v>
      </nc>
    </rcc>
    <rcc rId="0" sId="1" numFmtId="4">
      <nc r="R178">
        <v>0.1</v>
      </nc>
    </rcc>
    <rcc rId="0" sId="1" numFmtId="4">
      <nc r="R179">
        <v>0.1</v>
      </nc>
    </rcc>
    <rcc rId="0" sId="1" numFmtId="4">
      <nc r="R180">
        <v>0.1</v>
      </nc>
    </rcc>
    <rcc rId="0" sId="1" numFmtId="4">
      <nc r="R181">
        <v>0.1</v>
      </nc>
    </rcc>
    <rcc rId="0" sId="1" numFmtId="4">
      <nc r="R182">
        <v>0.1</v>
      </nc>
    </rcc>
    <rcc rId="0" sId="1" numFmtId="4">
      <nc r="R183">
        <v>0.1</v>
      </nc>
    </rcc>
    <rcc rId="0" sId="1" numFmtId="4">
      <nc r="R184">
        <v>0.1</v>
      </nc>
    </rcc>
    <rcc rId="0" sId="1" numFmtId="4">
      <nc r="R185">
        <v>0.1</v>
      </nc>
    </rcc>
    <rcc rId="0" sId="1" numFmtId="4">
      <nc r="R186">
        <v>0.1</v>
      </nc>
    </rcc>
    <rcc rId="0" sId="1" numFmtId="4">
      <nc r="R187">
        <v>0.1</v>
      </nc>
    </rcc>
    <rcc rId="0" sId="1" numFmtId="4">
      <nc r="R188">
        <v>0.1</v>
      </nc>
    </rcc>
    <rcc rId="0" sId="1" numFmtId="4">
      <nc r="R189">
        <v>0.1</v>
      </nc>
    </rcc>
    <rcc rId="0" sId="1" numFmtId="4">
      <nc r="R190">
        <v>0.1</v>
      </nc>
    </rcc>
    <rcc rId="0" sId="1" numFmtId="4">
      <nc r="R191">
        <v>0.1</v>
      </nc>
    </rcc>
    <rcc rId="0" sId="1" numFmtId="4">
      <nc r="R192">
        <v>0.1</v>
      </nc>
    </rcc>
    <rcc rId="0" sId="1" numFmtId="4">
      <nc r="R193">
        <v>0.1</v>
      </nc>
    </rcc>
    <rcc rId="0" sId="1" numFmtId="4">
      <nc r="R194">
        <v>0.1</v>
      </nc>
    </rcc>
    <rcc rId="0" sId="1" numFmtId="4">
      <nc r="R195">
        <v>0.1</v>
      </nc>
    </rcc>
    <rcc rId="0" sId="1" numFmtId="4">
      <nc r="R196">
        <v>0.1</v>
      </nc>
    </rcc>
    <rcc rId="0" sId="1" numFmtId="4">
      <nc r="R197">
        <v>0.1</v>
      </nc>
    </rcc>
    <rcc rId="0" sId="1" numFmtId="4">
      <nc r="R198">
        <v>0.1</v>
      </nc>
    </rcc>
    <rcc rId="0" sId="1" numFmtId="4">
      <nc r="R199">
        <v>0.3</v>
      </nc>
    </rcc>
    <rcc rId="0" sId="1" numFmtId="4">
      <nc r="R200">
        <v>0.3</v>
      </nc>
    </rcc>
    <rcc rId="0" sId="1" numFmtId="4">
      <nc r="R201">
        <v>0.3</v>
      </nc>
    </rcc>
    <rcc rId="0" sId="1" numFmtId="4">
      <nc r="R202">
        <v>0.1</v>
      </nc>
    </rcc>
    <rcc rId="0" sId="1" numFmtId="4">
      <nc r="R203">
        <v>0.1</v>
      </nc>
    </rcc>
    <rcc rId="0" sId="1" dxf="1">
      <nc r="R204" t="inlineStr">
        <is>
          <t>NA</t>
        </is>
      </nc>
      <ndxf>
        <numFmt numFmtId="0" formatCode="General"/>
      </ndxf>
    </rcc>
    <rcc rId="0" sId="1" numFmtId="4">
      <nc r="R205">
        <v>0.1</v>
      </nc>
    </rcc>
    <rcc rId="0" sId="1" numFmtId="4">
      <nc r="R206">
        <v>0.1</v>
      </nc>
    </rcc>
    <rcc rId="0" sId="1" numFmtId="4">
      <nc r="R207">
        <v>0.1</v>
      </nc>
    </rcc>
    <rcc rId="0" sId="1" numFmtId="4">
      <nc r="R208">
        <v>0.1</v>
      </nc>
    </rcc>
    <rcc rId="0" sId="1" numFmtId="4">
      <nc r="R209">
        <v>0.1</v>
      </nc>
    </rcc>
    <rcc rId="0" sId="1" numFmtId="4">
      <nc r="R210">
        <v>0.1</v>
      </nc>
    </rcc>
    <rcc rId="0" sId="1" numFmtId="4">
      <nc r="R211">
        <v>0.1</v>
      </nc>
    </rcc>
    <rcc rId="0" sId="1" numFmtId="4">
      <nc r="R212">
        <v>0.1</v>
      </nc>
    </rcc>
    <rcc rId="0" sId="1" numFmtId="4">
      <nc r="R213">
        <v>0.1</v>
      </nc>
    </rcc>
    <rcc rId="0" sId="1" numFmtId="4">
      <nc r="R214">
        <v>0.3</v>
      </nc>
    </rcc>
    <rcc rId="0" sId="1" numFmtId="4">
      <nc r="R215">
        <v>0.3</v>
      </nc>
    </rcc>
    <rcc rId="0" sId="1" numFmtId="4">
      <nc r="R216">
        <v>0.3</v>
      </nc>
    </rcc>
    <rcc rId="0" sId="1" numFmtId="4">
      <nc r="R217">
        <v>0.3</v>
      </nc>
    </rcc>
    <rcc rId="0" sId="1" numFmtId="4">
      <nc r="R218">
        <v>0.3</v>
      </nc>
    </rcc>
    <rcc rId="0" sId="1" numFmtId="4">
      <nc r="R219">
        <v>0.1</v>
      </nc>
    </rcc>
    <rcc rId="0" sId="1" numFmtId="4">
      <nc r="R220">
        <v>0.1</v>
      </nc>
    </rcc>
    <rcc rId="0" sId="1" numFmtId="4">
      <nc r="R221">
        <v>0.1</v>
      </nc>
    </rcc>
    <rcc rId="0" sId="1" numFmtId="4">
      <nc r="R222">
        <v>0.1</v>
      </nc>
    </rcc>
    <rcc rId="0" sId="1" numFmtId="4">
      <nc r="R223">
        <v>0.1</v>
      </nc>
    </rcc>
    <rcc rId="0" sId="1" numFmtId="4">
      <nc r="R224">
        <v>0.3</v>
      </nc>
    </rcc>
    <rcc rId="0" sId="1" numFmtId="4">
      <nc r="R225">
        <v>0.3</v>
      </nc>
    </rcc>
    <rcc rId="0" sId="1" dxf="1">
      <nc r="R226" t="inlineStr">
        <is>
          <t>NA</t>
        </is>
      </nc>
      <ndxf>
        <numFmt numFmtId="26" formatCode="hh:mm:ss"/>
      </ndxf>
    </rcc>
    <rcc rId="0" sId="1" numFmtId="4">
      <nc r="R227">
        <v>0.1</v>
      </nc>
    </rcc>
    <rcc rId="0" sId="1" numFmtId="4">
      <nc r="R228">
        <v>0.1</v>
      </nc>
    </rcc>
    <rcc rId="0" sId="1" numFmtId="4">
      <nc r="R229">
        <v>0.1</v>
      </nc>
    </rcc>
    <rcc rId="0" sId="1" numFmtId="4">
      <nc r="R230">
        <v>0.1</v>
      </nc>
    </rcc>
    <rcc rId="0" sId="1" numFmtId="4">
      <nc r="R231">
        <v>0.1</v>
      </nc>
    </rcc>
    <rcc rId="0" sId="1" numFmtId="4">
      <nc r="R232">
        <v>0.1</v>
      </nc>
    </rcc>
    <rcc rId="0" sId="1" numFmtId="4">
      <nc r="R233">
        <v>0.1</v>
      </nc>
    </rcc>
    <rcc rId="0" sId="1" numFmtId="4">
      <nc r="R234">
        <v>0.1</v>
      </nc>
    </rcc>
    <rcc rId="0" sId="1" numFmtId="4">
      <nc r="R235">
        <v>0.1</v>
      </nc>
    </rcc>
    <rcc rId="0" sId="1" numFmtId="4">
      <nc r="R236">
        <v>0.1</v>
      </nc>
    </rcc>
    <rcc rId="0" sId="1" numFmtId="4">
      <nc r="R237">
        <v>0.1</v>
      </nc>
    </rcc>
    <rcc rId="0" sId="1" numFmtId="4">
      <nc r="R238">
        <v>0.1</v>
      </nc>
    </rcc>
    <rcc rId="0" sId="1" numFmtId="4">
      <nc r="R239">
        <v>0.1</v>
      </nc>
    </rcc>
    <rcc rId="0" sId="1" numFmtId="4">
      <nc r="R240">
        <v>0.1</v>
      </nc>
    </rcc>
    <rcc rId="0" sId="1" numFmtId="4">
      <nc r="R241">
        <v>0.1</v>
      </nc>
    </rcc>
    <rcc rId="0" sId="1" numFmtId="4">
      <nc r="R242">
        <v>0.1</v>
      </nc>
    </rcc>
    <rcc rId="0" sId="1" numFmtId="4">
      <nc r="R243">
        <v>0.2</v>
      </nc>
    </rcc>
    <rcc rId="0" sId="1" numFmtId="4">
      <nc r="R244">
        <v>0.1</v>
      </nc>
    </rcc>
    <rcc rId="0" sId="1" numFmtId="4">
      <nc r="R245">
        <v>0.1</v>
      </nc>
    </rcc>
    <rcc rId="0" sId="1" numFmtId="4">
      <nc r="R246">
        <v>0.1</v>
      </nc>
    </rcc>
    <rcc rId="0" sId="1" numFmtId="4">
      <nc r="R247">
        <v>0.1</v>
      </nc>
    </rcc>
    <rcc rId="0" sId="1" numFmtId="4">
      <nc r="R248">
        <v>0.2</v>
      </nc>
    </rcc>
    <rcc rId="0" sId="1" numFmtId="4">
      <nc r="R249">
        <v>0.1</v>
      </nc>
    </rcc>
    <rcc rId="0" sId="1" numFmtId="4">
      <nc r="R250">
        <v>0.1</v>
      </nc>
    </rcc>
    <rcc rId="0" sId="1" numFmtId="4">
      <nc r="R251">
        <v>0.1</v>
      </nc>
    </rcc>
    <rcc rId="0" sId="1" numFmtId="4">
      <nc r="R252">
        <v>0.1</v>
      </nc>
    </rcc>
    <rcc rId="0" sId="1" numFmtId="4">
      <nc r="R253">
        <v>0.2</v>
      </nc>
    </rcc>
    <rcc rId="0" sId="1" numFmtId="4">
      <nc r="R254">
        <v>0.1</v>
      </nc>
    </rcc>
    <rcc rId="0" sId="1" numFmtId="4">
      <nc r="R255">
        <v>0.1</v>
      </nc>
    </rcc>
    <rcc rId="0" sId="1" numFmtId="4">
      <nc r="R256">
        <v>0.2</v>
      </nc>
    </rcc>
    <rcc rId="0" sId="1" numFmtId="4">
      <nc r="R257">
        <v>0.2</v>
      </nc>
    </rcc>
    <rcc rId="0" sId="1" numFmtId="4">
      <nc r="R258">
        <v>0.1</v>
      </nc>
    </rcc>
    <rcc rId="0" sId="1" numFmtId="4">
      <nc r="R259">
        <v>0.1</v>
      </nc>
    </rcc>
    <rcc rId="0" sId="1" numFmtId="4">
      <nc r="R260">
        <v>0.1</v>
      </nc>
    </rcc>
    <rcc rId="0" sId="1" numFmtId="4">
      <nc r="R261">
        <v>0.1</v>
      </nc>
    </rcc>
    <rcc rId="0" sId="1" numFmtId="4">
      <nc r="R262">
        <v>0.2</v>
      </nc>
    </rcc>
    <rcc rId="0" sId="1" numFmtId="4">
      <nc r="R263">
        <v>0.1</v>
      </nc>
    </rcc>
    <rcc rId="0" sId="1" numFmtId="4">
      <nc r="R264">
        <v>0.1</v>
      </nc>
    </rcc>
    <rcc rId="0" sId="1" numFmtId="4">
      <nc r="R265">
        <v>0.1</v>
      </nc>
    </rcc>
    <rcc rId="0" sId="1" numFmtId="4">
      <nc r="R266">
        <v>0.1</v>
      </nc>
    </rcc>
    <rcc rId="0" sId="1" numFmtId="4">
      <nc r="R267">
        <v>0.1</v>
      </nc>
    </rcc>
    <rcc rId="0" sId="1" numFmtId="4">
      <nc r="R268">
        <v>0.2</v>
      </nc>
    </rcc>
    <rcc rId="0" sId="1" numFmtId="4">
      <nc r="R269">
        <v>0.2</v>
      </nc>
    </rcc>
    <rcc rId="0" sId="1" numFmtId="4">
      <nc r="R270">
        <v>0.2</v>
      </nc>
    </rcc>
    <rcc rId="0" sId="1" numFmtId="4">
      <nc r="R271">
        <v>0.2</v>
      </nc>
    </rcc>
    <rcc rId="0" sId="1" numFmtId="4">
      <nc r="R272">
        <v>0.2</v>
      </nc>
    </rcc>
    <rcc rId="0" sId="1" numFmtId="4">
      <nc r="R273">
        <v>0.2</v>
      </nc>
    </rcc>
    <rcc rId="0" sId="1" numFmtId="4">
      <nc r="R274">
        <v>0.2</v>
      </nc>
    </rcc>
    <rcc rId="0" sId="1" numFmtId="4">
      <nc r="R275">
        <v>0.2</v>
      </nc>
    </rcc>
    <rcc rId="0" sId="1" numFmtId="4">
      <nc r="R276">
        <v>0.1</v>
      </nc>
    </rcc>
    <rcc rId="0" sId="1" numFmtId="4">
      <nc r="R277">
        <v>0.2</v>
      </nc>
    </rcc>
    <rcc rId="0" sId="1" numFmtId="4">
      <nc r="R278">
        <v>0.2</v>
      </nc>
    </rcc>
    <rcc rId="0" sId="1" numFmtId="4">
      <nc r="R279">
        <v>0.1</v>
      </nc>
    </rcc>
    <rcc rId="0" sId="1" numFmtId="4">
      <nc r="R280">
        <v>0.15</v>
      </nc>
    </rcc>
    <rcc rId="0" sId="1" numFmtId="4">
      <nc r="R281">
        <v>0.15</v>
      </nc>
    </rcc>
    <rcc rId="0" sId="1" numFmtId="4">
      <nc r="R282">
        <v>0.15</v>
      </nc>
    </rcc>
    <rcc rId="0" sId="1" numFmtId="4">
      <nc r="R283">
        <v>0.15</v>
      </nc>
    </rcc>
    <rcc rId="0" sId="1" numFmtId="4">
      <nc r="R284">
        <v>0.15</v>
      </nc>
    </rcc>
    <rcc rId="0" sId="1" numFmtId="4">
      <nc r="R285">
        <v>0.15</v>
      </nc>
    </rcc>
    <rcc rId="0" sId="1" numFmtId="4">
      <nc r="R286">
        <v>0.15</v>
      </nc>
    </rcc>
    <rcc rId="0" sId="1" numFmtId="4">
      <nc r="R287">
        <v>0.15</v>
      </nc>
    </rcc>
    <rcc rId="0" sId="1" numFmtId="4">
      <nc r="R288">
        <v>0.15</v>
      </nc>
    </rcc>
    <rcc rId="0" sId="1" numFmtId="4">
      <nc r="R289">
        <v>0.15</v>
      </nc>
    </rcc>
    <rcc rId="0" sId="1" numFmtId="4">
      <nc r="R290">
        <v>0.15</v>
      </nc>
    </rcc>
    <rcc rId="0" sId="1" numFmtId="4">
      <nc r="R291">
        <v>0.15</v>
      </nc>
    </rcc>
    <rcc rId="0" sId="1" numFmtId="4">
      <nc r="R292">
        <v>0.15</v>
      </nc>
    </rcc>
    <rcc rId="0" sId="1" numFmtId="4">
      <nc r="R293">
        <v>0.15</v>
      </nc>
    </rcc>
    <rcc rId="0" sId="1" numFmtId="4">
      <nc r="R294">
        <v>0.15</v>
      </nc>
    </rcc>
    <rcc rId="0" sId="1" numFmtId="4">
      <nc r="R295">
        <v>0.15</v>
      </nc>
    </rcc>
    <rcc rId="0" sId="1" numFmtId="4">
      <nc r="R296">
        <v>0.15</v>
      </nc>
    </rcc>
    <rcc rId="0" sId="1" numFmtId="4">
      <nc r="R297">
        <v>0.15</v>
      </nc>
    </rcc>
    <rcc rId="0" sId="1" numFmtId="4">
      <nc r="R298">
        <v>0.15</v>
      </nc>
    </rcc>
    <rcc rId="0" sId="1" numFmtId="4">
      <nc r="R299">
        <v>0.15</v>
      </nc>
    </rcc>
    <rcc rId="0" sId="1" numFmtId="4">
      <nc r="R300">
        <v>0.15</v>
      </nc>
    </rcc>
    <rcc rId="0" sId="1" numFmtId="4">
      <nc r="R301">
        <v>0.15</v>
      </nc>
    </rcc>
    <rcc rId="0" sId="1" numFmtId="4">
      <nc r="R302">
        <v>0.15</v>
      </nc>
    </rcc>
    <rcc rId="0" sId="1" numFmtId="4">
      <nc r="R303">
        <v>0.15</v>
      </nc>
    </rcc>
    <rcc rId="0" sId="1" numFmtId="4">
      <nc r="R304">
        <v>0.15</v>
      </nc>
    </rcc>
    <rcc rId="0" sId="1" numFmtId="4">
      <nc r="R305">
        <v>0.15</v>
      </nc>
    </rcc>
    <rcc rId="0" sId="1" numFmtId="4">
      <nc r="R306">
        <v>0.15</v>
      </nc>
    </rcc>
    <rcc rId="0" sId="1" numFmtId="4">
      <nc r="R307">
        <v>0.15</v>
      </nc>
    </rcc>
    <rcc rId="0" sId="1" numFmtId="4">
      <nc r="R308">
        <v>0.15</v>
      </nc>
    </rcc>
    <rcc rId="0" sId="1" numFmtId="4">
      <nc r="R309">
        <v>0.05</v>
      </nc>
    </rcc>
    <rcc rId="0" sId="1" numFmtId="4">
      <nc r="R310">
        <v>0.05</v>
      </nc>
    </rcc>
    <rcc rId="0" sId="1" numFmtId="4">
      <nc r="R311">
        <v>0.05</v>
      </nc>
    </rcc>
    <rcc rId="0" sId="1" numFmtId="4">
      <nc r="R312">
        <v>0.05</v>
      </nc>
    </rcc>
    <rcc rId="0" sId="1" numFmtId="4">
      <nc r="R313">
        <v>0.05</v>
      </nc>
    </rcc>
    <rcc rId="0" sId="1" numFmtId="4">
      <nc r="R314">
        <v>0.05</v>
      </nc>
    </rcc>
    <rcc rId="0" sId="1" numFmtId="4">
      <nc r="R315">
        <v>0.05</v>
      </nc>
    </rcc>
    <rcc rId="0" sId="1" numFmtId="4">
      <nc r="R316">
        <v>0.05</v>
      </nc>
    </rcc>
    <rcc rId="0" sId="1" numFmtId="4">
      <nc r="R317">
        <v>0.05</v>
      </nc>
    </rcc>
    <rcc rId="0" sId="1" numFmtId="4">
      <nc r="R318">
        <v>0.05</v>
      </nc>
    </rcc>
    <rcc rId="0" sId="1" numFmtId="4">
      <nc r="R319">
        <v>0.05</v>
      </nc>
    </rcc>
    <rcc rId="0" sId="1" numFmtId="4">
      <nc r="R320">
        <v>0.05</v>
      </nc>
    </rcc>
    <rcc rId="0" sId="1" numFmtId="4">
      <nc r="R321">
        <v>0.05</v>
      </nc>
    </rcc>
    <rcc rId="0" sId="1" numFmtId="4">
      <nc r="R322">
        <v>0.05</v>
      </nc>
    </rcc>
    <rcc rId="0" sId="1" numFmtId="4">
      <nc r="R323">
        <v>0.05</v>
      </nc>
    </rcc>
    <rcc rId="0" sId="1" numFmtId="4">
      <nc r="R324">
        <v>0.05</v>
      </nc>
    </rcc>
    <rcc rId="0" sId="1" numFmtId="4">
      <nc r="R326">
        <v>0.05</v>
      </nc>
    </rcc>
    <rcc rId="0" sId="1" numFmtId="4">
      <nc r="R327">
        <v>0.05</v>
      </nc>
    </rcc>
    <rcc rId="0" sId="1" numFmtId="4">
      <nc r="R328">
        <v>0.05</v>
      </nc>
    </rcc>
    <rcc rId="0" sId="1" numFmtId="4">
      <nc r="R329">
        <v>0.05</v>
      </nc>
    </rcc>
    <rcc rId="0" sId="1" numFmtId="4">
      <nc r="R330">
        <v>0.05</v>
      </nc>
    </rcc>
    <rcc rId="0" sId="1" numFmtId="4">
      <nc r="R331">
        <v>0.05</v>
      </nc>
    </rcc>
    <rcc rId="0" sId="1" numFmtId="4">
      <nc r="R332">
        <v>0.05</v>
      </nc>
    </rcc>
    <rcc rId="0" sId="1" numFmtId="4">
      <nc r="R333">
        <v>0.05</v>
      </nc>
    </rcc>
    <rcc rId="0" sId="1" numFmtId="4">
      <nc r="R334">
        <v>0.05</v>
      </nc>
    </rcc>
    <rcc rId="0" sId="1" numFmtId="4">
      <nc r="R335">
        <v>0.05</v>
      </nc>
    </rcc>
    <rcc rId="0" sId="1" numFmtId="4">
      <nc r="R336">
        <v>0.05</v>
      </nc>
    </rcc>
    <rcc rId="0" sId="1" numFmtId="4">
      <nc r="R337">
        <v>0.05</v>
      </nc>
    </rcc>
  </rrc>
  <rrc rId="6581" sId="1" ref="R1:R1048576" action="deleteCol">
    <rfmt sheetId="1" xfDxf="1" sqref="R1:R1048576" start="0" length="0">
      <dxf>
        <numFmt numFmtId="2" formatCode="0.00"/>
        <fill>
          <patternFill patternType="solid">
            <bgColor rgb="FFFF0000"/>
          </patternFill>
        </fill>
        <alignment horizontal="left"/>
      </dxf>
    </rfmt>
    <rcc rId="0" sId="1">
      <nc r="R1" t="inlineStr">
        <is>
          <t>vpatt_freq_ret</t>
        </is>
      </nc>
    </rcc>
    <rcc rId="0" sId="1">
      <nc r="R18" t="inlineStr">
        <is>
          <t>NA</t>
        </is>
      </nc>
    </rcc>
    <rcc rId="0" sId="1" dxf="1">
      <nc r="R19">
        <v>0.05</v>
      </nc>
      <ndxf>
        <numFmt numFmtId="0" formatCode="General"/>
      </ndxf>
    </rcc>
    <rcc rId="0" sId="1">
      <nc r="R20" t="inlineStr">
        <is>
          <t>NA</t>
        </is>
      </nc>
    </rcc>
    <rcc rId="0" sId="1" dxf="1">
      <nc r="R21">
        <v>0.15</v>
      </nc>
      <ndxf>
        <numFmt numFmtId="0" formatCode="General"/>
      </ndxf>
    </rcc>
    <rcc rId="0" sId="1">
      <nc r="R22" t="inlineStr">
        <is>
          <t>NA</t>
        </is>
      </nc>
    </rcc>
    <rcc rId="0" sId="1" dxf="1">
      <nc r="R23">
        <v>0.05</v>
      </nc>
      <ndxf>
        <numFmt numFmtId="0" formatCode="General"/>
      </ndxf>
    </rcc>
    <rcc rId="0" sId="1" dxf="1">
      <nc r="R24">
        <v>0.1</v>
      </nc>
      <ndxf>
        <numFmt numFmtId="0" formatCode="General"/>
      </ndxf>
    </rcc>
    <rcc rId="0" sId="1" dxf="1">
      <nc r="R25">
        <v>0.15</v>
      </nc>
      <ndxf>
        <numFmt numFmtId="0" formatCode="General"/>
      </ndxf>
    </rcc>
    <rcc rId="0" sId="1">
      <nc r="R26" t="inlineStr">
        <is>
          <t>NA</t>
        </is>
      </nc>
    </rcc>
    <rcc rId="0" sId="1">
      <nc r="R27" t="inlineStr">
        <is>
          <t>NA</t>
        </is>
      </nc>
    </rcc>
    <rcc rId="0" sId="1">
      <nc r="R28" t="inlineStr">
        <is>
          <t>NA</t>
        </is>
      </nc>
    </rcc>
    <rcc rId="0" sId="1" dxf="1">
      <nc r="R29">
        <v>0.15</v>
      </nc>
      <ndxf>
        <numFmt numFmtId="0" formatCode="General"/>
      </ndxf>
    </rcc>
    <rcc rId="0" sId="1" dxf="1">
      <nc r="R30">
        <v>0.1</v>
      </nc>
      <ndxf>
        <numFmt numFmtId="0" formatCode="General"/>
      </ndxf>
    </rcc>
    <rcc rId="0" sId="1">
      <nc r="R31" t="inlineStr">
        <is>
          <t>NA</t>
        </is>
      </nc>
    </rcc>
    <rcc rId="0" sId="1" dxf="1">
      <nc r="R32">
        <v>0.05</v>
      </nc>
      <ndxf>
        <numFmt numFmtId="0" formatCode="General"/>
      </ndxf>
    </rcc>
    <rcc rId="0" sId="1" dxf="1">
      <nc r="R33">
        <v>0.1</v>
      </nc>
      <ndxf>
        <numFmt numFmtId="0" formatCode="General"/>
      </ndxf>
    </rcc>
    <rcc rId="0" sId="1" dxf="1">
      <nc r="R36">
        <v>0.05</v>
      </nc>
      <ndxf>
        <numFmt numFmtId="0" formatCode="General"/>
      </ndxf>
    </rcc>
    <rcc rId="0" sId="1" dxf="1">
      <nc r="R37">
        <v>0.1</v>
      </nc>
      <ndxf>
        <numFmt numFmtId="0" formatCode="General"/>
      </ndxf>
    </rcc>
    <rcc rId="0" sId="1" dxf="1">
      <nc r="R38">
        <v>0.15</v>
      </nc>
      <ndxf>
        <numFmt numFmtId="0" formatCode="General"/>
      </ndxf>
    </rcc>
    <rcc rId="0" sId="1" dxf="1">
      <nc r="R39">
        <v>0.1</v>
      </nc>
      <ndxf>
        <numFmt numFmtId="0" formatCode="General"/>
      </ndxf>
    </rcc>
    <rcc rId="0" sId="1" dxf="1">
      <nc r="R40">
        <v>0.1</v>
      </nc>
      <ndxf>
        <numFmt numFmtId="0" formatCode="General"/>
      </ndxf>
    </rcc>
    <rcc rId="0" sId="1" dxf="1">
      <nc r="R41">
        <v>0.1</v>
      </nc>
      <ndxf>
        <numFmt numFmtId="0" formatCode="General"/>
      </ndxf>
    </rcc>
    <rcc rId="0" sId="1" dxf="1">
      <nc r="R42">
        <v>0.05</v>
      </nc>
      <ndxf>
        <numFmt numFmtId="0" formatCode="General"/>
      </ndxf>
    </rcc>
    <rcc rId="0" sId="1" dxf="1">
      <nc r="R43">
        <v>0.05</v>
      </nc>
      <ndxf>
        <numFmt numFmtId="0" formatCode="General"/>
      </ndxf>
    </rcc>
    <rcc rId="0" sId="1" dxf="1">
      <nc r="R44">
        <v>0.05</v>
      </nc>
      <ndxf>
        <numFmt numFmtId="0" formatCode="General"/>
      </ndxf>
    </rcc>
    <rcc rId="0" sId="1" dxf="1">
      <nc r="R45">
        <v>0.05</v>
      </nc>
      <ndxf>
        <numFmt numFmtId="0" formatCode="General"/>
      </ndxf>
    </rcc>
    <rcc rId="0" sId="1" dxf="1">
      <nc r="R46">
        <v>0.05</v>
      </nc>
      <ndxf>
        <numFmt numFmtId="0" formatCode="General"/>
      </ndxf>
    </rcc>
    <rcc rId="0" sId="1" dxf="1">
      <nc r="R47">
        <v>0.05</v>
      </nc>
      <ndxf>
        <numFmt numFmtId="0" formatCode="General"/>
      </ndxf>
    </rcc>
    <rcc rId="0" sId="1" dxf="1">
      <nc r="R48">
        <v>0.05</v>
      </nc>
      <ndxf>
        <numFmt numFmtId="0" formatCode="General"/>
      </ndxf>
    </rcc>
    <rcc rId="0" sId="1" dxf="1">
      <nc r="R49">
        <v>0.05</v>
      </nc>
      <ndxf>
        <numFmt numFmtId="0" formatCode="General"/>
      </ndxf>
    </rcc>
    <rcc rId="0" sId="1" dxf="1">
      <nc r="R50">
        <v>0.05</v>
      </nc>
      <ndxf>
        <numFmt numFmtId="0" formatCode="General"/>
      </ndxf>
    </rcc>
    <rcc rId="0" sId="1" dxf="1">
      <nc r="R51">
        <v>0.05</v>
      </nc>
      <ndxf>
        <numFmt numFmtId="0" formatCode="General"/>
      </ndxf>
    </rcc>
    <rcc rId="0" sId="1" dxf="1">
      <nc r="R52">
        <v>0.05</v>
      </nc>
      <ndxf>
        <numFmt numFmtId="0" formatCode="General"/>
      </ndxf>
    </rcc>
    <rcc rId="0" sId="1" dxf="1">
      <nc r="R53">
        <v>0.05</v>
      </nc>
      <ndxf>
        <numFmt numFmtId="0" formatCode="General"/>
      </ndxf>
    </rcc>
    <rcc rId="0" sId="1" dxf="1">
      <nc r="R54">
        <v>0.05</v>
      </nc>
      <ndxf>
        <numFmt numFmtId="0" formatCode="General"/>
      </ndxf>
    </rcc>
    <rcc rId="0" sId="1" dxf="1">
      <nc r="R55">
        <v>0.05</v>
      </nc>
      <ndxf>
        <numFmt numFmtId="0" formatCode="General"/>
      </ndxf>
    </rcc>
    <rcc rId="0" sId="1" dxf="1">
      <nc r="R56">
        <v>0.05</v>
      </nc>
      <ndxf>
        <numFmt numFmtId="0" formatCode="General"/>
      </ndxf>
    </rcc>
    <rcc rId="0" sId="1" dxf="1">
      <nc r="R57">
        <v>0.05</v>
      </nc>
      <ndxf>
        <numFmt numFmtId="0" formatCode="General"/>
      </ndxf>
    </rcc>
    <rcc rId="0" sId="1" dxf="1">
      <nc r="R58">
        <v>0.05</v>
      </nc>
      <ndxf>
        <numFmt numFmtId="0" formatCode="General"/>
      </ndxf>
    </rcc>
    <rcc rId="0" sId="1" dxf="1">
      <nc r="R59">
        <v>0.05</v>
      </nc>
      <ndxf>
        <numFmt numFmtId="0" formatCode="General"/>
      </ndxf>
    </rcc>
    <rcc rId="0" sId="1" dxf="1">
      <nc r="R60">
        <v>0.05</v>
      </nc>
      <ndxf>
        <numFmt numFmtId="0" formatCode="General"/>
      </ndxf>
    </rcc>
    <rcc rId="0" sId="1" dxf="1">
      <nc r="R61">
        <v>0.05</v>
      </nc>
      <ndxf>
        <numFmt numFmtId="0" formatCode="General"/>
      </ndxf>
    </rcc>
    <rcc rId="0" sId="1" dxf="1">
      <nc r="R62">
        <v>0.05</v>
      </nc>
      <ndxf>
        <numFmt numFmtId="0" formatCode="General"/>
      </ndxf>
    </rcc>
    <rcc rId="0" sId="1" dxf="1">
      <nc r="R63">
        <v>0.05</v>
      </nc>
      <ndxf>
        <numFmt numFmtId="0" formatCode="General"/>
      </ndxf>
    </rcc>
    <rcc rId="0" sId="1" dxf="1">
      <nc r="R66">
        <v>0.1</v>
      </nc>
      <ndxf>
        <numFmt numFmtId="0" formatCode="General"/>
      </ndxf>
    </rcc>
    <rcc rId="0" sId="1" dxf="1">
      <nc r="R67">
        <v>0.05</v>
      </nc>
      <ndxf>
        <numFmt numFmtId="0" formatCode="General"/>
      </ndxf>
    </rcc>
    <rcc rId="0" sId="1" dxf="1">
      <nc r="R68">
        <v>0.05</v>
      </nc>
      <ndxf>
        <numFmt numFmtId="0" formatCode="General"/>
      </ndxf>
    </rcc>
    <rcc rId="0" sId="1" dxf="1">
      <nc r="R69">
        <v>0.15</v>
      </nc>
      <ndxf>
        <numFmt numFmtId="0" formatCode="General"/>
      </ndxf>
    </rcc>
    <rcc rId="0" sId="1" dxf="1">
      <nc r="R70">
        <v>0.05</v>
      </nc>
      <ndxf>
        <numFmt numFmtId="0" formatCode="General"/>
      </ndxf>
    </rcc>
    <rcc rId="0" sId="1" dxf="1">
      <nc r="R71">
        <v>0.15</v>
      </nc>
      <ndxf>
        <numFmt numFmtId="0" formatCode="General"/>
      </ndxf>
    </rcc>
    <rcc rId="0" sId="1" dxf="1">
      <nc r="R72">
        <v>0.15</v>
      </nc>
      <ndxf>
        <numFmt numFmtId="0" formatCode="General"/>
      </ndxf>
    </rcc>
    <rcc rId="0" sId="1" dxf="1">
      <nc r="R73">
        <v>0.05</v>
      </nc>
      <ndxf>
        <numFmt numFmtId="0" formatCode="General"/>
      </ndxf>
    </rcc>
    <rcc rId="0" sId="1" dxf="1">
      <nc r="R74">
        <v>0.05</v>
      </nc>
      <ndxf>
        <font>
          <sz val="12"/>
          <color rgb="FFFF0000"/>
          <name val="Calibri"/>
          <family val="2"/>
          <scheme val="minor"/>
        </font>
        <numFmt numFmtId="0" formatCode="General"/>
      </ndxf>
    </rcc>
    <rcc rId="0" sId="1" dxf="1">
      <nc r="R75">
        <v>0.05</v>
      </nc>
      <ndxf>
        <font>
          <sz val="12"/>
          <color rgb="FFFF0000"/>
          <name val="Calibri"/>
          <family val="2"/>
          <scheme val="minor"/>
        </font>
        <numFmt numFmtId="0" formatCode="General"/>
      </ndxf>
    </rcc>
    <rcc rId="0" sId="1" dxf="1">
      <nc r="R76">
        <v>0.05</v>
      </nc>
      <ndxf>
        <font>
          <sz val="12"/>
          <color rgb="FFFF0000"/>
          <name val="Calibri"/>
          <family val="2"/>
          <scheme val="minor"/>
        </font>
        <numFmt numFmtId="0" formatCode="General"/>
      </ndxf>
    </rcc>
    <rcc rId="0" sId="1" dxf="1">
      <nc r="R77">
        <v>0.1</v>
      </nc>
      <ndxf>
        <numFmt numFmtId="0" formatCode="General"/>
      </ndxf>
    </rcc>
    <rcc rId="0" sId="1" dxf="1">
      <nc r="R78">
        <v>0.05</v>
      </nc>
      <ndxf>
        <font>
          <sz val="12"/>
          <color rgb="FFFF0000"/>
          <name val="Calibri"/>
          <family val="2"/>
          <scheme val="minor"/>
        </font>
        <numFmt numFmtId="0" formatCode="General"/>
      </ndxf>
    </rcc>
    <rcc rId="0" sId="1" dxf="1">
      <nc r="R79">
        <v>0.15</v>
      </nc>
      <ndxf>
        <numFmt numFmtId="0" formatCode="General"/>
      </ndxf>
    </rcc>
    <rcc rId="0" sId="1" dxf="1">
      <nc r="R80">
        <v>0.05</v>
      </nc>
      <ndxf>
        <numFmt numFmtId="0" formatCode="General"/>
      </ndxf>
    </rcc>
    <rcc rId="0" sId="1" dxf="1">
      <nc r="R81">
        <v>0.1</v>
      </nc>
      <ndxf>
        <numFmt numFmtId="0" formatCode="General"/>
      </ndxf>
    </rcc>
    <rcc rId="0" sId="1" dxf="1">
      <nc r="R82">
        <v>0.1</v>
      </nc>
      <ndxf>
        <numFmt numFmtId="0" formatCode="General"/>
      </ndxf>
    </rcc>
    <rcc rId="0" sId="1" dxf="1">
      <nc r="R83">
        <v>0.15</v>
      </nc>
      <ndxf>
        <numFmt numFmtId="0" formatCode="General"/>
      </ndxf>
    </rcc>
    <rcc rId="0" sId="1" dxf="1">
      <nc r="R84">
        <v>0.05</v>
      </nc>
      <ndxf>
        <numFmt numFmtId="0" formatCode="General"/>
      </ndxf>
    </rcc>
    <rcc rId="0" sId="1" dxf="1">
      <nc r="R85">
        <v>0.05</v>
      </nc>
      <ndxf>
        <numFmt numFmtId="0" formatCode="General"/>
      </ndxf>
    </rcc>
    <rcc rId="0" sId="1" numFmtId="4">
      <nc r="R86">
        <v>0.1</v>
      </nc>
    </rcc>
    <rcc rId="0" sId="1" numFmtId="4">
      <nc r="R87">
        <v>0.1</v>
      </nc>
    </rcc>
    <rcc rId="0" sId="1" numFmtId="4">
      <nc r="R88">
        <v>0.15</v>
      </nc>
    </rcc>
    <rcc rId="0" sId="1" dxf="1">
      <nc r="R89">
        <v>0.05</v>
      </nc>
      <ndxf>
        <numFmt numFmtId="0" formatCode="General"/>
      </ndxf>
    </rcc>
    <rcc rId="0" sId="1" dxf="1">
      <nc r="R90">
        <v>0.05</v>
      </nc>
      <ndxf>
        <numFmt numFmtId="0" formatCode="General"/>
      </ndxf>
    </rcc>
    <rcc rId="0" sId="1" numFmtId="4">
      <nc r="R91">
        <v>0.1</v>
      </nc>
    </rcc>
    <rcc rId="0" sId="1" numFmtId="4">
      <nc r="R92">
        <v>0.15</v>
      </nc>
    </rcc>
    <rcc rId="0" sId="1" dxf="1">
      <nc r="R93">
        <v>0.05</v>
      </nc>
      <ndxf>
        <numFmt numFmtId="0" formatCode="General"/>
      </ndxf>
    </rcc>
    <rcc rId="0" sId="1" dxf="1">
      <nc r="R94">
        <v>0.05</v>
      </nc>
      <ndxf>
        <numFmt numFmtId="0" formatCode="General"/>
      </ndxf>
    </rcc>
    <rcc rId="0" sId="1" numFmtId="4">
      <nc r="R95">
        <v>0.1</v>
      </nc>
    </rcc>
    <rcc rId="0" sId="1" dxf="1">
      <nc r="R96">
        <v>0.05</v>
      </nc>
      <ndxf>
        <numFmt numFmtId="0" formatCode="General"/>
      </ndxf>
    </rcc>
    <rcc rId="0" sId="1" numFmtId="4">
      <nc r="R97">
        <v>0.15</v>
      </nc>
    </rcc>
    <rcc rId="0" sId="1" dxf="1">
      <nc r="R102">
        <v>0.05</v>
      </nc>
      <ndxf>
        <numFmt numFmtId="0" formatCode="General"/>
      </ndxf>
    </rcc>
    <rfmt sheetId="1" sqref="R103" start="0" length="0">
      <dxf>
        <numFmt numFmtId="0" formatCode="General"/>
      </dxf>
    </rfmt>
    <rcc rId="0" sId="1" dxf="1">
      <nc r="R104">
        <v>0.05</v>
      </nc>
      <ndxf>
        <numFmt numFmtId="0" formatCode="General"/>
      </ndxf>
    </rcc>
    <rcc rId="0" sId="1" numFmtId="4">
      <nc r="R106">
        <v>0.1</v>
      </nc>
    </rcc>
    <rcc rId="0" sId="1" dxf="1">
      <nc r="R107">
        <v>0.05</v>
      </nc>
      <ndxf>
        <numFmt numFmtId="0" formatCode="General"/>
      </ndxf>
    </rcc>
    <rcc rId="0" sId="1" dxf="1">
      <nc r="R109">
        <v>0.05</v>
      </nc>
      <ndxf>
        <numFmt numFmtId="0" formatCode="General"/>
      </ndxf>
    </rcc>
    <rcc rId="0" sId="1" numFmtId="4">
      <nc r="R110">
        <v>0.1</v>
      </nc>
    </rcc>
    <rcc rId="0" sId="1" dxf="1">
      <nc r="R111">
        <v>0.05</v>
      </nc>
      <ndxf>
        <numFmt numFmtId="0" formatCode="General"/>
      </ndxf>
    </rcc>
    <rcc rId="0" sId="1" numFmtId="4">
      <nc r="R112">
        <v>0.1</v>
      </nc>
    </rcc>
    <rcc rId="0" sId="1" numFmtId="4">
      <nc r="R113">
        <v>0.15</v>
      </nc>
    </rcc>
    <rcc rId="0" sId="1" numFmtId="4">
      <nc r="R114">
        <v>0.15</v>
      </nc>
    </rcc>
    <rcc rId="0" sId="1" numFmtId="4">
      <nc r="R115">
        <v>0.15</v>
      </nc>
    </rcc>
    <rcc rId="0" sId="1" numFmtId="4">
      <nc r="R116">
        <v>0.15</v>
      </nc>
    </rcc>
    <rcc rId="0" sId="1" dxf="1">
      <nc r="R117">
        <v>0.3</v>
      </nc>
      <ndxf>
        <numFmt numFmtId="0" formatCode="General"/>
      </ndxf>
    </rcc>
    <rcc rId="0" sId="1" dxf="1">
      <nc r="R118">
        <v>0.3</v>
      </nc>
      <ndxf>
        <numFmt numFmtId="0" formatCode="General"/>
      </ndxf>
    </rcc>
    <rcc rId="0" sId="1" dxf="1">
      <nc r="R119">
        <v>0.3</v>
      </nc>
      <ndxf>
        <numFmt numFmtId="0" formatCode="General"/>
      </ndxf>
    </rcc>
    <rcc rId="0" sId="1" dxf="1">
      <nc r="R120">
        <v>0.3</v>
      </nc>
      <ndxf>
        <numFmt numFmtId="0" formatCode="General"/>
      </ndxf>
    </rcc>
    <rcc rId="0" sId="1" numFmtId="4">
      <nc r="R121">
        <v>0.15</v>
      </nc>
    </rcc>
    <rcc rId="0" sId="1" numFmtId="4">
      <nc r="R122">
        <v>0.3</v>
      </nc>
    </rcc>
    <rcc rId="0" sId="1" numFmtId="4">
      <nc r="R123">
        <v>0.3</v>
      </nc>
    </rcc>
    <rcc rId="0" sId="1" numFmtId="4">
      <nc r="R124">
        <v>0.3</v>
      </nc>
    </rcc>
    <rcc rId="0" sId="1" numFmtId="4">
      <nc r="R125">
        <v>0.3</v>
      </nc>
    </rcc>
    <rcc rId="0" sId="1" numFmtId="4">
      <nc r="R126">
        <v>0.1</v>
      </nc>
    </rcc>
    <rcc rId="0" sId="1" dxf="1">
      <nc r="R127">
        <v>0.15</v>
      </nc>
      <ndxf>
        <numFmt numFmtId="0" formatCode="General"/>
      </ndxf>
    </rcc>
    <rcc rId="0" sId="1" dxf="1">
      <nc r="R128">
        <v>0.15</v>
      </nc>
      <ndxf>
        <numFmt numFmtId="0" formatCode="General"/>
      </ndxf>
    </rcc>
    <rcc rId="0" sId="1" numFmtId="4">
      <nc r="R129">
        <v>0.3</v>
      </nc>
    </rcc>
    <rcc rId="0" sId="1" numFmtId="4">
      <nc r="R130">
        <v>0.3</v>
      </nc>
    </rcc>
    <rcc rId="0" sId="1" numFmtId="4">
      <nc r="R131">
        <v>0.3</v>
      </nc>
    </rcc>
    <rcc rId="0" sId="1" numFmtId="4">
      <nc r="R132">
        <v>0.3</v>
      </nc>
    </rcc>
    <rcc rId="0" sId="1" numFmtId="4">
      <nc r="R133">
        <v>0.3</v>
      </nc>
    </rcc>
    <rcc rId="0" sId="1" numFmtId="4">
      <nc r="R134">
        <v>0.3</v>
      </nc>
    </rcc>
    <rcc rId="0" sId="1" numFmtId="4">
      <nc r="R135">
        <v>0.3</v>
      </nc>
    </rcc>
    <rcc rId="0" sId="1" dxf="1" numFmtId="4">
      <nc r="R136">
        <v>0.3</v>
      </nc>
      <ndxf>
        <font>
          <sz val="12"/>
          <color rgb="FF000000"/>
          <name val="Calibri"/>
          <family val="2"/>
          <scheme val="minor"/>
        </font>
      </ndxf>
    </rcc>
    <rcc rId="0" sId="1" numFmtId="4">
      <nc r="R137">
        <v>0.1</v>
      </nc>
    </rcc>
    <rcc rId="0" sId="1" numFmtId="4">
      <nc r="R138">
        <v>0.1</v>
      </nc>
    </rcc>
    <rcc rId="0" sId="1" numFmtId="4">
      <nc r="R139">
        <v>0.05</v>
      </nc>
    </rcc>
    <rcc rId="0" sId="1" numFmtId="4">
      <nc r="R140">
        <v>0.05</v>
      </nc>
    </rcc>
    <rcc rId="0" sId="1" numFmtId="4">
      <nc r="R141">
        <v>0.05</v>
      </nc>
    </rcc>
    <rcc rId="0" sId="1" numFmtId="4">
      <nc r="R142">
        <v>0.05</v>
      </nc>
    </rcc>
    <rcc rId="0" sId="1" numFmtId="4">
      <nc r="R143">
        <v>0.05</v>
      </nc>
    </rcc>
    <rcc rId="0" sId="1" numFmtId="4">
      <nc r="R144">
        <v>0.05</v>
      </nc>
    </rcc>
    <rcc rId="0" sId="1" numFmtId="4">
      <nc r="R145">
        <v>0.05</v>
      </nc>
    </rcc>
    <rcc rId="0" sId="1" numFmtId="4">
      <nc r="R146">
        <v>0.05</v>
      </nc>
    </rcc>
    <rcc rId="0" sId="1" numFmtId="4">
      <nc r="R147">
        <v>0.05</v>
      </nc>
    </rcc>
    <rcc rId="0" sId="1" numFmtId="4">
      <nc r="R148">
        <v>0.05</v>
      </nc>
    </rcc>
    <rcc rId="0" sId="1" numFmtId="4">
      <nc r="R149">
        <v>0.05</v>
      </nc>
    </rcc>
    <rcc rId="0" sId="1" numFmtId="4">
      <nc r="R150">
        <v>0.05</v>
      </nc>
    </rcc>
    <rcc rId="0" sId="1" numFmtId="4">
      <nc r="R151">
        <v>0.05</v>
      </nc>
    </rcc>
    <rcc rId="0" sId="1" numFmtId="4">
      <nc r="R152">
        <v>0.05</v>
      </nc>
    </rcc>
    <rcc rId="0" sId="1" numFmtId="4">
      <nc r="R153">
        <v>0.05</v>
      </nc>
    </rcc>
    <rcc rId="0" sId="1" numFmtId="4">
      <nc r="R154">
        <v>0.05</v>
      </nc>
    </rcc>
    <rcc rId="0" sId="1" numFmtId="4">
      <nc r="R155">
        <v>0.05</v>
      </nc>
    </rcc>
    <rcc rId="0" sId="1" numFmtId="4">
      <nc r="R156">
        <v>0.05</v>
      </nc>
    </rcc>
    <rcc rId="0" sId="1" numFmtId="4">
      <nc r="R157">
        <v>0.05</v>
      </nc>
    </rcc>
    <rcc rId="0" sId="1" numFmtId="4">
      <nc r="R158">
        <v>0.05</v>
      </nc>
    </rcc>
    <rcc rId="0" sId="1" numFmtId="4">
      <nc r="R159">
        <v>0.05</v>
      </nc>
    </rcc>
    <rcc rId="0" sId="1" numFmtId="4">
      <nc r="R160">
        <v>0.05</v>
      </nc>
    </rcc>
    <rcc rId="0" sId="1" numFmtId="4">
      <nc r="R161">
        <v>0.05</v>
      </nc>
    </rcc>
    <rcc rId="0" sId="1" numFmtId="4">
      <nc r="R162">
        <v>0.05</v>
      </nc>
    </rcc>
    <rcc rId="0" sId="1" numFmtId="4">
      <nc r="R163">
        <v>0.05</v>
      </nc>
    </rcc>
    <rcc rId="0" sId="1" numFmtId="4">
      <nc r="R164">
        <v>0.05</v>
      </nc>
    </rcc>
    <rcc rId="0" sId="1" numFmtId="4">
      <nc r="R165">
        <v>0.05</v>
      </nc>
    </rcc>
    <rcc rId="0" sId="1" numFmtId="4">
      <nc r="R166">
        <v>0.1</v>
      </nc>
    </rcc>
    <rcc rId="0" sId="1" numFmtId="4">
      <nc r="R167">
        <v>0.1</v>
      </nc>
    </rcc>
    <rcc rId="0" sId="1" numFmtId="4">
      <nc r="R168">
        <v>0.1</v>
      </nc>
    </rcc>
    <rcc rId="0" sId="1" numFmtId="4">
      <nc r="R169">
        <v>0.1</v>
      </nc>
    </rcc>
    <rcc rId="0" sId="1" numFmtId="4">
      <nc r="R170">
        <v>0.1</v>
      </nc>
    </rcc>
    <rcc rId="0" sId="1" numFmtId="4">
      <nc r="R171">
        <v>0.1</v>
      </nc>
    </rcc>
    <rcc rId="0" sId="1" numFmtId="4">
      <nc r="R172">
        <v>0.1</v>
      </nc>
    </rcc>
    <rcc rId="0" sId="1" numFmtId="4">
      <nc r="R173">
        <v>0.1</v>
      </nc>
    </rcc>
    <rcc rId="0" sId="1" numFmtId="4">
      <nc r="R174">
        <v>0.1</v>
      </nc>
    </rcc>
    <rcc rId="0" sId="1" numFmtId="4">
      <nc r="R175">
        <v>0.1</v>
      </nc>
    </rcc>
    <rcc rId="0" sId="1" numFmtId="4">
      <nc r="R176">
        <v>0.1</v>
      </nc>
    </rcc>
    <rcc rId="0" sId="1" numFmtId="4">
      <nc r="R177">
        <v>0.1</v>
      </nc>
    </rcc>
    <rcc rId="0" sId="1" numFmtId="4">
      <nc r="R178">
        <v>0.1</v>
      </nc>
    </rcc>
    <rcc rId="0" sId="1" numFmtId="4">
      <nc r="R179">
        <v>0.1</v>
      </nc>
    </rcc>
    <rcc rId="0" sId="1" numFmtId="4">
      <nc r="R180">
        <v>0.1</v>
      </nc>
    </rcc>
    <rcc rId="0" sId="1" numFmtId="4">
      <nc r="R181">
        <v>0.1</v>
      </nc>
    </rcc>
    <rcc rId="0" sId="1" numFmtId="4">
      <nc r="R182">
        <v>0.1</v>
      </nc>
    </rcc>
    <rcc rId="0" sId="1" numFmtId="4">
      <nc r="R183">
        <v>0.1</v>
      </nc>
    </rcc>
    <rcc rId="0" sId="1" numFmtId="4">
      <nc r="R184">
        <v>0.1</v>
      </nc>
    </rcc>
    <rcc rId="0" sId="1" numFmtId="4">
      <nc r="R185">
        <v>0.1</v>
      </nc>
    </rcc>
    <rcc rId="0" sId="1" numFmtId="4">
      <nc r="R186">
        <v>0.1</v>
      </nc>
    </rcc>
    <rcc rId="0" sId="1" numFmtId="4">
      <nc r="R187">
        <v>0.1</v>
      </nc>
    </rcc>
    <rcc rId="0" sId="1" numFmtId="4">
      <nc r="R188">
        <v>0.1</v>
      </nc>
    </rcc>
    <rcc rId="0" sId="1" numFmtId="4">
      <nc r="R189">
        <v>0.1</v>
      </nc>
    </rcc>
    <rcc rId="0" sId="1" numFmtId="4">
      <nc r="R190">
        <v>0.1</v>
      </nc>
    </rcc>
    <rcc rId="0" sId="1" numFmtId="4">
      <nc r="R191">
        <v>0.1</v>
      </nc>
    </rcc>
    <rcc rId="0" sId="1" numFmtId="4">
      <nc r="R192">
        <v>0.1</v>
      </nc>
    </rcc>
    <rcc rId="0" sId="1" numFmtId="4">
      <nc r="R193">
        <v>0.1</v>
      </nc>
    </rcc>
    <rcc rId="0" sId="1" numFmtId="4">
      <nc r="R194">
        <v>0.1</v>
      </nc>
    </rcc>
    <rcc rId="0" sId="1" numFmtId="4">
      <nc r="R195">
        <v>0.1</v>
      </nc>
    </rcc>
    <rcc rId="0" sId="1" numFmtId="4">
      <nc r="R196">
        <v>0.1</v>
      </nc>
    </rcc>
    <rcc rId="0" sId="1" numFmtId="4">
      <nc r="R197">
        <v>0.1</v>
      </nc>
    </rcc>
    <rcc rId="0" sId="1" numFmtId="4">
      <nc r="R198">
        <v>0.1</v>
      </nc>
    </rcc>
    <rcc rId="0" sId="1" numFmtId="4">
      <nc r="R199">
        <v>0.3</v>
      </nc>
    </rcc>
    <rcc rId="0" sId="1" numFmtId="4">
      <nc r="R200">
        <v>0.3</v>
      </nc>
    </rcc>
    <rcc rId="0" sId="1" numFmtId="4">
      <nc r="R201">
        <v>0.3</v>
      </nc>
    </rcc>
    <rcc rId="0" sId="1" numFmtId="4">
      <nc r="R202">
        <v>0.1</v>
      </nc>
    </rcc>
    <rcc rId="0" sId="1" numFmtId="4">
      <nc r="R203">
        <v>0.1</v>
      </nc>
    </rcc>
    <rcc rId="0" sId="1" dxf="1">
      <nc r="R204" t="inlineStr">
        <is>
          <t>NA</t>
        </is>
      </nc>
      <ndxf>
        <numFmt numFmtId="0" formatCode="General"/>
      </ndxf>
    </rcc>
    <rcc rId="0" sId="1" numFmtId="4">
      <nc r="R205">
        <v>0.1</v>
      </nc>
    </rcc>
    <rcc rId="0" sId="1" numFmtId="4">
      <nc r="R206">
        <v>0.1</v>
      </nc>
    </rcc>
    <rcc rId="0" sId="1" numFmtId="4">
      <nc r="R207">
        <v>0.1</v>
      </nc>
    </rcc>
    <rcc rId="0" sId="1" numFmtId="4">
      <nc r="R208">
        <v>0.1</v>
      </nc>
    </rcc>
    <rcc rId="0" sId="1" numFmtId="4">
      <nc r="R209">
        <v>0.1</v>
      </nc>
    </rcc>
    <rcc rId="0" sId="1" numFmtId="4">
      <nc r="R210">
        <v>0.1</v>
      </nc>
    </rcc>
    <rcc rId="0" sId="1" numFmtId="4">
      <nc r="R211">
        <v>0.1</v>
      </nc>
    </rcc>
    <rcc rId="0" sId="1" numFmtId="4">
      <nc r="R212">
        <v>0.1</v>
      </nc>
    </rcc>
    <rcc rId="0" sId="1" numFmtId="4">
      <nc r="R213">
        <v>0.3</v>
      </nc>
    </rcc>
    <rcc rId="0" sId="1" numFmtId="4">
      <nc r="R214">
        <v>0.3</v>
      </nc>
    </rcc>
    <rcc rId="0" sId="1" numFmtId="4">
      <nc r="R215">
        <v>0.3</v>
      </nc>
    </rcc>
    <rcc rId="0" sId="1" numFmtId="4">
      <nc r="R216">
        <v>0.3</v>
      </nc>
    </rcc>
    <rcc rId="0" sId="1" numFmtId="4">
      <nc r="R217">
        <v>0.3</v>
      </nc>
    </rcc>
    <rcc rId="0" sId="1" numFmtId="4">
      <nc r="R218">
        <v>0.3</v>
      </nc>
    </rcc>
    <rcc rId="0" sId="1" numFmtId="4">
      <nc r="R219">
        <v>0.1</v>
      </nc>
    </rcc>
    <rcc rId="0" sId="1" numFmtId="4">
      <nc r="R220">
        <v>0.1</v>
      </nc>
    </rcc>
    <rcc rId="0" sId="1" numFmtId="4">
      <nc r="R221">
        <v>0.1</v>
      </nc>
    </rcc>
    <rcc rId="0" sId="1" numFmtId="4">
      <nc r="R222">
        <v>0.1</v>
      </nc>
    </rcc>
    <rcc rId="0" sId="1" numFmtId="4">
      <nc r="R223">
        <v>0.3</v>
      </nc>
    </rcc>
    <rcc rId="0" sId="1" numFmtId="4">
      <nc r="R224">
        <v>0.3</v>
      </nc>
    </rcc>
    <rcc rId="0" sId="1" numFmtId="4">
      <nc r="R225">
        <v>0.3</v>
      </nc>
    </rcc>
    <rcc rId="0" sId="1" dxf="1">
      <nc r="R226" t="inlineStr">
        <is>
          <t>NA</t>
        </is>
      </nc>
      <ndxf>
        <numFmt numFmtId="26" formatCode="hh:mm:ss"/>
      </ndxf>
    </rcc>
    <rcc rId="0" sId="1" numFmtId="4">
      <nc r="R227">
        <v>0.1</v>
      </nc>
    </rcc>
    <rcc rId="0" sId="1" numFmtId="4">
      <nc r="R228">
        <v>0.1</v>
      </nc>
    </rcc>
    <rcc rId="0" sId="1" numFmtId="4">
      <nc r="R229">
        <v>0.1</v>
      </nc>
    </rcc>
    <rcc rId="0" sId="1" numFmtId="4">
      <nc r="R230">
        <v>0.3</v>
      </nc>
    </rcc>
    <rcc rId="0" sId="1" numFmtId="4">
      <nc r="R231">
        <v>0.1</v>
      </nc>
    </rcc>
    <rcc rId="0" sId="1" numFmtId="4">
      <nc r="R232">
        <v>0.1</v>
      </nc>
    </rcc>
    <rcc rId="0" sId="1" numFmtId="4">
      <nc r="R233">
        <v>0.3</v>
      </nc>
    </rcc>
    <rcc rId="0" sId="1" numFmtId="4">
      <nc r="R234">
        <v>0.3</v>
      </nc>
    </rcc>
    <rcc rId="0" sId="1" numFmtId="4">
      <nc r="R235">
        <v>0.1</v>
      </nc>
    </rcc>
    <rcc rId="0" sId="1" numFmtId="4">
      <nc r="R236">
        <v>0.1</v>
      </nc>
    </rcc>
    <rcc rId="0" sId="1" numFmtId="4">
      <nc r="R237">
        <v>0.1</v>
      </nc>
    </rcc>
    <rcc rId="0" sId="1" numFmtId="4">
      <nc r="R238">
        <v>0.1</v>
      </nc>
    </rcc>
    <rcc rId="0" sId="1" numFmtId="4">
      <nc r="R239">
        <v>0.1</v>
      </nc>
    </rcc>
    <rcc rId="0" sId="1" numFmtId="4">
      <nc r="R240">
        <v>0.1</v>
      </nc>
    </rcc>
    <rcc rId="0" sId="1" numFmtId="4">
      <nc r="R241">
        <v>0.2</v>
      </nc>
    </rcc>
    <rcc rId="0" sId="1" numFmtId="4">
      <nc r="R242">
        <v>0.2</v>
      </nc>
    </rcc>
    <rcc rId="0" sId="1" numFmtId="4">
      <nc r="R243">
        <v>0.2</v>
      </nc>
    </rcc>
    <rcc rId="0" sId="1" numFmtId="4">
      <nc r="R244">
        <v>0.1</v>
      </nc>
    </rcc>
    <rcc rId="0" sId="1" numFmtId="4">
      <nc r="R245">
        <v>0.1</v>
      </nc>
    </rcc>
    <rcc rId="0" sId="1" numFmtId="4">
      <nc r="R246">
        <v>0.2</v>
      </nc>
    </rcc>
    <rcc rId="0" sId="1" numFmtId="4">
      <nc r="R247">
        <v>0.2</v>
      </nc>
    </rcc>
    <rcc rId="0" sId="1" numFmtId="4">
      <nc r="R248">
        <v>0.1</v>
      </nc>
    </rcc>
    <rcc rId="0" sId="1" numFmtId="4">
      <nc r="R249">
        <v>0.1</v>
      </nc>
    </rcc>
    <rcc rId="0" sId="1" numFmtId="4">
      <nc r="R250">
        <v>0.1</v>
      </nc>
    </rcc>
    <rcc rId="0" sId="1" numFmtId="4">
      <nc r="R251">
        <v>0.2</v>
      </nc>
    </rcc>
    <rcc rId="0" sId="1" numFmtId="4">
      <nc r="R252">
        <v>0.2</v>
      </nc>
    </rcc>
    <rcc rId="0" sId="1" numFmtId="4">
      <nc r="R253">
        <v>0.2</v>
      </nc>
    </rcc>
    <rcc rId="0" sId="1" numFmtId="4">
      <nc r="R254">
        <v>0.1</v>
      </nc>
    </rcc>
    <rcc rId="0" sId="1" numFmtId="4">
      <nc r="R255">
        <v>0.2</v>
      </nc>
    </rcc>
    <rcc rId="0" sId="1" numFmtId="4">
      <nc r="R256">
        <v>0.2</v>
      </nc>
    </rcc>
    <rcc rId="0" sId="1" numFmtId="4">
      <nc r="R257">
        <v>0.2</v>
      </nc>
    </rcc>
    <rcc rId="0" sId="1" numFmtId="4">
      <nc r="R258">
        <v>0.2</v>
      </nc>
    </rcc>
    <rcc rId="0" sId="1" numFmtId="4">
      <nc r="R259">
        <v>0.2</v>
      </nc>
    </rcc>
    <rcc rId="0" sId="1" numFmtId="4">
      <nc r="R260">
        <v>0.2</v>
      </nc>
    </rcc>
    <rcc rId="0" sId="1" numFmtId="4">
      <nc r="R261">
        <v>0.2</v>
      </nc>
    </rcc>
    <rcc rId="0" sId="1" numFmtId="4">
      <nc r="R262">
        <v>0.1</v>
      </nc>
    </rcc>
    <rcc rId="0" sId="1" numFmtId="4">
      <nc r="R263">
        <v>0.2</v>
      </nc>
    </rcc>
    <rcc rId="0" sId="1" numFmtId="4">
      <nc r="R264">
        <v>0.2</v>
      </nc>
    </rcc>
    <rcc rId="0" sId="1" numFmtId="4">
      <nc r="R265">
        <v>0.1</v>
      </nc>
    </rcc>
    <rcc rId="0" sId="1" numFmtId="4">
      <nc r="R266">
        <v>0.2</v>
      </nc>
    </rcc>
    <rcc rId="0" sId="1" numFmtId="4">
      <nc r="R267">
        <v>0.2</v>
      </nc>
    </rcc>
    <rcc rId="0" sId="1" numFmtId="4">
      <nc r="R268">
        <v>0.2</v>
      </nc>
    </rcc>
    <rcc rId="0" sId="1" numFmtId="4">
      <nc r="R269">
        <v>0.2</v>
      </nc>
    </rcc>
    <rcc rId="0" sId="1" numFmtId="4">
      <nc r="R270">
        <v>0.2</v>
      </nc>
    </rcc>
    <rcc rId="0" sId="1" numFmtId="4">
      <nc r="R271">
        <v>0.2</v>
      </nc>
    </rcc>
    <rcc rId="0" sId="1" numFmtId="4">
      <nc r="R272">
        <v>0.1</v>
      </nc>
    </rcc>
    <rcc rId="0" sId="1" numFmtId="4">
      <nc r="R273">
        <v>0.2</v>
      </nc>
    </rcc>
    <rcc rId="0" sId="1" numFmtId="4">
      <nc r="R274">
        <v>0.2</v>
      </nc>
    </rcc>
    <rcc rId="0" sId="1" numFmtId="4">
      <nc r="R275">
        <v>0.2</v>
      </nc>
    </rcc>
    <rcc rId="0" sId="1" numFmtId="4">
      <nc r="R276">
        <v>0.1</v>
      </nc>
    </rcc>
    <rcc rId="0" sId="1" numFmtId="4">
      <nc r="R277">
        <v>0.2</v>
      </nc>
    </rcc>
    <rcc rId="0" sId="1" numFmtId="4">
      <nc r="R278">
        <v>0.2</v>
      </nc>
    </rcc>
    <rcc rId="0" sId="1" numFmtId="4">
      <nc r="R279">
        <v>0.15</v>
      </nc>
    </rcc>
    <rcc rId="0" sId="1" numFmtId="4">
      <nc r="R280">
        <v>0.15</v>
      </nc>
    </rcc>
    <rcc rId="0" sId="1" numFmtId="4">
      <nc r="R281">
        <v>0.15</v>
      </nc>
    </rcc>
    <rcc rId="0" sId="1" numFmtId="4">
      <nc r="R282">
        <v>0.15</v>
      </nc>
    </rcc>
    <rcc rId="0" sId="1" numFmtId="4">
      <nc r="R283">
        <v>0.15</v>
      </nc>
    </rcc>
    <rcc rId="0" sId="1" numFmtId="4">
      <nc r="R284">
        <v>0.15</v>
      </nc>
    </rcc>
    <rcc rId="0" sId="1" numFmtId="4">
      <nc r="R285">
        <v>0.15</v>
      </nc>
    </rcc>
    <rcc rId="0" sId="1" numFmtId="4">
      <nc r="R286">
        <v>0.15</v>
      </nc>
    </rcc>
    <rcc rId="0" sId="1" numFmtId="4">
      <nc r="R287">
        <v>0.15</v>
      </nc>
    </rcc>
    <rcc rId="0" sId="1" numFmtId="4">
      <nc r="R288">
        <v>0.15</v>
      </nc>
    </rcc>
    <rcc rId="0" sId="1" numFmtId="4">
      <nc r="R289">
        <v>0.15</v>
      </nc>
    </rcc>
    <rcc rId="0" sId="1" numFmtId="4">
      <nc r="R290">
        <v>0.15</v>
      </nc>
    </rcc>
    <rcc rId="0" sId="1" numFmtId="4">
      <nc r="R291">
        <v>0.15</v>
      </nc>
    </rcc>
    <rcc rId="0" sId="1" numFmtId="4">
      <nc r="R292">
        <v>0.15</v>
      </nc>
    </rcc>
    <rcc rId="0" sId="1" numFmtId="4">
      <nc r="R293">
        <v>0.15</v>
      </nc>
    </rcc>
    <rcc rId="0" sId="1" numFmtId="4">
      <nc r="R294">
        <v>0.15</v>
      </nc>
    </rcc>
    <rcc rId="0" sId="1" numFmtId="4">
      <nc r="R295">
        <v>0.15</v>
      </nc>
    </rcc>
    <rcc rId="0" sId="1" numFmtId="4">
      <nc r="R296">
        <v>0.15</v>
      </nc>
    </rcc>
    <rcc rId="0" sId="1" numFmtId="4">
      <nc r="R297">
        <v>0.15</v>
      </nc>
    </rcc>
    <rcc rId="0" sId="1" numFmtId="4">
      <nc r="R298">
        <v>0.15</v>
      </nc>
    </rcc>
    <rcc rId="0" sId="1" numFmtId="4">
      <nc r="R299">
        <v>0.15</v>
      </nc>
    </rcc>
    <rcc rId="0" sId="1" numFmtId="4">
      <nc r="R300">
        <v>0.15</v>
      </nc>
    </rcc>
    <rcc rId="0" sId="1" numFmtId="4">
      <nc r="R301">
        <v>0.15</v>
      </nc>
    </rcc>
    <rcc rId="0" sId="1" numFmtId="4">
      <nc r="R302">
        <v>0.15</v>
      </nc>
    </rcc>
    <rcc rId="0" sId="1" numFmtId="4">
      <nc r="R303">
        <v>0.15</v>
      </nc>
    </rcc>
    <rcc rId="0" sId="1" numFmtId="4">
      <nc r="R304">
        <v>0.15</v>
      </nc>
    </rcc>
    <rcc rId="0" sId="1" numFmtId="4">
      <nc r="R305">
        <v>0.15</v>
      </nc>
    </rcc>
    <rcc rId="0" sId="1" numFmtId="4">
      <nc r="R306">
        <v>0.15</v>
      </nc>
    </rcc>
    <rcc rId="0" sId="1" numFmtId="4">
      <nc r="R307">
        <v>0.15</v>
      </nc>
    </rcc>
    <rcc rId="0" sId="1" numFmtId="4">
      <nc r="R308">
        <v>0.05</v>
      </nc>
    </rcc>
    <rcc rId="0" sId="1" numFmtId="4">
      <nc r="R309">
        <v>0.05</v>
      </nc>
    </rcc>
    <rcc rId="0" sId="1" numFmtId="4">
      <nc r="R310">
        <v>0.05</v>
      </nc>
    </rcc>
    <rcc rId="0" sId="1" numFmtId="4">
      <nc r="R311">
        <v>0.05</v>
      </nc>
    </rcc>
    <rcc rId="0" sId="1" numFmtId="4">
      <nc r="R312">
        <v>0.05</v>
      </nc>
    </rcc>
    <rcc rId="0" sId="1" numFmtId="4">
      <nc r="R313">
        <v>0.05</v>
      </nc>
    </rcc>
    <rcc rId="0" sId="1" numFmtId="4">
      <nc r="R314">
        <v>0.05</v>
      </nc>
    </rcc>
    <rcc rId="0" sId="1" numFmtId="4">
      <nc r="R315">
        <v>0.05</v>
      </nc>
    </rcc>
    <rcc rId="0" sId="1" numFmtId="4">
      <nc r="R316">
        <v>0.05</v>
      </nc>
    </rcc>
    <rcc rId="0" sId="1" numFmtId="4">
      <nc r="R317">
        <v>0.05</v>
      </nc>
    </rcc>
    <rcc rId="0" sId="1" numFmtId="4">
      <nc r="R318">
        <v>0.05</v>
      </nc>
    </rcc>
    <rcc rId="0" sId="1" numFmtId="4">
      <nc r="R319">
        <v>0.05</v>
      </nc>
    </rcc>
    <rcc rId="0" sId="1" numFmtId="4">
      <nc r="R320">
        <v>0.05</v>
      </nc>
    </rcc>
    <rcc rId="0" sId="1" numFmtId="4">
      <nc r="R321">
        <v>0.05</v>
      </nc>
    </rcc>
    <rcc rId="0" sId="1" numFmtId="4">
      <nc r="R322">
        <v>0.05</v>
      </nc>
    </rcc>
    <rcc rId="0" sId="1" numFmtId="4">
      <nc r="R323">
        <v>0.05</v>
      </nc>
    </rcc>
    <rcc rId="0" sId="1" numFmtId="4">
      <nc r="R324">
        <v>0.05</v>
      </nc>
    </rcc>
    <rcc rId="0" sId="1" numFmtId="4">
      <nc r="R326">
        <v>0.05</v>
      </nc>
    </rcc>
    <rcc rId="0" sId="1" numFmtId="4">
      <nc r="R327">
        <v>0.05</v>
      </nc>
    </rcc>
    <rcc rId="0" sId="1" numFmtId="4">
      <nc r="R328">
        <v>0.05</v>
      </nc>
    </rcc>
    <rcc rId="0" sId="1" numFmtId="4">
      <nc r="R329">
        <v>0.05</v>
      </nc>
    </rcc>
    <rcc rId="0" sId="1" numFmtId="4">
      <nc r="R330">
        <v>0.05</v>
      </nc>
    </rcc>
    <rcc rId="0" sId="1" numFmtId="4">
      <nc r="R331">
        <v>0.05</v>
      </nc>
    </rcc>
    <rcc rId="0" sId="1" numFmtId="4">
      <nc r="R332">
        <v>0.05</v>
      </nc>
    </rcc>
    <rcc rId="0" sId="1" numFmtId="4">
      <nc r="R333">
        <v>0.05</v>
      </nc>
    </rcc>
    <rcc rId="0" sId="1" numFmtId="4">
      <nc r="R334">
        <v>0.05</v>
      </nc>
    </rcc>
    <rcc rId="0" sId="1" numFmtId="4">
      <nc r="R335">
        <v>0.05</v>
      </nc>
    </rcc>
    <rcc rId="0" sId="1" numFmtId="4">
      <nc r="R336">
        <v>0.05</v>
      </nc>
    </rcc>
    <rcc rId="0" sId="1" numFmtId="4">
      <nc r="R337">
        <v>0.05</v>
      </nc>
    </rcc>
  </rrc>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6582" sId="2" ref="T1:T1048576" action="deleteCol">
    <rfmt sheetId="2" xfDxf="1" sqref="T1:T1048576" start="0" length="0">
      <dxf>
        <alignment horizontal="left"/>
      </dxf>
    </rfmt>
    <rcc rId="0" sId="2">
      <nc r="T1" t="inlineStr">
        <is>
          <t>vpatt_freq_dep</t>
        </is>
      </nc>
    </rcc>
    <rfmt sheetId="2" sqref="T3" start="0" length="0">
      <dxf>
        <font>
          <sz val="12"/>
          <color rgb="FFFF0000"/>
          <name val="Calibri"/>
          <family val="2"/>
          <scheme val="minor"/>
        </font>
      </dxf>
    </rfmt>
    <rcc rId="0" sId="2">
      <nc r="T4">
        <v>0.1</v>
      </nc>
    </rcc>
    <rcc rId="0" sId="2">
      <nc r="T5">
        <v>0.1</v>
      </nc>
    </rcc>
    <rcc rId="0" sId="2">
      <nc r="T6">
        <v>0.1</v>
      </nc>
    </rcc>
    <rcc rId="0" sId="2">
      <nc r="T7">
        <v>0.1</v>
      </nc>
    </rcc>
    <rcc rId="0" sId="2">
      <nc r="T8">
        <v>0.1</v>
      </nc>
    </rcc>
    <rcc rId="0" sId="2">
      <nc r="T9">
        <v>0.1</v>
      </nc>
    </rcc>
    <rcc rId="0" sId="2">
      <nc r="T10">
        <v>0.1</v>
      </nc>
    </rcc>
    <rcc rId="0" sId="2">
      <nc r="T11">
        <v>0.1</v>
      </nc>
    </rcc>
    <rcc rId="0" sId="2">
      <nc r="T12">
        <v>0.1</v>
      </nc>
    </rcc>
    <rcc rId="0" sId="2" dxf="1">
      <nc r="T13">
        <v>0.1</v>
      </nc>
      <ndxf>
        <font>
          <sz val="12"/>
          <color rgb="FFFF0000"/>
          <name val="Calibri"/>
          <family val="2"/>
          <scheme val="minor"/>
        </font>
      </ndxf>
    </rcc>
    <rcc rId="0" sId="2" dxf="1">
      <nc r="T14">
        <v>0.1</v>
      </nc>
      <ndxf>
        <font>
          <sz val="12"/>
          <color rgb="FFFF0000"/>
          <name val="Calibri"/>
          <family val="2"/>
          <scheme val="minor"/>
        </font>
      </ndxf>
    </rcc>
    <rcc rId="0" sId="2">
      <nc r="T15">
        <v>0.1</v>
      </nc>
    </rcc>
    <rcc rId="0" sId="2">
      <nc r="T16">
        <v>0.1</v>
      </nc>
    </rcc>
    <rcc rId="0" sId="2">
      <nc r="T18">
        <v>0.1</v>
      </nc>
    </rcc>
    <rcc rId="0" sId="2">
      <nc r="T19">
        <v>0.1</v>
      </nc>
    </rcc>
    <rcc rId="0" sId="2">
      <nc r="T20">
        <v>0.1</v>
      </nc>
    </rcc>
    <rcc rId="0" sId="2">
      <nc r="T21">
        <v>0.1</v>
      </nc>
    </rcc>
    <rcc rId="0" sId="2">
      <nc r="T22">
        <v>0.1</v>
      </nc>
    </rcc>
    <rcc rId="0" sId="2">
      <nc r="T23">
        <v>0.1</v>
      </nc>
    </rcc>
    <rcc rId="0" sId="2">
      <nc r="T24">
        <v>0.1</v>
      </nc>
    </rcc>
    <rcc rId="0" sId="2">
      <nc r="T25">
        <v>0.1</v>
      </nc>
    </rcc>
    <rcc rId="0" sId="2">
      <nc r="T26">
        <v>0.1</v>
      </nc>
    </rcc>
    <rcc rId="0" sId="2">
      <nc r="T27">
        <v>0.1</v>
      </nc>
    </rcc>
    <rcc rId="0" sId="2">
      <nc r="T28">
        <v>0.1</v>
      </nc>
    </rcc>
    <rcc rId="0" sId="2">
      <nc r="T29">
        <v>0.1</v>
      </nc>
    </rcc>
    <rcc rId="0" sId="2">
      <nc r="T30">
        <v>0.1</v>
      </nc>
    </rcc>
    <rcc rId="0" sId="2">
      <nc r="T31">
        <v>0.1</v>
      </nc>
    </rcc>
    <rcc rId="0" sId="2">
      <nc r="T32">
        <v>0.1</v>
      </nc>
    </rcc>
    <rcc rId="0" sId="2">
      <nc r="T33" t="inlineStr">
        <is>
          <t>NA</t>
        </is>
      </nc>
    </rcc>
    <rcc rId="0" sId="2">
      <nc r="T34">
        <v>0.1</v>
      </nc>
    </rcc>
    <rcc rId="0" sId="2">
      <nc r="T35">
        <v>0.1</v>
      </nc>
    </rcc>
    <rcc rId="0" sId="2">
      <nc r="T36">
        <v>0.1</v>
      </nc>
    </rcc>
    <rcc rId="0" sId="2">
      <nc r="T37" t="inlineStr">
        <is>
          <t>NA</t>
        </is>
      </nc>
    </rcc>
    <rcc rId="0" sId="2">
      <nc r="T38">
        <v>0.1</v>
      </nc>
    </rcc>
    <rcc rId="0" sId="2">
      <nc r="T39">
        <v>0.1</v>
      </nc>
    </rcc>
    <rcc rId="0" sId="2">
      <nc r="T40">
        <v>0.1</v>
      </nc>
    </rcc>
    <rcc rId="0" sId="2">
      <nc r="T41">
        <v>0.1</v>
      </nc>
    </rcc>
    <rcc rId="0" sId="2">
      <nc r="T42">
        <v>0.1</v>
      </nc>
    </rcc>
    <rcc rId="0" sId="2">
      <nc r="T43">
        <v>0.1</v>
      </nc>
    </rcc>
    <rcc rId="0" sId="2">
      <nc r="T44">
        <v>0.1</v>
      </nc>
    </rcc>
    <rcc rId="0" sId="2">
      <nc r="T45">
        <v>0.1</v>
      </nc>
    </rcc>
    <rcc rId="0" sId="2">
      <nc r="T46">
        <v>0.1</v>
      </nc>
    </rcc>
    <rcc rId="0" sId="2">
      <nc r="T47">
        <v>0.1</v>
      </nc>
    </rcc>
    <rcc rId="0" sId="2">
      <nc r="T48">
        <v>0.1</v>
      </nc>
    </rcc>
    <rcc rId="0" sId="2">
      <nc r="T49">
        <v>0.1</v>
      </nc>
    </rcc>
    <rcc rId="0" sId="2">
      <nc r="T50">
        <v>0.1</v>
      </nc>
    </rcc>
    <rcc rId="0" sId="2">
      <nc r="T51">
        <v>0.1</v>
      </nc>
    </rcc>
    <rcc rId="0" sId="2">
      <nc r="T52">
        <v>0.1</v>
      </nc>
    </rcc>
    <rcc rId="0" sId="2">
      <nc r="T53">
        <v>0.05</v>
      </nc>
    </rcc>
    <rcc rId="0" sId="2">
      <nc r="T54">
        <v>0.05</v>
      </nc>
    </rcc>
    <rcc rId="0" sId="2">
      <nc r="T55">
        <v>0.05</v>
      </nc>
    </rcc>
    <rcc rId="0" sId="2">
      <nc r="T56">
        <v>0.05</v>
      </nc>
    </rcc>
    <rcc rId="0" sId="2">
      <nc r="T57">
        <v>0.05</v>
      </nc>
    </rcc>
    <rcc rId="0" sId="2">
      <nc r="T58">
        <v>0.05</v>
      </nc>
    </rcc>
    <rcc rId="0" sId="2">
      <nc r="T59">
        <v>0.05</v>
      </nc>
    </rcc>
    <rcc rId="0" sId="2">
      <nc r="T60">
        <v>0.05</v>
      </nc>
    </rcc>
    <rcc rId="0" sId="2">
      <nc r="T61">
        <v>0.05</v>
      </nc>
    </rcc>
    <rcc rId="0" sId="2">
      <nc r="T62">
        <v>0.15</v>
      </nc>
    </rcc>
    <rcc rId="0" sId="2">
      <nc r="T63">
        <v>0.05</v>
      </nc>
    </rcc>
    <rcc rId="0" sId="2">
      <nc r="T64" t="inlineStr">
        <is>
          <t>NA</t>
        </is>
      </nc>
    </rcc>
    <rcc rId="0" sId="2">
      <nc r="T65">
        <v>0.05</v>
      </nc>
    </rcc>
    <rcc rId="0" sId="2">
      <nc r="T66">
        <v>0.05</v>
      </nc>
    </rcc>
    <rcc rId="0" sId="2">
      <nc r="T67">
        <v>0.05</v>
      </nc>
    </rcc>
    <rcc rId="0" sId="2">
      <nc r="T68">
        <v>0.05</v>
      </nc>
    </rcc>
    <rcc rId="0" sId="2">
      <nc r="T69">
        <v>0.1</v>
      </nc>
    </rcc>
    <rcc rId="0" sId="2">
      <nc r="T72">
        <v>0.05</v>
      </nc>
    </rcc>
    <rcc rId="0" sId="2">
      <nc r="T73">
        <v>0.05</v>
      </nc>
    </rcc>
    <rcc rId="0" sId="2">
      <nc r="T74">
        <v>0.05</v>
      </nc>
    </rcc>
    <rcc rId="0" sId="2">
      <nc r="T75">
        <v>0.05</v>
      </nc>
    </rcc>
    <rcc rId="0" sId="2">
      <nc r="T76">
        <v>0.05</v>
      </nc>
    </rcc>
    <rcc rId="0" sId="2">
      <nc r="T77">
        <v>0.05</v>
      </nc>
    </rcc>
    <rcc rId="0" sId="2">
      <nc r="T78">
        <v>0.05</v>
      </nc>
    </rcc>
    <rcc rId="0" sId="2">
      <nc r="T79">
        <v>0.05</v>
      </nc>
    </rcc>
    <rcc rId="0" sId="2">
      <nc r="T80">
        <v>0.05</v>
      </nc>
    </rcc>
    <rcc rId="0" sId="2">
      <nc r="T81">
        <v>0.05</v>
      </nc>
    </rcc>
    <rcc rId="0" sId="2">
      <nc r="T82">
        <v>0.05</v>
      </nc>
    </rcc>
    <rcc rId="0" sId="2">
      <nc r="T83">
        <v>0.05</v>
      </nc>
    </rcc>
    <rcc rId="0" sId="2">
      <nc r="T84">
        <v>0.05</v>
      </nc>
    </rcc>
    <rcc rId="0" sId="2">
      <nc r="T85">
        <v>0.05</v>
      </nc>
    </rcc>
    <rcc rId="0" sId="2" dxf="1">
      <nc r="T86">
        <v>0.05</v>
      </nc>
      <ndxf>
        <font>
          <sz val="12"/>
          <color rgb="FF000000"/>
          <name val="Calibri"/>
          <family val="2"/>
          <scheme val="minor"/>
        </font>
      </ndxf>
    </rcc>
    <rcc rId="0" sId="2">
      <nc r="T87">
        <v>0.05</v>
      </nc>
    </rcc>
    <rcc rId="0" sId="2">
      <nc r="T88">
        <v>0.05</v>
      </nc>
    </rcc>
    <rcc rId="0" sId="2">
      <nc r="T89">
        <v>0.05</v>
      </nc>
    </rcc>
    <rcc rId="0" sId="2">
      <nc r="T90">
        <v>0.05</v>
      </nc>
    </rcc>
    <rcc rId="0" sId="2">
      <nc r="T91">
        <v>0.05</v>
      </nc>
    </rcc>
    <rcc rId="0" sId="2">
      <nc r="T92">
        <v>0.05</v>
      </nc>
    </rcc>
    <rcc rId="0" sId="2">
      <nc r="T93">
        <v>0.05</v>
      </nc>
    </rcc>
    <rcc rId="0" sId="2">
      <nc r="T94">
        <v>0.05</v>
      </nc>
    </rcc>
    <rcc rId="0" sId="2">
      <nc r="T95">
        <v>0.05</v>
      </nc>
    </rcc>
    <rcc rId="0" sId="2">
      <nc r="T100">
        <v>0.05</v>
      </nc>
    </rcc>
    <rcc rId="0" sId="2">
      <nc r="T102">
        <v>0.05</v>
      </nc>
    </rcc>
    <rcc rId="0" sId="2">
      <nc r="T103">
        <v>0.1</v>
      </nc>
    </rcc>
    <rcc rId="0" sId="2">
      <nc r="T104">
        <v>0.1</v>
      </nc>
    </rcc>
    <rcc rId="0" sId="2">
      <nc r="T105">
        <v>0.05</v>
      </nc>
    </rcc>
    <rcc rId="0" sId="2">
      <nc r="T107">
        <v>0.05</v>
      </nc>
    </rcc>
    <rcc rId="0" sId="2">
      <nc r="T109">
        <v>0.05</v>
      </nc>
    </rcc>
    <rcc rId="0" sId="2">
      <nc r="T110">
        <v>0.05</v>
      </nc>
    </rcc>
    <rcc rId="0" sId="2">
      <nc r="T111">
        <v>0.05</v>
      </nc>
    </rcc>
    <rcc rId="0" sId="2">
      <nc r="T112">
        <v>0.05</v>
      </nc>
    </rcc>
    <rcc rId="0" sId="2">
      <nc r="T113">
        <v>0.1</v>
      </nc>
    </rcc>
    <rcc rId="0" sId="2">
      <nc r="T115">
        <v>0.1</v>
      </nc>
    </rcc>
    <rcc rId="0" sId="2">
      <nc r="T116">
        <v>0.3</v>
      </nc>
    </rcc>
    <rcc rId="0" sId="2">
      <nc r="T117">
        <v>0.3</v>
      </nc>
    </rcc>
    <rcc rId="0" sId="2">
      <nc r="T118">
        <v>0.3</v>
      </nc>
    </rcc>
    <rcc rId="0" sId="2">
      <nc r="T119">
        <v>0.15</v>
      </nc>
    </rcc>
    <rcc rId="0" sId="2">
      <nc r="T120">
        <v>0.15</v>
      </nc>
    </rcc>
    <rcc rId="0" sId="2">
      <nc r="T121">
        <v>0.3</v>
      </nc>
    </rcc>
    <rcc rId="0" sId="2">
      <nc r="T122">
        <v>0.3</v>
      </nc>
    </rcc>
    <rcc rId="0" sId="2">
      <nc r="T123">
        <v>0.3</v>
      </nc>
    </rcc>
    <rcc rId="0" sId="2">
      <nc r="T124">
        <v>0.3</v>
      </nc>
    </rcc>
    <rcc rId="0" sId="2">
      <nc r="T125">
        <v>0.05</v>
      </nc>
    </rcc>
    <rcc rId="0" sId="2">
      <nc r="T126">
        <v>0.05</v>
      </nc>
    </rcc>
    <rcc rId="0" sId="2">
      <nc r="T127">
        <v>0.05</v>
      </nc>
    </rcc>
    <rcc rId="0" sId="2">
      <nc r="T128">
        <v>0.05</v>
      </nc>
    </rcc>
    <rcc rId="0" sId="2">
      <nc r="T129">
        <v>0.05</v>
      </nc>
    </rcc>
    <rcc rId="0" sId="2">
      <nc r="T130">
        <v>0.05</v>
      </nc>
    </rcc>
    <rcc rId="0" sId="2">
      <nc r="T131">
        <v>0.05</v>
      </nc>
    </rcc>
    <rcc rId="0" sId="2">
      <nc r="T132">
        <v>0.05</v>
      </nc>
    </rcc>
    <rcc rId="0" sId="2">
      <nc r="T133">
        <v>0.05</v>
      </nc>
    </rcc>
    <rcc rId="0" sId="2">
      <nc r="T134">
        <v>0.05</v>
      </nc>
    </rcc>
    <rcc rId="0" sId="2">
      <nc r="T135">
        <v>0.05</v>
      </nc>
    </rcc>
    <rcc rId="0" sId="2">
      <nc r="T136">
        <v>0.05</v>
      </nc>
    </rcc>
    <rcc rId="0" sId="2">
      <nc r="T137">
        <v>0.05</v>
      </nc>
    </rcc>
    <rcc rId="0" sId="2">
      <nc r="T138">
        <v>0.05</v>
      </nc>
    </rcc>
    <rcc rId="0" sId="2">
      <nc r="T139">
        <v>0.05</v>
      </nc>
    </rcc>
    <rcc rId="0" sId="2">
      <nc r="T140">
        <v>0.05</v>
      </nc>
    </rcc>
    <rcc rId="0" sId="2">
      <nc r="T141">
        <v>0.05</v>
      </nc>
    </rcc>
    <rcc rId="0" sId="2">
      <nc r="T142">
        <v>0.05</v>
      </nc>
    </rcc>
    <rcc rId="0" sId="2">
      <nc r="T143">
        <v>0.05</v>
      </nc>
    </rcc>
    <rcc rId="0" sId="2">
      <nc r="T144">
        <v>0.05</v>
      </nc>
    </rcc>
    <rcc rId="0" sId="2">
      <nc r="T145">
        <v>0.05</v>
      </nc>
    </rcc>
    <rcc rId="0" sId="2">
      <nc r="T146">
        <v>0.05</v>
      </nc>
    </rcc>
    <rcc rId="0" sId="2">
      <nc r="T147">
        <v>0.1</v>
      </nc>
    </rcc>
    <rcc rId="0" sId="2">
      <nc r="T148">
        <v>0.1</v>
      </nc>
    </rcc>
    <rcc rId="0" sId="2">
      <nc r="T149">
        <v>0.1</v>
      </nc>
    </rcc>
    <rcc rId="0" sId="2">
      <nc r="T150">
        <v>0.1</v>
      </nc>
    </rcc>
    <rcc rId="0" sId="2">
      <nc r="T151">
        <v>0.1</v>
      </nc>
    </rcc>
    <rcc rId="0" sId="2">
      <nc r="T152">
        <v>0.1</v>
      </nc>
    </rcc>
    <rcc rId="0" sId="2">
      <nc r="T153">
        <v>0.1</v>
      </nc>
    </rcc>
    <rcc rId="0" sId="2">
      <nc r="T154">
        <v>0.1</v>
      </nc>
    </rcc>
    <rcc rId="0" sId="2">
      <nc r="T155">
        <v>0.1</v>
      </nc>
    </rcc>
    <rcc rId="0" sId="2">
      <nc r="T156">
        <v>0.1</v>
      </nc>
    </rcc>
    <rcc rId="0" sId="2">
      <nc r="T157">
        <v>0.1</v>
      </nc>
    </rcc>
    <rcc rId="0" sId="2">
      <nc r="T158">
        <v>0.1</v>
      </nc>
    </rcc>
    <rcc rId="0" sId="2">
      <nc r="T159">
        <v>0.1</v>
      </nc>
    </rcc>
    <rcc rId="0" sId="2">
      <nc r="T160">
        <v>0.1</v>
      </nc>
    </rcc>
    <rcc rId="0" sId="2">
      <nc r="T161">
        <v>0.1</v>
      </nc>
    </rcc>
    <rcc rId="0" sId="2">
      <nc r="T162">
        <v>0.1</v>
      </nc>
    </rcc>
    <rcc rId="0" sId="2">
      <nc r="T163">
        <v>0.1</v>
      </nc>
    </rcc>
    <rcc rId="0" sId="2">
      <nc r="T164">
        <v>0.1</v>
      </nc>
    </rcc>
    <rcc rId="0" sId="2">
      <nc r="T165">
        <v>0.1</v>
      </nc>
    </rcc>
    <rcc rId="0" sId="2">
      <nc r="T166">
        <v>0.05</v>
      </nc>
    </rcc>
    <rcc rId="0" sId="2">
      <nc r="T167">
        <v>0.05</v>
      </nc>
    </rcc>
    <rcc rId="0" sId="2">
      <nc r="T168">
        <v>0.05</v>
      </nc>
    </rcc>
    <rcc rId="0" sId="2">
      <nc r="T169">
        <v>0.05</v>
      </nc>
    </rcc>
    <rcc rId="0" sId="2">
      <nc r="T170">
        <v>0.05</v>
      </nc>
    </rcc>
    <rcc rId="0" sId="2">
      <nc r="T171">
        <v>0.05</v>
      </nc>
    </rcc>
    <rcc rId="0" sId="2">
      <nc r="T172">
        <v>0.05</v>
      </nc>
    </rcc>
    <rcc rId="0" sId="2">
      <nc r="T173">
        <v>0.05</v>
      </nc>
    </rcc>
    <rcc rId="0" sId="2">
      <nc r="T174">
        <v>0.05</v>
      </nc>
    </rcc>
    <rcc rId="0" sId="2">
      <nc r="T175">
        <v>0.1</v>
      </nc>
    </rcc>
    <rcc rId="0" sId="2">
      <nc r="T176">
        <v>0.1</v>
      </nc>
    </rcc>
    <rcc rId="0" sId="2">
      <nc r="T177">
        <v>0.1</v>
      </nc>
    </rcc>
    <rcc rId="0" sId="2">
      <nc r="T178">
        <v>0.1</v>
      </nc>
    </rcc>
    <rcc rId="0" sId="2">
      <nc r="T179">
        <v>0.1</v>
      </nc>
    </rcc>
    <rcc rId="0" sId="2">
      <nc r="T180">
        <v>0.1</v>
      </nc>
    </rcc>
    <rcc rId="0" sId="2">
      <nc r="T181">
        <v>0.1</v>
      </nc>
    </rcc>
    <rcc rId="0" sId="2">
      <nc r="T182">
        <v>0.1</v>
      </nc>
    </rcc>
    <rcc rId="0" sId="2">
      <nc r="T183">
        <v>0.1</v>
      </nc>
    </rcc>
    <rcc rId="0" sId="2">
      <nc r="T184">
        <v>0.1</v>
      </nc>
    </rcc>
    <rcc rId="0" sId="2">
      <nc r="T185">
        <v>0.1</v>
      </nc>
    </rcc>
    <rcc rId="0" sId="2">
      <nc r="T186">
        <v>0.1</v>
      </nc>
    </rcc>
    <rcc rId="0" sId="2">
      <nc r="T187">
        <v>0.1</v>
      </nc>
    </rcc>
    <rcc rId="0" sId="2">
      <nc r="T188">
        <v>0.1</v>
      </nc>
    </rcc>
    <rcc rId="0" sId="2">
      <nc r="T191">
        <v>0.1</v>
      </nc>
    </rcc>
    <rcc rId="0" sId="2">
      <nc r="T192">
        <v>0.1</v>
      </nc>
    </rcc>
    <rcc rId="0" sId="2">
      <nc r="T193">
        <v>0.1</v>
      </nc>
    </rcc>
    <rcc rId="0" sId="2">
      <nc r="T194">
        <v>0.1</v>
      </nc>
    </rcc>
    <rcc rId="0" sId="2">
      <nc r="T195">
        <v>0.1</v>
      </nc>
    </rcc>
    <rcc rId="0" sId="2">
      <nc r="T196">
        <v>0.1</v>
      </nc>
    </rcc>
    <rcc rId="0" sId="2">
      <nc r="T197">
        <v>0.1</v>
      </nc>
    </rcc>
    <rcc rId="0" sId="2">
      <nc r="T198">
        <v>0.1</v>
      </nc>
    </rcc>
    <rcc rId="0" sId="2">
      <nc r="T199">
        <v>0.1</v>
      </nc>
    </rcc>
    <rcc rId="0" sId="2">
      <nc r="T200">
        <v>0.1</v>
      </nc>
    </rcc>
    <rcc rId="0" sId="2">
      <nc r="T201" t="inlineStr">
        <is>
          <t>NA</t>
        </is>
      </nc>
    </rcc>
    <rcc rId="0" sId="2" dxf="1">
      <nc r="T202">
        <v>0.1</v>
      </nc>
      <ndxf>
        <fill>
          <patternFill patternType="solid">
            <bgColor rgb="FFFFFF00"/>
          </patternFill>
        </fill>
      </ndxf>
    </rcc>
    <rcc rId="0" sId="2" dxf="1">
      <nc r="T203">
        <v>0.1</v>
      </nc>
      <ndxf>
        <fill>
          <patternFill patternType="solid">
            <bgColor rgb="FFFFFF00"/>
          </patternFill>
        </fill>
      </ndxf>
    </rcc>
    <rcc rId="0" sId="2" dxf="1">
      <nc r="T204">
        <v>0.1</v>
      </nc>
      <ndxf>
        <fill>
          <patternFill patternType="solid">
            <bgColor rgb="FFFFFF00"/>
          </patternFill>
        </fill>
      </ndxf>
    </rcc>
    <rcc rId="0" sId="2">
      <nc r="T205">
        <v>0.1</v>
      </nc>
    </rcc>
    <rcc rId="0" sId="2">
      <nc r="T206">
        <v>0.1</v>
      </nc>
    </rcc>
    <rcc rId="0" sId="2">
      <nc r="T207">
        <v>0.1</v>
      </nc>
    </rcc>
    <rcc rId="0" sId="2">
      <nc r="T208">
        <v>0.1</v>
      </nc>
    </rcc>
    <rcc rId="0" sId="2">
      <nc r="T209">
        <v>0.1</v>
      </nc>
    </rcc>
    <rcc rId="0" sId="2">
      <nc r="T210">
        <v>0.1</v>
      </nc>
    </rcc>
    <rcc rId="0" sId="2">
      <nc r="T211">
        <v>0.1</v>
      </nc>
    </rcc>
    <rcc rId="0" sId="2">
      <nc r="T212">
        <v>0.1</v>
      </nc>
    </rcc>
    <rcc rId="0" sId="2" dxf="1">
      <nc r="T213">
        <v>0.1</v>
      </nc>
      <ndxf>
        <fill>
          <patternFill patternType="solid">
            <bgColor theme="0"/>
          </patternFill>
        </fill>
      </ndxf>
    </rcc>
    <rcc rId="0" sId="2" dxf="1">
      <nc r="T214">
        <v>0.1</v>
      </nc>
      <ndxf>
        <fill>
          <patternFill patternType="solid">
            <bgColor theme="0"/>
          </patternFill>
        </fill>
      </ndxf>
    </rcc>
    <rcc rId="0" sId="2" dxf="1">
      <nc r="T215">
        <v>0.1</v>
      </nc>
      <ndxf>
        <fill>
          <patternFill patternType="solid">
            <bgColor theme="0"/>
          </patternFill>
        </fill>
      </ndxf>
    </rcc>
    <rcc rId="0" sId="2" dxf="1">
      <nc r="T216">
        <v>0.1</v>
      </nc>
      <ndxf>
        <fill>
          <patternFill patternType="solid">
            <bgColor theme="0"/>
          </patternFill>
        </fill>
      </ndxf>
    </rcc>
    <rcc rId="0" sId="2" dxf="1">
      <nc r="T217">
        <v>0.1</v>
      </nc>
      <ndxf>
        <fill>
          <patternFill patternType="solid">
            <bgColor theme="0"/>
          </patternFill>
        </fill>
      </ndxf>
    </rcc>
    <rcc rId="0" sId="2">
      <nc r="T218">
        <v>0.1</v>
      </nc>
    </rcc>
    <rcc rId="0" sId="2">
      <nc r="T219">
        <v>0.1</v>
      </nc>
    </rcc>
    <rcc rId="0" sId="2">
      <nc r="T220">
        <v>0.1</v>
      </nc>
    </rcc>
    <rcc rId="0" sId="2">
      <nc r="T221">
        <v>0.1</v>
      </nc>
    </rcc>
    <rcc rId="0" sId="2">
      <nc r="T222">
        <v>0.1</v>
      </nc>
    </rcc>
    <rcc rId="0" sId="2">
      <nc r="T223">
        <v>0.1</v>
      </nc>
    </rcc>
    <rcc rId="0" sId="2">
      <nc r="T224">
        <v>0.1</v>
      </nc>
    </rcc>
    <rcc rId="0" sId="2">
      <nc r="T225">
        <v>0.1</v>
      </nc>
    </rcc>
    <rcc rId="0" sId="2">
      <nc r="T226">
        <v>0.2</v>
      </nc>
    </rcc>
    <rcc rId="0" sId="2">
      <nc r="T227">
        <v>0.1</v>
      </nc>
    </rcc>
    <rcc rId="0" sId="2">
      <nc r="T228">
        <v>0.2</v>
      </nc>
    </rcc>
    <rcc rId="0" sId="2">
      <nc r="T229">
        <v>0.2</v>
      </nc>
    </rcc>
    <rcc rId="0" sId="2">
      <nc r="T230">
        <v>0.1</v>
      </nc>
    </rcc>
    <rcc rId="0" sId="2">
      <nc r="T231">
        <v>0.1</v>
      </nc>
    </rcc>
    <rcc rId="0" sId="2">
      <nc r="T232">
        <v>0.1</v>
      </nc>
    </rcc>
    <rcc rId="0" sId="2">
      <nc r="T233">
        <v>0.1</v>
      </nc>
    </rcc>
    <rcc rId="0" sId="2">
      <nc r="T234">
        <v>0.1</v>
      </nc>
    </rcc>
    <rcc rId="0" sId="2">
      <nc r="T235">
        <v>0.1</v>
      </nc>
    </rcc>
    <rcc rId="0" sId="2">
      <nc r="T236">
        <v>0.1</v>
      </nc>
    </rcc>
    <rcc rId="0" sId="2">
      <nc r="T237">
        <v>0.1</v>
      </nc>
    </rcc>
    <rcc rId="0" sId="2">
      <nc r="T238">
        <v>0.2</v>
      </nc>
    </rcc>
    <rcc rId="0" sId="2">
      <nc r="T239">
        <v>0.1</v>
      </nc>
    </rcc>
    <rcc rId="0" sId="2">
      <nc r="T240">
        <v>0.1</v>
      </nc>
    </rcc>
    <rcc rId="0" sId="2">
      <nc r="T241">
        <v>0.1</v>
      </nc>
    </rcc>
    <rcc rId="0" sId="2">
      <nc r="T242">
        <v>0.1</v>
      </nc>
    </rcc>
    <rcc rId="0" sId="2">
      <nc r="T243">
        <v>0.2</v>
      </nc>
    </rcc>
    <rcc rId="0" sId="2">
      <nc r="T244">
        <v>0.2</v>
      </nc>
    </rcc>
    <rcc rId="0" sId="2">
      <nc r="T245">
        <v>0.2</v>
      </nc>
    </rcc>
    <rcc rId="0" sId="2">
      <nc r="T246">
        <v>0.1</v>
      </nc>
    </rcc>
    <rcc rId="0" sId="2">
      <nc r="T247">
        <v>0.1</v>
      </nc>
    </rcc>
    <rcc rId="0" sId="2">
      <nc r="T248">
        <v>0.1</v>
      </nc>
    </rcc>
    <rcc rId="0" sId="2">
      <nc r="T249">
        <v>0.2</v>
      </nc>
    </rcc>
    <rcc rId="0" sId="2">
      <nc r="T250">
        <v>0.1</v>
      </nc>
    </rcc>
    <rcc rId="0" sId="2">
      <nc r="T251">
        <v>0.2</v>
      </nc>
    </rcc>
    <rcc rId="0" sId="2">
      <nc r="T252">
        <v>0.2</v>
      </nc>
    </rcc>
    <rcc rId="0" sId="2">
      <nc r="T253">
        <v>0.1</v>
      </nc>
    </rcc>
    <rcc rId="0" sId="2">
      <nc r="T255">
        <v>0.1</v>
      </nc>
    </rcc>
    <rcc rId="0" sId="2">
      <nc r="T256">
        <v>0.1</v>
      </nc>
    </rcc>
    <rcc rId="0" sId="2">
      <nc r="T257">
        <v>0.2</v>
      </nc>
    </rcc>
    <rcc rId="0" sId="2">
      <nc r="T258">
        <v>0.1</v>
      </nc>
    </rcc>
    <rcc rId="0" sId="2">
      <nc r="T259">
        <v>0.2</v>
      </nc>
    </rcc>
    <rcc rId="0" sId="2">
      <nc r="T260">
        <v>0.1</v>
      </nc>
    </rcc>
  </rrc>
  <rrc rId="6583" sId="2" ref="T1:T1048576" action="deleteCol">
    <rfmt sheetId="2" xfDxf="1" sqref="T1:T1048576" start="0" length="0">
      <dxf>
        <alignment horizontal="left"/>
      </dxf>
    </rfmt>
    <rcc rId="0" sId="2">
      <nc r="T1" t="inlineStr">
        <is>
          <t>vpatt_freq_ret</t>
        </is>
      </nc>
    </rcc>
    <rfmt sheetId="2" sqref="T3" start="0" length="0">
      <dxf>
        <font>
          <sz val="12"/>
          <color rgb="FFFF0000"/>
          <name val="Calibri"/>
          <family val="2"/>
          <scheme val="minor"/>
        </font>
      </dxf>
    </rfmt>
    <rfmt sheetId="2" sqref="T13" start="0" length="0">
      <dxf>
        <font>
          <sz val="12"/>
          <color rgb="FFFF0000"/>
          <name val="Calibri"/>
          <family val="2"/>
          <scheme val="minor"/>
        </font>
      </dxf>
    </rfmt>
    <rfmt sheetId="2" sqref="T14" start="0" length="0">
      <dxf>
        <font>
          <sz val="12"/>
          <color rgb="FFFF0000"/>
          <name val="Calibri"/>
          <family val="2"/>
          <scheme val="minor"/>
        </font>
      </dxf>
    </rfmt>
    <rcc rId="0" sId="2">
      <nc r="T32">
        <v>0.1</v>
      </nc>
    </rcc>
    <rcc rId="0" sId="2">
      <nc r="T33" t="inlineStr">
        <is>
          <t>NA</t>
        </is>
      </nc>
    </rcc>
    <rcc rId="0" sId="2">
      <nc r="T34">
        <v>0.1</v>
      </nc>
    </rcc>
    <rcc rId="0" sId="2">
      <nc r="T35" t="inlineStr">
        <is>
          <t>NA</t>
        </is>
      </nc>
    </rcc>
    <rcc rId="0" sId="2">
      <nc r="T36" t="inlineStr">
        <is>
          <t>NA</t>
        </is>
      </nc>
    </rcc>
    <rcc rId="0" sId="2">
      <nc r="T37" t="inlineStr">
        <is>
          <t>NA</t>
        </is>
      </nc>
    </rcc>
    <rcc rId="0" sId="2">
      <nc r="T38">
        <v>0.1</v>
      </nc>
    </rcc>
    <rcc rId="0" sId="2">
      <nc r="T39">
        <v>0.1</v>
      </nc>
    </rcc>
    <rcc rId="0" sId="2">
      <nc r="T40">
        <v>0.1</v>
      </nc>
    </rcc>
    <rcc rId="0" sId="2">
      <nc r="T41">
        <v>0.1</v>
      </nc>
    </rcc>
    <rcc rId="0" sId="2">
      <nc r="T42">
        <v>0.1</v>
      </nc>
    </rcc>
    <rcc rId="0" sId="2">
      <nc r="T43" t="inlineStr">
        <is>
          <t>NA</t>
        </is>
      </nc>
    </rcc>
    <rcc rId="0" sId="2">
      <nc r="T44">
        <v>0.05</v>
      </nc>
    </rcc>
    <rcc rId="0" sId="2">
      <nc r="T45">
        <v>0.1</v>
      </nc>
    </rcc>
    <rcc rId="0" sId="2">
      <nc r="T46">
        <v>0.15</v>
      </nc>
    </rcc>
    <rcc rId="0" sId="2">
      <nc r="T47">
        <v>0.1</v>
      </nc>
    </rcc>
    <rcc rId="0" sId="2">
      <nc r="T48">
        <v>0.1</v>
      </nc>
    </rcc>
    <rcc rId="0" sId="2">
      <nc r="T49">
        <v>0.15</v>
      </nc>
    </rcc>
    <rcc rId="0" sId="2">
      <nc r="T50">
        <v>0.05</v>
      </nc>
    </rcc>
    <rcc rId="0" sId="2">
      <nc r="T51">
        <v>0.05</v>
      </nc>
    </rcc>
    <rcc rId="0" sId="2">
      <nc r="T52">
        <v>0.15</v>
      </nc>
    </rcc>
    <rcc rId="0" sId="2">
      <nc r="T53">
        <v>0.05</v>
      </nc>
    </rcc>
    <rcc rId="0" sId="2">
      <nc r="T54">
        <v>0.05</v>
      </nc>
    </rcc>
    <rcc rId="0" sId="2">
      <nc r="T55">
        <v>0.05</v>
      </nc>
    </rcc>
    <rcc rId="0" sId="2">
      <nc r="T56">
        <v>0.05</v>
      </nc>
    </rcc>
    <rcc rId="0" sId="2">
      <nc r="T57">
        <v>0.05</v>
      </nc>
    </rcc>
    <rcc rId="0" sId="2">
      <nc r="T58">
        <v>0.05</v>
      </nc>
    </rcc>
    <rcc rId="0" sId="2">
      <nc r="T59">
        <v>0.05</v>
      </nc>
    </rcc>
    <rcc rId="0" sId="2">
      <nc r="T60">
        <v>0.05</v>
      </nc>
    </rcc>
    <rcc rId="0" sId="2">
      <nc r="T61">
        <v>0.15</v>
      </nc>
    </rcc>
    <rcc rId="0" sId="2">
      <nc r="T62">
        <v>0.15</v>
      </nc>
    </rcc>
    <rcc rId="0" sId="2">
      <nc r="T63">
        <v>0.05</v>
      </nc>
    </rcc>
    <rcc rId="0" sId="2">
      <nc r="T64">
        <v>0.15</v>
      </nc>
    </rcc>
    <rcc rId="0" sId="2">
      <nc r="T65">
        <v>0.05</v>
      </nc>
    </rcc>
    <rcc rId="0" sId="2">
      <nc r="T66">
        <v>0.05</v>
      </nc>
    </rcc>
    <rcc rId="0" sId="2">
      <nc r="T67">
        <v>0.1</v>
      </nc>
    </rcc>
    <rcc rId="0" sId="2">
      <nc r="T68">
        <v>0.1</v>
      </nc>
    </rcc>
    <rcc rId="0" sId="2">
      <nc r="T69">
        <v>0.1</v>
      </nc>
    </rcc>
    <rcc rId="0" sId="2">
      <nc r="T72">
        <v>0.15</v>
      </nc>
    </rcc>
    <rcc rId="0" sId="2">
      <nc r="T73">
        <v>0.05</v>
      </nc>
    </rcc>
    <rcc rId="0" sId="2">
      <nc r="T74">
        <v>0.1</v>
      </nc>
    </rcc>
    <rcc rId="0" sId="2">
      <nc r="T75">
        <v>0.1</v>
      </nc>
    </rcc>
    <rcc rId="0" sId="2">
      <nc r="T76">
        <v>0.15</v>
      </nc>
    </rcc>
    <rcc rId="0" sId="2">
      <nc r="T77">
        <v>0.05</v>
      </nc>
    </rcc>
    <rcc rId="0" sId="2">
      <nc r="T78">
        <v>0.05</v>
      </nc>
    </rcc>
    <rcc rId="0" sId="2">
      <nc r="T79">
        <v>0.05</v>
      </nc>
    </rcc>
    <rcc rId="0" sId="2">
      <nc r="T80">
        <v>0.1</v>
      </nc>
    </rcc>
    <rcc rId="0" sId="2">
      <nc r="T81">
        <v>0.05</v>
      </nc>
    </rcc>
    <rcc rId="0" sId="2">
      <nc r="T82">
        <v>0.15</v>
      </nc>
    </rcc>
    <rcc rId="0" sId="2">
      <nc r="T83">
        <v>0.05</v>
      </nc>
    </rcc>
    <rcc rId="0" sId="2">
      <nc r="T84">
        <v>0.05</v>
      </nc>
    </rcc>
    <rcc rId="0" sId="2">
      <nc r="T85">
        <v>0.1</v>
      </nc>
    </rcc>
    <rcc rId="0" sId="2" dxf="1">
      <nc r="T86">
        <v>0.05</v>
      </nc>
      <ndxf>
        <font>
          <sz val="12"/>
          <color rgb="FF000000"/>
          <name val="Calibri"/>
          <family val="2"/>
          <scheme val="minor"/>
        </font>
      </ndxf>
    </rcc>
    <rcc rId="0" sId="2">
      <nc r="T87">
        <v>0.15</v>
      </nc>
    </rcc>
    <rcc rId="0" sId="2">
      <nc r="T88">
        <v>0.05</v>
      </nc>
    </rcc>
    <rcc rId="0" sId="2">
      <nc r="T89">
        <v>0.05</v>
      </nc>
    </rcc>
    <rcc rId="0" sId="2">
      <nc r="T90">
        <v>0.05</v>
      </nc>
    </rcc>
    <rcc rId="0" sId="2">
      <nc r="T91">
        <v>0.05</v>
      </nc>
    </rcc>
    <rcc rId="0" sId="2">
      <nc r="T92">
        <v>0.1</v>
      </nc>
    </rcc>
    <rcc rId="0" sId="2">
      <nc r="T93">
        <v>0.05</v>
      </nc>
    </rcc>
    <rcc rId="0" sId="2">
      <nc r="T94">
        <v>0.15</v>
      </nc>
    </rcc>
    <rcc rId="0" sId="2">
      <nc r="T95">
        <v>0.05</v>
      </nc>
    </rcc>
    <rcc rId="0" sId="2">
      <nc r="T100">
        <v>0.05</v>
      </nc>
    </rcc>
    <rcc rId="0" sId="2">
      <nc r="T102">
        <v>0.1</v>
      </nc>
    </rcc>
    <rcc rId="0" sId="2">
      <nc r="T103">
        <v>0.1</v>
      </nc>
    </rcc>
    <rcc rId="0" sId="2">
      <nc r="T104">
        <v>0.15</v>
      </nc>
    </rcc>
    <rcc rId="0" sId="2">
      <nc r="T105">
        <v>0.05</v>
      </nc>
    </rcc>
    <rcc rId="0" sId="2">
      <nc r="T107">
        <v>0.05</v>
      </nc>
    </rcc>
    <rcc rId="0" sId="2">
      <nc r="T109">
        <v>0.15</v>
      </nc>
    </rcc>
    <rcc rId="0" sId="2">
      <nc r="T110">
        <v>0.05</v>
      </nc>
    </rcc>
    <rcc rId="0" sId="2">
      <nc r="T111">
        <v>0.05</v>
      </nc>
    </rcc>
    <rcc rId="0" sId="2">
      <nc r="T112">
        <v>0.15</v>
      </nc>
    </rcc>
    <rcc rId="0" sId="2">
      <nc r="T113">
        <v>0.3</v>
      </nc>
    </rcc>
    <rcc rId="0" sId="2">
      <nc r="T115">
        <v>0.3</v>
      </nc>
    </rcc>
    <rcc rId="0" sId="2">
      <nc r="T116">
        <v>0.3</v>
      </nc>
    </rcc>
    <rcc rId="0" sId="2">
      <nc r="T117">
        <v>0.3</v>
      </nc>
    </rcc>
    <rcc rId="0" sId="2">
      <nc r="T118">
        <v>0.15</v>
      </nc>
    </rcc>
    <rcc rId="0" sId="2">
      <nc r="T119">
        <v>0.15</v>
      </nc>
    </rcc>
    <rcc rId="0" sId="2">
      <nc r="T120">
        <v>0.15</v>
      </nc>
    </rcc>
    <rcc rId="0" sId="2">
      <nc r="T121">
        <v>0.3</v>
      </nc>
    </rcc>
    <rcc rId="0" sId="2">
      <nc r="T122">
        <v>0.3</v>
      </nc>
    </rcc>
    <rcc rId="0" sId="2">
      <nc r="T123">
        <v>0.3</v>
      </nc>
    </rcc>
    <rcc rId="0" sId="2">
      <nc r="T124">
        <v>0.3</v>
      </nc>
    </rcc>
    <rcc rId="0" sId="2">
      <nc r="T125">
        <v>0.05</v>
      </nc>
    </rcc>
    <rcc rId="0" sId="2">
      <nc r="T126">
        <v>0.05</v>
      </nc>
    </rcc>
    <rcc rId="0" sId="2">
      <nc r="T127">
        <v>0.05</v>
      </nc>
    </rcc>
    <rcc rId="0" sId="2">
      <nc r="T128">
        <v>0.05</v>
      </nc>
    </rcc>
    <rcc rId="0" sId="2">
      <nc r="T129">
        <v>0.05</v>
      </nc>
    </rcc>
    <rcc rId="0" sId="2">
      <nc r="T130">
        <v>0.05</v>
      </nc>
    </rcc>
    <rcc rId="0" sId="2">
      <nc r="T131">
        <v>0.05</v>
      </nc>
    </rcc>
    <rcc rId="0" sId="2">
      <nc r="T132">
        <v>0.05</v>
      </nc>
    </rcc>
    <rcc rId="0" sId="2">
      <nc r="T133">
        <v>0.05</v>
      </nc>
    </rcc>
    <rcc rId="0" sId="2">
      <nc r="T134">
        <v>0.05</v>
      </nc>
    </rcc>
    <rcc rId="0" sId="2">
      <nc r="T135">
        <v>0.05</v>
      </nc>
    </rcc>
    <rcc rId="0" sId="2">
      <nc r="T136">
        <v>0.05</v>
      </nc>
    </rcc>
    <rcc rId="0" sId="2">
      <nc r="T137">
        <v>0.05</v>
      </nc>
    </rcc>
    <rcc rId="0" sId="2">
      <nc r="T138">
        <v>0.05</v>
      </nc>
    </rcc>
    <rcc rId="0" sId="2">
      <nc r="T139">
        <v>0.05</v>
      </nc>
    </rcc>
    <rcc rId="0" sId="2">
      <nc r="T140">
        <v>0.05</v>
      </nc>
    </rcc>
    <rcc rId="0" sId="2">
      <nc r="T141">
        <v>0.05</v>
      </nc>
    </rcc>
    <rcc rId="0" sId="2">
      <nc r="T142">
        <v>0.05</v>
      </nc>
    </rcc>
    <rcc rId="0" sId="2">
      <nc r="T143">
        <v>0.05</v>
      </nc>
    </rcc>
    <rcc rId="0" sId="2">
      <nc r="T144">
        <v>0.05</v>
      </nc>
    </rcc>
    <rcc rId="0" sId="2">
      <nc r="T145">
        <v>0.05</v>
      </nc>
    </rcc>
    <rcc rId="0" sId="2">
      <nc r="T146">
        <v>0.05</v>
      </nc>
    </rcc>
    <rcc rId="0" sId="2">
      <nc r="T147">
        <v>0.1</v>
      </nc>
    </rcc>
    <rcc rId="0" sId="2">
      <nc r="T148">
        <v>0.1</v>
      </nc>
    </rcc>
    <rcc rId="0" sId="2">
      <nc r="T149">
        <v>0.1</v>
      </nc>
    </rcc>
    <rcc rId="0" sId="2">
      <nc r="T150">
        <v>0.1</v>
      </nc>
    </rcc>
    <rcc rId="0" sId="2">
      <nc r="T151">
        <v>0.1</v>
      </nc>
    </rcc>
    <rcc rId="0" sId="2">
      <nc r="T152">
        <v>0.1</v>
      </nc>
    </rcc>
    <rcc rId="0" sId="2">
      <nc r="T153">
        <v>0.1</v>
      </nc>
    </rcc>
    <rcc rId="0" sId="2">
      <nc r="T154">
        <v>0.1</v>
      </nc>
    </rcc>
    <rcc rId="0" sId="2">
      <nc r="T155">
        <v>0.1</v>
      </nc>
    </rcc>
    <rcc rId="0" sId="2">
      <nc r="T156">
        <v>0.1</v>
      </nc>
    </rcc>
    <rcc rId="0" sId="2">
      <nc r="T157">
        <v>0.1</v>
      </nc>
    </rcc>
    <rcc rId="0" sId="2">
      <nc r="T158">
        <v>0.1</v>
      </nc>
    </rcc>
    <rcc rId="0" sId="2">
      <nc r="T159">
        <v>0.1</v>
      </nc>
    </rcc>
    <rcc rId="0" sId="2">
      <nc r="T160">
        <v>0.1</v>
      </nc>
    </rcc>
    <rcc rId="0" sId="2">
      <nc r="T161">
        <v>0.1</v>
      </nc>
    </rcc>
    <rcc rId="0" sId="2">
      <nc r="T162">
        <v>0.1</v>
      </nc>
    </rcc>
    <rcc rId="0" sId="2">
      <nc r="T163">
        <v>0.1</v>
      </nc>
    </rcc>
    <rcc rId="0" sId="2">
      <nc r="T164">
        <v>0.1</v>
      </nc>
    </rcc>
    <rcc rId="0" sId="2">
      <nc r="T165">
        <v>0.1</v>
      </nc>
    </rcc>
    <rcc rId="0" sId="2">
      <nc r="T166">
        <v>0.05</v>
      </nc>
    </rcc>
    <rcc rId="0" sId="2">
      <nc r="T167">
        <v>0.05</v>
      </nc>
    </rcc>
    <rcc rId="0" sId="2">
      <nc r="T168">
        <v>0.05</v>
      </nc>
    </rcc>
    <rcc rId="0" sId="2">
      <nc r="T169">
        <v>0.05</v>
      </nc>
    </rcc>
    <rcc rId="0" sId="2">
      <nc r="T170">
        <v>0.05</v>
      </nc>
    </rcc>
    <rcc rId="0" sId="2">
      <nc r="T171">
        <v>0.05</v>
      </nc>
    </rcc>
    <rcc rId="0" sId="2">
      <nc r="T172">
        <v>0.05</v>
      </nc>
    </rcc>
    <rcc rId="0" sId="2">
      <nc r="T173">
        <v>0.05</v>
      </nc>
    </rcc>
    <rcc rId="0" sId="2">
      <nc r="T174">
        <v>0.05</v>
      </nc>
    </rcc>
    <rcc rId="0" sId="2">
      <nc r="T175">
        <v>0.1</v>
      </nc>
    </rcc>
    <rcc rId="0" sId="2">
      <nc r="T176">
        <v>0.1</v>
      </nc>
    </rcc>
    <rcc rId="0" sId="2">
      <nc r="T177">
        <v>0.1</v>
      </nc>
    </rcc>
    <rcc rId="0" sId="2">
      <nc r="T178">
        <v>0.1</v>
      </nc>
    </rcc>
    <rcc rId="0" sId="2">
      <nc r="T179">
        <v>0.1</v>
      </nc>
    </rcc>
    <rcc rId="0" sId="2">
      <nc r="T180">
        <v>0.1</v>
      </nc>
    </rcc>
    <rcc rId="0" sId="2">
      <nc r="T181">
        <v>0.1</v>
      </nc>
    </rcc>
    <rcc rId="0" sId="2">
      <nc r="T182">
        <v>0.1</v>
      </nc>
    </rcc>
    <rcc rId="0" sId="2">
      <nc r="T183">
        <v>0.1</v>
      </nc>
    </rcc>
    <rcc rId="0" sId="2">
      <nc r="T184">
        <v>0.1</v>
      </nc>
    </rcc>
    <rcc rId="0" sId="2">
      <nc r="T185">
        <v>0.1</v>
      </nc>
    </rcc>
    <rcc rId="0" sId="2">
      <nc r="T186">
        <v>0.1</v>
      </nc>
    </rcc>
    <rcc rId="0" sId="2">
      <nc r="T187">
        <v>0.1</v>
      </nc>
    </rcc>
    <rcc rId="0" sId="2">
      <nc r="T188">
        <v>0.1</v>
      </nc>
    </rcc>
    <rcc rId="0" sId="2">
      <nc r="T191">
        <v>0.1</v>
      </nc>
    </rcc>
    <rcc rId="0" sId="2">
      <nc r="T192">
        <v>0.1</v>
      </nc>
    </rcc>
    <rcc rId="0" sId="2">
      <nc r="T193">
        <v>0.1</v>
      </nc>
    </rcc>
    <rcc rId="0" sId="2">
      <nc r="T194">
        <v>0.1</v>
      </nc>
    </rcc>
    <rcc rId="0" sId="2">
      <nc r="T195">
        <v>0.1</v>
      </nc>
    </rcc>
    <rcc rId="0" sId="2">
      <nc r="T196">
        <v>0.1</v>
      </nc>
    </rcc>
    <rcc rId="0" sId="2">
      <nc r="T197">
        <v>0.1</v>
      </nc>
    </rcc>
    <rcc rId="0" sId="2">
      <nc r="T198">
        <v>0.1</v>
      </nc>
    </rcc>
    <rcc rId="0" sId="2">
      <nc r="T199">
        <v>0.1</v>
      </nc>
    </rcc>
    <rcc rId="0" sId="2">
      <nc r="T200">
        <v>0.1</v>
      </nc>
    </rcc>
    <rcc rId="0" sId="2">
      <nc r="T201" t="inlineStr">
        <is>
          <t>NA</t>
        </is>
      </nc>
    </rcc>
    <rcc rId="0" sId="2" dxf="1">
      <nc r="T202">
        <v>0.1</v>
      </nc>
      <ndxf>
        <fill>
          <patternFill patternType="solid">
            <bgColor rgb="FFFFFF00"/>
          </patternFill>
        </fill>
      </ndxf>
    </rcc>
    <rcc rId="0" sId="2" dxf="1">
      <nc r="T203">
        <v>0.1</v>
      </nc>
      <ndxf>
        <fill>
          <patternFill patternType="solid">
            <bgColor rgb="FFFFFF00"/>
          </patternFill>
        </fill>
      </ndxf>
    </rcc>
    <rcc rId="0" sId="2" dxf="1">
      <nc r="T204">
        <v>0.1</v>
      </nc>
      <ndxf>
        <fill>
          <patternFill patternType="solid">
            <bgColor rgb="FFFFFF00"/>
          </patternFill>
        </fill>
      </ndxf>
    </rcc>
    <rcc rId="0" sId="2">
      <nc r="T205">
        <v>0.1</v>
      </nc>
    </rcc>
    <rcc rId="0" sId="2">
      <nc r="T206">
        <v>0.1</v>
      </nc>
    </rcc>
    <rcc rId="0" sId="2">
      <nc r="T207">
        <v>0.1</v>
      </nc>
    </rcc>
    <rcc rId="0" sId="2">
      <nc r="T208">
        <v>0.1</v>
      </nc>
    </rcc>
    <rcc rId="0" sId="2">
      <nc r="T209">
        <v>0.1</v>
      </nc>
    </rcc>
    <rcc rId="0" sId="2">
      <nc r="T210">
        <v>0.1</v>
      </nc>
    </rcc>
    <rcc rId="0" sId="2">
      <nc r="T211">
        <v>0.1</v>
      </nc>
    </rcc>
    <rcc rId="0" sId="2">
      <nc r="T212">
        <v>0.1</v>
      </nc>
    </rcc>
    <rcc rId="0" sId="2" dxf="1">
      <nc r="T213">
        <v>0.1</v>
      </nc>
      <ndxf>
        <fill>
          <patternFill patternType="solid">
            <bgColor theme="0"/>
          </patternFill>
        </fill>
      </ndxf>
    </rcc>
    <rcc rId="0" sId="2" dxf="1">
      <nc r="T214">
        <v>0.1</v>
      </nc>
      <ndxf>
        <fill>
          <patternFill patternType="solid">
            <bgColor theme="0"/>
          </patternFill>
        </fill>
      </ndxf>
    </rcc>
    <rcc rId="0" sId="2" dxf="1">
      <nc r="T215">
        <v>0.1</v>
      </nc>
      <ndxf>
        <fill>
          <patternFill patternType="solid">
            <bgColor theme="0"/>
          </patternFill>
        </fill>
      </ndxf>
    </rcc>
    <rcc rId="0" sId="2" dxf="1">
      <nc r="T216">
        <v>0.1</v>
      </nc>
      <ndxf>
        <fill>
          <patternFill patternType="solid">
            <bgColor theme="0"/>
          </patternFill>
        </fill>
      </ndxf>
    </rcc>
    <rcc rId="0" sId="2" dxf="1">
      <nc r="T217">
        <v>0.1</v>
      </nc>
      <ndxf>
        <fill>
          <patternFill patternType="solid">
            <bgColor theme="0"/>
          </patternFill>
        </fill>
      </ndxf>
    </rcc>
    <rcc rId="0" sId="2">
      <nc r="T218">
        <v>0.1</v>
      </nc>
    </rcc>
    <rcc rId="0" sId="2">
      <nc r="T219">
        <v>0.1</v>
      </nc>
    </rcc>
    <rcc rId="0" sId="2">
      <nc r="T220">
        <v>0.1</v>
      </nc>
    </rcc>
    <rcc rId="0" sId="2">
      <nc r="T221">
        <v>0.1</v>
      </nc>
    </rcc>
    <rcc rId="0" sId="2">
      <nc r="T222">
        <v>0.1</v>
      </nc>
    </rcc>
    <rcc rId="0" sId="2">
      <nc r="T223">
        <v>0.1</v>
      </nc>
    </rcc>
    <rcc rId="0" sId="2">
      <nc r="T224">
        <v>0.1</v>
      </nc>
    </rcc>
    <rcc rId="0" sId="2">
      <nc r="T225">
        <v>0.1</v>
      </nc>
    </rcc>
    <rcc rId="0" sId="2">
      <nc r="T226">
        <v>0.2</v>
      </nc>
    </rcc>
    <rcc rId="0" sId="2">
      <nc r="T227">
        <v>0.2</v>
      </nc>
    </rcc>
    <rcc rId="0" sId="2">
      <nc r="T228">
        <v>0.2</v>
      </nc>
    </rcc>
    <rcc rId="0" sId="2">
      <nc r="T229">
        <v>0.2</v>
      </nc>
    </rcc>
    <rcc rId="0" sId="2">
      <nc r="T230">
        <v>0.1</v>
      </nc>
    </rcc>
    <rcc rId="0" sId="2">
      <nc r="T231">
        <v>0.1</v>
      </nc>
    </rcc>
    <rcc rId="0" sId="2">
      <nc r="T232">
        <v>0.1</v>
      </nc>
    </rcc>
    <rcc rId="0" sId="2">
      <nc r="T233">
        <v>0.1</v>
      </nc>
    </rcc>
    <rcc rId="0" sId="2">
      <nc r="T234">
        <v>0.1</v>
      </nc>
    </rcc>
    <rcc rId="0" sId="2">
      <nc r="T235">
        <v>0.2</v>
      </nc>
    </rcc>
    <rcc rId="0" sId="2">
      <nc r="T236">
        <v>0.1</v>
      </nc>
    </rcc>
    <rcc rId="0" sId="2">
      <nc r="T237">
        <v>0.2</v>
      </nc>
    </rcc>
    <rcc rId="0" sId="2">
      <nc r="T238">
        <v>0.1</v>
      </nc>
    </rcc>
    <rcc rId="0" sId="2">
      <nc r="T239">
        <v>0.1</v>
      </nc>
    </rcc>
    <rcc rId="0" sId="2">
      <nc r="T240">
        <v>0.1</v>
      </nc>
    </rcc>
    <rcc rId="0" sId="2">
      <nc r="T241">
        <v>0.2</v>
      </nc>
    </rcc>
    <rcc rId="0" sId="2">
      <nc r="T242">
        <v>0.1</v>
      </nc>
    </rcc>
    <rcc rId="0" sId="2">
      <nc r="T243">
        <v>0.2</v>
      </nc>
    </rcc>
    <rcc rId="0" sId="2">
      <nc r="T244">
        <v>0.2</v>
      </nc>
    </rcc>
    <rcc rId="0" sId="2">
      <nc r="T245">
        <v>0.1</v>
      </nc>
    </rcc>
    <rcc rId="0" sId="2">
      <nc r="T246">
        <v>0.1</v>
      </nc>
    </rcc>
    <rcc rId="0" sId="2">
      <nc r="T247">
        <v>0.2</v>
      </nc>
    </rcc>
    <rcc rId="0" sId="2">
      <nc r="T248">
        <v>0.1</v>
      </nc>
    </rcc>
    <rcc rId="0" sId="2">
      <nc r="T249">
        <v>0.1</v>
      </nc>
    </rcc>
    <rcc rId="0" sId="2">
      <nc r="T250">
        <v>0.2</v>
      </nc>
    </rcc>
    <rcc rId="0" sId="2">
      <nc r="T251">
        <v>0.2</v>
      </nc>
    </rcc>
    <rcc rId="0" sId="2">
      <nc r="T252">
        <v>0.2</v>
      </nc>
    </rcc>
    <rcc rId="0" sId="2">
      <nc r="T253">
        <v>0.2</v>
      </nc>
    </rcc>
    <rcc rId="0" sId="2">
      <nc r="T254">
        <v>0.1</v>
      </nc>
    </rcc>
    <rcc rId="0" sId="2">
      <nc r="T255">
        <v>0.2</v>
      </nc>
    </rcc>
    <rcc rId="0" sId="2">
      <nc r="T256">
        <v>0.2</v>
      </nc>
    </rcc>
    <rcc rId="0" sId="2">
      <nc r="T257">
        <v>0.1</v>
      </nc>
    </rcc>
    <rcc rId="0" sId="2">
      <nc r="T258">
        <v>0.2</v>
      </nc>
    </rcc>
    <rcc rId="0" sId="2">
      <nc r="T259">
        <v>0.1</v>
      </nc>
    </rcc>
    <rcc rId="0" sId="2">
      <nc r="T260">
        <v>0.1</v>
      </nc>
    </rcc>
  </rrc>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84" sId="1">
    <oc r="P66">
      <v>57.59</v>
    </oc>
    <nc r="P66">
      <v>115.17</v>
    </nc>
  </rcc>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85" sId="1">
    <oc r="C204" t="inlineStr">
      <is>
        <t>A</t>
      </is>
    </oc>
    <nc r="C204" t="inlineStr">
      <is>
        <t>NA</t>
      </is>
    </nc>
  </rcc>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86" sId="1" odxf="1" dxf="1">
    <oc r="B204" t="inlineStr">
      <is>
        <t>N</t>
      </is>
    </oc>
    <nc r="B204" t="inlineStr">
      <is>
        <t>NA</t>
      </is>
    </nc>
    <odxf>
      <alignment horizontal="left" vertical="top"/>
    </odxf>
    <ndxf>
      <alignment horizontal="general" vertical="bottom"/>
    </ndxf>
  </rcc>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587" sId="1">
    <oc r="P2">
      <v>57.59</v>
    </oc>
    <nc r="P2">
      <v>57.4</v>
    </nc>
  </rcc>
  <rcc rId="6588" sId="1">
    <oc r="P3">
      <v>57.59</v>
    </oc>
    <nc r="P3">
      <v>57.4</v>
    </nc>
  </rcc>
  <rcc rId="6589" sId="1">
    <oc r="P7">
      <v>57.59</v>
    </oc>
    <nc r="P7">
      <v>57.4</v>
    </nc>
  </rcc>
  <rcc rId="6590" sId="1">
    <oc r="P9">
      <v>57.59</v>
    </oc>
    <nc r="P9">
      <v>57.4</v>
    </nc>
  </rcc>
  <rcc rId="6591" sId="1">
    <oc r="P10">
      <v>57.59</v>
    </oc>
    <nc r="P10">
      <v>57.4</v>
    </nc>
  </rcc>
  <rcc rId="6592" sId="1">
    <oc r="P11">
      <v>57.59</v>
    </oc>
    <nc r="P11">
      <v>57.4</v>
    </nc>
  </rcc>
  <rcc rId="6593" sId="1">
    <oc r="P12">
      <v>57.59</v>
    </oc>
    <nc r="P12">
      <v>57.4</v>
    </nc>
  </rcc>
  <rcc rId="6594" sId="1">
    <oc r="P13">
      <v>57.59</v>
    </oc>
    <nc r="P13">
      <v>57.4</v>
    </nc>
  </rcc>
  <rcc rId="6595" sId="1">
    <oc r="P14">
      <v>57.59</v>
    </oc>
    <nc r="P14">
      <v>57.4</v>
    </nc>
  </rcc>
  <rcc rId="6596" sId="1">
    <oc r="P15">
      <v>57.59</v>
    </oc>
    <nc r="P15">
      <v>57.4</v>
    </nc>
  </rcc>
  <rcc rId="6597" sId="1">
    <oc r="P16">
      <v>57.59</v>
    </oc>
    <nc r="P16">
      <v>57.4</v>
    </nc>
  </rcc>
  <rcc rId="6598" sId="1">
    <oc r="P17">
      <v>57.59</v>
    </oc>
    <nc r="P17">
      <v>57.4</v>
    </nc>
  </rcc>
  <rcc rId="6599" sId="1">
    <oc r="P18">
      <v>57.59</v>
    </oc>
    <nc r="P18">
      <v>57.4</v>
    </nc>
  </rcc>
  <rcc rId="6600" sId="1">
    <oc r="P19">
      <v>57.59</v>
    </oc>
    <nc r="P19">
      <v>57.4</v>
    </nc>
  </rcc>
  <rcc rId="6601" sId="1">
    <oc r="P20">
      <v>57.59</v>
    </oc>
    <nc r="P20">
      <v>57.4</v>
    </nc>
  </rcc>
  <rcc rId="6602" sId="1">
    <oc r="P21">
      <v>57.59</v>
    </oc>
    <nc r="P21">
      <v>57.4</v>
    </nc>
  </rcc>
  <rcc rId="6603" sId="1">
    <oc r="P22">
      <v>57.59</v>
    </oc>
    <nc r="P22">
      <v>57.4</v>
    </nc>
  </rcc>
  <rcc rId="6604" sId="1">
    <oc r="P23">
      <v>57.59</v>
    </oc>
    <nc r="P23">
      <v>57.4</v>
    </nc>
  </rcc>
  <rcc rId="6605" sId="1">
    <oc r="P24">
      <v>57.59</v>
    </oc>
    <nc r="P24">
      <v>57.4</v>
    </nc>
  </rcc>
  <rcc rId="6606" sId="1">
    <oc r="Q24">
      <v>57.59</v>
    </oc>
    <nc r="Q24">
      <v>57.4</v>
    </nc>
  </rcc>
  <rcc rId="6607" sId="1">
    <oc r="P25">
      <v>57.59</v>
    </oc>
    <nc r="P25">
      <v>57.4</v>
    </nc>
  </rcc>
  <rcc rId="6608" sId="1">
    <oc r="P26">
      <v>57.59</v>
    </oc>
    <nc r="P26">
      <v>57.4</v>
    </nc>
  </rcc>
  <rcc rId="6609" sId="1">
    <oc r="P27">
      <v>57.59</v>
    </oc>
    <nc r="P27">
      <v>57.4</v>
    </nc>
  </rcc>
  <rcc rId="6610" sId="1">
    <oc r="P28">
      <v>57.59</v>
    </oc>
    <nc r="P28">
      <v>57.4</v>
    </nc>
  </rcc>
  <rcc rId="6611" sId="1">
    <oc r="P29">
      <v>57.59</v>
    </oc>
    <nc r="P29">
      <v>57.4</v>
    </nc>
  </rcc>
  <rcc rId="6612" sId="1">
    <oc r="P30">
      <v>57.59</v>
    </oc>
    <nc r="P30">
      <v>57.4</v>
    </nc>
  </rcc>
  <rcc rId="6613" sId="1">
    <oc r="Q30">
      <v>57.59</v>
    </oc>
    <nc r="Q30">
      <v>57.4</v>
    </nc>
  </rcc>
  <rcc rId="6614" sId="1">
    <oc r="P31">
      <v>57.59</v>
    </oc>
    <nc r="P31">
      <v>57.4</v>
    </nc>
  </rcc>
  <rcc rId="6615" sId="1">
    <oc r="P33">
      <v>57.59</v>
    </oc>
    <nc r="P33">
      <v>57.4</v>
    </nc>
  </rcc>
  <rcc rId="6616" sId="1">
    <oc r="Q33">
      <v>57.59</v>
    </oc>
    <nc r="Q33">
      <v>57.4</v>
    </nc>
  </rcc>
  <rcc rId="6617" sId="1">
    <oc r="P36">
      <v>57.59</v>
    </oc>
    <nc r="P36">
      <v>57.4</v>
    </nc>
  </rcc>
  <rcc rId="6618" sId="1">
    <oc r="P37">
      <v>57.59</v>
    </oc>
    <nc r="P37">
      <v>57.4</v>
    </nc>
  </rcc>
  <rcc rId="6619" sId="1">
    <oc r="Q37">
      <v>57.59</v>
    </oc>
    <nc r="Q37">
      <v>57.4</v>
    </nc>
  </rcc>
  <rcc rId="6620" sId="1">
    <oc r="P38">
      <v>57.59</v>
    </oc>
    <nc r="P38">
      <v>57.4</v>
    </nc>
  </rcc>
  <rcc rId="6621" sId="1">
    <oc r="P39">
      <v>57.59</v>
    </oc>
    <nc r="P39">
      <v>57.4</v>
    </nc>
  </rcc>
  <rcc rId="6622" sId="1">
    <oc r="Q39">
      <v>57.59</v>
    </oc>
    <nc r="Q39">
      <v>57.4</v>
    </nc>
  </rcc>
  <rcc rId="6623" sId="1">
    <oc r="P40">
      <v>57.59</v>
    </oc>
    <nc r="P40">
      <v>57.4</v>
    </nc>
  </rcc>
  <rcc rId="6624" sId="1">
    <oc r="Q40">
      <v>57.59</v>
    </oc>
    <nc r="Q40">
      <v>57.4</v>
    </nc>
  </rcc>
  <rcc rId="6625" sId="1">
    <oc r="P41">
      <v>57.59</v>
    </oc>
    <nc r="P41">
      <v>57.4</v>
    </nc>
  </rcc>
  <rcc rId="6626" sId="1">
    <oc r="Q41">
      <v>57.59</v>
    </oc>
    <nc r="Q41">
      <v>57.4</v>
    </nc>
  </rcc>
  <rcc rId="6627" sId="1">
    <oc r="P42">
      <v>57.59</v>
    </oc>
    <nc r="P42">
      <v>57.4</v>
    </nc>
  </rcc>
  <rcc rId="6628" sId="1">
    <oc r="Q66">
      <v>57.59</v>
    </oc>
    <nc r="Q66">
      <v>57.4</v>
    </nc>
  </rcc>
  <rcc rId="6629" sId="1">
    <oc r="Q77">
      <v>57.59</v>
    </oc>
    <nc r="Q77">
      <v>57.4</v>
    </nc>
  </rcc>
  <rcc rId="6630" sId="1">
    <oc r="Q81">
      <v>57.59</v>
    </oc>
    <nc r="Q81">
      <v>57.4</v>
    </nc>
  </rcc>
  <rcc rId="6631" sId="1">
    <oc r="P82">
      <v>57.59</v>
    </oc>
    <nc r="P82">
      <v>57.4</v>
    </nc>
  </rcc>
  <rcc rId="6632" sId="1">
    <oc r="Q82">
      <v>57.59</v>
    </oc>
    <nc r="Q82">
      <v>57.4</v>
    </nc>
  </rcc>
  <rcc rId="6633" sId="1" numFmtId="4">
    <oc r="Q86">
      <v>57.59</v>
    </oc>
    <nc r="Q86">
      <v>57.4</v>
    </nc>
  </rcc>
  <rcc rId="6634" sId="1" numFmtId="4">
    <oc r="Q87">
      <v>57.59</v>
    </oc>
    <nc r="Q87">
      <v>57.4</v>
    </nc>
  </rcc>
  <rcc rId="6635" sId="1" numFmtId="4">
    <oc r="Q91">
      <v>57.59</v>
    </oc>
    <nc r="Q91">
      <v>57.4</v>
    </nc>
  </rcc>
  <rcc rId="6636" sId="1" numFmtId="4">
    <oc r="Q95">
      <v>57.59</v>
    </oc>
    <nc r="Q95">
      <v>57.4</v>
    </nc>
  </rcc>
  <rcc rId="6637" sId="1" numFmtId="4">
    <oc r="Q106">
      <v>57.59</v>
    </oc>
    <nc r="Q106">
      <v>57.4</v>
    </nc>
  </rcc>
  <rcc rId="6638" sId="1" numFmtId="4">
    <oc r="Q110">
      <v>57.59</v>
    </oc>
    <nc r="Q110">
      <v>57.4</v>
    </nc>
  </rcc>
  <rcc rId="6639" sId="1" numFmtId="4">
    <oc r="Q112">
      <v>57.59</v>
    </oc>
    <nc r="Q112">
      <v>57.4</v>
    </nc>
  </rcc>
  <rcc rId="6640" sId="1" numFmtId="4">
    <oc r="Q126">
      <v>57.59</v>
    </oc>
    <nc r="Q126">
      <v>57.4</v>
    </nc>
  </rcc>
  <rcc rId="6641" sId="1" numFmtId="4">
    <oc r="P129">
      <v>57.59</v>
    </oc>
    <nc r="P129">
      <v>57.4</v>
    </nc>
  </rcc>
  <rcc rId="6642" sId="1" numFmtId="4">
    <oc r="P137">
      <v>57.59</v>
    </oc>
    <nc r="P137">
      <v>57.4</v>
    </nc>
  </rcc>
  <rcc rId="6643" sId="1" numFmtId="4">
    <oc r="Q137">
      <v>57.59</v>
    </oc>
    <nc r="Q137">
      <v>57.4</v>
    </nc>
  </rcc>
  <rcc rId="6644" sId="1" numFmtId="4">
    <oc r="P138">
      <v>57.59</v>
    </oc>
    <nc r="P138">
      <v>57.4</v>
    </nc>
  </rcc>
  <rcc rId="6645" sId="1" numFmtId="4">
    <oc r="Q138">
      <v>57.59</v>
    </oc>
    <nc r="Q138">
      <v>57.4</v>
    </nc>
  </rcc>
  <rcc rId="6646" sId="1" numFmtId="4">
    <oc r="Q166">
      <v>57.59</v>
    </oc>
    <nc r="Q166">
      <v>57.4</v>
    </nc>
  </rcc>
  <rcc rId="6647" sId="1" numFmtId="4">
    <oc r="Q167">
      <v>57.59</v>
    </oc>
    <nc r="Q167">
      <v>57.4</v>
    </nc>
  </rcc>
  <rcc rId="6648" sId="1" numFmtId="4">
    <oc r="P168">
      <v>57.59</v>
    </oc>
    <nc r="P168">
      <v>57.4</v>
    </nc>
  </rcc>
  <rcc rId="6649" sId="1" numFmtId="4">
    <oc r="Q168">
      <v>57.59</v>
    </oc>
    <nc r="Q168">
      <v>57.4</v>
    </nc>
  </rcc>
  <rcc rId="6650" sId="1" numFmtId="4">
    <oc r="P169">
      <v>57.59</v>
    </oc>
    <nc r="P169">
      <v>57.4</v>
    </nc>
  </rcc>
  <rcc rId="6651" sId="1" numFmtId="4">
    <oc r="Q169">
      <v>57.59</v>
    </oc>
    <nc r="Q169">
      <v>57.4</v>
    </nc>
  </rcc>
  <rcc rId="6652" sId="1" numFmtId="4">
    <oc r="P170">
      <v>57.59</v>
    </oc>
    <nc r="P170">
      <v>57.4</v>
    </nc>
  </rcc>
  <rcc rId="6653" sId="1" numFmtId="4">
    <oc r="Q170">
      <v>57.59</v>
    </oc>
    <nc r="Q170">
      <v>57.4</v>
    </nc>
  </rcc>
  <rcc rId="6654" sId="1" numFmtId="4">
    <oc r="P171">
      <v>57.59</v>
    </oc>
    <nc r="P171">
      <v>57.4</v>
    </nc>
  </rcc>
  <rcc rId="6655" sId="1" numFmtId="4">
    <oc r="Q171">
      <v>57.59</v>
    </oc>
    <nc r="Q171">
      <v>57.4</v>
    </nc>
  </rcc>
  <rcc rId="6656" sId="1" numFmtId="4">
    <oc r="P172">
      <v>57.59</v>
    </oc>
    <nc r="P172">
      <v>57.4</v>
    </nc>
  </rcc>
  <rcc rId="6657" sId="1" numFmtId="4">
    <oc r="Q172">
      <v>57.59</v>
    </oc>
    <nc r="Q172">
      <v>57.4</v>
    </nc>
  </rcc>
  <rcc rId="6658" sId="1" numFmtId="4">
    <oc r="P173">
      <v>57.59</v>
    </oc>
    <nc r="P173">
      <v>57.4</v>
    </nc>
  </rcc>
  <rcc rId="6659" sId="1" numFmtId="4">
    <oc r="Q173">
      <v>57.59</v>
    </oc>
    <nc r="Q173">
      <v>57.4</v>
    </nc>
  </rcc>
  <rcc rId="6660" sId="1" numFmtId="4">
    <oc r="P174">
      <v>57.59</v>
    </oc>
    <nc r="P174">
      <v>57.4</v>
    </nc>
  </rcc>
  <rcc rId="6661" sId="1" numFmtId="4">
    <oc r="Q174">
      <v>57.59</v>
    </oc>
    <nc r="Q174">
      <v>57.4</v>
    </nc>
  </rcc>
  <rcc rId="6662" sId="1" numFmtId="4">
    <oc r="P175">
      <v>57.59</v>
    </oc>
    <nc r="P175">
      <v>57.4</v>
    </nc>
  </rcc>
  <rcc rId="6663" sId="1" numFmtId="4">
    <oc r="Q175">
      <v>57.59</v>
    </oc>
    <nc r="Q175">
      <v>57.4</v>
    </nc>
  </rcc>
  <rcc rId="6664" sId="1" numFmtId="4">
    <oc r="P176">
      <v>57.59</v>
    </oc>
    <nc r="P176">
      <v>57.4</v>
    </nc>
  </rcc>
  <rcc rId="6665" sId="1" numFmtId="4">
    <oc r="Q176">
      <v>57.59</v>
    </oc>
    <nc r="Q176">
      <v>57.4</v>
    </nc>
  </rcc>
  <rcc rId="6666" sId="1" numFmtId="4">
    <oc r="P177">
      <v>57.59</v>
    </oc>
    <nc r="P177">
      <v>57.4</v>
    </nc>
  </rcc>
  <rcc rId="6667" sId="1" numFmtId="4">
    <oc r="Q177">
      <v>57.59</v>
    </oc>
    <nc r="Q177">
      <v>57.4</v>
    </nc>
  </rcc>
  <rcc rId="6668" sId="1" numFmtId="4">
    <oc r="P178">
      <v>57.59</v>
    </oc>
    <nc r="P178">
      <v>57.4</v>
    </nc>
  </rcc>
  <rcc rId="6669" sId="1" numFmtId="4">
    <oc r="Q178">
      <v>57.59</v>
    </oc>
    <nc r="Q178">
      <v>57.4</v>
    </nc>
  </rcc>
  <rcc rId="6670" sId="1" numFmtId="4">
    <oc r="P179">
      <v>57.59</v>
    </oc>
    <nc r="P179">
      <v>57.4</v>
    </nc>
  </rcc>
  <rcc rId="6671" sId="1" numFmtId="4">
    <oc r="Q179">
      <v>57.59</v>
    </oc>
    <nc r="Q179">
      <v>57.4</v>
    </nc>
  </rcc>
  <rcc rId="6672" sId="1" numFmtId="4">
    <oc r="P180">
      <v>57.59</v>
    </oc>
    <nc r="P180">
      <v>57.4</v>
    </nc>
  </rcc>
  <rcc rId="6673" sId="1" numFmtId="4">
    <oc r="Q180">
      <v>57.59</v>
    </oc>
    <nc r="Q180">
      <v>57.4</v>
    </nc>
  </rcc>
  <rcc rId="6674" sId="1" numFmtId="4">
    <oc r="P181">
      <v>57.59</v>
    </oc>
    <nc r="P181">
      <v>57.4</v>
    </nc>
  </rcc>
  <rcc rId="6675" sId="1" numFmtId="4">
    <oc r="Q181">
      <v>57.59</v>
    </oc>
    <nc r="Q181">
      <v>57.4</v>
    </nc>
  </rcc>
  <rcc rId="6676" sId="1" numFmtId="4">
    <oc r="P182">
      <v>57.59</v>
    </oc>
    <nc r="P182">
      <v>57.4</v>
    </nc>
  </rcc>
  <rcc rId="6677" sId="1" numFmtId="4">
    <oc r="Q182">
      <v>57.59</v>
    </oc>
    <nc r="Q182">
      <v>57.4</v>
    </nc>
  </rcc>
  <rcc rId="6678" sId="1" numFmtId="4">
    <oc r="P183">
      <v>57.59</v>
    </oc>
    <nc r="P183">
      <v>57.4</v>
    </nc>
  </rcc>
  <rcc rId="6679" sId="1" numFmtId="4">
    <oc r="Q183">
      <v>57.59</v>
    </oc>
    <nc r="Q183">
      <v>57.4</v>
    </nc>
  </rcc>
  <rcc rId="6680" sId="1" numFmtId="4">
    <oc r="P184">
      <v>57.59</v>
    </oc>
    <nc r="P184">
      <v>57.4</v>
    </nc>
  </rcc>
  <rcc rId="6681" sId="1" numFmtId="4">
    <oc r="Q184">
      <v>57.59</v>
    </oc>
    <nc r="Q184">
      <v>57.4</v>
    </nc>
  </rcc>
  <rcc rId="6682" sId="1" numFmtId="4">
    <oc r="P185">
      <v>57.59</v>
    </oc>
    <nc r="P185">
      <v>57.4</v>
    </nc>
  </rcc>
  <rcc rId="6683" sId="1" numFmtId="4">
    <oc r="Q185">
      <v>57.59</v>
    </oc>
    <nc r="Q185">
      <v>57.4</v>
    </nc>
  </rcc>
  <rcc rId="6684" sId="1" numFmtId="4">
    <oc r="P186">
      <v>57.59</v>
    </oc>
    <nc r="P186">
      <v>57.4</v>
    </nc>
  </rcc>
  <rcc rId="6685" sId="1" numFmtId="4">
    <oc r="Q186">
      <v>57.59</v>
    </oc>
    <nc r="Q186">
      <v>57.4</v>
    </nc>
  </rcc>
  <rcc rId="6686" sId="1" numFmtId="4">
    <oc r="P187">
      <v>57.59</v>
    </oc>
    <nc r="P187">
      <v>57.4</v>
    </nc>
  </rcc>
  <rcc rId="6687" sId="1" numFmtId="4">
    <oc r="Q187">
      <v>57.59</v>
    </oc>
    <nc r="Q187">
      <v>57.4</v>
    </nc>
  </rcc>
  <rcc rId="6688" sId="1" numFmtId="4">
    <oc r="P188">
      <v>57.59</v>
    </oc>
    <nc r="P188">
      <v>57.4</v>
    </nc>
  </rcc>
  <rcc rId="6689" sId="1" numFmtId="4">
    <oc r="Q188">
      <v>57.59</v>
    </oc>
    <nc r="Q188">
      <v>57.4</v>
    </nc>
  </rcc>
  <rcc rId="6690" sId="1" numFmtId="4">
    <oc r="P189">
      <v>57.59</v>
    </oc>
    <nc r="P189">
      <v>57.4</v>
    </nc>
  </rcc>
  <rcc rId="6691" sId="1" numFmtId="4">
    <oc r="Q189">
      <v>57.59</v>
    </oc>
    <nc r="Q189">
      <v>57.4</v>
    </nc>
  </rcc>
  <rcc rId="6692" sId="1" numFmtId="4">
    <oc r="P190">
      <v>57.59</v>
    </oc>
    <nc r="P190">
      <v>57.4</v>
    </nc>
  </rcc>
  <rcc rId="6693" sId="1" numFmtId="4">
    <oc r="Q190">
      <v>57.59</v>
    </oc>
    <nc r="Q190">
      <v>57.4</v>
    </nc>
  </rcc>
  <rcc rId="6694" sId="1" numFmtId="4">
    <oc r="P191">
      <v>57.59</v>
    </oc>
    <nc r="P191">
      <v>57.4</v>
    </nc>
  </rcc>
  <rcc rId="6695" sId="1" numFmtId="4">
    <oc r="Q191">
      <v>57.59</v>
    </oc>
    <nc r="Q191">
      <v>57.4</v>
    </nc>
  </rcc>
  <rcc rId="6696" sId="1" numFmtId="4">
    <oc r="P192">
      <v>57.59</v>
    </oc>
    <nc r="P192">
      <v>57.4</v>
    </nc>
  </rcc>
  <rcc rId="6697" sId="1" numFmtId="4">
    <oc r="Q192">
      <v>57.59</v>
    </oc>
    <nc r="Q192">
      <v>57.4</v>
    </nc>
  </rcc>
  <rcc rId="6698" sId="1" numFmtId="4">
    <oc r="P193">
      <v>57.59</v>
    </oc>
    <nc r="P193">
      <v>57.4</v>
    </nc>
  </rcc>
  <rcc rId="6699" sId="1" numFmtId="4">
    <oc r="Q193">
      <v>57.59</v>
    </oc>
    <nc r="Q193">
      <v>57.4</v>
    </nc>
  </rcc>
  <rcc rId="6700" sId="1" numFmtId="4">
    <oc r="P194">
      <v>57.59</v>
    </oc>
    <nc r="P194">
      <v>57.4</v>
    </nc>
  </rcc>
  <rcc rId="6701" sId="1" numFmtId="4">
    <oc r="Q194">
      <v>57.59</v>
    </oc>
    <nc r="Q194">
      <v>57.4</v>
    </nc>
  </rcc>
  <rcc rId="6702" sId="1" numFmtId="4">
    <oc r="P195">
      <v>57.59</v>
    </oc>
    <nc r="P195">
      <v>57.4</v>
    </nc>
  </rcc>
  <rcc rId="6703" sId="1" numFmtId="4">
    <oc r="Q195">
      <v>57.59</v>
    </oc>
    <nc r="Q195">
      <v>57.4</v>
    </nc>
  </rcc>
  <rcc rId="6704" sId="1" numFmtId="4">
    <oc r="P196">
      <v>57.59</v>
    </oc>
    <nc r="P196">
      <v>57.4</v>
    </nc>
  </rcc>
  <rcc rId="6705" sId="1" numFmtId="4">
    <oc r="Q196">
      <v>57.59</v>
    </oc>
    <nc r="Q196">
      <v>57.4</v>
    </nc>
  </rcc>
  <rcc rId="6706" sId="1" numFmtId="4">
    <oc r="P197">
      <v>57.59</v>
    </oc>
    <nc r="P197">
      <v>57.4</v>
    </nc>
  </rcc>
  <rcc rId="6707" sId="1" numFmtId="4">
    <oc r="Q197">
      <v>57.59</v>
    </oc>
    <nc r="Q197">
      <v>57.4</v>
    </nc>
  </rcc>
  <rcc rId="6708" sId="1" numFmtId="4">
    <oc r="P198">
      <v>57.59</v>
    </oc>
    <nc r="P198">
      <v>57.4</v>
    </nc>
  </rcc>
  <rcc rId="6709" sId="1" numFmtId="4">
    <oc r="Q198">
      <v>57.59</v>
    </oc>
    <nc r="Q198">
      <v>57.4</v>
    </nc>
  </rcc>
  <rcc rId="6710" sId="1" numFmtId="4">
    <oc r="P202">
      <v>57.59</v>
    </oc>
    <nc r="P202">
      <v>57.4</v>
    </nc>
  </rcc>
  <rcc rId="6711" sId="1" numFmtId="4">
    <oc r="Q202">
      <v>57.59</v>
    </oc>
    <nc r="Q202">
      <v>57.4</v>
    </nc>
  </rcc>
  <rcc rId="6712" sId="1" numFmtId="4">
    <oc r="P203">
      <v>57.59</v>
    </oc>
    <nc r="P203">
      <v>57.4</v>
    </nc>
  </rcc>
  <rcc rId="6713" sId="1" numFmtId="4">
    <oc r="Q203">
      <v>57.59</v>
    </oc>
    <nc r="Q203">
      <v>57.4</v>
    </nc>
  </rcc>
  <rcc rId="6714" sId="1" numFmtId="4">
    <oc r="P205">
      <v>57.59</v>
    </oc>
    <nc r="P205">
      <v>57.4</v>
    </nc>
  </rcc>
  <rcc rId="6715" sId="1" numFmtId="4">
    <oc r="Q205">
      <v>57.59</v>
    </oc>
    <nc r="Q205">
      <v>57.4</v>
    </nc>
  </rcc>
  <rcc rId="6716" sId="1" numFmtId="4">
    <oc r="P206">
      <v>57.59</v>
    </oc>
    <nc r="P206">
      <v>57.4</v>
    </nc>
  </rcc>
  <rcc rId="6717" sId="1" numFmtId="4">
    <oc r="Q206">
      <v>57.59</v>
    </oc>
    <nc r="Q206">
      <v>57.4</v>
    </nc>
  </rcc>
  <rcc rId="6718" sId="1" numFmtId="4">
    <oc r="P207">
      <v>57.59</v>
    </oc>
    <nc r="P207">
      <v>57.4</v>
    </nc>
  </rcc>
  <rcc rId="6719" sId="1" numFmtId="4">
    <oc r="Q207">
      <v>57.59</v>
    </oc>
    <nc r="Q207">
      <v>57.4</v>
    </nc>
  </rcc>
  <rcc rId="6720" sId="1" numFmtId="4">
    <oc r="P208">
      <v>57.59</v>
    </oc>
    <nc r="P208">
      <v>57.4</v>
    </nc>
  </rcc>
  <rcc rId="6721" sId="1" numFmtId="4">
    <oc r="Q208">
      <v>57.59</v>
    </oc>
    <nc r="Q208">
      <v>57.4</v>
    </nc>
  </rcc>
  <rcc rId="6722" sId="1" numFmtId="4">
    <oc r="P209">
      <v>57.59</v>
    </oc>
    <nc r="P209">
      <v>57.4</v>
    </nc>
  </rcc>
  <rcc rId="6723" sId="1" numFmtId="4">
    <oc r="Q209">
      <v>57.59</v>
    </oc>
    <nc r="Q209">
      <v>57.4</v>
    </nc>
  </rcc>
  <rcc rId="6724" sId="1" numFmtId="4">
    <oc r="P210">
      <v>57.59</v>
    </oc>
    <nc r="P210">
      <v>57.4</v>
    </nc>
  </rcc>
  <rcc rId="6725" sId="1" numFmtId="4">
    <oc r="Q210">
      <v>57.59</v>
    </oc>
    <nc r="Q210">
      <v>57.4</v>
    </nc>
  </rcc>
  <rcc rId="6726" sId="1" numFmtId="4">
    <oc r="P211">
      <v>57.59</v>
    </oc>
    <nc r="P211">
      <v>57.4</v>
    </nc>
  </rcc>
  <rcc rId="6727" sId="1" numFmtId="4">
    <oc r="Q211">
      <v>57.59</v>
    </oc>
    <nc r="Q211">
      <v>57.4</v>
    </nc>
  </rcc>
  <rcc rId="6728" sId="1" numFmtId="4">
    <oc r="P212">
      <v>57.59</v>
    </oc>
    <nc r="P212">
      <v>57.4</v>
    </nc>
  </rcc>
  <rcc rId="6729" sId="1" numFmtId="4">
    <oc r="Q212">
      <v>57.59</v>
    </oc>
    <nc r="Q212">
      <v>57.4</v>
    </nc>
  </rcc>
  <rcc rId="6730" sId="1" numFmtId="4">
    <oc r="P213">
      <v>57.59</v>
    </oc>
    <nc r="P213">
      <v>57.4</v>
    </nc>
  </rcc>
  <rcc rId="6731" sId="1" numFmtId="4">
    <oc r="P219">
      <v>57.59</v>
    </oc>
    <nc r="P219">
      <v>57.4</v>
    </nc>
  </rcc>
  <rcc rId="6732" sId="1" numFmtId="4">
    <oc r="Q219">
      <v>57.59</v>
    </oc>
    <nc r="Q219">
      <v>57.4</v>
    </nc>
  </rcc>
  <rcc rId="6733" sId="1" numFmtId="4">
    <oc r="P220">
      <v>57.59</v>
    </oc>
    <nc r="P220">
      <v>57.4</v>
    </nc>
  </rcc>
  <rcc rId="6734" sId="1" numFmtId="4">
    <oc r="Q220">
      <v>57.59</v>
    </oc>
    <nc r="Q220">
      <v>57.4</v>
    </nc>
  </rcc>
  <rcc rId="6735" sId="1" numFmtId="4">
    <oc r="P221">
      <v>57.59</v>
    </oc>
    <nc r="P221">
      <v>57.4</v>
    </nc>
  </rcc>
  <rcc rId="6736" sId="1" numFmtId="4">
    <oc r="Q221">
      <v>57.59</v>
    </oc>
    <nc r="Q221">
      <v>57.4</v>
    </nc>
  </rcc>
  <rcc rId="6737" sId="1" numFmtId="4">
    <oc r="P222">
      <v>57.59</v>
    </oc>
    <nc r="P222">
      <v>57.4</v>
    </nc>
  </rcc>
  <rcc rId="6738" sId="1" numFmtId="4">
    <oc r="Q222">
      <v>57.59</v>
    </oc>
    <nc r="Q222">
      <v>57.4</v>
    </nc>
  </rcc>
  <rcc rId="6739" sId="1" numFmtId="4">
    <oc r="P223">
      <v>57.59</v>
    </oc>
    <nc r="P223">
      <v>57.4</v>
    </nc>
  </rcc>
  <rcc rId="6740" sId="1" numFmtId="4">
    <oc r="P227">
      <v>57.59</v>
    </oc>
    <nc r="P227">
      <v>57.4</v>
    </nc>
  </rcc>
  <rcc rId="6741" sId="1" numFmtId="4">
    <oc r="Q227">
      <v>57.59</v>
    </oc>
    <nc r="Q227">
      <v>57.4</v>
    </nc>
  </rcc>
  <rcc rId="6742" sId="1" numFmtId="4">
    <oc r="P228">
      <v>57.59</v>
    </oc>
    <nc r="P228">
      <v>57.4</v>
    </nc>
  </rcc>
  <rcc rId="6743" sId="1" numFmtId="4">
    <oc r="Q228">
      <v>57.59</v>
    </oc>
    <nc r="Q228">
      <v>57.4</v>
    </nc>
  </rcc>
  <rcc rId="6744" sId="1" numFmtId="4">
    <oc r="P229">
      <v>57.59</v>
    </oc>
    <nc r="P229">
      <v>57.4</v>
    </nc>
  </rcc>
  <rcc rId="6745" sId="1" numFmtId="4">
    <oc r="Q229">
      <v>57.59</v>
    </oc>
    <nc r="Q229">
      <v>57.4</v>
    </nc>
  </rcc>
  <rcc rId="6746" sId="1" numFmtId="4">
    <oc r="P230">
      <v>57.59</v>
    </oc>
    <nc r="P230">
      <v>57.4</v>
    </nc>
  </rcc>
  <rcc rId="6747" sId="1" numFmtId="4">
    <oc r="P231">
      <v>57.59</v>
    </oc>
    <nc r="P231">
      <v>57.4</v>
    </nc>
  </rcc>
  <rcc rId="6748" sId="1" numFmtId="4">
    <oc r="Q231">
      <v>57.59</v>
    </oc>
    <nc r="Q231">
      <v>57.4</v>
    </nc>
  </rcc>
  <rcc rId="6749" sId="1" numFmtId="4">
    <oc r="P232">
      <v>57.59</v>
    </oc>
    <nc r="P232">
      <v>57.4</v>
    </nc>
  </rcc>
  <rcc rId="6750" sId="1" numFmtId="4">
    <oc r="Q232">
      <v>57.59</v>
    </oc>
    <nc r="Q232">
      <v>57.4</v>
    </nc>
  </rcc>
  <rcc rId="6751" sId="1" numFmtId="4">
    <oc r="P233">
      <v>57.59</v>
    </oc>
    <nc r="P233">
      <v>57.4</v>
    </nc>
  </rcc>
  <rcc rId="6752" sId="1" numFmtId="4">
    <oc r="P234">
      <v>57.59</v>
    </oc>
    <nc r="P234">
      <v>57.4</v>
    </nc>
  </rcc>
  <rcc rId="6753" sId="1" numFmtId="4">
    <oc r="P235">
      <v>57.59</v>
    </oc>
    <nc r="P235">
      <v>57.4</v>
    </nc>
  </rcc>
  <rcc rId="6754" sId="1" numFmtId="4">
    <oc r="Q235">
      <v>57.59</v>
    </oc>
    <nc r="Q235">
      <v>57.4</v>
    </nc>
  </rcc>
  <rcc rId="6755" sId="1" numFmtId="4">
    <oc r="P236">
      <v>57.59</v>
    </oc>
    <nc r="P236">
      <v>57.4</v>
    </nc>
  </rcc>
  <rcc rId="6756" sId="1" numFmtId="4">
    <oc r="Q236">
      <v>57.59</v>
    </oc>
    <nc r="Q236">
      <v>57.4</v>
    </nc>
  </rcc>
  <rcc rId="6757" sId="1" numFmtId="4">
    <oc r="P237">
      <v>57.59</v>
    </oc>
    <nc r="P237">
      <v>57.4</v>
    </nc>
  </rcc>
  <rcc rId="6758" sId="1" numFmtId="4">
    <oc r="Q237">
      <v>57.59</v>
    </oc>
    <nc r="Q237">
      <v>57.4</v>
    </nc>
  </rcc>
  <rcc rId="6759" sId="1" numFmtId="4">
    <oc r="P238">
      <v>57.59</v>
    </oc>
    <nc r="P238">
      <v>57.4</v>
    </nc>
  </rcc>
  <rcc rId="6760" sId="1" numFmtId="4">
    <oc r="Q238">
      <v>57.59</v>
    </oc>
    <nc r="Q238">
      <v>57.4</v>
    </nc>
  </rcc>
  <rcc rId="6761" sId="1" numFmtId="4">
    <oc r="P239">
      <v>57.59</v>
    </oc>
    <nc r="P239">
      <v>57.4</v>
    </nc>
  </rcc>
  <rcc rId="6762" sId="1" numFmtId="4">
    <oc r="Q239">
      <v>57.59</v>
    </oc>
    <nc r="Q239">
      <v>57.4</v>
    </nc>
  </rcc>
  <rcc rId="6763" sId="1" numFmtId="4">
    <oc r="P240">
      <v>57.59</v>
    </oc>
    <nc r="P240">
      <v>57.4</v>
    </nc>
  </rcc>
  <rcc rId="6764" sId="1" numFmtId="4">
    <oc r="Q240">
      <v>57.59</v>
    </oc>
    <nc r="Q240">
      <v>57.4</v>
    </nc>
  </rcc>
  <rcc rId="6765" sId="1" numFmtId="4">
    <oc r="P241">
      <v>57.59</v>
    </oc>
    <nc r="P241">
      <v>57.4</v>
    </nc>
  </rcc>
  <rcc rId="6766" sId="1" numFmtId="4">
    <oc r="P242">
      <v>57.59</v>
    </oc>
    <nc r="P242">
      <v>57.4</v>
    </nc>
  </rcc>
  <rcc rId="6767" sId="1" numFmtId="4">
    <oc r="P244">
      <v>57.59</v>
    </oc>
    <nc r="P244">
      <v>57.4</v>
    </nc>
  </rcc>
  <rcc rId="6768" sId="1" numFmtId="4">
    <oc r="Q244">
      <v>57.59</v>
    </oc>
    <nc r="Q244">
      <v>57.4</v>
    </nc>
  </rcc>
  <rcc rId="6769" sId="1" numFmtId="4">
    <oc r="P245">
      <v>57.59</v>
    </oc>
    <nc r="P245">
      <v>57.4</v>
    </nc>
  </rcc>
  <rcc rId="6770" sId="1" numFmtId="4">
    <oc r="Q245">
      <v>57.59</v>
    </oc>
    <nc r="Q245">
      <v>57.4</v>
    </nc>
  </rcc>
  <rcc rId="6771" sId="1" numFmtId="4">
    <oc r="P246">
      <v>57.59</v>
    </oc>
    <nc r="P246">
      <v>57.4</v>
    </nc>
  </rcc>
  <rcc rId="6772" sId="1" numFmtId="4">
    <oc r="P247">
      <v>57.59</v>
    </oc>
    <nc r="P247">
      <v>57.4</v>
    </nc>
  </rcc>
  <rcc rId="6773" sId="1" numFmtId="4">
    <oc r="Q248">
      <v>57.59</v>
    </oc>
    <nc r="Q248">
      <v>57.4</v>
    </nc>
  </rcc>
  <rcc rId="6774" sId="1" numFmtId="4">
    <oc r="P249">
      <v>57.59</v>
    </oc>
    <nc r="P249">
      <v>57.4</v>
    </nc>
  </rcc>
  <rcc rId="6775" sId="1" numFmtId="4">
    <oc r="Q249">
      <v>57.59</v>
    </oc>
    <nc r="Q249">
      <v>57.4</v>
    </nc>
  </rcc>
  <rcc rId="6776" sId="1" numFmtId="4">
    <oc r="P250">
      <v>57.59</v>
    </oc>
    <nc r="P250">
      <v>57.4</v>
    </nc>
  </rcc>
  <rcc rId="6777" sId="1" numFmtId="4">
    <oc r="Q250">
      <v>57.59</v>
    </oc>
    <nc r="Q250">
      <v>57.4</v>
    </nc>
  </rcc>
  <rcc rId="6778" sId="1" numFmtId="4">
    <oc r="P251">
      <v>57.59</v>
    </oc>
    <nc r="P251">
      <v>57.4</v>
    </nc>
  </rcc>
  <rcc rId="6779" sId="1" numFmtId="4">
    <oc r="P252">
      <v>57.59</v>
    </oc>
    <nc r="P252">
      <v>57.4</v>
    </nc>
  </rcc>
  <rcc rId="6780" sId="1" numFmtId="4">
    <oc r="P254">
      <v>57.59</v>
    </oc>
    <nc r="P254">
      <v>57.4</v>
    </nc>
  </rcc>
  <rcc rId="6781" sId="1" numFmtId="4">
    <oc r="Q254">
      <v>57.59</v>
    </oc>
    <nc r="Q254">
      <v>57.4</v>
    </nc>
  </rcc>
  <rcc rId="6782" sId="1" numFmtId="4">
    <oc r="P255">
      <v>57.59</v>
    </oc>
    <nc r="P255">
      <v>57.4</v>
    </nc>
  </rcc>
  <rcc rId="6783" sId="1" numFmtId="4">
    <oc r="P258">
      <v>57.59</v>
    </oc>
    <nc r="P258">
      <v>57.4</v>
    </nc>
  </rcc>
  <rcc rId="6784" sId="1" numFmtId="4">
    <oc r="P259">
      <v>57.59</v>
    </oc>
    <nc r="P259">
      <v>57.4</v>
    </nc>
  </rcc>
  <rcc rId="6785" sId="1" numFmtId="4">
    <oc r="P260">
      <v>57.59</v>
    </oc>
    <nc r="P260">
      <v>57.4</v>
    </nc>
  </rcc>
  <rcc rId="6786" sId="1" numFmtId="4">
    <oc r="P261">
      <v>57.59</v>
    </oc>
    <nc r="P261">
      <v>57.4</v>
    </nc>
  </rcc>
  <rcc rId="6787" sId="1" numFmtId="4">
    <oc r="Q262">
      <v>57.59</v>
    </oc>
    <nc r="Q262">
      <v>57.4</v>
    </nc>
  </rcc>
  <rcc rId="6788" sId="1" numFmtId="4">
    <oc r="P263">
      <v>57.59</v>
    </oc>
    <nc r="P263">
      <v>57.4</v>
    </nc>
  </rcc>
  <rcc rId="6789" sId="1" numFmtId="4">
    <oc r="P264">
      <v>57.59</v>
    </oc>
    <nc r="P264">
      <v>57.4</v>
    </nc>
  </rcc>
  <rcc rId="6790" sId="1" numFmtId="4">
    <oc r="P265">
      <v>57.59</v>
    </oc>
    <nc r="P265">
      <v>57.4</v>
    </nc>
  </rcc>
  <rcc rId="6791" sId="1" numFmtId="4">
    <oc r="Q265">
      <v>57.59</v>
    </oc>
    <nc r="Q265">
      <v>57.4</v>
    </nc>
  </rcc>
  <rcc rId="6792" sId="1" numFmtId="4">
    <oc r="P266">
      <v>57.59</v>
    </oc>
    <nc r="P266">
      <v>57.4</v>
    </nc>
  </rcc>
  <rcc rId="6793" sId="1" numFmtId="4">
    <oc r="P267">
      <v>57.59</v>
    </oc>
    <nc r="P267">
      <v>57.4</v>
    </nc>
  </rcc>
  <rcc rId="6794" sId="1" numFmtId="4">
    <oc r="Q272">
      <v>57.59</v>
    </oc>
    <nc r="Q272">
      <v>57.4</v>
    </nc>
  </rcc>
  <rcc rId="6795" sId="1" numFmtId="4">
    <oc r="P276">
      <v>57.59</v>
    </oc>
    <nc r="P276">
      <v>57.4</v>
    </nc>
  </rcc>
  <rcc rId="6796" sId="1" numFmtId="4">
    <oc r="Q276">
      <v>57.59</v>
    </oc>
    <nc r="Q276">
      <v>57.4</v>
    </nc>
  </rcc>
  <rcc rId="6797" sId="1" numFmtId="4">
    <oc r="P279">
      <v>57.59</v>
    </oc>
    <nc r="P279">
      <v>57.4</v>
    </nc>
  </rcc>
  <rcc rId="6798" sId="1">
    <oc r="Q21">
      <v>38.39</v>
    </oc>
    <nc r="Q21">
      <v>38.4</v>
    </nc>
  </rcc>
  <rcc rId="6799" sId="1">
    <oc r="Q25">
      <v>38.39</v>
    </oc>
    <nc r="Q25">
      <v>38.4</v>
    </nc>
  </rcc>
  <rcc rId="6800" sId="1">
    <oc r="Q29">
      <v>38.39</v>
    </oc>
    <nc r="Q29">
      <v>38.4</v>
    </nc>
  </rcc>
  <rcc rId="6801" sId="1">
    <oc r="Q38">
      <v>38.39</v>
    </oc>
    <nc r="Q38">
      <v>38.4</v>
    </nc>
  </rcc>
  <rcc rId="6802" sId="1">
    <oc r="Q69">
      <v>38.39</v>
    </oc>
    <nc r="Q69">
      <v>38.4</v>
    </nc>
  </rcc>
  <rcc rId="6803" sId="1">
    <oc r="Q71">
      <v>38.39</v>
    </oc>
    <nc r="Q71">
      <v>38.4</v>
    </nc>
  </rcc>
  <rcc rId="6804" sId="1">
    <oc r="P72">
      <v>38.39</v>
    </oc>
    <nc r="P72">
      <v>38.4</v>
    </nc>
  </rcc>
  <rcc rId="6805" sId="1">
    <oc r="Q72">
      <v>38.39</v>
    </oc>
    <nc r="Q72">
      <v>38.4</v>
    </nc>
  </rcc>
  <rcc rId="6806" sId="1">
    <oc r="Q79">
      <v>38.39</v>
    </oc>
    <nc r="Q79">
      <v>38.4</v>
    </nc>
  </rcc>
  <rcc rId="6807" sId="1">
    <oc r="Q83">
      <v>38.39</v>
    </oc>
    <nc r="Q83">
      <v>38.4</v>
    </nc>
  </rcc>
  <rcc rId="6808" sId="1">
    <oc r="Q88">
      <v>38.39</v>
    </oc>
    <nc r="Q88">
      <v>38.4</v>
    </nc>
  </rcc>
  <rcc rId="6809" sId="1">
    <oc r="Q92">
      <v>38.39</v>
    </oc>
    <nc r="Q92">
      <v>38.4</v>
    </nc>
  </rcc>
  <rcc rId="6810" sId="1">
    <oc r="Q97">
      <v>38.39</v>
    </oc>
    <nc r="Q97">
      <v>38.4</v>
    </nc>
  </rcc>
  <rcc rId="6811" sId="1">
    <oc r="Q113">
      <v>38.39</v>
    </oc>
    <nc r="Q113">
      <v>38.4</v>
    </nc>
  </rcc>
  <rcc rId="6812" sId="1">
    <oc r="Q114">
      <v>38.39</v>
    </oc>
    <nc r="Q114">
      <v>38.4</v>
    </nc>
  </rcc>
  <rcc rId="6813" sId="1">
    <oc r="P115">
      <v>38.39</v>
    </oc>
    <nc r="P115">
      <v>38.4</v>
    </nc>
  </rcc>
  <rcc rId="6814" sId="1">
    <oc r="Q115">
      <v>38.39</v>
    </oc>
    <nc r="Q115">
      <v>38.4</v>
    </nc>
  </rcc>
  <rcc rId="6815" sId="1">
    <oc r="P116">
      <v>38.39</v>
    </oc>
    <nc r="P116">
      <v>38.4</v>
    </nc>
  </rcc>
  <rcc rId="6816" sId="1">
    <oc r="Q116">
      <v>38.39</v>
    </oc>
    <nc r="Q116">
      <v>38.4</v>
    </nc>
  </rcc>
  <rcc rId="6817" sId="1">
    <oc r="P121">
      <v>38.39</v>
    </oc>
    <nc r="P121">
      <v>38.4</v>
    </nc>
  </rcc>
  <rcc rId="6818" sId="1">
    <oc r="Q121">
      <v>38.39</v>
    </oc>
    <nc r="Q121">
      <v>38.4</v>
    </nc>
  </rcc>
  <rcc rId="6819" sId="1">
    <oc r="P127">
      <v>38.39</v>
    </oc>
    <nc r="P127">
      <v>38.4</v>
    </nc>
  </rcc>
  <rcc rId="6820" sId="1">
    <oc r="Q127">
      <v>38.39</v>
    </oc>
    <nc r="Q127">
      <v>38.4</v>
    </nc>
  </rcc>
  <rcc rId="6821" sId="1">
    <oc r="P128">
      <v>38.39</v>
    </oc>
    <nc r="P128">
      <v>38.4</v>
    </nc>
  </rcc>
  <rcc rId="6822" sId="1">
    <oc r="Q128">
      <v>38.39</v>
    </oc>
    <nc r="Q128">
      <v>38.4</v>
    </nc>
  </rcc>
  <rcc rId="6823" sId="1">
    <oc r="Q279">
      <v>38.39</v>
    </oc>
    <nc r="Q279">
      <v>38.4</v>
    </nc>
  </rcc>
  <rcc rId="6824" sId="1">
    <oc r="P280">
      <v>38.39</v>
    </oc>
    <nc r="P280">
      <v>38.4</v>
    </nc>
  </rcc>
  <rcc rId="6825" sId="1">
    <oc r="Q280">
      <v>38.39</v>
    </oc>
    <nc r="Q280">
      <v>38.4</v>
    </nc>
  </rcc>
  <rcc rId="6826" sId="1">
    <oc r="P281">
      <v>38.39</v>
    </oc>
    <nc r="P281">
      <v>38.4</v>
    </nc>
  </rcc>
  <rcc rId="6827" sId="1">
    <oc r="Q281">
      <v>38.39</v>
    </oc>
    <nc r="Q281">
      <v>38.4</v>
    </nc>
  </rcc>
  <rcc rId="6828" sId="1">
    <oc r="P282">
      <v>38.39</v>
    </oc>
    <nc r="P282">
      <v>38.4</v>
    </nc>
  </rcc>
  <rcc rId="6829" sId="1">
    <oc r="Q282">
      <v>38.39</v>
    </oc>
    <nc r="Q282">
      <v>38.4</v>
    </nc>
  </rcc>
  <rcc rId="6830" sId="1">
    <oc r="P283">
      <v>38.39</v>
    </oc>
    <nc r="P283">
      <v>38.4</v>
    </nc>
  </rcc>
  <rcc rId="6831" sId="1">
    <oc r="Q283">
      <v>38.39</v>
    </oc>
    <nc r="Q283">
      <v>38.4</v>
    </nc>
  </rcc>
  <rcc rId="6832" sId="1">
    <oc r="P284">
      <v>38.39</v>
    </oc>
    <nc r="P284">
      <v>38.4</v>
    </nc>
  </rcc>
  <rcc rId="6833" sId="1">
    <oc r="Q284">
      <v>38.39</v>
    </oc>
    <nc r="Q284">
      <v>38.4</v>
    </nc>
  </rcc>
  <rcc rId="6834" sId="1">
    <oc r="P285">
      <v>38.39</v>
    </oc>
    <nc r="P285">
      <v>38.4</v>
    </nc>
  </rcc>
  <rcc rId="6835" sId="1">
    <oc r="Q285">
      <v>38.39</v>
    </oc>
    <nc r="Q285">
      <v>38.4</v>
    </nc>
  </rcc>
  <rcc rId="6836" sId="1">
    <oc r="P286">
      <v>38.39</v>
    </oc>
    <nc r="P286">
      <v>38.4</v>
    </nc>
  </rcc>
  <rcc rId="6837" sId="1">
    <oc r="Q286">
      <v>38.39</v>
    </oc>
    <nc r="Q286">
      <v>38.4</v>
    </nc>
  </rcc>
  <rcc rId="6838" sId="1">
    <oc r="P287">
      <v>38.39</v>
    </oc>
    <nc r="P287">
      <v>38.4</v>
    </nc>
  </rcc>
  <rcc rId="6839" sId="1">
    <oc r="Q287">
      <v>38.39</v>
    </oc>
    <nc r="Q287">
      <v>38.4</v>
    </nc>
  </rcc>
  <rcc rId="6840" sId="1">
    <oc r="P288">
      <v>38.39</v>
    </oc>
    <nc r="P288">
      <v>38.4</v>
    </nc>
  </rcc>
  <rcc rId="6841" sId="1">
    <oc r="Q288">
      <v>38.39</v>
    </oc>
    <nc r="Q288">
      <v>38.4</v>
    </nc>
  </rcc>
  <rcc rId="6842" sId="1">
    <oc r="P289">
      <v>38.39</v>
    </oc>
    <nc r="P289">
      <v>38.4</v>
    </nc>
  </rcc>
  <rcc rId="6843" sId="1">
    <oc r="Q289">
      <v>38.39</v>
    </oc>
    <nc r="Q289">
      <v>38.4</v>
    </nc>
  </rcc>
  <rcc rId="6844" sId="1">
    <oc r="P290">
      <v>38.39</v>
    </oc>
    <nc r="P290">
      <v>38.4</v>
    </nc>
  </rcc>
  <rcc rId="6845" sId="1">
    <oc r="Q290">
      <v>38.39</v>
    </oc>
    <nc r="Q290">
      <v>38.4</v>
    </nc>
  </rcc>
  <rcc rId="6846" sId="1">
    <oc r="P291">
      <v>38.39</v>
    </oc>
    <nc r="P291">
      <v>38.4</v>
    </nc>
  </rcc>
  <rcc rId="6847" sId="1">
    <oc r="Q291">
      <v>38.39</v>
    </oc>
    <nc r="Q291">
      <v>38.4</v>
    </nc>
  </rcc>
  <rcc rId="6848" sId="1">
    <oc r="P292">
      <v>38.39</v>
    </oc>
    <nc r="P292">
      <v>38.4</v>
    </nc>
  </rcc>
  <rcc rId="6849" sId="1">
    <oc r="Q292">
      <v>38.39</v>
    </oc>
    <nc r="Q292">
      <v>38.4</v>
    </nc>
  </rcc>
  <rcc rId="6850" sId="1">
    <oc r="P293">
      <v>38.39</v>
    </oc>
    <nc r="P293">
      <v>38.4</v>
    </nc>
  </rcc>
  <rcc rId="6851" sId="1">
    <oc r="Q293">
      <v>38.39</v>
    </oc>
    <nc r="Q293">
      <v>38.4</v>
    </nc>
  </rcc>
  <rcc rId="6852" sId="1">
    <oc r="P294">
      <v>38.39</v>
    </oc>
    <nc r="P294">
      <v>38.4</v>
    </nc>
  </rcc>
  <rcc rId="6853" sId="1">
    <oc r="Q294">
      <v>38.39</v>
    </oc>
    <nc r="Q294">
      <v>38.4</v>
    </nc>
  </rcc>
  <rcc rId="6854" sId="1">
    <oc r="P295">
      <v>38.39</v>
    </oc>
    <nc r="P295">
      <v>38.4</v>
    </nc>
  </rcc>
  <rcc rId="6855" sId="1">
    <oc r="Q295">
      <v>38.39</v>
    </oc>
    <nc r="Q295">
      <v>38.4</v>
    </nc>
  </rcc>
  <rcc rId="6856" sId="1">
    <oc r="P296">
      <v>38.39</v>
    </oc>
    <nc r="P296">
      <v>38.4</v>
    </nc>
  </rcc>
  <rcc rId="6857" sId="1">
    <oc r="Q296">
      <v>38.39</v>
    </oc>
    <nc r="Q296">
      <v>38.4</v>
    </nc>
  </rcc>
  <rcc rId="6858" sId="1">
    <oc r="P297">
      <v>38.39</v>
    </oc>
    <nc r="P297">
      <v>38.4</v>
    </nc>
  </rcc>
  <rcc rId="6859" sId="1">
    <oc r="Q297">
      <v>38.39</v>
    </oc>
    <nc r="Q297">
      <v>38.4</v>
    </nc>
  </rcc>
  <rcc rId="6860" sId="1">
    <oc r="P298">
      <v>38.39</v>
    </oc>
    <nc r="P298">
      <v>38.4</v>
    </nc>
  </rcc>
  <rcc rId="6861" sId="1">
    <oc r="Q298">
      <v>38.39</v>
    </oc>
    <nc r="Q298">
      <v>38.4</v>
    </nc>
  </rcc>
  <rcc rId="6862" sId="1">
    <oc r="P299">
      <v>38.39</v>
    </oc>
    <nc r="P299">
      <v>38.4</v>
    </nc>
  </rcc>
  <rcc rId="6863" sId="1">
    <oc r="Q299">
      <v>38.39</v>
    </oc>
    <nc r="Q299">
      <v>38.4</v>
    </nc>
  </rcc>
  <rcc rId="6864" sId="1">
    <oc r="P300">
      <v>38.39</v>
    </oc>
    <nc r="P300">
      <v>38.4</v>
    </nc>
  </rcc>
  <rcc rId="6865" sId="1">
    <oc r="Q300">
      <v>38.39</v>
    </oc>
    <nc r="Q300">
      <v>38.4</v>
    </nc>
  </rcc>
  <rcc rId="6866" sId="1">
    <oc r="P301">
      <v>38.39</v>
    </oc>
    <nc r="P301">
      <v>38.4</v>
    </nc>
  </rcc>
  <rcc rId="6867" sId="1">
    <oc r="Q301">
      <v>38.39</v>
    </oc>
    <nc r="Q301">
      <v>38.4</v>
    </nc>
  </rcc>
  <rcc rId="6868" sId="1">
    <oc r="P302">
      <v>38.39</v>
    </oc>
    <nc r="P302">
      <v>38.4</v>
    </nc>
  </rcc>
  <rcc rId="6869" sId="1">
    <oc r="Q302">
      <v>38.39</v>
    </oc>
    <nc r="Q302">
      <v>38.4</v>
    </nc>
  </rcc>
  <rcc rId="6870" sId="1">
    <oc r="P303">
      <v>38.39</v>
    </oc>
    <nc r="P303">
      <v>38.4</v>
    </nc>
  </rcc>
  <rcc rId="6871" sId="1">
    <oc r="Q303">
      <v>38.39</v>
    </oc>
    <nc r="Q303">
      <v>38.4</v>
    </nc>
  </rcc>
  <rcc rId="6872" sId="1">
    <oc r="P304">
      <v>38.39</v>
    </oc>
    <nc r="P304">
      <v>38.4</v>
    </nc>
  </rcc>
  <rcc rId="6873" sId="1">
    <oc r="Q304">
      <v>38.39</v>
    </oc>
    <nc r="Q304">
      <v>38.4</v>
    </nc>
  </rcc>
  <rcc rId="6874" sId="1">
    <oc r="P305">
      <v>38.39</v>
    </oc>
    <nc r="P305">
      <v>38.4</v>
    </nc>
  </rcc>
  <rcc rId="6875" sId="1">
    <oc r="Q305">
      <v>38.39</v>
    </oc>
    <nc r="Q305">
      <v>38.4</v>
    </nc>
  </rcc>
  <rcc rId="6876" sId="1">
    <oc r="P306">
      <v>38.39</v>
    </oc>
    <nc r="P306">
      <v>38.4</v>
    </nc>
  </rcc>
  <rcc rId="6877" sId="1">
    <oc r="Q306">
      <v>38.39</v>
    </oc>
    <nc r="Q306">
      <v>38.4</v>
    </nc>
  </rcc>
  <rcc rId="6878" sId="1">
    <oc r="P307">
      <v>38.39</v>
    </oc>
    <nc r="P307">
      <v>38.4</v>
    </nc>
  </rcc>
  <rcc rId="6879" sId="1">
    <oc r="Q307">
      <v>38.39</v>
    </oc>
    <nc r="Q307">
      <v>38.4</v>
    </nc>
  </rcc>
  <rcc rId="6880" sId="1">
    <oc r="P308">
      <v>38.39</v>
    </oc>
    <nc r="P308">
      <v>38.4</v>
    </nc>
  </rcc>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881" sId="2">
    <oc r="S46">
      <v>38.39</v>
    </oc>
    <nc r="S46">
      <v>38.4</v>
    </nc>
  </rcc>
  <rcc rId="6882" sId="2">
    <oc r="S49">
      <v>38.39</v>
    </oc>
    <nc r="S49">
      <v>38.4</v>
    </nc>
  </rcc>
  <rcc rId="6883" sId="2">
    <oc r="S52">
      <v>38.39</v>
    </oc>
    <nc r="S52">
      <v>38.4</v>
    </nc>
  </rcc>
  <rcc rId="6884" sId="2">
    <oc r="S61">
      <v>38.39</v>
    </oc>
    <nc r="S61">
      <v>38.4</v>
    </nc>
  </rcc>
  <rcc rId="6885" sId="2">
    <oc r="R62">
      <v>38.39</v>
    </oc>
    <nc r="R62">
      <v>38.4</v>
    </nc>
  </rcc>
  <rcc rId="6886" sId="2">
    <oc r="S62">
      <v>38.39</v>
    </oc>
    <nc r="S62">
      <v>38.4</v>
    </nc>
  </rcc>
  <rcc rId="6887" sId="2">
    <oc r="S64">
      <v>38.39</v>
    </oc>
    <nc r="S64">
      <v>38.4</v>
    </nc>
  </rcc>
  <rcc rId="6888" sId="2">
    <oc r="S72">
      <v>38.39</v>
    </oc>
    <nc r="S72">
      <v>38.4</v>
    </nc>
  </rcc>
  <rcc rId="6889" sId="2">
    <oc r="S76">
      <v>38.39</v>
    </oc>
    <nc r="S76">
      <v>38.4</v>
    </nc>
  </rcc>
  <rcc rId="6890" sId="2">
    <oc r="S82">
      <v>38.39</v>
    </oc>
    <nc r="S82">
      <v>38.4</v>
    </nc>
  </rcc>
  <rcc rId="6891" sId="2">
    <oc r="S87">
      <v>38.39</v>
    </oc>
    <nc r="S87">
      <v>38.4</v>
    </nc>
  </rcc>
  <rcc rId="6892" sId="2">
    <oc r="S94">
      <v>38.39</v>
    </oc>
    <nc r="S94">
      <v>38.4</v>
    </nc>
  </rcc>
  <rcc rId="6893" sId="2">
    <oc r="S104">
      <v>38.39</v>
    </oc>
    <nc r="S104">
      <v>38.4</v>
    </nc>
  </rcc>
  <rcc rId="6894" sId="2">
    <oc r="S109">
      <v>38.39</v>
    </oc>
    <nc r="S109">
      <v>38.4</v>
    </nc>
  </rcc>
  <rcc rId="6895" sId="2">
    <oc r="S112">
      <v>38.39</v>
    </oc>
    <nc r="S112">
      <v>38.4</v>
    </nc>
  </rcc>
  <rcc rId="6896" sId="2">
    <oc r="S118">
      <v>38.39</v>
    </oc>
    <nc r="S118">
      <v>38.4</v>
    </nc>
  </rcc>
  <rcc rId="6897" sId="2">
    <oc r="R119">
      <v>38.39</v>
    </oc>
    <nc r="R119">
      <v>38.4</v>
    </nc>
  </rcc>
  <rcc rId="6898" sId="2">
    <oc r="S119">
      <v>38.39</v>
    </oc>
    <nc r="S119">
      <v>38.4</v>
    </nc>
  </rcc>
  <rcc rId="6899" sId="2">
    <oc r="R120">
      <v>38.39</v>
    </oc>
    <nc r="R120">
      <v>38.4</v>
    </nc>
  </rcc>
  <rcc rId="6900" sId="2">
    <oc r="S120">
      <v>38.39</v>
    </oc>
    <nc r="S120">
      <v>38.4</v>
    </nc>
  </rcc>
  <rcc rId="6901" sId="2">
    <oc r="R4">
      <v>57.59</v>
    </oc>
    <nc r="R4">
      <v>57.4</v>
    </nc>
  </rcc>
  <rcc rId="6902" sId="2">
    <oc r="R5">
      <v>57.59</v>
    </oc>
    <nc r="R5">
      <v>57.4</v>
    </nc>
  </rcc>
  <rcc rId="6903" sId="2">
    <oc r="R6">
      <v>57.59</v>
    </oc>
    <nc r="R6">
      <v>57.4</v>
    </nc>
  </rcc>
  <rcc rId="6904" sId="2">
    <oc r="R7">
      <v>57.59</v>
    </oc>
    <nc r="R7">
      <v>57.4</v>
    </nc>
  </rcc>
  <rcc rId="6905" sId="2">
    <oc r="R8">
      <v>57.59</v>
    </oc>
    <nc r="R8">
      <v>57.4</v>
    </nc>
  </rcc>
  <rcc rId="6906" sId="2">
    <oc r="R9">
      <v>57.59</v>
    </oc>
    <nc r="R9">
      <v>57.4</v>
    </nc>
  </rcc>
  <rcc rId="6907" sId="2">
    <oc r="R10">
      <v>57.59</v>
    </oc>
    <nc r="R10">
      <v>57.4</v>
    </nc>
  </rcc>
  <rcc rId="6908" sId="2">
    <oc r="R11">
      <v>57.59</v>
    </oc>
    <nc r="R11">
      <v>57.4</v>
    </nc>
  </rcc>
  <rcc rId="6909" sId="2">
    <oc r="R12">
      <v>57.59</v>
    </oc>
    <nc r="R12">
      <v>57.4</v>
    </nc>
  </rcc>
  <rcc rId="6910" sId="2">
    <oc r="R13">
      <v>57.59</v>
    </oc>
    <nc r="R13">
      <v>57.4</v>
    </nc>
  </rcc>
  <rcc rId="6911" sId="2">
    <oc r="R14">
      <v>57.59</v>
    </oc>
    <nc r="R14">
      <v>57.4</v>
    </nc>
  </rcc>
  <rcc rId="6912" sId="2">
    <oc r="R15">
      <v>57.59</v>
    </oc>
    <nc r="R15">
      <v>57.4</v>
    </nc>
  </rcc>
  <rcc rId="6913" sId="2">
    <oc r="R16">
      <v>57.59</v>
    </oc>
    <nc r="R16">
      <v>57.4</v>
    </nc>
  </rcc>
  <rcc rId="6914" sId="2">
    <oc r="R18">
      <v>57.59</v>
    </oc>
    <nc r="R18">
      <v>57.4</v>
    </nc>
  </rcc>
  <rcc rId="6915" sId="2">
    <oc r="R19">
      <v>57.59</v>
    </oc>
    <nc r="R19">
      <v>57.4</v>
    </nc>
  </rcc>
  <rcc rId="6916" sId="2">
    <oc r="R20">
      <v>57.59</v>
    </oc>
    <nc r="R20">
      <v>57.4</v>
    </nc>
  </rcc>
  <rcc rId="6917" sId="2">
    <oc r="R21">
      <v>57.59</v>
    </oc>
    <nc r="R21">
      <v>57.4</v>
    </nc>
  </rcc>
  <rcc rId="6918" sId="2">
    <oc r="R22">
      <v>57.59</v>
    </oc>
    <nc r="R22">
      <v>57.4</v>
    </nc>
  </rcc>
  <rcc rId="6919" sId="2">
    <oc r="R23">
      <v>57.59</v>
    </oc>
    <nc r="R23">
      <v>57.4</v>
    </nc>
  </rcc>
  <rcc rId="6920" sId="2">
    <oc r="R24">
      <v>57.59</v>
    </oc>
    <nc r="R24">
      <v>57.4</v>
    </nc>
  </rcc>
  <rcc rId="6921" sId="2">
    <oc r="R25">
      <v>57.59</v>
    </oc>
    <nc r="R25">
      <v>57.4</v>
    </nc>
  </rcc>
  <rcc rId="6922" sId="2">
    <oc r="R26">
      <v>57.59</v>
    </oc>
    <nc r="R26">
      <v>57.4</v>
    </nc>
  </rcc>
  <rcc rId="6923" sId="2">
    <oc r="R27">
      <v>57.59</v>
    </oc>
    <nc r="R27">
      <v>57.4</v>
    </nc>
  </rcc>
  <rcc rId="6924" sId="2">
    <oc r="R28">
      <v>57.59</v>
    </oc>
    <nc r="R28">
      <v>57.4</v>
    </nc>
  </rcc>
  <rcc rId="6925" sId="2">
    <oc r="R29">
      <v>57.59</v>
    </oc>
    <nc r="R29">
      <v>57.4</v>
    </nc>
  </rcc>
  <rcc rId="6926" sId="2">
    <oc r="R30">
      <v>57.59</v>
    </oc>
    <nc r="R30">
      <v>57.4</v>
    </nc>
  </rcc>
  <rcc rId="6927" sId="2">
    <oc r="R31">
      <v>57.59</v>
    </oc>
    <nc r="R31">
      <v>57.4</v>
    </nc>
  </rcc>
  <rcc rId="6928" sId="2">
    <oc r="R32">
      <v>57.59</v>
    </oc>
    <nc r="R32">
      <v>57.4</v>
    </nc>
  </rcc>
  <rcc rId="6929" sId="2">
    <oc r="S32">
      <v>57.59</v>
    </oc>
    <nc r="S32">
      <v>57.4</v>
    </nc>
  </rcc>
  <rcc rId="6930" sId="2">
    <oc r="R34">
      <v>57.59</v>
    </oc>
    <nc r="R34">
      <v>57.4</v>
    </nc>
  </rcc>
  <rcc rId="6931" sId="2">
    <oc r="S34">
      <v>57.59</v>
    </oc>
    <nc r="S34">
      <v>57.4</v>
    </nc>
  </rcc>
  <rcc rId="6932" sId="2">
    <oc r="R35">
      <v>57.59</v>
    </oc>
    <nc r="R35">
      <v>57.4</v>
    </nc>
  </rcc>
  <rcc rId="6933" sId="2">
    <oc r="R36">
      <v>57.59</v>
    </oc>
    <nc r="R36">
      <v>57.4</v>
    </nc>
  </rcc>
  <rcc rId="6934" sId="2">
    <oc r="R38">
      <v>57.59</v>
    </oc>
    <nc r="R38">
      <v>57.4</v>
    </nc>
  </rcc>
  <rcc rId="6935" sId="2">
    <oc r="S38">
      <v>57.59</v>
    </oc>
    <nc r="S38">
      <v>57.4</v>
    </nc>
  </rcc>
  <rcc rId="6936" sId="2">
    <oc r="R39">
      <v>57.59</v>
    </oc>
    <nc r="R39">
      <v>57.4</v>
    </nc>
  </rcc>
  <rcc rId="6937" sId="2">
    <oc r="S39">
      <v>57.59</v>
    </oc>
    <nc r="S39">
      <v>57.4</v>
    </nc>
  </rcc>
  <rcc rId="6938" sId="2">
    <oc r="R40">
      <v>57.59</v>
    </oc>
    <nc r="R40">
      <v>57.4</v>
    </nc>
  </rcc>
  <rcc rId="6939" sId="2">
    <oc r="S40">
      <v>57.59</v>
    </oc>
    <nc r="S40">
      <v>57.4</v>
    </nc>
  </rcc>
  <rcc rId="6940" sId="2">
    <oc r="R41">
      <v>57.59</v>
    </oc>
    <nc r="R41">
      <v>57.4</v>
    </nc>
  </rcc>
  <rcc rId="6941" sId="2">
    <oc r="S41">
      <v>57.59</v>
    </oc>
    <nc r="S41">
      <v>57.4</v>
    </nc>
  </rcc>
  <rcc rId="6942" sId="2">
    <oc r="R42">
      <v>57.59</v>
    </oc>
    <nc r="R42">
      <v>57.4</v>
    </nc>
  </rcc>
  <rcc rId="6943" sId="2">
    <oc r="S42">
      <v>57.59</v>
    </oc>
    <nc r="S42">
      <v>57.4</v>
    </nc>
  </rcc>
  <rcc rId="6944" sId="2">
    <oc r="R43">
      <v>57.59</v>
    </oc>
    <nc r="R43">
      <v>57.4</v>
    </nc>
  </rcc>
  <rcc rId="6945" sId="2">
    <oc r="R44">
      <v>57.59</v>
    </oc>
    <nc r="R44">
      <v>57.4</v>
    </nc>
  </rcc>
  <rcc rId="6946" sId="2">
    <oc r="R45">
      <v>57.59</v>
    </oc>
    <nc r="R45">
      <v>57.4</v>
    </nc>
  </rcc>
  <rcc rId="6947" sId="2">
    <oc r="S45">
      <v>57.59</v>
    </oc>
    <nc r="S45">
      <v>57.4</v>
    </nc>
  </rcc>
  <rcc rId="6948" sId="2">
    <oc r="R46">
      <v>57.59</v>
    </oc>
    <nc r="R46">
      <v>57.4</v>
    </nc>
  </rcc>
  <rcc rId="6949" sId="2">
    <oc r="R47">
      <v>57.59</v>
    </oc>
    <nc r="R47">
      <v>57.4</v>
    </nc>
  </rcc>
  <rcc rId="6950" sId="2">
    <oc r="S47">
      <v>57.59</v>
    </oc>
    <nc r="S47">
      <v>57.4</v>
    </nc>
  </rcc>
  <rcc rId="6951" sId="2">
    <oc r="R48">
      <v>57.59</v>
    </oc>
    <nc r="R48">
      <v>57.4</v>
    </nc>
  </rcc>
  <rcc rId="6952" sId="2">
    <oc r="S48">
      <v>57.59</v>
    </oc>
    <nc r="S48">
      <v>57.4</v>
    </nc>
  </rcc>
  <rcc rId="6953" sId="2">
    <oc r="R49">
      <v>57.59</v>
    </oc>
    <nc r="R49">
      <v>57.4</v>
    </nc>
  </rcc>
  <rcc rId="6954" sId="2">
    <oc r="R50">
      <v>57.59</v>
    </oc>
    <nc r="R50">
      <v>57.4</v>
    </nc>
  </rcc>
  <rcc rId="6955" sId="2">
    <oc r="R51">
      <v>57.59</v>
    </oc>
    <nc r="R51">
      <v>57.4</v>
    </nc>
  </rcc>
  <rcc rId="6956" sId="2">
    <oc r="R52">
      <v>57.59</v>
    </oc>
    <nc r="R52">
      <v>57.4</v>
    </nc>
  </rcc>
  <rcc rId="6957" sId="2">
    <oc r="S67">
      <v>57.59</v>
    </oc>
    <nc r="S67">
      <v>57.4</v>
    </nc>
  </rcc>
  <rcc rId="6958" sId="2">
    <oc r="S68">
      <v>57.59</v>
    </oc>
    <nc r="S68">
      <v>57.4</v>
    </nc>
  </rcc>
  <rcc rId="6959" sId="2">
    <oc r="R69">
      <v>57.59</v>
    </oc>
    <nc r="R69">
      <v>57.4</v>
    </nc>
  </rcc>
  <rcc rId="6960" sId="2">
    <oc r="S69">
      <v>57.59</v>
    </oc>
    <nc r="S69">
      <v>57.4</v>
    </nc>
  </rcc>
  <rcc rId="6961" sId="2">
    <oc r="S74">
      <v>57.59</v>
    </oc>
    <nc r="S74">
      <v>57.4</v>
    </nc>
  </rcc>
  <rcc rId="6962" sId="2">
    <oc r="S75">
      <v>57.59</v>
    </oc>
    <nc r="S75">
      <v>57.4</v>
    </nc>
  </rcc>
  <rcc rId="6963" sId="2">
    <oc r="S80">
      <v>57.59</v>
    </oc>
    <nc r="S80">
      <v>57.4</v>
    </nc>
  </rcc>
  <rcc rId="6964" sId="2">
    <oc r="S85">
      <v>57.59</v>
    </oc>
    <nc r="S85">
      <v>57.4</v>
    </nc>
  </rcc>
  <rcc rId="6965" sId="2">
    <oc r="S92">
      <v>57.59</v>
    </oc>
    <nc r="S92">
      <v>57.4</v>
    </nc>
  </rcc>
  <rcc rId="6966" sId="2">
    <oc r="S102">
      <v>57.59</v>
    </oc>
    <nc r="S102">
      <v>57.4</v>
    </nc>
  </rcc>
  <rcc rId="6967" sId="2">
    <oc r="R103">
      <v>57.59</v>
    </oc>
    <nc r="R103">
      <v>57.4</v>
    </nc>
  </rcc>
  <rcc rId="6968" sId="2">
    <oc r="S103">
      <v>57.59</v>
    </oc>
    <nc r="S103">
      <v>57.4</v>
    </nc>
  </rcc>
  <rcc rId="6969" sId="2">
    <oc r="R104">
      <v>57.59</v>
    </oc>
    <nc r="R104">
      <v>57.4</v>
    </nc>
  </rcc>
  <rcc rId="6970" sId="2">
    <oc r="R113">
      <v>57.59</v>
    </oc>
    <nc r="R113">
      <v>57.4</v>
    </nc>
  </rcc>
  <rcc rId="6971" sId="2">
    <oc r="R115">
      <v>57.59</v>
    </oc>
    <nc r="R115">
      <v>57.4</v>
    </nc>
  </rcc>
  <rcc rId="6972" sId="2">
    <oc r="R147">
      <v>57.59</v>
    </oc>
    <nc r="R147">
      <v>57.4</v>
    </nc>
  </rcc>
  <rcc rId="6973" sId="2">
    <oc r="S147">
      <v>57.59</v>
    </oc>
    <nc r="S147">
      <v>57.4</v>
    </nc>
  </rcc>
  <rcc rId="6974" sId="2">
    <oc r="R148">
      <v>57.59</v>
    </oc>
    <nc r="R148">
      <v>57.4</v>
    </nc>
  </rcc>
  <rcc rId="6975" sId="2">
    <oc r="S148">
      <v>57.59</v>
    </oc>
    <nc r="S148">
      <v>57.4</v>
    </nc>
  </rcc>
  <rcc rId="6976" sId="2">
    <oc r="R149">
      <v>57.59</v>
    </oc>
    <nc r="R149">
      <v>57.4</v>
    </nc>
  </rcc>
  <rcc rId="6977" sId="2">
    <oc r="S149">
      <v>57.59</v>
    </oc>
    <nc r="S149">
      <v>57.4</v>
    </nc>
  </rcc>
  <rcc rId="6978" sId="2">
    <oc r="R150">
      <v>57.59</v>
    </oc>
    <nc r="R150">
      <v>57.4</v>
    </nc>
  </rcc>
  <rcc rId="6979" sId="2">
    <oc r="S150">
      <v>57.59</v>
    </oc>
    <nc r="S150">
      <v>57.4</v>
    </nc>
  </rcc>
  <rcc rId="6980" sId="2">
    <oc r="R151">
      <v>57.59</v>
    </oc>
    <nc r="R151">
      <v>57.4</v>
    </nc>
  </rcc>
  <rcc rId="6981" sId="2">
    <oc r="S151">
      <v>57.59</v>
    </oc>
    <nc r="S151">
      <v>57.4</v>
    </nc>
  </rcc>
  <rcc rId="6982" sId="2">
    <oc r="R152">
      <v>57.59</v>
    </oc>
    <nc r="R152">
      <v>57.4</v>
    </nc>
  </rcc>
  <rcc rId="6983" sId="2">
    <oc r="S152">
      <v>57.59</v>
    </oc>
    <nc r="S152">
      <v>57.4</v>
    </nc>
  </rcc>
  <rcc rId="6984" sId="2">
    <oc r="R153">
      <v>57.59</v>
    </oc>
    <nc r="R153">
      <v>57.4</v>
    </nc>
  </rcc>
  <rcc rId="6985" sId="2">
    <oc r="S153">
      <v>57.59</v>
    </oc>
    <nc r="S153">
      <v>57.4</v>
    </nc>
  </rcc>
  <rcc rId="6986" sId="2">
    <oc r="R154">
      <v>57.59</v>
    </oc>
    <nc r="R154">
      <v>57.4</v>
    </nc>
  </rcc>
  <rcc rId="6987" sId="2">
    <oc r="S154">
      <v>57.59</v>
    </oc>
    <nc r="S154">
      <v>57.4</v>
    </nc>
  </rcc>
  <rcc rId="6988" sId="2">
    <oc r="R155">
      <v>57.59</v>
    </oc>
    <nc r="R155">
      <v>57.4</v>
    </nc>
  </rcc>
  <rcc rId="6989" sId="2">
    <oc r="S155">
      <v>57.59</v>
    </oc>
    <nc r="S155">
      <v>57.4</v>
    </nc>
  </rcc>
  <rcc rId="6990" sId="2">
    <oc r="R156">
      <v>57.59</v>
    </oc>
    <nc r="R156">
      <v>57.4</v>
    </nc>
  </rcc>
  <rcc rId="6991" sId="2">
    <oc r="S156">
      <v>57.59</v>
    </oc>
    <nc r="S156">
      <v>57.4</v>
    </nc>
  </rcc>
  <rcc rId="6992" sId="2">
    <oc r="R157">
      <v>57.59</v>
    </oc>
    <nc r="R157">
      <v>57.4</v>
    </nc>
  </rcc>
  <rcc rId="6993" sId="2">
    <oc r="S157">
      <v>57.59</v>
    </oc>
    <nc r="S157">
      <v>57.4</v>
    </nc>
  </rcc>
  <rcc rId="6994" sId="2">
    <oc r="R158">
      <v>57.59</v>
    </oc>
    <nc r="R158">
      <v>57.4</v>
    </nc>
  </rcc>
  <rcc rId="6995" sId="2">
    <oc r="S158">
      <v>57.59</v>
    </oc>
    <nc r="S158">
      <v>57.4</v>
    </nc>
  </rcc>
  <rcc rId="6996" sId="2">
    <oc r="R159">
      <v>57.59</v>
    </oc>
    <nc r="R159">
      <v>57.4</v>
    </nc>
  </rcc>
  <rcc rId="6997" sId="2">
    <oc r="S159">
      <v>57.59</v>
    </oc>
    <nc r="S159">
      <v>57.4</v>
    </nc>
  </rcc>
  <rcc rId="6998" sId="2">
    <oc r="R160">
      <v>57.59</v>
    </oc>
    <nc r="R160">
      <v>57.4</v>
    </nc>
  </rcc>
  <rcc rId="6999" sId="2">
    <oc r="S160">
      <v>57.59</v>
    </oc>
    <nc r="S160">
      <v>57.4</v>
    </nc>
  </rcc>
  <rcc rId="7000" sId="2">
    <oc r="R161">
      <v>57.59</v>
    </oc>
    <nc r="R161">
      <v>57.4</v>
    </nc>
  </rcc>
  <rcc rId="7001" sId="2">
    <oc r="S161">
      <v>57.59</v>
    </oc>
    <nc r="S161">
      <v>57.4</v>
    </nc>
  </rcc>
  <rcc rId="7002" sId="2">
    <oc r="R162">
      <v>57.59</v>
    </oc>
    <nc r="R162">
      <v>57.4</v>
    </nc>
  </rcc>
  <rcc rId="7003" sId="2">
    <oc r="S162">
      <v>57.59</v>
    </oc>
    <nc r="S162">
      <v>57.4</v>
    </nc>
  </rcc>
  <rcc rId="7004" sId="2">
    <oc r="R163">
      <v>57.59</v>
    </oc>
    <nc r="R163">
      <v>57.4</v>
    </nc>
  </rcc>
  <rcc rId="7005" sId="2">
    <oc r="S163">
      <v>57.59</v>
    </oc>
    <nc r="S163">
      <v>57.4</v>
    </nc>
  </rcc>
  <rcc rId="7006" sId="2">
    <oc r="R164">
      <v>57.59</v>
    </oc>
    <nc r="R164">
      <v>57.4</v>
    </nc>
  </rcc>
  <rcc rId="7007" sId="2">
    <oc r="S164">
      <v>57.59</v>
    </oc>
    <nc r="S164">
      <v>57.4</v>
    </nc>
  </rcc>
  <rcc rId="7008" sId="2">
    <oc r="R165">
      <v>57.59</v>
    </oc>
    <nc r="R165">
      <v>57.4</v>
    </nc>
  </rcc>
  <rcc rId="7009" sId="2">
    <oc r="S165">
      <v>57.59</v>
    </oc>
    <nc r="S165">
      <v>57.4</v>
    </nc>
  </rcc>
  <rcc rId="7010" sId="2">
    <oc r="R175">
      <v>57.59</v>
    </oc>
    <nc r="R175">
      <v>57.4</v>
    </nc>
  </rcc>
  <rcc rId="7011" sId="2">
    <oc r="S175">
      <v>57.59</v>
    </oc>
    <nc r="S175">
      <v>57.4</v>
    </nc>
  </rcc>
  <rcc rId="7012" sId="2">
    <oc r="R176">
      <v>57.59</v>
    </oc>
    <nc r="R176">
      <v>57.4</v>
    </nc>
  </rcc>
  <rcc rId="7013" sId="2">
    <oc r="S176">
      <v>57.59</v>
    </oc>
    <nc r="S176">
      <v>57.4</v>
    </nc>
  </rcc>
  <rcc rId="7014" sId="2">
    <oc r="R177">
      <v>57.59</v>
    </oc>
    <nc r="R177">
      <v>57.4</v>
    </nc>
  </rcc>
  <rcc rId="7015" sId="2">
    <oc r="S177">
      <v>57.59</v>
    </oc>
    <nc r="S177">
      <v>57.4</v>
    </nc>
  </rcc>
  <rcc rId="7016" sId="2">
    <oc r="R178">
      <v>57.59</v>
    </oc>
    <nc r="R178">
      <v>57.4</v>
    </nc>
  </rcc>
  <rcc rId="7017" sId="2">
    <oc r="S178">
      <v>57.59</v>
    </oc>
    <nc r="S178">
      <v>57.4</v>
    </nc>
  </rcc>
  <rcc rId="7018" sId="2">
    <oc r="R179">
      <v>57.59</v>
    </oc>
    <nc r="R179">
      <v>57.4</v>
    </nc>
  </rcc>
  <rcc rId="7019" sId="2">
    <oc r="S179">
      <v>57.59</v>
    </oc>
    <nc r="S179">
      <v>57.4</v>
    </nc>
  </rcc>
  <rcc rId="7020" sId="2">
    <oc r="R180">
      <v>57.59</v>
    </oc>
    <nc r="R180">
      <v>57.4</v>
    </nc>
  </rcc>
  <rcc rId="7021" sId="2">
    <oc r="S180">
      <v>57.59</v>
    </oc>
    <nc r="S180">
      <v>57.4</v>
    </nc>
  </rcc>
  <rcc rId="7022" sId="2">
    <oc r="R181">
      <v>57.59</v>
    </oc>
    <nc r="R181">
      <v>57.4</v>
    </nc>
  </rcc>
  <rcc rId="7023" sId="2">
    <oc r="S181">
      <v>57.59</v>
    </oc>
    <nc r="S181">
      <v>57.4</v>
    </nc>
  </rcc>
  <rcc rId="7024" sId="2">
    <oc r="R182">
      <v>57.59</v>
    </oc>
    <nc r="R182">
      <v>57.4</v>
    </nc>
  </rcc>
  <rcc rId="7025" sId="2">
    <oc r="S182">
      <v>57.59</v>
    </oc>
    <nc r="S182">
      <v>57.4</v>
    </nc>
  </rcc>
  <rcc rId="7026" sId="2">
    <oc r="R183">
      <v>57.59</v>
    </oc>
    <nc r="R183">
      <v>57.4</v>
    </nc>
  </rcc>
  <rcc rId="7027" sId="2">
    <oc r="S183">
      <v>57.59</v>
    </oc>
    <nc r="S183">
      <v>57.4</v>
    </nc>
  </rcc>
  <rcc rId="7028" sId="2">
    <oc r="R184">
      <v>57.59</v>
    </oc>
    <nc r="R184">
      <v>57.4</v>
    </nc>
  </rcc>
  <rcc rId="7029" sId="2">
    <oc r="S184">
      <v>57.59</v>
    </oc>
    <nc r="S184">
      <v>57.4</v>
    </nc>
  </rcc>
  <rcc rId="7030" sId="2">
    <oc r="R185">
      <v>57.59</v>
    </oc>
    <nc r="R185">
      <v>57.4</v>
    </nc>
  </rcc>
  <rcc rId="7031" sId="2">
    <oc r="S185">
      <v>57.59</v>
    </oc>
    <nc r="S185">
      <v>57.4</v>
    </nc>
  </rcc>
  <rcc rId="7032" sId="2">
    <oc r="R186">
      <v>57.59</v>
    </oc>
    <nc r="R186">
      <v>57.4</v>
    </nc>
  </rcc>
  <rcc rId="7033" sId="2">
    <oc r="S186">
      <v>57.59</v>
    </oc>
    <nc r="S186">
      <v>57.4</v>
    </nc>
  </rcc>
  <rcc rId="7034" sId="2">
    <oc r="R187">
      <v>57.59</v>
    </oc>
    <nc r="R187">
      <v>57.4</v>
    </nc>
  </rcc>
  <rcc rId="7035" sId="2">
    <oc r="S187">
      <v>57.59</v>
    </oc>
    <nc r="S187">
      <v>57.4</v>
    </nc>
  </rcc>
  <rcc rId="7036" sId="2">
    <oc r="R188">
      <v>57.59</v>
    </oc>
    <nc r="R188">
      <v>57.4</v>
    </nc>
  </rcc>
  <rcc rId="7037" sId="2">
    <oc r="S188">
      <v>57.59</v>
    </oc>
    <nc r="S188">
      <v>57.4</v>
    </nc>
  </rcc>
  <rcc rId="7038" sId="2">
    <oc r="R191">
      <v>57.59</v>
    </oc>
    <nc r="R191">
      <v>57.4</v>
    </nc>
  </rcc>
  <rcc rId="7039" sId="2">
    <oc r="S191">
      <v>57.59</v>
    </oc>
    <nc r="S191">
      <v>57.4</v>
    </nc>
  </rcc>
  <rcc rId="7040" sId="2">
    <oc r="R192">
      <v>57.59</v>
    </oc>
    <nc r="R192">
      <v>57.4</v>
    </nc>
  </rcc>
  <rcc rId="7041" sId="2">
    <oc r="S192">
      <v>57.59</v>
    </oc>
    <nc r="S192">
      <v>57.4</v>
    </nc>
  </rcc>
  <rcc rId="7042" sId="2">
    <oc r="R193">
      <v>57.59</v>
    </oc>
    <nc r="R193">
      <v>57.4</v>
    </nc>
  </rcc>
  <rcc rId="7043" sId="2">
    <oc r="S193">
      <v>57.59</v>
    </oc>
    <nc r="S193">
      <v>57.4</v>
    </nc>
  </rcc>
  <rcc rId="7044" sId="2">
    <oc r="R194">
      <v>57.59</v>
    </oc>
    <nc r="R194">
      <v>57.4</v>
    </nc>
  </rcc>
  <rcc rId="7045" sId="2">
    <oc r="S194">
      <v>57.59</v>
    </oc>
    <nc r="S194">
      <v>57.4</v>
    </nc>
  </rcc>
  <rcc rId="7046" sId="2">
    <oc r="R195">
      <v>57.59</v>
    </oc>
    <nc r="R195">
      <v>57.4</v>
    </nc>
  </rcc>
  <rcc rId="7047" sId="2">
    <oc r="S195">
      <v>57.59</v>
    </oc>
    <nc r="S195">
      <v>57.4</v>
    </nc>
  </rcc>
  <rcc rId="7048" sId="2">
    <oc r="R196">
      <v>57.59</v>
    </oc>
    <nc r="R196">
      <v>57.4</v>
    </nc>
  </rcc>
  <rcc rId="7049" sId="2">
    <oc r="S196">
      <v>57.59</v>
    </oc>
    <nc r="S196">
      <v>57.4</v>
    </nc>
  </rcc>
  <rcc rId="7050" sId="2">
    <oc r="R197">
      <v>57.59</v>
    </oc>
    <nc r="R197">
      <v>57.4</v>
    </nc>
  </rcc>
  <rcc rId="7051" sId="2">
    <oc r="S197">
      <v>57.59</v>
    </oc>
    <nc r="S197">
      <v>57.4</v>
    </nc>
  </rcc>
  <rcc rId="7052" sId="2">
    <oc r="R198">
      <v>57.59</v>
    </oc>
    <nc r="R198">
      <v>57.4</v>
    </nc>
  </rcc>
  <rcc rId="7053" sId="2">
    <oc r="S198">
      <v>57.59</v>
    </oc>
    <nc r="S198">
      <v>57.4</v>
    </nc>
  </rcc>
  <rcc rId="7054" sId="2">
    <oc r="R199">
      <v>57.59</v>
    </oc>
    <nc r="R199">
      <v>57.4</v>
    </nc>
  </rcc>
  <rcc rId="7055" sId="2">
    <oc r="S199">
      <v>57.59</v>
    </oc>
    <nc r="S199">
      <v>57.4</v>
    </nc>
  </rcc>
  <rcc rId="7056" sId="2">
    <oc r="R200">
      <v>57.59</v>
    </oc>
    <nc r="R200">
      <v>57.4</v>
    </nc>
  </rcc>
  <rcc rId="7057" sId="2">
    <oc r="S200">
      <v>57.59</v>
    </oc>
    <nc r="S200">
      <v>57.4</v>
    </nc>
  </rcc>
  <rcc rId="7058" sId="2">
    <oc r="R202">
      <v>57.59</v>
    </oc>
    <nc r="R202">
      <v>57.4</v>
    </nc>
  </rcc>
  <rcc rId="7059" sId="2">
    <oc r="S202">
      <v>57.59</v>
    </oc>
    <nc r="S202">
      <v>57.4</v>
    </nc>
  </rcc>
  <rcc rId="7060" sId="2">
    <oc r="R203">
      <v>57.59</v>
    </oc>
    <nc r="R203">
      <v>57.4</v>
    </nc>
  </rcc>
  <rcc rId="7061" sId="2">
    <oc r="S203">
      <v>57.59</v>
    </oc>
    <nc r="S203">
      <v>57.4</v>
    </nc>
  </rcc>
  <rcc rId="7062" sId="2">
    <oc r="R204">
      <v>57.59</v>
    </oc>
    <nc r="R204">
      <v>57.4</v>
    </nc>
  </rcc>
  <rcc rId="7063" sId="2">
    <oc r="S204">
      <v>57.59</v>
    </oc>
    <nc r="S204">
      <v>57.4</v>
    </nc>
  </rcc>
  <rcc rId="7064" sId="2">
    <oc r="R205">
      <v>57.59</v>
    </oc>
    <nc r="R205">
      <v>57.4</v>
    </nc>
  </rcc>
  <rcc rId="7065" sId="2">
    <oc r="S205">
      <v>57.59</v>
    </oc>
    <nc r="S205">
      <v>57.4</v>
    </nc>
  </rcc>
  <rcc rId="7066" sId="2">
    <oc r="R206">
      <v>57.59</v>
    </oc>
    <nc r="R206">
      <v>57.4</v>
    </nc>
  </rcc>
  <rcc rId="7067" sId="2">
    <oc r="S206">
      <v>57.59</v>
    </oc>
    <nc r="S206">
      <v>57.4</v>
    </nc>
  </rcc>
  <rcc rId="7068" sId="2">
    <oc r="R207">
      <v>57.59</v>
    </oc>
    <nc r="R207">
      <v>57.4</v>
    </nc>
  </rcc>
  <rcc rId="7069" sId="2">
    <oc r="S207">
      <v>57.59</v>
    </oc>
    <nc r="S207">
      <v>57.4</v>
    </nc>
  </rcc>
  <rcc rId="7070" sId="2">
    <oc r="R208">
      <v>57.59</v>
    </oc>
    <nc r="R208">
      <v>57.4</v>
    </nc>
  </rcc>
  <rcc rId="7071" sId="2">
    <oc r="S208">
      <v>57.59</v>
    </oc>
    <nc r="S208">
      <v>57.4</v>
    </nc>
  </rcc>
  <rcc rId="7072" sId="2">
    <oc r="R209">
      <v>57.59</v>
    </oc>
    <nc r="R209">
      <v>57.4</v>
    </nc>
  </rcc>
  <rcc rId="7073" sId="2">
    <oc r="S209">
      <v>57.59</v>
    </oc>
    <nc r="S209">
      <v>57.4</v>
    </nc>
  </rcc>
  <rcc rId="7074" sId="2">
    <oc r="R210">
      <v>57.59</v>
    </oc>
    <nc r="R210">
      <v>57.4</v>
    </nc>
  </rcc>
  <rcc rId="7075" sId="2">
    <oc r="S210">
      <v>57.59</v>
    </oc>
    <nc r="S210">
      <v>57.4</v>
    </nc>
  </rcc>
  <rcc rId="7076" sId="2">
    <oc r="R211">
      <v>57.59</v>
    </oc>
    <nc r="R211">
      <v>57.4</v>
    </nc>
  </rcc>
  <rcc rId="7077" sId="2">
    <oc r="S211">
      <v>57.59</v>
    </oc>
    <nc r="S211">
      <v>57.4</v>
    </nc>
  </rcc>
  <rcc rId="7078" sId="2">
    <oc r="R212">
      <v>57.59</v>
    </oc>
    <nc r="R212">
      <v>57.4</v>
    </nc>
  </rcc>
  <rcc rId="7079" sId="2">
    <oc r="S212">
      <v>57.59</v>
    </oc>
    <nc r="S212">
      <v>57.4</v>
    </nc>
  </rcc>
  <rcc rId="7080" sId="2">
    <oc r="R213">
      <v>57.59</v>
    </oc>
    <nc r="R213">
      <v>57.4</v>
    </nc>
  </rcc>
  <rcc rId="7081" sId="2">
    <oc r="S213">
      <v>57.59</v>
    </oc>
    <nc r="S213">
      <v>57.4</v>
    </nc>
  </rcc>
  <rcc rId="7082" sId="2">
    <oc r="R214">
      <v>57.59</v>
    </oc>
    <nc r="R214">
      <v>57.4</v>
    </nc>
  </rcc>
  <rcc rId="7083" sId="2">
    <oc r="S214">
      <v>57.59</v>
    </oc>
    <nc r="S214">
      <v>57.4</v>
    </nc>
  </rcc>
  <rcc rId="7084" sId="2">
    <oc r="R215">
      <v>57.59</v>
    </oc>
    <nc r="R215">
      <v>57.4</v>
    </nc>
  </rcc>
  <rcc rId="7085" sId="2">
    <oc r="S215">
      <v>57.59</v>
    </oc>
    <nc r="S215">
      <v>57.4</v>
    </nc>
  </rcc>
  <rcc rId="7086" sId="2">
    <oc r="R216">
      <v>57.59</v>
    </oc>
    <nc r="R216">
      <v>57.4</v>
    </nc>
  </rcc>
  <rcc rId="7087" sId="2">
    <oc r="S216">
      <v>57.59</v>
    </oc>
    <nc r="S216">
      <v>57.4</v>
    </nc>
  </rcc>
  <rcc rId="7088" sId="2">
    <oc r="R217">
      <v>57.59</v>
    </oc>
    <nc r="R217">
      <v>57.4</v>
    </nc>
  </rcc>
  <rcc rId="7089" sId="2">
    <oc r="S217">
      <v>57.59</v>
    </oc>
    <nc r="S217">
      <v>57.4</v>
    </nc>
  </rcc>
  <rcc rId="7090" sId="2">
    <oc r="R218">
      <v>57.59</v>
    </oc>
    <nc r="R218">
      <v>57.4</v>
    </nc>
  </rcc>
  <rcc rId="7091" sId="2">
    <oc r="S218">
      <v>57.59</v>
    </oc>
    <nc r="S218">
      <v>57.4</v>
    </nc>
  </rcc>
  <rcc rId="7092" sId="2">
    <oc r="R219">
      <v>57.59</v>
    </oc>
    <nc r="R219">
      <v>57.4</v>
    </nc>
  </rcc>
  <rcc rId="7093" sId="2">
    <oc r="S219">
      <v>57.59</v>
    </oc>
    <nc r="S219">
      <v>57.4</v>
    </nc>
  </rcc>
  <rcc rId="7094" sId="2">
    <oc r="R220">
      <v>57.59</v>
    </oc>
    <nc r="R220">
      <v>57.4</v>
    </nc>
  </rcc>
  <rcc rId="7095" sId="2">
    <oc r="S220">
      <v>57.59</v>
    </oc>
    <nc r="S220">
      <v>57.4</v>
    </nc>
  </rcc>
  <rcc rId="7096" sId="2">
    <oc r="R221">
      <v>57.59</v>
    </oc>
    <nc r="R221">
      <v>57.4</v>
    </nc>
  </rcc>
  <rcc rId="7097" sId="2">
    <oc r="S221">
      <v>57.59</v>
    </oc>
    <nc r="S221">
      <v>57.4</v>
    </nc>
  </rcc>
  <rcc rId="7098" sId="2">
    <oc r="R222">
      <v>57.59</v>
    </oc>
    <nc r="R222">
      <v>57.4</v>
    </nc>
  </rcc>
  <rcc rId="7099" sId="2">
    <oc r="S222">
      <v>57.59</v>
    </oc>
    <nc r="S222">
      <v>57.4</v>
    </nc>
  </rcc>
  <rcc rId="7100" sId="2">
    <oc r="R223">
      <v>57.59</v>
    </oc>
    <nc r="R223">
      <v>57.4</v>
    </nc>
  </rcc>
  <rcc rId="7101" sId="2">
    <oc r="S223">
      <v>57.59</v>
    </oc>
    <nc r="S223">
      <v>57.4</v>
    </nc>
  </rcc>
  <rcc rId="7102" sId="2">
    <oc r="R224">
      <v>57.59</v>
    </oc>
    <nc r="R224">
      <v>57.4</v>
    </nc>
  </rcc>
  <rcc rId="7103" sId="2">
    <oc r="S224">
      <v>57.59</v>
    </oc>
    <nc r="S224">
      <v>57.4</v>
    </nc>
  </rcc>
  <rcc rId="7104" sId="2">
    <oc r="R225">
      <v>57.59</v>
    </oc>
    <nc r="R225">
      <v>57.4</v>
    </nc>
  </rcc>
  <rcc rId="7105" sId="2">
    <oc r="S225">
      <v>57.59</v>
    </oc>
    <nc r="S225">
      <v>57.4</v>
    </nc>
  </rcc>
  <rcc rId="7106" sId="2">
    <oc r="R227">
      <v>57.59</v>
    </oc>
    <nc r="R227">
      <v>57.4</v>
    </nc>
  </rcc>
  <rcc rId="7107" sId="2">
    <oc r="R230">
      <v>57.59</v>
    </oc>
    <nc r="R230">
      <v>57.4</v>
    </nc>
  </rcc>
  <rcc rId="7108" sId="2">
    <oc r="S230">
      <v>57.59</v>
    </oc>
    <nc r="S230">
      <v>57.4</v>
    </nc>
  </rcc>
  <rcc rId="7109" sId="2">
    <oc r="R231">
      <v>57.59</v>
    </oc>
    <nc r="R231">
      <v>57.4</v>
    </nc>
  </rcc>
  <rcc rId="7110" sId="2">
    <oc r="S231">
      <v>57.59</v>
    </oc>
    <nc r="S231">
      <v>57.4</v>
    </nc>
  </rcc>
  <rcc rId="7111" sId="2">
    <oc r="R232">
      <v>57.59</v>
    </oc>
    <nc r="R232">
      <v>57.4</v>
    </nc>
  </rcc>
  <rcc rId="7112" sId="2">
    <oc r="S232">
      <v>57.59</v>
    </oc>
    <nc r="S232">
      <v>57.4</v>
    </nc>
  </rcc>
  <rcc rId="7113" sId="2">
    <oc r="R233">
      <v>57.59</v>
    </oc>
    <nc r="R233">
      <v>57.4</v>
    </nc>
  </rcc>
  <rcc rId="7114" sId="2">
    <oc r="S233">
      <v>57.59</v>
    </oc>
    <nc r="S233">
      <v>57.4</v>
    </nc>
  </rcc>
  <rcc rId="7115" sId="2">
    <oc r="R234">
      <v>57.59</v>
    </oc>
    <nc r="R234">
      <v>57.4</v>
    </nc>
  </rcc>
  <rcc rId="7116" sId="2">
    <oc r="S234">
      <v>57.59</v>
    </oc>
    <nc r="S234">
      <v>57.4</v>
    </nc>
  </rcc>
  <rcc rId="7117" sId="2">
    <oc r="R235">
      <v>57.59</v>
    </oc>
    <nc r="R235">
      <v>57.4</v>
    </nc>
  </rcc>
  <rcc rId="7118" sId="2">
    <oc r="R236">
      <v>57.59</v>
    </oc>
    <nc r="R236">
      <v>57.4</v>
    </nc>
  </rcc>
  <rcc rId="7119" sId="2">
    <oc r="S236">
      <v>57.59</v>
    </oc>
    <nc r="S236">
      <v>57.4</v>
    </nc>
  </rcc>
  <rcc rId="7120" sId="2">
    <oc r="R237">
      <v>57.59</v>
    </oc>
    <nc r="R237">
      <v>57.4</v>
    </nc>
  </rcc>
  <rcc rId="7121" sId="2">
    <oc r="S238">
      <v>57.59</v>
    </oc>
    <nc r="S238">
      <v>57.4</v>
    </nc>
  </rcc>
  <rcc rId="7122" sId="2">
    <oc r="R239">
      <v>57.59</v>
    </oc>
    <nc r="R239">
      <v>57.4</v>
    </nc>
  </rcc>
  <rcc rId="7123" sId="2">
    <oc r="S239">
      <v>57.59</v>
    </oc>
    <nc r="S239">
      <v>57.4</v>
    </nc>
  </rcc>
  <rcc rId="7124" sId="2">
    <oc r="R240">
      <v>57.59</v>
    </oc>
    <nc r="R240">
      <v>57.4</v>
    </nc>
  </rcc>
  <rcc rId="7125" sId="2">
    <oc r="S240">
      <v>57.59</v>
    </oc>
    <nc r="S240">
      <v>57.4</v>
    </nc>
  </rcc>
  <rcc rId="7126" sId="2">
    <oc r="R241">
      <v>57.59</v>
    </oc>
    <nc r="R241">
      <v>57.4</v>
    </nc>
  </rcc>
  <rcc rId="7127" sId="2">
    <oc r="R242">
      <v>57.59</v>
    </oc>
    <nc r="R242">
      <v>57.4</v>
    </nc>
  </rcc>
  <rcc rId="7128" sId="2">
    <oc r="S242">
      <v>57.59</v>
    </oc>
    <nc r="S242">
      <v>57.4</v>
    </nc>
  </rcc>
  <rcc rId="7129" sId="2">
    <oc r="S245">
      <v>57.59</v>
    </oc>
    <nc r="S245">
      <v>57.4</v>
    </nc>
  </rcc>
  <rcc rId="7130" sId="2">
    <oc r="R246">
      <v>57.59</v>
    </oc>
    <nc r="R246">
      <v>57.4</v>
    </nc>
  </rcc>
  <rcc rId="7131" sId="2">
    <oc r="S246">
      <v>57.59</v>
    </oc>
    <nc r="S246">
      <v>57.4</v>
    </nc>
  </rcc>
  <rcc rId="7132" sId="2">
    <oc r="R247">
      <v>57.59</v>
    </oc>
    <nc r="R247">
      <v>57.4</v>
    </nc>
  </rcc>
  <rcc rId="7133" sId="2">
    <oc r="R248">
      <v>57.59</v>
    </oc>
    <nc r="R248">
      <v>57.4</v>
    </nc>
  </rcc>
  <rcc rId="7134" sId="2">
    <oc r="S248">
      <v>57.59</v>
    </oc>
    <nc r="S248">
      <v>57.4</v>
    </nc>
  </rcc>
  <rcc rId="7135" sId="2">
    <oc r="S249">
      <v>57.59</v>
    </oc>
    <nc r="S249">
      <v>57.4</v>
    </nc>
  </rcc>
  <rcc rId="7136" sId="2">
    <oc r="R250">
      <v>57.59</v>
    </oc>
    <nc r="R250">
      <v>57.4</v>
    </nc>
  </rcc>
  <rcc rId="7137" sId="2">
    <oc r="R253">
      <v>57.59</v>
    </oc>
    <nc r="R253">
      <v>57.4</v>
    </nc>
  </rcc>
  <rcc rId="7138" sId="2">
    <oc r="S254">
      <v>57.59</v>
    </oc>
    <nc r="S254">
      <v>57.4</v>
    </nc>
  </rcc>
  <rcc rId="7139" sId="2">
    <oc r="R255">
      <v>57.59</v>
    </oc>
    <nc r="R255">
      <v>57.4</v>
    </nc>
  </rcc>
  <rcc rId="7140" sId="2">
    <oc r="R256">
      <v>57.59</v>
    </oc>
    <nc r="R256">
      <v>57.4</v>
    </nc>
  </rcc>
  <rcc rId="7141" sId="2">
    <oc r="S257">
      <v>57.59</v>
    </oc>
    <nc r="S257">
      <v>57.4</v>
    </nc>
  </rcc>
  <rcc rId="7142" sId="2">
    <oc r="R258">
      <v>57.59</v>
    </oc>
    <nc r="R258">
      <v>57.4</v>
    </nc>
  </rcc>
  <rcc rId="7143" sId="2">
    <oc r="S259">
      <v>57.59</v>
    </oc>
    <nc r="S259">
      <v>57.4</v>
    </nc>
  </rcc>
  <rcc rId="7144" sId="2">
    <oc r="R260">
      <v>57.59</v>
    </oc>
    <nc r="R260">
      <v>57.4</v>
    </nc>
  </rcc>
  <rcc rId="7145" sId="2">
    <oc r="S260">
      <v>57.59</v>
    </oc>
    <nc r="S260">
      <v>57.4</v>
    </nc>
  </rcc>
  <rcv guid="{8A75D892-44B4-104C-BB94-8EB0D0E43396}" action="delete"/>
  <rdn rId="0" localSheetId="1" customView="1" name="Z_8A75D892_44B4_104C_BB94_8EB0D0E43396_.wvu.FilterData" hidden="1" oldHidden="1">
    <formula>maze1!$A$1:$U$338</formula>
    <oldFormula>maze1!$A$1:$U$338</oldFormula>
  </rdn>
  <rdn rId="0" localSheetId="2" customView="1" name="Z_8A75D892_44B4_104C_BB94_8EB0D0E43396_.wvu.FilterData" hidden="1" oldHidden="1">
    <formula>maze2!$A$1:$W$263</formula>
    <oldFormula>maze2!$A$1:$W$263</oldFormula>
  </rdn>
  <rcv guid="{8A75D892-44B4-104C-BB94-8EB0D0E43396}" action="add"/>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7148" sId="1" ref="P1:P1048576" action="insertCol"/>
  <rcc rId="7149" sId="1">
    <nc r="P1" t="inlineStr">
      <is>
        <t>contrast_dep</t>
      </is>
    </nc>
  </rcc>
  <rrc rId="7150" sId="1" ref="Q1:Q1048576" action="insertCol"/>
  <rcc rId="7151" sId="1">
    <nc r="Q1" t="inlineStr">
      <is>
        <t>contrast_ret</t>
      </is>
    </nc>
  </rcc>
  <rcc rId="7152" sId="1">
    <nc r="P2" t="inlineStr">
      <is>
        <t>90</t>
      </is>
    </nc>
  </rcc>
  <rcc rId="7153" sId="1">
    <nc r="Q2" t="inlineStr">
      <is>
        <t>90</t>
      </is>
    </nc>
  </rcc>
  <rcc rId="7154" sId="1">
    <nc r="P3" t="inlineStr">
      <is>
        <t>90</t>
      </is>
    </nc>
  </rcc>
  <rcc rId="7155" sId="1">
    <nc r="Q3" t="inlineStr">
      <is>
        <t>90</t>
      </is>
    </nc>
  </rcc>
  <rcc rId="7156" sId="1">
    <nc r="P4" t="inlineStr">
      <is>
        <t>90</t>
      </is>
    </nc>
  </rcc>
  <rcc rId="7157" sId="1">
    <nc r="Q4" t="inlineStr">
      <is>
        <t>90</t>
      </is>
    </nc>
  </rcc>
  <rcc rId="7158" sId="1">
    <nc r="P5" t="inlineStr">
      <is>
        <t>90</t>
      </is>
    </nc>
  </rcc>
  <rcc rId="7159" sId="1">
    <nc r="Q5" t="inlineStr">
      <is>
        <t>90</t>
      </is>
    </nc>
  </rcc>
  <rcc rId="7160" sId="1">
    <nc r="P6" t="inlineStr">
      <is>
        <t>90</t>
      </is>
    </nc>
  </rcc>
  <rcc rId="7161" sId="1">
    <nc r="Q6" t="inlineStr">
      <is>
        <t>90</t>
      </is>
    </nc>
  </rcc>
  <rcc rId="7162" sId="1">
    <nc r="P7" t="inlineStr">
      <is>
        <t>90</t>
      </is>
    </nc>
  </rcc>
  <rcc rId="7163" sId="1">
    <nc r="Q7" t="inlineStr">
      <is>
        <t>90</t>
      </is>
    </nc>
  </rcc>
  <rcc rId="7164" sId="1">
    <nc r="P8" t="inlineStr">
      <is>
        <t>90</t>
      </is>
    </nc>
  </rcc>
  <rcc rId="7165" sId="1">
    <nc r="Q8" t="inlineStr">
      <is>
        <t>90</t>
      </is>
    </nc>
  </rcc>
  <rcc rId="7166" sId="1">
    <nc r="P9" t="inlineStr">
      <is>
        <t>90</t>
      </is>
    </nc>
  </rcc>
  <rcc rId="7167" sId="1">
    <nc r="Q9" t="inlineStr">
      <is>
        <t>90</t>
      </is>
    </nc>
  </rcc>
  <rcc rId="7168" sId="1">
    <nc r="P10" t="inlineStr">
      <is>
        <t>90</t>
      </is>
    </nc>
  </rcc>
  <rcc rId="7169" sId="1">
    <nc r="Q10" t="inlineStr">
      <is>
        <t>90</t>
      </is>
    </nc>
  </rcc>
  <rcc rId="7170" sId="1">
    <nc r="P11" t="inlineStr">
      <is>
        <t>90</t>
      </is>
    </nc>
  </rcc>
  <rcc rId="7171" sId="1">
    <nc r="Q11" t="inlineStr">
      <is>
        <t>90</t>
      </is>
    </nc>
  </rcc>
  <rcc rId="7172" sId="1">
    <nc r="P12" t="inlineStr">
      <is>
        <t>90</t>
      </is>
    </nc>
  </rcc>
  <rcc rId="7173" sId="1">
    <nc r="Q12" t="inlineStr">
      <is>
        <t>90</t>
      </is>
    </nc>
  </rcc>
  <rcc rId="7174" sId="1">
    <nc r="P13" t="inlineStr">
      <is>
        <t>90</t>
      </is>
    </nc>
  </rcc>
  <rcc rId="7175" sId="1">
    <nc r="Q13" t="inlineStr">
      <is>
        <t>90</t>
      </is>
    </nc>
  </rcc>
  <rcc rId="7176" sId="1">
    <nc r="P14" t="inlineStr">
      <is>
        <t>90</t>
      </is>
    </nc>
  </rcc>
  <rcc rId="7177" sId="1">
    <nc r="Q14" t="inlineStr">
      <is>
        <t>90</t>
      </is>
    </nc>
  </rcc>
  <rcc rId="7178" sId="1" odxf="1" dxf="1">
    <nc r="P15" t="inlineStr">
      <is>
        <t>90</t>
      </is>
    </nc>
    <odxf>
      <numFmt numFmtId="0" formatCode="General"/>
    </odxf>
    <ndxf>
      <numFmt numFmtId="30" formatCode="@"/>
    </ndxf>
  </rcc>
  <rcc rId="7179" sId="1" odxf="1" dxf="1">
    <nc r="Q15" t="inlineStr">
      <is>
        <t>90</t>
      </is>
    </nc>
    <odxf>
      <numFmt numFmtId="0" formatCode="General"/>
    </odxf>
    <ndxf>
      <numFmt numFmtId="30" formatCode="@"/>
    </ndxf>
  </rcc>
  <rcc rId="7180" sId="1">
    <nc r="P16" t="inlineStr">
      <is>
        <t>90</t>
      </is>
    </nc>
  </rcc>
  <rcc rId="7181" sId="1">
    <nc r="Q16" t="inlineStr">
      <is>
        <t>90</t>
      </is>
    </nc>
  </rcc>
  <rcc rId="7182" sId="1">
    <nc r="P17" t="inlineStr">
      <is>
        <t>90</t>
      </is>
    </nc>
  </rcc>
  <rcc rId="7183" sId="1">
    <nc r="Q17" t="inlineStr">
      <is>
        <t>90</t>
      </is>
    </nc>
  </rcc>
  <rcc rId="7184" sId="1">
    <nc r="P18" t="inlineStr">
      <is>
        <t>90</t>
      </is>
    </nc>
  </rcc>
  <rcc rId="7185" sId="1">
    <nc r="Q18" t="inlineStr">
      <is>
        <t>90</t>
      </is>
    </nc>
  </rcc>
  <rcc rId="7186" sId="1" odxf="1" dxf="1">
    <nc r="P19" t="inlineStr">
      <is>
        <t>90</t>
      </is>
    </nc>
    <odxf>
      <numFmt numFmtId="0" formatCode="General"/>
    </odxf>
    <ndxf>
      <numFmt numFmtId="30" formatCode="@"/>
    </ndxf>
  </rcc>
  <rcc rId="7187" sId="1" odxf="1" dxf="1">
    <nc r="Q19" t="inlineStr">
      <is>
        <t>90</t>
      </is>
    </nc>
    <odxf>
      <numFmt numFmtId="0" formatCode="General"/>
    </odxf>
    <ndxf>
      <numFmt numFmtId="30" formatCode="@"/>
    </ndxf>
  </rcc>
  <rcc rId="7188" sId="1">
    <nc r="P20" t="inlineStr">
      <is>
        <t>90</t>
      </is>
    </nc>
  </rcc>
  <rcc rId="7189" sId="1">
    <nc r="Q20" t="inlineStr">
      <is>
        <t>90</t>
      </is>
    </nc>
  </rcc>
  <rcc rId="7190" sId="1" odxf="1" dxf="1">
    <nc r="P21" t="inlineStr">
      <is>
        <t>90</t>
      </is>
    </nc>
    <odxf>
      <numFmt numFmtId="0" formatCode="General"/>
    </odxf>
    <ndxf>
      <numFmt numFmtId="30" formatCode="@"/>
    </ndxf>
  </rcc>
  <rcc rId="7191" sId="1" odxf="1" dxf="1">
    <nc r="Q21" t="inlineStr">
      <is>
        <t>90</t>
      </is>
    </nc>
    <odxf>
      <numFmt numFmtId="0" formatCode="General"/>
    </odxf>
    <ndxf>
      <numFmt numFmtId="30" formatCode="@"/>
    </ndxf>
  </rcc>
  <rcc rId="7192" sId="1">
    <nc r="P22" t="inlineStr">
      <is>
        <t>90</t>
      </is>
    </nc>
  </rcc>
  <rcc rId="7193" sId="1">
    <nc r="Q22" t="inlineStr">
      <is>
        <t>90</t>
      </is>
    </nc>
  </rcc>
  <rcc rId="7194" sId="1" odxf="1" dxf="1">
    <nc r="P23" t="inlineStr">
      <is>
        <t>90</t>
      </is>
    </nc>
    <odxf>
      <numFmt numFmtId="0" formatCode="General"/>
    </odxf>
    <ndxf>
      <numFmt numFmtId="30" formatCode="@"/>
    </ndxf>
  </rcc>
  <rcc rId="7195" sId="1" odxf="1" dxf="1">
    <nc r="Q23" t="inlineStr">
      <is>
        <t>90</t>
      </is>
    </nc>
    <odxf>
      <numFmt numFmtId="0" formatCode="General"/>
    </odxf>
    <ndxf>
      <numFmt numFmtId="30" formatCode="@"/>
    </ndxf>
  </rcc>
  <rcc rId="7196" sId="1" odxf="1" dxf="1">
    <nc r="P24" t="inlineStr">
      <is>
        <t>90</t>
      </is>
    </nc>
    <odxf>
      <numFmt numFmtId="0" formatCode="General"/>
    </odxf>
    <ndxf>
      <numFmt numFmtId="30" formatCode="@"/>
    </ndxf>
  </rcc>
  <rcc rId="7197" sId="1" odxf="1" dxf="1">
    <nc r="Q24" t="inlineStr">
      <is>
        <t>90</t>
      </is>
    </nc>
    <odxf>
      <numFmt numFmtId="0" formatCode="General"/>
    </odxf>
    <ndxf>
      <numFmt numFmtId="30" formatCode="@"/>
    </ndxf>
  </rcc>
  <rcc rId="7198" sId="1" odxf="1" dxf="1">
    <nc r="P25" t="inlineStr">
      <is>
        <t>90</t>
      </is>
    </nc>
    <odxf>
      <numFmt numFmtId="0" formatCode="General"/>
    </odxf>
    <ndxf>
      <numFmt numFmtId="30" formatCode="@"/>
    </ndxf>
  </rcc>
  <rcc rId="7199" sId="1" odxf="1" dxf="1">
    <nc r="Q25" t="inlineStr">
      <is>
        <t>90</t>
      </is>
    </nc>
    <odxf>
      <numFmt numFmtId="0" formatCode="General"/>
    </odxf>
    <ndxf>
      <numFmt numFmtId="30" formatCode="@"/>
    </ndxf>
  </rcc>
  <rcc rId="7200" sId="1">
    <nc r="P26" t="inlineStr">
      <is>
        <t>90</t>
      </is>
    </nc>
  </rcc>
  <rcc rId="7201" sId="1">
    <nc r="Q26" t="inlineStr">
      <is>
        <t>90</t>
      </is>
    </nc>
  </rcc>
  <rcc rId="7202" sId="1">
    <nc r="P27" t="inlineStr">
      <is>
        <t>90</t>
      </is>
    </nc>
  </rcc>
  <rcc rId="7203" sId="1">
    <nc r="Q27" t="inlineStr">
      <is>
        <t>90</t>
      </is>
    </nc>
  </rcc>
  <rcc rId="7204" sId="1" odxf="1" dxf="1">
    <nc r="P28" t="inlineStr">
      <is>
        <t>90</t>
      </is>
    </nc>
    <odxf>
      <numFmt numFmtId="0" formatCode="General"/>
    </odxf>
    <ndxf>
      <numFmt numFmtId="30" formatCode="@"/>
    </ndxf>
  </rcc>
  <rcc rId="7205" sId="1" odxf="1" dxf="1">
    <nc r="Q28" t="inlineStr">
      <is>
        <t>90</t>
      </is>
    </nc>
    <odxf>
      <numFmt numFmtId="0" formatCode="General"/>
    </odxf>
    <ndxf>
      <numFmt numFmtId="30" formatCode="@"/>
    </ndxf>
  </rcc>
  <rcc rId="7206" sId="1" odxf="1" dxf="1">
    <nc r="P29" t="inlineStr">
      <is>
        <t>90</t>
      </is>
    </nc>
    <odxf>
      <numFmt numFmtId="0" formatCode="General"/>
    </odxf>
    <ndxf>
      <numFmt numFmtId="30" formatCode="@"/>
    </ndxf>
  </rcc>
  <rcc rId="7207" sId="1" odxf="1" dxf="1">
    <nc r="Q29" t="inlineStr">
      <is>
        <t>90</t>
      </is>
    </nc>
    <odxf>
      <numFmt numFmtId="0" formatCode="General"/>
    </odxf>
    <ndxf>
      <numFmt numFmtId="30" formatCode="@"/>
    </ndxf>
  </rcc>
  <rcc rId="7208" sId="1" odxf="1" dxf="1">
    <nc r="P30" t="inlineStr">
      <is>
        <t>90</t>
      </is>
    </nc>
    <odxf>
      <numFmt numFmtId="0" formatCode="General"/>
    </odxf>
    <ndxf>
      <numFmt numFmtId="30" formatCode="@"/>
    </ndxf>
  </rcc>
  <rcc rId="7209" sId="1" odxf="1" dxf="1">
    <nc r="Q30" t="inlineStr">
      <is>
        <t>90</t>
      </is>
    </nc>
    <odxf>
      <numFmt numFmtId="0" formatCode="General"/>
    </odxf>
    <ndxf>
      <numFmt numFmtId="30" formatCode="@"/>
    </ndxf>
  </rcc>
  <rcc rId="7210" sId="1" odxf="1" dxf="1">
    <nc r="P31" t="inlineStr">
      <is>
        <t>90</t>
      </is>
    </nc>
    <odxf>
      <numFmt numFmtId="0" formatCode="General"/>
    </odxf>
    <ndxf>
      <numFmt numFmtId="30" formatCode="@"/>
    </ndxf>
  </rcc>
  <rcc rId="7211" sId="1" odxf="1" dxf="1">
    <nc r="Q31" t="inlineStr">
      <is>
        <t>90</t>
      </is>
    </nc>
    <odxf>
      <numFmt numFmtId="0" formatCode="General"/>
    </odxf>
    <ndxf>
      <numFmt numFmtId="30" formatCode="@"/>
    </ndxf>
  </rcc>
  <rcc rId="7212" sId="1" odxf="1" dxf="1">
    <nc r="P32" t="inlineStr">
      <is>
        <t>90</t>
      </is>
    </nc>
    <odxf>
      <numFmt numFmtId="0" formatCode="General"/>
    </odxf>
    <ndxf>
      <numFmt numFmtId="30" formatCode="@"/>
    </ndxf>
  </rcc>
  <rcc rId="7213" sId="1" odxf="1" dxf="1">
    <nc r="Q32" t="inlineStr">
      <is>
        <t>90</t>
      </is>
    </nc>
    <odxf>
      <numFmt numFmtId="0" formatCode="General"/>
    </odxf>
    <ndxf>
      <numFmt numFmtId="30" formatCode="@"/>
    </ndxf>
  </rcc>
  <rcc rId="7214" sId="1" odxf="1" dxf="1">
    <nc r="P33" t="inlineStr">
      <is>
        <t>90</t>
      </is>
    </nc>
    <odxf>
      <numFmt numFmtId="0" formatCode="General"/>
    </odxf>
    <ndxf>
      <numFmt numFmtId="30" formatCode="@"/>
    </ndxf>
  </rcc>
  <rcc rId="7215" sId="1" odxf="1" dxf="1">
    <nc r="Q33" t="inlineStr">
      <is>
        <t>90</t>
      </is>
    </nc>
    <odxf>
      <numFmt numFmtId="0" formatCode="General"/>
    </odxf>
    <ndxf>
      <numFmt numFmtId="30" formatCode="@"/>
    </ndxf>
  </rcc>
  <rcc rId="7216" sId="1">
    <nc r="P34" t="inlineStr">
      <is>
        <t>90</t>
      </is>
    </nc>
  </rcc>
  <rcc rId="7217" sId="1">
    <nc r="Q34" t="inlineStr">
      <is>
        <t>90</t>
      </is>
    </nc>
  </rcc>
  <rcc rId="7218" sId="1">
    <nc r="P35" t="inlineStr">
      <is>
        <t>90</t>
      </is>
    </nc>
  </rcc>
  <rcc rId="7219" sId="1">
    <nc r="Q35" t="inlineStr">
      <is>
        <t>90</t>
      </is>
    </nc>
  </rcc>
  <rcc rId="7220" sId="1" odxf="1" dxf="1">
    <nc r="P36" t="inlineStr">
      <is>
        <t>90</t>
      </is>
    </nc>
    <odxf>
      <numFmt numFmtId="0" formatCode="General"/>
    </odxf>
    <ndxf>
      <numFmt numFmtId="30" formatCode="@"/>
    </ndxf>
  </rcc>
  <rcc rId="7221" sId="1" odxf="1" dxf="1">
    <nc r="Q36" t="inlineStr">
      <is>
        <t>90</t>
      </is>
    </nc>
    <odxf>
      <numFmt numFmtId="0" formatCode="General"/>
    </odxf>
    <ndxf>
      <numFmt numFmtId="30" formatCode="@"/>
    </ndxf>
  </rcc>
  <rcc rId="7222" sId="1" odxf="1" dxf="1">
    <nc r="P37" t="inlineStr">
      <is>
        <t>90</t>
      </is>
    </nc>
    <odxf>
      <numFmt numFmtId="0" formatCode="General"/>
    </odxf>
    <ndxf>
      <numFmt numFmtId="30" formatCode="@"/>
    </ndxf>
  </rcc>
  <rcc rId="7223" sId="1" odxf="1" dxf="1">
    <nc r="Q37" t="inlineStr">
      <is>
        <t>90</t>
      </is>
    </nc>
    <odxf>
      <numFmt numFmtId="0" formatCode="General"/>
    </odxf>
    <ndxf>
      <numFmt numFmtId="30" formatCode="@"/>
    </ndxf>
  </rcc>
  <rcc rId="7224" sId="1" odxf="1" dxf="1">
    <nc r="P38" t="inlineStr">
      <is>
        <t>90</t>
      </is>
    </nc>
    <odxf>
      <numFmt numFmtId="0" formatCode="General"/>
    </odxf>
    <ndxf>
      <numFmt numFmtId="30" formatCode="@"/>
    </ndxf>
  </rcc>
  <rcc rId="7225" sId="1" odxf="1" dxf="1">
    <nc r="Q38" t="inlineStr">
      <is>
        <t>90</t>
      </is>
    </nc>
    <odxf>
      <numFmt numFmtId="0" formatCode="General"/>
    </odxf>
    <ndxf>
      <numFmt numFmtId="30" formatCode="@"/>
    </ndxf>
  </rcc>
  <rcc rId="7226" sId="1" odxf="1" dxf="1">
    <nc r="P39" t="inlineStr">
      <is>
        <t>90</t>
      </is>
    </nc>
    <odxf>
      <numFmt numFmtId="0" formatCode="General"/>
    </odxf>
    <ndxf>
      <numFmt numFmtId="30" formatCode="@"/>
    </ndxf>
  </rcc>
  <rcc rId="7227" sId="1" odxf="1" dxf="1">
    <nc r="Q39" t="inlineStr">
      <is>
        <t>90</t>
      </is>
    </nc>
    <odxf>
      <numFmt numFmtId="0" formatCode="General"/>
    </odxf>
    <ndxf>
      <numFmt numFmtId="30" formatCode="@"/>
    </ndxf>
  </rcc>
  <rcc rId="7228" sId="1" odxf="1" dxf="1">
    <nc r="P40" t="inlineStr">
      <is>
        <t>90</t>
      </is>
    </nc>
    <odxf>
      <numFmt numFmtId="0" formatCode="General"/>
    </odxf>
    <ndxf>
      <numFmt numFmtId="30" formatCode="@"/>
    </ndxf>
  </rcc>
  <rcc rId="7229" sId="1" odxf="1" dxf="1">
    <nc r="Q40" t="inlineStr">
      <is>
        <t>90</t>
      </is>
    </nc>
    <odxf>
      <numFmt numFmtId="0" formatCode="General"/>
    </odxf>
    <ndxf>
      <numFmt numFmtId="30" formatCode="@"/>
    </ndxf>
  </rcc>
  <rcc rId="7230" sId="1" odxf="1" dxf="1">
    <nc r="P41" t="inlineStr">
      <is>
        <t>90</t>
      </is>
    </nc>
    <odxf>
      <numFmt numFmtId="0" formatCode="General"/>
    </odxf>
    <ndxf>
      <numFmt numFmtId="30" formatCode="@"/>
    </ndxf>
  </rcc>
  <rcc rId="7231" sId="1" odxf="1" dxf="1">
    <nc r="Q41" t="inlineStr">
      <is>
        <t>90</t>
      </is>
    </nc>
    <odxf>
      <numFmt numFmtId="0" formatCode="General"/>
    </odxf>
    <ndxf>
      <numFmt numFmtId="30" formatCode="@"/>
    </ndxf>
  </rcc>
  <rcc rId="7232" sId="1" odxf="1" dxf="1">
    <nc r="P42" t="inlineStr">
      <is>
        <t>90</t>
      </is>
    </nc>
    <odxf>
      <numFmt numFmtId="0" formatCode="General"/>
    </odxf>
    <ndxf>
      <numFmt numFmtId="30" formatCode="@"/>
    </ndxf>
  </rcc>
  <rcc rId="7233" sId="1" odxf="1" dxf="1">
    <nc r="Q42" t="inlineStr">
      <is>
        <t>90</t>
      </is>
    </nc>
    <odxf>
      <numFmt numFmtId="0" formatCode="General"/>
    </odxf>
    <ndxf>
      <numFmt numFmtId="30" formatCode="@"/>
    </ndxf>
  </rcc>
  <rcc rId="7234" sId="1" odxf="1" dxf="1">
    <nc r="P43" t="inlineStr">
      <is>
        <t>90</t>
      </is>
    </nc>
    <odxf>
      <numFmt numFmtId="0" formatCode="General"/>
    </odxf>
    <ndxf>
      <numFmt numFmtId="30" formatCode="@"/>
    </ndxf>
  </rcc>
  <rcc rId="7235" sId="1" odxf="1" dxf="1">
    <nc r="Q43" t="inlineStr">
      <is>
        <t>90</t>
      </is>
    </nc>
    <odxf>
      <numFmt numFmtId="0" formatCode="General"/>
    </odxf>
    <ndxf>
      <numFmt numFmtId="30" formatCode="@"/>
    </ndxf>
  </rcc>
  <rcc rId="7236" sId="1" odxf="1" dxf="1">
    <nc r="P44" t="inlineStr">
      <is>
        <t>90</t>
      </is>
    </nc>
    <odxf>
      <numFmt numFmtId="0" formatCode="General"/>
    </odxf>
    <ndxf>
      <numFmt numFmtId="30" formatCode="@"/>
    </ndxf>
  </rcc>
  <rcc rId="7237" sId="1" odxf="1" dxf="1">
    <nc r="Q44" t="inlineStr">
      <is>
        <t>90</t>
      </is>
    </nc>
    <odxf>
      <numFmt numFmtId="0" formatCode="General"/>
    </odxf>
    <ndxf>
      <numFmt numFmtId="30" formatCode="@"/>
    </ndxf>
  </rcc>
  <rcc rId="7238" sId="1" odxf="1" dxf="1">
    <nc r="P45" t="inlineStr">
      <is>
        <t>90</t>
      </is>
    </nc>
    <odxf>
      <numFmt numFmtId="0" formatCode="General"/>
    </odxf>
    <ndxf>
      <numFmt numFmtId="30" formatCode="@"/>
    </ndxf>
  </rcc>
  <rcc rId="7239" sId="1" odxf="1" dxf="1">
    <nc r="Q45" t="inlineStr">
      <is>
        <t>90</t>
      </is>
    </nc>
    <odxf>
      <numFmt numFmtId="0" formatCode="General"/>
    </odxf>
    <ndxf>
      <numFmt numFmtId="30" formatCode="@"/>
    </ndxf>
  </rcc>
  <rcc rId="7240" sId="1">
    <nc r="P46" t="inlineStr">
      <is>
        <t>90</t>
      </is>
    </nc>
  </rcc>
  <rcc rId="7241" sId="1">
    <nc r="Q46" t="inlineStr">
      <is>
        <t>90</t>
      </is>
    </nc>
  </rcc>
  <rcc rId="7242" sId="1" odxf="1" dxf="1">
    <nc r="P47" t="inlineStr">
      <is>
        <t>90</t>
      </is>
    </nc>
    <odxf>
      <numFmt numFmtId="0" formatCode="General"/>
    </odxf>
    <ndxf>
      <numFmt numFmtId="30" formatCode="@"/>
    </ndxf>
  </rcc>
  <rcc rId="7243" sId="1" odxf="1" dxf="1">
    <nc r="Q47" t="inlineStr">
      <is>
        <t>90</t>
      </is>
    </nc>
    <odxf>
      <numFmt numFmtId="0" formatCode="General"/>
    </odxf>
    <ndxf>
      <numFmt numFmtId="30" formatCode="@"/>
    </ndxf>
  </rcc>
  <rcc rId="7244" sId="1" odxf="1" dxf="1">
    <nc r="P48" t="inlineStr">
      <is>
        <t>90</t>
      </is>
    </nc>
    <odxf>
      <numFmt numFmtId="0" formatCode="General"/>
    </odxf>
    <ndxf>
      <numFmt numFmtId="30" formatCode="@"/>
    </ndxf>
  </rcc>
  <rcc rId="7245" sId="1" odxf="1" dxf="1">
    <nc r="Q48" t="inlineStr">
      <is>
        <t>90</t>
      </is>
    </nc>
    <odxf>
      <numFmt numFmtId="0" formatCode="General"/>
    </odxf>
    <ndxf>
      <numFmt numFmtId="30" formatCode="@"/>
    </ndxf>
  </rcc>
  <rcc rId="7246" sId="1" odxf="1" dxf="1">
    <nc r="P49" t="inlineStr">
      <is>
        <t>90</t>
      </is>
    </nc>
    <odxf>
      <numFmt numFmtId="0" formatCode="General"/>
    </odxf>
    <ndxf>
      <numFmt numFmtId="30" formatCode="@"/>
    </ndxf>
  </rcc>
  <rcc rId="7247" sId="1" odxf="1" dxf="1">
    <nc r="Q49" t="inlineStr">
      <is>
        <t>90</t>
      </is>
    </nc>
    <odxf>
      <numFmt numFmtId="0" formatCode="General"/>
    </odxf>
    <ndxf>
      <numFmt numFmtId="30" formatCode="@"/>
    </ndxf>
  </rcc>
  <rcc rId="7248" sId="1" odxf="1" dxf="1">
    <nc r="P50" t="inlineStr">
      <is>
        <t>90</t>
      </is>
    </nc>
    <odxf>
      <numFmt numFmtId="0" formatCode="General"/>
    </odxf>
    <ndxf>
      <numFmt numFmtId="30" formatCode="@"/>
    </ndxf>
  </rcc>
  <rcc rId="7249" sId="1" odxf="1" dxf="1">
    <nc r="Q50" t="inlineStr">
      <is>
        <t>90</t>
      </is>
    </nc>
    <odxf>
      <numFmt numFmtId="0" formatCode="General"/>
    </odxf>
    <ndxf>
      <numFmt numFmtId="30" formatCode="@"/>
    </ndxf>
  </rcc>
  <rcc rId="7250" sId="1" odxf="1" dxf="1">
    <nc r="P51" t="inlineStr">
      <is>
        <t>90</t>
      </is>
    </nc>
    <odxf>
      <numFmt numFmtId="0" formatCode="General"/>
    </odxf>
    <ndxf>
      <numFmt numFmtId="30" formatCode="@"/>
    </ndxf>
  </rcc>
  <rcc rId="7251" sId="1" odxf="1" dxf="1">
    <nc r="Q51" t="inlineStr">
      <is>
        <t>90</t>
      </is>
    </nc>
    <odxf>
      <numFmt numFmtId="0" formatCode="General"/>
    </odxf>
    <ndxf>
      <numFmt numFmtId="30" formatCode="@"/>
    </ndxf>
  </rcc>
  <rcc rId="7252" sId="1" odxf="1" dxf="1">
    <nc r="P52" t="inlineStr">
      <is>
        <t>90</t>
      </is>
    </nc>
    <odxf>
      <numFmt numFmtId="0" formatCode="General"/>
    </odxf>
    <ndxf>
      <numFmt numFmtId="30" formatCode="@"/>
    </ndxf>
  </rcc>
  <rcc rId="7253" sId="1" odxf="1" dxf="1">
    <nc r="Q52" t="inlineStr">
      <is>
        <t>90</t>
      </is>
    </nc>
    <odxf>
      <numFmt numFmtId="0" formatCode="General"/>
    </odxf>
    <ndxf>
      <numFmt numFmtId="30" formatCode="@"/>
    </ndxf>
  </rcc>
  <rcc rId="7254" sId="1" odxf="1" dxf="1">
    <nc r="P53" t="inlineStr">
      <is>
        <t>90</t>
      </is>
    </nc>
    <odxf>
      <numFmt numFmtId="0" formatCode="General"/>
    </odxf>
    <ndxf>
      <numFmt numFmtId="30" formatCode="@"/>
    </ndxf>
  </rcc>
  <rcc rId="7255" sId="1" odxf="1" dxf="1">
    <nc r="Q53" t="inlineStr">
      <is>
        <t>90</t>
      </is>
    </nc>
    <odxf>
      <numFmt numFmtId="0" formatCode="General"/>
    </odxf>
    <ndxf>
      <numFmt numFmtId="30" formatCode="@"/>
    </ndxf>
  </rcc>
  <rcc rId="7256" sId="1" odxf="1" dxf="1">
    <nc r="P54" t="inlineStr">
      <is>
        <t>90</t>
      </is>
    </nc>
    <odxf>
      <numFmt numFmtId="0" formatCode="General"/>
    </odxf>
    <ndxf>
      <numFmt numFmtId="30" formatCode="@"/>
    </ndxf>
  </rcc>
  <rcc rId="7257" sId="1" odxf="1" dxf="1">
    <nc r="Q54" t="inlineStr">
      <is>
        <t>90</t>
      </is>
    </nc>
    <odxf>
      <numFmt numFmtId="0" formatCode="General"/>
    </odxf>
    <ndxf>
      <numFmt numFmtId="30" formatCode="@"/>
    </ndxf>
  </rcc>
  <rcc rId="7258" sId="1" odxf="1" dxf="1">
    <nc r="P55" t="inlineStr">
      <is>
        <t>90</t>
      </is>
    </nc>
    <odxf>
      <numFmt numFmtId="0" formatCode="General"/>
    </odxf>
    <ndxf>
      <numFmt numFmtId="30" formatCode="@"/>
    </ndxf>
  </rcc>
  <rcc rId="7259" sId="1" odxf="1" dxf="1">
    <nc r="Q55" t="inlineStr">
      <is>
        <t>90</t>
      </is>
    </nc>
    <odxf>
      <numFmt numFmtId="0" formatCode="General"/>
    </odxf>
    <ndxf>
      <numFmt numFmtId="30" formatCode="@"/>
    </ndxf>
  </rcc>
  <rcc rId="7260" sId="1" odxf="1" dxf="1">
    <nc r="P56" t="inlineStr">
      <is>
        <t>90</t>
      </is>
    </nc>
    <odxf>
      <numFmt numFmtId="0" formatCode="General"/>
    </odxf>
    <ndxf>
      <numFmt numFmtId="30" formatCode="@"/>
    </ndxf>
  </rcc>
  <rcc rId="7261" sId="1" odxf="1" dxf="1">
    <nc r="Q56" t="inlineStr">
      <is>
        <t>90</t>
      </is>
    </nc>
    <odxf>
      <numFmt numFmtId="0" formatCode="General"/>
    </odxf>
    <ndxf>
      <numFmt numFmtId="30" formatCode="@"/>
    </ndxf>
  </rcc>
  <rcc rId="7262" sId="1" odxf="1" dxf="1">
    <nc r="P57" t="inlineStr">
      <is>
        <t>90</t>
      </is>
    </nc>
    <odxf>
      <numFmt numFmtId="0" formatCode="General"/>
    </odxf>
    <ndxf>
      <numFmt numFmtId="30" formatCode="@"/>
    </ndxf>
  </rcc>
  <rcc rId="7263" sId="1" odxf="1" dxf="1">
    <nc r="Q57" t="inlineStr">
      <is>
        <t>90</t>
      </is>
    </nc>
    <odxf>
      <numFmt numFmtId="0" formatCode="General"/>
    </odxf>
    <ndxf>
      <numFmt numFmtId="30" formatCode="@"/>
    </ndxf>
  </rcc>
  <rcc rId="7264" sId="1" odxf="1" dxf="1">
    <nc r="P58" t="inlineStr">
      <is>
        <t>90</t>
      </is>
    </nc>
    <odxf>
      <numFmt numFmtId="0" formatCode="General"/>
    </odxf>
    <ndxf>
      <numFmt numFmtId="30" formatCode="@"/>
    </ndxf>
  </rcc>
  <rcc rId="7265" sId="1" odxf="1" dxf="1">
    <nc r="Q58" t="inlineStr">
      <is>
        <t>90</t>
      </is>
    </nc>
    <odxf>
      <numFmt numFmtId="0" formatCode="General"/>
    </odxf>
    <ndxf>
      <numFmt numFmtId="30" formatCode="@"/>
    </ndxf>
  </rcc>
  <rcc rId="7266" sId="1" odxf="1" dxf="1">
    <nc r="P59" t="inlineStr">
      <is>
        <t>90</t>
      </is>
    </nc>
    <odxf>
      <numFmt numFmtId="0" formatCode="General"/>
    </odxf>
    <ndxf>
      <numFmt numFmtId="30" formatCode="@"/>
    </ndxf>
  </rcc>
  <rcc rId="7267" sId="1" odxf="1" dxf="1">
    <nc r="Q59" t="inlineStr">
      <is>
        <t>90</t>
      </is>
    </nc>
    <odxf>
      <numFmt numFmtId="0" formatCode="General"/>
    </odxf>
    <ndxf>
      <numFmt numFmtId="30" formatCode="@"/>
    </ndxf>
  </rcc>
  <rcc rId="7268" sId="1" odxf="1" dxf="1">
    <nc r="P60" t="inlineStr">
      <is>
        <t>90</t>
      </is>
    </nc>
    <odxf>
      <numFmt numFmtId="0" formatCode="General"/>
    </odxf>
    <ndxf>
      <numFmt numFmtId="30" formatCode="@"/>
    </ndxf>
  </rcc>
  <rcc rId="7269" sId="1" odxf="1" dxf="1">
    <nc r="Q60" t="inlineStr">
      <is>
        <t>90</t>
      </is>
    </nc>
    <odxf>
      <numFmt numFmtId="0" formatCode="General"/>
    </odxf>
    <ndxf>
      <numFmt numFmtId="30" formatCode="@"/>
    </ndxf>
  </rcc>
  <rcc rId="7270" sId="1" odxf="1" dxf="1">
    <nc r="P61" t="inlineStr">
      <is>
        <t>90</t>
      </is>
    </nc>
    <odxf>
      <numFmt numFmtId="0" formatCode="General"/>
    </odxf>
    <ndxf>
      <numFmt numFmtId="30" formatCode="@"/>
    </ndxf>
  </rcc>
  <rcc rId="7271" sId="1" odxf="1" dxf="1">
    <nc r="Q61" t="inlineStr">
      <is>
        <t>90</t>
      </is>
    </nc>
    <odxf>
      <numFmt numFmtId="0" formatCode="General"/>
    </odxf>
    <ndxf>
      <numFmt numFmtId="30" formatCode="@"/>
    </ndxf>
  </rcc>
  <rcc rId="7272" sId="1" odxf="1" dxf="1">
    <nc r="P62" t="inlineStr">
      <is>
        <t>90</t>
      </is>
    </nc>
    <odxf>
      <numFmt numFmtId="0" formatCode="General"/>
    </odxf>
    <ndxf>
      <numFmt numFmtId="30" formatCode="@"/>
    </ndxf>
  </rcc>
  <rcc rId="7273" sId="1" odxf="1" dxf="1">
    <nc r="Q62" t="inlineStr">
      <is>
        <t>90</t>
      </is>
    </nc>
    <odxf>
      <numFmt numFmtId="0" formatCode="General"/>
    </odxf>
    <ndxf>
      <numFmt numFmtId="30" formatCode="@"/>
    </ndxf>
  </rcc>
  <rcc rId="7274" sId="1" odxf="1" dxf="1">
    <nc r="P63" t="inlineStr">
      <is>
        <t>90</t>
      </is>
    </nc>
    <odxf>
      <numFmt numFmtId="0" formatCode="General"/>
    </odxf>
    <ndxf>
      <numFmt numFmtId="30" formatCode="@"/>
    </ndxf>
  </rcc>
  <rcc rId="7275" sId="1" odxf="1" dxf="1">
    <nc r="Q63" t="inlineStr">
      <is>
        <t>90</t>
      </is>
    </nc>
    <odxf>
      <numFmt numFmtId="0" formatCode="General"/>
    </odxf>
    <ndxf>
      <numFmt numFmtId="30" formatCode="@"/>
    </ndxf>
  </rcc>
  <rcc rId="7276" sId="1">
    <nc r="P64" t="inlineStr">
      <is>
        <t>90</t>
      </is>
    </nc>
  </rcc>
  <rcc rId="7277" sId="1">
    <nc r="Q64" t="inlineStr">
      <is>
        <t>90</t>
      </is>
    </nc>
  </rcc>
  <rcc rId="7278" sId="1">
    <nc r="P65" t="inlineStr">
      <is>
        <t>90</t>
      </is>
    </nc>
  </rcc>
  <rcc rId="7279" sId="1">
    <nc r="Q65" t="inlineStr">
      <is>
        <t>90</t>
      </is>
    </nc>
  </rcc>
  <rcc rId="7280" sId="1" odxf="1" dxf="1">
    <nc r="P66" t="inlineStr">
      <is>
        <t>90</t>
      </is>
    </nc>
    <odxf>
      <numFmt numFmtId="0" formatCode="General"/>
    </odxf>
    <ndxf>
      <numFmt numFmtId="30" formatCode="@"/>
    </ndxf>
  </rcc>
  <rcc rId="7281" sId="1" odxf="1" dxf="1">
    <nc r="Q66" t="inlineStr">
      <is>
        <t>90</t>
      </is>
    </nc>
    <odxf>
      <numFmt numFmtId="0" formatCode="General"/>
    </odxf>
    <ndxf>
      <numFmt numFmtId="30" formatCode="@"/>
    </ndxf>
  </rcc>
  <rcc rId="7282" sId="1" odxf="1" dxf="1">
    <nc r="P67" t="inlineStr">
      <is>
        <t>90</t>
      </is>
    </nc>
    <odxf>
      <numFmt numFmtId="0" formatCode="General"/>
    </odxf>
    <ndxf>
      <numFmt numFmtId="30" formatCode="@"/>
    </ndxf>
  </rcc>
  <rcc rId="7283" sId="1" odxf="1" dxf="1">
    <nc r="Q67" t="inlineStr">
      <is>
        <t>90</t>
      </is>
    </nc>
    <odxf>
      <numFmt numFmtId="0" formatCode="General"/>
    </odxf>
    <ndxf>
      <numFmt numFmtId="30" formatCode="@"/>
    </ndxf>
  </rcc>
  <rcc rId="7284" sId="1" odxf="1" dxf="1">
    <nc r="P68" t="inlineStr">
      <is>
        <t>90</t>
      </is>
    </nc>
    <odxf>
      <numFmt numFmtId="0" formatCode="General"/>
    </odxf>
    <ndxf>
      <numFmt numFmtId="30" formatCode="@"/>
    </ndxf>
  </rcc>
  <rcc rId="7285" sId="1" odxf="1" dxf="1">
    <nc r="Q68" t="inlineStr">
      <is>
        <t>90</t>
      </is>
    </nc>
    <odxf>
      <numFmt numFmtId="0" formatCode="General"/>
    </odxf>
    <ndxf>
      <numFmt numFmtId="30" formatCode="@"/>
    </ndxf>
  </rcc>
  <rcc rId="7286" sId="1" odxf="1" dxf="1">
    <nc r="P69" t="inlineStr">
      <is>
        <t>90</t>
      </is>
    </nc>
    <odxf>
      <numFmt numFmtId="0" formatCode="General"/>
    </odxf>
    <ndxf>
      <numFmt numFmtId="30" formatCode="@"/>
    </ndxf>
  </rcc>
  <rcc rId="7287" sId="1" odxf="1" dxf="1">
    <nc r="Q69" t="inlineStr">
      <is>
        <t>90</t>
      </is>
    </nc>
    <odxf>
      <numFmt numFmtId="0" formatCode="General"/>
    </odxf>
    <ndxf>
      <numFmt numFmtId="30" formatCode="@"/>
    </ndxf>
  </rcc>
  <rcc rId="7288" sId="1" odxf="1" dxf="1">
    <nc r="P70" t="inlineStr">
      <is>
        <t>90</t>
      </is>
    </nc>
    <odxf>
      <numFmt numFmtId="0" formatCode="General"/>
    </odxf>
    <ndxf>
      <numFmt numFmtId="30" formatCode="@"/>
    </ndxf>
  </rcc>
  <rcc rId="7289" sId="1" odxf="1" dxf="1">
    <nc r="Q70" t="inlineStr">
      <is>
        <t>90</t>
      </is>
    </nc>
    <odxf>
      <numFmt numFmtId="0" formatCode="General"/>
    </odxf>
    <ndxf>
      <numFmt numFmtId="30" formatCode="@"/>
    </ndxf>
  </rcc>
  <rcc rId="7290" sId="1" odxf="1" dxf="1">
    <nc r="P71" t="inlineStr">
      <is>
        <t>90</t>
      </is>
    </nc>
    <odxf>
      <numFmt numFmtId="0" formatCode="General"/>
    </odxf>
    <ndxf>
      <numFmt numFmtId="30" formatCode="@"/>
    </ndxf>
  </rcc>
  <rcc rId="7291" sId="1" odxf="1" dxf="1">
    <nc r="Q71" t="inlineStr">
      <is>
        <t>90</t>
      </is>
    </nc>
    <odxf>
      <numFmt numFmtId="0" formatCode="General"/>
    </odxf>
    <ndxf>
      <numFmt numFmtId="30" formatCode="@"/>
    </ndxf>
  </rcc>
  <rcc rId="7292" sId="1" odxf="1" dxf="1">
    <nc r="P72" t="inlineStr">
      <is>
        <t>90</t>
      </is>
    </nc>
    <odxf>
      <numFmt numFmtId="0" formatCode="General"/>
    </odxf>
    <ndxf>
      <numFmt numFmtId="30" formatCode="@"/>
    </ndxf>
  </rcc>
  <rcc rId="7293" sId="1" odxf="1" dxf="1">
    <nc r="Q72" t="inlineStr">
      <is>
        <t>90</t>
      </is>
    </nc>
    <odxf>
      <numFmt numFmtId="0" formatCode="General"/>
    </odxf>
    <ndxf>
      <numFmt numFmtId="30" formatCode="@"/>
    </ndxf>
  </rcc>
  <rcc rId="7294" sId="1" odxf="1" dxf="1">
    <nc r="P73" t="inlineStr">
      <is>
        <t>90</t>
      </is>
    </nc>
    <odxf>
      <numFmt numFmtId="0" formatCode="General"/>
    </odxf>
    <ndxf>
      <numFmt numFmtId="30" formatCode="@"/>
    </ndxf>
  </rcc>
  <rcc rId="7295" sId="1" odxf="1" dxf="1">
    <nc r="Q73" t="inlineStr">
      <is>
        <t>90</t>
      </is>
    </nc>
    <odxf>
      <numFmt numFmtId="0" formatCode="General"/>
    </odxf>
    <ndxf>
      <numFmt numFmtId="30" formatCode="@"/>
    </ndxf>
  </rcc>
  <rcc rId="7296" sId="1" odxf="1" dxf="1">
    <nc r="P74" t="inlineStr">
      <is>
        <t>90</t>
      </is>
    </nc>
    <odxf>
      <numFmt numFmtId="0" formatCode="General"/>
    </odxf>
    <ndxf>
      <numFmt numFmtId="30" formatCode="@"/>
    </ndxf>
  </rcc>
  <rcc rId="7297" sId="1" odxf="1" dxf="1">
    <nc r="Q74" t="inlineStr">
      <is>
        <t>90</t>
      </is>
    </nc>
    <odxf>
      <numFmt numFmtId="0" formatCode="General"/>
    </odxf>
    <ndxf>
      <numFmt numFmtId="30" formatCode="@"/>
    </ndxf>
  </rcc>
  <rcc rId="7298" sId="1" odxf="1" dxf="1">
    <nc r="P75" t="inlineStr">
      <is>
        <t>90</t>
      </is>
    </nc>
    <odxf>
      <numFmt numFmtId="0" formatCode="General"/>
    </odxf>
    <ndxf>
      <numFmt numFmtId="30" formatCode="@"/>
    </ndxf>
  </rcc>
  <rcc rId="7299" sId="1" odxf="1" dxf="1">
    <nc r="Q75" t="inlineStr">
      <is>
        <t>90</t>
      </is>
    </nc>
    <odxf>
      <numFmt numFmtId="0" formatCode="General"/>
    </odxf>
    <ndxf>
      <numFmt numFmtId="30" formatCode="@"/>
    </ndxf>
  </rcc>
  <rcc rId="7300" sId="1" odxf="1" dxf="1">
    <nc r="P76" t="inlineStr">
      <is>
        <t>90</t>
      </is>
    </nc>
    <odxf>
      <numFmt numFmtId="0" formatCode="General"/>
    </odxf>
    <ndxf>
      <numFmt numFmtId="30" formatCode="@"/>
    </ndxf>
  </rcc>
  <rcc rId="7301" sId="1" odxf="1" dxf="1">
    <nc r="Q76" t="inlineStr">
      <is>
        <t>90</t>
      </is>
    </nc>
    <odxf>
      <numFmt numFmtId="0" formatCode="General"/>
    </odxf>
    <ndxf>
      <numFmt numFmtId="30" formatCode="@"/>
    </ndxf>
  </rcc>
  <rcc rId="7302" sId="1" odxf="1" dxf="1">
    <nc r="P77" t="inlineStr">
      <is>
        <t>90</t>
      </is>
    </nc>
    <odxf>
      <numFmt numFmtId="0" formatCode="General"/>
    </odxf>
    <ndxf>
      <numFmt numFmtId="30" formatCode="@"/>
    </ndxf>
  </rcc>
  <rcc rId="7303" sId="1" odxf="1" dxf="1">
    <nc r="Q77" t="inlineStr">
      <is>
        <t>90</t>
      </is>
    </nc>
    <odxf>
      <numFmt numFmtId="0" formatCode="General"/>
    </odxf>
    <ndxf>
      <numFmt numFmtId="30" formatCode="@"/>
    </ndxf>
  </rcc>
  <rcc rId="7304" sId="1" odxf="1" dxf="1">
    <nc r="P78" t="inlineStr">
      <is>
        <t>90</t>
      </is>
    </nc>
    <odxf>
      <numFmt numFmtId="0" formatCode="General"/>
    </odxf>
    <ndxf>
      <numFmt numFmtId="30" formatCode="@"/>
    </ndxf>
  </rcc>
  <rcc rId="7305" sId="1" odxf="1" dxf="1">
    <nc r="Q78" t="inlineStr">
      <is>
        <t>90</t>
      </is>
    </nc>
    <odxf>
      <numFmt numFmtId="0" formatCode="General"/>
    </odxf>
    <ndxf>
      <numFmt numFmtId="30" formatCode="@"/>
    </ndxf>
  </rcc>
  <rcc rId="7306" sId="1" odxf="1" dxf="1">
    <nc r="P79" t="inlineStr">
      <is>
        <t>90</t>
      </is>
    </nc>
    <odxf>
      <numFmt numFmtId="0" formatCode="General"/>
    </odxf>
    <ndxf>
      <numFmt numFmtId="30" formatCode="@"/>
    </ndxf>
  </rcc>
  <rcc rId="7307" sId="1" odxf="1" dxf="1">
    <nc r="Q79" t="inlineStr">
      <is>
        <t>90</t>
      </is>
    </nc>
    <odxf>
      <numFmt numFmtId="0" formatCode="General"/>
    </odxf>
    <ndxf>
      <numFmt numFmtId="30" formatCode="@"/>
    </ndxf>
  </rcc>
  <rcc rId="7308" sId="1" odxf="1" dxf="1">
    <nc r="P80" t="inlineStr">
      <is>
        <t>90</t>
      </is>
    </nc>
    <odxf>
      <numFmt numFmtId="0" formatCode="General"/>
    </odxf>
    <ndxf>
      <numFmt numFmtId="30" formatCode="@"/>
    </ndxf>
  </rcc>
  <rcc rId="7309" sId="1" odxf="1" dxf="1">
    <nc r="Q80" t="inlineStr">
      <is>
        <t>90</t>
      </is>
    </nc>
    <odxf>
      <numFmt numFmtId="0" formatCode="General"/>
    </odxf>
    <ndxf>
      <numFmt numFmtId="30" formatCode="@"/>
    </ndxf>
  </rcc>
  <rcc rId="7310" sId="1" odxf="1" dxf="1">
    <nc r="P81" t="inlineStr">
      <is>
        <t>90</t>
      </is>
    </nc>
    <odxf>
      <numFmt numFmtId="0" formatCode="General"/>
    </odxf>
    <ndxf>
      <numFmt numFmtId="30" formatCode="@"/>
    </ndxf>
  </rcc>
  <rcc rId="7311" sId="1" odxf="1" dxf="1">
    <nc r="Q81" t="inlineStr">
      <is>
        <t>90</t>
      </is>
    </nc>
    <odxf>
      <numFmt numFmtId="0" formatCode="General"/>
    </odxf>
    <ndxf>
      <numFmt numFmtId="30" formatCode="@"/>
    </ndxf>
  </rcc>
  <rcc rId="7312" sId="1" odxf="1" dxf="1">
    <nc r="P82" t="inlineStr">
      <is>
        <t>90</t>
      </is>
    </nc>
    <odxf>
      <numFmt numFmtId="0" formatCode="General"/>
    </odxf>
    <ndxf>
      <numFmt numFmtId="30" formatCode="@"/>
    </ndxf>
  </rcc>
  <rcc rId="7313" sId="1" odxf="1" dxf="1">
    <nc r="Q82" t="inlineStr">
      <is>
        <t>90</t>
      </is>
    </nc>
    <odxf>
      <numFmt numFmtId="0" formatCode="General"/>
    </odxf>
    <ndxf>
      <numFmt numFmtId="30" formatCode="@"/>
    </ndxf>
  </rcc>
  <rcc rId="7314" sId="1" odxf="1" dxf="1">
    <nc r="P83" t="inlineStr">
      <is>
        <t>90</t>
      </is>
    </nc>
    <odxf>
      <numFmt numFmtId="0" formatCode="General"/>
    </odxf>
    <ndxf>
      <numFmt numFmtId="30" formatCode="@"/>
    </ndxf>
  </rcc>
  <rcc rId="7315" sId="1" odxf="1" dxf="1">
    <nc r="Q83" t="inlineStr">
      <is>
        <t>90</t>
      </is>
    </nc>
    <odxf>
      <numFmt numFmtId="0" formatCode="General"/>
    </odxf>
    <ndxf>
      <numFmt numFmtId="30" formatCode="@"/>
    </ndxf>
  </rcc>
  <rcc rId="7316" sId="1" odxf="1" dxf="1">
    <nc r="P84" t="inlineStr">
      <is>
        <t>90</t>
      </is>
    </nc>
    <odxf>
      <numFmt numFmtId="0" formatCode="General"/>
    </odxf>
    <ndxf>
      <numFmt numFmtId="30" formatCode="@"/>
    </ndxf>
  </rcc>
  <rcc rId="7317" sId="1" odxf="1" dxf="1">
    <nc r="Q84" t="inlineStr">
      <is>
        <t>90</t>
      </is>
    </nc>
    <odxf>
      <numFmt numFmtId="0" formatCode="General"/>
    </odxf>
    <ndxf>
      <numFmt numFmtId="30" formatCode="@"/>
    </ndxf>
  </rcc>
  <rcc rId="7318" sId="1" odxf="1" dxf="1">
    <nc r="P85" t="inlineStr">
      <is>
        <t>90</t>
      </is>
    </nc>
    <odxf>
      <numFmt numFmtId="0" formatCode="General"/>
    </odxf>
    <ndxf>
      <numFmt numFmtId="30" formatCode="@"/>
    </ndxf>
  </rcc>
  <rcc rId="7319" sId="1" odxf="1" dxf="1">
    <nc r="Q85" t="inlineStr">
      <is>
        <t>90</t>
      </is>
    </nc>
    <odxf>
      <numFmt numFmtId="0" formatCode="General"/>
    </odxf>
    <ndxf>
      <numFmt numFmtId="30" formatCode="@"/>
    </ndxf>
  </rcc>
  <rcc rId="7320" sId="1" odxf="1" dxf="1">
    <nc r="P86" t="inlineStr">
      <is>
        <t>90</t>
      </is>
    </nc>
    <odxf>
      <numFmt numFmtId="0" formatCode="General"/>
    </odxf>
    <ndxf>
      <numFmt numFmtId="30" formatCode="@"/>
    </ndxf>
  </rcc>
  <rcc rId="7321" sId="1" odxf="1" dxf="1">
    <nc r="Q86" t="inlineStr">
      <is>
        <t>90</t>
      </is>
    </nc>
    <odxf>
      <numFmt numFmtId="0" formatCode="General"/>
    </odxf>
    <ndxf>
      <numFmt numFmtId="30" formatCode="@"/>
    </ndxf>
  </rcc>
  <rcc rId="7322" sId="1" odxf="1" dxf="1">
    <nc r="P87" t="inlineStr">
      <is>
        <t>90</t>
      </is>
    </nc>
    <odxf>
      <numFmt numFmtId="0" formatCode="General"/>
    </odxf>
    <ndxf>
      <numFmt numFmtId="30" formatCode="@"/>
    </ndxf>
  </rcc>
  <rcc rId="7323" sId="1" odxf="1" dxf="1">
    <nc r="Q87" t="inlineStr">
      <is>
        <t>90</t>
      </is>
    </nc>
    <odxf>
      <numFmt numFmtId="0" formatCode="General"/>
    </odxf>
    <ndxf>
      <numFmt numFmtId="30" formatCode="@"/>
    </ndxf>
  </rcc>
  <rcc rId="7324" sId="1" odxf="1" dxf="1">
    <nc r="P88" t="inlineStr">
      <is>
        <t>90</t>
      </is>
    </nc>
    <odxf>
      <numFmt numFmtId="0" formatCode="General"/>
    </odxf>
    <ndxf>
      <numFmt numFmtId="30" formatCode="@"/>
    </ndxf>
  </rcc>
  <rcc rId="7325" sId="1" odxf="1" dxf="1">
    <nc r="Q88" t="inlineStr">
      <is>
        <t>90</t>
      </is>
    </nc>
    <odxf>
      <numFmt numFmtId="0" formatCode="General"/>
    </odxf>
    <ndxf>
      <numFmt numFmtId="30" formatCode="@"/>
    </ndxf>
  </rcc>
  <rcc rId="7326" sId="1" odxf="1" dxf="1">
    <nc r="P89" t="inlineStr">
      <is>
        <t>90</t>
      </is>
    </nc>
    <odxf>
      <numFmt numFmtId="0" formatCode="General"/>
    </odxf>
    <ndxf>
      <numFmt numFmtId="30" formatCode="@"/>
    </ndxf>
  </rcc>
  <rcc rId="7327" sId="1" odxf="1" dxf="1">
    <nc r="Q89" t="inlineStr">
      <is>
        <t>90</t>
      </is>
    </nc>
    <odxf>
      <numFmt numFmtId="0" formatCode="General"/>
    </odxf>
    <ndxf>
      <numFmt numFmtId="30" formatCode="@"/>
    </ndxf>
  </rcc>
  <rcc rId="7328" sId="1" odxf="1" dxf="1">
    <nc r="P90" t="inlineStr">
      <is>
        <t>90</t>
      </is>
    </nc>
    <odxf>
      <numFmt numFmtId="0" formatCode="General"/>
    </odxf>
    <ndxf>
      <numFmt numFmtId="30" formatCode="@"/>
    </ndxf>
  </rcc>
  <rcc rId="7329" sId="1" odxf="1" dxf="1">
    <nc r="Q90" t="inlineStr">
      <is>
        <t>90</t>
      </is>
    </nc>
    <odxf>
      <numFmt numFmtId="0" formatCode="General"/>
    </odxf>
    <ndxf>
      <numFmt numFmtId="30" formatCode="@"/>
    </ndxf>
  </rcc>
  <rcc rId="7330" sId="1" odxf="1" dxf="1">
    <nc r="P91" t="inlineStr">
      <is>
        <t>90</t>
      </is>
    </nc>
    <odxf>
      <numFmt numFmtId="0" formatCode="General"/>
    </odxf>
    <ndxf>
      <numFmt numFmtId="30" formatCode="@"/>
    </ndxf>
  </rcc>
  <rcc rId="7331" sId="1" odxf="1" dxf="1">
    <nc r="Q91" t="inlineStr">
      <is>
        <t>90</t>
      </is>
    </nc>
    <odxf>
      <numFmt numFmtId="0" formatCode="General"/>
    </odxf>
    <ndxf>
      <numFmt numFmtId="30" formatCode="@"/>
    </ndxf>
  </rcc>
  <rcc rId="7332" sId="1" odxf="1" dxf="1">
    <nc r="P92" t="inlineStr">
      <is>
        <t>90</t>
      </is>
    </nc>
    <odxf>
      <numFmt numFmtId="0" formatCode="General"/>
    </odxf>
    <ndxf>
      <numFmt numFmtId="30" formatCode="@"/>
    </ndxf>
  </rcc>
  <rcc rId="7333" sId="1" odxf="1" dxf="1">
    <nc r="Q92" t="inlineStr">
      <is>
        <t>90</t>
      </is>
    </nc>
    <odxf>
      <numFmt numFmtId="0" formatCode="General"/>
    </odxf>
    <ndxf>
      <numFmt numFmtId="30" formatCode="@"/>
    </ndxf>
  </rcc>
  <rcc rId="7334" sId="1" odxf="1" dxf="1">
    <nc r="P93" t="inlineStr">
      <is>
        <t>90</t>
      </is>
    </nc>
    <odxf>
      <numFmt numFmtId="0" formatCode="General"/>
    </odxf>
    <ndxf>
      <numFmt numFmtId="30" formatCode="@"/>
    </ndxf>
  </rcc>
  <rcc rId="7335" sId="1" odxf="1" dxf="1">
    <nc r="Q93" t="inlineStr">
      <is>
        <t>90</t>
      </is>
    </nc>
    <odxf>
      <numFmt numFmtId="0" formatCode="General"/>
    </odxf>
    <ndxf>
      <numFmt numFmtId="30" formatCode="@"/>
    </ndxf>
  </rcc>
  <rcc rId="7336" sId="1" odxf="1" dxf="1">
    <nc r="P94" t="inlineStr">
      <is>
        <t>90</t>
      </is>
    </nc>
    <odxf>
      <numFmt numFmtId="0" formatCode="General"/>
    </odxf>
    <ndxf>
      <numFmt numFmtId="30" formatCode="@"/>
    </ndxf>
  </rcc>
  <rcc rId="7337" sId="1" odxf="1" dxf="1">
    <nc r="Q94" t="inlineStr">
      <is>
        <t>90</t>
      </is>
    </nc>
    <odxf>
      <numFmt numFmtId="0" formatCode="General"/>
    </odxf>
    <ndxf>
      <numFmt numFmtId="30" formatCode="@"/>
    </ndxf>
  </rcc>
  <rcc rId="7338" sId="1" odxf="1" dxf="1">
    <nc r="P95" t="inlineStr">
      <is>
        <t>90</t>
      </is>
    </nc>
    <odxf>
      <numFmt numFmtId="0" formatCode="General"/>
    </odxf>
    <ndxf>
      <numFmt numFmtId="30" formatCode="@"/>
    </ndxf>
  </rcc>
  <rcc rId="7339" sId="1" odxf="1" dxf="1">
    <nc r="Q95" t="inlineStr">
      <is>
        <t>90</t>
      </is>
    </nc>
    <odxf>
      <numFmt numFmtId="0" formatCode="General"/>
    </odxf>
    <ndxf>
      <numFmt numFmtId="30" formatCode="@"/>
    </ndxf>
  </rcc>
  <rcc rId="7340" sId="1" odxf="1" dxf="1">
    <nc r="P96" t="inlineStr">
      <is>
        <t>90</t>
      </is>
    </nc>
    <odxf>
      <numFmt numFmtId="0" formatCode="General"/>
    </odxf>
    <ndxf>
      <numFmt numFmtId="30" formatCode="@"/>
    </ndxf>
  </rcc>
  <rcc rId="7341" sId="1" odxf="1" dxf="1">
    <nc r="Q96" t="inlineStr">
      <is>
        <t>90</t>
      </is>
    </nc>
    <odxf>
      <numFmt numFmtId="0" formatCode="General"/>
    </odxf>
    <ndxf>
      <numFmt numFmtId="30" formatCode="@"/>
    </ndxf>
  </rcc>
  <rcc rId="7342" sId="1" odxf="1" dxf="1">
    <nc r="P97" t="inlineStr">
      <is>
        <t>90</t>
      </is>
    </nc>
    <odxf>
      <numFmt numFmtId="0" formatCode="General"/>
    </odxf>
    <ndxf>
      <numFmt numFmtId="30" formatCode="@"/>
    </ndxf>
  </rcc>
  <rcc rId="7343" sId="1" odxf="1" dxf="1">
    <nc r="Q97" t="inlineStr">
      <is>
        <t>90</t>
      </is>
    </nc>
    <odxf>
      <numFmt numFmtId="0" formatCode="General"/>
    </odxf>
    <ndxf>
      <numFmt numFmtId="30" formatCode="@"/>
    </ndxf>
  </rcc>
  <rcc rId="7344" sId="1">
    <nc r="P98" t="inlineStr">
      <is>
        <t>90</t>
      </is>
    </nc>
  </rcc>
  <rcc rId="7345" sId="1">
    <nc r="Q98" t="inlineStr">
      <is>
        <t>90</t>
      </is>
    </nc>
  </rcc>
  <rcc rId="7346" sId="1">
    <nc r="P99" t="inlineStr">
      <is>
        <t>90</t>
      </is>
    </nc>
  </rcc>
  <rcc rId="7347" sId="1">
    <nc r="Q99" t="inlineStr">
      <is>
        <t>90</t>
      </is>
    </nc>
  </rcc>
  <rcc rId="7348" sId="1">
    <nc r="P100" t="inlineStr">
      <is>
        <t>90</t>
      </is>
    </nc>
  </rcc>
  <rcc rId="7349" sId="1">
    <nc r="Q100" t="inlineStr">
      <is>
        <t>90</t>
      </is>
    </nc>
  </rcc>
  <rcc rId="7350" sId="1">
    <nc r="P101" t="inlineStr">
      <is>
        <t>90</t>
      </is>
    </nc>
  </rcc>
  <rcc rId="7351" sId="1">
    <nc r="Q101" t="inlineStr">
      <is>
        <t>90</t>
      </is>
    </nc>
  </rcc>
  <rcc rId="7352" sId="1" odxf="1" dxf="1">
    <nc r="P102" t="inlineStr">
      <is>
        <t>90</t>
      </is>
    </nc>
    <odxf>
      <numFmt numFmtId="0" formatCode="General"/>
    </odxf>
    <ndxf>
      <numFmt numFmtId="30" formatCode="@"/>
    </ndxf>
  </rcc>
  <rcc rId="7353" sId="1" odxf="1" dxf="1">
    <nc r="Q102" t="inlineStr">
      <is>
        <t>90</t>
      </is>
    </nc>
    <odxf>
      <numFmt numFmtId="0" formatCode="General"/>
    </odxf>
    <ndxf>
      <numFmt numFmtId="30" formatCode="@"/>
    </ndxf>
  </rcc>
  <rcc rId="7354" sId="1" odxf="1" dxf="1">
    <nc r="P103" t="inlineStr">
      <is>
        <t>90</t>
      </is>
    </nc>
    <odxf>
      <numFmt numFmtId="0" formatCode="General"/>
    </odxf>
    <ndxf>
      <numFmt numFmtId="30" formatCode="@"/>
    </ndxf>
  </rcc>
  <rcc rId="7355" sId="1" odxf="1" dxf="1">
    <nc r="Q103" t="inlineStr">
      <is>
        <t>90</t>
      </is>
    </nc>
    <odxf>
      <numFmt numFmtId="0" formatCode="General"/>
    </odxf>
    <ndxf>
      <numFmt numFmtId="30" formatCode="@"/>
    </ndxf>
  </rcc>
  <rcc rId="7356" sId="1" odxf="1" dxf="1">
    <nc r="P104" t="inlineStr">
      <is>
        <t>90</t>
      </is>
    </nc>
    <odxf>
      <numFmt numFmtId="0" formatCode="General"/>
    </odxf>
    <ndxf>
      <numFmt numFmtId="30" formatCode="@"/>
    </ndxf>
  </rcc>
  <rcc rId="7357" sId="1" odxf="1" dxf="1">
    <nc r="Q104" t="inlineStr">
      <is>
        <t>90</t>
      </is>
    </nc>
    <odxf>
      <numFmt numFmtId="0" formatCode="General"/>
    </odxf>
    <ndxf>
      <numFmt numFmtId="30" formatCode="@"/>
    </ndxf>
  </rcc>
  <rcc rId="7358" sId="1" odxf="1" dxf="1">
    <nc r="P105" t="inlineStr">
      <is>
        <t>90</t>
      </is>
    </nc>
    <odxf>
      <numFmt numFmtId="0" formatCode="General"/>
    </odxf>
    <ndxf>
      <numFmt numFmtId="30" formatCode="@"/>
    </ndxf>
  </rcc>
  <rcc rId="7359" sId="1" odxf="1" dxf="1">
    <nc r="Q105" t="inlineStr">
      <is>
        <t>90</t>
      </is>
    </nc>
    <odxf>
      <numFmt numFmtId="0" formatCode="General"/>
    </odxf>
    <ndxf>
      <numFmt numFmtId="30" formatCode="@"/>
    </ndxf>
  </rcc>
  <rcc rId="7360" sId="1">
    <nc r="P106" t="inlineStr">
      <is>
        <t>90</t>
      </is>
    </nc>
  </rcc>
  <rcc rId="7361" sId="1">
    <nc r="Q106" t="inlineStr">
      <is>
        <t>90</t>
      </is>
    </nc>
  </rcc>
  <rcc rId="7362" sId="1">
    <nc r="P107" t="inlineStr">
      <is>
        <t>90</t>
      </is>
    </nc>
  </rcc>
  <rcc rId="7363" sId="1">
    <nc r="Q107" t="inlineStr">
      <is>
        <t>90</t>
      </is>
    </nc>
  </rcc>
  <rcc rId="7364" sId="1">
    <nc r="P108" t="inlineStr">
      <is>
        <t>90</t>
      </is>
    </nc>
  </rcc>
  <rcc rId="7365" sId="1">
    <nc r="Q108" t="inlineStr">
      <is>
        <t>90</t>
      </is>
    </nc>
  </rcc>
  <rcc rId="7366" sId="1" odxf="1" dxf="1">
    <nc r="P109" t="inlineStr">
      <is>
        <t>90</t>
      </is>
    </nc>
    <odxf>
      <numFmt numFmtId="0" formatCode="General"/>
    </odxf>
    <ndxf>
      <numFmt numFmtId="30" formatCode="@"/>
    </ndxf>
  </rcc>
  <rcc rId="7367" sId="1" odxf="1" dxf="1">
    <nc r="Q109" t="inlineStr">
      <is>
        <t>90</t>
      </is>
    </nc>
    <odxf>
      <numFmt numFmtId="0" formatCode="General"/>
    </odxf>
    <ndxf>
      <numFmt numFmtId="30" formatCode="@"/>
    </ndxf>
  </rcc>
  <rcc rId="7368" sId="1" odxf="1" dxf="1">
    <nc r="P110" t="inlineStr">
      <is>
        <t>90</t>
      </is>
    </nc>
    <odxf>
      <numFmt numFmtId="0" formatCode="General"/>
    </odxf>
    <ndxf>
      <numFmt numFmtId="30" formatCode="@"/>
    </ndxf>
  </rcc>
  <rcc rId="7369" sId="1" odxf="1" dxf="1">
    <nc r="Q110" t="inlineStr">
      <is>
        <t>90</t>
      </is>
    </nc>
    <odxf>
      <numFmt numFmtId="0" formatCode="General"/>
    </odxf>
    <ndxf>
      <numFmt numFmtId="30" formatCode="@"/>
    </ndxf>
  </rcc>
  <rcc rId="7370" sId="1" odxf="1" dxf="1">
    <nc r="P111" t="inlineStr">
      <is>
        <t>90</t>
      </is>
    </nc>
    <odxf>
      <numFmt numFmtId="0" formatCode="General"/>
    </odxf>
    <ndxf>
      <numFmt numFmtId="30" formatCode="@"/>
    </ndxf>
  </rcc>
  <rcc rId="7371" sId="1" odxf="1" dxf="1">
    <nc r="Q111" t="inlineStr">
      <is>
        <t>90</t>
      </is>
    </nc>
    <odxf>
      <numFmt numFmtId="0" formatCode="General"/>
    </odxf>
    <ndxf>
      <numFmt numFmtId="30" formatCode="@"/>
    </ndxf>
  </rcc>
  <rcc rId="7372" sId="1" odxf="1" dxf="1">
    <nc r="P112" t="inlineStr">
      <is>
        <t>90</t>
      </is>
    </nc>
    <odxf>
      <numFmt numFmtId="0" formatCode="General"/>
    </odxf>
    <ndxf>
      <numFmt numFmtId="30" formatCode="@"/>
    </ndxf>
  </rcc>
  <rcc rId="7373" sId="1" odxf="1" dxf="1">
    <nc r="Q112" t="inlineStr">
      <is>
        <t>90</t>
      </is>
    </nc>
    <odxf>
      <numFmt numFmtId="0" formatCode="General"/>
    </odxf>
    <ndxf>
      <numFmt numFmtId="30" formatCode="@"/>
    </ndxf>
  </rcc>
  <rcc rId="7374" sId="1" odxf="1" dxf="1">
    <nc r="P113" t="inlineStr">
      <is>
        <t>90</t>
      </is>
    </nc>
    <odxf>
      <numFmt numFmtId="0" formatCode="General"/>
    </odxf>
    <ndxf>
      <numFmt numFmtId="30" formatCode="@"/>
    </ndxf>
  </rcc>
  <rcc rId="7375" sId="1" odxf="1" dxf="1">
    <nc r="Q113" t="inlineStr">
      <is>
        <t>90</t>
      </is>
    </nc>
    <odxf>
      <numFmt numFmtId="0" formatCode="General"/>
    </odxf>
    <ndxf>
      <numFmt numFmtId="30" formatCode="@"/>
    </ndxf>
  </rcc>
  <rcc rId="7376" sId="1">
    <nc r="P114" t="inlineStr">
      <is>
        <t>90</t>
      </is>
    </nc>
  </rcc>
  <rcc rId="7377" sId="1">
    <nc r="Q114" t="inlineStr">
      <is>
        <t>90</t>
      </is>
    </nc>
  </rcc>
  <rcc rId="7378" sId="1">
    <nc r="P115" t="inlineStr">
      <is>
        <t>90</t>
      </is>
    </nc>
  </rcc>
  <rcc rId="7379" sId="1">
    <nc r="Q115" t="inlineStr">
      <is>
        <t>90</t>
      </is>
    </nc>
  </rcc>
  <rcc rId="7380" sId="1">
    <nc r="P116" t="inlineStr">
      <is>
        <t>90</t>
      </is>
    </nc>
  </rcc>
  <rcc rId="7381" sId="1">
    <nc r="Q116" t="inlineStr">
      <is>
        <t>90</t>
      </is>
    </nc>
  </rcc>
  <rcc rId="7382" sId="1" odxf="1" dxf="1">
    <nc r="P117" t="inlineStr">
      <is>
        <t>90</t>
      </is>
    </nc>
    <odxf>
      <numFmt numFmtId="0" formatCode="General"/>
    </odxf>
    <ndxf>
      <numFmt numFmtId="30" formatCode="@"/>
    </ndxf>
  </rcc>
  <rcc rId="7383" sId="1" odxf="1" dxf="1">
    <nc r="Q117" t="inlineStr">
      <is>
        <t>90</t>
      </is>
    </nc>
    <odxf>
      <numFmt numFmtId="0" formatCode="General"/>
    </odxf>
    <ndxf>
      <numFmt numFmtId="30" formatCode="@"/>
    </ndxf>
  </rcc>
  <rcc rId="7384" sId="1" odxf="1" dxf="1">
    <nc r="P118" t="inlineStr">
      <is>
        <t>90</t>
      </is>
    </nc>
    <odxf>
      <numFmt numFmtId="0" formatCode="General"/>
    </odxf>
    <ndxf>
      <numFmt numFmtId="30" formatCode="@"/>
    </ndxf>
  </rcc>
  <rcc rId="7385" sId="1" odxf="1" dxf="1">
    <nc r="Q118" t="inlineStr">
      <is>
        <t>90</t>
      </is>
    </nc>
    <odxf>
      <numFmt numFmtId="0" formatCode="General"/>
    </odxf>
    <ndxf>
      <numFmt numFmtId="30" formatCode="@"/>
    </ndxf>
  </rcc>
  <rcc rId="7386" sId="1" odxf="1" dxf="1">
    <nc r="P119" t="inlineStr">
      <is>
        <t>90</t>
      </is>
    </nc>
    <odxf>
      <numFmt numFmtId="0" formatCode="General"/>
    </odxf>
    <ndxf>
      <numFmt numFmtId="30" formatCode="@"/>
    </ndxf>
  </rcc>
  <rcc rId="7387" sId="1" odxf="1" dxf="1">
    <nc r="Q119" t="inlineStr">
      <is>
        <t>90</t>
      </is>
    </nc>
    <odxf>
      <numFmt numFmtId="0" formatCode="General"/>
    </odxf>
    <ndxf>
      <numFmt numFmtId="30" formatCode="@"/>
    </ndxf>
  </rcc>
  <rcc rId="7388" sId="1" odxf="1" dxf="1">
    <nc r="P120" t="inlineStr">
      <is>
        <t>90</t>
      </is>
    </nc>
    <odxf>
      <numFmt numFmtId="0" formatCode="General"/>
    </odxf>
    <ndxf>
      <numFmt numFmtId="30" formatCode="@"/>
    </ndxf>
  </rcc>
  <rcc rId="7389" sId="1" odxf="1" dxf="1">
    <nc r="Q120" t="inlineStr">
      <is>
        <t>90</t>
      </is>
    </nc>
    <odxf>
      <numFmt numFmtId="0" formatCode="General"/>
    </odxf>
    <ndxf>
      <numFmt numFmtId="30" formatCode="@"/>
    </ndxf>
  </rcc>
  <rcc rId="7390" sId="1">
    <nc r="P121" t="inlineStr">
      <is>
        <t>90</t>
      </is>
    </nc>
  </rcc>
  <rcc rId="7391" sId="1">
    <nc r="Q121" t="inlineStr">
      <is>
        <t>90</t>
      </is>
    </nc>
  </rcc>
  <rcc rId="7392" sId="1">
    <nc r="P122" t="inlineStr">
      <is>
        <t>90</t>
      </is>
    </nc>
  </rcc>
  <rcc rId="7393" sId="1">
    <nc r="Q122" t="inlineStr">
      <is>
        <t>90</t>
      </is>
    </nc>
  </rcc>
  <rcc rId="7394" sId="1">
    <nc r="P123" t="inlineStr">
      <is>
        <t>90</t>
      </is>
    </nc>
  </rcc>
  <rcc rId="7395" sId="1">
    <nc r="Q123" t="inlineStr">
      <is>
        <t>90</t>
      </is>
    </nc>
  </rcc>
  <rcc rId="7396" sId="1">
    <nc r="P124" t="inlineStr">
      <is>
        <t>90</t>
      </is>
    </nc>
  </rcc>
  <rcc rId="7397" sId="1">
    <nc r="Q124" t="inlineStr">
      <is>
        <t>90</t>
      </is>
    </nc>
  </rcc>
  <rcc rId="7398" sId="1">
    <nc r="P125" t="inlineStr">
      <is>
        <t>90</t>
      </is>
    </nc>
  </rcc>
  <rcc rId="7399" sId="1">
    <nc r="Q125" t="inlineStr">
      <is>
        <t>90</t>
      </is>
    </nc>
  </rcc>
  <rcc rId="7400" sId="1">
    <nc r="P126" t="inlineStr">
      <is>
        <t>90</t>
      </is>
    </nc>
  </rcc>
  <rcc rId="7401" sId="1">
    <nc r="Q126" t="inlineStr">
      <is>
        <t>90</t>
      </is>
    </nc>
  </rcc>
  <rcc rId="7402" sId="1" odxf="1" dxf="1">
    <nc r="P127" t="inlineStr">
      <is>
        <t>90</t>
      </is>
    </nc>
    <odxf>
      <numFmt numFmtId="0" formatCode="General"/>
    </odxf>
    <ndxf>
      <numFmt numFmtId="30" formatCode="@"/>
    </ndxf>
  </rcc>
  <rcc rId="7403" sId="1" odxf="1" dxf="1">
    <nc r="Q127" t="inlineStr">
      <is>
        <t>90</t>
      </is>
    </nc>
    <odxf>
      <numFmt numFmtId="0" formatCode="General"/>
    </odxf>
    <ndxf>
      <numFmt numFmtId="30" formatCode="@"/>
    </ndxf>
  </rcc>
  <rcc rId="7404" sId="1" odxf="1" dxf="1">
    <nc r="P128" t="inlineStr">
      <is>
        <t>90</t>
      </is>
    </nc>
    <odxf>
      <numFmt numFmtId="0" formatCode="General"/>
    </odxf>
    <ndxf>
      <numFmt numFmtId="30" formatCode="@"/>
    </ndxf>
  </rcc>
  <rcc rId="7405" sId="1" odxf="1" dxf="1">
    <nc r="Q128" t="inlineStr">
      <is>
        <t>90</t>
      </is>
    </nc>
    <odxf>
      <numFmt numFmtId="0" formatCode="General"/>
    </odxf>
    <ndxf>
      <numFmt numFmtId="30" formatCode="@"/>
    </ndxf>
  </rcc>
  <rcc rId="7406" sId="1">
    <nc r="P129" t="inlineStr">
      <is>
        <t>90</t>
      </is>
    </nc>
  </rcc>
  <rcc rId="7407" sId="1">
    <nc r="Q129" t="inlineStr">
      <is>
        <t>90</t>
      </is>
    </nc>
  </rcc>
  <rcc rId="7408" sId="1">
    <nc r="P130" t="inlineStr">
      <is>
        <t>90</t>
      </is>
    </nc>
  </rcc>
  <rcc rId="7409" sId="1">
    <nc r="Q130" t="inlineStr">
      <is>
        <t>90</t>
      </is>
    </nc>
  </rcc>
  <rcc rId="7410" sId="1" odxf="1" dxf="1">
    <nc r="P131" t="inlineStr">
      <is>
        <t>90</t>
      </is>
    </nc>
    <odxf>
      <font>
        <color rgb="FF000000"/>
      </font>
    </odxf>
    <ndxf>
      <font>
        <sz val="12"/>
        <color theme="1"/>
        <name val="Calibri"/>
        <family val="2"/>
        <scheme val="minor"/>
      </font>
    </ndxf>
  </rcc>
  <rcc rId="7411" sId="1" odxf="1" dxf="1">
    <nc r="Q131" t="inlineStr">
      <is>
        <t>90</t>
      </is>
    </nc>
    <odxf>
      <font>
        <color rgb="FF000000"/>
      </font>
    </odxf>
    <ndxf>
      <font>
        <sz val="12"/>
        <color theme="1"/>
        <name val="Calibri"/>
        <family val="2"/>
        <scheme val="minor"/>
      </font>
    </ndxf>
  </rcc>
  <rcc rId="7412" sId="1">
    <nc r="P132" t="inlineStr">
      <is>
        <t>90</t>
      </is>
    </nc>
  </rcc>
  <rcc rId="7413" sId="1">
    <nc r="Q132" t="inlineStr">
      <is>
        <t>90</t>
      </is>
    </nc>
  </rcc>
  <rcc rId="7414" sId="1" odxf="1" dxf="1">
    <nc r="P133" t="inlineStr">
      <is>
        <t>90</t>
      </is>
    </nc>
    <odxf>
      <font>
        <color rgb="FF000000"/>
      </font>
    </odxf>
    <ndxf>
      <font>
        <sz val="12"/>
        <color theme="1"/>
        <name val="Calibri"/>
        <family val="2"/>
        <scheme val="minor"/>
      </font>
    </ndxf>
  </rcc>
  <rcc rId="7415" sId="1" odxf="1" dxf="1">
    <nc r="Q133" t="inlineStr">
      <is>
        <t>90</t>
      </is>
    </nc>
    <odxf>
      <font>
        <color rgb="FF000000"/>
      </font>
    </odxf>
    <ndxf>
      <font>
        <sz val="12"/>
        <color theme="1"/>
        <name val="Calibri"/>
        <family val="2"/>
        <scheme val="minor"/>
      </font>
    </ndxf>
  </rcc>
  <rcc rId="7416" sId="1">
    <nc r="P134" t="inlineStr">
      <is>
        <t>90</t>
      </is>
    </nc>
  </rcc>
  <rcc rId="7417" sId="1">
    <nc r="Q134" t="inlineStr">
      <is>
        <t>90</t>
      </is>
    </nc>
  </rcc>
  <rcc rId="7418" sId="1">
    <nc r="P135" t="inlineStr">
      <is>
        <t>90</t>
      </is>
    </nc>
  </rcc>
  <rcc rId="7419" sId="1">
    <nc r="Q135" t="inlineStr">
      <is>
        <t>90</t>
      </is>
    </nc>
  </rcc>
  <rcc rId="7420" sId="1">
    <nc r="P136" t="inlineStr">
      <is>
        <t>90</t>
      </is>
    </nc>
  </rcc>
  <rcc rId="7421" sId="1">
    <nc r="Q136" t="inlineStr">
      <is>
        <t>90</t>
      </is>
    </nc>
  </rcc>
  <rcc rId="7422" sId="1">
    <nc r="P137" t="inlineStr">
      <is>
        <t>90</t>
      </is>
    </nc>
  </rcc>
  <rcc rId="7423" sId="1">
    <nc r="Q137" t="inlineStr">
      <is>
        <t>90</t>
      </is>
    </nc>
  </rcc>
  <rcc rId="7424" sId="1">
    <nc r="P138" t="inlineStr">
      <is>
        <t>90</t>
      </is>
    </nc>
  </rcc>
  <rcc rId="7425" sId="1">
    <nc r="Q138" t="inlineStr">
      <is>
        <t>90</t>
      </is>
    </nc>
  </rcc>
  <rcc rId="7426" sId="1">
    <nc r="P139" t="inlineStr">
      <is>
        <t>90</t>
      </is>
    </nc>
  </rcc>
  <rcc rId="7427" sId="1">
    <nc r="Q139" t="inlineStr">
      <is>
        <t>90</t>
      </is>
    </nc>
  </rcc>
  <rcc rId="7428" sId="1">
    <nc r="P140" t="inlineStr">
      <is>
        <t>90</t>
      </is>
    </nc>
  </rcc>
  <rcc rId="7429" sId="1">
    <nc r="Q140" t="inlineStr">
      <is>
        <t>90</t>
      </is>
    </nc>
  </rcc>
  <rcc rId="7430" sId="1">
    <nc r="P141" t="inlineStr">
      <is>
        <t>90</t>
      </is>
    </nc>
  </rcc>
  <rcc rId="7431" sId="1">
    <nc r="Q141" t="inlineStr">
      <is>
        <t>90</t>
      </is>
    </nc>
  </rcc>
  <rcc rId="7432" sId="1" odxf="1" dxf="1">
    <nc r="P142" t="inlineStr">
      <is>
        <t>90</t>
      </is>
    </nc>
    <odxf>
      <fill>
        <patternFill patternType="solid">
          <bgColor rgb="FFFFFF00"/>
        </patternFill>
      </fill>
    </odxf>
    <ndxf>
      <fill>
        <patternFill patternType="none">
          <bgColor indexed="65"/>
        </patternFill>
      </fill>
    </ndxf>
  </rcc>
  <rcc rId="7433" sId="1" odxf="1" dxf="1">
    <nc r="Q142" t="inlineStr">
      <is>
        <t>90</t>
      </is>
    </nc>
    <odxf>
      <fill>
        <patternFill patternType="solid">
          <bgColor rgb="FFFFFF00"/>
        </patternFill>
      </fill>
    </odxf>
    <ndxf>
      <fill>
        <patternFill patternType="none">
          <bgColor indexed="65"/>
        </patternFill>
      </fill>
    </ndxf>
  </rcc>
  <rcc rId="7434" sId="1" odxf="1" dxf="1">
    <nc r="P143" t="inlineStr">
      <is>
        <t>90</t>
      </is>
    </nc>
    <odxf>
      <fill>
        <patternFill patternType="solid">
          <bgColor rgb="FFFFFF00"/>
        </patternFill>
      </fill>
    </odxf>
    <ndxf>
      <fill>
        <patternFill patternType="none">
          <bgColor indexed="65"/>
        </patternFill>
      </fill>
    </ndxf>
  </rcc>
  <rcc rId="7435" sId="1" odxf="1" dxf="1">
    <nc r="Q143" t="inlineStr">
      <is>
        <t>90</t>
      </is>
    </nc>
    <odxf>
      <fill>
        <patternFill patternType="solid">
          <bgColor rgb="FFFFFF00"/>
        </patternFill>
      </fill>
    </odxf>
    <ndxf>
      <fill>
        <patternFill patternType="none">
          <bgColor indexed="65"/>
        </patternFill>
      </fill>
    </ndxf>
  </rcc>
  <rcc rId="7436" sId="1">
    <nc r="P144" t="inlineStr">
      <is>
        <t>90</t>
      </is>
    </nc>
  </rcc>
  <rcc rId="7437" sId="1">
    <nc r="Q144" t="inlineStr">
      <is>
        <t>90</t>
      </is>
    </nc>
  </rcc>
  <rcc rId="7438" sId="1">
    <nc r="P145" t="inlineStr">
      <is>
        <t>90</t>
      </is>
    </nc>
  </rcc>
  <rcc rId="7439" sId="1">
    <nc r="Q145" t="inlineStr">
      <is>
        <t>90</t>
      </is>
    </nc>
  </rcc>
  <rcc rId="7440" sId="1">
    <nc r="P146" t="inlineStr">
      <is>
        <t>90</t>
      </is>
    </nc>
  </rcc>
  <rcc rId="7441" sId="1">
    <nc r="Q146" t="inlineStr">
      <is>
        <t>90</t>
      </is>
    </nc>
  </rcc>
  <rcc rId="7442" sId="1">
    <nc r="P147" t="inlineStr">
      <is>
        <t>90</t>
      </is>
    </nc>
  </rcc>
  <rcc rId="7443" sId="1">
    <nc r="Q147" t="inlineStr">
      <is>
        <t>90</t>
      </is>
    </nc>
  </rcc>
  <rcc rId="7444" sId="1">
    <nc r="P148" t="inlineStr">
      <is>
        <t>90</t>
      </is>
    </nc>
  </rcc>
  <rcc rId="7445" sId="1">
    <nc r="Q148" t="inlineStr">
      <is>
        <t>90</t>
      </is>
    </nc>
  </rcc>
  <rcc rId="7446" sId="1">
    <nc r="P149" t="inlineStr">
      <is>
        <t>90</t>
      </is>
    </nc>
  </rcc>
  <rcc rId="7447" sId="1">
    <nc r="Q149" t="inlineStr">
      <is>
        <t>90</t>
      </is>
    </nc>
  </rcc>
  <rcc rId="7448" sId="1">
    <nc r="P150" t="inlineStr">
      <is>
        <t>90</t>
      </is>
    </nc>
  </rcc>
  <rcc rId="7449" sId="1">
    <nc r="Q150" t="inlineStr">
      <is>
        <t>90</t>
      </is>
    </nc>
  </rcc>
  <rcc rId="7450" sId="1">
    <nc r="P151" t="inlineStr">
      <is>
        <t>90</t>
      </is>
    </nc>
  </rcc>
  <rcc rId="7451" sId="1">
    <nc r="Q151" t="inlineStr">
      <is>
        <t>90</t>
      </is>
    </nc>
  </rcc>
  <rcc rId="7452" sId="1">
    <nc r="P152" t="inlineStr">
      <is>
        <t>90</t>
      </is>
    </nc>
  </rcc>
  <rcc rId="7453" sId="1">
    <nc r="Q152" t="inlineStr">
      <is>
        <t>90</t>
      </is>
    </nc>
  </rcc>
  <rcc rId="7454" sId="1">
    <nc r="P153" t="inlineStr">
      <is>
        <t>90</t>
      </is>
    </nc>
  </rcc>
  <rcc rId="7455" sId="1">
    <nc r="Q153" t="inlineStr">
      <is>
        <t>90</t>
      </is>
    </nc>
  </rcc>
  <rcc rId="7456" sId="1">
    <nc r="P154" t="inlineStr">
      <is>
        <t>90</t>
      </is>
    </nc>
  </rcc>
  <rcc rId="7457" sId="1">
    <nc r="Q154" t="inlineStr">
      <is>
        <t>90</t>
      </is>
    </nc>
  </rcc>
  <rcc rId="7458" sId="1">
    <nc r="P155" t="inlineStr">
      <is>
        <t>90</t>
      </is>
    </nc>
  </rcc>
  <rcc rId="7459" sId="1">
    <nc r="Q155" t="inlineStr">
      <is>
        <t>90</t>
      </is>
    </nc>
  </rcc>
  <rcc rId="7460" sId="1">
    <nc r="P156" t="inlineStr">
      <is>
        <t>90</t>
      </is>
    </nc>
  </rcc>
  <rcc rId="7461" sId="1">
    <nc r="Q156" t="inlineStr">
      <is>
        <t>90</t>
      </is>
    </nc>
  </rcc>
  <rcc rId="7462" sId="1">
    <nc r="P157" t="inlineStr">
      <is>
        <t>90</t>
      </is>
    </nc>
  </rcc>
  <rcc rId="7463" sId="1">
    <nc r="Q157" t="inlineStr">
      <is>
        <t>90</t>
      </is>
    </nc>
  </rcc>
  <rcc rId="7464" sId="1">
    <nc r="P158" t="inlineStr">
      <is>
        <t>90</t>
      </is>
    </nc>
  </rcc>
  <rcc rId="7465" sId="1">
    <nc r="Q158" t="inlineStr">
      <is>
        <t>90</t>
      </is>
    </nc>
  </rcc>
  <rcc rId="7466" sId="1">
    <nc r="P159" t="inlineStr">
      <is>
        <t>90</t>
      </is>
    </nc>
  </rcc>
  <rcc rId="7467" sId="1">
    <nc r="Q159" t="inlineStr">
      <is>
        <t>90</t>
      </is>
    </nc>
  </rcc>
  <rcc rId="7468" sId="1">
    <nc r="P160" t="inlineStr">
      <is>
        <t>90</t>
      </is>
    </nc>
  </rcc>
  <rcc rId="7469" sId="1">
    <nc r="Q160" t="inlineStr">
      <is>
        <t>90</t>
      </is>
    </nc>
  </rcc>
  <rcc rId="7470" sId="1">
    <nc r="P161" t="inlineStr">
      <is>
        <t>90</t>
      </is>
    </nc>
  </rcc>
  <rcc rId="7471" sId="1">
    <nc r="Q161" t="inlineStr">
      <is>
        <t>90</t>
      </is>
    </nc>
  </rcc>
  <rcc rId="7472" sId="1">
    <nc r="P162" t="inlineStr">
      <is>
        <t>90</t>
      </is>
    </nc>
  </rcc>
  <rcc rId="7473" sId="1">
    <nc r="Q162" t="inlineStr">
      <is>
        <t>90</t>
      </is>
    </nc>
  </rcc>
  <rcc rId="7474" sId="1">
    <nc r="P163" t="inlineStr">
      <is>
        <t>90</t>
      </is>
    </nc>
  </rcc>
  <rcc rId="7475" sId="1">
    <nc r="Q163" t="inlineStr">
      <is>
        <t>90</t>
      </is>
    </nc>
  </rcc>
  <rcc rId="7476" sId="1">
    <nc r="P164" t="inlineStr">
      <is>
        <t>90</t>
      </is>
    </nc>
  </rcc>
  <rcc rId="7477" sId="1">
    <nc r="Q164" t="inlineStr">
      <is>
        <t>90</t>
      </is>
    </nc>
  </rcc>
  <rcc rId="7478" sId="1">
    <nc r="P165" t="inlineStr">
      <is>
        <t>90</t>
      </is>
    </nc>
  </rcc>
  <rcc rId="7479" sId="1">
    <nc r="Q165" t="inlineStr">
      <is>
        <t>90</t>
      </is>
    </nc>
  </rcc>
  <rcc rId="7480" sId="1">
    <nc r="P166" t="inlineStr">
      <is>
        <t>90</t>
      </is>
    </nc>
  </rcc>
  <rcc rId="7481" sId="1">
    <nc r="Q166" t="inlineStr">
      <is>
        <t>90</t>
      </is>
    </nc>
  </rcc>
  <rcc rId="7482" sId="1">
    <nc r="P167" t="inlineStr">
      <is>
        <t>90</t>
      </is>
    </nc>
  </rcc>
  <rcc rId="7483" sId="1">
    <nc r="Q167" t="inlineStr">
      <is>
        <t>90</t>
      </is>
    </nc>
  </rcc>
  <rcc rId="7484" sId="1">
    <nc r="P168" t="inlineStr">
      <is>
        <t>90</t>
      </is>
    </nc>
  </rcc>
  <rcc rId="7485" sId="1">
    <nc r="Q168" t="inlineStr">
      <is>
        <t>90</t>
      </is>
    </nc>
  </rcc>
  <rcc rId="7486" sId="1">
    <nc r="P169" t="inlineStr">
      <is>
        <t>90</t>
      </is>
    </nc>
  </rcc>
  <rcc rId="7487" sId="1">
    <nc r="Q169" t="inlineStr">
      <is>
        <t>90</t>
      </is>
    </nc>
  </rcc>
  <rcc rId="7488" sId="1">
    <nc r="P170" t="inlineStr">
      <is>
        <t>90</t>
      </is>
    </nc>
  </rcc>
  <rcc rId="7489" sId="1">
    <nc r="Q170" t="inlineStr">
      <is>
        <t>90</t>
      </is>
    </nc>
  </rcc>
  <rcc rId="7490" sId="1">
    <nc r="P171" t="inlineStr">
      <is>
        <t>90</t>
      </is>
    </nc>
  </rcc>
  <rcc rId="7491" sId="1">
    <nc r="Q171" t="inlineStr">
      <is>
        <t>90</t>
      </is>
    </nc>
  </rcc>
  <rcc rId="7492" sId="1">
    <nc r="P172" t="inlineStr">
      <is>
        <t>90</t>
      </is>
    </nc>
  </rcc>
  <rcc rId="7493" sId="1">
    <nc r="Q172" t="inlineStr">
      <is>
        <t>90</t>
      </is>
    </nc>
  </rcc>
  <rcc rId="7494" sId="1">
    <nc r="P173" t="inlineStr">
      <is>
        <t>90</t>
      </is>
    </nc>
  </rcc>
  <rcc rId="7495" sId="1">
    <nc r="Q173" t="inlineStr">
      <is>
        <t>90</t>
      </is>
    </nc>
  </rcc>
  <rcc rId="7496" sId="1">
    <nc r="P174" t="inlineStr">
      <is>
        <t>90</t>
      </is>
    </nc>
  </rcc>
  <rcc rId="7497" sId="1">
    <nc r="Q174" t="inlineStr">
      <is>
        <t>90</t>
      </is>
    </nc>
  </rcc>
  <rcc rId="7498" sId="1">
    <nc r="P175" t="inlineStr">
      <is>
        <t>90</t>
      </is>
    </nc>
  </rcc>
  <rcc rId="7499" sId="1">
    <nc r="Q175" t="inlineStr">
      <is>
        <t>90</t>
      </is>
    </nc>
  </rcc>
  <rcc rId="7500" sId="1">
    <nc r="P176" t="inlineStr">
      <is>
        <t>90</t>
      </is>
    </nc>
  </rcc>
  <rcc rId="7501" sId="1">
    <nc r="Q176" t="inlineStr">
      <is>
        <t>90</t>
      </is>
    </nc>
  </rcc>
  <rcc rId="7502" sId="1">
    <nc r="P177" t="inlineStr">
      <is>
        <t>90</t>
      </is>
    </nc>
  </rcc>
  <rcc rId="7503" sId="1">
    <nc r="Q177" t="inlineStr">
      <is>
        <t>90</t>
      </is>
    </nc>
  </rcc>
  <rcc rId="7504" sId="1">
    <nc r="P178" t="inlineStr">
      <is>
        <t>90</t>
      </is>
    </nc>
  </rcc>
  <rcc rId="7505" sId="1">
    <nc r="Q178" t="inlineStr">
      <is>
        <t>90</t>
      </is>
    </nc>
  </rcc>
  <rcc rId="7506" sId="1">
    <nc r="P179" t="inlineStr">
      <is>
        <t>90</t>
      </is>
    </nc>
  </rcc>
  <rcc rId="7507" sId="1">
    <nc r="Q179" t="inlineStr">
      <is>
        <t>90</t>
      </is>
    </nc>
  </rcc>
  <rcc rId="7508" sId="1">
    <nc r="P180" t="inlineStr">
      <is>
        <t>90</t>
      </is>
    </nc>
  </rcc>
  <rcc rId="7509" sId="1">
    <nc r="Q180" t="inlineStr">
      <is>
        <t>90</t>
      </is>
    </nc>
  </rcc>
  <rcc rId="7510" sId="1">
    <nc r="P181" t="inlineStr">
      <is>
        <t>90</t>
      </is>
    </nc>
  </rcc>
  <rcc rId="7511" sId="1">
    <nc r="Q181" t="inlineStr">
      <is>
        <t>90</t>
      </is>
    </nc>
  </rcc>
  <rcc rId="7512" sId="1">
    <nc r="P182" t="inlineStr">
      <is>
        <t>90</t>
      </is>
    </nc>
  </rcc>
  <rcc rId="7513" sId="1">
    <nc r="Q182" t="inlineStr">
      <is>
        <t>90</t>
      </is>
    </nc>
  </rcc>
  <rcc rId="7514" sId="1">
    <nc r="P183" t="inlineStr">
      <is>
        <t>90</t>
      </is>
    </nc>
  </rcc>
  <rcc rId="7515" sId="1">
    <nc r="Q183" t="inlineStr">
      <is>
        <t>90</t>
      </is>
    </nc>
  </rcc>
  <rcc rId="7516" sId="1">
    <nc r="P184" t="inlineStr">
      <is>
        <t>90</t>
      </is>
    </nc>
  </rcc>
  <rcc rId="7517" sId="1">
    <nc r="Q184" t="inlineStr">
      <is>
        <t>90</t>
      </is>
    </nc>
  </rcc>
  <rcc rId="7518" sId="1">
    <nc r="P185" t="inlineStr">
      <is>
        <t>90</t>
      </is>
    </nc>
  </rcc>
  <rcc rId="7519" sId="1">
    <nc r="Q185" t="inlineStr">
      <is>
        <t>90</t>
      </is>
    </nc>
  </rcc>
  <rcc rId="7520" sId="1">
    <nc r="P186" t="inlineStr">
      <is>
        <t>90</t>
      </is>
    </nc>
  </rcc>
  <rcc rId="7521" sId="1">
    <nc r="Q186" t="inlineStr">
      <is>
        <t>90</t>
      </is>
    </nc>
  </rcc>
  <rcc rId="7522" sId="1">
    <nc r="P187" t="inlineStr">
      <is>
        <t>90</t>
      </is>
    </nc>
  </rcc>
  <rcc rId="7523" sId="1">
    <nc r="Q187" t="inlineStr">
      <is>
        <t>90</t>
      </is>
    </nc>
  </rcc>
  <rcc rId="7524" sId="1">
    <nc r="P188" t="inlineStr">
      <is>
        <t>90</t>
      </is>
    </nc>
  </rcc>
  <rcc rId="7525" sId="1">
    <nc r="Q188" t="inlineStr">
      <is>
        <t>90</t>
      </is>
    </nc>
  </rcc>
  <rcc rId="7526" sId="1">
    <nc r="P189" t="inlineStr">
      <is>
        <t>90</t>
      </is>
    </nc>
  </rcc>
  <rcc rId="7527" sId="1">
    <nc r="Q189" t="inlineStr">
      <is>
        <t>90</t>
      </is>
    </nc>
  </rcc>
  <rcc rId="7528" sId="1">
    <nc r="P190" t="inlineStr">
      <is>
        <t>90</t>
      </is>
    </nc>
  </rcc>
  <rcc rId="7529" sId="1">
    <nc r="Q190" t="inlineStr">
      <is>
        <t>90</t>
      </is>
    </nc>
  </rcc>
  <rcc rId="7530" sId="1">
    <nc r="P191" t="inlineStr">
      <is>
        <t>90</t>
      </is>
    </nc>
  </rcc>
  <rcc rId="7531" sId="1">
    <nc r="Q191" t="inlineStr">
      <is>
        <t>90</t>
      </is>
    </nc>
  </rcc>
  <rcc rId="7532" sId="1">
    <nc r="P192" t="inlineStr">
      <is>
        <t>90</t>
      </is>
    </nc>
  </rcc>
  <rcc rId="7533" sId="1">
    <nc r="Q192" t="inlineStr">
      <is>
        <t>90</t>
      </is>
    </nc>
  </rcc>
  <rcc rId="7534" sId="1">
    <nc r="P193" t="inlineStr">
      <is>
        <t>90</t>
      </is>
    </nc>
  </rcc>
  <rcc rId="7535" sId="1">
    <nc r="Q193" t="inlineStr">
      <is>
        <t>90</t>
      </is>
    </nc>
  </rcc>
  <rcc rId="7536" sId="1">
    <nc r="P194" t="inlineStr">
      <is>
        <t>90</t>
      </is>
    </nc>
  </rcc>
  <rcc rId="7537" sId="1">
    <nc r="Q194" t="inlineStr">
      <is>
        <t>90</t>
      </is>
    </nc>
  </rcc>
  <rcc rId="7538" sId="1">
    <nc r="P195" t="inlineStr">
      <is>
        <t>90</t>
      </is>
    </nc>
  </rcc>
  <rcc rId="7539" sId="1">
    <nc r="Q195" t="inlineStr">
      <is>
        <t>90</t>
      </is>
    </nc>
  </rcc>
  <rcc rId="7540" sId="1">
    <nc r="P196" t="inlineStr">
      <is>
        <t>90</t>
      </is>
    </nc>
  </rcc>
  <rcc rId="7541" sId="1">
    <nc r="Q196" t="inlineStr">
      <is>
        <t>90</t>
      </is>
    </nc>
  </rcc>
  <rcc rId="7542" sId="1">
    <nc r="P197" t="inlineStr">
      <is>
        <t>90</t>
      </is>
    </nc>
  </rcc>
  <rcc rId="7543" sId="1">
    <nc r="Q197" t="inlineStr">
      <is>
        <t>90</t>
      </is>
    </nc>
  </rcc>
  <rcc rId="7544" sId="1">
    <nc r="P198" t="inlineStr">
      <is>
        <t>90</t>
      </is>
    </nc>
  </rcc>
  <rcc rId="7545" sId="1">
    <nc r="Q198" t="inlineStr">
      <is>
        <t>90</t>
      </is>
    </nc>
  </rcc>
  <rcc rId="7546" sId="1">
    <nc r="P199" t="inlineStr">
      <is>
        <t>90</t>
      </is>
    </nc>
  </rcc>
  <rcc rId="7547" sId="1">
    <nc r="Q199" t="inlineStr">
      <is>
        <t>90</t>
      </is>
    </nc>
  </rcc>
  <rcc rId="7548" sId="1">
    <nc r="P200" t="inlineStr">
      <is>
        <t>90</t>
      </is>
    </nc>
  </rcc>
  <rcc rId="7549" sId="1">
    <nc r="Q200" t="inlineStr">
      <is>
        <t>90</t>
      </is>
    </nc>
  </rcc>
  <rcc rId="7550" sId="1">
    <nc r="P201" t="inlineStr">
      <is>
        <t>90</t>
      </is>
    </nc>
  </rcc>
  <rcc rId="7551" sId="1">
    <nc r="Q201" t="inlineStr">
      <is>
        <t>90</t>
      </is>
    </nc>
  </rcc>
  <rcc rId="7552" sId="1">
    <nc r="P202" t="inlineStr">
      <is>
        <t>90</t>
      </is>
    </nc>
  </rcc>
  <rcc rId="7553" sId="1">
    <nc r="Q202" t="inlineStr">
      <is>
        <t>90</t>
      </is>
    </nc>
  </rcc>
  <rcc rId="7554" sId="1">
    <nc r="P203" t="inlineStr">
      <is>
        <t>90</t>
      </is>
    </nc>
  </rcc>
  <rcc rId="7555" sId="1">
    <nc r="Q203" t="inlineStr">
      <is>
        <t>90</t>
      </is>
    </nc>
  </rcc>
  <rcc rId="7556" sId="1" odxf="1" dxf="1">
    <nc r="P204" t="inlineStr">
      <is>
        <t>90</t>
      </is>
    </nc>
    <odxf>
      <numFmt numFmtId="0" formatCode="General"/>
    </odxf>
    <ndxf>
      <numFmt numFmtId="30" formatCode="@"/>
    </ndxf>
  </rcc>
  <rcc rId="7557" sId="1" odxf="1" dxf="1">
    <nc r="Q204" t="inlineStr">
      <is>
        <t>90</t>
      </is>
    </nc>
    <odxf>
      <numFmt numFmtId="0" formatCode="General"/>
    </odxf>
    <ndxf>
      <numFmt numFmtId="30" formatCode="@"/>
    </ndxf>
  </rcc>
  <rcc rId="7558" sId="1">
    <nc r="P205" t="inlineStr">
      <is>
        <t>90</t>
      </is>
    </nc>
  </rcc>
  <rcc rId="7559" sId="1">
    <nc r="Q205" t="inlineStr">
      <is>
        <t>90</t>
      </is>
    </nc>
  </rcc>
  <rcc rId="7560" sId="1">
    <nc r="P206" t="inlineStr">
      <is>
        <t>90</t>
      </is>
    </nc>
  </rcc>
  <rcc rId="7561" sId="1">
    <nc r="Q206" t="inlineStr">
      <is>
        <t>90</t>
      </is>
    </nc>
  </rcc>
  <rcc rId="7562" sId="1">
    <nc r="P207" t="inlineStr">
      <is>
        <t>90</t>
      </is>
    </nc>
  </rcc>
  <rcc rId="7563" sId="1">
    <nc r="Q207" t="inlineStr">
      <is>
        <t>90</t>
      </is>
    </nc>
  </rcc>
  <rcc rId="7564" sId="1">
    <nc r="P208" t="inlineStr">
      <is>
        <t>90</t>
      </is>
    </nc>
  </rcc>
  <rcc rId="7565" sId="1">
    <nc r="Q208" t="inlineStr">
      <is>
        <t>90</t>
      </is>
    </nc>
  </rcc>
  <rcc rId="7566" sId="1">
    <nc r="P209" t="inlineStr">
      <is>
        <t>90</t>
      </is>
    </nc>
  </rcc>
  <rcc rId="7567" sId="1">
    <nc r="Q209" t="inlineStr">
      <is>
        <t>90</t>
      </is>
    </nc>
  </rcc>
  <rcc rId="7568" sId="1">
    <nc r="P210" t="inlineStr">
      <is>
        <t>90</t>
      </is>
    </nc>
  </rcc>
  <rcc rId="7569" sId="1">
    <nc r="Q210" t="inlineStr">
      <is>
        <t>90</t>
      </is>
    </nc>
  </rcc>
  <rcc rId="7570" sId="1">
    <nc r="P211" t="inlineStr">
      <is>
        <t>90</t>
      </is>
    </nc>
  </rcc>
  <rcc rId="7571" sId="1">
    <nc r="Q211" t="inlineStr">
      <is>
        <t>90</t>
      </is>
    </nc>
  </rcc>
  <rcc rId="7572" sId="1">
    <nc r="P212" t="inlineStr">
      <is>
        <t>90</t>
      </is>
    </nc>
  </rcc>
  <rcc rId="7573" sId="1">
    <nc r="Q212" t="inlineStr">
      <is>
        <t>90</t>
      </is>
    </nc>
  </rcc>
  <rcc rId="7574" sId="1">
    <nc r="P213" t="inlineStr">
      <is>
        <t>90</t>
      </is>
    </nc>
  </rcc>
  <rcc rId="7575" sId="1">
    <nc r="Q213" t="inlineStr">
      <is>
        <t>90</t>
      </is>
    </nc>
  </rcc>
  <rcc rId="7576" sId="1">
    <nc r="P214" t="inlineStr">
      <is>
        <t>90</t>
      </is>
    </nc>
  </rcc>
  <rcc rId="7577" sId="1">
    <nc r="Q214" t="inlineStr">
      <is>
        <t>90</t>
      </is>
    </nc>
  </rcc>
  <rcc rId="7578" sId="1">
    <nc r="P215" t="inlineStr">
      <is>
        <t>90</t>
      </is>
    </nc>
  </rcc>
  <rcc rId="7579" sId="1">
    <nc r="Q215" t="inlineStr">
      <is>
        <t>90</t>
      </is>
    </nc>
  </rcc>
  <rcc rId="7580" sId="1">
    <nc r="P216" t="inlineStr">
      <is>
        <t>90</t>
      </is>
    </nc>
  </rcc>
  <rcc rId="7581" sId="1">
    <nc r="Q216" t="inlineStr">
      <is>
        <t>90</t>
      </is>
    </nc>
  </rcc>
  <rcc rId="7582" sId="1">
    <nc r="P217" t="inlineStr">
      <is>
        <t>90</t>
      </is>
    </nc>
  </rcc>
  <rcc rId="7583" sId="1">
    <nc r="Q217" t="inlineStr">
      <is>
        <t>90</t>
      </is>
    </nc>
  </rcc>
  <rcc rId="7584" sId="1">
    <nc r="P218" t="inlineStr">
      <is>
        <t>90</t>
      </is>
    </nc>
  </rcc>
  <rcc rId="7585" sId="1">
    <nc r="Q218" t="inlineStr">
      <is>
        <t>90</t>
      </is>
    </nc>
  </rcc>
  <rcc rId="7586" sId="1">
    <nc r="P219" t="inlineStr">
      <is>
        <t>90</t>
      </is>
    </nc>
  </rcc>
  <rcc rId="7587" sId="1">
    <nc r="Q219" t="inlineStr">
      <is>
        <t>90</t>
      </is>
    </nc>
  </rcc>
  <rcc rId="7588" sId="1">
    <nc r="P220" t="inlineStr">
      <is>
        <t>90</t>
      </is>
    </nc>
  </rcc>
  <rcc rId="7589" sId="1">
    <nc r="Q220" t="inlineStr">
      <is>
        <t>90</t>
      </is>
    </nc>
  </rcc>
  <rcc rId="7590" sId="1">
    <nc r="P221" t="inlineStr">
      <is>
        <t>90</t>
      </is>
    </nc>
  </rcc>
  <rcc rId="7591" sId="1">
    <nc r="Q221" t="inlineStr">
      <is>
        <t>90</t>
      </is>
    </nc>
  </rcc>
  <rcc rId="7592" sId="1">
    <nc r="P222" t="inlineStr">
      <is>
        <t>90</t>
      </is>
    </nc>
  </rcc>
  <rcc rId="7593" sId="1">
    <nc r="Q222" t="inlineStr">
      <is>
        <t>90</t>
      </is>
    </nc>
  </rcc>
  <rcc rId="7594" sId="1">
    <nc r="P223" t="inlineStr">
      <is>
        <t>90</t>
      </is>
    </nc>
  </rcc>
  <rcc rId="7595" sId="1">
    <nc r="Q223" t="inlineStr">
      <is>
        <t>90</t>
      </is>
    </nc>
  </rcc>
  <rcc rId="7596" sId="1">
    <nc r="P224" t="inlineStr">
      <is>
        <t>90</t>
      </is>
    </nc>
  </rcc>
  <rcc rId="7597" sId="1">
    <nc r="Q224" t="inlineStr">
      <is>
        <t>90</t>
      </is>
    </nc>
  </rcc>
  <rcc rId="7598" sId="1">
    <nc r="P225" t="inlineStr">
      <is>
        <t>90</t>
      </is>
    </nc>
  </rcc>
  <rcc rId="7599" sId="1">
    <nc r="Q225" t="inlineStr">
      <is>
        <t>90</t>
      </is>
    </nc>
  </rcc>
  <rcc rId="7600" sId="1" odxf="1" dxf="1">
    <nc r="P226" t="inlineStr">
      <is>
        <t>90</t>
      </is>
    </nc>
    <odxf>
      <numFmt numFmtId="26" formatCode="hh:mm:ss"/>
    </odxf>
    <ndxf>
      <numFmt numFmtId="30" formatCode="@"/>
    </ndxf>
  </rcc>
  <rcc rId="7601" sId="1" odxf="1" dxf="1">
    <nc r="Q226" t="inlineStr">
      <is>
        <t>90</t>
      </is>
    </nc>
    <odxf>
      <numFmt numFmtId="26" formatCode="hh:mm:ss"/>
    </odxf>
    <ndxf>
      <numFmt numFmtId="30" formatCode="@"/>
    </ndxf>
  </rcc>
  <rcc rId="7602" sId="1">
    <nc r="P227" t="inlineStr">
      <is>
        <t>90</t>
      </is>
    </nc>
  </rcc>
  <rcc rId="7603" sId="1">
    <nc r="Q227" t="inlineStr">
      <is>
        <t>90</t>
      </is>
    </nc>
  </rcc>
  <rcc rId="7604" sId="1">
    <nc r="P228" t="inlineStr">
      <is>
        <t>90</t>
      </is>
    </nc>
  </rcc>
  <rcc rId="7605" sId="1">
    <nc r="Q228" t="inlineStr">
      <is>
        <t>90</t>
      </is>
    </nc>
  </rcc>
  <rcc rId="7606" sId="1">
    <nc r="P229" t="inlineStr">
      <is>
        <t>90</t>
      </is>
    </nc>
  </rcc>
  <rcc rId="7607" sId="1">
    <nc r="Q229" t="inlineStr">
      <is>
        <t>90</t>
      </is>
    </nc>
  </rcc>
  <rcc rId="7608" sId="1">
    <nc r="P230" t="inlineStr">
      <is>
        <t>90</t>
      </is>
    </nc>
  </rcc>
  <rcc rId="7609" sId="1">
    <nc r="Q230" t="inlineStr">
      <is>
        <t>90</t>
      </is>
    </nc>
  </rcc>
  <rcc rId="7610" sId="1">
    <nc r="P231" t="inlineStr">
      <is>
        <t>90</t>
      </is>
    </nc>
  </rcc>
  <rcc rId="7611" sId="1">
    <nc r="Q231" t="inlineStr">
      <is>
        <t>90</t>
      </is>
    </nc>
  </rcc>
  <rcc rId="7612" sId="1">
    <nc r="P232" t="inlineStr">
      <is>
        <t>90</t>
      </is>
    </nc>
  </rcc>
  <rcc rId="7613" sId="1">
    <nc r="Q232" t="inlineStr">
      <is>
        <t>90</t>
      </is>
    </nc>
  </rcc>
  <rcc rId="7614" sId="1">
    <nc r="P233" t="inlineStr">
      <is>
        <t>90</t>
      </is>
    </nc>
  </rcc>
  <rcc rId="7615" sId="1">
    <nc r="Q233" t="inlineStr">
      <is>
        <t>90</t>
      </is>
    </nc>
  </rcc>
  <rcc rId="7616" sId="1">
    <nc r="P234" t="inlineStr">
      <is>
        <t>90</t>
      </is>
    </nc>
  </rcc>
  <rcc rId="7617" sId="1">
    <nc r="Q234" t="inlineStr">
      <is>
        <t>90</t>
      </is>
    </nc>
  </rcc>
  <rcc rId="7618" sId="1">
    <nc r="P235" t="inlineStr">
      <is>
        <t>90</t>
      </is>
    </nc>
  </rcc>
  <rcc rId="7619" sId="1">
    <nc r="Q235" t="inlineStr">
      <is>
        <t>90</t>
      </is>
    </nc>
  </rcc>
  <rcc rId="7620" sId="1">
    <nc r="P236" t="inlineStr">
      <is>
        <t>90</t>
      </is>
    </nc>
  </rcc>
  <rcc rId="7621" sId="1">
    <nc r="Q236" t="inlineStr">
      <is>
        <t>90</t>
      </is>
    </nc>
  </rcc>
  <rcc rId="7622" sId="1">
    <nc r="P237" t="inlineStr">
      <is>
        <t>90</t>
      </is>
    </nc>
  </rcc>
  <rcc rId="7623" sId="1">
    <nc r="Q237" t="inlineStr">
      <is>
        <t>90</t>
      </is>
    </nc>
  </rcc>
  <rcc rId="7624" sId="1">
    <nc r="P238" t="inlineStr">
      <is>
        <t>90</t>
      </is>
    </nc>
  </rcc>
  <rcc rId="7625" sId="1">
    <nc r="Q238" t="inlineStr">
      <is>
        <t>90</t>
      </is>
    </nc>
  </rcc>
  <rcc rId="7626" sId="1">
    <nc r="P239" t="inlineStr">
      <is>
        <t>90</t>
      </is>
    </nc>
  </rcc>
  <rcc rId="7627" sId="1">
    <nc r="Q239" t="inlineStr">
      <is>
        <t>90</t>
      </is>
    </nc>
  </rcc>
  <rcc rId="7628" sId="1">
    <nc r="P240" t="inlineStr">
      <is>
        <t>90</t>
      </is>
    </nc>
  </rcc>
  <rcc rId="7629" sId="1">
    <nc r="Q240" t="inlineStr">
      <is>
        <t>90</t>
      </is>
    </nc>
  </rcc>
  <rcc rId="7630" sId="1">
    <nc r="P241" t="inlineStr">
      <is>
        <t>90</t>
      </is>
    </nc>
  </rcc>
  <rcc rId="7631" sId="1">
    <nc r="Q241" t="inlineStr">
      <is>
        <t>90</t>
      </is>
    </nc>
  </rcc>
  <rcc rId="7632" sId="1">
    <nc r="P242" t="inlineStr">
      <is>
        <t>90</t>
      </is>
    </nc>
  </rcc>
  <rcc rId="7633" sId="1">
    <nc r="Q242" t="inlineStr">
      <is>
        <t>90</t>
      </is>
    </nc>
  </rcc>
  <rcc rId="7634" sId="1">
    <nc r="P243" t="inlineStr">
      <is>
        <t>90</t>
      </is>
    </nc>
  </rcc>
  <rcc rId="7635" sId="1">
    <nc r="Q243" t="inlineStr">
      <is>
        <t>90</t>
      </is>
    </nc>
  </rcc>
  <rcc rId="7636" sId="1">
    <nc r="P244" t="inlineStr">
      <is>
        <t>90</t>
      </is>
    </nc>
  </rcc>
  <rcc rId="7637" sId="1">
    <nc r="Q244" t="inlineStr">
      <is>
        <t>90</t>
      </is>
    </nc>
  </rcc>
  <rcc rId="7638" sId="1">
    <nc r="P245" t="inlineStr">
      <is>
        <t>90</t>
      </is>
    </nc>
  </rcc>
  <rcc rId="7639" sId="1">
    <nc r="Q245" t="inlineStr">
      <is>
        <t>90</t>
      </is>
    </nc>
  </rcc>
  <rcc rId="7640" sId="1" odxf="1" dxf="1">
    <nc r="P246" t="inlineStr">
      <is>
        <t>90</t>
      </is>
    </nc>
    <odxf>
      <numFmt numFmtId="0" formatCode="General"/>
    </odxf>
    <ndxf>
      <numFmt numFmtId="30" formatCode="@"/>
    </ndxf>
  </rcc>
  <rcc rId="7641" sId="1" odxf="1" dxf="1">
    <nc r="Q246" t="inlineStr">
      <is>
        <t>90</t>
      </is>
    </nc>
    <odxf>
      <numFmt numFmtId="0" formatCode="General"/>
    </odxf>
    <ndxf>
      <numFmt numFmtId="30" formatCode="@"/>
    </ndxf>
  </rcc>
  <rcc rId="7642" sId="1" odxf="1" dxf="1">
    <nc r="P247" t="inlineStr">
      <is>
        <t>90</t>
      </is>
    </nc>
    <odxf>
      <numFmt numFmtId="0" formatCode="General"/>
    </odxf>
    <ndxf>
      <numFmt numFmtId="30" formatCode="@"/>
    </ndxf>
  </rcc>
  <rcc rId="7643" sId="1" odxf="1" dxf="1">
    <nc r="Q247" t="inlineStr">
      <is>
        <t>90</t>
      </is>
    </nc>
    <odxf>
      <numFmt numFmtId="0" formatCode="General"/>
    </odxf>
    <ndxf>
      <numFmt numFmtId="30" formatCode="@"/>
    </ndxf>
  </rcc>
  <rcc rId="7644" sId="1">
    <nc r="P248" t="inlineStr">
      <is>
        <t>90</t>
      </is>
    </nc>
  </rcc>
  <rcc rId="7645" sId="1">
    <nc r="Q248" t="inlineStr">
      <is>
        <t>90</t>
      </is>
    </nc>
  </rcc>
  <rcc rId="7646" sId="1">
    <nc r="P249" t="inlineStr">
      <is>
        <t>90</t>
      </is>
    </nc>
  </rcc>
  <rcc rId="7647" sId="1">
    <nc r="Q249" t="inlineStr">
      <is>
        <t>90</t>
      </is>
    </nc>
  </rcc>
  <rcc rId="7648" sId="1">
    <nc r="P250" t="inlineStr">
      <is>
        <t>90</t>
      </is>
    </nc>
  </rcc>
  <rcc rId="7649" sId="1">
    <nc r="Q250" t="inlineStr">
      <is>
        <t>90</t>
      </is>
    </nc>
  </rcc>
  <rcc rId="7650" sId="1">
    <nc r="P251" t="inlineStr">
      <is>
        <t>90</t>
      </is>
    </nc>
  </rcc>
  <rcc rId="7651" sId="1">
    <nc r="Q251" t="inlineStr">
      <is>
        <t>90</t>
      </is>
    </nc>
  </rcc>
  <rcc rId="7652" sId="1">
    <nc r="P252" t="inlineStr">
      <is>
        <t>90</t>
      </is>
    </nc>
  </rcc>
  <rcc rId="7653" sId="1">
    <nc r="Q252" t="inlineStr">
      <is>
        <t>90</t>
      </is>
    </nc>
  </rcc>
  <rcc rId="7654" sId="1">
    <nc r="P253" t="inlineStr">
      <is>
        <t>90</t>
      </is>
    </nc>
  </rcc>
  <rcc rId="7655" sId="1">
    <nc r="Q253" t="inlineStr">
      <is>
        <t>90</t>
      </is>
    </nc>
  </rcc>
  <rcc rId="7656" sId="1">
    <nc r="P254" t="inlineStr">
      <is>
        <t>90</t>
      </is>
    </nc>
  </rcc>
  <rcc rId="7657" sId="1">
    <nc r="Q254" t="inlineStr">
      <is>
        <t>90</t>
      </is>
    </nc>
  </rcc>
  <rcc rId="7658" sId="1">
    <nc r="P255" t="inlineStr">
      <is>
        <t>90</t>
      </is>
    </nc>
  </rcc>
  <rcc rId="7659" sId="1">
    <nc r="Q255" t="inlineStr">
      <is>
        <t>90</t>
      </is>
    </nc>
  </rcc>
  <rcc rId="7660" sId="1">
    <nc r="P256" t="inlineStr">
      <is>
        <t>90</t>
      </is>
    </nc>
  </rcc>
  <rcc rId="7661" sId="1">
    <nc r="Q256" t="inlineStr">
      <is>
        <t>90</t>
      </is>
    </nc>
  </rcc>
  <rcc rId="7662" sId="1">
    <nc r="P257" t="inlineStr">
      <is>
        <t>90</t>
      </is>
    </nc>
  </rcc>
  <rcc rId="7663" sId="1">
    <nc r="Q257" t="inlineStr">
      <is>
        <t>90</t>
      </is>
    </nc>
  </rcc>
  <rcc rId="7664" sId="1">
    <nc r="P258" t="inlineStr">
      <is>
        <t>90</t>
      </is>
    </nc>
  </rcc>
  <rcc rId="7665" sId="1">
    <nc r="Q258" t="inlineStr">
      <is>
        <t>90</t>
      </is>
    </nc>
  </rcc>
  <rcc rId="7666" sId="1">
    <nc r="P259" t="inlineStr">
      <is>
        <t>90</t>
      </is>
    </nc>
  </rcc>
  <rcc rId="7667" sId="1">
    <nc r="Q259" t="inlineStr">
      <is>
        <t>90</t>
      </is>
    </nc>
  </rcc>
  <rcc rId="7668" sId="1">
    <nc r="P260" t="inlineStr">
      <is>
        <t>90</t>
      </is>
    </nc>
  </rcc>
  <rcc rId="7669" sId="1">
    <nc r="Q260" t="inlineStr">
      <is>
        <t>90</t>
      </is>
    </nc>
  </rcc>
  <rcc rId="7670" sId="1">
    <nc r="P261" t="inlineStr">
      <is>
        <t>90</t>
      </is>
    </nc>
  </rcc>
  <rcc rId="7671" sId="1">
    <nc r="Q261" t="inlineStr">
      <is>
        <t>90</t>
      </is>
    </nc>
  </rcc>
  <rcc rId="7672" sId="1">
    <nc r="P262" t="inlineStr">
      <is>
        <t>90</t>
      </is>
    </nc>
  </rcc>
  <rcc rId="7673" sId="1">
    <nc r="Q262" t="inlineStr">
      <is>
        <t>90</t>
      </is>
    </nc>
  </rcc>
  <rcc rId="7674" sId="1">
    <nc r="P263" t="inlineStr">
      <is>
        <t>90</t>
      </is>
    </nc>
  </rcc>
  <rcc rId="7675" sId="1">
    <nc r="Q263" t="inlineStr">
      <is>
        <t>90</t>
      </is>
    </nc>
  </rcc>
  <rcc rId="7676" sId="1">
    <nc r="P264" t="inlineStr">
      <is>
        <t>90</t>
      </is>
    </nc>
  </rcc>
  <rcc rId="7677" sId="1">
    <nc r="Q264" t="inlineStr">
      <is>
        <t>90</t>
      </is>
    </nc>
  </rcc>
  <rcc rId="7678" sId="1">
    <nc r="P265" t="inlineStr">
      <is>
        <t>90</t>
      </is>
    </nc>
  </rcc>
  <rcc rId="7679" sId="1">
    <nc r="Q265" t="inlineStr">
      <is>
        <t>90</t>
      </is>
    </nc>
  </rcc>
  <rcc rId="7680" sId="1">
    <nc r="P266" t="inlineStr">
      <is>
        <t>90</t>
      </is>
    </nc>
  </rcc>
  <rcc rId="7681" sId="1">
    <nc r="Q266" t="inlineStr">
      <is>
        <t>90</t>
      </is>
    </nc>
  </rcc>
  <rcc rId="7682" sId="1">
    <nc r="P267" t="inlineStr">
      <is>
        <t>90</t>
      </is>
    </nc>
  </rcc>
  <rcc rId="7683" sId="1">
    <nc r="Q267" t="inlineStr">
      <is>
        <t>90</t>
      </is>
    </nc>
  </rcc>
  <rcc rId="7684" sId="1">
    <nc r="P268" t="inlineStr">
      <is>
        <t>90</t>
      </is>
    </nc>
  </rcc>
  <rcc rId="7685" sId="1">
    <nc r="Q268" t="inlineStr">
      <is>
        <t>90</t>
      </is>
    </nc>
  </rcc>
  <rcc rId="7686" sId="1">
    <nc r="P269" t="inlineStr">
      <is>
        <t>90</t>
      </is>
    </nc>
  </rcc>
  <rcc rId="7687" sId="1">
    <nc r="Q269" t="inlineStr">
      <is>
        <t>90</t>
      </is>
    </nc>
  </rcc>
  <rcc rId="7688" sId="1">
    <nc r="P270" t="inlineStr">
      <is>
        <t>90</t>
      </is>
    </nc>
  </rcc>
  <rcc rId="7689" sId="1">
    <nc r="Q270" t="inlineStr">
      <is>
        <t>90</t>
      </is>
    </nc>
  </rcc>
  <rcc rId="7690" sId="1">
    <nc r="P271" t="inlineStr">
      <is>
        <t>90</t>
      </is>
    </nc>
  </rcc>
  <rcc rId="7691" sId="1">
    <nc r="Q271" t="inlineStr">
      <is>
        <t>90</t>
      </is>
    </nc>
  </rcc>
  <rcc rId="7692" sId="1">
    <nc r="P272" t="inlineStr">
      <is>
        <t>90</t>
      </is>
    </nc>
  </rcc>
  <rcc rId="7693" sId="1">
    <nc r="Q272" t="inlineStr">
      <is>
        <t>90</t>
      </is>
    </nc>
  </rcc>
  <rcc rId="7694" sId="1">
    <nc r="P273" t="inlineStr">
      <is>
        <t>90</t>
      </is>
    </nc>
  </rcc>
  <rcc rId="7695" sId="1">
    <nc r="Q273" t="inlineStr">
      <is>
        <t>90</t>
      </is>
    </nc>
  </rcc>
  <rcc rId="7696" sId="1">
    <nc r="P274" t="inlineStr">
      <is>
        <t>90</t>
      </is>
    </nc>
  </rcc>
  <rcc rId="7697" sId="1">
    <nc r="Q274" t="inlineStr">
      <is>
        <t>90</t>
      </is>
    </nc>
  </rcc>
  <rcc rId="7698" sId="1">
    <nc r="P275" t="inlineStr">
      <is>
        <t>90</t>
      </is>
    </nc>
  </rcc>
  <rcc rId="7699" sId="1">
    <nc r="Q275" t="inlineStr">
      <is>
        <t>90</t>
      </is>
    </nc>
  </rcc>
  <rcc rId="7700" sId="1">
    <nc r="P276" t="inlineStr">
      <is>
        <t>90</t>
      </is>
    </nc>
  </rcc>
  <rcc rId="7701" sId="1">
    <nc r="Q276" t="inlineStr">
      <is>
        <t>90</t>
      </is>
    </nc>
  </rcc>
  <rcc rId="7702" sId="1">
    <nc r="P277" t="inlineStr">
      <is>
        <t>90</t>
      </is>
    </nc>
  </rcc>
  <rcc rId="7703" sId="1">
    <nc r="Q277" t="inlineStr">
      <is>
        <t>90</t>
      </is>
    </nc>
  </rcc>
  <rcc rId="7704" sId="1">
    <nc r="P278" t="inlineStr">
      <is>
        <t>90</t>
      </is>
    </nc>
  </rcc>
  <rcc rId="7705" sId="1">
    <nc r="Q278" t="inlineStr">
      <is>
        <t>90</t>
      </is>
    </nc>
  </rcc>
  <rcc rId="7706" sId="1">
    <nc r="P279" t="inlineStr">
      <is>
        <t>90</t>
      </is>
    </nc>
  </rcc>
  <rcc rId="7707" sId="1">
    <nc r="Q279" t="inlineStr">
      <is>
        <t>90</t>
      </is>
    </nc>
  </rcc>
  <rcc rId="7708" sId="1">
    <nc r="P280" t="inlineStr">
      <is>
        <t>90</t>
      </is>
    </nc>
  </rcc>
  <rcc rId="7709" sId="1">
    <nc r="Q280" t="inlineStr">
      <is>
        <t>90</t>
      </is>
    </nc>
  </rcc>
  <rcc rId="7710" sId="1">
    <nc r="P281" t="inlineStr">
      <is>
        <t>90</t>
      </is>
    </nc>
  </rcc>
  <rcc rId="7711" sId="1">
    <nc r="Q281" t="inlineStr">
      <is>
        <t>90</t>
      </is>
    </nc>
  </rcc>
  <rcc rId="7712" sId="1">
    <nc r="P282" t="inlineStr">
      <is>
        <t>90</t>
      </is>
    </nc>
  </rcc>
  <rcc rId="7713" sId="1">
    <nc r="Q282" t="inlineStr">
      <is>
        <t>90</t>
      </is>
    </nc>
  </rcc>
  <rcc rId="7714" sId="1">
    <nc r="P283" t="inlineStr">
      <is>
        <t>90</t>
      </is>
    </nc>
  </rcc>
  <rcc rId="7715" sId="1">
    <nc r="Q283" t="inlineStr">
      <is>
        <t>90</t>
      </is>
    </nc>
  </rcc>
  <rcc rId="7716" sId="1">
    <nc r="P284" t="inlineStr">
      <is>
        <t>90</t>
      </is>
    </nc>
  </rcc>
  <rcc rId="7717" sId="1">
    <nc r="Q284" t="inlineStr">
      <is>
        <t>90</t>
      </is>
    </nc>
  </rcc>
  <rcc rId="7718" sId="1">
    <nc r="P285" t="inlineStr">
      <is>
        <t>90</t>
      </is>
    </nc>
  </rcc>
  <rcc rId="7719" sId="1">
    <nc r="Q285" t="inlineStr">
      <is>
        <t>90</t>
      </is>
    </nc>
  </rcc>
  <rcc rId="7720" sId="1">
    <nc r="P286" t="inlineStr">
      <is>
        <t>90</t>
      </is>
    </nc>
  </rcc>
  <rcc rId="7721" sId="1">
    <nc r="Q286" t="inlineStr">
      <is>
        <t>90</t>
      </is>
    </nc>
  </rcc>
  <rcc rId="7722" sId="1">
    <nc r="P287" t="inlineStr">
      <is>
        <t>90</t>
      </is>
    </nc>
  </rcc>
  <rcc rId="7723" sId="1">
    <nc r="Q287" t="inlineStr">
      <is>
        <t>90</t>
      </is>
    </nc>
  </rcc>
  <rcc rId="7724" sId="1">
    <nc r="P288" t="inlineStr">
      <is>
        <t>90</t>
      </is>
    </nc>
  </rcc>
  <rcc rId="7725" sId="1">
    <nc r="Q288" t="inlineStr">
      <is>
        <t>90</t>
      </is>
    </nc>
  </rcc>
  <rcc rId="7726" sId="1">
    <nc r="P289" t="inlineStr">
      <is>
        <t>90</t>
      </is>
    </nc>
  </rcc>
  <rcc rId="7727" sId="1">
    <nc r="Q289" t="inlineStr">
      <is>
        <t>90</t>
      </is>
    </nc>
  </rcc>
  <rcc rId="7728" sId="1">
    <nc r="P290" t="inlineStr">
      <is>
        <t>90</t>
      </is>
    </nc>
  </rcc>
  <rcc rId="7729" sId="1">
    <nc r="Q290" t="inlineStr">
      <is>
        <t>90</t>
      </is>
    </nc>
  </rcc>
  <rcc rId="7730" sId="1">
    <nc r="P291" t="inlineStr">
      <is>
        <t>90</t>
      </is>
    </nc>
  </rcc>
  <rcc rId="7731" sId="1">
    <nc r="Q291" t="inlineStr">
      <is>
        <t>90</t>
      </is>
    </nc>
  </rcc>
  <rcc rId="7732" sId="1">
    <nc r="P292" t="inlineStr">
      <is>
        <t>90</t>
      </is>
    </nc>
  </rcc>
  <rcc rId="7733" sId="1">
    <nc r="Q292" t="inlineStr">
      <is>
        <t>90</t>
      </is>
    </nc>
  </rcc>
  <rcc rId="7734" sId="1">
    <nc r="P293" t="inlineStr">
      <is>
        <t>90</t>
      </is>
    </nc>
  </rcc>
  <rcc rId="7735" sId="1">
    <nc r="Q293" t="inlineStr">
      <is>
        <t>90</t>
      </is>
    </nc>
  </rcc>
  <rcc rId="7736" sId="1">
    <nc r="P294" t="inlineStr">
      <is>
        <t>90</t>
      </is>
    </nc>
  </rcc>
  <rcc rId="7737" sId="1">
    <nc r="Q294" t="inlineStr">
      <is>
        <t>90</t>
      </is>
    </nc>
  </rcc>
  <rcc rId="7738" sId="1">
    <nc r="P295" t="inlineStr">
      <is>
        <t>90</t>
      </is>
    </nc>
  </rcc>
  <rcc rId="7739" sId="1">
    <nc r="Q295" t="inlineStr">
      <is>
        <t>90</t>
      </is>
    </nc>
  </rcc>
  <rcc rId="7740" sId="1">
    <nc r="P296" t="inlineStr">
      <is>
        <t>90</t>
      </is>
    </nc>
  </rcc>
  <rcc rId="7741" sId="1">
    <nc r="Q296" t="inlineStr">
      <is>
        <t>90</t>
      </is>
    </nc>
  </rcc>
  <rcc rId="7742" sId="1">
    <nc r="P297" t="inlineStr">
      <is>
        <t>90</t>
      </is>
    </nc>
  </rcc>
  <rcc rId="7743" sId="1">
    <nc r="Q297" t="inlineStr">
      <is>
        <t>90</t>
      </is>
    </nc>
  </rcc>
  <rcc rId="7744" sId="1">
    <nc r="P298" t="inlineStr">
      <is>
        <t>90</t>
      </is>
    </nc>
  </rcc>
  <rcc rId="7745" sId="1">
    <nc r="Q298" t="inlineStr">
      <is>
        <t>90</t>
      </is>
    </nc>
  </rcc>
  <rcc rId="7746" sId="1">
    <nc r="P299" t="inlineStr">
      <is>
        <t>90</t>
      </is>
    </nc>
  </rcc>
  <rcc rId="7747" sId="1">
    <nc r="Q299" t="inlineStr">
      <is>
        <t>90</t>
      </is>
    </nc>
  </rcc>
  <rcc rId="7748" sId="1">
    <nc r="P300" t="inlineStr">
      <is>
        <t>90</t>
      </is>
    </nc>
  </rcc>
  <rcc rId="7749" sId="1">
    <nc r="Q300" t="inlineStr">
      <is>
        <t>90</t>
      </is>
    </nc>
  </rcc>
  <rcc rId="7750" sId="1">
    <nc r="P301" t="inlineStr">
      <is>
        <t>90</t>
      </is>
    </nc>
  </rcc>
  <rcc rId="7751" sId="1">
    <nc r="Q301" t="inlineStr">
      <is>
        <t>90</t>
      </is>
    </nc>
  </rcc>
  <rcc rId="7752" sId="1">
    <nc r="P302" t="inlineStr">
      <is>
        <t>90</t>
      </is>
    </nc>
  </rcc>
  <rcc rId="7753" sId="1">
    <nc r="Q302" t="inlineStr">
      <is>
        <t>90</t>
      </is>
    </nc>
  </rcc>
  <rcc rId="7754" sId="1">
    <nc r="P303" t="inlineStr">
      <is>
        <t>90</t>
      </is>
    </nc>
  </rcc>
  <rcc rId="7755" sId="1">
    <nc r="Q303" t="inlineStr">
      <is>
        <t>90</t>
      </is>
    </nc>
  </rcc>
  <rcc rId="7756" sId="1">
    <nc r="P304" t="inlineStr">
      <is>
        <t>90</t>
      </is>
    </nc>
  </rcc>
  <rcc rId="7757" sId="1">
    <nc r="Q304" t="inlineStr">
      <is>
        <t>90</t>
      </is>
    </nc>
  </rcc>
  <rcc rId="7758" sId="1">
    <nc r="P305" t="inlineStr">
      <is>
        <t>90</t>
      </is>
    </nc>
  </rcc>
  <rcc rId="7759" sId="1">
    <nc r="Q305" t="inlineStr">
      <is>
        <t>90</t>
      </is>
    </nc>
  </rcc>
  <rcc rId="7760" sId="1">
    <nc r="P306" t="inlineStr">
      <is>
        <t>90</t>
      </is>
    </nc>
  </rcc>
  <rcc rId="7761" sId="1">
    <nc r="Q306" t="inlineStr">
      <is>
        <t>90</t>
      </is>
    </nc>
  </rcc>
  <rcc rId="7762" sId="1">
    <nc r="P307" t="inlineStr">
      <is>
        <t>90</t>
      </is>
    </nc>
  </rcc>
  <rcc rId="7763" sId="1">
    <nc r="Q307" t="inlineStr">
      <is>
        <t>90</t>
      </is>
    </nc>
  </rcc>
  <rcc rId="7764" sId="1">
    <nc r="P308" t="inlineStr">
      <is>
        <t>90</t>
      </is>
    </nc>
  </rcc>
  <rcc rId="7765" sId="1">
    <nc r="Q308" t="inlineStr">
      <is>
        <t>90</t>
      </is>
    </nc>
  </rcc>
  <rcc rId="7766" sId="1">
    <nc r="P309" t="inlineStr">
      <is>
        <t>90</t>
      </is>
    </nc>
  </rcc>
  <rcc rId="7767" sId="1">
    <nc r="Q309" t="inlineStr">
      <is>
        <t>90</t>
      </is>
    </nc>
  </rcc>
  <rcc rId="7768" sId="1">
    <nc r="P310" t="inlineStr">
      <is>
        <t>90</t>
      </is>
    </nc>
  </rcc>
  <rcc rId="7769" sId="1">
    <nc r="Q310" t="inlineStr">
      <is>
        <t>90</t>
      </is>
    </nc>
  </rcc>
  <rcc rId="7770" sId="1">
    <nc r="P311" t="inlineStr">
      <is>
        <t>90</t>
      </is>
    </nc>
  </rcc>
  <rcc rId="7771" sId="1">
    <nc r="Q311" t="inlineStr">
      <is>
        <t>90</t>
      </is>
    </nc>
  </rcc>
  <rcc rId="7772" sId="1">
    <nc r="P312" t="inlineStr">
      <is>
        <t>90</t>
      </is>
    </nc>
  </rcc>
  <rcc rId="7773" sId="1">
    <nc r="Q312" t="inlineStr">
      <is>
        <t>90</t>
      </is>
    </nc>
  </rcc>
  <rcc rId="7774" sId="1">
    <nc r="P313" t="inlineStr">
      <is>
        <t>90</t>
      </is>
    </nc>
  </rcc>
  <rcc rId="7775" sId="1">
    <nc r="Q313" t="inlineStr">
      <is>
        <t>90</t>
      </is>
    </nc>
  </rcc>
  <rcc rId="7776" sId="1">
    <nc r="P314" t="inlineStr">
      <is>
        <t>90</t>
      </is>
    </nc>
  </rcc>
  <rcc rId="7777" sId="1">
    <nc r="Q314" t="inlineStr">
      <is>
        <t>90</t>
      </is>
    </nc>
  </rcc>
  <rcc rId="7778" sId="1">
    <nc r="P315" t="inlineStr">
      <is>
        <t>90</t>
      </is>
    </nc>
  </rcc>
  <rcc rId="7779" sId="1">
    <nc r="Q315" t="inlineStr">
      <is>
        <t>90</t>
      </is>
    </nc>
  </rcc>
  <rcc rId="7780" sId="1">
    <nc r="P316" t="inlineStr">
      <is>
        <t>90</t>
      </is>
    </nc>
  </rcc>
  <rcc rId="7781" sId="1">
    <nc r="Q316" t="inlineStr">
      <is>
        <t>90</t>
      </is>
    </nc>
  </rcc>
  <rcc rId="7782" sId="1">
    <nc r="P317" t="inlineStr">
      <is>
        <t>90</t>
      </is>
    </nc>
  </rcc>
  <rcc rId="7783" sId="1">
    <nc r="Q317" t="inlineStr">
      <is>
        <t>90</t>
      </is>
    </nc>
  </rcc>
  <rcc rId="7784" sId="1">
    <nc r="P318" t="inlineStr">
      <is>
        <t>90</t>
      </is>
    </nc>
  </rcc>
  <rcc rId="7785" sId="1">
    <nc r="Q318" t="inlineStr">
      <is>
        <t>90</t>
      </is>
    </nc>
  </rcc>
  <rcc rId="7786" sId="1">
    <nc r="P319" t="inlineStr">
      <is>
        <t>90</t>
      </is>
    </nc>
  </rcc>
  <rcc rId="7787" sId="1">
    <nc r="Q319" t="inlineStr">
      <is>
        <t>90</t>
      </is>
    </nc>
  </rcc>
  <rcc rId="7788" sId="1">
    <nc r="P320" t="inlineStr">
      <is>
        <t>90</t>
      </is>
    </nc>
  </rcc>
  <rcc rId="7789" sId="1">
    <nc r="Q320" t="inlineStr">
      <is>
        <t>90</t>
      </is>
    </nc>
  </rcc>
  <rcc rId="7790" sId="1">
    <nc r="P321" t="inlineStr">
      <is>
        <t>90</t>
      </is>
    </nc>
  </rcc>
  <rcc rId="7791" sId="1">
    <nc r="Q321" t="inlineStr">
      <is>
        <t>90</t>
      </is>
    </nc>
  </rcc>
  <rcc rId="7792" sId="1">
    <nc r="P322" t="inlineStr">
      <is>
        <t>90</t>
      </is>
    </nc>
  </rcc>
  <rcc rId="7793" sId="1">
    <nc r="Q322" t="inlineStr">
      <is>
        <t>90</t>
      </is>
    </nc>
  </rcc>
  <rcc rId="7794" sId="1">
    <nc r="P323" t="inlineStr">
      <is>
        <t>90</t>
      </is>
    </nc>
  </rcc>
  <rcc rId="7795" sId="1">
    <nc r="Q323" t="inlineStr">
      <is>
        <t>90</t>
      </is>
    </nc>
  </rcc>
  <rcc rId="7796" sId="1">
    <nc r="P324" t="inlineStr">
      <is>
        <t>90</t>
      </is>
    </nc>
  </rcc>
  <rcc rId="7797" sId="1">
    <nc r="Q324" t="inlineStr">
      <is>
        <t>90</t>
      </is>
    </nc>
  </rcc>
  <rcc rId="7798" sId="1">
    <nc r="P325" t="inlineStr">
      <is>
        <t>90</t>
      </is>
    </nc>
  </rcc>
  <rcc rId="7799" sId="1">
    <nc r="Q325" t="inlineStr">
      <is>
        <t>90</t>
      </is>
    </nc>
  </rcc>
  <rcc rId="7800" sId="1">
    <nc r="P326" t="inlineStr">
      <is>
        <t>90</t>
      </is>
    </nc>
  </rcc>
  <rcc rId="7801" sId="1">
    <nc r="Q326" t="inlineStr">
      <is>
        <t>90</t>
      </is>
    </nc>
  </rcc>
  <rcc rId="7802" sId="1">
    <nc r="P327" t="inlineStr">
      <is>
        <t>90</t>
      </is>
    </nc>
  </rcc>
  <rcc rId="7803" sId="1">
    <nc r="Q327" t="inlineStr">
      <is>
        <t>90</t>
      </is>
    </nc>
  </rcc>
  <rcc rId="7804" sId="1">
    <nc r="P328" t="inlineStr">
      <is>
        <t>90</t>
      </is>
    </nc>
  </rcc>
  <rcc rId="7805" sId="1">
    <nc r="Q328" t="inlineStr">
      <is>
        <t>90</t>
      </is>
    </nc>
  </rcc>
  <rcc rId="7806" sId="1">
    <nc r="P329" t="inlineStr">
      <is>
        <t>90</t>
      </is>
    </nc>
  </rcc>
  <rcc rId="7807" sId="1">
    <nc r="Q329" t="inlineStr">
      <is>
        <t>90</t>
      </is>
    </nc>
  </rcc>
  <rcc rId="7808" sId="1">
    <nc r="P330" t="inlineStr">
      <is>
        <t>90</t>
      </is>
    </nc>
  </rcc>
  <rcc rId="7809" sId="1">
    <nc r="Q330" t="inlineStr">
      <is>
        <t>90</t>
      </is>
    </nc>
  </rcc>
  <rcc rId="7810" sId="1">
    <nc r="P331" t="inlineStr">
      <is>
        <t>90</t>
      </is>
    </nc>
  </rcc>
  <rcc rId="7811" sId="1">
    <nc r="Q331" t="inlineStr">
      <is>
        <t>90</t>
      </is>
    </nc>
  </rcc>
  <rcc rId="7812" sId="1">
    <nc r="P332" t="inlineStr">
      <is>
        <t>90</t>
      </is>
    </nc>
  </rcc>
  <rcc rId="7813" sId="1">
    <nc r="Q332" t="inlineStr">
      <is>
        <t>90</t>
      </is>
    </nc>
  </rcc>
  <rcc rId="7814" sId="1">
    <nc r="P333" t="inlineStr">
      <is>
        <t>90</t>
      </is>
    </nc>
  </rcc>
  <rcc rId="7815" sId="1">
    <nc r="Q333" t="inlineStr">
      <is>
        <t>90</t>
      </is>
    </nc>
  </rcc>
  <rcc rId="7816" sId="1">
    <nc r="P334" t="inlineStr">
      <is>
        <t>90</t>
      </is>
    </nc>
  </rcc>
  <rcc rId="7817" sId="1">
    <nc r="Q334" t="inlineStr">
      <is>
        <t>90</t>
      </is>
    </nc>
  </rcc>
  <rcc rId="7818" sId="1">
    <nc r="P335" t="inlineStr">
      <is>
        <t>90</t>
      </is>
    </nc>
  </rcc>
  <rcc rId="7819" sId="1">
    <nc r="Q335" t="inlineStr">
      <is>
        <t>90</t>
      </is>
    </nc>
  </rcc>
  <rcc rId="7820" sId="1">
    <nc r="P336" t="inlineStr">
      <is>
        <t>90</t>
      </is>
    </nc>
  </rcc>
  <rcc rId="7821" sId="1">
    <nc r="Q336" t="inlineStr">
      <is>
        <t>90</t>
      </is>
    </nc>
  </rcc>
  <rcc rId="7822" sId="1">
    <nc r="P337" t="inlineStr">
      <is>
        <t>90</t>
      </is>
    </nc>
  </rcc>
  <rcc rId="7823" sId="1">
    <nc r="Q337" t="inlineStr">
      <is>
        <t>90</t>
      </is>
    </nc>
  </rcc>
  <rcc rId="7824" sId="1">
    <nc r="P338" t="inlineStr">
      <is>
        <t>90</t>
      </is>
    </nc>
  </rcc>
  <rcc rId="7825" sId="1">
    <nc r="Q338" t="inlineStr">
      <is>
        <t>90</t>
      </is>
    </nc>
  </rcc>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26" sId="1" numFmtId="4">
    <oc r="S241">
      <v>28.792590000000001</v>
    </oc>
    <nc r="S241">
      <v>28.8</v>
    </nc>
  </rcc>
  <rcc rId="7827" sId="1" numFmtId="4">
    <oc r="S242">
      <v>28.792590000000001</v>
    </oc>
    <nc r="S242">
      <v>28.8</v>
    </nc>
  </rcc>
  <rcc rId="7828" sId="1" numFmtId="4">
    <oc r="R243">
      <v>28.792590000000001</v>
    </oc>
    <nc r="R243">
      <v>28.8</v>
    </nc>
  </rcc>
  <rcc rId="7829" sId="1" numFmtId="4">
    <oc r="S243">
      <v>28.792590000000001</v>
    </oc>
    <nc r="S243">
      <v>28.8</v>
    </nc>
  </rcc>
  <rcc rId="7830" sId="1" numFmtId="4">
    <oc r="S246">
      <v>28.792590000000001</v>
    </oc>
    <nc r="S246">
      <v>28.8</v>
    </nc>
  </rcc>
  <rcc rId="7831" sId="1" numFmtId="4">
    <oc r="S247">
      <v>28.792590000000001</v>
    </oc>
    <nc r="S247">
      <v>28.8</v>
    </nc>
  </rcc>
  <rcc rId="7832" sId="1" numFmtId="4">
    <oc r="R248">
      <v>28.792590000000001</v>
    </oc>
    <nc r="R248">
      <v>28.8</v>
    </nc>
  </rcc>
  <rcc rId="7833" sId="1" numFmtId="4">
    <oc r="S251">
      <v>28.792590000000001</v>
    </oc>
    <nc r="S251">
      <v>28.8</v>
    </nc>
  </rcc>
  <rcc rId="7834" sId="1" numFmtId="4">
    <oc r="S252">
      <v>28.792590000000001</v>
    </oc>
    <nc r="S252">
      <v>28.8</v>
    </nc>
  </rcc>
  <rcc rId="7835" sId="1" numFmtId="4">
    <oc r="R253">
      <v>28.792590000000001</v>
    </oc>
    <nc r="R253">
      <v>28.8</v>
    </nc>
  </rcc>
  <rcc rId="7836" sId="1" numFmtId="4">
    <oc r="S253">
      <v>28.792590000000001</v>
    </oc>
    <nc r="S253">
      <v>28.8</v>
    </nc>
  </rcc>
  <rcc rId="7837" sId="1" numFmtId="4">
    <oc r="S255">
      <v>28.792590000000001</v>
    </oc>
    <nc r="S255">
      <v>28.8</v>
    </nc>
  </rcc>
  <rcc rId="7838" sId="1" numFmtId="4">
    <oc r="R256">
      <v>28.792590000000001</v>
    </oc>
    <nc r="R256">
      <v>28.8</v>
    </nc>
  </rcc>
  <rcc rId="7839" sId="1" numFmtId="4">
    <oc r="S256">
      <v>28.792590000000001</v>
    </oc>
    <nc r="S256">
      <v>28.8</v>
    </nc>
  </rcc>
  <rcc rId="7840" sId="1" numFmtId="4">
    <oc r="R257">
      <v>28.792590000000001</v>
    </oc>
    <nc r="R257">
      <v>28.8</v>
    </nc>
  </rcc>
  <rcc rId="7841" sId="1" numFmtId="4">
    <oc r="S257">
      <v>28.792590000000001</v>
    </oc>
    <nc r="S257">
      <v>28.8</v>
    </nc>
  </rcc>
  <rcc rId="7842" sId="1" numFmtId="4">
    <oc r="S258">
      <v>28.792590000000001</v>
    </oc>
    <nc r="S258">
      <v>28.8</v>
    </nc>
  </rcc>
  <rcc rId="7843" sId="1" numFmtId="4">
    <oc r="S259">
      <v>28.792590000000001</v>
    </oc>
    <nc r="S259">
      <v>28.8</v>
    </nc>
  </rcc>
  <rcc rId="7844" sId="1" numFmtId="4">
    <oc r="S260">
      <v>28.792590000000001</v>
    </oc>
    <nc r="S260">
      <v>28.8</v>
    </nc>
  </rcc>
  <rcc rId="7845" sId="1" numFmtId="4">
    <oc r="S261">
      <v>28.792590000000001</v>
    </oc>
    <nc r="S261">
      <v>28.8</v>
    </nc>
  </rcc>
  <rcc rId="7846" sId="1" numFmtId="4">
    <oc r="R262">
      <v>28.792590000000001</v>
    </oc>
    <nc r="R262">
      <v>28.8</v>
    </nc>
  </rcc>
  <rcc rId="7847" sId="1" numFmtId="4">
    <oc r="S263">
      <v>28.792590000000001</v>
    </oc>
    <nc r="S263">
      <v>28.8</v>
    </nc>
  </rcc>
  <rcc rId="7848" sId="1" numFmtId="4">
    <oc r="S264">
      <v>28.792590000000001</v>
    </oc>
    <nc r="S264">
      <v>28.8</v>
    </nc>
  </rcc>
  <rcc rId="7849" sId="1" numFmtId="4">
    <oc r="S266">
      <v>28.792590000000001</v>
    </oc>
    <nc r="S266">
      <v>28.8</v>
    </nc>
  </rcc>
  <rcc rId="7850" sId="1" numFmtId="4">
    <oc r="S267">
      <v>28.792590000000001</v>
    </oc>
    <nc r="S267">
      <v>28.8</v>
    </nc>
  </rcc>
  <rcc rId="7851" sId="1" numFmtId="4">
    <oc r="R268">
      <v>28.792590000000001</v>
    </oc>
    <nc r="R268">
      <v>28.8</v>
    </nc>
  </rcc>
  <rcc rId="7852" sId="1" numFmtId="4">
    <oc r="S268">
      <v>28.792590000000001</v>
    </oc>
    <nc r="S268">
      <v>28.8</v>
    </nc>
  </rcc>
  <rcc rId="7853" sId="1" numFmtId="4">
    <oc r="R269">
      <v>28.792590000000001</v>
    </oc>
    <nc r="R269">
      <v>28.8</v>
    </nc>
  </rcc>
  <rcc rId="7854" sId="1" numFmtId="4">
    <oc r="S269">
      <v>28.792590000000001</v>
    </oc>
    <nc r="S269">
      <v>28.8</v>
    </nc>
  </rcc>
  <rcc rId="7855" sId="1" numFmtId="4">
    <oc r="R270">
      <v>28.792590000000001</v>
    </oc>
    <nc r="R270">
      <v>28.8</v>
    </nc>
  </rcc>
  <rcc rId="7856" sId="1" numFmtId="4">
    <oc r="S270">
      <v>28.792590000000001</v>
    </oc>
    <nc r="S270">
      <v>28.8</v>
    </nc>
  </rcc>
  <rcc rId="7857" sId="1" numFmtId="4">
    <oc r="R271">
      <v>28.792590000000001</v>
    </oc>
    <nc r="R271">
      <v>28.8</v>
    </nc>
  </rcc>
  <rcc rId="7858" sId="1" numFmtId="4">
    <oc r="S271">
      <v>28.792590000000001</v>
    </oc>
    <nc r="S271">
      <v>28.8</v>
    </nc>
  </rcc>
  <rcc rId="7859" sId="1" numFmtId="4">
    <oc r="R272">
      <v>28.792590000000001</v>
    </oc>
    <nc r="R272">
      <v>28.8</v>
    </nc>
  </rcc>
  <rcc rId="7860" sId="1" numFmtId="4">
    <oc r="R273">
      <v>28.792590000000001</v>
    </oc>
    <nc r="R273">
      <v>28.8</v>
    </nc>
  </rcc>
  <rcc rId="7861" sId="1" numFmtId="4">
    <oc r="S273">
      <v>28.792590000000001</v>
    </oc>
    <nc r="S273">
      <v>28.8</v>
    </nc>
  </rcc>
  <rcc rId="7862" sId="1" numFmtId="4">
    <oc r="R274">
      <v>28.792590000000001</v>
    </oc>
    <nc r="R274">
      <v>28.8</v>
    </nc>
  </rcc>
  <rcc rId="7863" sId="1" numFmtId="4">
    <oc r="S274">
      <v>28.792590000000001</v>
    </oc>
    <nc r="S274">
      <v>28.8</v>
    </nc>
  </rcc>
  <rcc rId="7864" sId="1" numFmtId="4">
    <oc r="R275">
      <v>28.792590000000001</v>
    </oc>
    <nc r="R275">
      <v>28.8</v>
    </nc>
  </rcc>
  <rcc rId="7865" sId="1" numFmtId="4">
    <oc r="S275">
      <v>28.792590000000001</v>
    </oc>
    <nc r="S275">
      <v>28.8</v>
    </nc>
  </rcc>
  <rcc rId="7866" sId="1" numFmtId="4">
    <oc r="R277">
      <v>28.792590000000001</v>
    </oc>
    <nc r="R277">
      <v>28.8</v>
    </nc>
  </rcc>
  <rcc rId="7867" sId="1" numFmtId="4">
    <oc r="S277">
      <v>28.792590000000001</v>
    </oc>
    <nc r="S277">
      <v>28.8</v>
    </nc>
  </rcc>
  <rcc rId="7868" sId="1" numFmtId="4">
    <oc r="R278">
      <v>28.792590000000001</v>
    </oc>
    <nc r="R278">
      <v>28.8</v>
    </nc>
  </rcc>
  <rcc rId="7869" sId="1" numFmtId="4">
    <oc r="S278">
      <v>28.792590000000001</v>
    </oc>
    <nc r="S278">
      <v>28.8</v>
    </nc>
  </rcc>
  <rcc rId="7870" sId="2">
    <oc r="R226">
      <v>28.79</v>
    </oc>
    <nc r="R226">
      <v>28.8</v>
    </nc>
  </rcc>
  <rcc rId="7871" sId="2">
    <oc r="S226">
      <v>28.79</v>
    </oc>
    <nc r="S226">
      <v>28.8</v>
    </nc>
  </rcc>
  <rcc rId="7872" sId="2">
    <oc r="S227">
      <v>28.79</v>
    </oc>
    <nc r="S227">
      <v>28.8</v>
    </nc>
  </rcc>
  <rcc rId="7873" sId="2">
    <oc r="R228">
      <v>28.79</v>
    </oc>
    <nc r="R228">
      <v>28.8</v>
    </nc>
  </rcc>
  <rcc rId="7874" sId="2">
    <oc r="S228">
      <v>28.79</v>
    </oc>
    <nc r="S228">
      <v>28.8</v>
    </nc>
  </rcc>
  <rcc rId="7875" sId="2">
    <oc r="R229">
      <v>28.79</v>
    </oc>
    <nc r="R229">
      <v>28.8</v>
    </nc>
  </rcc>
  <rcc rId="7876" sId="2">
    <oc r="S229">
      <v>28.79</v>
    </oc>
    <nc r="S229">
      <v>28.8</v>
    </nc>
  </rcc>
  <rcc rId="7877" sId="2">
    <oc r="S235">
      <v>28.79</v>
    </oc>
    <nc r="S235">
      <v>28.8</v>
    </nc>
  </rcc>
  <rcc rId="7878" sId="2">
    <oc r="S237">
      <v>28.79</v>
    </oc>
    <nc r="S237">
      <v>28.8</v>
    </nc>
  </rcc>
  <rcc rId="7879" sId="2">
    <oc r="R238">
      <v>28.79</v>
    </oc>
    <nc r="R238">
      <v>28.8</v>
    </nc>
  </rcc>
  <rcc rId="7880" sId="2">
    <oc r="S241">
      <v>28.79</v>
    </oc>
    <nc r="S241">
      <v>28.8</v>
    </nc>
  </rcc>
  <rcc rId="7881" sId="2">
    <oc r="R243">
      <v>28.79</v>
    </oc>
    <nc r="R243">
      <v>28.8</v>
    </nc>
  </rcc>
  <rcc rId="7882" sId="2">
    <oc r="S243">
      <v>28.79</v>
    </oc>
    <nc r="S243">
      <v>28.8</v>
    </nc>
  </rcc>
  <rcc rId="7883" sId="2">
    <oc r="R244">
      <v>28.79</v>
    </oc>
    <nc r="R244">
      <v>28.8</v>
    </nc>
  </rcc>
  <rcc rId="7884" sId="2">
    <oc r="S244">
      <v>28.79</v>
    </oc>
    <nc r="S244">
      <v>28.8</v>
    </nc>
  </rcc>
  <rcc rId="7885" sId="2">
    <oc r="R245">
      <v>28.79</v>
    </oc>
    <nc r="R245">
      <v>28.8</v>
    </nc>
  </rcc>
  <rcc rId="7886" sId="2">
    <oc r="S247">
      <v>28.79</v>
    </oc>
    <nc r="S247">
      <v>28.8</v>
    </nc>
  </rcc>
  <rcc rId="7887" sId="2">
    <oc r="R249">
      <v>28.79</v>
    </oc>
    <nc r="R249">
      <v>28.8</v>
    </nc>
  </rcc>
  <rcc rId="7888" sId="2">
    <oc r="S250">
      <v>28.79</v>
    </oc>
    <nc r="S250">
      <v>28.8</v>
    </nc>
  </rcc>
  <rcc rId="7889" sId="2">
    <oc r="R251">
      <v>28.79</v>
    </oc>
    <nc r="R251">
      <v>28.8</v>
    </nc>
  </rcc>
  <rcc rId="7890" sId="2">
    <oc r="S251">
      <v>28.79</v>
    </oc>
    <nc r="S251">
      <v>28.8</v>
    </nc>
  </rcc>
  <rcc rId="7891" sId="2">
    <oc r="R252">
      <v>28.79</v>
    </oc>
    <nc r="R252">
      <v>28.8</v>
    </nc>
  </rcc>
  <rcc rId="7892" sId="2">
    <oc r="S252">
      <v>28.79</v>
    </oc>
    <nc r="S252">
      <v>28.8</v>
    </nc>
  </rcc>
  <rcc rId="7893" sId="2">
    <oc r="S253">
      <v>28.79</v>
    </oc>
    <nc r="S253">
      <v>28.8</v>
    </nc>
  </rcc>
  <rcc rId="7894" sId="2">
    <oc r="S255">
      <v>28.79</v>
    </oc>
    <nc r="S255">
      <v>28.8</v>
    </nc>
  </rcc>
  <rcc rId="7895" sId="2">
    <oc r="S256">
      <v>28.79</v>
    </oc>
    <nc r="S256">
      <v>28.8</v>
    </nc>
  </rcc>
  <rcc rId="7896" sId="2">
    <oc r="R257">
      <v>28.79</v>
    </oc>
    <nc r="R257">
      <v>28.8</v>
    </nc>
  </rcc>
  <rcc rId="7897" sId="2">
    <oc r="S258">
      <v>28.79</v>
    </oc>
    <nc r="S258">
      <v>28.8</v>
    </nc>
  </rcc>
  <rcc rId="7898" sId="2">
    <oc r="R259">
      <v>28.79</v>
    </oc>
    <nc r="R259">
      <v>28.8</v>
    </nc>
  </rcc>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899" sId="1" numFmtId="23">
    <oc r="J104" t="inlineStr">
      <is>
        <t>00:49:36</t>
      </is>
    </oc>
    <nc r="J104">
      <v>3.4444444444444444E-2</v>
    </nc>
  </rcc>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00" sId="1">
    <oc r="D32" t="inlineStr">
      <is>
        <t>2?</t>
      </is>
    </oc>
    <nc r="D32">
      <v>2</v>
    </nc>
  </rcc>
  <rcc rId="7901" sId="1" odxf="1" dxf="1">
    <oc r="U32" t="inlineStr">
      <is>
        <t>I had switched sides by the time already before she left , so she didn’t get switched and she started on 0.05. She finally leaves after about 8 minutes of struggling.</t>
      </is>
    </oc>
    <nc r="U32" t="inlineStr">
      <is>
        <t xml:space="preserve">I had switched sides by the time already before she left , so she didn’t get switched and she started on 0.05. She finally leaves after about 8 minutes of struggling.
Was this the second flight? Flight was initially coded as 2?, but I removed in order to make r processing simpler. </t>
      </is>
    </nc>
    <odxf>
      <alignment wrapText="0"/>
    </odxf>
    <ndxf>
      <alignment wrapText="1"/>
    </ndxf>
  </rcc>
  <rfmt sheetId="1" sqref="U32">
    <dxf>
      <alignment wrapText="0"/>
    </dxf>
  </rfmt>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P1:Q1048576">
    <dxf>
      <numFmt numFmtId="0" formatCode="General"/>
    </dxf>
  </rfmt>
  <rfmt sheetId="1" sqref="B1:B1048576">
    <dxf>
      <numFmt numFmtId="30" formatCode="@"/>
    </dxf>
  </rfmt>
  <rfmt sheetId="2" sqref="B1:B1048576">
    <dxf>
      <numFmt numFmtId="30" formatCode="@"/>
    </dxf>
  </rfmt>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O1:O1048576">
    <dxf>
      <numFmt numFmtId="0" formatCode="General"/>
    </dxf>
  </rfmt>
  <rfmt sheetId="1" sqref="O1:O1048576">
    <dxf>
      <numFmt numFmtId="0" formatCode="General"/>
    </dxf>
  </rfmt>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B1:B1048576">
    <dxf>
      <numFmt numFmtId="0" formatCode="General"/>
    </dxf>
  </rfmt>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B1:B1048576">
    <dxf>
      <numFmt numFmtId="0" formatCode="General"/>
    </dxf>
  </rfmt>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02" sId="2">
    <oc r="T27" t="inlineStr">
      <is>
        <t>1*</t>
      </is>
    </oc>
    <nc r="T27">
      <v>1</v>
    </nc>
  </rcc>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903" sId="1">
    <oc r="P2" t="inlineStr">
      <is>
        <t>90</t>
      </is>
    </oc>
    <nc r="P2">
      <v>90</v>
    </nc>
  </rcc>
  <rcc rId="7904" sId="1">
    <oc r="P3" t="inlineStr">
      <is>
        <t>90</t>
      </is>
    </oc>
    <nc r="P3">
      <v>90</v>
    </nc>
  </rcc>
  <rcc rId="7905" sId="1">
    <oc r="P4" t="inlineStr">
      <is>
        <t>90</t>
      </is>
    </oc>
    <nc r="P4">
      <v>90</v>
    </nc>
  </rcc>
  <rcc rId="7906" sId="1">
    <oc r="P5" t="inlineStr">
      <is>
        <t>90</t>
      </is>
    </oc>
    <nc r="P5">
      <v>90</v>
    </nc>
  </rcc>
  <rcc rId="7907" sId="1">
    <oc r="P6" t="inlineStr">
      <is>
        <t>90</t>
      </is>
    </oc>
    <nc r="P6">
      <v>90</v>
    </nc>
  </rcc>
  <rcc rId="7908" sId="1">
    <oc r="P7" t="inlineStr">
      <is>
        <t>90</t>
      </is>
    </oc>
    <nc r="P7">
      <v>90</v>
    </nc>
  </rcc>
  <rcc rId="7909" sId="1">
    <oc r="P8" t="inlineStr">
      <is>
        <t>90</t>
      </is>
    </oc>
    <nc r="P8">
      <v>90</v>
    </nc>
  </rcc>
  <rcc rId="7910" sId="1">
    <oc r="P9" t="inlineStr">
      <is>
        <t>90</t>
      </is>
    </oc>
    <nc r="P9">
      <v>90</v>
    </nc>
  </rcc>
  <rcc rId="7911" sId="1">
    <oc r="P10" t="inlineStr">
      <is>
        <t>90</t>
      </is>
    </oc>
    <nc r="P10">
      <v>90</v>
    </nc>
  </rcc>
  <rcc rId="7912" sId="1">
    <oc r="P11" t="inlineStr">
      <is>
        <t>90</t>
      </is>
    </oc>
    <nc r="P11">
      <v>90</v>
    </nc>
  </rcc>
  <rcc rId="7913" sId="1">
    <oc r="P12" t="inlineStr">
      <is>
        <t>90</t>
      </is>
    </oc>
    <nc r="P12">
      <v>90</v>
    </nc>
  </rcc>
  <rcc rId="7914" sId="1">
    <oc r="P13" t="inlineStr">
      <is>
        <t>90</t>
      </is>
    </oc>
    <nc r="P13">
      <v>90</v>
    </nc>
  </rcc>
  <rcc rId="7915" sId="1">
    <oc r="P14" t="inlineStr">
      <is>
        <t>90</t>
      </is>
    </oc>
    <nc r="P14">
      <v>90</v>
    </nc>
  </rcc>
  <rcc rId="7916" sId="1">
    <oc r="P15" t="inlineStr">
      <is>
        <t>90</t>
      </is>
    </oc>
    <nc r="P15">
      <v>90</v>
    </nc>
  </rcc>
  <rcc rId="7917" sId="1">
    <oc r="P16" t="inlineStr">
      <is>
        <t>90</t>
      </is>
    </oc>
    <nc r="P16">
      <v>90</v>
    </nc>
  </rcc>
  <rcc rId="7918" sId="1">
    <oc r="P17" t="inlineStr">
      <is>
        <t>90</t>
      </is>
    </oc>
    <nc r="P17">
      <v>90</v>
    </nc>
  </rcc>
  <rcc rId="7919" sId="1">
    <oc r="P18" t="inlineStr">
      <is>
        <t>90</t>
      </is>
    </oc>
    <nc r="P18">
      <v>90</v>
    </nc>
  </rcc>
  <rcc rId="7920" sId="1">
    <oc r="P19" t="inlineStr">
      <is>
        <t>90</t>
      </is>
    </oc>
    <nc r="P19">
      <v>90</v>
    </nc>
  </rcc>
  <rcc rId="7921" sId="1">
    <oc r="P20" t="inlineStr">
      <is>
        <t>90</t>
      </is>
    </oc>
    <nc r="P20">
      <v>90</v>
    </nc>
  </rcc>
  <rcc rId="7922" sId="1">
    <oc r="P21" t="inlineStr">
      <is>
        <t>90</t>
      </is>
    </oc>
    <nc r="P21">
      <v>90</v>
    </nc>
  </rcc>
  <rcc rId="7923" sId="1">
    <oc r="P22" t="inlineStr">
      <is>
        <t>90</t>
      </is>
    </oc>
    <nc r="P22">
      <v>90</v>
    </nc>
  </rcc>
  <rcc rId="7924" sId="1">
    <oc r="P23" t="inlineStr">
      <is>
        <t>90</t>
      </is>
    </oc>
    <nc r="P23">
      <v>90</v>
    </nc>
  </rcc>
  <rcc rId="7925" sId="1">
    <oc r="P24" t="inlineStr">
      <is>
        <t>90</t>
      </is>
    </oc>
    <nc r="P24">
      <v>90</v>
    </nc>
  </rcc>
  <rcc rId="7926" sId="1">
    <oc r="P25" t="inlineStr">
      <is>
        <t>90</t>
      </is>
    </oc>
    <nc r="P25">
      <v>90</v>
    </nc>
  </rcc>
  <rcc rId="7927" sId="1">
    <oc r="P26" t="inlineStr">
      <is>
        <t>90</t>
      </is>
    </oc>
    <nc r="P26">
      <v>90</v>
    </nc>
  </rcc>
  <rcc rId="7928" sId="1">
    <oc r="P27" t="inlineStr">
      <is>
        <t>90</t>
      </is>
    </oc>
    <nc r="P27">
      <v>90</v>
    </nc>
  </rcc>
  <rcc rId="7929" sId="1">
    <oc r="P28" t="inlineStr">
      <is>
        <t>90</t>
      </is>
    </oc>
    <nc r="P28">
      <v>90</v>
    </nc>
  </rcc>
  <rcc rId="7930" sId="1">
    <oc r="P29" t="inlineStr">
      <is>
        <t>90</t>
      </is>
    </oc>
    <nc r="P29">
      <v>90</v>
    </nc>
  </rcc>
  <rcc rId="7931" sId="1">
    <oc r="P30" t="inlineStr">
      <is>
        <t>90</t>
      </is>
    </oc>
    <nc r="P30">
      <v>90</v>
    </nc>
  </rcc>
  <rcc rId="7932" sId="1">
    <oc r="P31" t="inlineStr">
      <is>
        <t>90</t>
      </is>
    </oc>
    <nc r="P31">
      <v>90</v>
    </nc>
  </rcc>
  <rcc rId="7933" sId="1">
    <oc r="P32" t="inlineStr">
      <is>
        <t>90</t>
      </is>
    </oc>
    <nc r="P32">
      <v>90</v>
    </nc>
  </rcc>
  <rcc rId="7934" sId="1">
    <oc r="P33" t="inlineStr">
      <is>
        <t>90</t>
      </is>
    </oc>
    <nc r="P33">
      <v>90</v>
    </nc>
  </rcc>
  <rcc rId="7935" sId="1">
    <oc r="P34" t="inlineStr">
      <is>
        <t>90</t>
      </is>
    </oc>
    <nc r="P34">
      <v>90</v>
    </nc>
  </rcc>
  <rcc rId="7936" sId="1">
    <oc r="P35" t="inlineStr">
      <is>
        <t>90</t>
      </is>
    </oc>
    <nc r="P35">
      <v>90</v>
    </nc>
  </rcc>
  <rcc rId="7937" sId="1">
    <oc r="P36" t="inlineStr">
      <is>
        <t>90</t>
      </is>
    </oc>
    <nc r="P36">
      <v>90</v>
    </nc>
  </rcc>
  <rcc rId="7938" sId="1">
    <oc r="P37" t="inlineStr">
      <is>
        <t>90</t>
      </is>
    </oc>
    <nc r="P37">
      <v>90</v>
    </nc>
  </rcc>
  <rcc rId="7939" sId="1">
    <oc r="P38" t="inlineStr">
      <is>
        <t>90</t>
      </is>
    </oc>
    <nc r="P38">
      <v>90</v>
    </nc>
  </rcc>
  <rcc rId="7940" sId="1">
    <oc r="P39" t="inlineStr">
      <is>
        <t>90</t>
      </is>
    </oc>
    <nc r="P39">
      <v>90</v>
    </nc>
  </rcc>
  <rcc rId="7941" sId="1">
    <oc r="P40" t="inlineStr">
      <is>
        <t>90</t>
      </is>
    </oc>
    <nc r="P40">
      <v>90</v>
    </nc>
  </rcc>
  <rcc rId="7942" sId="1">
    <oc r="P41" t="inlineStr">
      <is>
        <t>90</t>
      </is>
    </oc>
    <nc r="P41">
      <v>90</v>
    </nc>
  </rcc>
  <rcc rId="7943" sId="1">
    <oc r="P42" t="inlineStr">
      <is>
        <t>90</t>
      </is>
    </oc>
    <nc r="P42">
      <v>90</v>
    </nc>
  </rcc>
  <rcc rId="7944" sId="1">
    <oc r="P43" t="inlineStr">
      <is>
        <t>90</t>
      </is>
    </oc>
    <nc r="P43">
      <v>90</v>
    </nc>
  </rcc>
  <rcc rId="7945" sId="1">
    <oc r="P44" t="inlineStr">
      <is>
        <t>90</t>
      </is>
    </oc>
    <nc r="P44">
      <v>90</v>
    </nc>
  </rcc>
  <rcc rId="7946" sId="1">
    <oc r="P45" t="inlineStr">
      <is>
        <t>90</t>
      </is>
    </oc>
    <nc r="P45">
      <v>90</v>
    </nc>
  </rcc>
  <rcc rId="7947" sId="1">
    <oc r="P46" t="inlineStr">
      <is>
        <t>90</t>
      </is>
    </oc>
    <nc r="P46">
      <v>90</v>
    </nc>
  </rcc>
  <rcc rId="7948" sId="1">
    <oc r="P47" t="inlineStr">
      <is>
        <t>90</t>
      </is>
    </oc>
    <nc r="P47">
      <v>90</v>
    </nc>
  </rcc>
  <rcc rId="7949" sId="1">
    <oc r="P48" t="inlineStr">
      <is>
        <t>90</t>
      </is>
    </oc>
    <nc r="P48">
      <v>90</v>
    </nc>
  </rcc>
  <rcc rId="7950" sId="1">
    <oc r="P49" t="inlineStr">
      <is>
        <t>90</t>
      </is>
    </oc>
    <nc r="P49">
      <v>90</v>
    </nc>
  </rcc>
  <rcc rId="7951" sId="1">
    <oc r="P50" t="inlineStr">
      <is>
        <t>90</t>
      </is>
    </oc>
    <nc r="P50">
      <v>90</v>
    </nc>
  </rcc>
  <rcc rId="7952" sId="1">
    <oc r="P51" t="inlineStr">
      <is>
        <t>90</t>
      </is>
    </oc>
    <nc r="P51">
      <v>90</v>
    </nc>
  </rcc>
  <rcc rId="7953" sId="1">
    <oc r="P52" t="inlineStr">
      <is>
        <t>90</t>
      </is>
    </oc>
    <nc r="P52">
      <v>90</v>
    </nc>
  </rcc>
  <rcc rId="7954" sId="1">
    <oc r="P53" t="inlineStr">
      <is>
        <t>90</t>
      </is>
    </oc>
    <nc r="P53">
      <v>90</v>
    </nc>
  </rcc>
  <rcc rId="7955" sId="1">
    <oc r="P54" t="inlineStr">
      <is>
        <t>90</t>
      </is>
    </oc>
    <nc r="P54">
      <v>90</v>
    </nc>
  </rcc>
  <rcc rId="7956" sId="1">
    <oc r="P55" t="inlineStr">
      <is>
        <t>90</t>
      </is>
    </oc>
    <nc r="P55">
      <v>90</v>
    </nc>
  </rcc>
  <rcc rId="7957" sId="1">
    <oc r="P56" t="inlineStr">
      <is>
        <t>90</t>
      </is>
    </oc>
    <nc r="P56">
      <v>90</v>
    </nc>
  </rcc>
  <rcc rId="7958" sId="1">
    <oc r="P57" t="inlineStr">
      <is>
        <t>90</t>
      </is>
    </oc>
    <nc r="P57">
      <v>90</v>
    </nc>
  </rcc>
  <rcc rId="7959" sId="1">
    <oc r="P58" t="inlineStr">
      <is>
        <t>90</t>
      </is>
    </oc>
    <nc r="P58">
      <v>90</v>
    </nc>
  </rcc>
  <rcc rId="7960" sId="1">
    <oc r="P59" t="inlineStr">
      <is>
        <t>90</t>
      </is>
    </oc>
    <nc r="P59">
      <v>90</v>
    </nc>
  </rcc>
  <rcc rId="7961" sId="1">
    <oc r="P60" t="inlineStr">
      <is>
        <t>90</t>
      </is>
    </oc>
    <nc r="P60">
      <v>90</v>
    </nc>
  </rcc>
  <rcc rId="7962" sId="1">
    <oc r="P61" t="inlineStr">
      <is>
        <t>90</t>
      </is>
    </oc>
    <nc r="P61">
      <v>90</v>
    </nc>
  </rcc>
  <rcc rId="7963" sId="1">
    <oc r="P62" t="inlineStr">
      <is>
        <t>90</t>
      </is>
    </oc>
    <nc r="P62">
      <v>90</v>
    </nc>
  </rcc>
  <rcc rId="7964" sId="1">
    <oc r="P63" t="inlineStr">
      <is>
        <t>90</t>
      </is>
    </oc>
    <nc r="P63">
      <v>90</v>
    </nc>
  </rcc>
  <rcc rId="7965" sId="1">
    <oc r="P64" t="inlineStr">
      <is>
        <t>90</t>
      </is>
    </oc>
    <nc r="P64">
      <v>90</v>
    </nc>
  </rcc>
  <rcc rId="7966" sId="1">
    <oc r="P65" t="inlineStr">
      <is>
        <t>90</t>
      </is>
    </oc>
    <nc r="P65">
      <v>90</v>
    </nc>
  </rcc>
  <rcc rId="7967" sId="1">
    <oc r="P66" t="inlineStr">
      <is>
        <t>90</t>
      </is>
    </oc>
    <nc r="P66">
      <v>90</v>
    </nc>
  </rcc>
  <rcc rId="7968" sId="1">
    <oc r="P67" t="inlineStr">
      <is>
        <t>90</t>
      </is>
    </oc>
    <nc r="P67">
      <v>90</v>
    </nc>
  </rcc>
  <rcc rId="7969" sId="1">
    <oc r="P68" t="inlineStr">
      <is>
        <t>90</t>
      </is>
    </oc>
    <nc r="P68">
      <v>90</v>
    </nc>
  </rcc>
  <rcc rId="7970" sId="1">
    <oc r="P69" t="inlineStr">
      <is>
        <t>90</t>
      </is>
    </oc>
    <nc r="P69">
      <v>90</v>
    </nc>
  </rcc>
  <rcc rId="7971" sId="1">
    <oc r="P70" t="inlineStr">
      <is>
        <t>90</t>
      </is>
    </oc>
    <nc r="P70">
      <v>90</v>
    </nc>
  </rcc>
  <rcc rId="7972" sId="1">
    <oc r="P71" t="inlineStr">
      <is>
        <t>90</t>
      </is>
    </oc>
    <nc r="P71">
      <v>90</v>
    </nc>
  </rcc>
  <rcc rId="7973" sId="1">
    <oc r="P72" t="inlineStr">
      <is>
        <t>90</t>
      </is>
    </oc>
    <nc r="P72">
      <v>90</v>
    </nc>
  </rcc>
  <rcc rId="7974" sId="1">
    <oc r="P73" t="inlineStr">
      <is>
        <t>90</t>
      </is>
    </oc>
    <nc r="P73">
      <v>90</v>
    </nc>
  </rcc>
  <rcc rId="7975" sId="1">
    <oc r="P74" t="inlineStr">
      <is>
        <t>90</t>
      </is>
    </oc>
    <nc r="P74">
      <v>90</v>
    </nc>
  </rcc>
  <rcc rId="7976" sId="1">
    <oc r="P75" t="inlineStr">
      <is>
        <t>90</t>
      </is>
    </oc>
    <nc r="P75">
      <v>90</v>
    </nc>
  </rcc>
  <rcc rId="7977" sId="1">
    <oc r="P76" t="inlineStr">
      <is>
        <t>90</t>
      </is>
    </oc>
    <nc r="P76">
      <v>90</v>
    </nc>
  </rcc>
  <rcc rId="7978" sId="1">
    <oc r="P77" t="inlineStr">
      <is>
        <t>90</t>
      </is>
    </oc>
    <nc r="P77">
      <v>90</v>
    </nc>
  </rcc>
  <rcc rId="7979" sId="1">
    <oc r="P78" t="inlineStr">
      <is>
        <t>90</t>
      </is>
    </oc>
    <nc r="P78">
      <v>90</v>
    </nc>
  </rcc>
  <rcc rId="7980" sId="1">
    <oc r="P79" t="inlineStr">
      <is>
        <t>90</t>
      </is>
    </oc>
    <nc r="P79">
      <v>90</v>
    </nc>
  </rcc>
  <rcc rId="7981" sId="1">
    <oc r="P80" t="inlineStr">
      <is>
        <t>90</t>
      </is>
    </oc>
    <nc r="P80">
      <v>90</v>
    </nc>
  </rcc>
  <rcc rId="7982" sId="1">
    <oc r="P81" t="inlineStr">
      <is>
        <t>90</t>
      </is>
    </oc>
    <nc r="P81">
      <v>90</v>
    </nc>
  </rcc>
  <rcc rId="7983" sId="1">
    <oc r="P82" t="inlineStr">
      <is>
        <t>90</t>
      </is>
    </oc>
    <nc r="P82">
      <v>90</v>
    </nc>
  </rcc>
  <rcc rId="7984" sId="1">
    <oc r="P83" t="inlineStr">
      <is>
        <t>90</t>
      </is>
    </oc>
    <nc r="P83">
      <v>90</v>
    </nc>
  </rcc>
  <rcc rId="7985" sId="1">
    <oc r="P84" t="inlineStr">
      <is>
        <t>90</t>
      </is>
    </oc>
    <nc r="P84">
      <v>90</v>
    </nc>
  </rcc>
  <rcc rId="7986" sId="1">
    <oc r="P85" t="inlineStr">
      <is>
        <t>90</t>
      </is>
    </oc>
    <nc r="P85">
      <v>90</v>
    </nc>
  </rcc>
  <rcc rId="7987" sId="1">
    <oc r="P86" t="inlineStr">
      <is>
        <t>90</t>
      </is>
    </oc>
    <nc r="P86">
      <v>90</v>
    </nc>
  </rcc>
  <rcc rId="7988" sId="1">
    <oc r="P87" t="inlineStr">
      <is>
        <t>90</t>
      </is>
    </oc>
    <nc r="P87">
      <v>90</v>
    </nc>
  </rcc>
  <rcc rId="7989" sId="1">
    <oc r="P88" t="inlineStr">
      <is>
        <t>90</t>
      </is>
    </oc>
    <nc r="P88">
      <v>90</v>
    </nc>
  </rcc>
  <rcc rId="7990" sId="1">
    <oc r="P89" t="inlineStr">
      <is>
        <t>90</t>
      </is>
    </oc>
    <nc r="P89">
      <v>90</v>
    </nc>
  </rcc>
  <rcc rId="7991" sId="1">
    <oc r="P90" t="inlineStr">
      <is>
        <t>90</t>
      </is>
    </oc>
    <nc r="P90">
      <v>90</v>
    </nc>
  </rcc>
  <rcc rId="7992" sId="1">
    <oc r="P91" t="inlineStr">
      <is>
        <t>90</t>
      </is>
    </oc>
    <nc r="P91">
      <v>90</v>
    </nc>
  </rcc>
  <rcc rId="7993" sId="1">
    <oc r="P92" t="inlineStr">
      <is>
        <t>90</t>
      </is>
    </oc>
    <nc r="P92">
      <v>90</v>
    </nc>
  </rcc>
  <rcc rId="7994" sId="1">
    <oc r="P93" t="inlineStr">
      <is>
        <t>90</t>
      </is>
    </oc>
    <nc r="P93">
      <v>90</v>
    </nc>
  </rcc>
  <rcc rId="7995" sId="1">
    <oc r="P94" t="inlineStr">
      <is>
        <t>90</t>
      </is>
    </oc>
    <nc r="P94">
      <v>90</v>
    </nc>
  </rcc>
  <rcc rId="7996" sId="1">
    <oc r="P95" t="inlineStr">
      <is>
        <t>90</t>
      </is>
    </oc>
    <nc r="P95">
      <v>90</v>
    </nc>
  </rcc>
  <rcc rId="7997" sId="1">
    <oc r="P96" t="inlineStr">
      <is>
        <t>90</t>
      </is>
    </oc>
    <nc r="P96">
      <v>90</v>
    </nc>
  </rcc>
  <rcc rId="7998" sId="1">
    <oc r="P97" t="inlineStr">
      <is>
        <t>90</t>
      </is>
    </oc>
    <nc r="P97">
      <v>90</v>
    </nc>
  </rcc>
  <rcc rId="7999" sId="1">
    <oc r="P98" t="inlineStr">
      <is>
        <t>90</t>
      </is>
    </oc>
    <nc r="P98">
      <v>90</v>
    </nc>
  </rcc>
  <rcc rId="8000" sId="1">
    <oc r="P99" t="inlineStr">
      <is>
        <t>90</t>
      </is>
    </oc>
    <nc r="P99">
      <v>90</v>
    </nc>
  </rcc>
  <rcc rId="8001" sId="1">
    <oc r="P100" t="inlineStr">
      <is>
        <t>90</t>
      </is>
    </oc>
    <nc r="P100">
      <v>90</v>
    </nc>
  </rcc>
  <rcc rId="8002" sId="1">
    <oc r="P101" t="inlineStr">
      <is>
        <t>90</t>
      </is>
    </oc>
    <nc r="P101">
      <v>90</v>
    </nc>
  </rcc>
  <rcc rId="8003" sId="1">
    <oc r="P102" t="inlineStr">
      <is>
        <t>90</t>
      </is>
    </oc>
    <nc r="P102">
      <v>90</v>
    </nc>
  </rcc>
  <rcc rId="8004" sId="1">
    <oc r="P103" t="inlineStr">
      <is>
        <t>90</t>
      </is>
    </oc>
    <nc r="P103">
      <v>90</v>
    </nc>
  </rcc>
  <rcc rId="8005" sId="1">
    <oc r="P104" t="inlineStr">
      <is>
        <t>90</t>
      </is>
    </oc>
    <nc r="P104">
      <v>90</v>
    </nc>
  </rcc>
  <rcc rId="8006" sId="1">
    <oc r="P105" t="inlineStr">
      <is>
        <t>90</t>
      </is>
    </oc>
    <nc r="P105">
      <v>90</v>
    </nc>
  </rcc>
  <rcc rId="8007" sId="1">
    <oc r="P106" t="inlineStr">
      <is>
        <t>90</t>
      </is>
    </oc>
    <nc r="P106">
      <v>90</v>
    </nc>
  </rcc>
  <rcc rId="8008" sId="1">
    <oc r="P107" t="inlineStr">
      <is>
        <t>90</t>
      </is>
    </oc>
    <nc r="P107">
      <v>90</v>
    </nc>
  </rcc>
  <rcc rId="8009" sId="1">
    <oc r="P108" t="inlineStr">
      <is>
        <t>90</t>
      </is>
    </oc>
    <nc r="P108">
      <v>90</v>
    </nc>
  </rcc>
  <rcc rId="8010" sId="1">
    <oc r="P109" t="inlineStr">
      <is>
        <t>90</t>
      </is>
    </oc>
    <nc r="P109">
      <v>90</v>
    </nc>
  </rcc>
  <rcc rId="8011" sId="1">
    <oc r="P110" t="inlineStr">
      <is>
        <t>90</t>
      </is>
    </oc>
    <nc r="P110">
      <v>90</v>
    </nc>
  </rcc>
  <rcc rId="8012" sId="1">
    <oc r="P111" t="inlineStr">
      <is>
        <t>90</t>
      </is>
    </oc>
    <nc r="P111">
      <v>90</v>
    </nc>
  </rcc>
  <rcc rId="8013" sId="1">
    <oc r="P112" t="inlineStr">
      <is>
        <t>90</t>
      </is>
    </oc>
    <nc r="P112">
      <v>90</v>
    </nc>
  </rcc>
  <rcc rId="8014" sId="1">
    <oc r="P113" t="inlineStr">
      <is>
        <t>90</t>
      </is>
    </oc>
    <nc r="P113">
      <v>90</v>
    </nc>
  </rcc>
  <rcc rId="8015" sId="1">
    <oc r="P114" t="inlineStr">
      <is>
        <t>90</t>
      </is>
    </oc>
    <nc r="P114">
      <v>90</v>
    </nc>
  </rcc>
  <rcc rId="8016" sId="1">
    <oc r="P115" t="inlineStr">
      <is>
        <t>90</t>
      </is>
    </oc>
    <nc r="P115">
      <v>90</v>
    </nc>
  </rcc>
  <rcc rId="8017" sId="1">
    <oc r="P116" t="inlineStr">
      <is>
        <t>90</t>
      </is>
    </oc>
    <nc r="P116">
      <v>90</v>
    </nc>
  </rcc>
  <rcc rId="8018" sId="1">
    <oc r="P117" t="inlineStr">
      <is>
        <t>90</t>
      </is>
    </oc>
    <nc r="P117">
      <v>90</v>
    </nc>
  </rcc>
  <rcc rId="8019" sId="1">
    <oc r="P118" t="inlineStr">
      <is>
        <t>90</t>
      </is>
    </oc>
    <nc r="P118">
      <v>90</v>
    </nc>
  </rcc>
  <rcc rId="8020" sId="1">
    <oc r="P119" t="inlineStr">
      <is>
        <t>90</t>
      </is>
    </oc>
    <nc r="P119">
      <v>90</v>
    </nc>
  </rcc>
  <rcc rId="8021" sId="1">
    <oc r="P120" t="inlineStr">
      <is>
        <t>90</t>
      </is>
    </oc>
    <nc r="P120">
      <v>90</v>
    </nc>
  </rcc>
  <rcc rId="8022" sId="1">
    <oc r="P121" t="inlineStr">
      <is>
        <t>90</t>
      </is>
    </oc>
    <nc r="P121">
      <v>90</v>
    </nc>
  </rcc>
  <rcc rId="8023" sId="1">
    <oc r="P122" t="inlineStr">
      <is>
        <t>90</t>
      </is>
    </oc>
    <nc r="P122">
      <v>90</v>
    </nc>
  </rcc>
  <rcc rId="8024" sId="1">
    <oc r="P123" t="inlineStr">
      <is>
        <t>90</t>
      </is>
    </oc>
    <nc r="P123">
      <v>90</v>
    </nc>
  </rcc>
  <rcc rId="8025" sId="1">
    <oc r="P124" t="inlineStr">
      <is>
        <t>90</t>
      </is>
    </oc>
    <nc r="P124">
      <v>90</v>
    </nc>
  </rcc>
  <rcc rId="8026" sId="1">
    <oc r="P125" t="inlineStr">
      <is>
        <t>90</t>
      </is>
    </oc>
    <nc r="P125">
      <v>90</v>
    </nc>
  </rcc>
  <rcc rId="8027" sId="1">
    <oc r="P126" t="inlineStr">
      <is>
        <t>90</t>
      </is>
    </oc>
    <nc r="P126">
      <v>90</v>
    </nc>
  </rcc>
  <rcc rId="8028" sId="1">
    <oc r="P127" t="inlineStr">
      <is>
        <t>90</t>
      </is>
    </oc>
    <nc r="P127">
      <v>90</v>
    </nc>
  </rcc>
  <rcc rId="8029" sId="1">
    <oc r="P128" t="inlineStr">
      <is>
        <t>90</t>
      </is>
    </oc>
    <nc r="P128">
      <v>90</v>
    </nc>
  </rcc>
  <rcc rId="8030" sId="1">
    <oc r="P129" t="inlineStr">
      <is>
        <t>90</t>
      </is>
    </oc>
    <nc r="P129">
      <v>90</v>
    </nc>
  </rcc>
  <rcc rId="8031" sId="1">
    <oc r="P130" t="inlineStr">
      <is>
        <t>90</t>
      </is>
    </oc>
    <nc r="P130">
      <v>90</v>
    </nc>
  </rcc>
  <rcc rId="8032" sId="1">
    <oc r="P131" t="inlineStr">
      <is>
        <t>90</t>
      </is>
    </oc>
    <nc r="P131">
      <v>90</v>
    </nc>
  </rcc>
  <rcc rId="8033" sId="1">
    <oc r="P132" t="inlineStr">
      <is>
        <t>90</t>
      </is>
    </oc>
    <nc r="P132">
      <v>90</v>
    </nc>
  </rcc>
  <rcc rId="8034" sId="1">
    <oc r="P133" t="inlineStr">
      <is>
        <t>90</t>
      </is>
    </oc>
    <nc r="P133">
      <v>90</v>
    </nc>
  </rcc>
  <rcc rId="8035" sId="1">
    <oc r="P134" t="inlineStr">
      <is>
        <t>90</t>
      </is>
    </oc>
    <nc r="P134">
      <v>90</v>
    </nc>
  </rcc>
  <rcc rId="8036" sId="1">
    <oc r="P135" t="inlineStr">
      <is>
        <t>90</t>
      </is>
    </oc>
    <nc r="P135">
      <v>90</v>
    </nc>
  </rcc>
  <rcc rId="8037" sId="1">
    <oc r="P136" t="inlineStr">
      <is>
        <t>90</t>
      </is>
    </oc>
    <nc r="P136">
      <v>90</v>
    </nc>
  </rcc>
  <rcc rId="8038" sId="1">
    <oc r="P137" t="inlineStr">
      <is>
        <t>90</t>
      </is>
    </oc>
    <nc r="P137">
      <v>90</v>
    </nc>
  </rcc>
  <rcc rId="8039" sId="1">
    <oc r="P138" t="inlineStr">
      <is>
        <t>90</t>
      </is>
    </oc>
    <nc r="P138">
      <v>90</v>
    </nc>
  </rcc>
  <rcc rId="8040" sId="1">
    <oc r="P139" t="inlineStr">
      <is>
        <t>90</t>
      </is>
    </oc>
    <nc r="P139">
      <v>90</v>
    </nc>
  </rcc>
  <rcc rId="8041" sId="1">
    <oc r="P140" t="inlineStr">
      <is>
        <t>90</t>
      </is>
    </oc>
    <nc r="P140">
      <v>90</v>
    </nc>
  </rcc>
  <rcc rId="8042" sId="1">
    <oc r="P141" t="inlineStr">
      <is>
        <t>90</t>
      </is>
    </oc>
    <nc r="P141">
      <v>90</v>
    </nc>
  </rcc>
  <rcc rId="8043" sId="1">
    <oc r="P142" t="inlineStr">
      <is>
        <t>90</t>
      </is>
    </oc>
    <nc r="P142">
      <v>90</v>
    </nc>
  </rcc>
  <rcc rId="8044" sId="1">
    <oc r="P143" t="inlineStr">
      <is>
        <t>90</t>
      </is>
    </oc>
    <nc r="P143">
      <v>90</v>
    </nc>
  </rcc>
  <rcc rId="8045" sId="1">
    <oc r="P144" t="inlineStr">
      <is>
        <t>90</t>
      </is>
    </oc>
    <nc r="P144">
      <v>90</v>
    </nc>
  </rcc>
  <rcc rId="8046" sId="1">
    <oc r="P145" t="inlineStr">
      <is>
        <t>90</t>
      </is>
    </oc>
    <nc r="P145">
      <v>90</v>
    </nc>
  </rcc>
  <rcc rId="8047" sId="1">
    <oc r="P146" t="inlineStr">
      <is>
        <t>90</t>
      </is>
    </oc>
    <nc r="P146">
      <v>90</v>
    </nc>
  </rcc>
  <rcc rId="8048" sId="1">
    <oc r="P147" t="inlineStr">
      <is>
        <t>90</t>
      </is>
    </oc>
    <nc r="P147">
      <v>90</v>
    </nc>
  </rcc>
  <rcc rId="8049" sId="1">
    <oc r="P148" t="inlineStr">
      <is>
        <t>90</t>
      </is>
    </oc>
    <nc r="P148">
      <v>90</v>
    </nc>
  </rcc>
  <rcc rId="8050" sId="1">
    <oc r="P149" t="inlineStr">
      <is>
        <t>90</t>
      </is>
    </oc>
    <nc r="P149">
      <v>90</v>
    </nc>
  </rcc>
  <rcc rId="8051" sId="1">
    <oc r="P150" t="inlineStr">
      <is>
        <t>90</t>
      </is>
    </oc>
    <nc r="P150">
      <v>90</v>
    </nc>
  </rcc>
  <rcc rId="8052" sId="1">
    <oc r="P151" t="inlineStr">
      <is>
        <t>90</t>
      </is>
    </oc>
    <nc r="P151">
      <v>90</v>
    </nc>
  </rcc>
  <rcc rId="8053" sId="1">
    <oc r="P152" t="inlineStr">
      <is>
        <t>90</t>
      </is>
    </oc>
    <nc r="P152">
      <v>90</v>
    </nc>
  </rcc>
  <rcc rId="8054" sId="1">
    <oc r="P153" t="inlineStr">
      <is>
        <t>90</t>
      </is>
    </oc>
    <nc r="P153">
      <v>90</v>
    </nc>
  </rcc>
  <rcc rId="8055" sId="1">
    <oc r="P154" t="inlineStr">
      <is>
        <t>90</t>
      </is>
    </oc>
    <nc r="P154">
      <v>90</v>
    </nc>
  </rcc>
  <rcc rId="8056" sId="1">
    <oc r="P155" t="inlineStr">
      <is>
        <t>90</t>
      </is>
    </oc>
    <nc r="P155">
      <v>90</v>
    </nc>
  </rcc>
  <rcc rId="8057" sId="1">
    <oc r="P156" t="inlineStr">
      <is>
        <t>90</t>
      </is>
    </oc>
    <nc r="P156">
      <v>90</v>
    </nc>
  </rcc>
  <rcc rId="8058" sId="1">
    <oc r="P157" t="inlineStr">
      <is>
        <t>90</t>
      </is>
    </oc>
    <nc r="P157">
      <v>90</v>
    </nc>
  </rcc>
  <rcc rId="8059" sId="1">
    <oc r="P158" t="inlineStr">
      <is>
        <t>90</t>
      </is>
    </oc>
    <nc r="P158">
      <v>90</v>
    </nc>
  </rcc>
  <rcc rId="8060" sId="1">
    <oc r="P159" t="inlineStr">
      <is>
        <t>90</t>
      </is>
    </oc>
    <nc r="P159">
      <v>90</v>
    </nc>
  </rcc>
  <rcc rId="8061" sId="1">
    <oc r="P160" t="inlineStr">
      <is>
        <t>90</t>
      </is>
    </oc>
    <nc r="P160">
      <v>90</v>
    </nc>
  </rcc>
  <rcc rId="8062" sId="1">
    <oc r="P161" t="inlineStr">
      <is>
        <t>90</t>
      </is>
    </oc>
    <nc r="P161">
      <v>90</v>
    </nc>
  </rcc>
  <rcc rId="8063" sId="1">
    <oc r="P162" t="inlineStr">
      <is>
        <t>90</t>
      </is>
    </oc>
    <nc r="P162">
      <v>90</v>
    </nc>
  </rcc>
  <rcc rId="8064" sId="1">
    <oc r="P163" t="inlineStr">
      <is>
        <t>90</t>
      </is>
    </oc>
    <nc r="P163">
      <v>90</v>
    </nc>
  </rcc>
  <rcc rId="8065" sId="1">
    <oc r="P164" t="inlineStr">
      <is>
        <t>90</t>
      </is>
    </oc>
    <nc r="P164">
      <v>90</v>
    </nc>
  </rcc>
  <rcc rId="8066" sId="1">
    <oc r="P165" t="inlineStr">
      <is>
        <t>90</t>
      </is>
    </oc>
    <nc r="P165">
      <v>90</v>
    </nc>
  </rcc>
  <rcc rId="8067" sId="1">
    <oc r="P166" t="inlineStr">
      <is>
        <t>90</t>
      </is>
    </oc>
    <nc r="P166">
      <v>90</v>
    </nc>
  </rcc>
  <rcc rId="8068" sId="1">
    <oc r="P167" t="inlineStr">
      <is>
        <t>90</t>
      </is>
    </oc>
    <nc r="P167">
      <v>90</v>
    </nc>
  </rcc>
  <rcc rId="8069" sId="1">
    <oc r="P168" t="inlineStr">
      <is>
        <t>90</t>
      </is>
    </oc>
    <nc r="P168">
      <v>90</v>
    </nc>
  </rcc>
  <rcc rId="8070" sId="1">
    <oc r="P169" t="inlineStr">
      <is>
        <t>90</t>
      </is>
    </oc>
    <nc r="P169">
      <v>90</v>
    </nc>
  </rcc>
  <rcc rId="8071" sId="1">
    <oc r="P170" t="inlineStr">
      <is>
        <t>90</t>
      </is>
    </oc>
    <nc r="P170">
      <v>90</v>
    </nc>
  </rcc>
  <rcc rId="8072" sId="1">
    <oc r="P171" t="inlineStr">
      <is>
        <t>90</t>
      </is>
    </oc>
    <nc r="P171">
      <v>90</v>
    </nc>
  </rcc>
  <rcc rId="8073" sId="1">
    <oc r="P172" t="inlineStr">
      <is>
        <t>90</t>
      </is>
    </oc>
    <nc r="P172">
      <v>90</v>
    </nc>
  </rcc>
  <rcc rId="8074" sId="1">
    <oc r="P173" t="inlineStr">
      <is>
        <t>90</t>
      </is>
    </oc>
    <nc r="P173">
      <v>90</v>
    </nc>
  </rcc>
  <rcc rId="8075" sId="1">
    <oc r="P174" t="inlineStr">
      <is>
        <t>90</t>
      </is>
    </oc>
    <nc r="P174">
      <v>90</v>
    </nc>
  </rcc>
  <rcc rId="8076" sId="1">
    <oc r="P175" t="inlineStr">
      <is>
        <t>90</t>
      </is>
    </oc>
    <nc r="P175">
      <v>90</v>
    </nc>
  </rcc>
  <rcc rId="8077" sId="1">
    <oc r="P176" t="inlineStr">
      <is>
        <t>90</t>
      </is>
    </oc>
    <nc r="P176">
      <v>90</v>
    </nc>
  </rcc>
  <rcc rId="8078" sId="1">
    <oc r="P177" t="inlineStr">
      <is>
        <t>90</t>
      </is>
    </oc>
    <nc r="P177">
      <v>90</v>
    </nc>
  </rcc>
  <rcc rId="8079" sId="1">
    <oc r="P178" t="inlineStr">
      <is>
        <t>90</t>
      </is>
    </oc>
    <nc r="P178">
      <v>90</v>
    </nc>
  </rcc>
  <rcc rId="8080" sId="1">
    <oc r="P179" t="inlineStr">
      <is>
        <t>90</t>
      </is>
    </oc>
    <nc r="P179">
      <v>90</v>
    </nc>
  </rcc>
  <rcc rId="8081" sId="1">
    <oc r="P180" t="inlineStr">
      <is>
        <t>90</t>
      </is>
    </oc>
    <nc r="P180">
      <v>90</v>
    </nc>
  </rcc>
  <rcc rId="8082" sId="1">
    <oc r="P181" t="inlineStr">
      <is>
        <t>90</t>
      </is>
    </oc>
    <nc r="P181">
      <v>90</v>
    </nc>
  </rcc>
  <rcc rId="8083" sId="1">
    <oc r="P182" t="inlineStr">
      <is>
        <t>90</t>
      </is>
    </oc>
    <nc r="P182">
      <v>90</v>
    </nc>
  </rcc>
  <rcc rId="8084" sId="1">
    <oc r="P183" t="inlineStr">
      <is>
        <t>90</t>
      </is>
    </oc>
    <nc r="P183">
      <v>90</v>
    </nc>
  </rcc>
  <rcc rId="8085" sId="1">
    <oc r="P184" t="inlineStr">
      <is>
        <t>90</t>
      </is>
    </oc>
    <nc r="P184">
      <v>90</v>
    </nc>
  </rcc>
  <rcc rId="8086" sId="1">
    <oc r="P185" t="inlineStr">
      <is>
        <t>90</t>
      </is>
    </oc>
    <nc r="P185">
      <v>90</v>
    </nc>
  </rcc>
  <rcc rId="8087" sId="1">
    <oc r="P186" t="inlineStr">
      <is>
        <t>90</t>
      </is>
    </oc>
    <nc r="P186">
      <v>90</v>
    </nc>
  </rcc>
  <rcc rId="8088" sId="1">
    <oc r="P187" t="inlineStr">
      <is>
        <t>90</t>
      </is>
    </oc>
    <nc r="P187">
      <v>90</v>
    </nc>
  </rcc>
  <rcc rId="8089" sId="1">
    <oc r="P188" t="inlineStr">
      <is>
        <t>90</t>
      </is>
    </oc>
    <nc r="P188">
      <v>90</v>
    </nc>
  </rcc>
  <rcc rId="8090" sId="1">
    <oc r="P189" t="inlineStr">
      <is>
        <t>90</t>
      </is>
    </oc>
    <nc r="P189">
      <v>90</v>
    </nc>
  </rcc>
  <rcc rId="8091" sId="1">
    <oc r="P190" t="inlineStr">
      <is>
        <t>90</t>
      </is>
    </oc>
    <nc r="P190">
      <v>90</v>
    </nc>
  </rcc>
  <rcc rId="8092" sId="1">
    <oc r="P191" t="inlineStr">
      <is>
        <t>90</t>
      </is>
    </oc>
    <nc r="P191">
      <v>90</v>
    </nc>
  </rcc>
  <rcc rId="8093" sId="1">
    <oc r="P192" t="inlineStr">
      <is>
        <t>90</t>
      </is>
    </oc>
    <nc r="P192">
      <v>90</v>
    </nc>
  </rcc>
  <rcc rId="8094" sId="1">
    <oc r="P193" t="inlineStr">
      <is>
        <t>90</t>
      </is>
    </oc>
    <nc r="P193">
      <v>90</v>
    </nc>
  </rcc>
  <rcc rId="8095" sId="1">
    <oc r="P194" t="inlineStr">
      <is>
        <t>90</t>
      </is>
    </oc>
    <nc r="P194">
      <v>90</v>
    </nc>
  </rcc>
  <rcc rId="8096" sId="1">
    <oc r="P195" t="inlineStr">
      <is>
        <t>90</t>
      </is>
    </oc>
    <nc r="P195">
      <v>90</v>
    </nc>
  </rcc>
  <rcc rId="8097" sId="1">
    <oc r="P196" t="inlineStr">
      <is>
        <t>90</t>
      </is>
    </oc>
    <nc r="P196">
      <v>90</v>
    </nc>
  </rcc>
  <rcc rId="8098" sId="1">
    <oc r="P197" t="inlineStr">
      <is>
        <t>90</t>
      </is>
    </oc>
    <nc r="P197">
      <v>90</v>
    </nc>
  </rcc>
  <rcc rId="8099" sId="1">
    <oc r="P198" t="inlineStr">
      <is>
        <t>90</t>
      </is>
    </oc>
    <nc r="P198">
      <v>90</v>
    </nc>
  </rcc>
  <rcc rId="8100" sId="1">
    <oc r="P199" t="inlineStr">
      <is>
        <t>90</t>
      </is>
    </oc>
    <nc r="P199">
      <v>90</v>
    </nc>
  </rcc>
  <rcc rId="8101" sId="1">
    <oc r="P200" t="inlineStr">
      <is>
        <t>90</t>
      </is>
    </oc>
    <nc r="P200">
      <v>90</v>
    </nc>
  </rcc>
  <rcc rId="8102" sId="1">
    <oc r="P201" t="inlineStr">
      <is>
        <t>90</t>
      </is>
    </oc>
    <nc r="P201">
      <v>90</v>
    </nc>
  </rcc>
  <rcc rId="8103" sId="1">
    <oc r="P202" t="inlineStr">
      <is>
        <t>90</t>
      </is>
    </oc>
    <nc r="P202">
      <v>90</v>
    </nc>
  </rcc>
  <rcc rId="8104" sId="1">
    <oc r="P203" t="inlineStr">
      <is>
        <t>90</t>
      </is>
    </oc>
    <nc r="P203">
      <v>90</v>
    </nc>
  </rcc>
  <rcc rId="8105" sId="1">
    <oc r="P204" t="inlineStr">
      <is>
        <t>90</t>
      </is>
    </oc>
    <nc r="P204">
      <v>90</v>
    </nc>
  </rcc>
  <rcc rId="8106" sId="1">
    <oc r="P205" t="inlineStr">
      <is>
        <t>90</t>
      </is>
    </oc>
    <nc r="P205">
      <v>90</v>
    </nc>
  </rcc>
  <rcc rId="8107" sId="1">
    <oc r="P206" t="inlineStr">
      <is>
        <t>90</t>
      </is>
    </oc>
    <nc r="P206">
      <v>90</v>
    </nc>
  </rcc>
  <rcc rId="8108" sId="1">
    <oc r="P207" t="inlineStr">
      <is>
        <t>90</t>
      </is>
    </oc>
    <nc r="P207">
      <v>90</v>
    </nc>
  </rcc>
  <rcc rId="8109" sId="1">
    <oc r="P208" t="inlineStr">
      <is>
        <t>90</t>
      </is>
    </oc>
    <nc r="P208">
      <v>90</v>
    </nc>
  </rcc>
  <rcc rId="8110" sId="1">
    <oc r="P209" t="inlineStr">
      <is>
        <t>90</t>
      </is>
    </oc>
    <nc r="P209">
      <v>90</v>
    </nc>
  </rcc>
  <rcc rId="8111" sId="1">
    <oc r="P210" t="inlineStr">
      <is>
        <t>90</t>
      </is>
    </oc>
    <nc r="P210">
      <v>90</v>
    </nc>
  </rcc>
  <rcc rId="8112" sId="1">
    <oc r="P211" t="inlineStr">
      <is>
        <t>90</t>
      </is>
    </oc>
    <nc r="P211">
      <v>90</v>
    </nc>
  </rcc>
  <rcc rId="8113" sId="1">
    <oc r="P212" t="inlineStr">
      <is>
        <t>90</t>
      </is>
    </oc>
    <nc r="P212">
      <v>90</v>
    </nc>
  </rcc>
  <rcc rId="8114" sId="1">
    <oc r="P213" t="inlineStr">
      <is>
        <t>90</t>
      </is>
    </oc>
    <nc r="P213">
      <v>90</v>
    </nc>
  </rcc>
  <rcc rId="8115" sId="1">
    <oc r="P214" t="inlineStr">
      <is>
        <t>90</t>
      </is>
    </oc>
    <nc r="P214">
      <v>90</v>
    </nc>
  </rcc>
  <rcc rId="8116" sId="1">
    <oc r="P215" t="inlineStr">
      <is>
        <t>90</t>
      </is>
    </oc>
    <nc r="P215">
      <v>90</v>
    </nc>
  </rcc>
  <rcc rId="8117" sId="1">
    <oc r="P216" t="inlineStr">
      <is>
        <t>90</t>
      </is>
    </oc>
    <nc r="P216">
      <v>90</v>
    </nc>
  </rcc>
  <rcc rId="8118" sId="1">
    <oc r="P217" t="inlineStr">
      <is>
        <t>90</t>
      </is>
    </oc>
    <nc r="P217">
      <v>90</v>
    </nc>
  </rcc>
  <rcc rId="8119" sId="1">
    <oc r="P218" t="inlineStr">
      <is>
        <t>90</t>
      </is>
    </oc>
    <nc r="P218">
      <v>90</v>
    </nc>
  </rcc>
  <rcc rId="8120" sId="1">
    <oc r="P219" t="inlineStr">
      <is>
        <t>90</t>
      </is>
    </oc>
    <nc r="P219">
      <v>90</v>
    </nc>
  </rcc>
  <rcc rId="8121" sId="1">
    <oc r="P220" t="inlineStr">
      <is>
        <t>90</t>
      </is>
    </oc>
    <nc r="P220">
      <v>90</v>
    </nc>
  </rcc>
  <rcc rId="8122" sId="1">
    <oc r="P221" t="inlineStr">
      <is>
        <t>90</t>
      </is>
    </oc>
    <nc r="P221">
      <v>90</v>
    </nc>
  </rcc>
  <rcc rId="8123" sId="1">
    <oc r="P222" t="inlineStr">
      <is>
        <t>90</t>
      </is>
    </oc>
    <nc r="P222">
      <v>90</v>
    </nc>
  </rcc>
  <rcc rId="8124" sId="1">
    <oc r="P223" t="inlineStr">
      <is>
        <t>90</t>
      </is>
    </oc>
    <nc r="P223">
      <v>90</v>
    </nc>
  </rcc>
  <rcc rId="8125" sId="1">
    <oc r="P224" t="inlineStr">
      <is>
        <t>90</t>
      </is>
    </oc>
    <nc r="P224">
      <v>90</v>
    </nc>
  </rcc>
  <rcc rId="8126" sId="1">
    <oc r="P225" t="inlineStr">
      <is>
        <t>90</t>
      </is>
    </oc>
    <nc r="P225">
      <v>90</v>
    </nc>
  </rcc>
  <rcc rId="8127" sId="1">
    <oc r="P226" t="inlineStr">
      <is>
        <t>90</t>
      </is>
    </oc>
    <nc r="P226">
      <v>90</v>
    </nc>
  </rcc>
  <rcc rId="8128" sId="1">
    <oc r="P227" t="inlineStr">
      <is>
        <t>90</t>
      </is>
    </oc>
    <nc r="P227">
      <v>90</v>
    </nc>
  </rcc>
  <rcc rId="8129" sId="1">
    <oc r="P228" t="inlineStr">
      <is>
        <t>90</t>
      </is>
    </oc>
    <nc r="P228">
      <v>90</v>
    </nc>
  </rcc>
  <rcc rId="8130" sId="1">
    <oc r="P229" t="inlineStr">
      <is>
        <t>90</t>
      </is>
    </oc>
    <nc r="P229">
      <v>90</v>
    </nc>
  </rcc>
  <rcc rId="8131" sId="1">
    <oc r="P230" t="inlineStr">
      <is>
        <t>90</t>
      </is>
    </oc>
    <nc r="P230">
      <v>90</v>
    </nc>
  </rcc>
  <rcc rId="8132" sId="1">
    <oc r="P231" t="inlineStr">
      <is>
        <t>90</t>
      </is>
    </oc>
    <nc r="P231">
      <v>90</v>
    </nc>
  </rcc>
  <rcc rId="8133" sId="1">
    <oc r="P232" t="inlineStr">
      <is>
        <t>90</t>
      </is>
    </oc>
    <nc r="P232">
      <v>90</v>
    </nc>
  </rcc>
  <rcc rId="8134" sId="1">
    <oc r="P233" t="inlineStr">
      <is>
        <t>90</t>
      </is>
    </oc>
    <nc r="P233">
      <v>90</v>
    </nc>
  </rcc>
  <rcc rId="8135" sId="1">
    <oc r="P234" t="inlineStr">
      <is>
        <t>90</t>
      </is>
    </oc>
    <nc r="P234">
      <v>90</v>
    </nc>
  </rcc>
  <rcc rId="8136" sId="1">
    <oc r="P235" t="inlineStr">
      <is>
        <t>90</t>
      </is>
    </oc>
    <nc r="P235">
      <v>90</v>
    </nc>
  </rcc>
  <rcc rId="8137" sId="1">
    <oc r="P236" t="inlineStr">
      <is>
        <t>90</t>
      </is>
    </oc>
    <nc r="P236">
      <v>90</v>
    </nc>
  </rcc>
  <rcc rId="8138" sId="1">
    <oc r="P237" t="inlineStr">
      <is>
        <t>90</t>
      </is>
    </oc>
    <nc r="P237">
      <v>90</v>
    </nc>
  </rcc>
  <rcc rId="8139" sId="1">
    <oc r="P238" t="inlineStr">
      <is>
        <t>90</t>
      </is>
    </oc>
    <nc r="P238">
      <v>90</v>
    </nc>
  </rcc>
  <rcc rId="8140" sId="1">
    <oc r="P239" t="inlineStr">
      <is>
        <t>90</t>
      </is>
    </oc>
    <nc r="P239">
      <v>90</v>
    </nc>
  </rcc>
  <rcc rId="8141" sId="1">
    <oc r="P240" t="inlineStr">
      <is>
        <t>90</t>
      </is>
    </oc>
    <nc r="P240">
      <v>90</v>
    </nc>
  </rcc>
  <rcc rId="8142" sId="1">
    <oc r="P241" t="inlineStr">
      <is>
        <t>90</t>
      </is>
    </oc>
    <nc r="P241">
      <v>90</v>
    </nc>
  </rcc>
  <rcc rId="8143" sId="1">
    <oc r="P242" t="inlineStr">
      <is>
        <t>90</t>
      </is>
    </oc>
    <nc r="P242">
      <v>90</v>
    </nc>
  </rcc>
  <rcc rId="8144" sId="1">
    <oc r="P243" t="inlineStr">
      <is>
        <t>90</t>
      </is>
    </oc>
    <nc r="P243">
      <v>90</v>
    </nc>
  </rcc>
  <rcc rId="8145" sId="1">
    <oc r="P244" t="inlineStr">
      <is>
        <t>90</t>
      </is>
    </oc>
    <nc r="P244">
      <v>90</v>
    </nc>
  </rcc>
  <rcc rId="8146" sId="1">
    <oc r="P245" t="inlineStr">
      <is>
        <t>90</t>
      </is>
    </oc>
    <nc r="P245">
      <v>90</v>
    </nc>
  </rcc>
  <rcc rId="8147" sId="1">
    <oc r="P246" t="inlineStr">
      <is>
        <t>90</t>
      </is>
    </oc>
    <nc r="P246">
      <v>90</v>
    </nc>
  </rcc>
  <rcc rId="8148" sId="1">
    <oc r="P247" t="inlineStr">
      <is>
        <t>90</t>
      </is>
    </oc>
    <nc r="P247">
      <v>90</v>
    </nc>
  </rcc>
  <rcc rId="8149" sId="1">
    <oc r="P248" t="inlineStr">
      <is>
        <t>90</t>
      </is>
    </oc>
    <nc r="P248">
      <v>90</v>
    </nc>
  </rcc>
  <rcc rId="8150" sId="1">
    <oc r="P249" t="inlineStr">
      <is>
        <t>90</t>
      </is>
    </oc>
    <nc r="P249">
      <v>90</v>
    </nc>
  </rcc>
  <rcc rId="8151" sId="1">
    <oc r="P250" t="inlineStr">
      <is>
        <t>90</t>
      </is>
    </oc>
    <nc r="P250">
      <v>90</v>
    </nc>
  </rcc>
  <rcc rId="8152" sId="1">
    <oc r="P251" t="inlineStr">
      <is>
        <t>90</t>
      </is>
    </oc>
    <nc r="P251">
      <v>90</v>
    </nc>
  </rcc>
  <rcc rId="8153" sId="1">
    <oc r="P252" t="inlineStr">
      <is>
        <t>90</t>
      </is>
    </oc>
    <nc r="P252">
      <v>90</v>
    </nc>
  </rcc>
  <rcc rId="8154" sId="1">
    <oc r="P253" t="inlineStr">
      <is>
        <t>90</t>
      </is>
    </oc>
    <nc r="P253">
      <v>90</v>
    </nc>
  </rcc>
  <rcc rId="8155" sId="1">
    <oc r="P254" t="inlineStr">
      <is>
        <t>90</t>
      </is>
    </oc>
    <nc r="P254">
      <v>90</v>
    </nc>
  </rcc>
  <rcc rId="8156" sId="1">
    <oc r="P255" t="inlineStr">
      <is>
        <t>90</t>
      </is>
    </oc>
    <nc r="P255">
      <v>90</v>
    </nc>
  </rcc>
  <rcc rId="8157" sId="1">
    <oc r="P256" t="inlineStr">
      <is>
        <t>90</t>
      </is>
    </oc>
    <nc r="P256">
      <v>90</v>
    </nc>
  </rcc>
  <rcc rId="8158" sId="1">
    <oc r="P257" t="inlineStr">
      <is>
        <t>90</t>
      </is>
    </oc>
    <nc r="P257">
      <v>90</v>
    </nc>
  </rcc>
  <rcc rId="8159" sId="1">
    <oc r="P258" t="inlineStr">
      <is>
        <t>90</t>
      </is>
    </oc>
    <nc r="P258">
      <v>90</v>
    </nc>
  </rcc>
  <rcc rId="8160" sId="1">
    <oc r="P259" t="inlineStr">
      <is>
        <t>90</t>
      </is>
    </oc>
    <nc r="P259">
      <v>90</v>
    </nc>
  </rcc>
  <rcc rId="8161" sId="1">
    <oc r="P260" t="inlineStr">
      <is>
        <t>90</t>
      </is>
    </oc>
    <nc r="P260">
      <v>90</v>
    </nc>
  </rcc>
  <rcc rId="8162" sId="1">
    <oc r="P261" t="inlineStr">
      <is>
        <t>90</t>
      </is>
    </oc>
    <nc r="P261">
      <v>90</v>
    </nc>
  </rcc>
  <rcc rId="8163" sId="1">
    <oc r="P262" t="inlineStr">
      <is>
        <t>90</t>
      </is>
    </oc>
    <nc r="P262">
      <v>90</v>
    </nc>
  </rcc>
  <rcc rId="8164" sId="1">
    <oc r="P263" t="inlineStr">
      <is>
        <t>90</t>
      </is>
    </oc>
    <nc r="P263">
      <v>90</v>
    </nc>
  </rcc>
  <rcc rId="8165" sId="1">
    <oc r="P264" t="inlineStr">
      <is>
        <t>90</t>
      </is>
    </oc>
    <nc r="P264">
      <v>90</v>
    </nc>
  </rcc>
  <rcc rId="8166" sId="1">
    <oc r="P265" t="inlineStr">
      <is>
        <t>90</t>
      </is>
    </oc>
    <nc r="P265">
      <v>90</v>
    </nc>
  </rcc>
  <rcc rId="8167" sId="1">
    <oc r="P266" t="inlineStr">
      <is>
        <t>90</t>
      </is>
    </oc>
    <nc r="P266">
      <v>90</v>
    </nc>
  </rcc>
  <rcc rId="8168" sId="1">
    <oc r="P267" t="inlineStr">
      <is>
        <t>90</t>
      </is>
    </oc>
    <nc r="P267">
      <v>90</v>
    </nc>
  </rcc>
  <rcc rId="8169" sId="1">
    <oc r="P268" t="inlineStr">
      <is>
        <t>90</t>
      </is>
    </oc>
    <nc r="P268">
      <v>90</v>
    </nc>
  </rcc>
  <rcc rId="8170" sId="1">
    <oc r="P269" t="inlineStr">
      <is>
        <t>90</t>
      </is>
    </oc>
    <nc r="P269">
      <v>90</v>
    </nc>
  </rcc>
  <rcc rId="8171" sId="1">
    <oc r="P270" t="inlineStr">
      <is>
        <t>90</t>
      </is>
    </oc>
    <nc r="P270">
      <v>90</v>
    </nc>
  </rcc>
  <rcc rId="8172" sId="1">
    <oc r="P271" t="inlineStr">
      <is>
        <t>90</t>
      </is>
    </oc>
    <nc r="P271">
      <v>90</v>
    </nc>
  </rcc>
  <rcc rId="8173" sId="1">
    <oc r="P272" t="inlineStr">
      <is>
        <t>90</t>
      </is>
    </oc>
    <nc r="P272">
      <v>90</v>
    </nc>
  </rcc>
  <rcc rId="8174" sId="1">
    <oc r="P273" t="inlineStr">
      <is>
        <t>90</t>
      </is>
    </oc>
    <nc r="P273">
      <v>90</v>
    </nc>
  </rcc>
  <rcc rId="8175" sId="1">
    <oc r="P274" t="inlineStr">
      <is>
        <t>90</t>
      </is>
    </oc>
    <nc r="P274">
      <v>90</v>
    </nc>
  </rcc>
  <rcc rId="8176" sId="1">
    <oc r="P275" t="inlineStr">
      <is>
        <t>90</t>
      </is>
    </oc>
    <nc r="P275">
      <v>90</v>
    </nc>
  </rcc>
  <rcc rId="8177" sId="1">
    <oc r="P276" t="inlineStr">
      <is>
        <t>90</t>
      </is>
    </oc>
    <nc r="P276">
      <v>90</v>
    </nc>
  </rcc>
  <rcc rId="8178" sId="1">
    <oc r="P277" t="inlineStr">
      <is>
        <t>90</t>
      </is>
    </oc>
    <nc r="P277">
      <v>90</v>
    </nc>
  </rcc>
  <rcc rId="8179" sId="1">
    <oc r="P278" t="inlineStr">
      <is>
        <t>90</t>
      </is>
    </oc>
    <nc r="P278">
      <v>90</v>
    </nc>
  </rcc>
  <rcc rId="8180" sId="1">
    <oc r="P279" t="inlineStr">
      <is>
        <t>90</t>
      </is>
    </oc>
    <nc r="P279">
      <v>90</v>
    </nc>
  </rcc>
  <rcc rId="8181" sId="1">
    <oc r="P280" t="inlineStr">
      <is>
        <t>90</t>
      </is>
    </oc>
    <nc r="P280">
      <v>90</v>
    </nc>
  </rcc>
  <rcc rId="8182" sId="1">
    <oc r="P281" t="inlineStr">
      <is>
        <t>90</t>
      </is>
    </oc>
    <nc r="P281">
      <v>90</v>
    </nc>
  </rcc>
  <rcc rId="8183" sId="1">
    <oc r="P282" t="inlineStr">
      <is>
        <t>90</t>
      </is>
    </oc>
    <nc r="P282">
      <v>90</v>
    </nc>
  </rcc>
  <rcc rId="8184" sId="1">
    <oc r="P283" t="inlineStr">
      <is>
        <t>90</t>
      </is>
    </oc>
    <nc r="P283">
      <v>90</v>
    </nc>
  </rcc>
  <rcc rId="8185" sId="1">
    <oc r="P284" t="inlineStr">
      <is>
        <t>90</t>
      </is>
    </oc>
    <nc r="P284">
      <v>90</v>
    </nc>
  </rcc>
  <rcc rId="8186" sId="1">
    <oc r="P285" t="inlineStr">
      <is>
        <t>90</t>
      </is>
    </oc>
    <nc r="P285">
      <v>90</v>
    </nc>
  </rcc>
  <rcc rId="8187" sId="1">
    <oc r="P286" t="inlineStr">
      <is>
        <t>90</t>
      </is>
    </oc>
    <nc r="P286">
      <v>90</v>
    </nc>
  </rcc>
  <rcc rId="8188" sId="1">
    <oc r="P287" t="inlineStr">
      <is>
        <t>90</t>
      </is>
    </oc>
    <nc r="P287">
      <v>90</v>
    </nc>
  </rcc>
  <rcc rId="8189" sId="1">
    <oc r="P288" t="inlineStr">
      <is>
        <t>90</t>
      </is>
    </oc>
    <nc r="P288">
      <v>90</v>
    </nc>
  </rcc>
  <rcc rId="8190" sId="1">
    <oc r="P289" t="inlineStr">
      <is>
        <t>90</t>
      </is>
    </oc>
    <nc r="P289">
      <v>90</v>
    </nc>
  </rcc>
  <rcc rId="8191" sId="1">
    <oc r="P290" t="inlineStr">
      <is>
        <t>90</t>
      </is>
    </oc>
    <nc r="P290">
      <v>90</v>
    </nc>
  </rcc>
  <rcc rId="8192" sId="1">
    <oc r="P291" t="inlineStr">
      <is>
        <t>90</t>
      </is>
    </oc>
    <nc r="P291">
      <v>90</v>
    </nc>
  </rcc>
  <rcc rId="8193" sId="1">
    <oc r="P292" t="inlineStr">
      <is>
        <t>90</t>
      </is>
    </oc>
    <nc r="P292">
      <v>90</v>
    </nc>
  </rcc>
  <rcc rId="8194" sId="1">
    <oc r="P293" t="inlineStr">
      <is>
        <t>90</t>
      </is>
    </oc>
    <nc r="P293">
      <v>90</v>
    </nc>
  </rcc>
  <rcc rId="8195" sId="1">
    <oc r="P294" t="inlineStr">
      <is>
        <t>90</t>
      </is>
    </oc>
    <nc r="P294">
      <v>90</v>
    </nc>
  </rcc>
  <rcc rId="8196" sId="1">
    <oc r="P295" t="inlineStr">
      <is>
        <t>90</t>
      </is>
    </oc>
    <nc r="P295">
      <v>90</v>
    </nc>
  </rcc>
  <rcc rId="8197" sId="1">
    <oc r="P296" t="inlineStr">
      <is>
        <t>90</t>
      </is>
    </oc>
    <nc r="P296">
      <v>90</v>
    </nc>
  </rcc>
  <rcc rId="8198" sId="1">
    <oc r="P297" t="inlineStr">
      <is>
        <t>90</t>
      </is>
    </oc>
    <nc r="P297">
      <v>90</v>
    </nc>
  </rcc>
  <rcc rId="8199" sId="1">
    <oc r="P298" t="inlineStr">
      <is>
        <t>90</t>
      </is>
    </oc>
    <nc r="P298">
      <v>90</v>
    </nc>
  </rcc>
  <rcc rId="8200" sId="1">
    <oc r="P299" t="inlineStr">
      <is>
        <t>90</t>
      </is>
    </oc>
    <nc r="P299">
      <v>90</v>
    </nc>
  </rcc>
  <rcc rId="8201" sId="1">
    <oc r="P300" t="inlineStr">
      <is>
        <t>90</t>
      </is>
    </oc>
    <nc r="P300">
      <v>90</v>
    </nc>
  </rcc>
  <rcc rId="8202" sId="1">
    <oc r="P301" t="inlineStr">
      <is>
        <t>90</t>
      </is>
    </oc>
    <nc r="P301">
      <v>90</v>
    </nc>
  </rcc>
  <rcc rId="8203" sId="1">
    <oc r="P302" t="inlineStr">
      <is>
        <t>90</t>
      </is>
    </oc>
    <nc r="P302">
      <v>90</v>
    </nc>
  </rcc>
  <rcc rId="8204" sId="1">
    <oc r="P303" t="inlineStr">
      <is>
        <t>90</t>
      </is>
    </oc>
    <nc r="P303">
      <v>90</v>
    </nc>
  </rcc>
  <rcc rId="8205" sId="1">
    <oc r="P304" t="inlineStr">
      <is>
        <t>90</t>
      </is>
    </oc>
    <nc r="P304">
      <v>90</v>
    </nc>
  </rcc>
  <rcc rId="8206" sId="1">
    <oc r="P305" t="inlineStr">
      <is>
        <t>90</t>
      </is>
    </oc>
    <nc r="P305">
      <v>90</v>
    </nc>
  </rcc>
  <rcc rId="8207" sId="1">
    <oc r="P306" t="inlineStr">
      <is>
        <t>90</t>
      </is>
    </oc>
    <nc r="P306">
      <v>90</v>
    </nc>
  </rcc>
  <rcc rId="8208" sId="1">
    <oc r="P307" t="inlineStr">
      <is>
        <t>90</t>
      </is>
    </oc>
    <nc r="P307">
      <v>90</v>
    </nc>
  </rcc>
  <rcc rId="8209" sId="1">
    <oc r="P308" t="inlineStr">
      <is>
        <t>90</t>
      </is>
    </oc>
    <nc r="P308">
      <v>90</v>
    </nc>
  </rcc>
  <rcc rId="8210" sId="1">
    <oc r="P309" t="inlineStr">
      <is>
        <t>90</t>
      </is>
    </oc>
    <nc r="P309">
      <v>90</v>
    </nc>
  </rcc>
  <rcc rId="8211" sId="1">
    <oc r="P310" t="inlineStr">
      <is>
        <t>90</t>
      </is>
    </oc>
    <nc r="P310">
      <v>90</v>
    </nc>
  </rcc>
  <rcc rId="8212" sId="1">
    <oc r="P311" t="inlineStr">
      <is>
        <t>90</t>
      </is>
    </oc>
    <nc r="P311">
      <v>90</v>
    </nc>
  </rcc>
  <rcc rId="8213" sId="1">
    <oc r="P312" t="inlineStr">
      <is>
        <t>90</t>
      </is>
    </oc>
    <nc r="P312">
      <v>90</v>
    </nc>
  </rcc>
  <rcc rId="8214" sId="1">
    <oc r="P313" t="inlineStr">
      <is>
        <t>90</t>
      </is>
    </oc>
    <nc r="P313">
      <v>90</v>
    </nc>
  </rcc>
  <rcc rId="8215" sId="1">
    <oc r="P314" t="inlineStr">
      <is>
        <t>90</t>
      </is>
    </oc>
    <nc r="P314">
      <v>90</v>
    </nc>
  </rcc>
  <rcc rId="8216" sId="1">
    <oc r="P315" t="inlineStr">
      <is>
        <t>90</t>
      </is>
    </oc>
    <nc r="P315">
      <v>90</v>
    </nc>
  </rcc>
  <rcc rId="8217" sId="1">
    <oc r="P316" t="inlineStr">
      <is>
        <t>90</t>
      </is>
    </oc>
    <nc r="P316">
      <v>90</v>
    </nc>
  </rcc>
  <rcc rId="8218" sId="1">
    <oc r="P317" t="inlineStr">
      <is>
        <t>90</t>
      </is>
    </oc>
    <nc r="P317">
      <v>90</v>
    </nc>
  </rcc>
  <rcc rId="8219" sId="1">
    <oc r="P318" t="inlineStr">
      <is>
        <t>90</t>
      </is>
    </oc>
    <nc r="P318">
      <v>90</v>
    </nc>
  </rcc>
  <rcc rId="8220" sId="1">
    <oc r="P319" t="inlineStr">
      <is>
        <t>90</t>
      </is>
    </oc>
    <nc r="P319">
      <v>90</v>
    </nc>
  </rcc>
  <rcc rId="8221" sId="1">
    <oc r="P320" t="inlineStr">
      <is>
        <t>90</t>
      </is>
    </oc>
    <nc r="P320">
      <v>90</v>
    </nc>
  </rcc>
  <rcc rId="8222" sId="1">
    <oc r="P321" t="inlineStr">
      <is>
        <t>90</t>
      </is>
    </oc>
    <nc r="P321">
      <v>90</v>
    </nc>
  </rcc>
  <rcc rId="8223" sId="1">
    <oc r="P322" t="inlineStr">
      <is>
        <t>90</t>
      </is>
    </oc>
    <nc r="P322">
      <v>90</v>
    </nc>
  </rcc>
  <rcc rId="8224" sId="1">
    <oc r="P323" t="inlineStr">
      <is>
        <t>90</t>
      </is>
    </oc>
    <nc r="P323">
      <v>90</v>
    </nc>
  </rcc>
  <rcc rId="8225" sId="1">
    <oc r="P324" t="inlineStr">
      <is>
        <t>90</t>
      </is>
    </oc>
    <nc r="P324">
      <v>90</v>
    </nc>
  </rcc>
  <rcc rId="8226" sId="1">
    <oc r="P325" t="inlineStr">
      <is>
        <t>90</t>
      </is>
    </oc>
    <nc r="P325">
      <v>90</v>
    </nc>
  </rcc>
  <rcc rId="8227" sId="1">
    <oc r="P326" t="inlineStr">
      <is>
        <t>90</t>
      </is>
    </oc>
    <nc r="P326">
      <v>90</v>
    </nc>
  </rcc>
  <rcc rId="8228" sId="1">
    <oc r="P327" t="inlineStr">
      <is>
        <t>90</t>
      </is>
    </oc>
    <nc r="P327">
      <v>90</v>
    </nc>
  </rcc>
  <rcc rId="8229" sId="1">
    <oc r="P328" t="inlineStr">
      <is>
        <t>90</t>
      </is>
    </oc>
    <nc r="P328">
      <v>90</v>
    </nc>
  </rcc>
  <rcc rId="8230" sId="1">
    <oc r="P329" t="inlineStr">
      <is>
        <t>90</t>
      </is>
    </oc>
    <nc r="P329">
      <v>90</v>
    </nc>
  </rcc>
  <rcc rId="8231" sId="1">
    <oc r="P330" t="inlineStr">
      <is>
        <t>90</t>
      </is>
    </oc>
    <nc r="P330">
      <v>90</v>
    </nc>
  </rcc>
  <rcc rId="8232" sId="1">
    <oc r="P331" t="inlineStr">
      <is>
        <t>90</t>
      </is>
    </oc>
    <nc r="P331">
      <v>90</v>
    </nc>
  </rcc>
  <rcc rId="8233" sId="1">
    <oc r="P332" t="inlineStr">
      <is>
        <t>90</t>
      </is>
    </oc>
    <nc r="P332">
      <v>90</v>
    </nc>
  </rcc>
  <rcc rId="8234" sId="1">
    <oc r="P333" t="inlineStr">
      <is>
        <t>90</t>
      </is>
    </oc>
    <nc r="P333">
      <v>90</v>
    </nc>
  </rcc>
  <rcc rId="8235" sId="1">
    <oc r="P334" t="inlineStr">
      <is>
        <t>90</t>
      </is>
    </oc>
    <nc r="P334">
      <v>90</v>
    </nc>
  </rcc>
  <rcc rId="8236" sId="1">
    <oc r="P335" t="inlineStr">
      <is>
        <t>90</t>
      </is>
    </oc>
    <nc r="P335">
      <v>90</v>
    </nc>
  </rcc>
  <rcc rId="8237" sId="1">
    <oc r="P336" t="inlineStr">
      <is>
        <t>90</t>
      </is>
    </oc>
    <nc r="P336">
      <v>90</v>
    </nc>
  </rcc>
  <rcc rId="8238" sId="1">
    <oc r="P337" t="inlineStr">
      <is>
        <t>90</t>
      </is>
    </oc>
    <nc r="P337">
      <v>90</v>
    </nc>
  </rcc>
  <rcc rId="8239" sId="1">
    <oc r="P338" t="inlineStr">
      <is>
        <t>90</t>
      </is>
    </oc>
    <nc r="P338">
      <v>90</v>
    </nc>
  </rcc>
  <rcc rId="8240" sId="1">
    <oc r="Q2" t="inlineStr">
      <is>
        <t>90</t>
      </is>
    </oc>
    <nc r="Q2">
      <v>90</v>
    </nc>
  </rcc>
  <rcc rId="8241" sId="1">
    <oc r="Q3" t="inlineStr">
      <is>
        <t>90</t>
      </is>
    </oc>
    <nc r="Q3">
      <v>90</v>
    </nc>
  </rcc>
  <rcc rId="8242" sId="1">
    <oc r="Q4" t="inlineStr">
      <is>
        <t>90</t>
      </is>
    </oc>
    <nc r="Q4">
      <v>90</v>
    </nc>
  </rcc>
  <rcc rId="8243" sId="1">
    <oc r="Q5" t="inlineStr">
      <is>
        <t>90</t>
      </is>
    </oc>
    <nc r="Q5">
      <v>90</v>
    </nc>
  </rcc>
  <rcc rId="8244" sId="1">
    <oc r="Q6" t="inlineStr">
      <is>
        <t>90</t>
      </is>
    </oc>
    <nc r="Q6">
      <v>90</v>
    </nc>
  </rcc>
  <rcc rId="8245" sId="1">
    <oc r="Q7" t="inlineStr">
      <is>
        <t>90</t>
      </is>
    </oc>
    <nc r="Q7">
      <v>90</v>
    </nc>
  </rcc>
  <rcc rId="8246" sId="1">
    <oc r="Q8" t="inlineStr">
      <is>
        <t>90</t>
      </is>
    </oc>
    <nc r="Q8">
      <v>90</v>
    </nc>
  </rcc>
  <rcc rId="8247" sId="1">
    <oc r="Q9" t="inlineStr">
      <is>
        <t>90</t>
      </is>
    </oc>
    <nc r="Q9">
      <v>90</v>
    </nc>
  </rcc>
  <rcc rId="8248" sId="1">
    <oc r="Q10" t="inlineStr">
      <is>
        <t>90</t>
      </is>
    </oc>
    <nc r="Q10">
      <v>90</v>
    </nc>
  </rcc>
  <rcc rId="8249" sId="1">
    <oc r="Q11" t="inlineStr">
      <is>
        <t>90</t>
      </is>
    </oc>
    <nc r="Q11">
      <v>90</v>
    </nc>
  </rcc>
  <rcc rId="8250" sId="1">
    <oc r="Q12" t="inlineStr">
      <is>
        <t>90</t>
      </is>
    </oc>
    <nc r="Q12">
      <v>90</v>
    </nc>
  </rcc>
  <rcc rId="8251" sId="1">
    <oc r="Q13" t="inlineStr">
      <is>
        <t>90</t>
      </is>
    </oc>
    <nc r="Q13">
      <v>90</v>
    </nc>
  </rcc>
  <rcc rId="8252" sId="1">
    <oc r="Q14" t="inlineStr">
      <is>
        <t>90</t>
      </is>
    </oc>
    <nc r="Q14">
      <v>90</v>
    </nc>
  </rcc>
  <rcc rId="8253" sId="1">
    <oc r="Q15" t="inlineStr">
      <is>
        <t>90</t>
      </is>
    </oc>
    <nc r="Q15">
      <v>90</v>
    </nc>
  </rcc>
  <rcc rId="8254" sId="1">
    <oc r="Q16" t="inlineStr">
      <is>
        <t>90</t>
      </is>
    </oc>
    <nc r="Q16">
      <v>90</v>
    </nc>
  </rcc>
  <rcc rId="8255" sId="1">
    <oc r="Q17" t="inlineStr">
      <is>
        <t>90</t>
      </is>
    </oc>
    <nc r="Q17">
      <v>90</v>
    </nc>
  </rcc>
  <rcc rId="8256" sId="1">
    <oc r="Q18" t="inlineStr">
      <is>
        <t>90</t>
      </is>
    </oc>
    <nc r="Q18">
      <v>90</v>
    </nc>
  </rcc>
  <rcc rId="8257" sId="1">
    <oc r="Q19" t="inlineStr">
      <is>
        <t>90</t>
      </is>
    </oc>
    <nc r="Q19">
      <v>90</v>
    </nc>
  </rcc>
  <rcc rId="8258" sId="1">
    <oc r="Q20" t="inlineStr">
      <is>
        <t>90</t>
      </is>
    </oc>
    <nc r="Q20">
      <v>90</v>
    </nc>
  </rcc>
  <rcc rId="8259" sId="1">
    <oc r="Q21" t="inlineStr">
      <is>
        <t>90</t>
      </is>
    </oc>
    <nc r="Q21">
      <v>90</v>
    </nc>
  </rcc>
  <rcc rId="8260" sId="1">
    <oc r="Q22" t="inlineStr">
      <is>
        <t>90</t>
      </is>
    </oc>
    <nc r="Q22">
      <v>90</v>
    </nc>
  </rcc>
  <rcc rId="8261" sId="1">
    <oc r="Q23" t="inlineStr">
      <is>
        <t>90</t>
      </is>
    </oc>
    <nc r="Q23">
      <v>90</v>
    </nc>
  </rcc>
  <rcc rId="8262" sId="1">
    <oc r="Q24" t="inlineStr">
      <is>
        <t>90</t>
      </is>
    </oc>
    <nc r="Q24">
      <v>90</v>
    </nc>
  </rcc>
  <rcc rId="8263" sId="1">
    <oc r="Q25" t="inlineStr">
      <is>
        <t>90</t>
      </is>
    </oc>
    <nc r="Q25">
      <v>90</v>
    </nc>
  </rcc>
  <rcc rId="8264" sId="1">
    <oc r="Q26" t="inlineStr">
      <is>
        <t>90</t>
      </is>
    </oc>
    <nc r="Q26">
      <v>90</v>
    </nc>
  </rcc>
  <rcc rId="8265" sId="1">
    <oc r="Q27" t="inlineStr">
      <is>
        <t>90</t>
      </is>
    </oc>
    <nc r="Q27">
      <v>90</v>
    </nc>
  </rcc>
  <rcc rId="8266" sId="1">
    <oc r="Q28" t="inlineStr">
      <is>
        <t>90</t>
      </is>
    </oc>
    <nc r="Q28">
      <v>90</v>
    </nc>
  </rcc>
  <rcc rId="8267" sId="1">
    <oc r="Q29" t="inlineStr">
      <is>
        <t>90</t>
      </is>
    </oc>
    <nc r="Q29">
      <v>90</v>
    </nc>
  </rcc>
  <rcc rId="8268" sId="1">
    <oc r="Q30" t="inlineStr">
      <is>
        <t>90</t>
      </is>
    </oc>
    <nc r="Q30">
      <v>90</v>
    </nc>
  </rcc>
  <rcc rId="8269" sId="1">
    <oc r="Q31" t="inlineStr">
      <is>
        <t>90</t>
      </is>
    </oc>
    <nc r="Q31">
      <v>90</v>
    </nc>
  </rcc>
  <rcc rId="8270" sId="1">
    <oc r="Q32" t="inlineStr">
      <is>
        <t>90</t>
      </is>
    </oc>
    <nc r="Q32">
      <v>90</v>
    </nc>
  </rcc>
  <rcc rId="8271" sId="1">
    <oc r="Q33" t="inlineStr">
      <is>
        <t>90</t>
      </is>
    </oc>
    <nc r="Q33">
      <v>90</v>
    </nc>
  </rcc>
  <rcc rId="8272" sId="1">
    <oc r="Q34" t="inlineStr">
      <is>
        <t>90</t>
      </is>
    </oc>
    <nc r="Q34">
      <v>90</v>
    </nc>
  </rcc>
  <rcc rId="8273" sId="1">
    <oc r="Q35" t="inlineStr">
      <is>
        <t>90</t>
      </is>
    </oc>
    <nc r="Q35">
      <v>90</v>
    </nc>
  </rcc>
  <rcc rId="8274" sId="1">
    <oc r="Q36" t="inlineStr">
      <is>
        <t>90</t>
      </is>
    </oc>
    <nc r="Q36">
      <v>90</v>
    </nc>
  </rcc>
  <rcc rId="8275" sId="1">
    <oc r="Q37" t="inlineStr">
      <is>
        <t>90</t>
      </is>
    </oc>
    <nc r="Q37">
      <v>90</v>
    </nc>
  </rcc>
  <rcc rId="8276" sId="1">
    <oc r="Q38" t="inlineStr">
      <is>
        <t>90</t>
      </is>
    </oc>
    <nc r="Q38">
      <v>90</v>
    </nc>
  </rcc>
  <rcc rId="8277" sId="1">
    <oc r="Q39" t="inlineStr">
      <is>
        <t>90</t>
      </is>
    </oc>
    <nc r="Q39">
      <v>90</v>
    </nc>
  </rcc>
  <rcc rId="8278" sId="1">
    <oc r="Q40" t="inlineStr">
      <is>
        <t>90</t>
      </is>
    </oc>
    <nc r="Q40">
      <v>90</v>
    </nc>
  </rcc>
  <rcc rId="8279" sId="1">
    <oc r="Q41" t="inlineStr">
      <is>
        <t>90</t>
      </is>
    </oc>
    <nc r="Q41">
      <v>90</v>
    </nc>
  </rcc>
  <rcc rId="8280" sId="1">
    <oc r="Q42" t="inlineStr">
      <is>
        <t>90</t>
      </is>
    </oc>
    <nc r="Q42">
      <v>90</v>
    </nc>
  </rcc>
  <rcc rId="8281" sId="1">
    <oc r="Q43" t="inlineStr">
      <is>
        <t>90</t>
      </is>
    </oc>
    <nc r="Q43">
      <v>90</v>
    </nc>
  </rcc>
  <rcc rId="8282" sId="1">
    <oc r="Q44" t="inlineStr">
      <is>
        <t>90</t>
      </is>
    </oc>
    <nc r="Q44">
      <v>90</v>
    </nc>
  </rcc>
  <rcc rId="8283" sId="1">
    <oc r="Q45" t="inlineStr">
      <is>
        <t>90</t>
      </is>
    </oc>
    <nc r="Q45">
      <v>90</v>
    </nc>
  </rcc>
  <rcc rId="8284" sId="1">
    <oc r="Q46" t="inlineStr">
      <is>
        <t>90</t>
      </is>
    </oc>
    <nc r="Q46">
      <v>90</v>
    </nc>
  </rcc>
  <rcc rId="8285" sId="1">
    <oc r="Q47" t="inlineStr">
      <is>
        <t>90</t>
      </is>
    </oc>
    <nc r="Q47">
      <v>90</v>
    </nc>
  </rcc>
  <rcc rId="8286" sId="1">
    <oc r="Q48" t="inlineStr">
      <is>
        <t>90</t>
      </is>
    </oc>
    <nc r="Q48">
      <v>90</v>
    </nc>
  </rcc>
  <rcc rId="8287" sId="1">
    <oc r="Q49" t="inlineStr">
      <is>
        <t>90</t>
      </is>
    </oc>
    <nc r="Q49">
      <v>90</v>
    </nc>
  </rcc>
  <rcc rId="8288" sId="1">
    <oc r="Q50" t="inlineStr">
      <is>
        <t>90</t>
      </is>
    </oc>
    <nc r="Q50">
      <v>90</v>
    </nc>
  </rcc>
  <rcc rId="8289" sId="1">
    <oc r="Q51" t="inlineStr">
      <is>
        <t>90</t>
      </is>
    </oc>
    <nc r="Q51">
      <v>90</v>
    </nc>
  </rcc>
  <rcc rId="8290" sId="1">
    <oc r="Q52" t="inlineStr">
      <is>
        <t>90</t>
      </is>
    </oc>
    <nc r="Q52">
      <v>90</v>
    </nc>
  </rcc>
  <rcc rId="8291" sId="1">
    <oc r="Q53" t="inlineStr">
      <is>
        <t>90</t>
      </is>
    </oc>
    <nc r="Q53">
      <v>90</v>
    </nc>
  </rcc>
  <rcc rId="8292" sId="1">
    <oc r="Q54" t="inlineStr">
      <is>
        <t>90</t>
      </is>
    </oc>
    <nc r="Q54">
      <v>90</v>
    </nc>
  </rcc>
  <rcc rId="8293" sId="1">
    <oc r="Q55" t="inlineStr">
      <is>
        <t>90</t>
      </is>
    </oc>
    <nc r="Q55">
      <v>90</v>
    </nc>
  </rcc>
  <rcc rId="8294" sId="1">
    <oc r="Q56" t="inlineStr">
      <is>
        <t>90</t>
      </is>
    </oc>
    <nc r="Q56">
      <v>90</v>
    </nc>
  </rcc>
  <rcc rId="8295" sId="1">
    <oc r="Q57" t="inlineStr">
      <is>
        <t>90</t>
      </is>
    </oc>
    <nc r="Q57">
      <v>90</v>
    </nc>
  </rcc>
  <rcc rId="8296" sId="1">
    <oc r="Q58" t="inlineStr">
      <is>
        <t>90</t>
      </is>
    </oc>
    <nc r="Q58">
      <v>90</v>
    </nc>
  </rcc>
  <rcc rId="8297" sId="1">
    <oc r="Q59" t="inlineStr">
      <is>
        <t>90</t>
      </is>
    </oc>
    <nc r="Q59">
      <v>90</v>
    </nc>
  </rcc>
  <rcc rId="8298" sId="1">
    <oc r="Q60" t="inlineStr">
      <is>
        <t>90</t>
      </is>
    </oc>
    <nc r="Q60">
      <v>90</v>
    </nc>
  </rcc>
  <rcc rId="8299" sId="1">
    <oc r="Q61" t="inlineStr">
      <is>
        <t>90</t>
      </is>
    </oc>
    <nc r="Q61">
      <v>90</v>
    </nc>
  </rcc>
  <rcc rId="8300" sId="1">
    <oc r="Q62" t="inlineStr">
      <is>
        <t>90</t>
      </is>
    </oc>
    <nc r="Q62">
      <v>90</v>
    </nc>
  </rcc>
  <rcc rId="8301" sId="1">
    <oc r="Q63" t="inlineStr">
      <is>
        <t>90</t>
      </is>
    </oc>
    <nc r="Q63">
      <v>90</v>
    </nc>
  </rcc>
  <rcc rId="8302" sId="1">
    <oc r="Q64" t="inlineStr">
      <is>
        <t>90</t>
      </is>
    </oc>
    <nc r="Q64">
      <v>90</v>
    </nc>
  </rcc>
  <rcc rId="8303" sId="1">
    <oc r="Q65" t="inlineStr">
      <is>
        <t>90</t>
      </is>
    </oc>
    <nc r="Q65">
      <v>90</v>
    </nc>
  </rcc>
  <rcc rId="8304" sId="1">
    <oc r="Q66" t="inlineStr">
      <is>
        <t>90</t>
      </is>
    </oc>
    <nc r="Q66">
      <v>90</v>
    </nc>
  </rcc>
  <rcc rId="8305" sId="1">
    <oc r="Q67" t="inlineStr">
      <is>
        <t>90</t>
      </is>
    </oc>
    <nc r="Q67">
      <v>90</v>
    </nc>
  </rcc>
  <rcc rId="8306" sId="1">
    <oc r="Q68" t="inlineStr">
      <is>
        <t>90</t>
      </is>
    </oc>
    <nc r="Q68">
      <v>90</v>
    </nc>
  </rcc>
  <rcc rId="8307" sId="1">
    <oc r="Q69" t="inlineStr">
      <is>
        <t>90</t>
      </is>
    </oc>
    <nc r="Q69">
      <v>90</v>
    </nc>
  </rcc>
  <rcc rId="8308" sId="1">
    <oc r="Q70" t="inlineStr">
      <is>
        <t>90</t>
      </is>
    </oc>
    <nc r="Q70">
      <v>90</v>
    </nc>
  </rcc>
  <rcc rId="8309" sId="1">
    <oc r="Q71" t="inlineStr">
      <is>
        <t>90</t>
      </is>
    </oc>
    <nc r="Q71">
      <v>90</v>
    </nc>
  </rcc>
  <rcc rId="8310" sId="1">
    <oc r="Q72" t="inlineStr">
      <is>
        <t>90</t>
      </is>
    </oc>
    <nc r="Q72">
      <v>90</v>
    </nc>
  </rcc>
  <rcc rId="8311" sId="1">
    <oc r="Q73" t="inlineStr">
      <is>
        <t>90</t>
      </is>
    </oc>
    <nc r="Q73">
      <v>90</v>
    </nc>
  </rcc>
  <rcc rId="8312" sId="1">
    <oc r="Q74" t="inlineStr">
      <is>
        <t>90</t>
      </is>
    </oc>
    <nc r="Q74">
      <v>90</v>
    </nc>
  </rcc>
  <rcc rId="8313" sId="1">
    <oc r="Q75" t="inlineStr">
      <is>
        <t>90</t>
      </is>
    </oc>
    <nc r="Q75">
      <v>90</v>
    </nc>
  </rcc>
  <rcc rId="8314" sId="1">
    <oc r="Q76" t="inlineStr">
      <is>
        <t>90</t>
      </is>
    </oc>
    <nc r="Q76">
      <v>90</v>
    </nc>
  </rcc>
  <rcc rId="8315" sId="1">
    <oc r="Q77" t="inlineStr">
      <is>
        <t>90</t>
      </is>
    </oc>
    <nc r="Q77">
      <v>90</v>
    </nc>
  </rcc>
  <rcc rId="8316" sId="1">
    <oc r="Q78" t="inlineStr">
      <is>
        <t>90</t>
      </is>
    </oc>
    <nc r="Q78">
      <v>90</v>
    </nc>
  </rcc>
  <rcc rId="8317" sId="1">
    <oc r="Q79" t="inlineStr">
      <is>
        <t>90</t>
      </is>
    </oc>
    <nc r="Q79">
      <v>90</v>
    </nc>
  </rcc>
  <rcc rId="8318" sId="1">
    <oc r="Q80" t="inlineStr">
      <is>
        <t>90</t>
      </is>
    </oc>
    <nc r="Q80">
      <v>90</v>
    </nc>
  </rcc>
  <rcc rId="8319" sId="1">
    <oc r="Q81" t="inlineStr">
      <is>
        <t>90</t>
      </is>
    </oc>
    <nc r="Q81">
      <v>90</v>
    </nc>
  </rcc>
  <rcc rId="8320" sId="1">
    <oc r="Q82" t="inlineStr">
      <is>
        <t>90</t>
      </is>
    </oc>
    <nc r="Q82">
      <v>90</v>
    </nc>
  </rcc>
  <rcc rId="8321" sId="1">
    <oc r="Q83" t="inlineStr">
      <is>
        <t>90</t>
      </is>
    </oc>
    <nc r="Q83">
      <v>90</v>
    </nc>
  </rcc>
  <rcc rId="8322" sId="1">
    <oc r="Q84" t="inlineStr">
      <is>
        <t>90</t>
      </is>
    </oc>
    <nc r="Q84">
      <v>90</v>
    </nc>
  </rcc>
  <rcc rId="8323" sId="1">
    <oc r="Q85" t="inlineStr">
      <is>
        <t>90</t>
      </is>
    </oc>
    <nc r="Q85">
      <v>90</v>
    </nc>
  </rcc>
  <rcc rId="8324" sId="1">
    <oc r="Q86" t="inlineStr">
      <is>
        <t>90</t>
      </is>
    </oc>
    <nc r="Q86">
      <v>90</v>
    </nc>
  </rcc>
  <rcc rId="8325" sId="1">
    <oc r="Q87" t="inlineStr">
      <is>
        <t>90</t>
      </is>
    </oc>
    <nc r="Q87">
      <v>90</v>
    </nc>
  </rcc>
  <rcc rId="8326" sId="1">
    <oc r="Q88" t="inlineStr">
      <is>
        <t>90</t>
      </is>
    </oc>
    <nc r="Q88">
      <v>90</v>
    </nc>
  </rcc>
  <rcc rId="8327" sId="1">
    <oc r="Q89" t="inlineStr">
      <is>
        <t>90</t>
      </is>
    </oc>
    <nc r="Q89">
      <v>90</v>
    </nc>
  </rcc>
  <rcc rId="8328" sId="1">
    <oc r="Q90" t="inlineStr">
      <is>
        <t>90</t>
      </is>
    </oc>
    <nc r="Q90">
      <v>90</v>
    </nc>
  </rcc>
  <rcc rId="8329" sId="1">
    <oc r="Q91" t="inlineStr">
      <is>
        <t>90</t>
      </is>
    </oc>
    <nc r="Q91">
      <v>90</v>
    </nc>
  </rcc>
  <rcc rId="8330" sId="1">
    <oc r="Q92" t="inlineStr">
      <is>
        <t>90</t>
      </is>
    </oc>
    <nc r="Q92">
      <v>90</v>
    </nc>
  </rcc>
  <rcc rId="8331" sId="1">
    <oc r="Q93" t="inlineStr">
      <is>
        <t>90</t>
      </is>
    </oc>
    <nc r="Q93">
      <v>90</v>
    </nc>
  </rcc>
  <rcc rId="8332" sId="1">
    <oc r="Q94" t="inlineStr">
      <is>
        <t>90</t>
      </is>
    </oc>
    <nc r="Q94">
      <v>90</v>
    </nc>
  </rcc>
  <rcc rId="8333" sId="1">
    <oc r="Q95" t="inlineStr">
      <is>
        <t>90</t>
      </is>
    </oc>
    <nc r="Q95">
      <v>90</v>
    </nc>
  </rcc>
  <rcc rId="8334" sId="1">
    <oc r="Q96" t="inlineStr">
      <is>
        <t>90</t>
      </is>
    </oc>
    <nc r="Q96">
      <v>90</v>
    </nc>
  </rcc>
  <rcc rId="8335" sId="1">
    <oc r="Q97" t="inlineStr">
      <is>
        <t>90</t>
      </is>
    </oc>
    <nc r="Q97">
      <v>90</v>
    </nc>
  </rcc>
  <rcc rId="8336" sId="1">
    <oc r="Q98" t="inlineStr">
      <is>
        <t>90</t>
      </is>
    </oc>
    <nc r="Q98">
      <v>90</v>
    </nc>
  </rcc>
  <rcc rId="8337" sId="1">
    <oc r="Q99" t="inlineStr">
      <is>
        <t>90</t>
      </is>
    </oc>
    <nc r="Q99">
      <v>90</v>
    </nc>
  </rcc>
  <rcc rId="8338" sId="1">
    <oc r="Q100" t="inlineStr">
      <is>
        <t>90</t>
      </is>
    </oc>
    <nc r="Q100">
      <v>90</v>
    </nc>
  </rcc>
  <rcc rId="8339" sId="1">
    <oc r="Q101" t="inlineStr">
      <is>
        <t>90</t>
      </is>
    </oc>
    <nc r="Q101">
      <v>90</v>
    </nc>
  </rcc>
  <rcc rId="8340" sId="1">
    <oc r="Q102" t="inlineStr">
      <is>
        <t>90</t>
      </is>
    </oc>
    <nc r="Q102">
      <v>90</v>
    </nc>
  </rcc>
  <rcc rId="8341" sId="1">
    <oc r="Q103" t="inlineStr">
      <is>
        <t>90</t>
      </is>
    </oc>
    <nc r="Q103">
      <v>90</v>
    </nc>
  </rcc>
  <rcc rId="8342" sId="1">
    <oc r="Q104" t="inlineStr">
      <is>
        <t>90</t>
      </is>
    </oc>
    <nc r="Q104">
      <v>90</v>
    </nc>
  </rcc>
  <rcc rId="8343" sId="1">
    <oc r="Q105" t="inlineStr">
      <is>
        <t>90</t>
      </is>
    </oc>
    <nc r="Q105">
      <v>90</v>
    </nc>
  </rcc>
  <rcc rId="8344" sId="1">
    <oc r="Q106" t="inlineStr">
      <is>
        <t>90</t>
      </is>
    </oc>
    <nc r="Q106">
      <v>90</v>
    </nc>
  </rcc>
  <rcc rId="8345" sId="1">
    <oc r="Q107" t="inlineStr">
      <is>
        <t>90</t>
      </is>
    </oc>
    <nc r="Q107">
      <v>90</v>
    </nc>
  </rcc>
  <rcc rId="8346" sId="1">
    <oc r="Q108" t="inlineStr">
      <is>
        <t>90</t>
      </is>
    </oc>
    <nc r="Q108">
      <v>90</v>
    </nc>
  </rcc>
  <rcc rId="8347" sId="1">
    <oc r="Q109" t="inlineStr">
      <is>
        <t>90</t>
      </is>
    </oc>
    <nc r="Q109">
      <v>90</v>
    </nc>
  </rcc>
  <rcc rId="8348" sId="1">
    <oc r="Q110" t="inlineStr">
      <is>
        <t>90</t>
      </is>
    </oc>
    <nc r="Q110">
      <v>90</v>
    </nc>
  </rcc>
  <rcc rId="8349" sId="1">
    <oc r="Q111" t="inlineStr">
      <is>
        <t>90</t>
      </is>
    </oc>
    <nc r="Q111">
      <v>90</v>
    </nc>
  </rcc>
  <rcc rId="8350" sId="1">
    <oc r="Q112" t="inlineStr">
      <is>
        <t>90</t>
      </is>
    </oc>
    <nc r="Q112">
      <v>90</v>
    </nc>
  </rcc>
  <rcc rId="8351" sId="1">
    <oc r="Q113" t="inlineStr">
      <is>
        <t>90</t>
      </is>
    </oc>
    <nc r="Q113">
      <v>90</v>
    </nc>
  </rcc>
  <rcc rId="8352" sId="1">
    <oc r="Q114" t="inlineStr">
      <is>
        <t>90</t>
      </is>
    </oc>
    <nc r="Q114">
      <v>90</v>
    </nc>
  </rcc>
  <rcc rId="8353" sId="1">
    <oc r="Q115" t="inlineStr">
      <is>
        <t>90</t>
      </is>
    </oc>
    <nc r="Q115">
      <v>90</v>
    </nc>
  </rcc>
  <rcc rId="8354" sId="1">
    <oc r="Q116" t="inlineStr">
      <is>
        <t>90</t>
      </is>
    </oc>
    <nc r="Q116">
      <v>90</v>
    </nc>
  </rcc>
  <rcc rId="8355" sId="1">
    <oc r="Q117" t="inlineStr">
      <is>
        <t>90</t>
      </is>
    </oc>
    <nc r="Q117">
      <v>90</v>
    </nc>
  </rcc>
  <rcc rId="8356" sId="1">
    <oc r="Q118" t="inlineStr">
      <is>
        <t>90</t>
      </is>
    </oc>
    <nc r="Q118">
      <v>90</v>
    </nc>
  </rcc>
  <rcc rId="8357" sId="1">
    <oc r="Q119" t="inlineStr">
      <is>
        <t>90</t>
      </is>
    </oc>
    <nc r="Q119">
      <v>90</v>
    </nc>
  </rcc>
  <rcc rId="8358" sId="1">
    <oc r="Q120" t="inlineStr">
      <is>
        <t>90</t>
      </is>
    </oc>
    <nc r="Q120">
      <v>90</v>
    </nc>
  </rcc>
  <rcc rId="8359" sId="1">
    <oc r="Q121" t="inlineStr">
      <is>
        <t>90</t>
      </is>
    </oc>
    <nc r="Q121">
      <v>90</v>
    </nc>
  </rcc>
  <rcc rId="8360" sId="1">
    <oc r="Q122" t="inlineStr">
      <is>
        <t>90</t>
      </is>
    </oc>
    <nc r="Q122">
      <v>90</v>
    </nc>
  </rcc>
  <rcc rId="8361" sId="1">
    <oc r="Q123" t="inlineStr">
      <is>
        <t>90</t>
      </is>
    </oc>
    <nc r="Q123">
      <v>90</v>
    </nc>
  </rcc>
  <rcc rId="8362" sId="1">
    <oc r="Q124" t="inlineStr">
      <is>
        <t>90</t>
      </is>
    </oc>
    <nc r="Q124">
      <v>90</v>
    </nc>
  </rcc>
  <rcc rId="8363" sId="1">
    <oc r="Q125" t="inlineStr">
      <is>
        <t>90</t>
      </is>
    </oc>
    <nc r="Q125">
      <v>90</v>
    </nc>
  </rcc>
  <rcc rId="8364" sId="1">
    <oc r="Q126" t="inlineStr">
      <is>
        <t>90</t>
      </is>
    </oc>
    <nc r="Q126">
      <v>90</v>
    </nc>
  </rcc>
  <rcc rId="8365" sId="1">
    <oc r="Q127" t="inlineStr">
      <is>
        <t>90</t>
      </is>
    </oc>
    <nc r="Q127">
      <v>90</v>
    </nc>
  </rcc>
  <rcc rId="8366" sId="1">
    <oc r="Q128" t="inlineStr">
      <is>
        <t>90</t>
      </is>
    </oc>
    <nc r="Q128">
      <v>90</v>
    </nc>
  </rcc>
  <rcc rId="8367" sId="1">
    <oc r="Q129" t="inlineStr">
      <is>
        <t>90</t>
      </is>
    </oc>
    <nc r="Q129">
      <v>90</v>
    </nc>
  </rcc>
  <rcc rId="8368" sId="1">
    <oc r="Q130" t="inlineStr">
      <is>
        <t>90</t>
      </is>
    </oc>
    <nc r="Q130">
      <v>90</v>
    </nc>
  </rcc>
  <rcc rId="8369" sId="1">
    <oc r="Q131" t="inlineStr">
      <is>
        <t>90</t>
      </is>
    </oc>
    <nc r="Q131">
      <v>90</v>
    </nc>
  </rcc>
  <rcc rId="8370" sId="1">
    <oc r="Q132" t="inlineStr">
      <is>
        <t>90</t>
      </is>
    </oc>
    <nc r="Q132">
      <v>90</v>
    </nc>
  </rcc>
  <rcc rId="8371" sId="1">
    <oc r="Q133" t="inlineStr">
      <is>
        <t>90</t>
      </is>
    </oc>
    <nc r="Q133">
      <v>90</v>
    </nc>
  </rcc>
  <rcc rId="8372" sId="1">
    <oc r="Q134" t="inlineStr">
      <is>
        <t>90</t>
      </is>
    </oc>
    <nc r="Q134">
      <v>90</v>
    </nc>
  </rcc>
  <rcc rId="8373" sId="1">
    <oc r="Q135" t="inlineStr">
      <is>
        <t>90</t>
      </is>
    </oc>
    <nc r="Q135">
      <v>90</v>
    </nc>
  </rcc>
  <rcc rId="8374" sId="1">
    <oc r="Q136" t="inlineStr">
      <is>
        <t>90</t>
      </is>
    </oc>
    <nc r="Q136">
      <v>90</v>
    </nc>
  </rcc>
  <rcc rId="8375" sId="1">
    <oc r="Q137" t="inlineStr">
      <is>
        <t>90</t>
      </is>
    </oc>
    <nc r="Q137">
      <v>90</v>
    </nc>
  </rcc>
  <rcc rId="8376" sId="1">
    <oc r="Q138" t="inlineStr">
      <is>
        <t>90</t>
      </is>
    </oc>
    <nc r="Q138">
      <v>90</v>
    </nc>
  </rcc>
  <rcc rId="8377" sId="1">
    <oc r="Q139" t="inlineStr">
      <is>
        <t>90</t>
      </is>
    </oc>
    <nc r="Q139">
      <v>90</v>
    </nc>
  </rcc>
  <rcc rId="8378" sId="1">
    <oc r="Q140" t="inlineStr">
      <is>
        <t>90</t>
      </is>
    </oc>
    <nc r="Q140">
      <v>90</v>
    </nc>
  </rcc>
  <rcc rId="8379" sId="1">
    <oc r="Q141" t="inlineStr">
      <is>
        <t>90</t>
      </is>
    </oc>
    <nc r="Q141">
      <v>90</v>
    </nc>
  </rcc>
  <rcc rId="8380" sId="1">
    <oc r="Q142" t="inlineStr">
      <is>
        <t>90</t>
      </is>
    </oc>
    <nc r="Q142">
      <v>90</v>
    </nc>
  </rcc>
  <rcc rId="8381" sId="1">
    <oc r="Q143" t="inlineStr">
      <is>
        <t>90</t>
      </is>
    </oc>
    <nc r="Q143">
      <v>90</v>
    </nc>
  </rcc>
  <rcc rId="8382" sId="1">
    <oc r="Q144" t="inlineStr">
      <is>
        <t>90</t>
      </is>
    </oc>
    <nc r="Q144">
      <v>90</v>
    </nc>
  </rcc>
  <rcc rId="8383" sId="1">
    <oc r="Q145" t="inlineStr">
      <is>
        <t>90</t>
      </is>
    </oc>
    <nc r="Q145">
      <v>90</v>
    </nc>
  </rcc>
  <rcc rId="8384" sId="1">
    <oc r="Q146" t="inlineStr">
      <is>
        <t>90</t>
      </is>
    </oc>
    <nc r="Q146">
      <v>90</v>
    </nc>
  </rcc>
  <rcc rId="8385" sId="1">
    <oc r="Q147" t="inlineStr">
      <is>
        <t>90</t>
      </is>
    </oc>
    <nc r="Q147">
      <v>90</v>
    </nc>
  </rcc>
  <rcc rId="8386" sId="1">
    <oc r="Q148" t="inlineStr">
      <is>
        <t>90</t>
      </is>
    </oc>
    <nc r="Q148">
      <v>90</v>
    </nc>
  </rcc>
  <rcc rId="8387" sId="1">
    <oc r="Q149" t="inlineStr">
      <is>
        <t>90</t>
      </is>
    </oc>
    <nc r="Q149">
      <v>90</v>
    </nc>
  </rcc>
  <rcc rId="8388" sId="1">
    <oc r="Q150" t="inlineStr">
      <is>
        <t>90</t>
      </is>
    </oc>
    <nc r="Q150">
      <v>90</v>
    </nc>
  </rcc>
  <rcc rId="8389" sId="1">
    <oc r="Q151" t="inlineStr">
      <is>
        <t>90</t>
      </is>
    </oc>
    <nc r="Q151">
      <v>90</v>
    </nc>
  </rcc>
  <rcc rId="8390" sId="1">
    <oc r="Q152" t="inlineStr">
      <is>
        <t>90</t>
      </is>
    </oc>
    <nc r="Q152">
      <v>90</v>
    </nc>
  </rcc>
  <rcc rId="8391" sId="1">
    <oc r="Q153" t="inlineStr">
      <is>
        <t>90</t>
      </is>
    </oc>
    <nc r="Q153">
      <v>90</v>
    </nc>
  </rcc>
  <rcc rId="8392" sId="1">
    <oc r="Q154" t="inlineStr">
      <is>
        <t>90</t>
      </is>
    </oc>
    <nc r="Q154">
      <v>90</v>
    </nc>
  </rcc>
  <rcc rId="8393" sId="1">
    <oc r="Q155" t="inlineStr">
      <is>
        <t>90</t>
      </is>
    </oc>
    <nc r="Q155">
      <v>90</v>
    </nc>
  </rcc>
  <rcc rId="8394" sId="1">
    <oc r="Q156" t="inlineStr">
      <is>
        <t>90</t>
      </is>
    </oc>
    <nc r="Q156">
      <v>90</v>
    </nc>
  </rcc>
  <rcc rId="8395" sId="1">
    <oc r="Q157" t="inlineStr">
      <is>
        <t>90</t>
      </is>
    </oc>
    <nc r="Q157">
      <v>90</v>
    </nc>
  </rcc>
  <rcc rId="8396" sId="1">
    <oc r="Q158" t="inlineStr">
      <is>
        <t>90</t>
      </is>
    </oc>
    <nc r="Q158">
      <v>90</v>
    </nc>
  </rcc>
  <rcc rId="8397" sId="1">
    <oc r="Q159" t="inlineStr">
      <is>
        <t>90</t>
      </is>
    </oc>
    <nc r="Q159">
      <v>90</v>
    </nc>
  </rcc>
  <rcc rId="8398" sId="1">
    <oc r="Q160" t="inlineStr">
      <is>
        <t>90</t>
      </is>
    </oc>
    <nc r="Q160">
      <v>90</v>
    </nc>
  </rcc>
  <rcc rId="8399" sId="1">
    <oc r="Q161" t="inlineStr">
      <is>
        <t>90</t>
      </is>
    </oc>
    <nc r="Q161">
      <v>90</v>
    </nc>
  </rcc>
  <rcc rId="8400" sId="1">
    <oc r="Q162" t="inlineStr">
      <is>
        <t>90</t>
      </is>
    </oc>
    <nc r="Q162">
      <v>90</v>
    </nc>
  </rcc>
  <rcc rId="8401" sId="1">
    <oc r="Q163" t="inlineStr">
      <is>
        <t>90</t>
      </is>
    </oc>
    <nc r="Q163">
      <v>90</v>
    </nc>
  </rcc>
  <rcc rId="8402" sId="1">
    <oc r="Q164" t="inlineStr">
      <is>
        <t>90</t>
      </is>
    </oc>
    <nc r="Q164">
      <v>90</v>
    </nc>
  </rcc>
  <rcc rId="8403" sId="1">
    <oc r="Q165" t="inlineStr">
      <is>
        <t>90</t>
      </is>
    </oc>
    <nc r="Q165">
      <v>90</v>
    </nc>
  </rcc>
  <rcc rId="8404" sId="1">
    <oc r="Q166" t="inlineStr">
      <is>
        <t>90</t>
      </is>
    </oc>
    <nc r="Q166">
      <v>90</v>
    </nc>
  </rcc>
  <rcc rId="8405" sId="1">
    <oc r="Q167" t="inlineStr">
      <is>
        <t>90</t>
      </is>
    </oc>
    <nc r="Q167">
      <v>90</v>
    </nc>
  </rcc>
  <rcc rId="8406" sId="1">
    <oc r="Q168" t="inlineStr">
      <is>
        <t>90</t>
      </is>
    </oc>
    <nc r="Q168">
      <v>90</v>
    </nc>
  </rcc>
  <rcc rId="8407" sId="1">
    <oc r="Q169" t="inlineStr">
      <is>
        <t>90</t>
      </is>
    </oc>
    <nc r="Q169">
      <v>90</v>
    </nc>
  </rcc>
  <rcc rId="8408" sId="1">
    <oc r="Q170" t="inlineStr">
      <is>
        <t>90</t>
      </is>
    </oc>
    <nc r="Q170">
      <v>90</v>
    </nc>
  </rcc>
  <rcc rId="8409" sId="1">
    <oc r="Q171" t="inlineStr">
      <is>
        <t>90</t>
      </is>
    </oc>
    <nc r="Q171">
      <v>90</v>
    </nc>
  </rcc>
  <rcc rId="8410" sId="1">
    <oc r="Q172" t="inlineStr">
      <is>
        <t>90</t>
      </is>
    </oc>
    <nc r="Q172">
      <v>90</v>
    </nc>
  </rcc>
  <rcc rId="8411" sId="1">
    <oc r="Q173" t="inlineStr">
      <is>
        <t>90</t>
      </is>
    </oc>
    <nc r="Q173">
      <v>90</v>
    </nc>
  </rcc>
  <rcc rId="8412" sId="1">
    <oc r="Q174" t="inlineStr">
      <is>
        <t>90</t>
      </is>
    </oc>
    <nc r="Q174">
      <v>90</v>
    </nc>
  </rcc>
  <rcc rId="8413" sId="1">
    <oc r="Q175" t="inlineStr">
      <is>
        <t>90</t>
      </is>
    </oc>
    <nc r="Q175">
      <v>90</v>
    </nc>
  </rcc>
  <rcc rId="8414" sId="1">
    <oc r="Q176" t="inlineStr">
      <is>
        <t>90</t>
      </is>
    </oc>
    <nc r="Q176">
      <v>90</v>
    </nc>
  </rcc>
  <rcc rId="8415" sId="1">
    <oc r="Q177" t="inlineStr">
      <is>
        <t>90</t>
      </is>
    </oc>
    <nc r="Q177">
      <v>90</v>
    </nc>
  </rcc>
  <rcc rId="8416" sId="1">
    <oc r="Q178" t="inlineStr">
      <is>
        <t>90</t>
      </is>
    </oc>
    <nc r="Q178">
      <v>90</v>
    </nc>
  </rcc>
  <rcc rId="8417" sId="1">
    <oc r="Q179" t="inlineStr">
      <is>
        <t>90</t>
      </is>
    </oc>
    <nc r="Q179">
      <v>90</v>
    </nc>
  </rcc>
  <rcc rId="8418" sId="1">
    <oc r="Q180" t="inlineStr">
      <is>
        <t>90</t>
      </is>
    </oc>
    <nc r="Q180">
      <v>90</v>
    </nc>
  </rcc>
  <rcc rId="8419" sId="1">
    <oc r="Q181" t="inlineStr">
      <is>
        <t>90</t>
      </is>
    </oc>
    <nc r="Q181">
      <v>90</v>
    </nc>
  </rcc>
  <rcc rId="8420" sId="1">
    <oc r="Q182" t="inlineStr">
      <is>
        <t>90</t>
      </is>
    </oc>
    <nc r="Q182">
      <v>90</v>
    </nc>
  </rcc>
  <rcc rId="8421" sId="1">
    <oc r="Q183" t="inlineStr">
      <is>
        <t>90</t>
      </is>
    </oc>
    <nc r="Q183">
      <v>90</v>
    </nc>
  </rcc>
  <rcc rId="8422" sId="1">
    <oc r="Q184" t="inlineStr">
      <is>
        <t>90</t>
      </is>
    </oc>
    <nc r="Q184">
      <v>90</v>
    </nc>
  </rcc>
  <rcc rId="8423" sId="1">
    <oc r="Q185" t="inlineStr">
      <is>
        <t>90</t>
      </is>
    </oc>
    <nc r="Q185">
      <v>90</v>
    </nc>
  </rcc>
  <rcc rId="8424" sId="1">
    <oc r="Q186" t="inlineStr">
      <is>
        <t>90</t>
      </is>
    </oc>
    <nc r="Q186">
      <v>90</v>
    </nc>
  </rcc>
  <rcc rId="8425" sId="1">
    <oc r="Q187" t="inlineStr">
      <is>
        <t>90</t>
      </is>
    </oc>
    <nc r="Q187">
      <v>90</v>
    </nc>
  </rcc>
  <rcc rId="8426" sId="1">
    <oc r="Q188" t="inlineStr">
      <is>
        <t>90</t>
      </is>
    </oc>
    <nc r="Q188">
      <v>90</v>
    </nc>
  </rcc>
  <rcc rId="8427" sId="1">
    <oc r="Q189" t="inlineStr">
      <is>
        <t>90</t>
      </is>
    </oc>
    <nc r="Q189">
      <v>90</v>
    </nc>
  </rcc>
  <rcc rId="8428" sId="1">
    <oc r="Q190" t="inlineStr">
      <is>
        <t>90</t>
      </is>
    </oc>
    <nc r="Q190">
      <v>90</v>
    </nc>
  </rcc>
  <rcc rId="8429" sId="1">
    <oc r="Q191" t="inlineStr">
      <is>
        <t>90</t>
      </is>
    </oc>
    <nc r="Q191">
      <v>90</v>
    </nc>
  </rcc>
  <rcc rId="8430" sId="1">
    <oc r="Q192" t="inlineStr">
      <is>
        <t>90</t>
      </is>
    </oc>
    <nc r="Q192">
      <v>90</v>
    </nc>
  </rcc>
  <rcc rId="8431" sId="1">
    <oc r="Q193" t="inlineStr">
      <is>
        <t>90</t>
      </is>
    </oc>
    <nc r="Q193">
      <v>90</v>
    </nc>
  </rcc>
  <rcc rId="8432" sId="1">
    <oc r="Q194" t="inlineStr">
      <is>
        <t>90</t>
      </is>
    </oc>
    <nc r="Q194">
      <v>90</v>
    </nc>
  </rcc>
  <rcc rId="8433" sId="1">
    <oc r="Q195" t="inlineStr">
      <is>
        <t>90</t>
      </is>
    </oc>
    <nc r="Q195">
      <v>90</v>
    </nc>
  </rcc>
  <rcc rId="8434" sId="1">
    <oc r="Q196" t="inlineStr">
      <is>
        <t>90</t>
      </is>
    </oc>
    <nc r="Q196">
      <v>90</v>
    </nc>
  </rcc>
  <rcc rId="8435" sId="1">
    <oc r="Q197" t="inlineStr">
      <is>
        <t>90</t>
      </is>
    </oc>
    <nc r="Q197">
      <v>90</v>
    </nc>
  </rcc>
  <rcc rId="8436" sId="1">
    <oc r="Q198" t="inlineStr">
      <is>
        <t>90</t>
      </is>
    </oc>
    <nc r="Q198">
      <v>90</v>
    </nc>
  </rcc>
  <rcc rId="8437" sId="1">
    <oc r="Q199" t="inlineStr">
      <is>
        <t>90</t>
      </is>
    </oc>
    <nc r="Q199">
      <v>90</v>
    </nc>
  </rcc>
  <rcc rId="8438" sId="1">
    <oc r="Q200" t="inlineStr">
      <is>
        <t>90</t>
      </is>
    </oc>
    <nc r="Q200">
      <v>90</v>
    </nc>
  </rcc>
  <rcc rId="8439" sId="1">
    <oc r="Q201" t="inlineStr">
      <is>
        <t>90</t>
      </is>
    </oc>
    <nc r="Q201">
      <v>90</v>
    </nc>
  </rcc>
  <rcc rId="8440" sId="1">
    <oc r="Q202" t="inlineStr">
      <is>
        <t>90</t>
      </is>
    </oc>
    <nc r="Q202">
      <v>90</v>
    </nc>
  </rcc>
  <rcc rId="8441" sId="1">
    <oc r="Q203" t="inlineStr">
      <is>
        <t>90</t>
      </is>
    </oc>
    <nc r="Q203">
      <v>90</v>
    </nc>
  </rcc>
  <rcc rId="8442" sId="1">
    <oc r="Q204" t="inlineStr">
      <is>
        <t>90</t>
      </is>
    </oc>
    <nc r="Q204">
      <v>90</v>
    </nc>
  </rcc>
  <rcc rId="8443" sId="1">
    <oc r="Q205" t="inlineStr">
      <is>
        <t>90</t>
      </is>
    </oc>
    <nc r="Q205">
      <v>90</v>
    </nc>
  </rcc>
  <rcc rId="8444" sId="1">
    <oc r="Q206" t="inlineStr">
      <is>
        <t>90</t>
      </is>
    </oc>
    <nc r="Q206">
      <v>90</v>
    </nc>
  </rcc>
  <rcc rId="8445" sId="1">
    <oc r="Q207" t="inlineStr">
      <is>
        <t>90</t>
      </is>
    </oc>
    <nc r="Q207">
      <v>90</v>
    </nc>
  </rcc>
  <rcc rId="8446" sId="1">
    <oc r="Q208" t="inlineStr">
      <is>
        <t>90</t>
      </is>
    </oc>
    <nc r="Q208">
      <v>90</v>
    </nc>
  </rcc>
  <rcc rId="8447" sId="1">
    <oc r="Q209" t="inlineStr">
      <is>
        <t>90</t>
      </is>
    </oc>
    <nc r="Q209">
      <v>90</v>
    </nc>
  </rcc>
  <rcc rId="8448" sId="1">
    <oc r="Q210" t="inlineStr">
      <is>
        <t>90</t>
      </is>
    </oc>
    <nc r="Q210">
      <v>90</v>
    </nc>
  </rcc>
  <rcc rId="8449" sId="1">
    <oc r="Q211" t="inlineStr">
      <is>
        <t>90</t>
      </is>
    </oc>
    <nc r="Q211">
      <v>90</v>
    </nc>
  </rcc>
  <rcc rId="8450" sId="1">
    <oc r="Q212" t="inlineStr">
      <is>
        <t>90</t>
      </is>
    </oc>
    <nc r="Q212">
      <v>90</v>
    </nc>
  </rcc>
  <rcc rId="8451" sId="1">
    <oc r="Q213" t="inlineStr">
      <is>
        <t>90</t>
      </is>
    </oc>
    <nc r="Q213">
      <v>90</v>
    </nc>
  </rcc>
  <rcc rId="8452" sId="1">
    <oc r="Q214" t="inlineStr">
      <is>
        <t>90</t>
      </is>
    </oc>
    <nc r="Q214">
      <v>90</v>
    </nc>
  </rcc>
  <rcc rId="8453" sId="1">
    <oc r="Q215" t="inlineStr">
      <is>
        <t>90</t>
      </is>
    </oc>
    <nc r="Q215">
      <v>90</v>
    </nc>
  </rcc>
  <rcc rId="8454" sId="1">
    <oc r="Q216" t="inlineStr">
      <is>
        <t>90</t>
      </is>
    </oc>
    <nc r="Q216">
      <v>90</v>
    </nc>
  </rcc>
  <rcc rId="8455" sId="1">
    <oc r="Q217" t="inlineStr">
      <is>
        <t>90</t>
      </is>
    </oc>
    <nc r="Q217">
      <v>90</v>
    </nc>
  </rcc>
  <rcc rId="8456" sId="1">
    <oc r="Q218" t="inlineStr">
      <is>
        <t>90</t>
      </is>
    </oc>
    <nc r="Q218">
      <v>90</v>
    </nc>
  </rcc>
  <rcc rId="8457" sId="1">
    <oc r="Q219" t="inlineStr">
      <is>
        <t>90</t>
      </is>
    </oc>
    <nc r="Q219">
      <v>90</v>
    </nc>
  </rcc>
  <rcc rId="8458" sId="1">
    <oc r="Q220" t="inlineStr">
      <is>
        <t>90</t>
      </is>
    </oc>
    <nc r="Q220">
      <v>90</v>
    </nc>
  </rcc>
  <rcc rId="8459" sId="1">
    <oc r="Q221" t="inlineStr">
      <is>
        <t>90</t>
      </is>
    </oc>
    <nc r="Q221">
      <v>90</v>
    </nc>
  </rcc>
  <rcc rId="8460" sId="1">
    <oc r="Q222" t="inlineStr">
      <is>
        <t>90</t>
      </is>
    </oc>
    <nc r="Q222">
      <v>90</v>
    </nc>
  </rcc>
  <rcc rId="8461" sId="1">
    <oc r="Q223" t="inlineStr">
      <is>
        <t>90</t>
      </is>
    </oc>
    <nc r="Q223">
      <v>90</v>
    </nc>
  </rcc>
  <rcc rId="8462" sId="1">
    <oc r="Q224" t="inlineStr">
      <is>
        <t>90</t>
      </is>
    </oc>
    <nc r="Q224">
      <v>90</v>
    </nc>
  </rcc>
  <rcc rId="8463" sId="1">
    <oc r="Q225" t="inlineStr">
      <is>
        <t>90</t>
      </is>
    </oc>
    <nc r="Q225">
      <v>90</v>
    </nc>
  </rcc>
  <rcc rId="8464" sId="1">
    <oc r="Q226" t="inlineStr">
      <is>
        <t>90</t>
      </is>
    </oc>
    <nc r="Q226">
      <v>90</v>
    </nc>
  </rcc>
  <rcc rId="8465" sId="1">
    <oc r="Q227" t="inlineStr">
      <is>
        <t>90</t>
      </is>
    </oc>
    <nc r="Q227">
      <v>90</v>
    </nc>
  </rcc>
  <rcc rId="8466" sId="1">
    <oc r="Q228" t="inlineStr">
      <is>
        <t>90</t>
      </is>
    </oc>
    <nc r="Q228">
      <v>90</v>
    </nc>
  </rcc>
  <rcc rId="8467" sId="1">
    <oc r="Q229" t="inlineStr">
      <is>
        <t>90</t>
      </is>
    </oc>
    <nc r="Q229">
      <v>90</v>
    </nc>
  </rcc>
  <rcc rId="8468" sId="1">
    <oc r="Q230" t="inlineStr">
      <is>
        <t>90</t>
      </is>
    </oc>
    <nc r="Q230">
      <v>90</v>
    </nc>
  </rcc>
  <rcc rId="8469" sId="1">
    <oc r="Q231" t="inlineStr">
      <is>
        <t>90</t>
      </is>
    </oc>
    <nc r="Q231">
      <v>90</v>
    </nc>
  </rcc>
  <rcc rId="8470" sId="1">
    <oc r="Q232" t="inlineStr">
      <is>
        <t>90</t>
      </is>
    </oc>
    <nc r="Q232">
      <v>90</v>
    </nc>
  </rcc>
  <rcc rId="8471" sId="1">
    <oc r="Q233" t="inlineStr">
      <is>
        <t>90</t>
      </is>
    </oc>
    <nc r="Q233">
      <v>90</v>
    </nc>
  </rcc>
  <rcc rId="8472" sId="1">
    <oc r="Q234" t="inlineStr">
      <is>
        <t>90</t>
      </is>
    </oc>
    <nc r="Q234">
      <v>90</v>
    </nc>
  </rcc>
  <rcc rId="8473" sId="1">
    <oc r="Q235" t="inlineStr">
      <is>
        <t>90</t>
      </is>
    </oc>
    <nc r="Q235">
      <v>90</v>
    </nc>
  </rcc>
  <rcc rId="8474" sId="1">
    <oc r="Q236" t="inlineStr">
      <is>
        <t>90</t>
      </is>
    </oc>
    <nc r="Q236">
      <v>90</v>
    </nc>
  </rcc>
  <rcc rId="8475" sId="1">
    <oc r="Q237" t="inlineStr">
      <is>
        <t>90</t>
      </is>
    </oc>
    <nc r="Q237">
      <v>90</v>
    </nc>
  </rcc>
  <rcc rId="8476" sId="1">
    <oc r="Q238" t="inlineStr">
      <is>
        <t>90</t>
      </is>
    </oc>
    <nc r="Q238">
      <v>90</v>
    </nc>
  </rcc>
  <rcc rId="8477" sId="1">
    <oc r="Q239" t="inlineStr">
      <is>
        <t>90</t>
      </is>
    </oc>
    <nc r="Q239">
      <v>90</v>
    </nc>
  </rcc>
  <rcc rId="8478" sId="1">
    <oc r="Q240" t="inlineStr">
      <is>
        <t>90</t>
      </is>
    </oc>
    <nc r="Q240">
      <v>90</v>
    </nc>
  </rcc>
  <rcc rId="8479" sId="1">
    <oc r="Q241" t="inlineStr">
      <is>
        <t>90</t>
      </is>
    </oc>
    <nc r="Q241">
      <v>90</v>
    </nc>
  </rcc>
  <rcc rId="8480" sId="1">
    <oc r="Q242" t="inlineStr">
      <is>
        <t>90</t>
      </is>
    </oc>
    <nc r="Q242">
      <v>90</v>
    </nc>
  </rcc>
  <rcc rId="8481" sId="1">
    <oc r="Q243" t="inlineStr">
      <is>
        <t>90</t>
      </is>
    </oc>
    <nc r="Q243">
      <v>90</v>
    </nc>
  </rcc>
  <rcc rId="8482" sId="1">
    <oc r="Q244" t="inlineStr">
      <is>
        <t>90</t>
      </is>
    </oc>
    <nc r="Q244">
      <v>90</v>
    </nc>
  </rcc>
  <rcc rId="8483" sId="1">
    <oc r="Q245" t="inlineStr">
      <is>
        <t>90</t>
      </is>
    </oc>
    <nc r="Q245">
      <v>90</v>
    </nc>
  </rcc>
  <rcc rId="8484" sId="1">
    <oc r="Q246" t="inlineStr">
      <is>
        <t>90</t>
      </is>
    </oc>
    <nc r="Q246">
      <v>90</v>
    </nc>
  </rcc>
  <rcc rId="8485" sId="1">
    <oc r="Q247" t="inlineStr">
      <is>
        <t>90</t>
      </is>
    </oc>
    <nc r="Q247">
      <v>90</v>
    </nc>
  </rcc>
  <rcc rId="8486" sId="1">
    <oc r="Q248" t="inlineStr">
      <is>
        <t>90</t>
      </is>
    </oc>
    <nc r="Q248">
      <v>90</v>
    </nc>
  </rcc>
  <rcc rId="8487" sId="1">
    <oc r="Q249" t="inlineStr">
      <is>
        <t>90</t>
      </is>
    </oc>
    <nc r="Q249">
      <v>90</v>
    </nc>
  </rcc>
  <rcc rId="8488" sId="1">
    <oc r="Q250" t="inlineStr">
      <is>
        <t>90</t>
      </is>
    </oc>
    <nc r="Q250">
      <v>90</v>
    </nc>
  </rcc>
  <rcc rId="8489" sId="1">
    <oc r="Q251" t="inlineStr">
      <is>
        <t>90</t>
      </is>
    </oc>
    <nc r="Q251">
      <v>90</v>
    </nc>
  </rcc>
  <rcc rId="8490" sId="1">
    <oc r="Q252" t="inlineStr">
      <is>
        <t>90</t>
      </is>
    </oc>
    <nc r="Q252">
      <v>90</v>
    </nc>
  </rcc>
  <rcc rId="8491" sId="1">
    <oc r="Q253" t="inlineStr">
      <is>
        <t>90</t>
      </is>
    </oc>
    <nc r="Q253">
      <v>90</v>
    </nc>
  </rcc>
  <rcc rId="8492" sId="1">
    <oc r="Q254" t="inlineStr">
      <is>
        <t>90</t>
      </is>
    </oc>
    <nc r="Q254">
      <v>90</v>
    </nc>
  </rcc>
  <rcc rId="8493" sId="1">
    <oc r="Q255" t="inlineStr">
      <is>
        <t>90</t>
      </is>
    </oc>
    <nc r="Q255">
      <v>90</v>
    </nc>
  </rcc>
  <rcc rId="8494" sId="1">
    <oc r="Q256" t="inlineStr">
      <is>
        <t>90</t>
      </is>
    </oc>
    <nc r="Q256">
      <v>90</v>
    </nc>
  </rcc>
  <rcc rId="8495" sId="1">
    <oc r="Q257" t="inlineStr">
      <is>
        <t>90</t>
      </is>
    </oc>
    <nc r="Q257">
      <v>90</v>
    </nc>
  </rcc>
  <rcc rId="8496" sId="1">
    <oc r="Q258" t="inlineStr">
      <is>
        <t>90</t>
      </is>
    </oc>
    <nc r="Q258">
      <v>90</v>
    </nc>
  </rcc>
  <rcc rId="8497" sId="1">
    <oc r="Q259" t="inlineStr">
      <is>
        <t>90</t>
      </is>
    </oc>
    <nc r="Q259">
      <v>90</v>
    </nc>
  </rcc>
  <rcc rId="8498" sId="1">
    <oc r="Q260" t="inlineStr">
      <is>
        <t>90</t>
      </is>
    </oc>
    <nc r="Q260">
      <v>90</v>
    </nc>
  </rcc>
  <rcc rId="8499" sId="1">
    <oc r="Q261" t="inlineStr">
      <is>
        <t>90</t>
      </is>
    </oc>
    <nc r="Q261">
      <v>90</v>
    </nc>
  </rcc>
  <rcc rId="8500" sId="1">
    <oc r="Q262" t="inlineStr">
      <is>
        <t>90</t>
      </is>
    </oc>
    <nc r="Q262">
      <v>90</v>
    </nc>
  </rcc>
  <rcc rId="8501" sId="1">
    <oc r="Q263" t="inlineStr">
      <is>
        <t>90</t>
      </is>
    </oc>
    <nc r="Q263">
      <v>90</v>
    </nc>
  </rcc>
  <rcc rId="8502" sId="1">
    <oc r="Q264" t="inlineStr">
      <is>
        <t>90</t>
      </is>
    </oc>
    <nc r="Q264">
      <v>90</v>
    </nc>
  </rcc>
  <rcc rId="8503" sId="1">
    <oc r="Q265" t="inlineStr">
      <is>
        <t>90</t>
      </is>
    </oc>
    <nc r="Q265">
      <v>90</v>
    </nc>
  </rcc>
  <rcc rId="8504" sId="1">
    <oc r="Q266" t="inlineStr">
      <is>
        <t>90</t>
      </is>
    </oc>
    <nc r="Q266">
      <v>90</v>
    </nc>
  </rcc>
  <rcc rId="8505" sId="1">
    <oc r="Q267" t="inlineStr">
      <is>
        <t>90</t>
      </is>
    </oc>
    <nc r="Q267">
      <v>90</v>
    </nc>
  </rcc>
  <rcc rId="8506" sId="1">
    <oc r="Q268" t="inlineStr">
      <is>
        <t>90</t>
      </is>
    </oc>
    <nc r="Q268">
      <v>90</v>
    </nc>
  </rcc>
  <rcc rId="8507" sId="1">
    <oc r="Q269" t="inlineStr">
      <is>
        <t>90</t>
      </is>
    </oc>
    <nc r="Q269">
      <v>90</v>
    </nc>
  </rcc>
  <rcc rId="8508" sId="1">
    <oc r="Q270" t="inlineStr">
      <is>
        <t>90</t>
      </is>
    </oc>
    <nc r="Q270">
      <v>90</v>
    </nc>
  </rcc>
  <rcc rId="8509" sId="1">
    <oc r="Q271" t="inlineStr">
      <is>
        <t>90</t>
      </is>
    </oc>
    <nc r="Q271">
      <v>90</v>
    </nc>
  </rcc>
  <rcc rId="8510" sId="1">
    <oc r="Q272" t="inlineStr">
      <is>
        <t>90</t>
      </is>
    </oc>
    <nc r="Q272">
      <v>90</v>
    </nc>
  </rcc>
  <rcc rId="8511" sId="1">
    <oc r="Q273" t="inlineStr">
      <is>
        <t>90</t>
      </is>
    </oc>
    <nc r="Q273">
      <v>90</v>
    </nc>
  </rcc>
  <rcc rId="8512" sId="1">
    <oc r="Q274" t="inlineStr">
      <is>
        <t>90</t>
      </is>
    </oc>
    <nc r="Q274">
      <v>90</v>
    </nc>
  </rcc>
  <rcc rId="8513" sId="1">
    <oc r="Q275" t="inlineStr">
      <is>
        <t>90</t>
      </is>
    </oc>
    <nc r="Q275">
      <v>90</v>
    </nc>
  </rcc>
  <rcc rId="8514" sId="1">
    <oc r="Q276" t="inlineStr">
      <is>
        <t>90</t>
      </is>
    </oc>
    <nc r="Q276">
      <v>90</v>
    </nc>
  </rcc>
  <rcc rId="8515" sId="1">
    <oc r="Q277" t="inlineStr">
      <is>
        <t>90</t>
      </is>
    </oc>
    <nc r="Q277">
      <v>90</v>
    </nc>
  </rcc>
  <rcc rId="8516" sId="1">
    <oc r="Q278" t="inlineStr">
      <is>
        <t>90</t>
      </is>
    </oc>
    <nc r="Q278">
      <v>90</v>
    </nc>
  </rcc>
  <rcc rId="8517" sId="1">
    <oc r="Q279" t="inlineStr">
      <is>
        <t>90</t>
      </is>
    </oc>
    <nc r="Q279">
      <v>90</v>
    </nc>
  </rcc>
  <rcc rId="8518" sId="1">
    <oc r="Q280" t="inlineStr">
      <is>
        <t>90</t>
      </is>
    </oc>
    <nc r="Q280">
      <v>90</v>
    </nc>
  </rcc>
  <rcc rId="8519" sId="1">
    <oc r="Q281" t="inlineStr">
      <is>
        <t>90</t>
      </is>
    </oc>
    <nc r="Q281">
      <v>90</v>
    </nc>
  </rcc>
  <rcc rId="8520" sId="1">
    <oc r="Q282" t="inlineStr">
      <is>
        <t>90</t>
      </is>
    </oc>
    <nc r="Q282">
      <v>90</v>
    </nc>
  </rcc>
  <rcc rId="8521" sId="1">
    <oc r="Q283" t="inlineStr">
      <is>
        <t>90</t>
      </is>
    </oc>
    <nc r="Q283">
      <v>90</v>
    </nc>
  </rcc>
  <rcc rId="8522" sId="1">
    <oc r="Q284" t="inlineStr">
      <is>
        <t>90</t>
      </is>
    </oc>
    <nc r="Q284">
      <v>90</v>
    </nc>
  </rcc>
  <rcc rId="8523" sId="1">
    <oc r="Q285" t="inlineStr">
      <is>
        <t>90</t>
      </is>
    </oc>
    <nc r="Q285">
      <v>90</v>
    </nc>
  </rcc>
  <rcc rId="8524" sId="1">
    <oc r="Q286" t="inlineStr">
      <is>
        <t>90</t>
      </is>
    </oc>
    <nc r="Q286">
      <v>90</v>
    </nc>
  </rcc>
  <rcc rId="8525" sId="1">
    <oc r="Q287" t="inlineStr">
      <is>
        <t>90</t>
      </is>
    </oc>
    <nc r="Q287">
      <v>90</v>
    </nc>
  </rcc>
  <rcc rId="8526" sId="1">
    <oc r="Q288" t="inlineStr">
      <is>
        <t>90</t>
      </is>
    </oc>
    <nc r="Q288">
      <v>90</v>
    </nc>
  </rcc>
  <rcc rId="8527" sId="1">
    <oc r="Q289" t="inlineStr">
      <is>
        <t>90</t>
      </is>
    </oc>
    <nc r="Q289">
      <v>90</v>
    </nc>
  </rcc>
  <rcc rId="8528" sId="1">
    <oc r="Q290" t="inlineStr">
      <is>
        <t>90</t>
      </is>
    </oc>
    <nc r="Q290">
      <v>90</v>
    </nc>
  </rcc>
  <rcc rId="8529" sId="1">
    <oc r="Q291" t="inlineStr">
      <is>
        <t>90</t>
      </is>
    </oc>
    <nc r="Q291">
      <v>90</v>
    </nc>
  </rcc>
  <rcc rId="8530" sId="1">
    <oc r="Q292" t="inlineStr">
      <is>
        <t>90</t>
      </is>
    </oc>
    <nc r="Q292">
      <v>90</v>
    </nc>
  </rcc>
  <rcc rId="8531" sId="1">
    <oc r="Q293" t="inlineStr">
      <is>
        <t>90</t>
      </is>
    </oc>
    <nc r="Q293">
      <v>90</v>
    </nc>
  </rcc>
  <rcc rId="8532" sId="1">
    <oc r="Q294" t="inlineStr">
      <is>
        <t>90</t>
      </is>
    </oc>
    <nc r="Q294">
      <v>90</v>
    </nc>
  </rcc>
  <rcc rId="8533" sId="1">
    <oc r="Q295" t="inlineStr">
      <is>
        <t>90</t>
      </is>
    </oc>
    <nc r="Q295">
      <v>90</v>
    </nc>
  </rcc>
  <rcc rId="8534" sId="1">
    <oc r="Q296" t="inlineStr">
      <is>
        <t>90</t>
      </is>
    </oc>
    <nc r="Q296">
      <v>90</v>
    </nc>
  </rcc>
  <rcc rId="8535" sId="1">
    <oc r="Q297" t="inlineStr">
      <is>
        <t>90</t>
      </is>
    </oc>
    <nc r="Q297">
      <v>90</v>
    </nc>
  </rcc>
  <rcc rId="8536" sId="1">
    <oc r="Q298" t="inlineStr">
      <is>
        <t>90</t>
      </is>
    </oc>
    <nc r="Q298">
      <v>90</v>
    </nc>
  </rcc>
  <rcc rId="8537" sId="1">
    <oc r="Q299" t="inlineStr">
      <is>
        <t>90</t>
      </is>
    </oc>
    <nc r="Q299">
      <v>90</v>
    </nc>
  </rcc>
  <rcc rId="8538" sId="1">
    <oc r="Q300" t="inlineStr">
      <is>
        <t>90</t>
      </is>
    </oc>
    <nc r="Q300">
      <v>90</v>
    </nc>
  </rcc>
  <rcc rId="8539" sId="1">
    <oc r="Q301" t="inlineStr">
      <is>
        <t>90</t>
      </is>
    </oc>
    <nc r="Q301">
      <v>90</v>
    </nc>
  </rcc>
  <rcc rId="8540" sId="1">
    <oc r="Q302" t="inlineStr">
      <is>
        <t>90</t>
      </is>
    </oc>
    <nc r="Q302">
      <v>90</v>
    </nc>
  </rcc>
  <rcc rId="8541" sId="1">
    <oc r="Q303" t="inlineStr">
      <is>
        <t>90</t>
      </is>
    </oc>
    <nc r="Q303">
      <v>90</v>
    </nc>
  </rcc>
  <rcc rId="8542" sId="1">
    <oc r="Q304" t="inlineStr">
      <is>
        <t>90</t>
      </is>
    </oc>
    <nc r="Q304">
      <v>90</v>
    </nc>
  </rcc>
  <rcc rId="8543" sId="1">
    <oc r="Q305" t="inlineStr">
      <is>
        <t>90</t>
      </is>
    </oc>
    <nc r="Q305">
      <v>90</v>
    </nc>
  </rcc>
  <rcc rId="8544" sId="1">
    <oc r="Q306" t="inlineStr">
      <is>
        <t>90</t>
      </is>
    </oc>
    <nc r="Q306">
      <v>90</v>
    </nc>
  </rcc>
  <rcc rId="8545" sId="1">
    <oc r="Q307" t="inlineStr">
      <is>
        <t>90</t>
      </is>
    </oc>
    <nc r="Q307">
      <v>90</v>
    </nc>
  </rcc>
  <rcc rId="8546" sId="1">
    <oc r="Q308" t="inlineStr">
      <is>
        <t>90</t>
      </is>
    </oc>
    <nc r="Q308">
      <v>90</v>
    </nc>
  </rcc>
  <rcc rId="8547" sId="1">
    <oc r="Q309" t="inlineStr">
      <is>
        <t>90</t>
      </is>
    </oc>
    <nc r="Q309">
      <v>90</v>
    </nc>
  </rcc>
  <rcc rId="8548" sId="1">
    <oc r="Q310" t="inlineStr">
      <is>
        <t>90</t>
      </is>
    </oc>
    <nc r="Q310">
      <v>90</v>
    </nc>
  </rcc>
  <rcc rId="8549" sId="1">
    <oc r="Q311" t="inlineStr">
      <is>
        <t>90</t>
      </is>
    </oc>
    <nc r="Q311">
      <v>90</v>
    </nc>
  </rcc>
  <rcc rId="8550" sId="1">
    <oc r="Q312" t="inlineStr">
      <is>
        <t>90</t>
      </is>
    </oc>
    <nc r="Q312">
      <v>90</v>
    </nc>
  </rcc>
  <rcc rId="8551" sId="1">
    <oc r="Q313" t="inlineStr">
      <is>
        <t>90</t>
      </is>
    </oc>
    <nc r="Q313">
      <v>90</v>
    </nc>
  </rcc>
  <rcc rId="8552" sId="1">
    <oc r="Q314" t="inlineStr">
      <is>
        <t>90</t>
      </is>
    </oc>
    <nc r="Q314">
      <v>90</v>
    </nc>
  </rcc>
  <rcc rId="8553" sId="1">
    <oc r="Q315" t="inlineStr">
      <is>
        <t>90</t>
      </is>
    </oc>
    <nc r="Q315">
      <v>90</v>
    </nc>
  </rcc>
  <rcc rId="8554" sId="1">
    <oc r="Q316" t="inlineStr">
      <is>
        <t>90</t>
      </is>
    </oc>
    <nc r="Q316">
      <v>90</v>
    </nc>
  </rcc>
  <rcc rId="8555" sId="1">
    <oc r="Q317" t="inlineStr">
      <is>
        <t>90</t>
      </is>
    </oc>
    <nc r="Q317">
      <v>90</v>
    </nc>
  </rcc>
  <rcc rId="8556" sId="1">
    <oc r="Q318" t="inlineStr">
      <is>
        <t>90</t>
      </is>
    </oc>
    <nc r="Q318">
      <v>90</v>
    </nc>
  </rcc>
  <rcc rId="8557" sId="1">
    <oc r="Q319" t="inlineStr">
      <is>
        <t>90</t>
      </is>
    </oc>
    <nc r="Q319">
      <v>90</v>
    </nc>
  </rcc>
  <rcc rId="8558" sId="1">
    <oc r="Q320" t="inlineStr">
      <is>
        <t>90</t>
      </is>
    </oc>
    <nc r="Q320">
      <v>90</v>
    </nc>
  </rcc>
  <rcc rId="8559" sId="1">
    <oc r="Q321" t="inlineStr">
      <is>
        <t>90</t>
      </is>
    </oc>
    <nc r="Q321">
      <v>90</v>
    </nc>
  </rcc>
  <rcc rId="8560" sId="1">
    <oc r="Q322" t="inlineStr">
      <is>
        <t>90</t>
      </is>
    </oc>
    <nc r="Q322">
      <v>90</v>
    </nc>
  </rcc>
  <rcc rId="8561" sId="1">
    <oc r="Q323" t="inlineStr">
      <is>
        <t>90</t>
      </is>
    </oc>
    <nc r="Q323">
      <v>90</v>
    </nc>
  </rcc>
  <rcc rId="8562" sId="1">
    <oc r="Q324" t="inlineStr">
      <is>
        <t>90</t>
      </is>
    </oc>
    <nc r="Q324">
      <v>90</v>
    </nc>
  </rcc>
  <rcc rId="8563" sId="1">
    <oc r="Q325" t="inlineStr">
      <is>
        <t>90</t>
      </is>
    </oc>
    <nc r="Q325">
      <v>90</v>
    </nc>
  </rcc>
  <rcc rId="8564" sId="1">
    <oc r="Q326" t="inlineStr">
      <is>
        <t>90</t>
      </is>
    </oc>
    <nc r="Q326">
      <v>90</v>
    </nc>
  </rcc>
  <rcc rId="8565" sId="1">
    <oc r="Q327" t="inlineStr">
      <is>
        <t>90</t>
      </is>
    </oc>
    <nc r="Q327">
      <v>90</v>
    </nc>
  </rcc>
  <rcc rId="8566" sId="1">
    <oc r="Q328" t="inlineStr">
      <is>
        <t>90</t>
      </is>
    </oc>
    <nc r="Q328">
      <v>90</v>
    </nc>
  </rcc>
  <rcc rId="8567" sId="1">
    <oc r="Q329" t="inlineStr">
      <is>
        <t>90</t>
      </is>
    </oc>
    <nc r="Q329">
      <v>90</v>
    </nc>
  </rcc>
  <rcc rId="8568" sId="1">
    <oc r="Q330" t="inlineStr">
      <is>
        <t>90</t>
      </is>
    </oc>
    <nc r="Q330">
      <v>90</v>
    </nc>
  </rcc>
  <rcc rId="8569" sId="1">
    <oc r="Q331" t="inlineStr">
      <is>
        <t>90</t>
      </is>
    </oc>
    <nc r="Q331">
      <v>90</v>
    </nc>
  </rcc>
  <rcc rId="8570" sId="1">
    <oc r="Q332" t="inlineStr">
      <is>
        <t>90</t>
      </is>
    </oc>
    <nc r="Q332">
      <v>90</v>
    </nc>
  </rcc>
  <rcc rId="8571" sId="1">
    <oc r="Q333" t="inlineStr">
      <is>
        <t>90</t>
      </is>
    </oc>
    <nc r="Q333">
      <v>90</v>
    </nc>
  </rcc>
  <rcc rId="8572" sId="1">
    <oc r="Q334" t="inlineStr">
      <is>
        <t>90</t>
      </is>
    </oc>
    <nc r="Q334">
      <v>90</v>
    </nc>
  </rcc>
  <rcc rId="8573" sId="1">
    <oc r="Q335" t="inlineStr">
      <is>
        <t>90</t>
      </is>
    </oc>
    <nc r="Q335">
      <v>90</v>
    </nc>
  </rcc>
  <rcc rId="8574" sId="1">
    <oc r="Q336" t="inlineStr">
      <is>
        <t>90</t>
      </is>
    </oc>
    <nc r="Q336">
      <v>90</v>
    </nc>
  </rcc>
  <rcc rId="8575" sId="1">
    <oc r="Q337" t="inlineStr">
      <is>
        <t>90</t>
      </is>
    </oc>
    <nc r="Q337">
      <v>90</v>
    </nc>
  </rcc>
  <rcc rId="8576" sId="1">
    <oc r="Q338" t="inlineStr">
      <is>
        <t>90</t>
      </is>
    </oc>
    <nc r="Q338">
      <v>90</v>
    </nc>
  </rcc>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577" sId="1">
    <oc r="O131" t="inlineStr">
      <is>
        <t>1</t>
      </is>
    </oc>
    <nc r="O131">
      <v>1</v>
    </nc>
  </rcc>
  <rcc rId="8578" sId="1">
    <oc r="O132" t="inlineStr">
      <is>
        <t>1</t>
      </is>
    </oc>
    <nc r="O132">
      <v>1</v>
    </nc>
  </rcc>
  <rcc rId="8579" sId="1">
    <oc r="O133" t="inlineStr">
      <is>
        <t>1</t>
      </is>
    </oc>
    <nc r="O133">
      <v>1</v>
    </nc>
  </rcc>
  <rcc rId="8580" sId="1">
    <oc r="O134" t="inlineStr">
      <is>
        <t>1</t>
      </is>
    </oc>
    <nc r="O134">
      <v>1</v>
    </nc>
  </rcc>
  <rcc rId="8581" sId="1">
    <oc r="O135" t="inlineStr">
      <is>
        <t>1</t>
      </is>
    </oc>
    <nc r="O135">
      <v>1</v>
    </nc>
  </rcc>
  <rcc rId="8582" sId="1">
    <oc r="O136" t="inlineStr">
      <is>
        <t>1</t>
      </is>
    </oc>
    <nc r="O136">
      <v>1</v>
    </nc>
  </rcc>
  <rcc rId="8583" sId="1">
    <oc r="O137" t="inlineStr">
      <is>
        <t>1</t>
      </is>
    </oc>
    <nc r="O137">
      <v>1</v>
    </nc>
  </rcc>
  <rcc rId="8584" sId="1">
    <oc r="O138" t="inlineStr">
      <is>
        <t>1</t>
      </is>
    </oc>
    <nc r="O138">
      <v>1</v>
    </nc>
  </rcc>
  <rcc rId="8585" sId="1">
    <oc r="O139" t="inlineStr">
      <is>
        <t>1</t>
      </is>
    </oc>
    <nc r="O139">
      <v>1</v>
    </nc>
  </rcc>
  <rcc rId="8586" sId="1">
    <oc r="O140" t="inlineStr">
      <is>
        <t>1</t>
      </is>
    </oc>
    <nc r="O140">
      <v>1</v>
    </nc>
  </rcc>
  <rcc rId="8587" sId="1">
    <oc r="O141" t="inlineStr">
      <is>
        <t>1</t>
      </is>
    </oc>
    <nc r="O141">
      <v>1</v>
    </nc>
  </rcc>
  <rcc rId="8588" sId="1">
    <oc r="O142" t="inlineStr">
      <is>
        <t>1</t>
      </is>
    </oc>
    <nc r="O142">
      <v>1</v>
    </nc>
  </rcc>
  <rcc rId="8589" sId="1">
    <oc r="O143" t="inlineStr">
      <is>
        <t>1</t>
      </is>
    </oc>
    <nc r="O143">
      <v>1</v>
    </nc>
  </rcc>
  <rcc rId="8590" sId="1">
    <oc r="O211" t="inlineStr">
      <is>
        <t>1</t>
      </is>
    </oc>
    <nc r="O211">
      <v>1</v>
    </nc>
  </rcc>
  <rcc rId="8591" sId="1">
    <oc r="O212" t="inlineStr">
      <is>
        <t>1</t>
      </is>
    </oc>
    <nc r="O212">
      <v>1</v>
    </nc>
  </rcc>
  <rcc rId="8592" sId="1">
    <oc r="O126" t="inlineStr">
      <is>
        <t>2</t>
      </is>
    </oc>
    <nc r="O126">
      <v>2</v>
    </nc>
  </rcc>
  <rcc rId="8593" sId="1">
    <oc r="O144" t="inlineStr">
      <is>
        <t>2</t>
      </is>
    </oc>
    <nc r="O144">
      <v>2</v>
    </nc>
  </rcc>
  <rcc rId="8594" sId="1">
    <oc r="O145" t="inlineStr">
      <is>
        <t>2</t>
      </is>
    </oc>
    <nc r="O145">
      <v>2</v>
    </nc>
  </rcc>
  <rcc rId="8595" sId="1">
    <oc r="O146" t="inlineStr">
      <is>
        <t>2</t>
      </is>
    </oc>
    <nc r="O146">
      <v>2</v>
    </nc>
  </rcc>
  <rcc rId="8596" sId="1">
    <oc r="O147" t="inlineStr">
      <is>
        <t>2</t>
      </is>
    </oc>
    <nc r="O147">
      <v>2</v>
    </nc>
  </rcc>
  <rcc rId="8597" sId="1">
    <oc r="O148" t="inlineStr">
      <is>
        <t>2</t>
      </is>
    </oc>
    <nc r="O148">
      <v>2</v>
    </nc>
  </rcc>
  <rcc rId="8598" sId="1">
    <oc r="O149" t="inlineStr">
      <is>
        <t>2</t>
      </is>
    </oc>
    <nc r="O149">
      <v>2</v>
    </nc>
  </rcc>
  <rcc rId="8599" sId="1">
    <oc r="O150" t="inlineStr">
      <is>
        <t>2</t>
      </is>
    </oc>
    <nc r="O150">
      <v>2</v>
    </nc>
  </rcc>
  <rcc rId="8600" sId="1">
    <oc r="O151" t="inlineStr">
      <is>
        <t>2</t>
      </is>
    </oc>
    <nc r="O151">
      <v>2</v>
    </nc>
  </rcc>
  <rcc rId="8601" sId="1">
    <oc r="O152" t="inlineStr">
      <is>
        <t>2</t>
      </is>
    </oc>
    <nc r="O152">
      <v>2</v>
    </nc>
  </rcc>
  <rcc rId="8602" sId="1">
    <oc r="O153" t="inlineStr">
      <is>
        <t>2</t>
      </is>
    </oc>
    <nc r="O153">
      <v>2</v>
    </nc>
  </rcc>
  <rcc rId="8603" sId="1">
    <oc r="O154" t="inlineStr">
      <is>
        <t>2</t>
      </is>
    </oc>
    <nc r="O154">
      <v>2</v>
    </nc>
  </rcc>
  <rcc rId="8604" sId="1">
    <oc r="O155" t="inlineStr">
      <is>
        <t>2</t>
      </is>
    </oc>
    <nc r="O155">
      <v>2</v>
    </nc>
  </rcc>
  <rcc rId="8605" sId="1">
    <oc r="O156" t="inlineStr">
      <is>
        <t>2</t>
      </is>
    </oc>
    <nc r="O156">
      <v>2</v>
    </nc>
  </rcc>
  <rcc rId="8606" sId="1">
    <oc r="O157" t="inlineStr">
      <is>
        <t>2</t>
      </is>
    </oc>
    <nc r="O157">
      <v>2</v>
    </nc>
  </rcc>
  <rcc rId="8607" sId="1">
    <oc r="O158" t="inlineStr">
      <is>
        <t>2</t>
      </is>
    </oc>
    <nc r="O158">
      <v>2</v>
    </nc>
  </rcc>
  <rcc rId="8608" sId="1">
    <oc r="O159" t="inlineStr">
      <is>
        <t>2</t>
      </is>
    </oc>
    <nc r="O159">
      <v>2</v>
    </nc>
  </rcc>
  <rcc rId="8609" sId="1">
    <oc r="O160" t="inlineStr">
      <is>
        <t>2</t>
      </is>
    </oc>
    <nc r="O160">
      <v>2</v>
    </nc>
  </rcc>
  <rcc rId="8610" sId="1">
    <oc r="O161" t="inlineStr">
      <is>
        <t>2</t>
      </is>
    </oc>
    <nc r="O161">
      <v>2</v>
    </nc>
  </rcc>
  <rcc rId="8611" sId="1">
    <oc r="O162" t="inlineStr">
      <is>
        <t>2</t>
      </is>
    </oc>
    <nc r="O162">
      <v>2</v>
    </nc>
  </rcc>
  <rcc rId="8612" sId="1">
    <oc r="O163" t="inlineStr">
      <is>
        <t>2</t>
      </is>
    </oc>
    <nc r="O163">
      <v>2</v>
    </nc>
  </rcc>
  <rcc rId="8613" sId="1">
    <oc r="O164" t="inlineStr">
      <is>
        <t>2</t>
      </is>
    </oc>
    <nc r="O164">
      <v>2</v>
    </nc>
  </rcc>
  <rcc rId="8614" sId="1">
    <oc r="O165" t="inlineStr">
      <is>
        <t>2</t>
      </is>
    </oc>
    <nc r="O165">
      <v>2</v>
    </nc>
  </rcc>
  <rcc rId="8615" sId="1">
    <oc r="O172" t="inlineStr">
      <is>
        <t>2</t>
      </is>
    </oc>
    <nc r="O172">
      <v>2</v>
    </nc>
  </rcc>
  <rcc rId="8616" sId="1">
    <oc r="O173" t="inlineStr">
      <is>
        <t>2</t>
      </is>
    </oc>
    <nc r="O173">
      <v>2</v>
    </nc>
  </rcc>
  <rcc rId="8617" sId="1">
    <oc r="O174" t="inlineStr">
      <is>
        <t>2</t>
      </is>
    </oc>
    <nc r="O174">
      <v>2</v>
    </nc>
  </rcc>
  <rcc rId="8618" sId="1">
    <oc r="O175" t="inlineStr">
      <is>
        <t>2</t>
      </is>
    </oc>
    <nc r="O175">
      <v>2</v>
    </nc>
  </rcc>
  <rcc rId="8619" sId="1">
    <oc r="O176" t="inlineStr">
      <is>
        <t>2</t>
      </is>
    </oc>
    <nc r="O176">
      <v>2</v>
    </nc>
  </rcc>
  <rcc rId="8620" sId="1">
    <oc r="O177" t="inlineStr">
      <is>
        <t>2</t>
      </is>
    </oc>
    <nc r="O177">
      <v>2</v>
    </nc>
  </rcc>
  <rcc rId="8621" sId="1">
    <oc r="O178" t="inlineStr">
      <is>
        <t>2</t>
      </is>
    </oc>
    <nc r="O178">
      <v>2</v>
    </nc>
  </rcc>
  <rcc rId="8622" sId="1">
    <oc r="O179" t="inlineStr">
      <is>
        <t>2</t>
      </is>
    </oc>
    <nc r="O179">
      <v>2</v>
    </nc>
  </rcc>
  <rcc rId="8623" sId="1">
    <oc r="O180" t="inlineStr">
      <is>
        <t>2</t>
      </is>
    </oc>
    <nc r="O180">
      <v>2</v>
    </nc>
  </rcc>
  <rcc rId="8624" sId="1">
    <oc r="O181" t="inlineStr">
      <is>
        <t>2</t>
      </is>
    </oc>
    <nc r="O181">
      <v>2</v>
    </nc>
  </rcc>
  <rcc rId="8625" sId="1">
    <oc r="O182" t="inlineStr">
      <is>
        <t>2</t>
      </is>
    </oc>
    <nc r="O182">
      <v>2</v>
    </nc>
  </rcc>
  <rcc rId="8626" sId="1">
    <oc r="O183" t="inlineStr">
      <is>
        <t>2</t>
      </is>
    </oc>
    <nc r="O183">
      <v>2</v>
    </nc>
  </rcc>
  <rcc rId="8627" sId="1">
    <oc r="O184" t="inlineStr">
      <is>
        <t>2</t>
      </is>
    </oc>
    <nc r="O184">
      <v>2</v>
    </nc>
  </rcc>
  <rcc rId="8628" sId="1">
    <oc r="O185" t="inlineStr">
      <is>
        <t>2</t>
      </is>
    </oc>
    <nc r="O185">
      <v>2</v>
    </nc>
  </rcc>
  <rcc rId="8629" sId="1">
    <oc r="O186" t="inlineStr">
      <is>
        <t>2</t>
      </is>
    </oc>
    <nc r="O186">
      <v>2</v>
    </nc>
  </rcc>
  <rcc rId="8630" sId="1">
    <oc r="O187" t="inlineStr">
      <is>
        <t>2</t>
      </is>
    </oc>
    <nc r="O187">
      <v>2</v>
    </nc>
  </rcc>
  <rcc rId="8631" sId="1">
    <oc r="O188" t="inlineStr">
      <is>
        <t>2</t>
      </is>
    </oc>
    <nc r="O188">
      <v>2</v>
    </nc>
  </rcc>
  <rcc rId="8632" sId="1">
    <oc r="O189" t="inlineStr">
      <is>
        <t>2</t>
      </is>
    </oc>
    <nc r="O189">
      <v>2</v>
    </nc>
  </rcc>
  <rcc rId="8633" sId="1">
    <oc r="O190" t="inlineStr">
      <is>
        <t>2</t>
      </is>
    </oc>
    <nc r="O190">
      <v>2</v>
    </nc>
  </rcc>
  <rcc rId="8634" sId="1">
    <oc r="O191" t="inlineStr">
      <is>
        <t>2</t>
      </is>
    </oc>
    <nc r="O191">
      <v>2</v>
    </nc>
  </rcc>
  <rcc rId="8635" sId="1">
    <oc r="O192" t="inlineStr">
      <is>
        <t>2</t>
      </is>
    </oc>
    <nc r="O192">
      <v>2</v>
    </nc>
  </rcc>
  <rcc rId="8636" sId="1">
    <oc r="O193" t="inlineStr">
      <is>
        <t>2</t>
      </is>
    </oc>
    <nc r="O193">
      <v>2</v>
    </nc>
  </rcc>
  <rcc rId="8637" sId="1">
    <oc r="O194" t="inlineStr">
      <is>
        <t>2</t>
      </is>
    </oc>
    <nc r="O194">
      <v>2</v>
    </nc>
  </rcc>
  <rcc rId="8638" sId="1">
    <oc r="O195" t="inlineStr">
      <is>
        <t>2</t>
      </is>
    </oc>
    <nc r="O195">
      <v>2</v>
    </nc>
  </rcc>
  <rcc rId="8639" sId="1">
    <oc r="O196" t="inlineStr">
      <is>
        <t>2</t>
      </is>
    </oc>
    <nc r="O196">
      <v>2</v>
    </nc>
  </rcc>
  <rcc rId="8640" sId="1">
    <oc r="O197" t="inlineStr">
      <is>
        <t>2</t>
      </is>
    </oc>
    <nc r="O197">
      <v>2</v>
    </nc>
  </rcc>
  <rcc rId="8641" sId="1">
    <oc r="O198" t="inlineStr">
      <is>
        <t>2</t>
      </is>
    </oc>
    <nc r="O198">
      <v>2</v>
    </nc>
  </rcc>
  <rcc rId="8642" sId="1">
    <oc r="O199" t="inlineStr">
      <is>
        <t>2</t>
      </is>
    </oc>
    <nc r="O199">
      <v>2</v>
    </nc>
  </rcc>
  <rcc rId="8643" sId="1">
    <oc r="O200" t="inlineStr">
      <is>
        <t>2</t>
      </is>
    </oc>
    <nc r="O200">
      <v>2</v>
    </nc>
  </rcc>
  <rcc rId="8644" sId="1">
    <oc r="O201" t="inlineStr">
      <is>
        <t>2</t>
      </is>
    </oc>
    <nc r="O201">
      <v>2</v>
    </nc>
  </rcc>
  <rcc rId="8645" sId="1">
    <oc r="O202" t="inlineStr">
      <is>
        <t>2</t>
      </is>
    </oc>
    <nc r="O202">
      <v>2</v>
    </nc>
  </rcc>
  <rcc rId="8646" sId="1">
    <oc r="O203" t="inlineStr">
      <is>
        <t>2</t>
      </is>
    </oc>
    <nc r="O203">
      <v>2</v>
    </nc>
  </rcc>
  <rcc rId="8647" sId="1">
    <oc r="O205" t="inlineStr">
      <is>
        <t>2</t>
      </is>
    </oc>
    <nc r="O205">
      <v>2</v>
    </nc>
  </rcc>
  <rcc rId="8648" sId="1">
    <oc r="O206" t="inlineStr">
      <is>
        <t>2</t>
      </is>
    </oc>
    <nc r="O206">
      <v>2</v>
    </nc>
  </rcc>
  <rcc rId="8649" sId="1">
    <oc r="O207" t="inlineStr">
      <is>
        <t>2</t>
      </is>
    </oc>
    <nc r="O207">
      <v>2</v>
    </nc>
  </rcc>
  <rcc rId="8650" sId="1">
    <oc r="O208" t="inlineStr">
      <is>
        <t>2</t>
      </is>
    </oc>
    <nc r="O208">
      <v>2</v>
    </nc>
  </rcc>
  <rcc rId="8651" sId="1">
    <oc r="O209" t="inlineStr">
      <is>
        <t>2</t>
      </is>
    </oc>
    <nc r="O209">
      <v>2</v>
    </nc>
  </rcc>
  <rcc rId="8652" sId="1">
    <oc r="O210" t="inlineStr">
      <is>
        <t>2</t>
      </is>
    </oc>
    <nc r="O210">
      <v>2</v>
    </nc>
  </rcc>
  <rcc rId="8653" sId="1">
    <oc r="O214" t="inlineStr">
      <is>
        <t>2</t>
      </is>
    </oc>
    <nc r="O214">
      <v>2</v>
    </nc>
  </rcc>
  <rcc rId="8654" sId="1">
    <oc r="O215" t="inlineStr">
      <is>
        <t>2</t>
      </is>
    </oc>
    <nc r="O215">
      <v>2</v>
    </nc>
  </rcc>
  <rcc rId="8655" sId="1">
    <oc r="O216" t="inlineStr">
      <is>
        <t>2</t>
      </is>
    </oc>
    <nc r="O216">
      <v>2</v>
    </nc>
  </rcc>
  <rcc rId="8656" sId="1">
    <oc r="O217" t="inlineStr">
      <is>
        <t>2</t>
      </is>
    </oc>
    <nc r="O217">
      <v>2</v>
    </nc>
  </rcc>
  <rcc rId="8657" sId="1">
    <oc r="O218" t="inlineStr">
      <is>
        <t>2</t>
      </is>
    </oc>
    <nc r="O218">
      <v>2</v>
    </nc>
  </rcc>
  <rcc rId="8658" sId="1">
    <oc r="O219" t="inlineStr">
      <is>
        <t>2</t>
      </is>
    </oc>
    <nc r="O219">
      <v>2</v>
    </nc>
  </rcc>
  <rcc rId="8659" sId="1">
    <oc r="O220" t="inlineStr">
      <is>
        <t>2</t>
      </is>
    </oc>
    <nc r="O220">
      <v>2</v>
    </nc>
  </rcc>
  <rcc rId="8660" sId="1">
    <oc r="O221" t="inlineStr">
      <is>
        <t>2</t>
      </is>
    </oc>
    <nc r="O221">
      <v>2</v>
    </nc>
  </rcc>
  <rcc rId="8661" sId="1">
    <oc r="O222" t="inlineStr">
      <is>
        <t>2</t>
      </is>
    </oc>
    <nc r="O222">
      <v>2</v>
    </nc>
  </rcc>
  <rcc rId="8662" sId="1">
    <oc r="O223" t="inlineStr">
      <is>
        <t>2</t>
      </is>
    </oc>
    <nc r="O223">
      <v>2</v>
    </nc>
  </rcc>
  <rcc rId="8663" sId="1">
    <oc r="O224" t="inlineStr">
      <is>
        <t>2</t>
      </is>
    </oc>
    <nc r="O224">
      <v>2</v>
    </nc>
  </rcc>
  <rcc rId="8664" sId="1">
    <oc r="O225" t="inlineStr">
      <is>
        <t>2</t>
      </is>
    </oc>
    <nc r="O225">
      <v>2</v>
    </nc>
  </rcc>
  <rcc rId="8665" sId="1">
    <oc r="O227" t="inlineStr">
      <is>
        <t>2</t>
      </is>
    </oc>
    <nc r="O227">
      <v>2</v>
    </nc>
  </rcc>
  <rcc rId="8666" sId="1">
    <oc r="O228" t="inlineStr">
      <is>
        <t>2</t>
      </is>
    </oc>
    <nc r="O228">
      <v>2</v>
    </nc>
  </rcc>
  <rcc rId="8667" sId="1">
    <oc r="O229" t="inlineStr">
      <is>
        <t>2</t>
      </is>
    </oc>
    <nc r="O229">
      <v>2</v>
    </nc>
  </rcc>
  <rcc rId="8668" sId="1">
    <oc r="O230" t="inlineStr">
      <is>
        <t>2</t>
      </is>
    </oc>
    <nc r="O230">
      <v>2</v>
    </nc>
  </rcc>
  <rcc rId="8669" sId="1">
    <oc r="O231" t="inlineStr">
      <is>
        <t>2</t>
      </is>
    </oc>
    <nc r="O231">
      <v>2</v>
    </nc>
  </rcc>
  <rcc rId="8670" sId="1">
    <oc r="O232" t="inlineStr">
      <is>
        <t>2</t>
      </is>
    </oc>
    <nc r="O232">
      <v>2</v>
    </nc>
  </rcc>
  <rcc rId="8671" sId="1">
    <oc r="O233" t="inlineStr">
      <is>
        <t>2</t>
      </is>
    </oc>
    <nc r="O233">
      <v>2</v>
    </nc>
  </rcc>
  <rcc rId="8672" sId="1">
    <oc r="O234" t="inlineStr">
      <is>
        <t>2</t>
      </is>
    </oc>
    <nc r="O234">
      <v>2</v>
    </nc>
  </rcc>
  <rcc rId="8673" sId="1">
    <oc r="O235" t="inlineStr">
      <is>
        <t>2</t>
      </is>
    </oc>
    <nc r="O235">
      <v>2</v>
    </nc>
  </rcc>
  <rcc rId="8674" sId="1">
    <oc r="O236" t="inlineStr">
      <is>
        <t>2</t>
      </is>
    </oc>
    <nc r="O236">
      <v>2</v>
    </nc>
  </rcc>
  <rcc rId="8675" sId="1">
    <oc r="O237" t="inlineStr">
      <is>
        <t>2</t>
      </is>
    </oc>
    <nc r="O237">
      <v>2</v>
    </nc>
  </rcc>
  <rcc rId="8676" sId="1">
    <oc r="O238" t="inlineStr">
      <is>
        <t>2</t>
      </is>
    </oc>
    <nc r="O238">
      <v>2</v>
    </nc>
  </rcc>
  <rcc rId="8677" sId="1">
    <oc r="O239" t="inlineStr">
      <is>
        <t>2</t>
      </is>
    </oc>
    <nc r="O239">
      <v>2</v>
    </nc>
  </rcc>
  <rcc rId="8678" sId="1">
    <oc r="O240" t="inlineStr">
      <is>
        <t>2</t>
      </is>
    </oc>
    <nc r="O240">
      <v>2</v>
    </nc>
  </rcc>
  <rcc rId="8679" sId="1">
    <oc r="O241" t="inlineStr">
      <is>
        <t>2</t>
      </is>
    </oc>
    <nc r="O241">
      <v>2</v>
    </nc>
  </rcc>
  <rcc rId="8680" sId="1">
    <oc r="O242" t="inlineStr">
      <is>
        <t>2</t>
      </is>
    </oc>
    <nc r="O242">
      <v>2</v>
    </nc>
  </rcc>
  <rcc rId="8681" sId="1">
    <oc r="O243" t="inlineStr">
      <is>
        <t>2</t>
      </is>
    </oc>
    <nc r="O243">
      <v>2</v>
    </nc>
  </rcc>
  <rcc rId="8682" sId="1">
    <oc r="O244" t="inlineStr">
      <is>
        <t>2</t>
      </is>
    </oc>
    <nc r="O244">
      <v>2</v>
    </nc>
  </rcc>
  <rcc rId="8683" sId="1">
    <oc r="O245" t="inlineStr">
      <is>
        <t>2</t>
      </is>
    </oc>
    <nc r="O245">
      <v>2</v>
    </nc>
  </rcc>
  <rcc rId="8684" sId="1">
    <oc r="O248" t="inlineStr">
      <is>
        <t>2</t>
      </is>
    </oc>
    <nc r="O248">
      <v>2</v>
    </nc>
  </rcc>
  <rcc rId="8685" sId="1">
    <oc r="O249" t="inlineStr">
      <is>
        <t>2</t>
      </is>
    </oc>
    <nc r="O249">
      <v>2</v>
    </nc>
  </rcc>
  <rcc rId="8686" sId="1">
    <oc r="O250" t="inlineStr">
      <is>
        <t>2</t>
      </is>
    </oc>
    <nc r="O250">
      <v>2</v>
    </nc>
  </rcc>
  <rcc rId="8687" sId="1">
    <oc r="O251" t="inlineStr">
      <is>
        <t>2</t>
      </is>
    </oc>
    <nc r="O251">
      <v>2</v>
    </nc>
  </rcc>
  <rcc rId="8688" sId="1">
    <oc r="O252" t="inlineStr">
      <is>
        <t>2</t>
      </is>
    </oc>
    <nc r="O252">
      <v>2</v>
    </nc>
  </rcc>
  <rcc rId="8689" sId="1">
    <oc r="O253" t="inlineStr">
      <is>
        <t>2</t>
      </is>
    </oc>
    <nc r="O253">
      <v>2</v>
    </nc>
  </rcc>
  <rcc rId="8690" sId="1">
    <oc r="O254" t="inlineStr">
      <is>
        <t>2</t>
      </is>
    </oc>
    <nc r="O254">
      <v>2</v>
    </nc>
  </rcc>
  <rcc rId="8691" sId="1">
    <oc r="O255" t="inlineStr">
      <is>
        <t>2</t>
      </is>
    </oc>
    <nc r="O255">
      <v>2</v>
    </nc>
  </rcc>
  <rcc rId="8692" sId="1">
    <oc r="O256" t="inlineStr">
      <is>
        <t>2</t>
      </is>
    </oc>
    <nc r="O256">
      <v>2</v>
    </nc>
  </rcc>
  <rcc rId="8693" sId="1">
    <oc r="O257" t="inlineStr">
      <is>
        <t>2</t>
      </is>
    </oc>
    <nc r="O257">
      <v>2</v>
    </nc>
  </rcc>
  <rcc rId="8694" sId="1">
    <oc r="O258" t="inlineStr">
      <is>
        <t>2</t>
      </is>
    </oc>
    <nc r="O258">
      <v>2</v>
    </nc>
  </rcc>
  <rcc rId="8695" sId="1">
    <oc r="O259" t="inlineStr">
      <is>
        <t>2</t>
      </is>
    </oc>
    <nc r="O259">
      <v>2</v>
    </nc>
  </rcc>
  <rcc rId="8696" sId="1">
    <oc r="O260" t="inlineStr">
      <is>
        <t>2</t>
      </is>
    </oc>
    <nc r="O260">
      <v>2</v>
    </nc>
  </rcc>
  <rcc rId="8697" sId="1">
    <oc r="O261" t="inlineStr">
      <is>
        <t>2</t>
      </is>
    </oc>
    <nc r="O261">
      <v>2</v>
    </nc>
  </rcc>
  <rcc rId="8698" sId="1">
    <oc r="O262" t="inlineStr">
      <is>
        <t>2</t>
      </is>
    </oc>
    <nc r="O262">
      <v>2</v>
    </nc>
  </rcc>
  <rcc rId="8699" sId="1">
    <oc r="O263" t="inlineStr">
      <is>
        <t>2</t>
      </is>
    </oc>
    <nc r="O263">
      <v>2</v>
    </nc>
  </rcc>
  <rcc rId="8700" sId="1">
    <oc r="O264" t="inlineStr">
      <is>
        <t>2</t>
      </is>
    </oc>
    <nc r="O264">
      <v>2</v>
    </nc>
  </rcc>
  <rcc rId="8701" sId="1">
    <oc r="O265" t="inlineStr">
      <is>
        <t>2</t>
      </is>
    </oc>
    <nc r="O265">
      <v>2</v>
    </nc>
  </rcc>
  <rcc rId="8702" sId="1">
    <oc r="O266" t="inlineStr">
      <is>
        <t>2</t>
      </is>
    </oc>
    <nc r="O266">
      <v>2</v>
    </nc>
  </rcc>
  <rcc rId="8703" sId="1">
    <oc r="O267" t="inlineStr">
      <is>
        <t>2</t>
      </is>
    </oc>
    <nc r="O267">
      <v>2</v>
    </nc>
  </rcc>
  <rcc rId="8704" sId="1">
    <oc r="O268" t="inlineStr">
      <is>
        <t>2</t>
      </is>
    </oc>
    <nc r="O268">
      <v>2</v>
    </nc>
  </rcc>
  <rcc rId="8705" sId="1">
    <oc r="O269" t="inlineStr">
      <is>
        <t>2</t>
      </is>
    </oc>
    <nc r="O269">
      <v>2</v>
    </nc>
  </rcc>
  <rcc rId="8706" sId="1">
    <oc r="O270" t="inlineStr">
      <is>
        <t>2</t>
      </is>
    </oc>
    <nc r="O270">
      <v>2</v>
    </nc>
  </rcc>
  <rcc rId="8707" sId="1">
    <oc r="O271" t="inlineStr">
      <is>
        <t>2</t>
      </is>
    </oc>
    <nc r="O271">
      <v>2</v>
    </nc>
  </rcc>
  <rcc rId="8708" sId="1">
    <oc r="O272" t="inlineStr">
      <is>
        <t>2</t>
      </is>
    </oc>
    <nc r="O272">
      <v>2</v>
    </nc>
  </rcc>
  <rcc rId="8709" sId="1">
    <oc r="O273" t="inlineStr">
      <is>
        <t>2</t>
      </is>
    </oc>
    <nc r="O273">
      <v>2</v>
    </nc>
  </rcc>
  <rcc rId="8710" sId="1">
    <oc r="O274" t="inlineStr">
      <is>
        <t>2</t>
      </is>
    </oc>
    <nc r="O274">
      <v>2</v>
    </nc>
  </rcc>
  <rcc rId="8711" sId="1">
    <oc r="O275" t="inlineStr">
      <is>
        <t>2</t>
      </is>
    </oc>
    <nc r="O275">
      <v>2</v>
    </nc>
  </rcc>
  <rcc rId="8712" sId="1">
    <oc r="O276" t="inlineStr">
      <is>
        <t>2</t>
      </is>
    </oc>
    <nc r="O276">
      <v>2</v>
    </nc>
  </rcc>
  <rcc rId="8713" sId="1">
    <oc r="O277" t="inlineStr">
      <is>
        <t>2</t>
      </is>
    </oc>
    <nc r="O277">
      <v>2</v>
    </nc>
  </rcc>
  <rcc rId="8714" sId="1">
    <oc r="O278" t="inlineStr">
      <is>
        <t>2</t>
      </is>
    </oc>
    <nc r="O278">
      <v>2</v>
    </nc>
  </rcc>
  <rcc rId="8715" sId="1">
    <oc r="O279" t="inlineStr">
      <is>
        <t>2</t>
      </is>
    </oc>
    <nc r="O279">
      <v>2</v>
    </nc>
  </rcc>
  <rcc rId="8716" sId="1">
    <oc r="O280" t="inlineStr">
      <is>
        <t>2</t>
      </is>
    </oc>
    <nc r="O280">
      <v>2</v>
    </nc>
  </rcc>
  <rcc rId="8717" sId="1">
    <oc r="O281" t="inlineStr">
      <is>
        <t>2</t>
      </is>
    </oc>
    <nc r="O281">
      <v>2</v>
    </nc>
  </rcc>
  <rcc rId="8718" sId="1">
    <oc r="O282" t="inlineStr">
      <is>
        <t>2</t>
      </is>
    </oc>
    <nc r="O282">
      <v>2</v>
    </nc>
  </rcc>
  <rcc rId="8719" sId="1">
    <oc r="O283" t="inlineStr">
      <is>
        <t>2</t>
      </is>
    </oc>
    <nc r="O283">
      <v>2</v>
    </nc>
  </rcc>
  <rcc rId="8720" sId="1">
    <oc r="O284" t="inlineStr">
      <is>
        <t>2</t>
      </is>
    </oc>
    <nc r="O284">
      <v>2</v>
    </nc>
  </rcc>
  <rcc rId="8721" sId="1">
    <oc r="O285" t="inlineStr">
      <is>
        <t>2</t>
      </is>
    </oc>
    <nc r="O285">
      <v>2</v>
    </nc>
  </rcc>
  <rcc rId="8722" sId="1">
    <oc r="O286" t="inlineStr">
      <is>
        <t>2</t>
      </is>
    </oc>
    <nc r="O286">
      <v>2</v>
    </nc>
  </rcc>
  <rcc rId="8723" sId="1">
    <oc r="O287" t="inlineStr">
      <is>
        <t>2</t>
      </is>
    </oc>
    <nc r="O287">
      <v>2</v>
    </nc>
  </rcc>
  <rcc rId="8724" sId="1">
    <oc r="O288" t="inlineStr">
      <is>
        <t>2</t>
      </is>
    </oc>
    <nc r="O288">
      <v>2</v>
    </nc>
  </rcc>
  <rcc rId="8725" sId="1">
    <oc r="O289" t="inlineStr">
      <is>
        <t>2</t>
      </is>
    </oc>
    <nc r="O289">
      <v>2</v>
    </nc>
  </rcc>
  <rcc rId="8726" sId="1">
    <oc r="O290" t="inlineStr">
      <is>
        <t>2</t>
      </is>
    </oc>
    <nc r="O290">
      <v>2</v>
    </nc>
  </rcc>
  <rcc rId="8727" sId="1">
    <oc r="O291" t="inlineStr">
      <is>
        <t>2</t>
      </is>
    </oc>
    <nc r="O291">
      <v>2</v>
    </nc>
  </rcc>
  <rcc rId="8728" sId="1">
    <oc r="O292" t="inlineStr">
      <is>
        <t>2</t>
      </is>
    </oc>
    <nc r="O292">
      <v>2</v>
    </nc>
  </rcc>
  <rcc rId="8729" sId="1">
    <oc r="O293" t="inlineStr">
      <is>
        <t>2</t>
      </is>
    </oc>
    <nc r="O293">
      <v>2</v>
    </nc>
  </rcc>
  <rcc rId="8730" sId="1">
    <oc r="O294" t="inlineStr">
      <is>
        <t>2</t>
      </is>
    </oc>
    <nc r="O294">
      <v>2</v>
    </nc>
  </rcc>
  <rcc rId="8731" sId="1">
    <oc r="O295" t="inlineStr">
      <is>
        <t>2</t>
      </is>
    </oc>
    <nc r="O295">
      <v>2</v>
    </nc>
  </rcc>
  <rcc rId="8732" sId="1">
    <oc r="O296" t="inlineStr">
      <is>
        <t>2</t>
      </is>
    </oc>
    <nc r="O296">
      <v>2</v>
    </nc>
  </rcc>
  <rcc rId="8733" sId="1">
    <oc r="O297" t="inlineStr">
      <is>
        <t>2</t>
      </is>
    </oc>
    <nc r="O297">
      <v>2</v>
    </nc>
  </rcc>
  <rcc rId="8734" sId="1">
    <oc r="O298" t="inlineStr">
      <is>
        <t>2</t>
      </is>
    </oc>
    <nc r="O298">
      <v>2</v>
    </nc>
  </rcc>
  <rcc rId="8735" sId="1">
    <oc r="O299" t="inlineStr">
      <is>
        <t>2</t>
      </is>
    </oc>
    <nc r="O299">
      <v>2</v>
    </nc>
  </rcc>
  <rcc rId="8736" sId="1">
    <oc r="O300" t="inlineStr">
      <is>
        <t>2</t>
      </is>
    </oc>
    <nc r="O300">
      <v>2</v>
    </nc>
  </rcc>
  <rcc rId="8737" sId="1">
    <oc r="O301" t="inlineStr">
      <is>
        <t>2</t>
      </is>
    </oc>
    <nc r="O301">
      <v>2</v>
    </nc>
  </rcc>
  <rcc rId="8738" sId="1">
    <oc r="O302" t="inlineStr">
      <is>
        <t>2</t>
      </is>
    </oc>
    <nc r="O302">
      <v>2</v>
    </nc>
  </rcc>
  <rcc rId="8739" sId="1">
    <oc r="O303" t="inlineStr">
      <is>
        <t>2</t>
      </is>
    </oc>
    <nc r="O303">
      <v>2</v>
    </nc>
  </rcc>
  <rcc rId="8740" sId="1">
    <oc r="O304" t="inlineStr">
      <is>
        <t>2</t>
      </is>
    </oc>
    <nc r="O304">
      <v>2</v>
    </nc>
  </rcc>
  <rcc rId="8741" sId="1">
    <oc r="O305" t="inlineStr">
      <is>
        <t>2</t>
      </is>
    </oc>
    <nc r="O305">
      <v>2</v>
    </nc>
  </rcc>
  <rcc rId="8742" sId="1">
    <oc r="O306" t="inlineStr">
      <is>
        <t>2</t>
      </is>
    </oc>
    <nc r="O306">
      <v>2</v>
    </nc>
  </rcc>
  <rcc rId="8743" sId="1">
    <oc r="O307" t="inlineStr">
      <is>
        <t>2</t>
      </is>
    </oc>
    <nc r="O307">
      <v>2</v>
    </nc>
  </rcc>
  <rcc rId="8744" sId="1">
    <oc r="O308" t="inlineStr">
      <is>
        <t>2</t>
      </is>
    </oc>
    <nc r="O308">
      <v>2</v>
    </nc>
  </rcc>
  <rcc rId="8745" sId="1">
    <oc r="O309" t="inlineStr">
      <is>
        <t>2</t>
      </is>
    </oc>
    <nc r="O309">
      <v>2</v>
    </nc>
  </rcc>
  <rcc rId="8746" sId="1">
    <oc r="O310" t="inlineStr">
      <is>
        <t>2</t>
      </is>
    </oc>
    <nc r="O310">
      <v>2</v>
    </nc>
  </rcc>
  <rcc rId="8747" sId="1">
    <oc r="O311" t="inlineStr">
      <is>
        <t>2</t>
      </is>
    </oc>
    <nc r="O311">
      <v>2</v>
    </nc>
  </rcc>
  <rcc rId="8748" sId="1">
    <oc r="O312" t="inlineStr">
      <is>
        <t>2</t>
      </is>
    </oc>
    <nc r="O312">
      <v>2</v>
    </nc>
  </rcc>
  <rcc rId="8749" sId="1">
    <oc r="O313" t="inlineStr">
      <is>
        <t>2</t>
      </is>
    </oc>
    <nc r="O313">
      <v>2</v>
    </nc>
  </rcc>
  <rcc rId="8750" sId="1">
    <oc r="O314" t="inlineStr">
      <is>
        <t>2</t>
      </is>
    </oc>
    <nc r="O314">
      <v>2</v>
    </nc>
  </rcc>
  <rcc rId="8751" sId="1">
    <oc r="O315" t="inlineStr">
      <is>
        <t>2</t>
      </is>
    </oc>
    <nc r="O315">
      <v>2</v>
    </nc>
  </rcc>
  <rcc rId="8752" sId="1">
    <oc r="O316" t="inlineStr">
      <is>
        <t>2</t>
      </is>
    </oc>
    <nc r="O316">
      <v>2</v>
    </nc>
  </rcc>
  <rcc rId="8753" sId="1">
    <oc r="O317" t="inlineStr">
      <is>
        <t>2</t>
      </is>
    </oc>
    <nc r="O317">
      <v>2</v>
    </nc>
  </rcc>
  <rcc rId="8754" sId="1">
    <oc r="O318" t="inlineStr">
      <is>
        <t>2</t>
      </is>
    </oc>
    <nc r="O318">
      <v>2</v>
    </nc>
  </rcc>
  <rcc rId="8755" sId="1">
    <oc r="O319" t="inlineStr">
      <is>
        <t>2</t>
      </is>
    </oc>
    <nc r="O319">
      <v>2</v>
    </nc>
  </rcc>
  <rcc rId="8756" sId="1">
    <oc r="O320" t="inlineStr">
      <is>
        <t>2</t>
      </is>
    </oc>
    <nc r="O320">
      <v>2</v>
    </nc>
  </rcc>
  <rcc rId="8757" sId="1">
    <oc r="O321" t="inlineStr">
      <is>
        <t>2</t>
      </is>
    </oc>
    <nc r="O321">
      <v>2</v>
    </nc>
  </rcc>
  <rcc rId="8758" sId="1">
    <oc r="O322" t="inlineStr">
      <is>
        <t>2</t>
      </is>
    </oc>
    <nc r="O322">
      <v>2</v>
    </nc>
  </rcc>
  <rcc rId="8759" sId="1">
    <oc r="O323" t="inlineStr">
      <is>
        <t>2</t>
      </is>
    </oc>
    <nc r="O323">
      <v>2</v>
    </nc>
  </rcc>
  <rcc rId="8760" sId="1">
    <oc r="O324" t="inlineStr">
      <is>
        <t>2</t>
      </is>
    </oc>
    <nc r="O324">
      <v>2</v>
    </nc>
  </rcc>
  <rcc rId="8761" sId="1">
    <oc r="O326" t="inlineStr">
      <is>
        <t>2</t>
      </is>
    </oc>
    <nc r="O326">
      <v>2</v>
    </nc>
  </rcc>
  <rcc rId="8762" sId="1">
    <oc r="O327" t="inlineStr">
      <is>
        <t>2</t>
      </is>
    </oc>
    <nc r="O327">
      <v>2</v>
    </nc>
  </rcc>
  <rcc rId="8763" sId="1">
    <oc r="O328" t="inlineStr">
      <is>
        <t>2</t>
      </is>
    </oc>
    <nc r="O328">
      <v>2</v>
    </nc>
  </rcc>
  <rcc rId="8764" sId="1">
    <oc r="O329" t="inlineStr">
      <is>
        <t>2</t>
      </is>
    </oc>
    <nc r="O329">
      <v>2</v>
    </nc>
  </rcc>
  <rcc rId="8765" sId="1">
    <oc r="O332" t="inlineStr">
      <is>
        <t>2</t>
      </is>
    </oc>
    <nc r="O332">
      <v>2</v>
    </nc>
  </rcc>
  <rcc rId="8766" sId="1">
    <oc r="O333" t="inlineStr">
      <is>
        <t>2</t>
      </is>
    </oc>
    <nc r="O333">
      <v>2</v>
    </nc>
  </rcc>
  <rcc rId="8767" sId="1">
    <oc r="O334" t="inlineStr">
      <is>
        <t>2</t>
      </is>
    </oc>
    <nc r="O334">
      <v>2</v>
    </nc>
  </rcc>
  <rcc rId="8768" sId="1">
    <oc r="O335" t="inlineStr">
      <is>
        <t>2</t>
      </is>
    </oc>
    <nc r="O335">
      <v>2</v>
    </nc>
  </rcc>
  <rcc rId="8769" sId="1">
    <oc r="O336" t="inlineStr">
      <is>
        <t>2</t>
      </is>
    </oc>
    <nc r="O336">
      <v>2</v>
    </nc>
  </rcc>
  <rcc rId="8770" sId="1">
    <oc r="O337" t="inlineStr">
      <is>
        <t>2</t>
      </is>
    </oc>
    <nc r="O337">
      <v>2</v>
    </nc>
  </rcc>
  <rcc rId="8771" sId="1">
    <oc r="O46" t="inlineStr">
      <is>
        <t>3</t>
      </is>
    </oc>
    <nc r="O46">
      <v>3</v>
    </nc>
  </rcc>
  <rcc rId="8772" sId="1">
    <oc r="O106" t="inlineStr">
      <is>
        <t>3</t>
      </is>
    </oc>
    <nc r="O106">
      <v>3</v>
    </nc>
  </rcc>
  <rcc rId="8773" sId="1">
    <oc r="O107" t="inlineStr">
      <is>
        <t>3</t>
      </is>
    </oc>
    <nc r="O107">
      <v>3</v>
    </nc>
  </rcc>
  <rcc rId="8774" sId="1">
    <oc r="O114" t="inlineStr">
      <is>
        <t>3</t>
      </is>
    </oc>
    <nc r="O114">
      <v>3</v>
    </nc>
  </rcc>
  <rcc rId="8775" sId="1">
    <oc r="O115" t="inlineStr">
      <is>
        <t>3</t>
      </is>
    </oc>
    <nc r="O115">
      <v>3</v>
    </nc>
  </rcc>
  <rcc rId="8776" sId="1">
    <oc r="O116" t="inlineStr">
      <is>
        <t>3</t>
      </is>
    </oc>
    <nc r="O116">
      <v>3</v>
    </nc>
  </rcc>
  <rcc rId="8777" sId="1">
    <oc r="O121" t="inlineStr">
      <is>
        <t>3</t>
      </is>
    </oc>
    <nc r="O121">
      <v>3</v>
    </nc>
  </rcc>
  <rcc rId="8778" sId="1">
    <oc r="O122" t="inlineStr">
      <is>
        <t>3</t>
      </is>
    </oc>
    <nc r="O122">
      <v>3</v>
    </nc>
  </rcc>
  <rcc rId="8779" sId="1">
    <oc r="O123" t="inlineStr">
      <is>
        <t>3</t>
      </is>
    </oc>
    <nc r="O123">
      <v>3</v>
    </nc>
  </rcc>
  <rcc rId="8780" sId="1">
    <oc r="O124" t="inlineStr">
      <is>
        <t>3</t>
      </is>
    </oc>
    <nc r="O124">
      <v>3</v>
    </nc>
  </rcc>
  <rcc rId="8781" sId="1">
    <oc r="O125" t="inlineStr">
      <is>
        <t>3</t>
      </is>
    </oc>
    <nc r="O125">
      <v>3</v>
    </nc>
  </rcc>
  <rcc rId="8782" sId="1">
    <oc r="O129" t="inlineStr">
      <is>
        <t>3</t>
      </is>
    </oc>
    <nc r="O129">
      <v>3</v>
    </nc>
  </rcc>
  <rcc rId="8783" sId="1">
    <oc r="O130" t="inlineStr">
      <is>
        <t>3</t>
      </is>
    </oc>
    <nc r="O130">
      <v>3</v>
    </nc>
  </rcc>
  <rcc rId="8784" sId="1">
    <oc r="O166" t="inlineStr">
      <is>
        <t>3</t>
      </is>
    </oc>
    <nc r="O166">
      <v>3</v>
    </nc>
  </rcc>
  <rcc rId="8785" sId="1">
    <oc r="O167" t="inlineStr">
      <is>
        <t>3</t>
      </is>
    </oc>
    <nc r="O167">
      <v>3</v>
    </nc>
  </rcc>
  <rcc rId="8786" sId="1">
    <oc r="O168" t="inlineStr">
      <is>
        <t>3</t>
      </is>
    </oc>
    <nc r="O168">
      <v>3</v>
    </nc>
  </rcc>
  <rcc rId="8787" sId="1">
    <oc r="O169" t="inlineStr">
      <is>
        <t>3</t>
      </is>
    </oc>
    <nc r="O169">
      <v>3</v>
    </nc>
  </rcc>
  <rcc rId="8788" sId="1">
    <oc r="O170" t="inlineStr">
      <is>
        <t>3</t>
      </is>
    </oc>
    <nc r="O170">
      <v>3</v>
    </nc>
  </rcc>
  <rcc rId="8789" sId="1">
    <oc r="O171" t="inlineStr">
      <is>
        <t>3</t>
      </is>
    </oc>
    <nc r="O171">
      <v>3</v>
    </nc>
  </rcc>
  <rcc rId="8790" sId="1">
    <oc r="O330" t="inlineStr">
      <is>
        <t>3</t>
      </is>
    </oc>
    <nc r="O330">
      <v>3</v>
    </nc>
  </rcc>
  <rcc rId="8791" sId="1">
    <oc r="O331" t="inlineStr">
      <is>
        <t>3</t>
      </is>
    </oc>
    <nc r="O331">
      <v>3</v>
    </nc>
  </rcc>
</revisions>
</file>

<file path=xl/revisions/revisionLog5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8792" sId="1" ref="C1:C1048576" action="insertCol"/>
  <rcc rId="8793" sId="1">
    <nc r="C2">
      <f>IF(B2="","",TEXT(B2,"0.0"))</f>
    </nc>
  </rcc>
  <rcc rId="8794" sId="1">
    <nc r="C3">
      <f>IF(B3="","",TEXT(B3,"0.0"))</f>
    </nc>
  </rcc>
  <rcc rId="8795" sId="1">
    <nc r="C4">
      <f>IF(B4="","",TEXT(B4,"0.0"))</f>
    </nc>
  </rcc>
  <rcc rId="8796" sId="1">
    <nc r="C5">
      <f>IF(B5="","",TEXT(B5,"0.0"))</f>
    </nc>
  </rcc>
  <rcc rId="8797" sId="1">
    <nc r="C6">
      <f>IF(B6="","",TEXT(B6,"0.0"))</f>
    </nc>
  </rcc>
  <rcc rId="8798" sId="1">
    <nc r="C7">
      <f>IF(B7="","",TEXT(B7,"0.0"))</f>
    </nc>
  </rcc>
  <rcc rId="8799" sId="1">
    <nc r="C8">
      <f>IF(B8="","",TEXT(B8,"0.0"))</f>
    </nc>
  </rcc>
  <rcc rId="8800" sId="1">
    <nc r="C9">
      <f>IF(B9="","",TEXT(B9,"0.0"))</f>
    </nc>
  </rcc>
  <rcc rId="8801" sId="1">
    <nc r="C10">
      <f>IF(B10="","",TEXT(B10,"0.0"))</f>
    </nc>
  </rcc>
  <rcc rId="8802" sId="1">
    <nc r="C11">
      <f>IF(B11="","",TEXT(B11,"0.0"))</f>
    </nc>
  </rcc>
  <rcc rId="8803" sId="1">
    <nc r="C12">
      <f>IF(B12="","",TEXT(B12,"0.0"))</f>
    </nc>
  </rcc>
  <rcc rId="8804" sId="1">
    <nc r="C13">
      <f>IF(B13="","",TEXT(B13,"0.0"))</f>
    </nc>
  </rcc>
  <rcc rId="8805" sId="1">
    <nc r="C14">
      <f>IF(B14="","",TEXT(B14,"0.0"))</f>
    </nc>
  </rcc>
  <rcc rId="8806" sId="1">
    <nc r="C15">
      <f>IF(B15="","",TEXT(B15,"0.0"))</f>
    </nc>
  </rcc>
  <rcc rId="8807" sId="1">
    <nc r="C16">
      <f>IF(B16="","",TEXT(B16,"0.0"))</f>
    </nc>
  </rcc>
  <rcc rId="8808" sId="1">
    <nc r="C17">
      <f>IF(B17="","",TEXT(B17,"0.0"))</f>
    </nc>
  </rcc>
  <rcc rId="8809" sId="1">
    <nc r="C18">
      <f>IF(B18="","",TEXT(B18,"0.0"))</f>
    </nc>
  </rcc>
  <rcc rId="8810" sId="1">
    <nc r="C19">
      <f>IF(B19="","",TEXT(B19,"0.0"))</f>
    </nc>
  </rcc>
  <rcc rId="8811" sId="1">
    <nc r="C20">
      <f>IF(B20="","",TEXT(B20,"0.0"))</f>
    </nc>
  </rcc>
  <rcc rId="8812" sId="1">
    <nc r="C21">
      <f>IF(B21="","",TEXT(B21,"0.0"))</f>
    </nc>
  </rcc>
  <rcc rId="8813" sId="1">
    <nc r="C22">
      <f>IF(B22="","",TEXT(B22,"0.0"))</f>
    </nc>
  </rcc>
  <rcc rId="8814" sId="1">
    <nc r="C23">
      <f>IF(B23="","",TEXT(B23,"0.0"))</f>
    </nc>
  </rcc>
  <rcc rId="8815" sId="1">
    <nc r="C24">
      <f>IF(B24="","",TEXT(B24,"0.0"))</f>
    </nc>
  </rcc>
  <rcc rId="8816" sId="1">
    <nc r="C25">
      <f>IF(B25="","",TEXT(B25,"0.0"))</f>
    </nc>
  </rcc>
  <rcc rId="8817" sId="1">
    <nc r="C26">
      <f>IF(B26="","",TEXT(B26,"0.0"))</f>
    </nc>
  </rcc>
  <rcc rId="8818" sId="1">
    <nc r="C27">
      <f>IF(B27="","",TEXT(B27,"0.0"))</f>
    </nc>
  </rcc>
  <rcc rId="8819" sId="1">
    <nc r="C28">
      <f>IF(B28="","",TEXT(B28,"0.0"))</f>
    </nc>
  </rcc>
  <rcc rId="8820" sId="1">
    <nc r="C29">
      <f>IF(B29="","",TEXT(B29,"0.0"))</f>
    </nc>
  </rcc>
  <rcc rId="8821" sId="1">
    <nc r="C30">
      <f>IF(B30="","",TEXT(B30,"0.0"))</f>
    </nc>
  </rcc>
  <rcc rId="8822" sId="1">
    <nc r="C31">
      <f>IF(B31="","",TEXT(B31,"0.0"))</f>
    </nc>
  </rcc>
  <rcc rId="8823" sId="1">
    <nc r="C32">
      <f>IF(B32="","",TEXT(B32,"0.0"))</f>
    </nc>
  </rcc>
  <rcc rId="8824" sId="1">
    <nc r="C33">
      <f>IF(B33="","",TEXT(B33,"0.0"))</f>
    </nc>
  </rcc>
  <rcc rId="8825" sId="1">
    <nc r="C34">
      <f>IF(B34="","",TEXT(B34,"0.0"))</f>
    </nc>
  </rcc>
  <rcc rId="8826" sId="1">
    <nc r="C35">
      <f>IF(B35="","",TEXT(B35,"0.0"))</f>
    </nc>
  </rcc>
  <rcc rId="8827" sId="1">
    <nc r="C36">
      <f>IF(B36="","",TEXT(B36,"0.0"))</f>
    </nc>
  </rcc>
  <rcc rId="8828" sId="1">
    <nc r="C37">
      <f>IF(B37="","",TEXT(B37,"0.0"))</f>
    </nc>
  </rcc>
  <rcc rId="8829" sId="1">
    <nc r="C38">
      <f>IF(B38="","",TEXT(B38,"0.0"))</f>
    </nc>
  </rcc>
  <rcc rId="8830" sId="1">
    <nc r="C39">
      <f>IF(B39="","",TEXT(B39,"0.0"))</f>
    </nc>
  </rcc>
  <rcc rId="8831" sId="1">
    <nc r="C40">
      <f>IF(B40="","",TEXT(B40,"0.0"))</f>
    </nc>
  </rcc>
  <rcc rId="8832" sId="1">
    <nc r="C41">
      <f>IF(B41="","",TEXT(B41,"0.0"))</f>
    </nc>
  </rcc>
  <rcc rId="8833" sId="1">
    <nc r="C42">
      <f>IF(B42="","",TEXT(B42,"0.0"))</f>
    </nc>
  </rcc>
  <rcc rId="8834" sId="1">
    <nc r="C43">
      <f>IF(B43="","",TEXT(B43,"0.0"))</f>
    </nc>
  </rcc>
  <rcc rId="8835" sId="1">
    <nc r="C44">
      <f>IF(B44="","",TEXT(B44,"0.0"))</f>
    </nc>
  </rcc>
  <rcc rId="8836" sId="1">
    <nc r="C45">
      <f>IF(B45="","",TEXT(B45,"0.0"))</f>
    </nc>
  </rcc>
  <rcc rId="8837" sId="1">
    <nc r="C46">
      <f>IF(B46="","",TEXT(B46,"0.0"))</f>
    </nc>
  </rcc>
  <rcc rId="8838" sId="1">
    <nc r="C47">
      <f>IF(B47="","",TEXT(B47,"0.0"))</f>
    </nc>
  </rcc>
  <rcc rId="8839" sId="1">
    <nc r="C48">
      <f>IF(B48="","",TEXT(B48,"0.0"))</f>
    </nc>
  </rcc>
  <rcc rId="8840" sId="1">
    <nc r="C49">
      <f>IF(B49="","",TEXT(B49,"0.0"))</f>
    </nc>
  </rcc>
  <rcc rId="8841" sId="1">
    <nc r="C50">
      <f>IF(B50="","",TEXT(B50,"0.0"))</f>
    </nc>
  </rcc>
  <rcc rId="8842" sId="1">
    <nc r="C51">
      <f>IF(B51="","",TEXT(B51,"0.0"))</f>
    </nc>
  </rcc>
  <rcc rId="8843" sId="1">
    <nc r="C52">
      <f>IF(B52="","",TEXT(B52,"0.0"))</f>
    </nc>
  </rcc>
  <rcc rId="8844" sId="1">
    <nc r="C53">
      <f>IF(B53="","",TEXT(B53,"0.0"))</f>
    </nc>
  </rcc>
  <rcc rId="8845" sId="1">
    <nc r="C54">
      <f>IF(B54="","",TEXT(B54,"0.0"))</f>
    </nc>
  </rcc>
  <rcc rId="8846" sId="1">
    <nc r="C55">
      <f>IF(B55="","",TEXT(B55,"0.0"))</f>
    </nc>
  </rcc>
  <rcc rId="8847" sId="1">
    <nc r="C56">
      <f>IF(B56="","",TEXT(B56,"0.0"))</f>
    </nc>
  </rcc>
  <rcc rId="8848" sId="1">
    <nc r="C57">
      <f>IF(B57="","",TEXT(B57,"0.0"))</f>
    </nc>
  </rcc>
  <rcc rId="8849" sId="1">
    <nc r="C58">
      <f>IF(B58="","",TEXT(B58,"0.0"))</f>
    </nc>
  </rcc>
  <rcc rId="8850" sId="1">
    <nc r="C59">
      <f>IF(B59="","",TEXT(B59,"0.0"))</f>
    </nc>
  </rcc>
  <rcc rId="8851" sId="1">
    <nc r="C60">
      <f>IF(B60="","",TEXT(B60,"0.0"))</f>
    </nc>
  </rcc>
  <rcc rId="8852" sId="1">
    <nc r="C61">
      <f>IF(B61="","",TEXT(B61,"0.0"))</f>
    </nc>
  </rcc>
  <rcc rId="8853" sId="1">
    <nc r="C62">
      <f>IF(B62="","",TEXT(B62,"0.0"))</f>
    </nc>
  </rcc>
  <rcc rId="8854" sId="1">
    <nc r="C63">
      <f>IF(B63="","",TEXT(B63,"0.0"))</f>
    </nc>
  </rcc>
  <rcc rId="8855" sId="1">
    <nc r="C64">
      <f>IF(B64="","",TEXT(B64,"0.0"))</f>
    </nc>
  </rcc>
  <rcc rId="8856" sId="1">
    <nc r="C65">
      <f>IF(B65="","",TEXT(B65,"0.0"))</f>
    </nc>
  </rcc>
  <rcc rId="8857" sId="1">
    <nc r="C66">
      <f>IF(B66="","",TEXT(B66,"0.0"))</f>
    </nc>
  </rcc>
  <rcc rId="8858" sId="1">
    <nc r="C67">
      <f>IF(B67="","",TEXT(B67,"0.0"))</f>
    </nc>
  </rcc>
  <rcc rId="8859" sId="1">
    <nc r="C68">
      <f>IF(B68="","",TEXT(B68,"0.0"))</f>
    </nc>
  </rcc>
  <rcc rId="8860" sId="1">
    <nc r="C69">
      <f>IF(B69="","",TEXT(B69,"0.0"))</f>
    </nc>
  </rcc>
  <rcc rId="8861" sId="1">
    <nc r="C70">
      <f>IF(B70="","",TEXT(B70,"0.0"))</f>
    </nc>
  </rcc>
  <rcc rId="8862" sId="1">
    <nc r="C71">
      <f>IF(B71="","",TEXT(B71,"0.0"))</f>
    </nc>
  </rcc>
  <rcc rId="8863" sId="1">
    <nc r="C72">
      <f>IF(B72="","",TEXT(B72,"0.0"))</f>
    </nc>
  </rcc>
  <rcc rId="8864" sId="1">
    <nc r="C73">
      <f>IF(B73="","",TEXT(B73,"0.0"))</f>
    </nc>
  </rcc>
  <rcc rId="8865" sId="1">
    <nc r="C74">
      <f>IF(B74="","",TEXT(B74,"0.0"))</f>
    </nc>
  </rcc>
  <rcc rId="8866" sId="1">
    <nc r="C75">
      <f>IF(B75="","",TEXT(B75,"0.0"))</f>
    </nc>
  </rcc>
  <rcc rId="8867" sId="1">
    <nc r="C76">
      <f>IF(B76="","",TEXT(B76,"0.0"))</f>
    </nc>
  </rcc>
  <rcc rId="8868" sId="1">
    <nc r="C77">
      <f>IF(B77="","",TEXT(B77,"0.0"))</f>
    </nc>
  </rcc>
  <rcc rId="8869" sId="1">
    <nc r="C78">
      <f>IF(B78="","",TEXT(B78,"0.0"))</f>
    </nc>
  </rcc>
  <rcc rId="8870" sId="1">
    <nc r="C79">
      <f>IF(B79="","",TEXT(B79,"0.0"))</f>
    </nc>
  </rcc>
  <rcc rId="8871" sId="1">
    <nc r="C80">
      <f>IF(B80="","",TEXT(B80,"0.0"))</f>
    </nc>
  </rcc>
  <rcc rId="8872" sId="1">
    <nc r="C81">
      <f>IF(B81="","",TEXT(B81,"0.0"))</f>
    </nc>
  </rcc>
  <rcc rId="8873" sId="1">
    <nc r="C82">
      <f>IF(B82="","",TEXT(B82,"0.0"))</f>
    </nc>
  </rcc>
  <rcc rId="8874" sId="1">
    <nc r="C83">
      <f>IF(B83="","",TEXT(B83,"0.0"))</f>
    </nc>
  </rcc>
  <rcc rId="8875" sId="1">
    <nc r="C84">
      <f>IF(B84="","",TEXT(B84,"0.0"))</f>
    </nc>
  </rcc>
  <rcc rId="8876" sId="1">
    <nc r="C85">
      <f>IF(B85="","",TEXT(B85,"0.0"))</f>
    </nc>
  </rcc>
  <rcc rId="8877" sId="1">
    <nc r="C86">
      <f>IF(B86="","",TEXT(B86,"0.0"))</f>
    </nc>
  </rcc>
  <rcc rId="8878" sId="1">
    <nc r="C87">
      <f>IF(B87="","",TEXT(B87,"0.0"))</f>
    </nc>
  </rcc>
  <rcc rId="8879" sId="1">
    <nc r="C88">
      <f>IF(B88="","",TEXT(B88,"0.0"))</f>
    </nc>
  </rcc>
  <rcc rId="8880" sId="1">
    <nc r="C89">
      <f>IF(B89="","",TEXT(B89,"0.0"))</f>
    </nc>
  </rcc>
  <rcc rId="8881" sId="1">
    <nc r="C90">
      <f>IF(B90="","",TEXT(B90,"0.0"))</f>
    </nc>
  </rcc>
  <rcc rId="8882" sId="1">
    <nc r="C91">
      <f>IF(B91="","",TEXT(B91,"0.0"))</f>
    </nc>
  </rcc>
  <rcc rId="8883" sId="1">
    <nc r="C92">
      <f>IF(B92="","",TEXT(B92,"0.0"))</f>
    </nc>
  </rcc>
  <rcc rId="8884" sId="1">
    <nc r="C93">
      <f>IF(B93="","",TEXT(B93,"0.0"))</f>
    </nc>
  </rcc>
  <rcc rId="8885" sId="1">
    <nc r="C94">
      <f>IF(B94="","",TEXT(B94,"0.0"))</f>
    </nc>
  </rcc>
  <rcc rId="8886" sId="1">
    <nc r="C95">
      <f>IF(B95="","",TEXT(B95,"0.0"))</f>
    </nc>
  </rcc>
  <rcc rId="8887" sId="1">
    <nc r="C96">
      <f>IF(B96="","",TEXT(B96,"0.0"))</f>
    </nc>
  </rcc>
  <rcc rId="8888" sId="1">
    <nc r="C97">
      <f>IF(B97="","",TEXT(B97,"0.0"))</f>
    </nc>
  </rcc>
  <rcc rId="8889" sId="1">
    <nc r="C98">
      <f>IF(B98="","",TEXT(B98,"0.0"))</f>
    </nc>
  </rcc>
  <rcc rId="8890" sId="1">
    <nc r="C99">
      <f>IF(B99="","",TEXT(B99,"0.0"))</f>
    </nc>
  </rcc>
  <rcc rId="8891" sId="1">
    <nc r="C100">
      <f>IF(B100="","",TEXT(B100,"0.0"))</f>
    </nc>
  </rcc>
  <rcc rId="8892" sId="1">
    <nc r="C101">
      <f>IF(B101="","",TEXT(B101,"0.0"))</f>
    </nc>
  </rcc>
  <rcc rId="8893" sId="1">
    <nc r="C102">
      <f>IF(B102="","",TEXT(B102,"0.0"))</f>
    </nc>
  </rcc>
  <rcc rId="8894" sId="1">
    <nc r="C103">
      <f>IF(B103="","",TEXT(B103,"0.0"))</f>
    </nc>
  </rcc>
  <rcc rId="8895" sId="1">
    <nc r="C104">
      <f>IF(B104="","",TEXT(B104,"0.0"))</f>
    </nc>
  </rcc>
  <rcc rId="8896" sId="1">
    <nc r="C105">
      <f>IF(B105="","",TEXT(B105,"0.0"))</f>
    </nc>
  </rcc>
  <rcc rId="8897" sId="1">
    <nc r="C106">
      <f>IF(B106="","",TEXT(B106,"0.0"))</f>
    </nc>
  </rcc>
  <rcc rId="8898" sId="1">
    <nc r="C107">
      <f>IF(B107="","",TEXT(B107,"0.0"))</f>
    </nc>
  </rcc>
  <rcc rId="8899" sId="1">
    <nc r="C108">
      <f>IF(B108="","",TEXT(B108,"0.0"))</f>
    </nc>
  </rcc>
  <rcc rId="8900" sId="1">
    <nc r="C109">
      <f>IF(B109="","",TEXT(B109,"0.0"))</f>
    </nc>
  </rcc>
  <rcc rId="8901" sId="1">
    <nc r="C110">
      <f>IF(B110="","",TEXT(B110,"0.0"))</f>
    </nc>
  </rcc>
  <rcc rId="8902" sId="1">
    <nc r="C111">
      <f>IF(B111="","",TEXT(B111,"0.0"))</f>
    </nc>
  </rcc>
  <rcc rId="8903" sId="1">
    <nc r="C112">
      <f>IF(B112="","",TEXT(B112,"0.0"))</f>
    </nc>
  </rcc>
  <rcc rId="8904" sId="1">
    <nc r="C113">
      <f>IF(B113="","",TEXT(B113,"0.0"))</f>
    </nc>
  </rcc>
  <rcc rId="8905" sId="1">
    <nc r="C114">
      <f>IF(B114="","",TEXT(B114,"0.0"))</f>
    </nc>
  </rcc>
  <rcc rId="8906" sId="1">
    <nc r="C115">
      <f>IF(B115="","",TEXT(B115,"0.0"))</f>
    </nc>
  </rcc>
  <rcc rId="8907" sId="1">
    <nc r="C116">
      <f>IF(B116="","",TEXT(B116,"0.0"))</f>
    </nc>
  </rcc>
  <rcc rId="8908" sId="1">
    <nc r="C117">
      <f>IF(B117="","",TEXT(B117,"0.0"))</f>
    </nc>
  </rcc>
  <rcc rId="8909" sId="1">
    <nc r="C118">
      <f>IF(B118="","",TEXT(B118,"0.0"))</f>
    </nc>
  </rcc>
  <rcc rId="8910" sId="1">
    <nc r="C119">
      <f>IF(B119="","",TEXT(B119,"0.0"))</f>
    </nc>
  </rcc>
  <rcc rId="8911" sId="1">
    <nc r="C120">
      <f>IF(B120="","",TEXT(B120,"0.0"))</f>
    </nc>
  </rcc>
  <rcc rId="8912" sId="1">
    <nc r="C121">
      <f>IF(B121="","",TEXT(B121,"0.0"))</f>
    </nc>
  </rcc>
  <rcc rId="8913" sId="1">
    <nc r="C122">
      <f>IF(B122="","",TEXT(B122,"0.0"))</f>
    </nc>
  </rcc>
  <rcc rId="8914" sId="1">
    <nc r="C123">
      <f>IF(B123="","",TEXT(B123,"0.0"))</f>
    </nc>
  </rcc>
  <rcc rId="8915" sId="1">
    <nc r="C124">
      <f>IF(B124="","",TEXT(B124,"0.0"))</f>
    </nc>
  </rcc>
  <rcc rId="8916" sId="1">
    <nc r="C125">
      <f>IF(B125="","",TEXT(B125,"0.0"))</f>
    </nc>
  </rcc>
  <rcc rId="8917" sId="1">
    <nc r="C126">
      <f>IF(B126="","",TEXT(B126,"0.0"))</f>
    </nc>
  </rcc>
  <rcc rId="8918" sId="1">
    <nc r="C127">
      <f>IF(B127="","",TEXT(B127,"0.0"))</f>
    </nc>
  </rcc>
  <rcc rId="8919" sId="1">
    <nc r="C128">
      <f>IF(B128="","",TEXT(B128,"0.0"))</f>
    </nc>
  </rcc>
  <rcc rId="8920" sId="1">
    <nc r="C129">
      <f>IF(B129="","",TEXT(B129,"0.0"))</f>
    </nc>
  </rcc>
  <rcc rId="8921" sId="1">
    <nc r="C130">
      <f>IF(B130="","",TEXT(B130,"0.0"))</f>
    </nc>
  </rcc>
  <rcc rId="8922" sId="1">
    <nc r="C131">
      <f>IF(B131="","",TEXT(B131,"0.0"))</f>
    </nc>
  </rcc>
  <rcc rId="8923" sId="1">
    <nc r="C132">
      <f>IF(B132="","",TEXT(B132,"0.0"))</f>
    </nc>
  </rcc>
  <rcc rId="8924" sId="1">
    <nc r="C133">
      <f>IF(B133="","",TEXT(B133,"0.0"))</f>
    </nc>
  </rcc>
  <rcc rId="8925" sId="1">
    <nc r="C134">
      <f>IF(B134="","",TEXT(B134,"0.0"))</f>
    </nc>
  </rcc>
  <rcc rId="8926" sId="1">
    <nc r="C135">
      <f>IF(B135="","",TEXT(B135,"0.0"))</f>
    </nc>
  </rcc>
  <rcc rId="8927" sId="1">
    <nc r="C136">
      <f>IF(B136="","",TEXT(B136,"0.0"))</f>
    </nc>
  </rcc>
  <rcc rId="8928" sId="1">
    <nc r="C137">
      <f>IF(B137="","",TEXT(B137,"0.0"))</f>
    </nc>
  </rcc>
  <rcc rId="8929" sId="1">
    <nc r="C138">
      <f>IF(B138="","",TEXT(B138,"0.0"))</f>
    </nc>
  </rcc>
  <rcc rId="8930" sId="1">
    <nc r="C139">
      <f>IF(B139="","",TEXT(B139,"0.0"))</f>
    </nc>
  </rcc>
  <rcc rId="8931" sId="1">
    <nc r="C140">
      <f>IF(B140="","",TEXT(B140,"0.0"))</f>
    </nc>
  </rcc>
  <rcc rId="8932" sId="1">
    <nc r="C141">
      <f>IF(B141="","",TEXT(B141,"0.0"))</f>
    </nc>
  </rcc>
  <rcc rId="8933" sId="1">
    <nc r="C142">
      <f>IF(B142="","",TEXT(B142,"0.0"))</f>
    </nc>
  </rcc>
  <rcc rId="8934" sId="1">
    <nc r="C143">
      <f>IF(B143="","",TEXT(B143,"0.0"))</f>
    </nc>
  </rcc>
  <rcc rId="8935" sId="1">
    <nc r="C144">
      <f>IF(B144="","",TEXT(B144,"0.0"))</f>
    </nc>
  </rcc>
  <rcc rId="8936" sId="1">
    <nc r="C145">
      <f>IF(B145="","",TEXT(B145,"0.0"))</f>
    </nc>
  </rcc>
  <rcc rId="8937" sId="1">
    <nc r="C146">
      <f>IF(B146="","",TEXT(B146,"0.0"))</f>
    </nc>
  </rcc>
  <rcc rId="8938" sId="1">
    <nc r="C147">
      <f>IF(B147="","",TEXT(B147,"0.0"))</f>
    </nc>
  </rcc>
  <rcc rId="8939" sId="1">
    <nc r="C148">
      <f>IF(B148="","",TEXT(B148,"0.0"))</f>
    </nc>
  </rcc>
  <rcc rId="8940" sId="1">
    <nc r="C149">
      <f>IF(B149="","",TEXT(B149,"0.0"))</f>
    </nc>
  </rcc>
  <rcc rId="8941" sId="1">
    <nc r="C150">
      <f>IF(B150="","",TEXT(B150,"0.0"))</f>
    </nc>
  </rcc>
  <rcc rId="8942" sId="1">
    <nc r="C151">
      <f>IF(B151="","",TEXT(B151,"0.0"))</f>
    </nc>
  </rcc>
  <rcc rId="8943" sId="1">
    <nc r="C152">
      <f>IF(B152="","",TEXT(B152,"0.0"))</f>
    </nc>
  </rcc>
  <rcc rId="8944" sId="1">
    <nc r="C153">
      <f>IF(B153="","",TEXT(B153,"0.0"))</f>
    </nc>
  </rcc>
  <rcc rId="8945" sId="1">
    <nc r="C154">
      <f>IF(B154="","",TEXT(B154,"0.0"))</f>
    </nc>
  </rcc>
  <rcc rId="8946" sId="1">
    <nc r="C155">
      <f>IF(B155="","",TEXT(B155,"0.0"))</f>
    </nc>
  </rcc>
  <rcc rId="8947" sId="1">
    <nc r="C156">
      <f>IF(B156="","",TEXT(B156,"0.0"))</f>
    </nc>
  </rcc>
  <rcc rId="8948" sId="1">
    <nc r="C157">
      <f>IF(B157="","",TEXT(B157,"0.0"))</f>
    </nc>
  </rcc>
  <rcc rId="8949" sId="1">
    <nc r="C158">
      <f>IF(B158="","",TEXT(B158,"0.0"))</f>
    </nc>
  </rcc>
  <rcc rId="8950" sId="1">
    <nc r="C159">
      <f>IF(B159="","",TEXT(B159,"0.0"))</f>
    </nc>
  </rcc>
  <rcc rId="8951" sId="1">
    <nc r="C160">
      <f>IF(B160="","",TEXT(B160,"0.0"))</f>
    </nc>
  </rcc>
  <rcc rId="8952" sId="1">
    <nc r="C161">
      <f>IF(B161="","",TEXT(B161,"0.0"))</f>
    </nc>
  </rcc>
  <rcc rId="8953" sId="1">
    <nc r="C162">
      <f>IF(B162="","",TEXT(B162,"0.0"))</f>
    </nc>
  </rcc>
  <rcc rId="8954" sId="1">
    <nc r="C163">
      <f>IF(B163="","",TEXT(B163,"0.0"))</f>
    </nc>
  </rcc>
  <rcc rId="8955" sId="1">
    <nc r="C164">
      <f>IF(B164="","",TEXT(B164,"0.0"))</f>
    </nc>
  </rcc>
  <rcc rId="8956" sId="1">
    <nc r="C165">
      <f>IF(B165="","",TEXT(B165,"0.0"))</f>
    </nc>
  </rcc>
  <rcc rId="8957" sId="1">
    <nc r="C166">
      <f>IF(B166="","",TEXT(B166,"0.0"))</f>
    </nc>
  </rcc>
  <rcc rId="8958" sId="1">
    <nc r="C167">
      <f>IF(B167="","",TEXT(B167,"0.0"))</f>
    </nc>
  </rcc>
  <rcc rId="8959" sId="1">
    <nc r="C168">
      <f>IF(B168="","",TEXT(B168,"0.0"))</f>
    </nc>
  </rcc>
  <rcc rId="8960" sId="1">
    <nc r="C169">
      <f>IF(B169="","",TEXT(B169,"0.0"))</f>
    </nc>
  </rcc>
  <rcc rId="8961" sId="1">
    <nc r="C170">
      <f>IF(B170="","",TEXT(B170,"0.0"))</f>
    </nc>
  </rcc>
  <rcc rId="8962" sId="1">
    <nc r="C171">
      <f>IF(B171="","",TEXT(B171,"0.0"))</f>
    </nc>
  </rcc>
  <rcc rId="8963" sId="1">
    <nc r="C172">
      <f>IF(B172="","",TEXT(B172,"0.0"))</f>
    </nc>
  </rcc>
  <rcc rId="8964" sId="1">
    <nc r="C173">
      <f>IF(B173="","",TEXT(B173,"0.0"))</f>
    </nc>
  </rcc>
  <rcc rId="8965" sId="1">
    <nc r="C174">
      <f>IF(B174="","",TEXT(B174,"0.0"))</f>
    </nc>
  </rcc>
  <rcc rId="8966" sId="1">
    <nc r="C175">
      <f>IF(B175="","",TEXT(B175,"0.0"))</f>
    </nc>
  </rcc>
  <rcc rId="8967" sId="1">
    <nc r="C176">
      <f>IF(B176="","",TEXT(B176,"0.0"))</f>
    </nc>
  </rcc>
  <rcc rId="8968" sId="1">
    <nc r="C177">
      <f>IF(B177="","",TEXT(B177,"0.0"))</f>
    </nc>
  </rcc>
  <rcc rId="8969" sId="1">
    <nc r="C178">
      <f>IF(B178="","",TEXT(B178,"0.0"))</f>
    </nc>
  </rcc>
  <rcc rId="8970" sId="1">
    <nc r="C179">
      <f>IF(B179="","",TEXT(B179,"0.0"))</f>
    </nc>
  </rcc>
  <rcc rId="8971" sId="1">
    <nc r="C180">
      <f>IF(B180="","",TEXT(B180,"0.0"))</f>
    </nc>
  </rcc>
  <rcc rId="8972" sId="1">
    <nc r="C181">
      <f>IF(B181="","",TEXT(B181,"0.0"))</f>
    </nc>
  </rcc>
  <rcc rId="8973" sId="1">
    <nc r="C182">
      <f>IF(B182="","",TEXT(B182,"0.0"))</f>
    </nc>
  </rcc>
  <rcc rId="8974" sId="1">
    <nc r="C183">
      <f>IF(B183="","",TEXT(B183,"0.0"))</f>
    </nc>
  </rcc>
  <rcc rId="8975" sId="1">
    <nc r="C184">
      <f>IF(B184="","",TEXT(B184,"0.0"))</f>
    </nc>
  </rcc>
  <rcc rId="8976" sId="1">
    <nc r="C185">
      <f>IF(B185="","",TEXT(B185,"0.0"))</f>
    </nc>
  </rcc>
  <rcc rId="8977" sId="1">
    <nc r="C186">
      <f>IF(B186="","",TEXT(B186,"0.0"))</f>
    </nc>
  </rcc>
  <rcc rId="8978" sId="1">
    <nc r="C187">
      <f>IF(B187="","",TEXT(B187,"0.0"))</f>
    </nc>
  </rcc>
  <rcc rId="8979" sId="1">
    <nc r="C188">
      <f>IF(B188="","",TEXT(B188,"0.0"))</f>
    </nc>
  </rcc>
  <rcc rId="8980" sId="1">
    <nc r="C189">
      <f>IF(B189="","",TEXT(B189,"0.0"))</f>
    </nc>
  </rcc>
  <rcc rId="8981" sId="1">
    <nc r="C190">
      <f>IF(B190="","",TEXT(B190,"0.0"))</f>
    </nc>
  </rcc>
  <rcc rId="8982" sId="1">
    <nc r="C191">
      <f>IF(B191="","",TEXT(B191,"0.0"))</f>
    </nc>
  </rcc>
  <rcc rId="8983" sId="1">
    <nc r="C192">
      <f>IF(B192="","",TEXT(B192,"0.0"))</f>
    </nc>
  </rcc>
  <rcc rId="8984" sId="1">
    <nc r="C193">
      <f>IF(B193="","",TEXT(B193,"0.0"))</f>
    </nc>
  </rcc>
  <rcc rId="8985" sId="1">
    <nc r="C194">
      <f>IF(B194="","",TEXT(B194,"0.0"))</f>
    </nc>
  </rcc>
  <rcc rId="8986" sId="1">
    <nc r="C195">
      <f>IF(B195="","",TEXT(B195,"0.0"))</f>
    </nc>
  </rcc>
  <rcc rId="8987" sId="1">
    <nc r="C196">
      <f>IF(B196="","",TEXT(B196,"0.0"))</f>
    </nc>
  </rcc>
  <rcc rId="8988" sId="1">
    <nc r="C197">
      <f>IF(B197="","",TEXT(B197,"0.0"))</f>
    </nc>
  </rcc>
  <rcc rId="8989" sId="1">
    <nc r="C198">
      <f>IF(B198="","",TEXT(B198,"0.0"))</f>
    </nc>
  </rcc>
  <rcc rId="8990" sId="1">
    <nc r="C199">
      <f>IF(B199="","",TEXT(B199,"0.0"))</f>
    </nc>
  </rcc>
  <rcc rId="8991" sId="1">
    <nc r="C200">
      <f>IF(B200="","",TEXT(B200,"0.0"))</f>
    </nc>
  </rcc>
  <rcc rId="8992" sId="1">
    <nc r="C201">
      <f>IF(B201="","",TEXT(B201,"0.0"))</f>
    </nc>
  </rcc>
  <rcc rId="8993" sId="1">
    <nc r="C202">
      <f>IF(B202="","",TEXT(B202,"0.0"))</f>
    </nc>
  </rcc>
  <rcc rId="8994" sId="1">
    <nc r="C203">
      <f>IF(B203="","",TEXT(B203,"0.0"))</f>
    </nc>
  </rcc>
  <rcc rId="8995" sId="1" odxf="1" dxf="1">
    <nc r="C204">
      <f>IF(B204="","",TEXT(B204,"0.0"))</f>
    </nc>
    <odxf>
      <alignment horizontal="general" vertical="bottom"/>
    </odxf>
    <ndxf>
      <alignment horizontal="left" vertical="top"/>
    </ndxf>
  </rcc>
  <rcc rId="8996" sId="1">
    <nc r="C205">
      <f>IF(B205="","",TEXT(B205,"0.0"))</f>
    </nc>
  </rcc>
  <rcc rId="8997" sId="1">
    <nc r="C206">
      <f>IF(B206="","",TEXT(B206,"0.0"))</f>
    </nc>
  </rcc>
  <rcc rId="8998" sId="1">
    <nc r="C207">
      <f>IF(B207="","",TEXT(B207,"0.0"))</f>
    </nc>
  </rcc>
  <rcc rId="8999" sId="1">
    <nc r="C208">
      <f>IF(B208="","",TEXT(B208,"0.0"))</f>
    </nc>
  </rcc>
  <rcc rId="9000" sId="1">
    <nc r="C209">
      <f>IF(B209="","",TEXT(B209,"0.0"))</f>
    </nc>
  </rcc>
  <rcc rId="9001" sId="1">
    <nc r="C210">
      <f>IF(B210="","",TEXT(B210,"0.0"))</f>
    </nc>
  </rcc>
  <rcc rId="9002" sId="1">
    <nc r="C211">
      <f>IF(B211="","",TEXT(B211,"0.0"))</f>
    </nc>
  </rcc>
  <rcc rId="9003" sId="1">
    <nc r="C212">
      <f>IF(B212="","",TEXT(B212,"0.0"))</f>
    </nc>
  </rcc>
  <rcc rId="9004" sId="1">
    <nc r="C213">
      <f>IF(B213="","",TEXT(B213,"0.0"))</f>
    </nc>
  </rcc>
  <rcc rId="9005" sId="1">
    <nc r="C214">
      <f>IF(B214="","",TEXT(B214,"0.0"))</f>
    </nc>
  </rcc>
  <rcc rId="9006" sId="1">
    <nc r="C215">
      <f>IF(B215="","",TEXT(B215,"0.0"))</f>
    </nc>
  </rcc>
  <rcc rId="9007" sId="1">
    <nc r="C216">
      <f>IF(B216="","",TEXT(B216,"0.0"))</f>
    </nc>
  </rcc>
  <rcc rId="9008" sId="1">
    <nc r="C217">
      <f>IF(B217="","",TEXT(B217,"0.0"))</f>
    </nc>
  </rcc>
  <rcc rId="9009" sId="1">
    <nc r="C218">
      <f>IF(B218="","",TEXT(B218,"0.0"))</f>
    </nc>
  </rcc>
  <rcc rId="9010" sId="1">
    <nc r="C219">
      <f>IF(B219="","",TEXT(B219,"0.0"))</f>
    </nc>
  </rcc>
  <rcc rId="9011" sId="1">
    <nc r="C220">
      <f>IF(B220="","",TEXT(B220,"0.0"))</f>
    </nc>
  </rcc>
  <rcc rId="9012" sId="1">
    <nc r="C221">
      <f>IF(B221="","",TEXT(B221,"0.0"))</f>
    </nc>
  </rcc>
  <rcc rId="9013" sId="1">
    <nc r="C222">
      <f>IF(B222="","",TEXT(B222,"0.0"))</f>
    </nc>
  </rcc>
  <rcc rId="9014" sId="1">
    <nc r="C223">
      <f>IF(B223="","",TEXT(B223,"0.0"))</f>
    </nc>
  </rcc>
  <rcc rId="9015" sId="1">
    <nc r="C224">
      <f>IF(B224="","",TEXT(B224,"0.0"))</f>
    </nc>
  </rcc>
  <rcc rId="9016" sId="1">
    <nc r="C225">
      <f>IF(B225="","",TEXT(B225,"0.0"))</f>
    </nc>
  </rcc>
  <rcc rId="9017" sId="1">
    <nc r="C226">
      <f>IF(B226="","",TEXT(B226,"0.0"))</f>
    </nc>
  </rcc>
  <rcc rId="9018" sId="1">
    <nc r="C227">
      <f>IF(B227="","",TEXT(B227,"0.0"))</f>
    </nc>
  </rcc>
  <rcc rId="9019" sId="1">
    <nc r="C228">
      <f>IF(B228="","",TEXT(B228,"0.0"))</f>
    </nc>
  </rcc>
  <rcc rId="9020" sId="1">
    <nc r="C229">
      <f>IF(B229="","",TEXT(B229,"0.0"))</f>
    </nc>
  </rcc>
  <rcc rId="9021" sId="1">
    <nc r="C230">
      <f>IF(B230="","",TEXT(B230,"0.0"))</f>
    </nc>
  </rcc>
  <rcc rId="9022" sId="1">
    <nc r="C231">
      <f>IF(B231="","",TEXT(B231,"0.0"))</f>
    </nc>
  </rcc>
  <rcc rId="9023" sId="1">
    <nc r="C232">
      <f>IF(B232="","",TEXT(B232,"0.0"))</f>
    </nc>
  </rcc>
  <rcc rId="9024" sId="1">
    <nc r="C233">
      <f>IF(B233="","",TEXT(B233,"0.0"))</f>
    </nc>
  </rcc>
  <rcc rId="9025" sId="1">
    <nc r="C234">
      <f>IF(B234="","",TEXT(B234,"0.0"))</f>
    </nc>
  </rcc>
  <rcc rId="9026" sId="1">
    <nc r="C235">
      <f>IF(B235="","",TEXT(B235,"0.0"))</f>
    </nc>
  </rcc>
  <rcc rId="9027" sId="1">
    <nc r="C236">
      <f>IF(B236="","",TEXT(B236,"0.0"))</f>
    </nc>
  </rcc>
  <rcc rId="9028" sId="1">
    <nc r="C237">
      <f>IF(B237="","",TEXT(B237,"0.0"))</f>
    </nc>
  </rcc>
  <rcc rId="9029" sId="1">
    <nc r="C238">
      <f>IF(B238="","",TEXT(B238,"0.0"))</f>
    </nc>
  </rcc>
  <rcc rId="9030" sId="1">
    <nc r="C239">
      <f>IF(B239="","",TEXT(B239,"0.0"))</f>
    </nc>
  </rcc>
  <rcc rId="9031" sId="1">
    <nc r="C240">
      <f>IF(B240="","",TEXT(B240,"0.0"))</f>
    </nc>
  </rcc>
  <rcc rId="9032" sId="1">
    <nc r="C241">
      <f>IF(B241="","",TEXT(B241,"0.0"))</f>
    </nc>
  </rcc>
  <rcc rId="9033" sId="1">
    <nc r="C242">
      <f>IF(B242="","",TEXT(B242,"0.0"))</f>
    </nc>
  </rcc>
  <rcc rId="9034" sId="1">
    <nc r="C243">
      <f>IF(B243="","",TEXT(B243,"0.0"))</f>
    </nc>
  </rcc>
  <rcc rId="9035" sId="1">
    <nc r="C244">
      <f>IF(B244="","",TEXT(B244,"0.0"))</f>
    </nc>
  </rcc>
  <rcc rId="9036" sId="1">
    <nc r="C245">
      <f>IF(B245="","",TEXT(B245,"0.0"))</f>
    </nc>
  </rcc>
  <rcc rId="9037" sId="1">
    <nc r="C246">
      <f>IF(B246="","",TEXT(B246,"0.0"))</f>
    </nc>
  </rcc>
  <rcc rId="9038" sId="1">
    <nc r="C247">
      <f>IF(B247="","",TEXT(B247,"0.0"))</f>
    </nc>
  </rcc>
  <rcc rId="9039" sId="1">
    <nc r="C248">
      <f>IF(B248="","",TEXT(B248,"0.0"))</f>
    </nc>
  </rcc>
  <rcc rId="9040" sId="1">
    <nc r="C249">
      <f>IF(B249="","",TEXT(B249,"0.0"))</f>
    </nc>
  </rcc>
  <rcc rId="9041" sId="1">
    <nc r="C250">
      <f>IF(B250="","",TEXT(B250,"0.0"))</f>
    </nc>
  </rcc>
  <rcc rId="9042" sId="1">
    <nc r="C251">
      <f>IF(B251="","",TEXT(B251,"0.0"))</f>
    </nc>
  </rcc>
  <rcc rId="9043" sId="1">
    <nc r="C252">
      <f>IF(B252="","",TEXT(B252,"0.0"))</f>
    </nc>
  </rcc>
  <rcc rId="9044" sId="1">
    <nc r="C253">
      <f>IF(B253="","",TEXT(B253,"0.0"))</f>
    </nc>
  </rcc>
  <rcc rId="9045" sId="1">
    <nc r="C254">
      <f>IF(B254="","",TEXT(B254,"0.0"))</f>
    </nc>
  </rcc>
  <rcc rId="9046" sId="1">
    <nc r="C255">
      <f>IF(B255="","",TEXT(B255,"0.0"))</f>
    </nc>
  </rcc>
  <rcc rId="9047" sId="1">
    <nc r="C256">
      <f>IF(B256="","",TEXT(B256,"0.0"))</f>
    </nc>
  </rcc>
  <rcc rId="9048" sId="1">
    <nc r="C257">
      <f>IF(B257="","",TEXT(B257,"0.0"))</f>
    </nc>
  </rcc>
  <rcc rId="9049" sId="1">
    <nc r="C258">
      <f>IF(B258="","",TEXT(B258,"0.0"))</f>
    </nc>
  </rcc>
  <rcc rId="9050" sId="1">
    <nc r="C259">
      <f>IF(B259="","",TEXT(B259,"0.0"))</f>
    </nc>
  </rcc>
  <rcc rId="9051" sId="1">
    <nc r="C260">
      <f>IF(B260="","",TEXT(B260,"0.0"))</f>
    </nc>
  </rcc>
  <rcc rId="9052" sId="1">
    <nc r="C261">
      <f>IF(B261="","",TEXT(B261,"0.0"))</f>
    </nc>
  </rcc>
  <rcc rId="9053" sId="1">
    <nc r="C262">
      <f>IF(B262="","",TEXT(B262,"0.0"))</f>
    </nc>
  </rcc>
  <rcc rId="9054" sId="1">
    <nc r="C263">
      <f>IF(B263="","",TEXT(B263,"0.0"))</f>
    </nc>
  </rcc>
  <rcc rId="9055" sId="1">
    <nc r="C264">
      <f>IF(B264="","",TEXT(B264,"0.0"))</f>
    </nc>
  </rcc>
  <rcc rId="9056" sId="1">
    <nc r="C265">
      <f>IF(B265="","",TEXT(B265,"0.0"))</f>
    </nc>
  </rcc>
  <rcc rId="9057" sId="1">
    <nc r="C266">
      <f>IF(B266="","",TEXT(B266,"0.0"))</f>
    </nc>
  </rcc>
  <rcc rId="9058" sId="1">
    <nc r="C267">
      <f>IF(B267="","",TEXT(B267,"0.0"))</f>
    </nc>
  </rcc>
  <rcc rId="9059" sId="1">
    <nc r="C268">
      <f>IF(B268="","",TEXT(B268,"0.0"))</f>
    </nc>
  </rcc>
  <rcc rId="9060" sId="1">
    <nc r="C269">
      <f>IF(B269="","",TEXT(B269,"0.0"))</f>
    </nc>
  </rcc>
  <rcc rId="9061" sId="1">
    <nc r="C270">
      <f>IF(B270="","",TEXT(B270,"0.0"))</f>
    </nc>
  </rcc>
  <rcc rId="9062" sId="1">
    <nc r="C271">
      <f>IF(B271="","",TEXT(B271,"0.0"))</f>
    </nc>
  </rcc>
  <rcc rId="9063" sId="1">
    <nc r="C272">
      <f>IF(B272="","",TEXT(B272,"0.0"))</f>
    </nc>
  </rcc>
  <rcc rId="9064" sId="1">
    <nc r="C273">
      <f>IF(B273="","",TEXT(B273,"0.0"))</f>
    </nc>
  </rcc>
  <rcc rId="9065" sId="1">
    <nc r="C274">
      <f>IF(B274="","",TEXT(B274,"0.0"))</f>
    </nc>
  </rcc>
  <rcc rId="9066" sId="1">
    <nc r="C275">
      <f>IF(B275="","",TEXT(B275,"0.0"))</f>
    </nc>
  </rcc>
  <rcc rId="9067" sId="1">
    <nc r="C276">
      <f>IF(B276="","",TEXT(B276,"0.0"))</f>
    </nc>
  </rcc>
  <rcc rId="9068" sId="1">
    <nc r="C277">
      <f>IF(B277="","",TEXT(B277,"0.0"))</f>
    </nc>
  </rcc>
  <rcc rId="9069" sId="1">
    <nc r="C278">
      <f>IF(B278="","",TEXT(B278,"0.0"))</f>
    </nc>
  </rcc>
  <rcc rId="9070" sId="1">
    <nc r="C279">
      <f>IF(B279="","",TEXT(B279,"0.0"))</f>
    </nc>
  </rcc>
  <rcc rId="9071" sId="1">
    <nc r="C280">
      <f>IF(B280="","",TEXT(B280,"0.0"))</f>
    </nc>
  </rcc>
  <rcc rId="9072" sId="1">
    <nc r="C281">
      <f>IF(B281="","",TEXT(B281,"0.0"))</f>
    </nc>
  </rcc>
  <rcc rId="9073" sId="1">
    <nc r="C282">
      <f>IF(B282="","",TEXT(B282,"0.0"))</f>
    </nc>
  </rcc>
  <rcc rId="9074" sId="1">
    <nc r="C283">
      <f>IF(B283="","",TEXT(B283,"0.0"))</f>
    </nc>
  </rcc>
  <rcc rId="9075" sId="1">
    <nc r="C284">
      <f>IF(B284="","",TEXT(B284,"0.0"))</f>
    </nc>
  </rcc>
  <rcc rId="9076" sId="1">
    <nc r="C285">
      <f>IF(B285="","",TEXT(B285,"0.0"))</f>
    </nc>
  </rcc>
  <rcc rId="9077" sId="1">
    <nc r="C286">
      <f>IF(B286="","",TEXT(B286,"0.0"))</f>
    </nc>
  </rcc>
  <rcc rId="9078" sId="1">
    <nc r="C287">
      <f>IF(B287="","",TEXT(B287,"0.0"))</f>
    </nc>
  </rcc>
  <rcc rId="9079" sId="1">
    <nc r="C288">
      <f>IF(B288="","",TEXT(B288,"0.0"))</f>
    </nc>
  </rcc>
  <rcc rId="9080" sId="1">
    <nc r="C289">
      <f>IF(B289="","",TEXT(B289,"0.0"))</f>
    </nc>
  </rcc>
  <rcc rId="9081" sId="1">
    <nc r="C290">
      <f>IF(B290="","",TEXT(B290,"0.0"))</f>
    </nc>
  </rcc>
  <rcc rId="9082" sId="1">
    <nc r="C291">
      <f>IF(B291="","",TEXT(B291,"0.0"))</f>
    </nc>
  </rcc>
  <rcc rId="9083" sId="1">
    <nc r="C292">
      <f>IF(B292="","",TEXT(B292,"0.0"))</f>
    </nc>
  </rcc>
  <rcc rId="9084" sId="1">
    <nc r="C293">
      <f>IF(B293="","",TEXT(B293,"0.0"))</f>
    </nc>
  </rcc>
  <rcc rId="9085" sId="1">
    <nc r="C294">
      <f>IF(B294="","",TEXT(B294,"0.0"))</f>
    </nc>
  </rcc>
  <rcc rId="9086" sId="1">
    <nc r="C295">
      <f>IF(B295="","",TEXT(B295,"0.0"))</f>
    </nc>
  </rcc>
  <rcc rId="9087" sId="1">
    <nc r="C296">
      <f>IF(B296="","",TEXT(B296,"0.0"))</f>
    </nc>
  </rcc>
  <rcc rId="9088" sId="1">
    <nc r="C297">
      <f>IF(B297="","",TEXT(B297,"0.0"))</f>
    </nc>
  </rcc>
  <rcc rId="9089" sId="1">
    <nc r="C298">
      <f>IF(B298="","",TEXT(B298,"0.0"))</f>
    </nc>
  </rcc>
  <rcc rId="9090" sId="1">
    <nc r="C299">
      <f>IF(B299="","",TEXT(B299,"0.0"))</f>
    </nc>
  </rcc>
  <rcc rId="9091" sId="1">
    <nc r="C300">
      <f>IF(B300="","",TEXT(B300,"0.0"))</f>
    </nc>
  </rcc>
  <rcc rId="9092" sId="1">
    <nc r="C301">
      <f>IF(B301="","",TEXT(B301,"0.0"))</f>
    </nc>
  </rcc>
  <rcc rId="9093" sId="1">
    <nc r="C302">
      <f>IF(B302="","",TEXT(B302,"0.0"))</f>
    </nc>
  </rcc>
  <rcc rId="9094" sId="1">
    <nc r="C303">
      <f>IF(B303="","",TEXT(B303,"0.0"))</f>
    </nc>
  </rcc>
  <rcc rId="9095" sId="1">
    <nc r="C304">
      <f>IF(B304="","",TEXT(B304,"0.0"))</f>
    </nc>
  </rcc>
  <rcc rId="9096" sId="1">
    <nc r="C305">
      <f>IF(B305="","",TEXT(B305,"0.0"))</f>
    </nc>
  </rcc>
  <rcc rId="9097" sId="1">
    <nc r="C306">
      <f>IF(B306="","",TEXT(B306,"0.0"))</f>
    </nc>
  </rcc>
  <rcc rId="9098" sId="1">
    <nc r="C307">
      <f>IF(B307="","",TEXT(B307,"0.0"))</f>
    </nc>
  </rcc>
  <rcc rId="9099" sId="1">
    <nc r="C308">
      <f>IF(B308="","",TEXT(B308,"0.0"))</f>
    </nc>
  </rcc>
  <rcc rId="9100" sId="1">
    <nc r="C309">
      <f>IF(B309="","",TEXT(B309,"0.0"))</f>
    </nc>
  </rcc>
  <rcc rId="9101" sId="1">
    <nc r="C310">
      <f>IF(B310="","",TEXT(B310,"0.0"))</f>
    </nc>
  </rcc>
  <rcc rId="9102" sId="1">
    <nc r="C311">
      <f>IF(B311="","",TEXT(B311,"0.0"))</f>
    </nc>
  </rcc>
  <rcc rId="9103" sId="1">
    <nc r="C312">
      <f>IF(B312="","",TEXT(B312,"0.0"))</f>
    </nc>
  </rcc>
  <rcc rId="9104" sId="1">
    <nc r="C313">
      <f>IF(B313="","",TEXT(B313,"0.0"))</f>
    </nc>
  </rcc>
  <rcc rId="9105" sId="1">
    <nc r="C314">
      <f>IF(B314="","",TEXT(B314,"0.0"))</f>
    </nc>
  </rcc>
  <rcc rId="9106" sId="1">
    <nc r="C315">
      <f>IF(B315="","",TEXT(B315,"0.0"))</f>
    </nc>
  </rcc>
  <rcc rId="9107" sId="1">
    <nc r="C316">
      <f>IF(B316="","",TEXT(B316,"0.0"))</f>
    </nc>
  </rcc>
  <rcc rId="9108" sId="1">
    <nc r="C317">
      <f>IF(B317="","",TEXT(B317,"0.0"))</f>
    </nc>
  </rcc>
  <rcc rId="9109" sId="1">
    <nc r="C318">
      <f>IF(B318="","",TEXT(B318,"0.0"))</f>
    </nc>
  </rcc>
  <rcc rId="9110" sId="1">
    <nc r="C319">
      <f>IF(B319="","",TEXT(B319,"0.0"))</f>
    </nc>
  </rcc>
  <rcc rId="9111" sId="1">
    <nc r="C320">
      <f>IF(B320="","",TEXT(B320,"0.0"))</f>
    </nc>
  </rcc>
  <rcc rId="9112" sId="1">
    <nc r="C321">
      <f>IF(B321="","",TEXT(B321,"0.0"))</f>
    </nc>
  </rcc>
  <rcc rId="9113" sId="1">
    <nc r="C322">
      <f>IF(B322="","",TEXT(B322,"0.0"))</f>
    </nc>
  </rcc>
  <rcc rId="9114" sId="1">
    <nc r="C323">
      <f>IF(B323="","",TEXT(B323,"0.0"))</f>
    </nc>
  </rcc>
  <rcc rId="9115" sId="1">
    <nc r="C324">
      <f>IF(B324="","",TEXT(B324,"0.0"))</f>
    </nc>
  </rcc>
  <rcc rId="9116" sId="1">
    <nc r="C325">
      <f>IF(B325="","",TEXT(B325,"0.0"))</f>
    </nc>
  </rcc>
  <rcc rId="9117" sId="1">
    <nc r="C326">
      <f>IF(B326="","",TEXT(B326,"0.0"))</f>
    </nc>
  </rcc>
  <rcc rId="9118" sId="1">
    <nc r="C327">
      <f>IF(B327="","",TEXT(B327,"0.0"))</f>
    </nc>
  </rcc>
  <rcc rId="9119" sId="1">
    <nc r="C328">
      <f>IF(B328="","",TEXT(B328,"0.0"))</f>
    </nc>
  </rcc>
  <rcc rId="9120" sId="1">
    <nc r="C329">
      <f>IF(B329="","",TEXT(B329,"0.0"))</f>
    </nc>
  </rcc>
  <rcc rId="9121" sId="1">
    <nc r="C330">
      <f>IF(B330="","",TEXT(B330,"0.0"))</f>
    </nc>
  </rcc>
  <rcc rId="9122" sId="1">
    <nc r="C331">
      <f>IF(B331="","",TEXT(B331,"0.0"))</f>
    </nc>
  </rcc>
  <rcc rId="9123" sId="1">
    <nc r="C332">
      <f>IF(B332="","",TEXT(B332,"0.0"))</f>
    </nc>
  </rcc>
  <rcc rId="9124" sId="1">
    <nc r="C333">
      <f>IF(B333="","",TEXT(B333,"0.0"))</f>
    </nc>
  </rcc>
  <rcc rId="9125" sId="1">
    <nc r="C334">
      <f>IF(B334="","",TEXT(B334,"0.0"))</f>
    </nc>
  </rcc>
  <rcc rId="9126" sId="1">
    <nc r="C335">
      <f>IF(B335="","",TEXT(B335,"0.0"))</f>
    </nc>
  </rcc>
  <rcc rId="9127" sId="1">
    <nc r="C336">
      <f>IF(B336="","",TEXT(B336,"0.0"))</f>
    </nc>
  </rcc>
  <rcc rId="9128" sId="1">
    <nc r="C337">
      <f>IF(B337="","",TEXT(B337,"0.0"))</f>
    </nc>
  </rcc>
  <rcc rId="9129" sId="1">
    <nc r="C338">
      <f>IF(B338="","",TEXT(B338,"0.0"))</f>
    </nc>
  </rcc>
  <rcc rId="9130" sId="1">
    <oc r="C2">
      <f>IF(B2="","",TEXT(B2,"0.0"))</f>
    </oc>
    <nc r="C2" t="inlineStr">
      <is>
        <t>1.2</t>
      </is>
    </nc>
  </rcc>
  <rcc rId="9131" sId="1">
    <oc r="C3">
      <f>IF(B3="","",TEXT(B3,"0.0"))</f>
    </oc>
    <nc r="C3" t="inlineStr">
      <is>
        <t>1.1</t>
      </is>
    </nc>
  </rcc>
  <rcc rId="9132" sId="1">
    <oc r="C4">
      <f>IF(B4="","",TEXT(B4,"0.0"))</f>
    </oc>
    <nc r="C4" t="inlineStr">
      <is>
        <t>1.2</t>
      </is>
    </nc>
  </rcc>
  <rcc rId="9133" sId="1">
    <oc r="C5">
      <f>IF(B5="","",TEXT(B5,"0.0"))</f>
    </oc>
    <nc r="C5" t="inlineStr">
      <is>
        <t>1.2</t>
      </is>
    </nc>
  </rcc>
  <rcc rId="9134" sId="1">
    <oc r="C6">
      <f>IF(B6="","",TEXT(B6,"0.0"))</f>
    </oc>
    <nc r="C6" t="inlineStr">
      <is>
        <t>1.2</t>
      </is>
    </nc>
  </rcc>
  <rcc rId="9135" sId="1">
    <oc r="C7">
      <f>IF(B7="","",TEXT(B7,"0.0"))</f>
    </oc>
    <nc r="C7" t="inlineStr">
      <is>
        <t>1.2</t>
      </is>
    </nc>
  </rcc>
  <rcc rId="9136" sId="1">
    <oc r="C8">
      <f>IF(B8="","",TEXT(B8,"0.0"))</f>
    </oc>
    <nc r="C8" t="inlineStr">
      <is>
        <t>1.2</t>
      </is>
    </nc>
  </rcc>
  <rcc rId="9137" sId="1">
    <oc r="C9">
      <f>IF(B9="","",TEXT(B9,"0.0"))</f>
    </oc>
    <nc r="C9" t="inlineStr">
      <is>
        <t>1.2</t>
      </is>
    </nc>
  </rcc>
  <rcc rId="9138" sId="1">
    <oc r="C10">
      <f>IF(B10="","",TEXT(B10,"0.0"))</f>
    </oc>
    <nc r="C10" t="inlineStr">
      <is>
        <t>1.2</t>
      </is>
    </nc>
  </rcc>
  <rcc rId="9139" sId="1">
    <oc r="C11">
      <f>IF(B11="","",TEXT(B11,"0.0"))</f>
    </oc>
    <nc r="C11" t="inlineStr">
      <is>
        <t>1.2</t>
      </is>
    </nc>
  </rcc>
  <rcc rId="9140" sId="1">
    <oc r="C12">
      <f>IF(B12="","",TEXT(B12,"0.0"))</f>
    </oc>
    <nc r="C12" t="inlineStr">
      <is>
        <t>1.2</t>
      </is>
    </nc>
  </rcc>
  <rcc rId="9141" sId="1">
    <oc r="C13">
      <f>IF(B13="","",TEXT(B13,"0.0"))</f>
    </oc>
    <nc r="C13" t="inlineStr">
      <is>
        <t>1.2</t>
      </is>
    </nc>
  </rcc>
  <rcc rId="9142" sId="1">
    <oc r="C14">
      <f>IF(B14="","",TEXT(B14,"0.0"))</f>
    </oc>
    <nc r="C14" t="inlineStr">
      <is>
        <t>1.2</t>
      </is>
    </nc>
  </rcc>
  <rcc rId="9143" sId="1">
    <oc r="C15">
      <f>IF(B15="","",TEXT(B15,"0.0"))</f>
    </oc>
    <nc r="C15" t="inlineStr">
      <is>
        <t>1.2</t>
      </is>
    </nc>
  </rcc>
  <rcc rId="9144" sId="1">
    <oc r="C16">
      <f>IF(B16="","",TEXT(B16,"0.0"))</f>
    </oc>
    <nc r="C16" t="inlineStr">
      <is>
        <t>1.2</t>
      </is>
    </nc>
  </rcc>
  <rcc rId="9145" sId="1">
    <oc r="C17">
      <f>IF(B17="","",TEXT(B17,"0.0"))</f>
    </oc>
    <nc r="C17" t="inlineStr">
      <is>
        <t>1.2</t>
      </is>
    </nc>
  </rcc>
  <rcc rId="9146" sId="1">
    <oc r="C18">
      <f>IF(B18="","",TEXT(B18,"0.0"))</f>
    </oc>
    <nc r="C18" t="inlineStr">
      <is>
        <t>1.2</t>
      </is>
    </nc>
  </rcc>
  <rcc rId="9147" sId="1">
    <oc r="C19">
      <f>IF(B19="","",TEXT(B19,"0.0"))</f>
    </oc>
    <nc r="C19" t="inlineStr">
      <is>
        <t>1.2</t>
      </is>
    </nc>
  </rcc>
  <rcc rId="9148" sId="1">
    <oc r="C20">
      <f>IF(B20="","",TEXT(B20,"0.0"))</f>
    </oc>
    <nc r="C20" t="inlineStr">
      <is>
        <t>1.2</t>
      </is>
    </nc>
  </rcc>
  <rcc rId="9149" sId="1">
    <oc r="C21">
      <f>IF(B21="","",TEXT(B21,"0.0"))</f>
    </oc>
    <nc r="C21" t="inlineStr">
      <is>
        <t>1.2</t>
      </is>
    </nc>
  </rcc>
  <rcc rId="9150" sId="1">
    <oc r="C22">
      <f>IF(B22="","",TEXT(B22,"0.0"))</f>
    </oc>
    <nc r="C22" t="inlineStr">
      <is>
        <t>1.2</t>
      </is>
    </nc>
  </rcc>
  <rcc rId="9151" sId="1">
    <oc r="C23">
      <f>IF(B23="","",TEXT(B23,"0.0"))</f>
    </oc>
    <nc r="C23" t="inlineStr">
      <is>
        <t>1.2</t>
      </is>
    </nc>
  </rcc>
  <rcc rId="9152" sId="1">
    <oc r="C24">
      <f>IF(B24="","",TEXT(B24,"0.0"))</f>
    </oc>
    <nc r="C24" t="inlineStr">
      <is>
        <t>1.2</t>
      </is>
    </nc>
  </rcc>
  <rcc rId="9153" sId="1">
    <oc r="C25">
      <f>IF(B25="","",TEXT(B25,"0.0"))</f>
    </oc>
    <nc r="C25" t="inlineStr">
      <is>
        <t>1.2</t>
      </is>
    </nc>
  </rcc>
  <rcc rId="9154" sId="1">
    <oc r="C26">
      <f>IF(B26="","",TEXT(B26,"0.0"))</f>
    </oc>
    <nc r="C26" t="inlineStr">
      <is>
        <t>1.2</t>
      </is>
    </nc>
  </rcc>
  <rcc rId="9155" sId="1">
    <oc r="C27">
      <f>IF(B27="","",TEXT(B27,"0.0"))</f>
    </oc>
    <nc r="C27" t="inlineStr">
      <is>
        <t>1.2</t>
      </is>
    </nc>
  </rcc>
  <rcc rId="9156" sId="1">
    <oc r="C28">
      <f>IF(B28="","",TEXT(B28,"0.0"))</f>
    </oc>
    <nc r="C28" t="inlineStr">
      <is>
        <t>1.2</t>
      </is>
    </nc>
  </rcc>
  <rcc rId="9157" sId="1">
    <oc r="C29">
      <f>IF(B29="","",TEXT(B29,"0.0"))</f>
    </oc>
    <nc r="C29" t="inlineStr">
      <is>
        <t>1.2</t>
      </is>
    </nc>
  </rcc>
  <rcc rId="9158" sId="1">
    <oc r="C30">
      <f>IF(B30="","",TEXT(B30,"0.0"))</f>
    </oc>
    <nc r="C30" t="inlineStr">
      <is>
        <t>1.2</t>
      </is>
    </nc>
  </rcc>
  <rcc rId="9159" sId="1">
    <oc r="C31">
      <f>IF(B31="","",TEXT(B31,"0.0"))</f>
    </oc>
    <nc r="C31" t="inlineStr">
      <is>
        <t>1.2</t>
      </is>
    </nc>
  </rcc>
  <rcc rId="9160" sId="1">
    <oc r="C32">
      <f>IF(B32="","",TEXT(B32,"0.0"))</f>
    </oc>
    <nc r="C32" t="inlineStr">
      <is>
        <t>1.2</t>
      </is>
    </nc>
  </rcc>
  <rcc rId="9161" sId="1">
    <oc r="C33">
      <f>IF(B33="","",TEXT(B33,"0.0"))</f>
    </oc>
    <nc r="C33" t="inlineStr">
      <is>
        <t>1.2</t>
      </is>
    </nc>
  </rcc>
  <rcc rId="9162" sId="1">
    <oc r="C34">
      <f>IF(B34="","",TEXT(B34,"0.0"))</f>
    </oc>
    <nc r="C34" t="inlineStr">
      <is>
        <t>1.2</t>
      </is>
    </nc>
  </rcc>
  <rcc rId="9163" sId="1">
    <oc r="C35">
      <f>IF(B35="","",TEXT(B35,"0.0"))</f>
    </oc>
    <nc r="C35" t="inlineStr">
      <is>
        <t>1.2</t>
      </is>
    </nc>
  </rcc>
  <rcc rId="9164" sId="1">
    <oc r="C36">
      <f>IF(B36="","",TEXT(B36,"0.0"))</f>
    </oc>
    <nc r="C36" t="inlineStr">
      <is>
        <t>1.2</t>
      </is>
    </nc>
  </rcc>
  <rcc rId="9165" sId="1">
    <oc r="C37">
      <f>IF(B37="","",TEXT(B37,"0.0"))</f>
    </oc>
    <nc r="C37" t="inlineStr">
      <is>
        <t>1.2</t>
      </is>
    </nc>
  </rcc>
  <rcc rId="9166" sId="1">
    <oc r="C38">
      <f>IF(B38="","",TEXT(B38,"0.0"))</f>
    </oc>
    <nc r="C38" t="inlineStr">
      <is>
        <t>1.2</t>
      </is>
    </nc>
  </rcc>
  <rcc rId="9167" sId="1">
    <oc r="C39">
      <f>IF(B39="","",TEXT(B39,"0.0"))</f>
    </oc>
    <nc r="C39" t="inlineStr">
      <is>
        <t>1.2</t>
      </is>
    </nc>
  </rcc>
  <rcc rId="9168" sId="1">
    <oc r="C40">
      <f>IF(B40="","",TEXT(B40,"0.0"))</f>
    </oc>
    <nc r="C40" t="inlineStr">
      <is>
        <t>1.2</t>
      </is>
    </nc>
  </rcc>
  <rcc rId="9169" sId="1">
    <oc r="C41">
      <f>IF(B41="","",TEXT(B41,"0.0"))</f>
    </oc>
    <nc r="C41" t="inlineStr">
      <is>
        <t>1.2</t>
      </is>
    </nc>
  </rcc>
  <rcc rId="9170" sId="1">
    <oc r="C42">
      <f>IF(B42="","",TEXT(B42,"0.0"))</f>
    </oc>
    <nc r="C42" t="inlineStr">
      <is>
        <t>1.2</t>
      </is>
    </nc>
  </rcc>
  <rcc rId="9171" sId="1">
    <oc r="C43">
      <f>IF(B43="","",TEXT(B43,"0.0"))</f>
    </oc>
    <nc r="C43" t="inlineStr">
      <is>
        <t>1.2</t>
      </is>
    </nc>
  </rcc>
  <rcc rId="9172" sId="1">
    <oc r="C44">
      <f>IF(B44="","",TEXT(B44,"0.0"))</f>
    </oc>
    <nc r="C44" t="inlineStr">
      <is>
        <t>1.2</t>
      </is>
    </nc>
  </rcc>
  <rcc rId="9173" sId="1">
    <oc r="C45">
      <f>IF(B45="","",TEXT(B45,"0.0"))</f>
    </oc>
    <nc r="C45" t="inlineStr">
      <is>
        <t>1.2</t>
      </is>
    </nc>
  </rcc>
  <rcc rId="9174" sId="1">
    <oc r="C46">
      <f>IF(B46="","",TEXT(B46,"0.0"))</f>
    </oc>
    <nc r="C46" t="inlineStr">
      <is>
        <t>1.2</t>
      </is>
    </nc>
  </rcc>
  <rcc rId="9175" sId="1">
    <oc r="C47">
      <f>IF(B47="","",TEXT(B47,"0.0"))</f>
    </oc>
    <nc r="C47" t="inlineStr">
      <is>
        <t>1.2</t>
      </is>
    </nc>
  </rcc>
  <rcc rId="9176" sId="1">
    <oc r="C48">
      <f>IF(B48="","",TEXT(B48,"0.0"))</f>
    </oc>
    <nc r="C48" t="inlineStr">
      <is>
        <t>1.2</t>
      </is>
    </nc>
  </rcc>
  <rcc rId="9177" sId="1">
    <oc r="C49">
      <f>IF(B49="","",TEXT(B49,"0.0"))</f>
    </oc>
    <nc r="C49" t="inlineStr">
      <is>
        <t>1.2</t>
      </is>
    </nc>
  </rcc>
  <rcc rId="9178" sId="1">
    <oc r="C50">
      <f>IF(B50="","",TEXT(B50,"0.0"))</f>
    </oc>
    <nc r="C50" t="inlineStr">
      <is>
        <t>1.2</t>
      </is>
    </nc>
  </rcc>
  <rcc rId="9179" sId="1">
    <oc r="C51">
      <f>IF(B51="","",TEXT(B51,"0.0"))</f>
    </oc>
    <nc r="C51" t="inlineStr">
      <is>
        <t>1.2</t>
      </is>
    </nc>
  </rcc>
  <rcc rId="9180" sId="1">
    <oc r="C52">
      <f>IF(B52="","",TEXT(B52,"0.0"))</f>
    </oc>
    <nc r="C52" t="inlineStr">
      <is>
        <t>1.2</t>
      </is>
    </nc>
  </rcc>
  <rcc rId="9181" sId="1">
    <oc r="C53">
      <f>IF(B53="","",TEXT(B53,"0.0"))</f>
    </oc>
    <nc r="C53" t="inlineStr">
      <is>
        <t>1.2</t>
      </is>
    </nc>
  </rcc>
  <rcc rId="9182" sId="1">
    <oc r="C54">
      <f>IF(B54="","",TEXT(B54,"0.0"))</f>
    </oc>
    <nc r="C54" t="inlineStr">
      <is>
        <t>1.2</t>
      </is>
    </nc>
  </rcc>
  <rcc rId="9183" sId="1">
    <oc r="C55">
      <f>IF(B55="","",TEXT(B55,"0.0"))</f>
    </oc>
    <nc r="C55" t="inlineStr">
      <is>
        <t>1.2</t>
      </is>
    </nc>
  </rcc>
  <rcc rId="9184" sId="1">
    <oc r="C56">
      <f>IF(B56="","",TEXT(B56,"0.0"))</f>
    </oc>
    <nc r="C56" t="inlineStr">
      <is>
        <t>1.2</t>
      </is>
    </nc>
  </rcc>
  <rcc rId="9185" sId="1">
    <oc r="C57">
      <f>IF(B57="","",TEXT(B57,"0.0"))</f>
    </oc>
    <nc r="C57" t="inlineStr">
      <is>
        <t>1.2</t>
      </is>
    </nc>
  </rcc>
  <rcc rId="9186" sId="1">
    <oc r="C58">
      <f>IF(B58="","",TEXT(B58,"0.0"))</f>
    </oc>
    <nc r="C58" t="inlineStr">
      <is>
        <t>1.2</t>
      </is>
    </nc>
  </rcc>
  <rcc rId="9187" sId="1">
    <oc r="C59">
      <f>IF(B59="","",TEXT(B59,"0.0"))</f>
    </oc>
    <nc r="C59" t="inlineStr">
      <is>
        <t>1.2</t>
      </is>
    </nc>
  </rcc>
  <rcc rId="9188" sId="1">
    <oc r="C60">
      <f>IF(B60="","",TEXT(B60,"0.0"))</f>
    </oc>
    <nc r="C60" t="inlineStr">
      <is>
        <t>1.2</t>
      </is>
    </nc>
  </rcc>
  <rcc rId="9189" sId="1">
    <oc r="C61">
      <f>IF(B61="","",TEXT(B61,"0.0"))</f>
    </oc>
    <nc r="C61" t="inlineStr">
      <is>
        <t>1.2</t>
      </is>
    </nc>
  </rcc>
  <rcc rId="9190" sId="1">
    <oc r="C62">
      <f>IF(B62="","",TEXT(B62,"0.0"))</f>
    </oc>
    <nc r="C62" t="inlineStr">
      <is>
        <t>1.2</t>
      </is>
    </nc>
  </rcc>
  <rcc rId="9191" sId="1">
    <oc r="C63">
      <f>IF(B63="","",TEXT(B63,"0.0"))</f>
    </oc>
    <nc r="C63" t="inlineStr">
      <is>
        <t>1.2</t>
      </is>
    </nc>
  </rcc>
  <rcc rId="9192" sId="1">
    <oc r="C64">
      <f>IF(B64="","",TEXT(B64,"0.0"))</f>
    </oc>
    <nc r="C64" t="inlineStr">
      <is>
        <t>1.2</t>
      </is>
    </nc>
  </rcc>
  <rcc rId="9193" sId="1">
    <oc r="C65">
      <f>IF(B65="","",TEXT(B65,"0.0"))</f>
    </oc>
    <nc r="C65" t="inlineStr">
      <is>
        <t>1.2</t>
      </is>
    </nc>
  </rcc>
  <rcc rId="9194" sId="1">
    <oc r="C66">
      <f>IF(B66="","",TEXT(B66,"0.0"))</f>
    </oc>
    <nc r="C66" t="inlineStr">
      <is>
        <t>1.2</t>
      </is>
    </nc>
  </rcc>
  <rcc rId="9195" sId="1">
    <oc r="C67">
      <f>IF(B67="","",TEXT(B67,"0.0"))</f>
    </oc>
    <nc r="C67" t="inlineStr">
      <is>
        <t>1.2</t>
      </is>
    </nc>
  </rcc>
  <rcc rId="9196" sId="1">
    <oc r="C68">
      <f>IF(B68="","",TEXT(B68,"0.0"))</f>
    </oc>
    <nc r="C68" t="inlineStr">
      <is>
        <t>1.2</t>
      </is>
    </nc>
  </rcc>
  <rcc rId="9197" sId="1">
    <oc r="C69">
      <f>IF(B69="","",TEXT(B69,"0.0"))</f>
    </oc>
    <nc r="C69" t="inlineStr">
      <is>
        <t>1.2</t>
      </is>
    </nc>
  </rcc>
  <rcc rId="9198" sId="1">
    <oc r="C70">
      <f>IF(B70="","",TEXT(B70,"0.0"))</f>
    </oc>
    <nc r="C70" t="inlineStr">
      <is>
        <t>1.2</t>
      </is>
    </nc>
  </rcc>
  <rcc rId="9199" sId="1">
    <oc r="C71">
      <f>IF(B71="","",TEXT(B71,"0.0"))</f>
    </oc>
    <nc r="C71" t="inlineStr">
      <is>
        <t>1.2</t>
      </is>
    </nc>
  </rcc>
  <rcc rId="9200" sId="1">
    <oc r="C72">
      <f>IF(B72="","",TEXT(B72,"0.0"))</f>
    </oc>
    <nc r="C72" t="inlineStr">
      <is>
        <t>1.2</t>
      </is>
    </nc>
  </rcc>
  <rcc rId="9201" sId="1">
    <oc r="C73">
      <f>IF(B73="","",TEXT(B73,"0.0"))</f>
    </oc>
    <nc r="C73" t="inlineStr">
      <is>
        <t>1.2</t>
      </is>
    </nc>
  </rcc>
  <rcc rId="9202" sId="1">
    <oc r="C74">
      <f>IF(B74="","",TEXT(B74,"0.0"))</f>
    </oc>
    <nc r="C74" t="inlineStr">
      <is>
        <t>1.2</t>
      </is>
    </nc>
  </rcc>
  <rcc rId="9203" sId="1">
    <oc r="C75">
      <f>IF(B75="","",TEXT(B75,"0.0"))</f>
    </oc>
    <nc r="C75" t="inlineStr">
      <is>
        <t>1.2</t>
      </is>
    </nc>
  </rcc>
  <rcc rId="9204" sId="1">
    <oc r="C76">
      <f>IF(B76="","",TEXT(B76,"0.0"))</f>
    </oc>
    <nc r="C76" t="inlineStr">
      <is>
        <t>1.2</t>
      </is>
    </nc>
  </rcc>
  <rcc rId="9205" sId="1">
    <oc r="C77">
      <f>IF(B77="","",TEXT(B77,"0.0"))</f>
    </oc>
    <nc r="C77" t="inlineStr">
      <is>
        <t>1.2</t>
      </is>
    </nc>
  </rcc>
  <rcc rId="9206" sId="1">
    <oc r="C78">
      <f>IF(B78="","",TEXT(B78,"0.0"))</f>
    </oc>
    <nc r="C78" t="inlineStr">
      <is>
        <t>1.2</t>
      </is>
    </nc>
  </rcc>
  <rcc rId="9207" sId="1">
    <oc r="C79">
      <f>IF(B79="","",TEXT(B79,"0.0"))</f>
    </oc>
    <nc r="C79" t="inlineStr">
      <is>
        <t>1.2</t>
      </is>
    </nc>
  </rcc>
  <rcc rId="9208" sId="1">
    <oc r="C80">
      <f>IF(B80="","",TEXT(B80,"0.0"))</f>
    </oc>
    <nc r="C80" t="inlineStr">
      <is>
        <t>1.2</t>
      </is>
    </nc>
  </rcc>
  <rcc rId="9209" sId="1">
    <oc r="C81">
      <f>IF(B81="","",TEXT(B81,"0.0"))</f>
    </oc>
    <nc r="C81" t="inlineStr">
      <is>
        <t>1.2</t>
      </is>
    </nc>
  </rcc>
  <rcc rId="9210" sId="1">
    <oc r="C82">
      <f>IF(B82="","",TEXT(B82,"0.0"))</f>
    </oc>
    <nc r="C82" t="inlineStr">
      <is>
        <t>1.2</t>
      </is>
    </nc>
  </rcc>
  <rcc rId="9211" sId="1">
    <oc r="C83">
      <f>IF(B83="","",TEXT(B83,"0.0"))</f>
    </oc>
    <nc r="C83" t="inlineStr">
      <is>
        <t>1.2</t>
      </is>
    </nc>
  </rcc>
  <rcc rId="9212" sId="1">
    <oc r="C84">
      <f>IF(B84="","",TEXT(B84,"0.0"))</f>
    </oc>
    <nc r="C84" t="inlineStr">
      <is>
        <t>1.2</t>
      </is>
    </nc>
  </rcc>
  <rcc rId="9213" sId="1">
    <oc r="C85">
      <f>IF(B85="","",TEXT(B85,"0.0"))</f>
    </oc>
    <nc r="C85" t="inlineStr">
      <is>
        <t>1.2</t>
      </is>
    </nc>
  </rcc>
  <rcc rId="9214" sId="1">
    <oc r="C86">
      <f>IF(B86="","",TEXT(B86,"0.0"))</f>
    </oc>
    <nc r="C86" t="inlineStr">
      <is>
        <t>1.2</t>
      </is>
    </nc>
  </rcc>
  <rcc rId="9215" sId="1">
    <oc r="C87">
      <f>IF(B87="","",TEXT(B87,"0.0"))</f>
    </oc>
    <nc r="C87" t="inlineStr">
      <is>
        <t>1.2</t>
      </is>
    </nc>
  </rcc>
  <rcc rId="9216" sId="1">
    <oc r="C88">
      <f>IF(B88="","",TEXT(B88,"0.0"))</f>
    </oc>
    <nc r="C88" t="inlineStr">
      <is>
        <t>1.2</t>
      </is>
    </nc>
  </rcc>
  <rcc rId="9217" sId="1">
    <oc r="C89">
      <f>IF(B89="","",TEXT(B89,"0.0"))</f>
    </oc>
    <nc r="C89" t="inlineStr">
      <is>
        <t>1.2</t>
      </is>
    </nc>
  </rcc>
  <rcc rId="9218" sId="1">
    <oc r="C90">
      <f>IF(B90="","",TEXT(B90,"0.0"))</f>
    </oc>
    <nc r="C90" t="inlineStr">
      <is>
        <t>1.2</t>
      </is>
    </nc>
  </rcc>
  <rcc rId="9219" sId="1">
    <oc r="C91">
      <f>IF(B91="","",TEXT(B91,"0.0"))</f>
    </oc>
    <nc r="C91" t="inlineStr">
      <is>
        <t>1.2</t>
      </is>
    </nc>
  </rcc>
  <rcc rId="9220" sId="1">
    <oc r="C92">
      <f>IF(B92="","",TEXT(B92,"0.0"))</f>
    </oc>
    <nc r="C92" t="inlineStr">
      <is>
        <t>1.2</t>
      </is>
    </nc>
  </rcc>
  <rcc rId="9221" sId="1">
    <oc r="C93">
      <f>IF(B93="","",TEXT(B93,"0.0"))</f>
    </oc>
    <nc r="C93" t="inlineStr">
      <is>
        <t>1.2</t>
      </is>
    </nc>
  </rcc>
  <rcc rId="9222" sId="1">
    <oc r="C94">
      <f>IF(B94="","",TEXT(B94,"0.0"))</f>
    </oc>
    <nc r="C94" t="inlineStr">
      <is>
        <t>1.2</t>
      </is>
    </nc>
  </rcc>
  <rcc rId="9223" sId="1">
    <oc r="C95">
      <f>IF(B95="","",TEXT(B95,"0.0"))</f>
    </oc>
    <nc r="C95" t="inlineStr">
      <is>
        <t>1.2</t>
      </is>
    </nc>
  </rcc>
  <rcc rId="9224" sId="1">
    <oc r="C96">
      <f>IF(B96="","",TEXT(B96,"0.0"))</f>
    </oc>
    <nc r="C96" t="inlineStr">
      <is>
        <t>1.2</t>
      </is>
    </nc>
  </rcc>
  <rcc rId="9225" sId="1">
    <oc r="C97">
      <f>IF(B97="","",TEXT(B97,"0.0"))</f>
    </oc>
    <nc r="C97" t="inlineStr">
      <is>
        <t>1.2</t>
      </is>
    </nc>
  </rcc>
  <rcc rId="9226" sId="1">
    <oc r="C98">
      <f>IF(B98="","",TEXT(B98,"0.0"))</f>
    </oc>
    <nc r="C98" t="inlineStr">
      <is>
        <t>1.2</t>
      </is>
    </nc>
  </rcc>
  <rcc rId="9227" sId="1">
    <oc r="C99">
      <f>IF(B99="","",TEXT(B99,"0.0"))</f>
    </oc>
    <nc r="C99" t="inlineStr">
      <is>
        <t>1.2</t>
      </is>
    </nc>
  </rcc>
  <rcc rId="9228" sId="1">
    <oc r="C100">
      <f>IF(B100="","",TEXT(B100,"0.0"))</f>
    </oc>
    <nc r="C100" t="inlineStr">
      <is>
        <t>1.2</t>
      </is>
    </nc>
  </rcc>
  <rcc rId="9229" sId="1">
    <oc r="C101">
      <f>IF(B101="","",TEXT(B101,"0.0"))</f>
    </oc>
    <nc r="C101" t="inlineStr">
      <is>
        <t>1.2</t>
      </is>
    </nc>
  </rcc>
  <rcc rId="9230" sId="1">
    <oc r="C102">
      <f>IF(B102="","",TEXT(B102,"0.0"))</f>
    </oc>
    <nc r="C102" t="inlineStr">
      <is>
        <t>1.2</t>
      </is>
    </nc>
  </rcc>
  <rcc rId="9231" sId="1">
    <oc r="C103">
      <f>IF(B103="","",TEXT(B103,"0.0"))</f>
    </oc>
    <nc r="C103" t="inlineStr">
      <is>
        <t>1.2</t>
      </is>
    </nc>
  </rcc>
  <rcc rId="9232" sId="1">
    <oc r="C104">
      <f>IF(B104="","",TEXT(B104,"0.0"))</f>
    </oc>
    <nc r="C104" t="inlineStr">
      <is>
        <t>1.2</t>
      </is>
    </nc>
  </rcc>
  <rcc rId="9233" sId="1">
    <oc r="C105">
      <f>IF(B105="","",TEXT(B105,"0.0"))</f>
    </oc>
    <nc r="C105" t="inlineStr">
      <is>
        <t>1.2</t>
      </is>
    </nc>
  </rcc>
  <rcc rId="9234" sId="1">
    <oc r="C106">
      <f>IF(B106="","",TEXT(B106,"0.0"))</f>
    </oc>
    <nc r="C106" t="inlineStr">
      <is>
        <t>1.2</t>
      </is>
    </nc>
  </rcc>
  <rcc rId="9235" sId="1">
    <oc r="C107">
      <f>IF(B107="","",TEXT(B107,"0.0"))</f>
    </oc>
    <nc r="C107" t="inlineStr">
      <is>
        <t>1.2</t>
      </is>
    </nc>
  </rcc>
  <rcc rId="9236" sId="1">
    <oc r="C108">
      <f>IF(B108="","",TEXT(B108,"0.0"))</f>
    </oc>
    <nc r="C108" t="inlineStr">
      <is>
        <t>1.2</t>
      </is>
    </nc>
  </rcc>
  <rcc rId="9237" sId="1">
    <oc r="C109">
      <f>IF(B109="","",TEXT(B109,"0.0"))</f>
    </oc>
    <nc r="C109" t="inlineStr">
      <is>
        <t>1.2</t>
      </is>
    </nc>
  </rcc>
  <rcc rId="9238" sId="1">
    <oc r="C110">
      <f>IF(B110="","",TEXT(B110,"0.0"))</f>
    </oc>
    <nc r="C110" t="inlineStr">
      <is>
        <t>1.2</t>
      </is>
    </nc>
  </rcc>
  <rcc rId="9239" sId="1">
    <oc r="C111">
      <f>IF(B111="","",TEXT(B111,"0.0"))</f>
    </oc>
    <nc r="C111" t="inlineStr">
      <is>
        <t>1.2</t>
      </is>
    </nc>
  </rcc>
  <rcc rId="9240" sId="1">
    <oc r="C112">
      <f>IF(B112="","",TEXT(B112,"0.0"))</f>
    </oc>
    <nc r="C112" t="inlineStr">
      <is>
        <t>1.2</t>
      </is>
    </nc>
  </rcc>
  <rcc rId="9241" sId="1">
    <oc r="C113">
      <f>IF(B113="","",TEXT(B113,"0.0"))</f>
    </oc>
    <nc r="C113" t="inlineStr">
      <is>
        <t>1.2</t>
      </is>
    </nc>
  </rcc>
  <rcc rId="9242" sId="1">
    <oc r="C114">
      <f>IF(B114="","",TEXT(B114,"0.0"))</f>
    </oc>
    <nc r="C114" t="inlineStr">
      <is>
        <t>1.2</t>
      </is>
    </nc>
  </rcc>
  <rcc rId="9243" sId="1">
    <oc r="C115">
      <f>IF(B115="","",TEXT(B115,"0.0"))</f>
    </oc>
    <nc r="C115" t="inlineStr">
      <is>
        <t>1.2</t>
      </is>
    </nc>
  </rcc>
  <rcc rId="9244" sId="1">
    <oc r="C116">
      <f>IF(B116="","",TEXT(B116,"0.0"))</f>
    </oc>
    <nc r="C116" t="inlineStr">
      <is>
        <t>1.2</t>
      </is>
    </nc>
  </rcc>
  <rcc rId="9245" sId="1">
    <oc r="C117">
      <f>IF(B117="","",TEXT(B117,"0.0"))</f>
    </oc>
    <nc r="C117" t="inlineStr">
      <is>
        <t>1.2</t>
      </is>
    </nc>
  </rcc>
  <rcc rId="9246" sId="1">
    <oc r="C118">
      <f>IF(B118="","",TEXT(B118,"0.0"))</f>
    </oc>
    <nc r="C118" t="inlineStr">
      <is>
        <t>1.2</t>
      </is>
    </nc>
  </rcc>
  <rcc rId="9247" sId="1">
    <oc r="C119">
      <f>IF(B119="","",TEXT(B119,"0.0"))</f>
    </oc>
    <nc r="C119" t="inlineStr">
      <is>
        <t>1.2</t>
      </is>
    </nc>
  </rcc>
  <rcc rId="9248" sId="1">
    <oc r="C120">
      <f>IF(B120="","",TEXT(B120,"0.0"))</f>
    </oc>
    <nc r="C120" t="inlineStr">
      <is>
        <t>1.2</t>
      </is>
    </nc>
  </rcc>
  <rcc rId="9249" sId="1">
    <oc r="C121">
      <f>IF(B121="","",TEXT(B121,"0.0"))</f>
    </oc>
    <nc r="C121" t="inlineStr">
      <is>
        <t>1.2</t>
      </is>
    </nc>
  </rcc>
  <rcc rId="9250" sId="1">
    <oc r="C122">
      <f>IF(B122="","",TEXT(B122,"0.0"))</f>
    </oc>
    <nc r="C122" t="inlineStr">
      <is>
        <t>1.2</t>
      </is>
    </nc>
  </rcc>
  <rcc rId="9251" sId="1">
    <oc r="C123">
      <f>IF(B123="","",TEXT(B123,"0.0"))</f>
    </oc>
    <nc r="C123" t="inlineStr">
      <is>
        <t>1.2</t>
      </is>
    </nc>
  </rcc>
  <rcc rId="9252" sId="1">
    <oc r="C124">
      <f>IF(B124="","",TEXT(B124,"0.0"))</f>
    </oc>
    <nc r="C124" t="inlineStr">
      <is>
        <t>1.2</t>
      </is>
    </nc>
  </rcc>
  <rcc rId="9253" sId="1">
    <oc r="C125">
      <f>IF(B125="","",TEXT(B125,"0.0"))</f>
    </oc>
    <nc r="C125" t="inlineStr">
      <is>
        <t>1.2</t>
      </is>
    </nc>
  </rcc>
  <rcc rId="9254" sId="1">
    <oc r="C126">
      <f>IF(B126="","",TEXT(B126,"0.0"))</f>
    </oc>
    <nc r="C126" t="inlineStr">
      <is>
        <t>1.2</t>
      </is>
    </nc>
  </rcc>
  <rcc rId="9255" sId="1">
    <oc r="C127">
      <f>IF(B127="","",TEXT(B127,"0.0"))</f>
    </oc>
    <nc r="C127" t="inlineStr">
      <is>
        <t>1.2</t>
      </is>
    </nc>
  </rcc>
  <rcc rId="9256" sId="1">
    <oc r="C128">
      <f>IF(B128="","",TEXT(B128,"0.0"))</f>
    </oc>
    <nc r="C128" t="inlineStr">
      <is>
        <t>1.2</t>
      </is>
    </nc>
  </rcc>
  <rcc rId="9257" sId="1">
    <oc r="C129">
      <f>IF(B129="","",TEXT(B129,"0.0"))</f>
    </oc>
    <nc r="C129" t="inlineStr">
      <is>
        <t>1.2</t>
      </is>
    </nc>
  </rcc>
  <rcc rId="9258" sId="1">
    <oc r="C130">
      <f>IF(B130="","",TEXT(B130,"0.0"))</f>
    </oc>
    <nc r="C130" t="inlineStr">
      <is>
        <t>1.2</t>
      </is>
    </nc>
  </rcc>
  <rcc rId="9259" sId="1">
    <oc r="C131">
      <f>IF(B131="","",TEXT(B131,"0.0"))</f>
    </oc>
    <nc r="C131" t="inlineStr">
      <is>
        <t>1.3</t>
      </is>
    </nc>
  </rcc>
  <rcc rId="9260" sId="1">
    <oc r="C132">
      <f>IF(B132="","",TEXT(B132,"0.0"))</f>
    </oc>
    <nc r="C132" t="inlineStr">
      <is>
        <t>1.3</t>
      </is>
    </nc>
  </rcc>
  <rcc rId="9261" sId="1">
    <oc r="C133">
      <f>IF(B133="","",TEXT(B133,"0.0"))</f>
    </oc>
    <nc r="C133" t="inlineStr">
      <is>
        <t>1.3</t>
      </is>
    </nc>
  </rcc>
  <rcc rId="9262" sId="1">
    <oc r="C134">
      <f>IF(B134="","",TEXT(B134,"0.0"))</f>
    </oc>
    <nc r="C134" t="inlineStr">
      <is>
        <t>1.3</t>
      </is>
    </nc>
  </rcc>
  <rcc rId="9263" sId="1">
    <oc r="C135">
      <f>IF(B135="","",TEXT(B135,"0.0"))</f>
    </oc>
    <nc r="C135" t="inlineStr">
      <is>
        <t>1.4</t>
      </is>
    </nc>
  </rcc>
  <rcc rId="9264" sId="1">
    <oc r="C136">
      <f>IF(B136="","",TEXT(B136,"0.0"))</f>
    </oc>
    <nc r="C136" t="inlineStr">
      <is>
        <t>1.5</t>
      </is>
    </nc>
  </rcc>
  <rcc rId="9265" sId="1">
    <oc r="C137">
      <f>IF(B137="","",TEXT(B137,"0.0"))</f>
    </oc>
    <nc r="C137" t="inlineStr">
      <is>
        <t>1.4</t>
      </is>
    </nc>
  </rcc>
  <rcc rId="9266" sId="1">
    <oc r="C138">
      <f>IF(B138="","",TEXT(B138,"0.0"))</f>
    </oc>
    <nc r="C138" t="inlineStr">
      <is>
        <t>1.5</t>
      </is>
    </nc>
  </rcc>
  <rcc rId="9267" sId="1">
    <oc r="C139">
      <f>IF(B139="","",TEXT(B139,"0.0"))</f>
    </oc>
    <nc r="C139" t="inlineStr">
      <is>
        <t>1.4</t>
      </is>
    </nc>
  </rcc>
  <rcc rId="9268" sId="1">
    <oc r="C140">
      <f>IF(B140="","",TEXT(B140,"0.0"))</f>
    </oc>
    <nc r="C140" t="inlineStr">
      <is>
        <t>1.5</t>
      </is>
    </nc>
  </rcc>
  <rcc rId="9269" sId="1">
    <oc r="C141">
      <f>IF(B141="","",TEXT(B141,"0.0"))</f>
    </oc>
    <nc r="C141" t="inlineStr">
      <is>
        <t>1.4</t>
      </is>
    </nc>
  </rcc>
  <rcc rId="9270" sId="1">
    <oc r="C142">
      <f>IF(B142="","",TEXT(B142,"0.0"))</f>
    </oc>
    <nc r="C142" t="inlineStr">
      <is>
        <t>1.4</t>
      </is>
    </nc>
  </rcc>
  <rcc rId="9271" sId="1">
    <oc r="C143">
      <f>IF(B143="","",TEXT(B143,"0.0"))</f>
    </oc>
    <nc r="C143" t="inlineStr">
      <is>
        <t>1.5</t>
      </is>
    </nc>
  </rcc>
  <rcc rId="9272" sId="1">
    <oc r="C144">
      <f>IF(B144="","",TEXT(B144,"0.0"))</f>
    </oc>
    <nc r="C144" t="inlineStr">
      <is>
        <t>1.4</t>
      </is>
    </nc>
  </rcc>
  <rcc rId="9273" sId="1">
    <oc r="C145">
      <f>IF(B145="","",TEXT(B145,"0.0"))</f>
    </oc>
    <nc r="C145" t="inlineStr">
      <is>
        <t>1.5</t>
      </is>
    </nc>
  </rcc>
  <rcc rId="9274" sId="1">
    <oc r="C146">
      <f>IF(B146="","",TEXT(B146,"0.0"))</f>
    </oc>
    <nc r="C146" t="inlineStr">
      <is>
        <t>1.5</t>
      </is>
    </nc>
  </rcc>
  <rcc rId="9275" sId="1">
    <oc r="C147">
      <f>IF(B147="","",TEXT(B147,"0.0"))</f>
    </oc>
    <nc r="C147" t="inlineStr">
      <is>
        <t>1.4</t>
      </is>
    </nc>
  </rcc>
  <rcc rId="9276" sId="1">
    <oc r="C148">
      <f>IF(B148="","",TEXT(B148,"0.0"))</f>
    </oc>
    <nc r="C148" t="inlineStr">
      <is>
        <t>1.5</t>
      </is>
    </nc>
  </rcc>
  <rcc rId="9277" sId="1">
    <oc r="C149">
      <f>IF(B149="","",TEXT(B149,"0.0"))</f>
    </oc>
    <nc r="C149" t="inlineStr">
      <is>
        <t>1.5</t>
      </is>
    </nc>
  </rcc>
  <rcc rId="9278" sId="1">
    <oc r="C150">
      <f>IF(B150="","",TEXT(B150,"0.0"))</f>
    </oc>
    <nc r="C150" t="inlineStr">
      <is>
        <t>1.4</t>
      </is>
    </nc>
  </rcc>
  <rcc rId="9279" sId="1">
    <oc r="C151">
      <f>IF(B151="","",TEXT(B151,"0.0"))</f>
    </oc>
    <nc r="C151" t="inlineStr">
      <is>
        <t>1.5</t>
      </is>
    </nc>
  </rcc>
  <rcc rId="9280" sId="1">
    <oc r="C152">
      <f>IF(B152="","",TEXT(B152,"0.0"))</f>
    </oc>
    <nc r="C152" t="inlineStr">
      <is>
        <t>1.4</t>
      </is>
    </nc>
  </rcc>
  <rcc rId="9281" sId="1">
    <oc r="C153">
      <f>IF(B153="","",TEXT(B153,"0.0"))</f>
    </oc>
    <nc r="C153" t="inlineStr">
      <is>
        <t>1.5</t>
      </is>
    </nc>
  </rcc>
  <rcc rId="9282" sId="1">
    <oc r="C154">
      <f>IF(B154="","",TEXT(B154,"0.0"))</f>
    </oc>
    <nc r="C154" t="inlineStr">
      <is>
        <t>1.5</t>
      </is>
    </nc>
  </rcc>
  <rcc rId="9283" sId="1">
    <oc r="C155">
      <f>IF(B155="","",TEXT(B155,"0.0"))</f>
    </oc>
    <nc r="C155" t="inlineStr">
      <is>
        <t>1.5</t>
      </is>
    </nc>
  </rcc>
  <rcc rId="9284" sId="1">
    <oc r="C156">
      <f>IF(B156="","",TEXT(B156,"0.0"))</f>
    </oc>
    <nc r="C156" t="inlineStr">
      <is>
        <t>1.4</t>
      </is>
    </nc>
  </rcc>
  <rcc rId="9285" sId="1">
    <oc r="C157">
      <f>IF(B157="","",TEXT(B157,"0.0"))</f>
    </oc>
    <nc r="C157" t="inlineStr">
      <is>
        <t>1.5</t>
      </is>
    </nc>
  </rcc>
  <rcc rId="9286" sId="1">
    <oc r="C158">
      <f>IF(B158="","",TEXT(B158,"0.0"))</f>
    </oc>
    <nc r="C158" t="inlineStr">
      <is>
        <t>1.4</t>
      </is>
    </nc>
  </rcc>
  <rcc rId="9287" sId="1">
    <oc r="C159">
      <f>IF(B159="","",TEXT(B159,"0.0"))</f>
    </oc>
    <nc r="C159" t="inlineStr">
      <is>
        <t>1.5</t>
      </is>
    </nc>
  </rcc>
  <rcc rId="9288" sId="1">
    <oc r="C160">
      <f>IF(B160="","",TEXT(B160,"0.0"))</f>
    </oc>
    <nc r="C160" t="inlineStr">
      <is>
        <t>1.5</t>
      </is>
    </nc>
  </rcc>
  <rcc rId="9289" sId="1">
    <oc r="C161">
      <f>IF(B161="","",TEXT(B161,"0.0"))</f>
    </oc>
    <nc r="C161" t="inlineStr">
      <is>
        <t>1.4</t>
      </is>
    </nc>
  </rcc>
  <rcc rId="9290" sId="1">
    <oc r="C162">
      <f>IF(B162="","",TEXT(B162,"0.0"))</f>
    </oc>
    <nc r="C162" t="inlineStr">
      <is>
        <t>1.5</t>
      </is>
    </nc>
  </rcc>
  <rcc rId="9291" sId="1">
    <oc r="C163">
      <f>IF(B163="","",TEXT(B163,"0.0"))</f>
    </oc>
    <nc r="C163" t="inlineStr">
      <is>
        <t>1.5</t>
      </is>
    </nc>
  </rcc>
  <rcc rId="9292" sId="1">
    <oc r="C164">
      <f>IF(B164="","",TEXT(B164,"0.0"))</f>
    </oc>
    <nc r="C164" t="inlineStr">
      <is>
        <t>1.4</t>
      </is>
    </nc>
  </rcc>
  <rcc rId="9293" sId="1">
    <oc r="C165">
      <f>IF(B165="","",TEXT(B165,"0.0"))</f>
    </oc>
    <nc r="C165" t="inlineStr">
      <is>
        <t>1.5</t>
      </is>
    </nc>
  </rcc>
  <rcc rId="9294" sId="1">
    <oc r="C166">
      <f>IF(B166="","",TEXT(B166,"0.0"))</f>
    </oc>
    <nc r="C166" t="inlineStr">
      <is>
        <t>1.5</t>
      </is>
    </nc>
  </rcc>
  <rcc rId="9295" sId="1">
    <oc r="C167">
      <f>IF(B167="","",TEXT(B167,"0.0"))</f>
    </oc>
    <nc r="C167" t="inlineStr">
      <is>
        <t>1.4</t>
      </is>
    </nc>
  </rcc>
  <rcc rId="9296" sId="1">
    <oc r="C168">
      <f>IF(B168="","",TEXT(B168,"0.0"))</f>
    </oc>
    <nc r="C168" t="inlineStr">
      <is>
        <t>1.4</t>
      </is>
    </nc>
  </rcc>
  <rcc rId="9297" sId="1">
    <oc r="C169">
      <f>IF(B169="","",TEXT(B169,"0.0"))</f>
    </oc>
    <nc r="C169" t="inlineStr">
      <is>
        <t>1.5</t>
      </is>
    </nc>
  </rcc>
  <rcc rId="9298" sId="1">
    <oc r="C170">
      <f>IF(B170="","",TEXT(B170,"0.0"))</f>
    </oc>
    <nc r="C170" t="inlineStr">
      <is>
        <t>1.4</t>
      </is>
    </nc>
  </rcc>
  <rcc rId="9299" sId="1">
    <oc r="C171">
      <f>IF(B171="","",TEXT(B171,"0.0"))</f>
    </oc>
    <nc r="C171" t="inlineStr">
      <is>
        <t>1.5</t>
      </is>
    </nc>
  </rcc>
  <rcc rId="9300" sId="1">
    <oc r="C172">
      <f>IF(B172="","",TEXT(B172,"0.0"))</f>
    </oc>
    <nc r="C172" t="inlineStr">
      <is>
        <t>1.5</t>
      </is>
    </nc>
  </rcc>
  <rcc rId="9301" sId="1">
    <oc r="C173">
      <f>IF(B173="","",TEXT(B173,"0.0"))</f>
    </oc>
    <nc r="C173" t="inlineStr">
      <is>
        <t>1.4</t>
      </is>
    </nc>
  </rcc>
  <rcc rId="9302" sId="1">
    <oc r="C174">
      <f>IF(B174="","",TEXT(B174,"0.0"))</f>
    </oc>
    <nc r="C174" t="inlineStr">
      <is>
        <t>1.4</t>
      </is>
    </nc>
  </rcc>
  <rcc rId="9303" sId="1">
    <oc r="C175">
      <f>IF(B175="","",TEXT(B175,"0.0"))</f>
    </oc>
    <nc r="C175" t="inlineStr">
      <is>
        <t>1.5</t>
      </is>
    </nc>
  </rcc>
  <rcc rId="9304" sId="1">
    <oc r="C176">
      <f>IF(B176="","",TEXT(B176,"0.0"))</f>
    </oc>
    <nc r="C176" t="inlineStr">
      <is>
        <t>1.5</t>
      </is>
    </nc>
  </rcc>
  <rcc rId="9305" sId="1">
    <oc r="C177">
      <f>IF(B177="","",TEXT(B177,"0.0"))</f>
    </oc>
    <nc r="C177" t="inlineStr">
      <is>
        <t>1.4</t>
      </is>
    </nc>
  </rcc>
  <rcc rId="9306" sId="1">
    <oc r="C178">
      <f>IF(B178="","",TEXT(B178,"0.0"))</f>
    </oc>
    <nc r="C178" t="inlineStr">
      <is>
        <t>1.5</t>
      </is>
    </nc>
  </rcc>
  <rcc rId="9307" sId="1">
    <oc r="C179">
      <f>IF(B179="","",TEXT(B179,"0.0"))</f>
    </oc>
    <nc r="C179" t="inlineStr">
      <is>
        <t>1.4</t>
      </is>
    </nc>
  </rcc>
  <rcc rId="9308" sId="1">
    <oc r="C180">
      <f>IF(B180="","",TEXT(B180,"0.0"))</f>
    </oc>
    <nc r="C180" t="inlineStr">
      <is>
        <t>1.5</t>
      </is>
    </nc>
  </rcc>
  <rcc rId="9309" sId="1">
    <oc r="C181">
      <f>IF(B181="","",TEXT(B181,"0.0"))</f>
    </oc>
    <nc r="C181" t="inlineStr">
      <is>
        <t>1.4</t>
      </is>
    </nc>
  </rcc>
  <rcc rId="9310" sId="1">
    <oc r="C182">
      <f>IF(B182="","",TEXT(B182,"0.0"))</f>
    </oc>
    <nc r="C182" t="inlineStr">
      <is>
        <t>1.4</t>
      </is>
    </nc>
  </rcc>
  <rcc rId="9311" sId="1">
    <oc r="C183">
      <f>IF(B183="","",TEXT(B183,"0.0"))</f>
    </oc>
    <nc r="C183" t="inlineStr">
      <is>
        <t>1.5</t>
      </is>
    </nc>
  </rcc>
  <rcc rId="9312" sId="1">
    <oc r="C184">
      <f>IF(B184="","",TEXT(B184,"0.0"))</f>
    </oc>
    <nc r="C184" t="inlineStr">
      <is>
        <t>1.4</t>
      </is>
    </nc>
  </rcc>
  <rcc rId="9313" sId="1">
    <oc r="C185">
      <f>IF(B185="","",TEXT(B185,"0.0"))</f>
    </oc>
    <nc r="C185" t="inlineStr">
      <is>
        <t>1.5</t>
      </is>
    </nc>
  </rcc>
  <rcc rId="9314" sId="1">
    <oc r="C186">
      <f>IF(B186="","",TEXT(B186,"0.0"))</f>
    </oc>
    <nc r="C186" t="inlineStr">
      <is>
        <t>1.5</t>
      </is>
    </nc>
  </rcc>
  <rcc rId="9315" sId="1">
    <oc r="C187">
      <f>IF(B187="","",TEXT(B187,"0.0"))</f>
    </oc>
    <nc r="C187" t="inlineStr">
      <is>
        <t>1.4</t>
      </is>
    </nc>
  </rcc>
  <rcc rId="9316" sId="1">
    <oc r="C188">
      <f>IF(B188="","",TEXT(B188,"0.0"))</f>
    </oc>
    <nc r="C188" t="inlineStr">
      <is>
        <t>1.4</t>
      </is>
    </nc>
  </rcc>
  <rcc rId="9317" sId="1">
    <oc r="C189">
      <f>IF(B189="","",TEXT(B189,"0.0"))</f>
    </oc>
    <nc r="C189" t="inlineStr">
      <is>
        <t>1.5</t>
      </is>
    </nc>
  </rcc>
  <rcc rId="9318" sId="1">
    <oc r="C190">
      <f>IF(B190="","",TEXT(B190,"0.0"))</f>
    </oc>
    <nc r="C190" t="inlineStr">
      <is>
        <t>1.5</t>
      </is>
    </nc>
  </rcc>
  <rcc rId="9319" sId="1">
    <oc r="C191">
      <f>IF(B191="","",TEXT(B191,"0.0"))</f>
    </oc>
    <nc r="C191" t="inlineStr">
      <is>
        <t>1.5</t>
      </is>
    </nc>
  </rcc>
  <rcc rId="9320" sId="1">
    <oc r="C192">
      <f>IF(B192="","",TEXT(B192,"0.0"))</f>
    </oc>
    <nc r="C192" t="inlineStr">
      <is>
        <t>1.4</t>
      </is>
    </nc>
  </rcc>
  <rcc rId="9321" sId="1">
    <oc r="C193">
      <f>IF(B193="","",TEXT(B193,"0.0"))</f>
    </oc>
    <nc r="C193" t="inlineStr">
      <is>
        <t>1.4</t>
      </is>
    </nc>
  </rcc>
  <rcc rId="9322" sId="1">
    <oc r="C194">
      <f>IF(B194="","",TEXT(B194,"0.0"))</f>
    </oc>
    <nc r="C194" t="inlineStr">
      <is>
        <t>1.5</t>
      </is>
    </nc>
  </rcc>
  <rcc rId="9323" sId="1">
    <oc r="C195">
      <f>IF(B195="","",TEXT(B195,"0.0"))</f>
    </oc>
    <nc r="C195" t="inlineStr">
      <is>
        <t>1.4</t>
      </is>
    </nc>
  </rcc>
  <rcc rId="9324" sId="1">
    <oc r="C196">
      <f>IF(B196="","",TEXT(B196,"0.0"))</f>
    </oc>
    <nc r="C196" t="inlineStr">
      <is>
        <t>1.5</t>
      </is>
    </nc>
  </rcc>
  <rcc rId="9325" sId="1">
    <oc r="C197">
      <f>IF(B197="","",TEXT(B197,"0.0"))</f>
    </oc>
    <nc r="C197" t="inlineStr">
      <is>
        <t>1.5</t>
      </is>
    </nc>
  </rcc>
  <rcc rId="9326" sId="1">
    <oc r="C198">
      <f>IF(B198="","",TEXT(B198,"0.0"))</f>
    </oc>
    <nc r="C198" t="inlineStr">
      <is>
        <t>1.4</t>
      </is>
    </nc>
  </rcc>
  <rcc rId="9327" sId="1">
    <oc r="C199">
      <f>IF(B199="","",TEXT(B199,"0.0"))</f>
    </oc>
    <nc r="C199" t="inlineStr">
      <is>
        <t>1.4</t>
      </is>
    </nc>
  </rcc>
  <rcc rId="9328" sId="1">
    <oc r="C200">
      <f>IF(B200="","",TEXT(B200,"0.0"))</f>
    </oc>
    <nc r="C200" t="inlineStr">
      <is>
        <t>1.5</t>
      </is>
    </nc>
  </rcc>
  <rcc rId="9329" sId="1">
    <oc r="C201">
      <f>IF(B201="","",TEXT(B201,"0.0"))</f>
    </oc>
    <nc r="C201" t="inlineStr">
      <is>
        <t>1.4</t>
      </is>
    </nc>
  </rcc>
  <rcc rId="9330" sId="1">
    <oc r="C202">
      <f>IF(B202="","",TEXT(B202,"0.0"))</f>
    </oc>
    <nc r="C202" t="inlineStr">
      <is>
        <t>1.4</t>
      </is>
    </nc>
  </rcc>
  <rcc rId="9331" sId="1">
    <oc r="C203">
      <f>IF(B203="","",TEXT(B203,"0.0"))</f>
    </oc>
    <nc r="C203" t="inlineStr">
      <is>
        <t>1.5</t>
      </is>
    </nc>
  </rcc>
  <rcc rId="9332" sId="1">
    <oc r="C204">
      <f>IF(B204="","",TEXT(B204,"0.0"))</f>
    </oc>
    <nc r="C204" t="inlineStr">
      <is>
        <t>NA</t>
      </is>
    </nc>
  </rcc>
  <rcc rId="9333" sId="1">
    <oc r="C205">
      <f>IF(B205="","",TEXT(B205,"0.0"))</f>
    </oc>
    <nc r="C205" t="inlineStr">
      <is>
        <t>1.5</t>
      </is>
    </nc>
  </rcc>
  <rcc rId="9334" sId="1">
    <oc r="C206">
      <f>IF(B206="","",TEXT(B206,"0.0"))</f>
    </oc>
    <nc r="C206" t="inlineStr">
      <is>
        <t>1.4</t>
      </is>
    </nc>
  </rcc>
  <rcc rId="9335" sId="1">
    <oc r="C207">
      <f>IF(B207="","",TEXT(B207,"0.0"))</f>
    </oc>
    <nc r="C207" t="inlineStr">
      <is>
        <t>1.5</t>
      </is>
    </nc>
  </rcc>
  <rcc rId="9336" sId="1">
    <oc r="C208">
      <f>IF(B208="","",TEXT(B208,"0.0"))</f>
    </oc>
    <nc r="C208" t="inlineStr">
      <is>
        <t>1.4</t>
      </is>
    </nc>
  </rcc>
  <rcc rId="9337" sId="1">
    <oc r="C209">
      <f>IF(B209="","",TEXT(B209,"0.0"))</f>
    </oc>
    <nc r="C209" t="inlineStr">
      <is>
        <t>1.5</t>
      </is>
    </nc>
  </rcc>
  <rcc rId="9338" sId="1">
    <oc r="C210">
      <f>IF(B210="","",TEXT(B210,"0.0"))</f>
    </oc>
    <nc r="C210" t="inlineStr">
      <is>
        <t>1.4</t>
      </is>
    </nc>
  </rcc>
  <rcc rId="9339" sId="1">
    <oc r="C211">
      <f>IF(B211="","",TEXT(B211,"0.0"))</f>
    </oc>
    <nc r="C211" t="inlineStr">
      <is>
        <t>1.4</t>
      </is>
    </nc>
  </rcc>
  <rcc rId="9340" sId="1">
    <oc r="C212">
      <f>IF(B212="","",TEXT(B212,"0.0"))</f>
    </oc>
    <nc r="C212" t="inlineStr">
      <is>
        <t>1.5</t>
      </is>
    </nc>
  </rcc>
  <rcc rId="9341" sId="1">
    <oc r="C213">
      <f>IF(B213="","",TEXT(B213,"0.0"))</f>
    </oc>
    <nc r="C213" t="inlineStr">
      <is>
        <t>1.4</t>
      </is>
    </nc>
  </rcc>
  <rcc rId="9342" sId="1">
    <oc r="C214">
      <f>IF(B214="","",TEXT(B214,"0.0"))</f>
    </oc>
    <nc r="C214" t="inlineStr">
      <is>
        <t>1.4</t>
      </is>
    </nc>
  </rcc>
  <rcc rId="9343" sId="1">
    <oc r="C215">
      <f>IF(B215="","",TEXT(B215,"0.0"))</f>
    </oc>
    <nc r="C215" t="inlineStr">
      <is>
        <t>1.5</t>
      </is>
    </nc>
  </rcc>
  <rcc rId="9344" sId="1">
    <oc r="C216">
      <f>IF(B216="","",TEXT(B216,"0.0"))</f>
    </oc>
    <nc r="C216" t="inlineStr">
      <is>
        <t>1.5</t>
      </is>
    </nc>
  </rcc>
  <rcc rId="9345" sId="1">
    <oc r="C217">
      <f>IF(B217="","",TEXT(B217,"0.0"))</f>
    </oc>
    <nc r="C217" t="inlineStr">
      <is>
        <t>1.5</t>
      </is>
    </nc>
  </rcc>
  <rcc rId="9346" sId="1">
    <oc r="C218">
      <f>IF(B218="","",TEXT(B218,"0.0"))</f>
    </oc>
    <nc r="C218" t="inlineStr">
      <is>
        <t>1.4</t>
      </is>
    </nc>
  </rcc>
  <rcc rId="9347" sId="1">
    <oc r="C219">
      <f>IF(B219="","",TEXT(B219,"0.0"))</f>
    </oc>
    <nc r="C219" t="inlineStr">
      <is>
        <t>1.5</t>
      </is>
    </nc>
  </rcc>
  <rcc rId="9348" sId="1">
    <oc r="C220">
      <f>IF(B220="","",TEXT(B220,"0.0"))</f>
    </oc>
    <nc r="C220" t="inlineStr">
      <is>
        <t>1.4</t>
      </is>
    </nc>
  </rcc>
  <rcc rId="9349" sId="1">
    <oc r="C221">
      <f>IF(B221="","",TEXT(B221,"0.0"))</f>
    </oc>
    <nc r="C221" t="inlineStr">
      <is>
        <t>1.5</t>
      </is>
    </nc>
  </rcc>
  <rcc rId="9350" sId="1">
    <oc r="C222">
      <f>IF(B222="","",TEXT(B222,"0.0"))</f>
    </oc>
    <nc r="C222" t="inlineStr">
      <is>
        <t>1.4</t>
      </is>
    </nc>
  </rcc>
  <rcc rId="9351" sId="1">
    <oc r="C223">
      <f>IF(B223="","",TEXT(B223,"0.0"))</f>
    </oc>
    <nc r="C223" t="inlineStr">
      <is>
        <t>1.5</t>
      </is>
    </nc>
  </rcc>
  <rcc rId="9352" sId="1">
    <oc r="C224">
      <f>IF(B224="","",TEXT(B224,"0.0"))</f>
    </oc>
    <nc r="C224" t="inlineStr">
      <is>
        <t>1.5</t>
      </is>
    </nc>
  </rcc>
  <rcc rId="9353" sId="1">
    <oc r="C225">
      <f>IF(B225="","",TEXT(B225,"0.0"))</f>
    </oc>
    <nc r="C225" t="inlineStr">
      <is>
        <t>1.4</t>
      </is>
    </nc>
  </rcc>
  <rcc rId="9354" sId="1">
    <oc r="C226">
      <f>IF(B226="","",TEXT(B226,"0.0"))</f>
    </oc>
    <nc r="C226" t="inlineStr">
      <is>
        <t>NA</t>
      </is>
    </nc>
  </rcc>
  <rcc rId="9355" sId="1">
    <oc r="C227">
      <f>IF(B227="","",TEXT(B227,"0.0"))</f>
    </oc>
    <nc r="C227" t="inlineStr">
      <is>
        <t>1.5</t>
      </is>
    </nc>
  </rcc>
  <rcc rId="9356" sId="1">
    <oc r="C228">
      <f>IF(B228="","",TEXT(B228,"0.0"))</f>
    </oc>
    <nc r="C228" t="inlineStr">
      <is>
        <t>1.4</t>
      </is>
    </nc>
  </rcc>
  <rcc rId="9357" sId="1">
    <oc r="C229">
      <f>IF(B229="","",TEXT(B229,"0.0"))</f>
    </oc>
    <nc r="C229" t="inlineStr">
      <is>
        <t>1.5</t>
      </is>
    </nc>
  </rcc>
  <rcc rId="9358" sId="1">
    <oc r="C230">
      <f>IF(B230="","",TEXT(B230,"0.0"))</f>
    </oc>
    <nc r="C230" t="inlineStr">
      <is>
        <t>1.4</t>
      </is>
    </nc>
  </rcc>
  <rcc rId="9359" sId="1">
    <oc r="C231">
      <f>IF(B231="","",TEXT(B231,"0.0"))</f>
    </oc>
    <nc r="C231" t="inlineStr">
      <is>
        <t>1.5</t>
      </is>
    </nc>
  </rcc>
  <rcc rId="9360" sId="1">
    <oc r="C232">
      <f>IF(B232="","",TEXT(B232,"0.0"))</f>
    </oc>
    <nc r="C232" t="inlineStr">
      <is>
        <t>1.4</t>
      </is>
    </nc>
  </rcc>
  <rcc rId="9361" sId="1">
    <oc r="C233">
      <f>IF(B233="","",TEXT(B233,"0.0"))</f>
    </oc>
    <nc r="C233" t="inlineStr">
      <is>
        <t>1.5</t>
      </is>
    </nc>
  </rcc>
  <rcc rId="9362" sId="1">
    <oc r="C234">
      <f>IF(B234="","",TEXT(B234,"0.0"))</f>
    </oc>
    <nc r="C234" t="inlineStr">
      <is>
        <t>1.4</t>
      </is>
    </nc>
  </rcc>
  <rcc rId="9363" sId="1">
    <oc r="C235">
      <f>IF(B235="","",TEXT(B235,"0.0"))</f>
    </oc>
    <nc r="C235" t="inlineStr">
      <is>
        <t>1.5</t>
      </is>
    </nc>
  </rcc>
  <rcc rId="9364" sId="1">
    <oc r="C236">
      <f>IF(B236="","",TEXT(B236,"0.0"))</f>
    </oc>
    <nc r="C236" t="inlineStr">
      <is>
        <t>1.5</t>
      </is>
    </nc>
  </rcc>
  <rcc rId="9365" sId="1">
    <oc r="C237">
      <f>IF(B237="","",TEXT(B237,"0.0"))</f>
    </oc>
    <nc r="C237" t="inlineStr">
      <is>
        <t>1.4</t>
      </is>
    </nc>
  </rcc>
  <rcc rId="9366" sId="1">
    <oc r="C238">
      <f>IF(B238="","",TEXT(B238,"0.0"))</f>
    </oc>
    <nc r="C238" t="inlineStr">
      <is>
        <t>1.4</t>
      </is>
    </nc>
  </rcc>
  <rcc rId="9367" sId="1">
    <oc r="C239">
      <f>IF(B239="","",TEXT(B239,"0.0"))</f>
    </oc>
    <nc r="C239" t="inlineStr">
      <is>
        <t>1.5</t>
      </is>
    </nc>
  </rcc>
  <rcc rId="9368" sId="1">
    <oc r="C240">
      <f>IF(B240="","",TEXT(B240,"0.0"))</f>
    </oc>
    <nc r="C240" t="inlineStr">
      <is>
        <t>1.4</t>
      </is>
    </nc>
  </rcc>
  <rcc rId="9369" sId="1">
    <oc r="C241">
      <f>IF(B241="","",TEXT(B241,"0.0"))</f>
    </oc>
    <nc r="C241" t="inlineStr">
      <is>
        <t>1.5</t>
      </is>
    </nc>
  </rcc>
  <rcc rId="9370" sId="1">
    <oc r="C242">
      <f>IF(B242="","",TEXT(B242,"0.0"))</f>
    </oc>
    <nc r="C242" t="inlineStr">
      <is>
        <t>1.4</t>
      </is>
    </nc>
  </rcc>
  <rcc rId="9371" sId="1">
    <oc r="C243">
      <f>IF(B243="","",TEXT(B243,"0.0"))</f>
    </oc>
    <nc r="C243" t="inlineStr">
      <is>
        <t>1.4</t>
      </is>
    </nc>
  </rcc>
  <rcc rId="9372" sId="1">
    <oc r="C244">
      <f>IF(B244="","",TEXT(B244,"0.0"))</f>
    </oc>
    <nc r="C244" t="inlineStr">
      <is>
        <t>1.4</t>
      </is>
    </nc>
  </rcc>
  <rcc rId="9373" sId="1">
    <oc r="C245">
      <f>IF(B245="","",TEXT(B245,"0.0"))</f>
    </oc>
    <nc r="C245" t="inlineStr">
      <is>
        <t>1.4</t>
      </is>
    </nc>
  </rcc>
  <rcc rId="9374" sId="1">
    <oc r="C246">
      <f>IF(B246="","",TEXT(B246,"0.0"))</f>
    </oc>
    <nc r="C246" t="inlineStr">
      <is>
        <t>1.4</t>
      </is>
    </nc>
  </rcc>
  <rcc rId="9375" sId="1">
    <oc r="C247">
      <f>IF(B247="","",TEXT(B247,"0.0"))</f>
    </oc>
    <nc r="C247" t="inlineStr">
      <is>
        <t>1.4</t>
      </is>
    </nc>
  </rcc>
  <rcc rId="9376" sId="1">
    <oc r="C248">
      <f>IF(B248="","",TEXT(B248,"0.0"))</f>
    </oc>
    <nc r="C248" t="inlineStr">
      <is>
        <t>1.4</t>
      </is>
    </nc>
  </rcc>
  <rcc rId="9377" sId="1">
    <oc r="C249">
      <f>IF(B249="","",TEXT(B249,"0.0"))</f>
    </oc>
    <nc r="C249" t="inlineStr">
      <is>
        <t>1.4</t>
      </is>
    </nc>
  </rcc>
  <rcc rId="9378" sId="1">
    <oc r="C250">
      <f>IF(B250="","",TEXT(B250,"0.0"))</f>
    </oc>
    <nc r="C250" t="inlineStr">
      <is>
        <t>1.4</t>
      </is>
    </nc>
  </rcc>
  <rcc rId="9379" sId="1">
    <oc r="C251">
      <f>IF(B251="","",TEXT(B251,"0.0"))</f>
    </oc>
    <nc r="C251" t="inlineStr">
      <is>
        <t>1.4</t>
      </is>
    </nc>
  </rcc>
  <rcc rId="9380" sId="1">
    <oc r="C252">
      <f>IF(B252="","",TEXT(B252,"0.0"))</f>
    </oc>
    <nc r="C252" t="inlineStr">
      <is>
        <t>1.4</t>
      </is>
    </nc>
  </rcc>
  <rcc rId="9381" sId="1">
    <oc r="C253">
      <f>IF(B253="","",TEXT(B253,"0.0"))</f>
    </oc>
    <nc r="C253" t="inlineStr">
      <is>
        <t>1.4</t>
      </is>
    </nc>
  </rcc>
  <rcc rId="9382" sId="1">
    <oc r="C254">
      <f>IF(B254="","",TEXT(B254,"0.0"))</f>
    </oc>
    <nc r="C254" t="inlineStr">
      <is>
        <t>1.4</t>
      </is>
    </nc>
  </rcc>
  <rcc rId="9383" sId="1">
    <oc r="C255">
      <f>IF(B255="","",TEXT(B255,"0.0"))</f>
    </oc>
    <nc r="C255" t="inlineStr">
      <is>
        <t>1.4</t>
      </is>
    </nc>
  </rcc>
  <rcc rId="9384" sId="1">
    <oc r="C256">
      <f>IF(B256="","",TEXT(B256,"0.0"))</f>
    </oc>
    <nc r="C256" t="inlineStr">
      <is>
        <t>1.4</t>
      </is>
    </nc>
  </rcc>
  <rcc rId="9385" sId="1">
    <oc r="C257">
      <f>IF(B257="","",TEXT(B257,"0.0"))</f>
    </oc>
    <nc r="C257" t="inlineStr">
      <is>
        <t>1.4</t>
      </is>
    </nc>
  </rcc>
  <rcc rId="9386" sId="1">
    <oc r="C258">
      <f>IF(B258="","",TEXT(B258,"0.0"))</f>
    </oc>
    <nc r="C258" t="inlineStr">
      <is>
        <t>1.4</t>
      </is>
    </nc>
  </rcc>
  <rcc rId="9387" sId="1">
    <oc r="C259">
      <f>IF(B259="","",TEXT(B259,"0.0"))</f>
    </oc>
    <nc r="C259" t="inlineStr">
      <is>
        <t>1.4</t>
      </is>
    </nc>
  </rcc>
  <rcc rId="9388" sId="1">
    <oc r="C260">
      <f>IF(B260="","",TEXT(B260,"0.0"))</f>
    </oc>
    <nc r="C260" t="inlineStr">
      <is>
        <t>1.4</t>
      </is>
    </nc>
  </rcc>
  <rcc rId="9389" sId="1">
    <oc r="C261">
      <f>IF(B261="","",TEXT(B261,"0.0"))</f>
    </oc>
    <nc r="C261" t="inlineStr">
      <is>
        <t>1.4</t>
      </is>
    </nc>
  </rcc>
  <rcc rId="9390" sId="1">
    <oc r="C262">
      <f>IF(B262="","",TEXT(B262,"0.0"))</f>
    </oc>
    <nc r="C262" t="inlineStr">
      <is>
        <t>1.4</t>
      </is>
    </nc>
  </rcc>
  <rcc rId="9391" sId="1">
    <oc r="C263">
      <f>IF(B263="","",TEXT(B263,"0.0"))</f>
    </oc>
    <nc r="C263" t="inlineStr">
      <is>
        <t>1.4</t>
      </is>
    </nc>
  </rcc>
  <rcc rId="9392" sId="1">
    <oc r="C264">
      <f>IF(B264="","",TEXT(B264,"0.0"))</f>
    </oc>
    <nc r="C264" t="inlineStr">
      <is>
        <t>1.4</t>
      </is>
    </nc>
  </rcc>
  <rcc rId="9393" sId="1">
    <oc r="C265">
      <f>IF(B265="","",TEXT(B265,"0.0"))</f>
    </oc>
    <nc r="C265" t="inlineStr">
      <is>
        <t>1.4</t>
      </is>
    </nc>
  </rcc>
  <rcc rId="9394" sId="1">
    <oc r="C266">
      <f>IF(B266="","",TEXT(B266,"0.0"))</f>
    </oc>
    <nc r="C266" t="inlineStr">
      <is>
        <t>1.4</t>
      </is>
    </nc>
  </rcc>
  <rcc rId="9395" sId="1">
    <oc r="C267">
      <f>IF(B267="","",TEXT(B267,"0.0"))</f>
    </oc>
    <nc r="C267" t="inlineStr">
      <is>
        <t>1.4</t>
      </is>
    </nc>
  </rcc>
  <rcc rId="9396" sId="1">
    <oc r="C268">
      <f>IF(B268="","",TEXT(B268,"0.0"))</f>
    </oc>
    <nc r="C268" t="inlineStr">
      <is>
        <t>1.4</t>
      </is>
    </nc>
  </rcc>
  <rcc rId="9397" sId="1">
    <oc r="C269">
      <f>IF(B269="","",TEXT(B269,"0.0"))</f>
    </oc>
    <nc r="C269" t="inlineStr">
      <is>
        <t>1.4</t>
      </is>
    </nc>
  </rcc>
  <rcc rId="9398" sId="1">
    <oc r="C270">
      <f>IF(B270="","",TEXT(B270,"0.0"))</f>
    </oc>
    <nc r="C270" t="inlineStr">
      <is>
        <t>1.4</t>
      </is>
    </nc>
  </rcc>
  <rcc rId="9399" sId="1">
    <oc r="C271">
      <f>IF(B271="","",TEXT(B271,"0.0"))</f>
    </oc>
    <nc r="C271" t="inlineStr">
      <is>
        <t>1.4</t>
      </is>
    </nc>
  </rcc>
  <rcc rId="9400" sId="1">
    <oc r="C272">
      <f>IF(B272="","",TEXT(B272,"0.0"))</f>
    </oc>
    <nc r="C272" t="inlineStr">
      <is>
        <t>1.4</t>
      </is>
    </nc>
  </rcc>
  <rcc rId="9401" sId="1">
    <oc r="C273">
      <f>IF(B273="","",TEXT(B273,"0.0"))</f>
    </oc>
    <nc r="C273" t="inlineStr">
      <is>
        <t>1.4</t>
      </is>
    </nc>
  </rcc>
  <rcc rId="9402" sId="1">
    <oc r="C274">
      <f>IF(B274="","",TEXT(B274,"0.0"))</f>
    </oc>
    <nc r="C274" t="inlineStr">
      <is>
        <t>1.4</t>
      </is>
    </nc>
  </rcc>
  <rcc rId="9403" sId="1">
    <oc r="C275">
      <f>IF(B275="","",TEXT(B275,"0.0"))</f>
    </oc>
    <nc r="C275" t="inlineStr">
      <is>
        <t>1.4</t>
      </is>
    </nc>
  </rcc>
  <rcc rId="9404" sId="1">
    <oc r="C276">
      <f>IF(B276="","",TEXT(B276,"0.0"))</f>
    </oc>
    <nc r="C276" t="inlineStr">
      <is>
        <t>1.4</t>
      </is>
    </nc>
  </rcc>
  <rcc rId="9405" sId="1">
    <oc r="C277">
      <f>IF(B277="","",TEXT(B277,"0.0"))</f>
    </oc>
    <nc r="C277" t="inlineStr">
      <is>
        <t>1.4</t>
      </is>
    </nc>
  </rcc>
  <rcc rId="9406" sId="1">
    <oc r="C278">
      <f>IF(B278="","",TEXT(B278,"0.0"))</f>
    </oc>
    <nc r="C278" t="inlineStr">
      <is>
        <t>1.4</t>
      </is>
    </nc>
  </rcc>
  <rcc rId="9407" sId="1">
    <oc r="C279">
      <f>IF(B279="","",TEXT(B279,"0.0"))</f>
    </oc>
    <nc r="C279" t="inlineStr">
      <is>
        <t>1.4</t>
      </is>
    </nc>
  </rcc>
  <rcc rId="9408" sId="1">
    <oc r="C280">
      <f>IF(B280="","",TEXT(B280,"0.0"))</f>
    </oc>
    <nc r="C280" t="inlineStr">
      <is>
        <t>1.4</t>
      </is>
    </nc>
  </rcc>
  <rcc rId="9409" sId="1">
    <oc r="C281">
      <f>IF(B281="","",TEXT(B281,"0.0"))</f>
    </oc>
    <nc r="C281" t="inlineStr">
      <is>
        <t>1.4</t>
      </is>
    </nc>
  </rcc>
  <rcc rId="9410" sId="1">
    <oc r="C282">
      <f>IF(B282="","",TEXT(B282,"0.0"))</f>
    </oc>
    <nc r="C282" t="inlineStr">
      <is>
        <t>1.4</t>
      </is>
    </nc>
  </rcc>
  <rcc rId="9411" sId="1">
    <oc r="C283">
      <f>IF(B283="","",TEXT(B283,"0.0"))</f>
    </oc>
    <nc r="C283" t="inlineStr">
      <is>
        <t>1.4</t>
      </is>
    </nc>
  </rcc>
  <rcc rId="9412" sId="1">
    <oc r="C284">
      <f>IF(B284="","",TEXT(B284,"0.0"))</f>
    </oc>
    <nc r="C284" t="inlineStr">
      <is>
        <t>1.4</t>
      </is>
    </nc>
  </rcc>
  <rcc rId="9413" sId="1">
    <oc r="C285">
      <f>IF(B285="","",TEXT(B285,"0.0"))</f>
    </oc>
    <nc r="C285" t="inlineStr">
      <is>
        <t>1.4</t>
      </is>
    </nc>
  </rcc>
  <rcc rId="9414" sId="1">
    <oc r="C286">
      <f>IF(B286="","",TEXT(B286,"0.0"))</f>
    </oc>
    <nc r="C286" t="inlineStr">
      <is>
        <t>1.4</t>
      </is>
    </nc>
  </rcc>
  <rcc rId="9415" sId="1">
    <oc r="C287">
      <f>IF(B287="","",TEXT(B287,"0.0"))</f>
    </oc>
    <nc r="C287" t="inlineStr">
      <is>
        <t>1.4</t>
      </is>
    </nc>
  </rcc>
  <rcc rId="9416" sId="1">
    <oc r="C288">
      <f>IF(B288="","",TEXT(B288,"0.0"))</f>
    </oc>
    <nc r="C288" t="inlineStr">
      <is>
        <t>1.4</t>
      </is>
    </nc>
  </rcc>
  <rcc rId="9417" sId="1">
    <oc r="C289">
      <f>IF(B289="","",TEXT(B289,"0.0"))</f>
    </oc>
    <nc r="C289" t="inlineStr">
      <is>
        <t>1.4</t>
      </is>
    </nc>
  </rcc>
  <rcc rId="9418" sId="1">
    <oc r="C290">
      <f>IF(B290="","",TEXT(B290,"0.0"))</f>
    </oc>
    <nc r="C290" t="inlineStr">
      <is>
        <t>1.4</t>
      </is>
    </nc>
  </rcc>
  <rcc rId="9419" sId="1">
    <oc r="C291">
      <f>IF(B291="","",TEXT(B291,"0.0"))</f>
    </oc>
    <nc r="C291" t="inlineStr">
      <is>
        <t>1.4</t>
      </is>
    </nc>
  </rcc>
  <rcc rId="9420" sId="1">
    <oc r="C292">
      <f>IF(B292="","",TEXT(B292,"0.0"))</f>
    </oc>
    <nc r="C292" t="inlineStr">
      <is>
        <t>1.4</t>
      </is>
    </nc>
  </rcc>
  <rcc rId="9421" sId="1">
    <oc r="C293">
      <f>IF(B293="","",TEXT(B293,"0.0"))</f>
    </oc>
    <nc r="C293" t="inlineStr">
      <is>
        <t>1.4</t>
      </is>
    </nc>
  </rcc>
  <rcc rId="9422" sId="1">
    <oc r="C294">
      <f>IF(B294="","",TEXT(B294,"0.0"))</f>
    </oc>
    <nc r="C294" t="inlineStr">
      <is>
        <t>1.4</t>
      </is>
    </nc>
  </rcc>
  <rcc rId="9423" sId="1">
    <oc r="C295">
      <f>IF(B295="","",TEXT(B295,"0.0"))</f>
    </oc>
    <nc r="C295" t="inlineStr">
      <is>
        <t>1.4</t>
      </is>
    </nc>
  </rcc>
  <rcc rId="9424" sId="1">
    <oc r="C296">
      <f>IF(B296="","",TEXT(B296,"0.0"))</f>
    </oc>
    <nc r="C296" t="inlineStr">
      <is>
        <t>1.4</t>
      </is>
    </nc>
  </rcc>
  <rcc rId="9425" sId="1">
    <oc r="C297">
      <f>IF(B297="","",TEXT(B297,"0.0"))</f>
    </oc>
    <nc r="C297" t="inlineStr">
      <is>
        <t>1.4</t>
      </is>
    </nc>
  </rcc>
  <rcc rId="9426" sId="1">
    <oc r="C298">
      <f>IF(B298="","",TEXT(B298,"0.0"))</f>
    </oc>
    <nc r="C298" t="inlineStr">
      <is>
        <t>1.4</t>
      </is>
    </nc>
  </rcc>
  <rcc rId="9427" sId="1">
    <oc r="C299">
      <f>IF(B299="","",TEXT(B299,"0.0"))</f>
    </oc>
    <nc r="C299" t="inlineStr">
      <is>
        <t>1.4</t>
      </is>
    </nc>
  </rcc>
  <rcc rId="9428" sId="1">
    <oc r="C300">
      <f>IF(B300="","",TEXT(B300,"0.0"))</f>
    </oc>
    <nc r="C300" t="inlineStr">
      <is>
        <t>1.4</t>
      </is>
    </nc>
  </rcc>
  <rcc rId="9429" sId="1">
    <oc r="C301">
      <f>IF(B301="","",TEXT(B301,"0.0"))</f>
    </oc>
    <nc r="C301" t="inlineStr">
      <is>
        <t>1.4</t>
      </is>
    </nc>
  </rcc>
  <rcc rId="9430" sId="1">
    <oc r="C302">
      <f>IF(B302="","",TEXT(B302,"0.0"))</f>
    </oc>
    <nc r="C302" t="inlineStr">
      <is>
        <t>1.4</t>
      </is>
    </nc>
  </rcc>
  <rcc rId="9431" sId="1">
    <oc r="C303">
      <f>IF(B303="","",TEXT(B303,"0.0"))</f>
    </oc>
    <nc r="C303" t="inlineStr">
      <is>
        <t>1.4</t>
      </is>
    </nc>
  </rcc>
  <rcc rId="9432" sId="1">
    <oc r="C304">
      <f>IF(B304="","",TEXT(B304,"0.0"))</f>
    </oc>
    <nc r="C304" t="inlineStr">
      <is>
        <t>1.4</t>
      </is>
    </nc>
  </rcc>
  <rcc rId="9433" sId="1">
    <oc r="C305">
      <f>IF(B305="","",TEXT(B305,"0.0"))</f>
    </oc>
    <nc r="C305" t="inlineStr">
      <is>
        <t>1.4</t>
      </is>
    </nc>
  </rcc>
  <rcc rId="9434" sId="1">
    <oc r="C306">
      <f>IF(B306="","",TEXT(B306,"0.0"))</f>
    </oc>
    <nc r="C306" t="inlineStr">
      <is>
        <t>1.4</t>
      </is>
    </nc>
  </rcc>
  <rcc rId="9435" sId="1">
    <oc r="C307">
      <f>IF(B307="","",TEXT(B307,"0.0"))</f>
    </oc>
    <nc r="C307" t="inlineStr">
      <is>
        <t>1.4</t>
      </is>
    </nc>
  </rcc>
  <rcc rId="9436" sId="1">
    <oc r="C308">
      <f>IF(B308="","",TEXT(B308,"0.0"))</f>
    </oc>
    <nc r="C308" t="inlineStr">
      <is>
        <t>1.4</t>
      </is>
    </nc>
  </rcc>
  <rcc rId="9437" sId="1">
    <oc r="C309">
      <f>IF(B309="","",TEXT(B309,"0.0"))</f>
    </oc>
    <nc r="C309" t="inlineStr">
      <is>
        <t>1.4</t>
      </is>
    </nc>
  </rcc>
  <rcc rId="9438" sId="1">
    <oc r="C310">
      <f>IF(B310="","",TEXT(B310,"0.0"))</f>
    </oc>
    <nc r="C310" t="inlineStr">
      <is>
        <t>1.4</t>
      </is>
    </nc>
  </rcc>
  <rcc rId="9439" sId="1">
    <oc r="C311">
      <f>IF(B311="","",TEXT(B311,"0.0"))</f>
    </oc>
    <nc r="C311" t="inlineStr">
      <is>
        <t>1.4</t>
      </is>
    </nc>
  </rcc>
  <rcc rId="9440" sId="1">
    <oc r="C312">
      <f>IF(B312="","",TEXT(B312,"0.0"))</f>
    </oc>
    <nc r="C312" t="inlineStr">
      <is>
        <t>1.4</t>
      </is>
    </nc>
  </rcc>
  <rcc rId="9441" sId="1">
    <oc r="C313">
      <f>IF(B313="","",TEXT(B313,"0.0"))</f>
    </oc>
    <nc r="C313" t="inlineStr">
      <is>
        <t>1.4</t>
      </is>
    </nc>
  </rcc>
  <rcc rId="9442" sId="1">
    <oc r="C314">
      <f>IF(B314="","",TEXT(B314,"0.0"))</f>
    </oc>
    <nc r="C314" t="inlineStr">
      <is>
        <t>1.4</t>
      </is>
    </nc>
  </rcc>
  <rcc rId="9443" sId="1">
    <oc r="C315">
      <f>IF(B315="","",TEXT(B315,"0.0"))</f>
    </oc>
    <nc r="C315" t="inlineStr">
      <is>
        <t>1.4</t>
      </is>
    </nc>
  </rcc>
  <rcc rId="9444" sId="1">
    <oc r="C316">
      <f>IF(B316="","",TEXT(B316,"0.0"))</f>
    </oc>
    <nc r="C316" t="inlineStr">
      <is>
        <t>1.4</t>
      </is>
    </nc>
  </rcc>
  <rcc rId="9445" sId="1">
    <oc r="C317">
      <f>IF(B317="","",TEXT(B317,"0.0"))</f>
    </oc>
    <nc r="C317" t="inlineStr">
      <is>
        <t>1.4</t>
      </is>
    </nc>
  </rcc>
  <rcc rId="9446" sId="1">
    <oc r="C318">
      <f>IF(B318="","",TEXT(B318,"0.0"))</f>
    </oc>
    <nc r="C318" t="inlineStr">
      <is>
        <t>1.4</t>
      </is>
    </nc>
  </rcc>
  <rcc rId="9447" sId="1">
    <oc r="C319">
      <f>IF(B319="","",TEXT(B319,"0.0"))</f>
    </oc>
    <nc r="C319" t="inlineStr">
      <is>
        <t>1.4</t>
      </is>
    </nc>
  </rcc>
  <rcc rId="9448" sId="1">
    <oc r="C320">
      <f>IF(B320="","",TEXT(B320,"0.0"))</f>
    </oc>
    <nc r="C320" t="inlineStr">
      <is>
        <t>1.4</t>
      </is>
    </nc>
  </rcc>
  <rcc rId="9449" sId="1">
    <oc r="C321">
      <f>IF(B321="","",TEXT(B321,"0.0"))</f>
    </oc>
    <nc r="C321" t="inlineStr">
      <is>
        <t>1.4</t>
      </is>
    </nc>
  </rcc>
  <rcc rId="9450" sId="1">
    <oc r="C322">
      <f>IF(B322="","",TEXT(B322,"0.0"))</f>
    </oc>
    <nc r="C322" t="inlineStr">
      <is>
        <t>1.4</t>
      </is>
    </nc>
  </rcc>
  <rcc rId="9451" sId="1">
    <oc r="C323">
      <f>IF(B323="","",TEXT(B323,"0.0"))</f>
    </oc>
    <nc r="C323" t="inlineStr">
      <is>
        <t>1.4</t>
      </is>
    </nc>
  </rcc>
  <rcc rId="9452" sId="1">
    <oc r="C324">
      <f>IF(B324="","",TEXT(B324,"0.0"))</f>
    </oc>
    <nc r="C324" t="inlineStr">
      <is>
        <t>1.4</t>
      </is>
    </nc>
  </rcc>
  <rcc rId="9453" sId="1">
    <oc r="C325">
      <f>IF(B325="","",TEXT(B325,"0.0"))</f>
    </oc>
    <nc r="C325" t="inlineStr">
      <is>
        <t>1.4</t>
      </is>
    </nc>
  </rcc>
  <rcc rId="9454" sId="1">
    <oc r="C326">
      <f>IF(B326="","",TEXT(B326,"0.0"))</f>
    </oc>
    <nc r="C326" t="inlineStr">
      <is>
        <t>1.4</t>
      </is>
    </nc>
  </rcc>
  <rcc rId="9455" sId="1">
    <oc r="C327">
      <f>IF(B327="","",TEXT(B327,"0.0"))</f>
    </oc>
    <nc r="C327" t="inlineStr">
      <is>
        <t/>
      </is>
    </nc>
  </rcc>
  <rcc rId="9456" sId="1">
    <oc r="C328">
      <f>IF(B328="","",TEXT(B328,"0.0"))</f>
    </oc>
    <nc r="C328" t="inlineStr">
      <is>
        <t>1.4</t>
      </is>
    </nc>
  </rcc>
  <rcc rId="9457" sId="1">
    <oc r="C329">
      <f>IF(B329="","",TEXT(B329,"0.0"))</f>
    </oc>
    <nc r="C329" t="inlineStr">
      <is>
        <t>1.4</t>
      </is>
    </nc>
  </rcc>
  <rcc rId="9458" sId="1">
    <oc r="C330">
      <f>IF(B330="","",TEXT(B330,"0.0"))</f>
    </oc>
    <nc r="C330" t="inlineStr">
      <is>
        <t>1.4</t>
      </is>
    </nc>
  </rcc>
  <rcc rId="9459" sId="1">
    <oc r="C331">
      <f>IF(B331="","",TEXT(B331,"0.0"))</f>
    </oc>
    <nc r="C331" t="inlineStr">
      <is>
        <t>1.4</t>
      </is>
    </nc>
  </rcc>
  <rcc rId="9460" sId="1">
    <oc r="C332">
      <f>IF(B332="","",TEXT(B332,"0.0"))</f>
    </oc>
    <nc r="C332" t="inlineStr">
      <is>
        <t>1.4</t>
      </is>
    </nc>
  </rcc>
  <rcc rId="9461" sId="1">
    <oc r="C333">
      <f>IF(B333="","",TEXT(B333,"0.0"))</f>
    </oc>
    <nc r="C333" t="inlineStr">
      <is>
        <t>1.4</t>
      </is>
    </nc>
  </rcc>
  <rcc rId="9462" sId="1">
    <oc r="C334">
      <f>IF(B334="","",TEXT(B334,"0.0"))</f>
    </oc>
    <nc r="C334" t="inlineStr">
      <is>
        <t>1.4</t>
      </is>
    </nc>
  </rcc>
  <rcc rId="9463" sId="1">
    <oc r="C335">
      <f>IF(B335="","",TEXT(B335,"0.0"))</f>
    </oc>
    <nc r="C335" t="inlineStr">
      <is>
        <t>1.4</t>
      </is>
    </nc>
  </rcc>
  <rcc rId="9464" sId="1">
    <oc r="C336">
      <f>IF(B336="","",TEXT(B336,"0.0"))</f>
    </oc>
    <nc r="C336" t="inlineStr">
      <is>
        <t>1.4</t>
      </is>
    </nc>
  </rcc>
  <rcc rId="9465" sId="1">
    <oc r="C337">
      <f>IF(B337="","",TEXT(B337,"0.0"))</f>
    </oc>
    <nc r="C337" t="inlineStr">
      <is>
        <t>1.4</t>
      </is>
    </nc>
  </rcc>
  <rcc rId="9466" sId="1">
    <oc r="C338">
      <f>IF(B338="","",TEXT(B338,"0.0"))</f>
    </oc>
    <nc r="C338" t="inlineStr">
      <is>
        <t>1.4</t>
      </is>
    </nc>
  </rcc>
  <rrc rId="9467" sId="1" ref="B1:B1048576" action="deleteCol">
    <rfmt sheetId="1" xfDxf="1" sqref="B1:B1048576" start="0" length="0">
      <dxf>
        <alignment horizontal="left"/>
      </dxf>
    </rfmt>
    <rcc rId="0" sId="1">
      <nc r="B1" t="inlineStr">
        <is>
          <t>nest</t>
        </is>
      </nc>
    </rcc>
    <rcc rId="0" sId="1">
      <nc r="B2">
        <v>1.2</v>
      </nc>
    </rcc>
    <rcc rId="0" sId="1">
      <nc r="B3">
        <v>1.1000000000000001</v>
      </nc>
    </rcc>
    <rcc rId="0" sId="1">
      <nc r="B4">
        <v>1.2</v>
      </nc>
    </rcc>
    <rcc rId="0" sId="1">
      <nc r="B5">
        <v>1.2</v>
      </nc>
    </rcc>
    <rcc rId="0" sId="1">
      <nc r="B6">
        <v>1.2</v>
      </nc>
    </rcc>
    <rcc rId="0" sId="1">
      <nc r="B7">
        <v>1.2</v>
      </nc>
    </rcc>
    <rcc rId="0" sId="1">
      <nc r="B8">
        <v>1.2</v>
      </nc>
    </rcc>
    <rcc rId="0" sId="1">
      <nc r="B9">
        <v>1.2</v>
      </nc>
    </rcc>
    <rcc rId="0" sId="1">
      <nc r="B10">
        <v>1.2</v>
      </nc>
    </rcc>
    <rcc rId="0" sId="1">
      <nc r="B11">
        <v>1.2</v>
      </nc>
    </rcc>
    <rcc rId="0" sId="1">
      <nc r="B12">
        <v>1.2</v>
      </nc>
    </rcc>
    <rcc rId="0" sId="1">
      <nc r="B13">
        <v>1.2</v>
      </nc>
    </rcc>
    <rcc rId="0" sId="1">
      <nc r="B14">
        <v>1.2</v>
      </nc>
    </rcc>
    <rcc rId="0" sId="1">
      <nc r="B15">
        <v>1.2</v>
      </nc>
    </rcc>
    <rcc rId="0" sId="1">
      <nc r="B16">
        <v>1.2</v>
      </nc>
    </rcc>
    <rcc rId="0" sId="1">
      <nc r="B17">
        <v>1.2</v>
      </nc>
    </rcc>
    <rcc rId="0" sId="1">
      <nc r="B18">
        <v>1.2</v>
      </nc>
    </rcc>
    <rcc rId="0" sId="1">
      <nc r="B19">
        <v>1.2</v>
      </nc>
    </rcc>
    <rcc rId="0" sId="1">
      <nc r="B20">
        <v>1.2</v>
      </nc>
    </rcc>
    <rcc rId="0" sId="1">
      <nc r="B21">
        <v>1.2</v>
      </nc>
    </rcc>
    <rcc rId="0" sId="1">
      <nc r="B22">
        <v>1.2</v>
      </nc>
    </rcc>
    <rcc rId="0" sId="1">
      <nc r="B23">
        <v>1.2</v>
      </nc>
    </rcc>
    <rcc rId="0" sId="1">
      <nc r="B24">
        <v>1.2</v>
      </nc>
    </rcc>
    <rcc rId="0" sId="1">
      <nc r="B25">
        <v>1.2</v>
      </nc>
    </rcc>
    <rcc rId="0" sId="1">
      <nc r="B26">
        <v>1.2</v>
      </nc>
    </rcc>
    <rcc rId="0" sId="1">
      <nc r="B27">
        <v>1.2</v>
      </nc>
    </rcc>
    <rcc rId="0" sId="1">
      <nc r="B28">
        <v>1.2</v>
      </nc>
    </rcc>
    <rcc rId="0" sId="1">
      <nc r="B29">
        <v>1.2</v>
      </nc>
    </rcc>
    <rcc rId="0" sId="1">
      <nc r="B30">
        <v>1.2</v>
      </nc>
    </rcc>
    <rcc rId="0" sId="1">
      <nc r="B31">
        <v>1.2</v>
      </nc>
    </rcc>
    <rcc rId="0" sId="1">
      <nc r="B32">
        <v>1.2</v>
      </nc>
    </rcc>
    <rcc rId="0" sId="1">
      <nc r="B33">
        <v>1.2</v>
      </nc>
    </rcc>
    <rcc rId="0" sId="1">
      <nc r="B34">
        <v>1.2</v>
      </nc>
    </rcc>
    <rcc rId="0" sId="1">
      <nc r="B35">
        <v>1.2</v>
      </nc>
    </rcc>
    <rcc rId="0" sId="1">
      <nc r="B36">
        <v>1.2</v>
      </nc>
    </rcc>
    <rcc rId="0" sId="1">
      <nc r="B37">
        <v>1.2</v>
      </nc>
    </rcc>
    <rcc rId="0" sId="1">
      <nc r="B38">
        <v>1.2</v>
      </nc>
    </rcc>
    <rcc rId="0" sId="1">
      <nc r="B39">
        <v>1.2</v>
      </nc>
    </rcc>
    <rcc rId="0" sId="1">
      <nc r="B40">
        <v>1.2</v>
      </nc>
    </rcc>
    <rcc rId="0" sId="1">
      <nc r="B41">
        <v>1.2</v>
      </nc>
    </rcc>
    <rcc rId="0" sId="1">
      <nc r="B42">
        <v>1.2</v>
      </nc>
    </rcc>
    <rcc rId="0" sId="1">
      <nc r="B43">
        <v>1.2</v>
      </nc>
    </rcc>
    <rcc rId="0" sId="1">
      <nc r="B44">
        <v>1.2</v>
      </nc>
    </rcc>
    <rcc rId="0" sId="1">
      <nc r="B45">
        <v>1.2</v>
      </nc>
    </rcc>
    <rcc rId="0" sId="1">
      <nc r="B46">
        <v>1.2</v>
      </nc>
    </rcc>
    <rcc rId="0" sId="1">
      <nc r="B47">
        <v>1.2</v>
      </nc>
    </rcc>
    <rcc rId="0" sId="1">
      <nc r="B48">
        <v>1.2</v>
      </nc>
    </rcc>
    <rcc rId="0" sId="1">
      <nc r="B49">
        <v>1.2</v>
      </nc>
    </rcc>
    <rcc rId="0" sId="1">
      <nc r="B50">
        <v>1.2</v>
      </nc>
    </rcc>
    <rcc rId="0" sId="1">
      <nc r="B51">
        <v>1.2</v>
      </nc>
    </rcc>
    <rcc rId="0" sId="1">
      <nc r="B52">
        <v>1.2</v>
      </nc>
    </rcc>
    <rcc rId="0" sId="1">
      <nc r="B53">
        <v>1.2</v>
      </nc>
    </rcc>
    <rcc rId="0" sId="1">
      <nc r="B54">
        <v>1.2</v>
      </nc>
    </rcc>
    <rcc rId="0" sId="1">
      <nc r="B55">
        <v>1.2</v>
      </nc>
    </rcc>
    <rcc rId="0" sId="1">
      <nc r="B56">
        <v>1.2</v>
      </nc>
    </rcc>
    <rcc rId="0" sId="1">
      <nc r="B57">
        <v>1.2</v>
      </nc>
    </rcc>
    <rcc rId="0" sId="1">
      <nc r="B58">
        <v>1.2</v>
      </nc>
    </rcc>
    <rcc rId="0" sId="1">
      <nc r="B59">
        <v>1.2</v>
      </nc>
    </rcc>
    <rcc rId="0" sId="1">
      <nc r="B60">
        <v>1.2</v>
      </nc>
    </rcc>
    <rcc rId="0" sId="1">
      <nc r="B61">
        <v>1.2</v>
      </nc>
    </rcc>
    <rcc rId="0" sId="1">
      <nc r="B62">
        <v>1.2</v>
      </nc>
    </rcc>
    <rcc rId="0" sId="1">
      <nc r="B63">
        <v>1.2</v>
      </nc>
    </rcc>
    <rcc rId="0" sId="1">
      <nc r="B64">
        <v>1.2</v>
      </nc>
    </rcc>
    <rcc rId="0" sId="1">
      <nc r="B65">
        <v>1.2</v>
      </nc>
    </rcc>
    <rcc rId="0" sId="1">
      <nc r="B66">
        <v>1.2</v>
      </nc>
    </rcc>
    <rcc rId="0" sId="1">
      <nc r="B67">
        <v>1.2</v>
      </nc>
    </rcc>
    <rcc rId="0" sId="1">
      <nc r="B68">
        <v>1.2</v>
      </nc>
    </rcc>
    <rcc rId="0" sId="1">
      <nc r="B69">
        <v>1.2</v>
      </nc>
    </rcc>
    <rcc rId="0" sId="1">
      <nc r="B70">
        <v>1.2</v>
      </nc>
    </rcc>
    <rcc rId="0" sId="1">
      <nc r="B71">
        <v>1.2</v>
      </nc>
    </rcc>
    <rcc rId="0" sId="1">
      <nc r="B72">
        <v>1.2</v>
      </nc>
    </rcc>
    <rcc rId="0" sId="1">
      <nc r="B73">
        <v>1.2</v>
      </nc>
    </rcc>
    <rcc rId="0" sId="1">
      <nc r="B74">
        <v>1.2</v>
      </nc>
    </rcc>
    <rcc rId="0" sId="1">
      <nc r="B75">
        <v>1.2</v>
      </nc>
    </rcc>
    <rcc rId="0" sId="1">
      <nc r="B76">
        <v>1.2</v>
      </nc>
    </rcc>
    <rcc rId="0" sId="1">
      <nc r="B77">
        <v>1.2</v>
      </nc>
    </rcc>
    <rcc rId="0" sId="1">
      <nc r="B78">
        <v>1.2</v>
      </nc>
    </rcc>
    <rcc rId="0" sId="1">
      <nc r="B79">
        <v>1.2</v>
      </nc>
    </rcc>
    <rcc rId="0" sId="1">
      <nc r="B80">
        <v>1.2</v>
      </nc>
    </rcc>
    <rcc rId="0" sId="1">
      <nc r="B81">
        <v>1.2</v>
      </nc>
    </rcc>
    <rcc rId="0" sId="1">
      <nc r="B82">
        <v>1.2</v>
      </nc>
    </rcc>
    <rcc rId="0" sId="1">
      <nc r="B83">
        <v>1.2</v>
      </nc>
    </rcc>
    <rcc rId="0" sId="1">
      <nc r="B84">
        <v>1.2</v>
      </nc>
    </rcc>
    <rcc rId="0" sId="1">
      <nc r="B85">
        <v>1.2</v>
      </nc>
    </rcc>
    <rcc rId="0" sId="1">
      <nc r="B86">
        <v>1.2</v>
      </nc>
    </rcc>
    <rcc rId="0" sId="1">
      <nc r="B87">
        <v>1.2</v>
      </nc>
    </rcc>
    <rcc rId="0" sId="1">
      <nc r="B88">
        <v>1.2</v>
      </nc>
    </rcc>
    <rcc rId="0" sId="1">
      <nc r="B89">
        <v>1.2</v>
      </nc>
    </rcc>
    <rcc rId="0" sId="1">
      <nc r="B90">
        <v>1.2</v>
      </nc>
    </rcc>
    <rcc rId="0" sId="1">
      <nc r="B91">
        <v>1.2</v>
      </nc>
    </rcc>
    <rcc rId="0" sId="1">
      <nc r="B92">
        <v>1.2</v>
      </nc>
    </rcc>
    <rcc rId="0" sId="1">
      <nc r="B93">
        <v>1.2</v>
      </nc>
    </rcc>
    <rcc rId="0" sId="1">
      <nc r="B94">
        <v>1.2</v>
      </nc>
    </rcc>
    <rcc rId="0" sId="1">
      <nc r="B95">
        <v>1.2</v>
      </nc>
    </rcc>
    <rcc rId="0" sId="1">
      <nc r="B96">
        <v>1.2</v>
      </nc>
    </rcc>
    <rcc rId="0" sId="1">
      <nc r="B97">
        <v>1.2</v>
      </nc>
    </rcc>
    <rcc rId="0" sId="1">
      <nc r="B98">
        <v>1.2</v>
      </nc>
    </rcc>
    <rcc rId="0" sId="1">
      <nc r="B99">
        <v>1.2</v>
      </nc>
    </rcc>
    <rcc rId="0" sId="1">
      <nc r="B100">
        <v>1.2</v>
      </nc>
    </rcc>
    <rcc rId="0" sId="1">
      <nc r="B101">
        <v>1.2</v>
      </nc>
    </rcc>
    <rcc rId="0" sId="1">
      <nc r="B102">
        <v>1.2</v>
      </nc>
    </rcc>
    <rcc rId="0" sId="1">
      <nc r="B103">
        <v>1.2</v>
      </nc>
    </rcc>
    <rcc rId="0" sId="1">
      <nc r="B104">
        <v>1.2</v>
      </nc>
    </rcc>
    <rcc rId="0" sId="1">
      <nc r="B105">
        <v>1.2</v>
      </nc>
    </rcc>
    <rcc rId="0" sId="1">
      <nc r="B106">
        <v>1.2</v>
      </nc>
    </rcc>
    <rcc rId="0" sId="1">
      <nc r="B107">
        <v>1.2</v>
      </nc>
    </rcc>
    <rcc rId="0" sId="1">
      <nc r="B108">
        <v>1.2</v>
      </nc>
    </rcc>
    <rcc rId="0" sId="1">
      <nc r="B109">
        <v>1.2</v>
      </nc>
    </rcc>
    <rcc rId="0" sId="1">
      <nc r="B110">
        <v>1.2</v>
      </nc>
    </rcc>
    <rcc rId="0" sId="1">
      <nc r="B111">
        <v>1.2</v>
      </nc>
    </rcc>
    <rcc rId="0" sId="1">
      <nc r="B112">
        <v>1.2</v>
      </nc>
    </rcc>
    <rcc rId="0" sId="1">
      <nc r="B113">
        <v>1.2</v>
      </nc>
    </rcc>
    <rcc rId="0" sId="1">
      <nc r="B114">
        <v>1.2</v>
      </nc>
    </rcc>
    <rcc rId="0" sId="1">
      <nc r="B115">
        <v>1.2</v>
      </nc>
    </rcc>
    <rcc rId="0" sId="1">
      <nc r="B116">
        <v>1.2</v>
      </nc>
    </rcc>
    <rcc rId="0" sId="1">
      <nc r="B117">
        <v>1.2</v>
      </nc>
    </rcc>
    <rcc rId="0" sId="1">
      <nc r="B118">
        <v>1.2</v>
      </nc>
    </rcc>
    <rcc rId="0" sId="1">
      <nc r="B119">
        <v>1.2</v>
      </nc>
    </rcc>
    <rcc rId="0" sId="1">
      <nc r="B120">
        <v>1.2</v>
      </nc>
    </rcc>
    <rcc rId="0" sId="1">
      <nc r="B121">
        <v>1.2</v>
      </nc>
    </rcc>
    <rcc rId="0" sId="1">
      <nc r="B122">
        <v>1.2</v>
      </nc>
    </rcc>
    <rcc rId="0" sId="1">
      <nc r="B123">
        <v>1.2</v>
      </nc>
    </rcc>
    <rcc rId="0" sId="1">
      <nc r="B124">
        <v>1.2</v>
      </nc>
    </rcc>
    <rcc rId="0" sId="1">
      <nc r="B125">
        <v>1.2</v>
      </nc>
    </rcc>
    <rcc rId="0" sId="1">
      <nc r="B126">
        <v>1.2</v>
      </nc>
    </rcc>
    <rcc rId="0" sId="1">
      <nc r="B127">
        <v>1.2</v>
      </nc>
    </rcc>
    <rcc rId="0" sId="1">
      <nc r="B128">
        <v>1.2</v>
      </nc>
    </rcc>
    <rcc rId="0" sId="1">
      <nc r="B129">
        <v>1.2</v>
      </nc>
    </rcc>
    <rcc rId="0" sId="1">
      <nc r="B130">
        <v>1.2</v>
      </nc>
    </rcc>
    <rcc rId="0" sId="1">
      <nc r="B131">
        <v>1.3</v>
      </nc>
    </rcc>
    <rcc rId="0" sId="1">
      <nc r="B132">
        <v>1.3</v>
      </nc>
    </rcc>
    <rcc rId="0" sId="1">
      <nc r="B133">
        <v>1.3</v>
      </nc>
    </rcc>
    <rcc rId="0" sId="1">
      <nc r="B134">
        <v>1.3</v>
      </nc>
    </rcc>
    <rcc rId="0" sId="1">
      <nc r="B135" t="inlineStr">
        <is>
          <t>1.4</t>
        </is>
      </nc>
    </rcc>
    <rcc rId="0" sId="1">
      <nc r="B136" t="inlineStr">
        <is>
          <t>1.5</t>
        </is>
      </nc>
    </rcc>
    <rcc rId="0" sId="1">
      <nc r="B137" t="inlineStr">
        <is>
          <t>1.4</t>
        </is>
      </nc>
    </rcc>
    <rcc rId="0" sId="1">
      <nc r="B138" t="inlineStr">
        <is>
          <t>1.5</t>
        </is>
      </nc>
    </rcc>
    <rcc rId="0" sId="1">
      <nc r="B139" t="inlineStr">
        <is>
          <t>1.4</t>
        </is>
      </nc>
    </rcc>
    <rcc rId="0" sId="1">
      <nc r="B140" t="inlineStr">
        <is>
          <t>1.5</t>
        </is>
      </nc>
    </rcc>
    <rcc rId="0" sId="1">
      <nc r="B141" t="inlineStr">
        <is>
          <t>1.4</t>
        </is>
      </nc>
    </rcc>
    <rcc rId="0" sId="1">
      <nc r="B142" t="inlineStr">
        <is>
          <t>1.4</t>
        </is>
      </nc>
    </rcc>
    <rcc rId="0" sId="1">
      <nc r="B143" t="inlineStr">
        <is>
          <t>1.5</t>
        </is>
      </nc>
    </rcc>
    <rcc rId="0" sId="1">
      <nc r="B144" t="inlineStr">
        <is>
          <t>1.4</t>
        </is>
      </nc>
    </rcc>
    <rcc rId="0" sId="1">
      <nc r="B145" t="inlineStr">
        <is>
          <t>1.5</t>
        </is>
      </nc>
    </rcc>
    <rcc rId="0" sId="1">
      <nc r="B146" t="inlineStr">
        <is>
          <t>1.5</t>
        </is>
      </nc>
    </rcc>
    <rcc rId="0" sId="1">
      <nc r="B147" t="inlineStr">
        <is>
          <t>1.4</t>
        </is>
      </nc>
    </rcc>
    <rcc rId="0" sId="1">
      <nc r="B148" t="inlineStr">
        <is>
          <t>1.5</t>
        </is>
      </nc>
    </rcc>
    <rcc rId="0" sId="1">
      <nc r="B149" t="inlineStr">
        <is>
          <t>1.5</t>
        </is>
      </nc>
    </rcc>
    <rcc rId="0" sId="1">
      <nc r="B150" t="inlineStr">
        <is>
          <t>1.4</t>
        </is>
      </nc>
    </rcc>
    <rcc rId="0" sId="1">
      <nc r="B151" t="inlineStr">
        <is>
          <t>1.5</t>
        </is>
      </nc>
    </rcc>
    <rcc rId="0" sId="1">
      <nc r="B152" t="inlineStr">
        <is>
          <t>1.4</t>
        </is>
      </nc>
    </rcc>
    <rcc rId="0" sId="1">
      <nc r="B153" t="inlineStr">
        <is>
          <t>1.5</t>
        </is>
      </nc>
    </rcc>
    <rcc rId="0" sId="1">
      <nc r="B154" t="inlineStr">
        <is>
          <t>1.5</t>
        </is>
      </nc>
    </rcc>
    <rcc rId="0" sId="1">
      <nc r="B155" t="inlineStr">
        <is>
          <t>1.5</t>
        </is>
      </nc>
    </rcc>
    <rcc rId="0" sId="1">
      <nc r="B156" t="inlineStr">
        <is>
          <t>1.4</t>
        </is>
      </nc>
    </rcc>
    <rcc rId="0" sId="1">
      <nc r="B157" t="inlineStr">
        <is>
          <t>1.5</t>
        </is>
      </nc>
    </rcc>
    <rcc rId="0" sId="1">
      <nc r="B158" t="inlineStr">
        <is>
          <t>1.4</t>
        </is>
      </nc>
    </rcc>
    <rcc rId="0" sId="1">
      <nc r="B159" t="inlineStr">
        <is>
          <t>1.5</t>
        </is>
      </nc>
    </rcc>
    <rcc rId="0" sId="1">
      <nc r="B160" t="inlineStr">
        <is>
          <t>1.5</t>
        </is>
      </nc>
    </rcc>
    <rcc rId="0" sId="1">
      <nc r="B161" t="inlineStr">
        <is>
          <t>1.4</t>
        </is>
      </nc>
    </rcc>
    <rcc rId="0" sId="1">
      <nc r="B162" t="inlineStr">
        <is>
          <t>1.5</t>
        </is>
      </nc>
    </rcc>
    <rcc rId="0" sId="1">
      <nc r="B163" t="inlineStr">
        <is>
          <t>1.5</t>
        </is>
      </nc>
    </rcc>
    <rcc rId="0" sId="1">
      <nc r="B164" t="inlineStr">
        <is>
          <t>1.4</t>
        </is>
      </nc>
    </rcc>
    <rcc rId="0" sId="1">
      <nc r="B165" t="inlineStr">
        <is>
          <t>1.5</t>
        </is>
      </nc>
    </rcc>
    <rcc rId="0" sId="1">
      <nc r="B166" t="inlineStr">
        <is>
          <t>1.5</t>
        </is>
      </nc>
    </rcc>
    <rcc rId="0" sId="1">
      <nc r="B167" t="inlineStr">
        <is>
          <t>1.4</t>
        </is>
      </nc>
    </rcc>
    <rcc rId="0" sId="1">
      <nc r="B168" t="inlineStr">
        <is>
          <t>1.4</t>
        </is>
      </nc>
    </rcc>
    <rcc rId="0" sId="1">
      <nc r="B169" t="inlineStr">
        <is>
          <t>1.5</t>
        </is>
      </nc>
    </rcc>
    <rcc rId="0" sId="1">
      <nc r="B170" t="inlineStr">
        <is>
          <t>1.4</t>
        </is>
      </nc>
    </rcc>
    <rcc rId="0" sId="1">
      <nc r="B171" t="inlineStr">
        <is>
          <t>1.5</t>
        </is>
      </nc>
    </rcc>
    <rcc rId="0" sId="1">
      <nc r="B172" t="inlineStr">
        <is>
          <t>1.5</t>
        </is>
      </nc>
    </rcc>
    <rcc rId="0" sId="1">
      <nc r="B173" t="inlineStr">
        <is>
          <t>1.4</t>
        </is>
      </nc>
    </rcc>
    <rcc rId="0" sId="1">
      <nc r="B174" t="inlineStr">
        <is>
          <t>1.4</t>
        </is>
      </nc>
    </rcc>
    <rcc rId="0" sId="1">
      <nc r="B175" t="inlineStr">
        <is>
          <t>1.5</t>
        </is>
      </nc>
    </rcc>
    <rcc rId="0" sId="1">
      <nc r="B176" t="inlineStr">
        <is>
          <t>1.5</t>
        </is>
      </nc>
    </rcc>
    <rcc rId="0" sId="1">
      <nc r="B177" t="inlineStr">
        <is>
          <t>1.4</t>
        </is>
      </nc>
    </rcc>
    <rcc rId="0" sId="1">
      <nc r="B178" t="inlineStr">
        <is>
          <t>1.5</t>
        </is>
      </nc>
    </rcc>
    <rcc rId="0" sId="1">
      <nc r="B179" t="inlineStr">
        <is>
          <t>1.4</t>
        </is>
      </nc>
    </rcc>
    <rcc rId="0" sId="1">
      <nc r="B180" t="inlineStr">
        <is>
          <t>1.5</t>
        </is>
      </nc>
    </rcc>
    <rcc rId="0" sId="1">
      <nc r="B181" t="inlineStr">
        <is>
          <t>1.4</t>
        </is>
      </nc>
    </rcc>
    <rcc rId="0" sId="1">
      <nc r="B182" t="inlineStr">
        <is>
          <t>1.4</t>
        </is>
      </nc>
    </rcc>
    <rcc rId="0" sId="1">
      <nc r="B183" t="inlineStr">
        <is>
          <t>1.5</t>
        </is>
      </nc>
    </rcc>
    <rcc rId="0" sId="1">
      <nc r="B184" t="inlineStr">
        <is>
          <t>1.4</t>
        </is>
      </nc>
    </rcc>
    <rcc rId="0" sId="1">
      <nc r="B185" t="inlineStr">
        <is>
          <t>1.5</t>
        </is>
      </nc>
    </rcc>
    <rcc rId="0" sId="1">
      <nc r="B186" t="inlineStr">
        <is>
          <t>1.5</t>
        </is>
      </nc>
    </rcc>
    <rcc rId="0" sId="1">
      <nc r="B187" t="inlineStr">
        <is>
          <t>1.4</t>
        </is>
      </nc>
    </rcc>
    <rcc rId="0" sId="1">
      <nc r="B188" t="inlineStr">
        <is>
          <t>1.4</t>
        </is>
      </nc>
    </rcc>
    <rcc rId="0" sId="1">
      <nc r="B189" t="inlineStr">
        <is>
          <t>1.5</t>
        </is>
      </nc>
    </rcc>
    <rcc rId="0" sId="1">
      <nc r="B190" t="inlineStr">
        <is>
          <t>1.5</t>
        </is>
      </nc>
    </rcc>
    <rcc rId="0" sId="1">
      <nc r="B191" t="inlineStr">
        <is>
          <t>1.5</t>
        </is>
      </nc>
    </rcc>
    <rcc rId="0" sId="1">
      <nc r="B192" t="inlineStr">
        <is>
          <t>1.4</t>
        </is>
      </nc>
    </rcc>
    <rcc rId="0" sId="1">
      <nc r="B193" t="inlineStr">
        <is>
          <t>1.4</t>
        </is>
      </nc>
    </rcc>
    <rcc rId="0" sId="1">
      <nc r="B194" t="inlineStr">
        <is>
          <t>1.5</t>
        </is>
      </nc>
    </rcc>
    <rcc rId="0" sId="1">
      <nc r="B195" t="inlineStr">
        <is>
          <t>1.4</t>
        </is>
      </nc>
    </rcc>
    <rcc rId="0" sId="1">
      <nc r="B196" t="inlineStr">
        <is>
          <t>1.5</t>
        </is>
      </nc>
    </rcc>
    <rcc rId="0" sId="1">
      <nc r="B197" t="inlineStr">
        <is>
          <t>1.5</t>
        </is>
      </nc>
    </rcc>
    <rcc rId="0" sId="1">
      <nc r="B198" t="inlineStr">
        <is>
          <t>1.4</t>
        </is>
      </nc>
    </rcc>
    <rcc rId="0" sId="1">
      <nc r="B199" t="inlineStr">
        <is>
          <t>1.4</t>
        </is>
      </nc>
    </rcc>
    <rcc rId="0" sId="1">
      <nc r="B200" t="inlineStr">
        <is>
          <t>1.5</t>
        </is>
      </nc>
    </rcc>
    <rcc rId="0" sId="1">
      <nc r="B201" t="inlineStr">
        <is>
          <t>1.4</t>
        </is>
      </nc>
    </rcc>
    <rcc rId="0" sId="1">
      <nc r="B202" t="inlineStr">
        <is>
          <t>1.4</t>
        </is>
      </nc>
    </rcc>
    <rcc rId="0" sId="1">
      <nc r="B203" t="inlineStr">
        <is>
          <t>1.5</t>
        </is>
      </nc>
    </rcc>
    <rcc rId="0" sId="1" dxf="1">
      <nc r="B204" t="inlineStr">
        <is>
          <t>NA</t>
        </is>
      </nc>
      <ndxf>
        <alignment horizontal="general" vertical="bottom"/>
      </ndxf>
    </rcc>
    <rcc rId="0" sId="1">
      <nc r="B205" t="inlineStr">
        <is>
          <t>1.5</t>
        </is>
      </nc>
    </rcc>
    <rcc rId="0" sId="1">
      <nc r="B206" t="inlineStr">
        <is>
          <t>1.4</t>
        </is>
      </nc>
    </rcc>
    <rcc rId="0" sId="1">
      <nc r="B207" t="inlineStr">
        <is>
          <t>1.5</t>
        </is>
      </nc>
    </rcc>
    <rcc rId="0" sId="1">
      <nc r="B208" t="inlineStr">
        <is>
          <t>1.4</t>
        </is>
      </nc>
    </rcc>
    <rcc rId="0" sId="1">
      <nc r="B209" t="inlineStr">
        <is>
          <t>1.5</t>
        </is>
      </nc>
    </rcc>
    <rcc rId="0" sId="1">
      <nc r="B210" t="inlineStr">
        <is>
          <t>1.4</t>
        </is>
      </nc>
    </rcc>
    <rcc rId="0" sId="1">
      <nc r="B211" t="inlineStr">
        <is>
          <t>1.4</t>
        </is>
      </nc>
    </rcc>
    <rcc rId="0" sId="1">
      <nc r="B212" t="inlineStr">
        <is>
          <t>1.5</t>
        </is>
      </nc>
    </rcc>
    <rcc rId="0" sId="1">
      <nc r="B213" t="inlineStr">
        <is>
          <t>1.4</t>
        </is>
      </nc>
    </rcc>
    <rcc rId="0" sId="1">
      <nc r="B214" t="inlineStr">
        <is>
          <t>1.4</t>
        </is>
      </nc>
    </rcc>
    <rcc rId="0" sId="1">
      <nc r="B215" t="inlineStr">
        <is>
          <t>1.5</t>
        </is>
      </nc>
    </rcc>
    <rcc rId="0" sId="1">
      <nc r="B216" t="inlineStr">
        <is>
          <t>1.5</t>
        </is>
      </nc>
    </rcc>
    <rcc rId="0" sId="1">
      <nc r="B217" t="inlineStr">
        <is>
          <t>1.5</t>
        </is>
      </nc>
    </rcc>
    <rcc rId="0" sId="1">
      <nc r="B218" t="inlineStr">
        <is>
          <t>1.4</t>
        </is>
      </nc>
    </rcc>
    <rcc rId="0" sId="1">
      <nc r="B219" t="inlineStr">
        <is>
          <t>1.5</t>
        </is>
      </nc>
    </rcc>
    <rcc rId="0" sId="1">
      <nc r="B220" t="inlineStr">
        <is>
          <t>1.4</t>
        </is>
      </nc>
    </rcc>
    <rcc rId="0" sId="1">
      <nc r="B221" t="inlineStr">
        <is>
          <t>1.5</t>
        </is>
      </nc>
    </rcc>
    <rcc rId="0" sId="1">
      <nc r="B222" t="inlineStr">
        <is>
          <t>1.4</t>
        </is>
      </nc>
    </rcc>
    <rcc rId="0" sId="1">
      <nc r="B223" t="inlineStr">
        <is>
          <t>1.5</t>
        </is>
      </nc>
    </rcc>
    <rcc rId="0" sId="1">
      <nc r="B224" t="inlineStr">
        <is>
          <t>1.5</t>
        </is>
      </nc>
    </rcc>
    <rcc rId="0" sId="1">
      <nc r="B225" t="inlineStr">
        <is>
          <t>1.4</t>
        </is>
      </nc>
    </rcc>
    <rcc rId="0" sId="1">
      <nc r="B226" t="inlineStr">
        <is>
          <t>NA</t>
        </is>
      </nc>
    </rcc>
    <rcc rId="0" sId="1">
      <nc r="B227" t="inlineStr">
        <is>
          <t>1.5</t>
        </is>
      </nc>
    </rcc>
    <rcc rId="0" sId="1">
      <nc r="B228" t="inlineStr">
        <is>
          <t>1.4</t>
        </is>
      </nc>
    </rcc>
    <rcc rId="0" sId="1">
      <nc r="B229" t="inlineStr">
        <is>
          <t>1.5</t>
        </is>
      </nc>
    </rcc>
    <rcc rId="0" sId="1">
      <nc r="B230" t="inlineStr">
        <is>
          <t>1.4</t>
        </is>
      </nc>
    </rcc>
    <rcc rId="0" sId="1">
      <nc r="B231" t="inlineStr">
        <is>
          <t>1.5</t>
        </is>
      </nc>
    </rcc>
    <rcc rId="0" sId="1">
      <nc r="B232" t="inlineStr">
        <is>
          <t>1.4</t>
        </is>
      </nc>
    </rcc>
    <rcc rId="0" sId="1">
      <nc r="B233" t="inlineStr">
        <is>
          <t>1.5</t>
        </is>
      </nc>
    </rcc>
    <rcc rId="0" sId="1">
      <nc r="B234" t="inlineStr">
        <is>
          <t>1.4</t>
        </is>
      </nc>
    </rcc>
    <rcc rId="0" sId="1">
      <nc r="B235" t="inlineStr">
        <is>
          <t>1.5</t>
        </is>
      </nc>
    </rcc>
    <rcc rId="0" sId="1">
      <nc r="B236" t="inlineStr">
        <is>
          <t>1.5</t>
        </is>
      </nc>
    </rcc>
    <rcc rId="0" sId="1">
      <nc r="B237" t="inlineStr">
        <is>
          <t>1.4</t>
        </is>
      </nc>
    </rcc>
    <rcc rId="0" sId="1">
      <nc r="B238" t="inlineStr">
        <is>
          <t>1.4</t>
        </is>
      </nc>
    </rcc>
    <rcc rId="0" sId="1">
      <nc r="B239" t="inlineStr">
        <is>
          <t>1.5</t>
        </is>
      </nc>
    </rcc>
    <rcc rId="0" sId="1">
      <nc r="B240" t="inlineStr">
        <is>
          <t>1.4</t>
        </is>
      </nc>
    </rcc>
    <rcc rId="0" sId="1">
      <nc r="B241" t="inlineStr">
        <is>
          <t>1.5</t>
        </is>
      </nc>
    </rcc>
    <rcc rId="0" sId="1">
      <nc r="B242" t="inlineStr">
        <is>
          <t>1.4</t>
        </is>
      </nc>
    </rcc>
    <rcc rId="0" sId="1">
      <nc r="B243" t="inlineStr">
        <is>
          <t>1.4</t>
        </is>
      </nc>
    </rcc>
    <rcc rId="0" sId="1">
      <nc r="B244" t="inlineStr">
        <is>
          <t>1.4</t>
        </is>
      </nc>
    </rcc>
    <rcc rId="0" sId="1">
      <nc r="B245" t="inlineStr">
        <is>
          <t>1.4</t>
        </is>
      </nc>
    </rcc>
    <rcc rId="0" sId="1">
      <nc r="B246" t="inlineStr">
        <is>
          <t>1.4</t>
        </is>
      </nc>
    </rcc>
    <rcc rId="0" sId="1">
      <nc r="B247" t="inlineStr">
        <is>
          <t>1.4</t>
        </is>
      </nc>
    </rcc>
    <rcc rId="0" sId="1">
      <nc r="B248" t="inlineStr">
        <is>
          <t>1.4</t>
        </is>
      </nc>
    </rcc>
    <rcc rId="0" sId="1">
      <nc r="B249" t="inlineStr">
        <is>
          <t>1.4</t>
        </is>
      </nc>
    </rcc>
    <rcc rId="0" sId="1">
      <nc r="B250" t="inlineStr">
        <is>
          <t>1.4</t>
        </is>
      </nc>
    </rcc>
    <rcc rId="0" sId="1">
      <nc r="B251" t="inlineStr">
        <is>
          <t>1.4</t>
        </is>
      </nc>
    </rcc>
    <rcc rId="0" sId="1">
      <nc r="B252" t="inlineStr">
        <is>
          <t>1.4</t>
        </is>
      </nc>
    </rcc>
    <rcc rId="0" sId="1">
      <nc r="B253" t="inlineStr">
        <is>
          <t>1.4</t>
        </is>
      </nc>
    </rcc>
    <rcc rId="0" sId="1">
      <nc r="B254" t="inlineStr">
        <is>
          <t>1.4</t>
        </is>
      </nc>
    </rcc>
    <rcc rId="0" sId="1">
      <nc r="B255" t="inlineStr">
        <is>
          <t>1.4</t>
        </is>
      </nc>
    </rcc>
    <rcc rId="0" sId="1">
      <nc r="B256" t="inlineStr">
        <is>
          <t>1.4</t>
        </is>
      </nc>
    </rcc>
    <rcc rId="0" sId="1">
      <nc r="B257" t="inlineStr">
        <is>
          <t>1.4</t>
        </is>
      </nc>
    </rcc>
    <rcc rId="0" sId="1">
      <nc r="B258" t="inlineStr">
        <is>
          <t>1.4</t>
        </is>
      </nc>
    </rcc>
    <rcc rId="0" sId="1">
      <nc r="B259" t="inlineStr">
        <is>
          <t>1.4</t>
        </is>
      </nc>
    </rcc>
    <rcc rId="0" sId="1">
      <nc r="B260" t="inlineStr">
        <is>
          <t>1.4</t>
        </is>
      </nc>
    </rcc>
    <rcc rId="0" sId="1">
      <nc r="B261" t="inlineStr">
        <is>
          <t>1.4</t>
        </is>
      </nc>
    </rcc>
    <rcc rId="0" sId="1">
      <nc r="B262" t="inlineStr">
        <is>
          <t>1.4</t>
        </is>
      </nc>
    </rcc>
    <rcc rId="0" sId="1">
      <nc r="B263" t="inlineStr">
        <is>
          <t>1.4</t>
        </is>
      </nc>
    </rcc>
    <rcc rId="0" sId="1">
      <nc r="B264" t="inlineStr">
        <is>
          <t>1.4</t>
        </is>
      </nc>
    </rcc>
    <rcc rId="0" sId="1">
      <nc r="B265" t="inlineStr">
        <is>
          <t>1.4</t>
        </is>
      </nc>
    </rcc>
    <rcc rId="0" sId="1">
      <nc r="B266" t="inlineStr">
        <is>
          <t>1.4</t>
        </is>
      </nc>
    </rcc>
    <rcc rId="0" sId="1">
      <nc r="B267" t="inlineStr">
        <is>
          <t>1.4</t>
        </is>
      </nc>
    </rcc>
    <rcc rId="0" sId="1">
      <nc r="B268" t="inlineStr">
        <is>
          <t>1.4</t>
        </is>
      </nc>
    </rcc>
    <rcc rId="0" sId="1">
      <nc r="B269" t="inlineStr">
        <is>
          <t>1.4</t>
        </is>
      </nc>
    </rcc>
    <rcc rId="0" sId="1">
      <nc r="B270" t="inlineStr">
        <is>
          <t>1.4</t>
        </is>
      </nc>
    </rcc>
    <rcc rId="0" sId="1">
      <nc r="B271" t="inlineStr">
        <is>
          <t>1.4</t>
        </is>
      </nc>
    </rcc>
    <rcc rId="0" sId="1">
      <nc r="B272" t="inlineStr">
        <is>
          <t>1.4</t>
        </is>
      </nc>
    </rcc>
    <rcc rId="0" sId="1">
      <nc r="B273" t="inlineStr">
        <is>
          <t>1.4</t>
        </is>
      </nc>
    </rcc>
    <rcc rId="0" sId="1">
      <nc r="B274" t="inlineStr">
        <is>
          <t>1.4</t>
        </is>
      </nc>
    </rcc>
    <rcc rId="0" sId="1">
      <nc r="B275" t="inlineStr">
        <is>
          <t>1.4</t>
        </is>
      </nc>
    </rcc>
    <rcc rId="0" sId="1">
      <nc r="B276" t="inlineStr">
        <is>
          <t>1.4</t>
        </is>
      </nc>
    </rcc>
    <rcc rId="0" sId="1">
      <nc r="B277" t="inlineStr">
        <is>
          <t>1.4</t>
        </is>
      </nc>
    </rcc>
    <rcc rId="0" sId="1">
      <nc r="B278" t="inlineStr">
        <is>
          <t>1.4</t>
        </is>
      </nc>
    </rcc>
    <rcc rId="0" sId="1">
      <nc r="B279" t="inlineStr">
        <is>
          <t>1.4</t>
        </is>
      </nc>
    </rcc>
    <rcc rId="0" sId="1">
      <nc r="B280" t="inlineStr">
        <is>
          <t>1.4</t>
        </is>
      </nc>
    </rcc>
    <rcc rId="0" sId="1">
      <nc r="B281" t="inlineStr">
        <is>
          <t>1.4</t>
        </is>
      </nc>
    </rcc>
    <rcc rId="0" sId="1">
      <nc r="B282" t="inlineStr">
        <is>
          <t>1.4</t>
        </is>
      </nc>
    </rcc>
    <rcc rId="0" sId="1">
      <nc r="B283" t="inlineStr">
        <is>
          <t>1.4</t>
        </is>
      </nc>
    </rcc>
    <rcc rId="0" sId="1">
      <nc r="B284" t="inlineStr">
        <is>
          <t>1.4</t>
        </is>
      </nc>
    </rcc>
    <rcc rId="0" sId="1">
      <nc r="B285" t="inlineStr">
        <is>
          <t>1.4</t>
        </is>
      </nc>
    </rcc>
    <rcc rId="0" sId="1">
      <nc r="B286" t="inlineStr">
        <is>
          <t>1.4</t>
        </is>
      </nc>
    </rcc>
    <rcc rId="0" sId="1">
      <nc r="B287" t="inlineStr">
        <is>
          <t>1.4</t>
        </is>
      </nc>
    </rcc>
    <rcc rId="0" sId="1">
      <nc r="B288" t="inlineStr">
        <is>
          <t>1.4</t>
        </is>
      </nc>
    </rcc>
    <rcc rId="0" sId="1">
      <nc r="B289" t="inlineStr">
        <is>
          <t>1.4</t>
        </is>
      </nc>
    </rcc>
    <rcc rId="0" sId="1">
      <nc r="B290" t="inlineStr">
        <is>
          <t>1.4</t>
        </is>
      </nc>
    </rcc>
    <rcc rId="0" sId="1">
      <nc r="B291" t="inlineStr">
        <is>
          <t>1.4</t>
        </is>
      </nc>
    </rcc>
    <rcc rId="0" sId="1">
      <nc r="B292" t="inlineStr">
        <is>
          <t>1.4</t>
        </is>
      </nc>
    </rcc>
    <rcc rId="0" sId="1">
      <nc r="B293" t="inlineStr">
        <is>
          <t>1.4</t>
        </is>
      </nc>
    </rcc>
    <rcc rId="0" sId="1">
      <nc r="B294" t="inlineStr">
        <is>
          <t>1.4</t>
        </is>
      </nc>
    </rcc>
    <rcc rId="0" sId="1">
      <nc r="B295" t="inlineStr">
        <is>
          <t>1.4</t>
        </is>
      </nc>
    </rcc>
    <rcc rId="0" sId="1">
      <nc r="B296" t="inlineStr">
        <is>
          <t>1.4</t>
        </is>
      </nc>
    </rcc>
    <rcc rId="0" sId="1">
      <nc r="B297" t="inlineStr">
        <is>
          <t>1.4</t>
        </is>
      </nc>
    </rcc>
    <rcc rId="0" sId="1">
      <nc r="B298" t="inlineStr">
        <is>
          <t>1.4</t>
        </is>
      </nc>
    </rcc>
    <rcc rId="0" sId="1">
      <nc r="B299" t="inlineStr">
        <is>
          <t>1.4</t>
        </is>
      </nc>
    </rcc>
    <rcc rId="0" sId="1">
      <nc r="B300" t="inlineStr">
        <is>
          <t>1.4</t>
        </is>
      </nc>
    </rcc>
    <rcc rId="0" sId="1">
      <nc r="B301" t="inlineStr">
        <is>
          <t>1.4</t>
        </is>
      </nc>
    </rcc>
    <rcc rId="0" sId="1">
      <nc r="B302" t="inlineStr">
        <is>
          <t>1.4</t>
        </is>
      </nc>
    </rcc>
    <rcc rId="0" sId="1">
      <nc r="B303" t="inlineStr">
        <is>
          <t>1.4</t>
        </is>
      </nc>
    </rcc>
    <rcc rId="0" sId="1">
      <nc r="B304" t="inlineStr">
        <is>
          <t>1.4</t>
        </is>
      </nc>
    </rcc>
    <rcc rId="0" sId="1">
      <nc r="B305" t="inlineStr">
        <is>
          <t>1.4</t>
        </is>
      </nc>
    </rcc>
    <rcc rId="0" sId="1">
      <nc r="B306" t="inlineStr">
        <is>
          <t>1.4</t>
        </is>
      </nc>
    </rcc>
    <rcc rId="0" sId="1">
      <nc r="B307" t="inlineStr">
        <is>
          <t>1.4</t>
        </is>
      </nc>
    </rcc>
    <rcc rId="0" sId="1">
      <nc r="B308" t="inlineStr">
        <is>
          <t>1.4</t>
        </is>
      </nc>
    </rcc>
    <rcc rId="0" sId="1">
      <nc r="B309" t="inlineStr">
        <is>
          <t>1.4</t>
        </is>
      </nc>
    </rcc>
    <rcc rId="0" sId="1">
      <nc r="B310" t="inlineStr">
        <is>
          <t>1.4</t>
        </is>
      </nc>
    </rcc>
    <rcc rId="0" sId="1">
      <nc r="B311" t="inlineStr">
        <is>
          <t>1.4</t>
        </is>
      </nc>
    </rcc>
    <rcc rId="0" sId="1">
      <nc r="B312" t="inlineStr">
        <is>
          <t>1.4</t>
        </is>
      </nc>
    </rcc>
    <rcc rId="0" sId="1">
      <nc r="B313" t="inlineStr">
        <is>
          <t>1.4</t>
        </is>
      </nc>
    </rcc>
    <rcc rId="0" sId="1">
      <nc r="B314" t="inlineStr">
        <is>
          <t>1.4</t>
        </is>
      </nc>
    </rcc>
    <rcc rId="0" sId="1">
      <nc r="B315" t="inlineStr">
        <is>
          <t>1.4</t>
        </is>
      </nc>
    </rcc>
    <rcc rId="0" sId="1">
      <nc r="B316" t="inlineStr">
        <is>
          <t>1.4</t>
        </is>
      </nc>
    </rcc>
    <rcc rId="0" sId="1">
      <nc r="B317" t="inlineStr">
        <is>
          <t>1.4</t>
        </is>
      </nc>
    </rcc>
    <rcc rId="0" sId="1">
      <nc r="B318" t="inlineStr">
        <is>
          <t>1.4</t>
        </is>
      </nc>
    </rcc>
    <rcc rId="0" sId="1">
      <nc r="B319" t="inlineStr">
        <is>
          <t>1.4</t>
        </is>
      </nc>
    </rcc>
    <rcc rId="0" sId="1">
      <nc r="B320" t="inlineStr">
        <is>
          <t>1.4</t>
        </is>
      </nc>
    </rcc>
    <rcc rId="0" sId="1">
      <nc r="B321" t="inlineStr">
        <is>
          <t>1.4</t>
        </is>
      </nc>
    </rcc>
    <rcc rId="0" sId="1">
      <nc r="B322" t="inlineStr">
        <is>
          <t>1.4</t>
        </is>
      </nc>
    </rcc>
    <rcc rId="0" sId="1">
      <nc r="B323" t="inlineStr">
        <is>
          <t>1.4</t>
        </is>
      </nc>
    </rcc>
    <rcc rId="0" sId="1">
      <nc r="B324" t="inlineStr">
        <is>
          <t>1.4</t>
        </is>
      </nc>
    </rcc>
    <rcc rId="0" sId="1">
      <nc r="B325" t="inlineStr">
        <is>
          <t>1.4</t>
        </is>
      </nc>
    </rcc>
    <rcc rId="0" sId="1">
      <nc r="B326" t="inlineStr">
        <is>
          <t>1.4</t>
        </is>
      </nc>
    </rcc>
    <rcc rId="0" sId="1">
      <nc r="B328" t="inlineStr">
        <is>
          <t>1.4</t>
        </is>
      </nc>
    </rcc>
    <rcc rId="0" sId="1">
      <nc r="B329" t="inlineStr">
        <is>
          <t>1.4</t>
        </is>
      </nc>
    </rcc>
    <rcc rId="0" sId="1">
      <nc r="B330" t="inlineStr">
        <is>
          <t>1.4</t>
        </is>
      </nc>
    </rcc>
    <rcc rId="0" sId="1">
      <nc r="B331" t="inlineStr">
        <is>
          <t>1.4</t>
        </is>
      </nc>
    </rcc>
    <rcc rId="0" sId="1">
      <nc r="B332" t="inlineStr">
        <is>
          <t>1.4</t>
        </is>
      </nc>
    </rcc>
    <rcc rId="0" sId="1">
      <nc r="B333" t="inlineStr">
        <is>
          <t>1.4</t>
        </is>
      </nc>
    </rcc>
    <rcc rId="0" sId="1">
      <nc r="B334" t="inlineStr">
        <is>
          <t>1.4</t>
        </is>
      </nc>
    </rcc>
    <rcc rId="0" sId="1">
      <nc r="B335" t="inlineStr">
        <is>
          <t>1.4</t>
        </is>
      </nc>
    </rcc>
    <rcc rId="0" sId="1">
      <nc r="B336" t="inlineStr">
        <is>
          <t>1.4</t>
        </is>
      </nc>
    </rcc>
    <rcc rId="0" sId="1">
      <nc r="B337" t="inlineStr">
        <is>
          <t>1.4</t>
        </is>
      </nc>
    </rcc>
    <rcc rId="0" sId="1">
      <nc r="B338" t="inlineStr">
        <is>
          <t>1.4</t>
        </is>
      </nc>
    </rcc>
  </rrc>
  <rcc rId="9468" sId="1">
    <nc r="B1" t="inlineStr">
      <is>
        <t>nest</t>
      </is>
    </nc>
  </rcc>
</revisions>
</file>

<file path=xl/revisions/revisionLog5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469" sId="1">
    <oc r="B2" t="inlineStr">
      <is>
        <t>1.2</t>
      </is>
    </oc>
    <nc r="B2"/>
  </rcc>
  <rrc rId="9470" sId="2" ref="C1:C1048576" action="insertCol"/>
  <rcc rId="9471" sId="2">
    <nc r="C2">
      <f>IF(B2="","",TEXT(B2,"0.0"))</f>
    </nc>
  </rcc>
  <rcc rId="9472" sId="2" odxf="1" dxf="1">
    <nc r="C3">
      <f>IF(B3="","",TEXT(B3,"0.0"))</f>
    </nc>
    <odxf>
      <font>
        <color rgb="FFFF0000"/>
      </font>
    </odxf>
    <ndxf>
      <font>
        <sz val="12"/>
        <color theme="1"/>
        <name val="Calibri"/>
        <family val="2"/>
        <scheme val="minor"/>
      </font>
    </ndxf>
  </rcc>
  <rcc rId="9473" sId="2">
    <nc r="C4">
      <f>IF(B4="","",TEXT(B4,"0.0"))</f>
    </nc>
  </rcc>
  <rcc rId="9474" sId="2">
    <nc r="C5">
      <f>IF(B5="","",TEXT(B5,"0.0"))</f>
    </nc>
  </rcc>
  <rcc rId="9475" sId="2">
    <nc r="C6">
      <f>IF(B6="","",TEXT(B6,"0.0"))</f>
    </nc>
  </rcc>
  <rcc rId="9476" sId="2">
    <nc r="C7">
      <f>IF(B7="","",TEXT(B7,"0.0"))</f>
    </nc>
  </rcc>
  <rcc rId="9477" sId="2">
    <nc r="C8">
      <f>IF(B8="","",TEXT(B8,"0.0"))</f>
    </nc>
  </rcc>
  <rcc rId="9478" sId="2">
    <nc r="C9">
      <f>IF(B9="","",TEXT(B9,"0.0"))</f>
    </nc>
  </rcc>
  <rcc rId="9479" sId="2">
    <nc r="C10">
      <f>IF(B10="","",TEXT(B10,"0.0"))</f>
    </nc>
  </rcc>
  <rcc rId="9480" sId="2">
    <nc r="C11">
      <f>IF(B11="","",TEXT(B11,"0.0"))</f>
    </nc>
  </rcc>
  <rcc rId="9481" sId="2">
    <nc r="C12">
      <f>IF(B12="","",TEXT(B12,"0.0"))</f>
    </nc>
  </rcc>
  <rcc rId="9482" sId="2" odxf="1" dxf="1">
    <nc r="C13">
      <f>IF(B13="","",TEXT(B13,"0.0"))</f>
    </nc>
    <odxf>
      <font>
        <color rgb="FFFF0000"/>
      </font>
    </odxf>
    <ndxf>
      <font>
        <sz val="12"/>
        <color theme="1"/>
        <name val="Calibri"/>
        <family val="2"/>
        <scheme val="minor"/>
      </font>
    </ndxf>
  </rcc>
  <rcc rId="9483" sId="2" odxf="1" dxf="1">
    <nc r="C14">
      <f>IF(B14="","",TEXT(B14,"0.0"))</f>
    </nc>
    <odxf>
      <font>
        <color rgb="FFFF0000"/>
      </font>
    </odxf>
    <ndxf>
      <font>
        <sz val="12"/>
        <color theme="1"/>
        <name val="Calibri"/>
        <family val="2"/>
        <scheme val="minor"/>
      </font>
    </ndxf>
  </rcc>
  <rcc rId="9484" sId="2">
    <nc r="C15">
      <f>IF(B15="","",TEXT(B15,"0.0"))</f>
    </nc>
  </rcc>
  <rcc rId="9485" sId="2">
    <nc r="C16">
      <f>IF(B16="","",TEXT(B16,"0.0"))</f>
    </nc>
  </rcc>
  <rcc rId="9486" sId="2">
    <nc r="C17">
      <f>IF(B17="","",TEXT(B17,"0.0"))</f>
    </nc>
  </rcc>
  <rcc rId="9487" sId="2">
    <nc r="C18">
      <f>IF(B18="","",TEXT(B18,"0.0"))</f>
    </nc>
  </rcc>
  <rcc rId="9488" sId="2">
    <nc r="C19">
      <f>IF(B19="","",TEXT(B19,"0.0"))</f>
    </nc>
  </rcc>
  <rcc rId="9489" sId="2">
    <nc r="C20">
      <f>IF(B20="","",TEXT(B20,"0.0"))</f>
    </nc>
  </rcc>
  <rcc rId="9490" sId="2">
    <nc r="C21">
      <f>IF(B21="","",TEXT(B21,"0.0"))</f>
    </nc>
  </rcc>
  <rcc rId="9491" sId="2">
    <nc r="C22">
      <f>IF(B22="","",TEXT(B22,"0.0"))</f>
    </nc>
  </rcc>
  <rcc rId="9492" sId="2">
    <nc r="C23">
      <f>IF(B23="","",TEXT(B23,"0.0"))</f>
    </nc>
  </rcc>
  <rcc rId="9493" sId="2">
    <nc r="C24">
      <f>IF(B24="","",TEXT(B24,"0.0"))</f>
    </nc>
  </rcc>
  <rcc rId="9494" sId="2">
    <nc r="C25">
      <f>IF(B25="","",TEXT(B25,"0.0"))</f>
    </nc>
  </rcc>
  <rcc rId="9495" sId="2">
    <nc r="C26">
      <f>IF(B26="","",TEXT(B26,"0.0"))</f>
    </nc>
  </rcc>
  <rcc rId="9496" sId="2">
    <nc r="C27">
      <f>IF(B27="","",TEXT(B27,"0.0"))</f>
    </nc>
  </rcc>
  <rcc rId="9497" sId="2">
    <nc r="C28">
      <f>IF(B28="","",TEXT(B28,"0.0"))</f>
    </nc>
  </rcc>
  <rcc rId="9498" sId="2">
    <nc r="C29">
      <f>IF(B29="","",TEXT(B29,"0.0"))</f>
    </nc>
  </rcc>
  <rcc rId="9499" sId="2">
    <nc r="C30">
      <f>IF(B30="","",TEXT(B30,"0.0"))</f>
    </nc>
  </rcc>
  <rcc rId="9500" sId="2">
    <nc r="C31">
      <f>IF(B31="","",TEXT(B31,"0.0"))</f>
    </nc>
  </rcc>
  <rcc rId="9501" sId="2">
    <nc r="C32">
      <f>IF(B32="","",TEXT(B32,"0.0"))</f>
    </nc>
  </rcc>
  <rcc rId="9502" sId="2">
    <nc r="C33">
      <f>IF(B33="","",TEXT(B33,"0.0"))</f>
    </nc>
  </rcc>
  <rcc rId="9503" sId="2">
    <nc r="C34">
      <f>IF(B34="","",TEXT(B34,"0.0"))</f>
    </nc>
  </rcc>
  <rcc rId="9504" sId="2">
    <nc r="C35">
      <f>IF(B35="","",TEXT(B35,"0.0"))</f>
    </nc>
  </rcc>
  <rcc rId="9505" sId="2">
    <nc r="C36">
      <f>IF(B36="","",TEXT(B36,"0.0"))</f>
    </nc>
  </rcc>
  <rcc rId="9506" sId="2">
    <nc r="C37">
      <f>IF(B37="","",TEXT(B37,"0.0"))</f>
    </nc>
  </rcc>
  <rcc rId="9507" sId="2">
    <nc r="C38">
      <f>IF(B38="","",TEXT(B38,"0.0"))</f>
    </nc>
  </rcc>
  <rcc rId="9508" sId="2">
    <nc r="C39">
      <f>IF(B39="","",TEXT(B39,"0.0"))</f>
    </nc>
  </rcc>
  <rcc rId="9509" sId="2">
    <nc r="C40">
      <f>IF(B40="","",TEXT(B40,"0.0"))</f>
    </nc>
  </rcc>
  <rcc rId="9510" sId="2">
    <nc r="C41">
      <f>IF(B41="","",TEXT(B41,"0.0"))</f>
    </nc>
  </rcc>
  <rcc rId="9511" sId="2">
    <nc r="C42">
      <f>IF(B42="","",TEXT(B42,"0.0"))</f>
    </nc>
  </rcc>
  <rcc rId="9512" sId="2">
    <nc r="C43">
      <f>IF(B43="","",TEXT(B43,"0.0"))</f>
    </nc>
  </rcc>
  <rcc rId="9513" sId="2">
    <nc r="C44">
      <f>IF(B44="","",TEXT(B44,"0.0"))</f>
    </nc>
  </rcc>
  <rcc rId="9514" sId="2">
    <nc r="C45">
      <f>IF(B45="","",TEXT(B45,"0.0"))</f>
    </nc>
  </rcc>
  <rcc rId="9515" sId="2">
    <nc r="C46">
      <f>IF(B46="","",TEXT(B46,"0.0"))</f>
    </nc>
  </rcc>
  <rcc rId="9516" sId="2">
    <nc r="C47">
      <f>IF(B47="","",TEXT(B47,"0.0"))</f>
    </nc>
  </rcc>
  <rcc rId="9517" sId="2">
    <nc r="C48">
      <f>IF(B48="","",TEXT(B48,"0.0"))</f>
    </nc>
  </rcc>
  <rcc rId="9518" sId="2">
    <nc r="C49">
      <f>IF(B49="","",TEXT(B49,"0.0"))</f>
    </nc>
  </rcc>
  <rcc rId="9519" sId="2">
    <nc r="C50">
      <f>IF(B50="","",TEXT(B50,"0.0"))</f>
    </nc>
  </rcc>
  <rcc rId="9520" sId="2">
    <nc r="C51">
      <f>IF(B51="","",TEXT(B51,"0.0"))</f>
    </nc>
  </rcc>
  <rcc rId="9521" sId="2">
    <nc r="C52">
      <f>IF(B52="","",TEXT(B52,"0.0"))</f>
    </nc>
  </rcc>
  <rcc rId="9522" sId="2">
    <nc r="C53">
      <f>IF(B53="","",TEXT(B53,"0.0"))</f>
    </nc>
  </rcc>
  <rcc rId="9523" sId="2">
    <nc r="C54">
      <f>IF(B54="","",TEXT(B54,"0.0"))</f>
    </nc>
  </rcc>
  <rcc rId="9524" sId="2">
    <nc r="C55">
      <f>IF(B55="","",TEXT(B55,"0.0"))</f>
    </nc>
  </rcc>
  <rcc rId="9525" sId="2">
    <nc r="C56">
      <f>IF(B56="","",TEXT(B56,"0.0"))</f>
    </nc>
  </rcc>
  <rcc rId="9526" sId="2">
    <nc r="C57">
      <f>IF(B57="","",TEXT(B57,"0.0"))</f>
    </nc>
  </rcc>
  <rcc rId="9527" sId="2">
    <nc r="C58">
      <f>IF(B58="","",TEXT(B58,"0.0"))</f>
    </nc>
  </rcc>
  <rcc rId="9528" sId="2">
    <nc r="C59">
      <f>IF(B59="","",TEXT(B59,"0.0"))</f>
    </nc>
  </rcc>
  <rcc rId="9529" sId="2">
    <nc r="C60">
      <f>IF(B60="","",TEXT(B60,"0.0"))</f>
    </nc>
  </rcc>
  <rcc rId="9530" sId="2">
    <nc r="C61">
      <f>IF(B61="","",TEXT(B61,"0.0"))</f>
    </nc>
  </rcc>
  <rcc rId="9531" sId="2">
    <nc r="C62">
      <f>IF(B62="","",TEXT(B62,"0.0"))</f>
    </nc>
  </rcc>
  <rcc rId="9532" sId="2">
    <nc r="C63">
      <f>IF(B63="","",TEXT(B63,"0.0"))</f>
    </nc>
  </rcc>
  <rcc rId="9533" sId="2">
    <nc r="C64">
      <f>IF(B64="","",TEXT(B64,"0.0"))</f>
    </nc>
  </rcc>
  <rcc rId="9534" sId="2">
    <nc r="C65">
      <f>IF(B65="","",TEXT(B65,"0.0"))</f>
    </nc>
  </rcc>
  <rcc rId="9535" sId="2">
    <nc r="C66">
      <f>IF(B66="","",TEXT(B66,"0.0"))</f>
    </nc>
  </rcc>
  <rcc rId="9536" sId="2">
    <nc r="C67">
      <f>IF(B67="","",TEXT(B67,"0.0"))</f>
    </nc>
  </rcc>
  <rcc rId="9537" sId="2">
    <nc r="C68">
      <f>IF(B68="","",TEXT(B68,"0.0"))</f>
    </nc>
  </rcc>
  <rcc rId="9538" sId="2">
    <nc r="C69">
      <f>IF(B69="","",TEXT(B69,"0.0"))</f>
    </nc>
  </rcc>
  <rcc rId="9539" sId="2">
    <nc r="C70">
      <f>IF(B70="","",TEXT(B70,"0.0"))</f>
    </nc>
  </rcc>
  <rcc rId="9540" sId="2">
    <nc r="C71">
      <f>IF(B71="","",TEXT(B71,"0.0"))</f>
    </nc>
  </rcc>
  <rcc rId="9541" sId="2">
    <nc r="C72">
      <f>IF(B72="","",TEXT(B72,"0.0"))</f>
    </nc>
  </rcc>
  <rcc rId="9542" sId="2">
    <nc r="C73">
      <f>IF(B73="","",TEXT(B73,"0.0"))</f>
    </nc>
  </rcc>
  <rcc rId="9543" sId="2">
    <nc r="C74">
      <f>IF(B74="","",TEXT(B74,"0.0"))</f>
    </nc>
  </rcc>
  <rcc rId="9544" sId="2">
    <nc r="C75">
      <f>IF(B75="","",TEXT(B75,"0.0"))</f>
    </nc>
  </rcc>
  <rcc rId="9545" sId="2">
    <nc r="C76">
      <f>IF(B76="","",TEXT(B76,"0.0"))</f>
    </nc>
  </rcc>
  <rcc rId="9546" sId="2">
    <nc r="C77">
      <f>IF(B77="","",TEXT(B77,"0.0"))</f>
    </nc>
  </rcc>
  <rcc rId="9547" sId="2" odxf="1" dxf="1">
    <nc r="C78">
      <f>IF(B78="","",TEXT(B78,"0.0"))</f>
    </nc>
    <odxf>
      <alignment horizontal="general" vertical="bottom"/>
    </odxf>
    <ndxf>
      <alignment horizontal="left" vertical="top"/>
    </ndxf>
  </rcc>
  <rcc rId="9548" sId="2" odxf="1" dxf="1">
    <nc r="C79">
      <f>IF(B79="","",TEXT(B79,"0.0"))</f>
    </nc>
    <odxf>
      <alignment horizontal="general" vertical="bottom"/>
    </odxf>
    <ndxf>
      <alignment horizontal="left" vertical="top"/>
    </ndxf>
  </rcc>
  <rcc rId="9549" sId="2" odxf="1" dxf="1">
    <nc r="C80">
      <f>IF(B80="","",TEXT(B80,"0.0"))</f>
    </nc>
    <odxf>
      <alignment horizontal="general" vertical="bottom"/>
    </odxf>
    <ndxf>
      <alignment horizontal="left" vertical="top"/>
    </ndxf>
  </rcc>
  <rcc rId="9550" sId="2" odxf="1" dxf="1">
    <nc r="C81">
      <f>IF(B81="","",TEXT(B81,"0.0"))</f>
    </nc>
    <odxf>
      <alignment horizontal="general" vertical="bottom"/>
    </odxf>
    <ndxf>
      <alignment horizontal="left" vertical="top"/>
    </ndxf>
  </rcc>
  <rcc rId="9551" sId="2" odxf="1" dxf="1">
    <nc r="C82">
      <f>IF(B82="","",TEXT(B82,"0.0"))</f>
    </nc>
    <odxf>
      <alignment horizontal="general" vertical="bottom"/>
    </odxf>
    <ndxf>
      <alignment horizontal="left" vertical="top"/>
    </ndxf>
  </rcc>
  <rcc rId="9552" sId="2" odxf="1" dxf="1">
    <nc r="C83">
      <f>IF(B83="","",TEXT(B83,"0.0"))</f>
    </nc>
    <odxf>
      <alignment horizontal="general" vertical="bottom"/>
    </odxf>
    <ndxf>
      <alignment horizontal="left" vertical="top"/>
    </ndxf>
  </rcc>
  <rcc rId="9553" sId="2" odxf="1" dxf="1">
    <nc r="C84">
      <f>IF(B84="","",TEXT(B84,"0.0"))</f>
    </nc>
    <odxf>
      <alignment horizontal="general" vertical="bottom"/>
    </odxf>
    <ndxf>
      <alignment horizontal="left" vertical="top"/>
    </ndxf>
  </rcc>
  <rcc rId="9554" sId="2" odxf="1" dxf="1">
    <nc r="C85">
      <f>IF(B85="","",TEXT(B85,"0.0"))</f>
    </nc>
    <odxf>
      <alignment horizontal="general" vertical="bottom"/>
    </odxf>
    <ndxf>
      <alignment horizontal="left" vertical="top"/>
    </ndxf>
  </rcc>
  <rcc rId="9555" sId="2" odxf="1" dxf="1">
    <nc r="C86">
      <f>IF(B86="","",TEXT(B86,"0.0"))</f>
    </nc>
    <odxf>
      <alignment horizontal="general" vertical="bottom"/>
    </odxf>
    <ndxf>
      <alignment horizontal="left" vertical="top"/>
    </ndxf>
  </rcc>
  <rcc rId="9556" sId="2" odxf="1" dxf="1">
    <nc r="C87">
      <f>IF(B87="","",TEXT(B87,"0.0"))</f>
    </nc>
    <odxf>
      <alignment horizontal="general" vertical="bottom"/>
    </odxf>
    <ndxf>
      <alignment horizontal="left" vertical="top"/>
    </ndxf>
  </rcc>
  <rcc rId="9557" sId="2" odxf="1" dxf="1">
    <nc r="C88">
      <f>IF(B88="","",TEXT(B88,"0.0"))</f>
    </nc>
    <odxf>
      <alignment horizontal="general" vertical="bottom"/>
    </odxf>
    <ndxf>
      <alignment horizontal="left" vertical="top"/>
    </ndxf>
  </rcc>
  <rcc rId="9558" sId="2" odxf="1" dxf="1">
    <nc r="C89">
      <f>IF(B89="","",TEXT(B89,"0.0"))</f>
    </nc>
    <odxf>
      <alignment horizontal="general" vertical="bottom"/>
    </odxf>
    <ndxf>
      <alignment horizontal="left" vertical="top"/>
    </ndxf>
  </rcc>
  <rcc rId="9559" sId="2" odxf="1" dxf="1">
    <nc r="C90">
      <f>IF(B90="","",TEXT(B90,"0.0"))</f>
    </nc>
    <odxf>
      <alignment horizontal="general" vertical="bottom"/>
    </odxf>
    <ndxf>
      <alignment horizontal="left" vertical="top"/>
    </ndxf>
  </rcc>
  <rcc rId="9560" sId="2" odxf="1" dxf="1">
    <nc r="C91">
      <f>IF(B91="","",TEXT(B91,"0.0"))</f>
    </nc>
    <odxf>
      <alignment horizontal="general" vertical="bottom"/>
    </odxf>
    <ndxf>
      <alignment horizontal="left" vertical="top"/>
    </ndxf>
  </rcc>
  <rcc rId="9561" sId="2" odxf="1" dxf="1">
    <nc r="C92">
      <f>IF(B92="","",TEXT(B92,"0.0"))</f>
    </nc>
    <odxf>
      <alignment horizontal="general" vertical="bottom"/>
    </odxf>
    <ndxf>
      <alignment horizontal="left" vertical="top"/>
    </ndxf>
  </rcc>
  <rcc rId="9562" sId="2" odxf="1" dxf="1">
    <nc r="C93">
      <f>IF(B93="","",TEXT(B93,"0.0"))</f>
    </nc>
    <odxf>
      <alignment horizontal="general" vertical="bottom"/>
    </odxf>
    <ndxf>
      <alignment horizontal="left" vertical="top"/>
    </ndxf>
  </rcc>
  <rcc rId="9563" sId="2" odxf="1" dxf="1">
    <nc r="C94">
      <f>IF(B94="","",TEXT(B94,"0.0"))</f>
    </nc>
    <odxf>
      <alignment horizontal="general" vertical="bottom"/>
    </odxf>
    <ndxf>
      <alignment horizontal="left" vertical="top"/>
    </ndxf>
  </rcc>
  <rcc rId="9564" sId="2" odxf="1" dxf="1">
    <nc r="C95">
      <f>IF(B95="","",TEXT(B95,"0.0"))</f>
    </nc>
    <odxf>
      <alignment horizontal="general" vertical="bottom"/>
    </odxf>
    <ndxf>
      <alignment horizontal="left" vertical="top"/>
    </ndxf>
  </rcc>
  <rcc rId="9565" sId="2" odxf="1" dxf="1">
    <nc r="C96">
      <f>IF(B96="","",TEXT(B96,"0.0"))</f>
    </nc>
    <odxf>
      <alignment horizontal="general" vertical="bottom"/>
    </odxf>
    <ndxf>
      <alignment horizontal="left" vertical="top"/>
    </ndxf>
  </rcc>
  <rcc rId="9566" sId="2" odxf="1" dxf="1">
    <nc r="C97">
      <f>IF(B97="","",TEXT(B97,"0.0"))</f>
    </nc>
    <odxf>
      <alignment horizontal="general" vertical="bottom"/>
    </odxf>
    <ndxf>
      <alignment horizontal="left" vertical="top"/>
    </ndxf>
  </rcc>
  <rcc rId="9567" sId="2" odxf="1" dxf="1">
    <nc r="C98">
      <f>IF(B98="","",TEXT(B98,"0.0"))</f>
    </nc>
    <odxf>
      <alignment horizontal="general" vertical="bottom"/>
    </odxf>
    <ndxf>
      <alignment horizontal="left" vertical="top"/>
    </ndxf>
  </rcc>
  <rcc rId="9568" sId="2" odxf="1" dxf="1">
    <nc r="C99">
      <f>IF(B99="","",TEXT(B99,"0.0"))</f>
    </nc>
    <odxf>
      <alignment horizontal="general" vertical="bottom"/>
    </odxf>
    <ndxf>
      <alignment horizontal="left" vertical="top"/>
    </ndxf>
  </rcc>
  <rcc rId="9569" sId="2" odxf="1" dxf="1">
    <nc r="C100">
      <f>IF(B100="","",TEXT(B100,"0.0"))</f>
    </nc>
    <odxf>
      <alignment horizontal="general" vertical="bottom"/>
    </odxf>
    <ndxf>
      <alignment horizontal="left" vertical="top"/>
    </ndxf>
  </rcc>
  <rcc rId="9570" sId="2" odxf="1" dxf="1">
    <nc r="C101">
      <f>IF(B101="","",TEXT(B101,"0.0"))</f>
    </nc>
    <odxf>
      <alignment horizontal="general" vertical="bottom"/>
    </odxf>
    <ndxf>
      <alignment horizontal="left" vertical="top"/>
    </ndxf>
  </rcc>
  <rcc rId="9571" sId="2" odxf="1" dxf="1">
    <nc r="C102">
      <f>IF(B102="","",TEXT(B102,"0.0"))</f>
    </nc>
    <odxf>
      <alignment horizontal="general" vertical="bottom"/>
    </odxf>
    <ndxf>
      <alignment horizontal="left" vertical="top"/>
    </ndxf>
  </rcc>
  <rcc rId="9572" sId="2" odxf="1" dxf="1">
    <nc r="C103">
      <f>IF(B103="","",TEXT(B103,"0.0"))</f>
    </nc>
    <odxf>
      <alignment horizontal="general" vertical="bottom"/>
    </odxf>
    <ndxf>
      <alignment horizontal="left" vertical="top"/>
    </ndxf>
  </rcc>
  <rcc rId="9573" sId="2" odxf="1" dxf="1">
    <nc r="C104">
      <f>IF(B104="","",TEXT(B104,"0.0"))</f>
    </nc>
    <odxf>
      <alignment horizontal="general" vertical="bottom"/>
    </odxf>
    <ndxf>
      <alignment horizontal="left" vertical="top"/>
    </ndxf>
  </rcc>
  <rcc rId="9574" sId="2" odxf="1" dxf="1">
    <nc r="C105">
      <f>IF(B105="","",TEXT(B105,"0.0"))</f>
    </nc>
    <odxf>
      <alignment horizontal="general" vertical="bottom"/>
    </odxf>
    <ndxf>
      <alignment horizontal="left" vertical="top"/>
    </ndxf>
  </rcc>
  <rcc rId="9575" sId="2" odxf="1" dxf="1">
    <nc r="C106">
      <f>IF(B106="","",TEXT(B106,"0.0"))</f>
    </nc>
    <odxf>
      <alignment horizontal="general" vertical="bottom"/>
    </odxf>
    <ndxf>
      <alignment horizontal="left" vertical="top"/>
    </ndxf>
  </rcc>
  <rcc rId="9576" sId="2" odxf="1" dxf="1">
    <nc r="C107">
      <f>IF(B107="","",TEXT(B107,"0.0"))</f>
    </nc>
    <odxf>
      <alignment horizontal="general" vertical="bottom"/>
    </odxf>
    <ndxf>
      <alignment horizontal="left" vertical="top"/>
    </ndxf>
  </rcc>
  <rcc rId="9577" sId="2" odxf="1" dxf="1">
    <nc r="C108">
      <f>IF(B108="","",TEXT(B108,"0.0"))</f>
    </nc>
    <odxf>
      <alignment horizontal="general" vertical="bottom"/>
    </odxf>
    <ndxf>
      <alignment horizontal="left" vertical="top"/>
    </ndxf>
  </rcc>
  <rcc rId="9578" sId="2" odxf="1" dxf="1">
    <nc r="C109">
      <f>IF(B109="","",TEXT(B109,"0.0"))</f>
    </nc>
    <odxf>
      <alignment horizontal="general" vertical="bottom"/>
    </odxf>
    <ndxf>
      <alignment horizontal="left" vertical="top"/>
    </ndxf>
  </rcc>
  <rcc rId="9579" sId="2" odxf="1" dxf="1">
    <nc r="C110">
      <f>IF(B110="","",TEXT(B110,"0.0"))</f>
    </nc>
    <odxf>
      <alignment horizontal="general" vertical="bottom"/>
    </odxf>
    <ndxf>
      <alignment horizontal="left" vertical="top"/>
    </ndxf>
  </rcc>
  <rcc rId="9580" sId="2" odxf="1" dxf="1">
    <nc r="C111">
      <f>IF(B111="","",TEXT(B111,"0.0"))</f>
    </nc>
    <odxf>
      <alignment horizontal="general" vertical="bottom"/>
    </odxf>
    <ndxf>
      <alignment horizontal="left" vertical="top"/>
    </ndxf>
  </rcc>
  <rcc rId="9581" sId="2" odxf="1" dxf="1">
    <nc r="C112">
      <f>IF(B112="","",TEXT(B112,"0.0"))</f>
    </nc>
    <odxf>
      <alignment horizontal="general" vertical="bottom"/>
    </odxf>
    <ndxf>
      <alignment horizontal="left" vertical="top"/>
    </ndxf>
  </rcc>
  <rcc rId="9582" sId="2" odxf="1" dxf="1">
    <nc r="C113">
      <f>IF(B113="","",TEXT(B113,"0.0"))</f>
    </nc>
    <odxf>
      <alignment horizontal="general" vertical="bottom"/>
    </odxf>
    <ndxf>
      <alignment horizontal="left" vertical="top"/>
    </ndxf>
  </rcc>
  <rcc rId="9583" sId="2" odxf="1" dxf="1">
    <nc r="C114">
      <f>IF(B114="","",TEXT(B114,"0.0"))</f>
    </nc>
    <odxf>
      <alignment horizontal="general" vertical="bottom"/>
    </odxf>
    <ndxf>
      <alignment horizontal="left" vertical="top"/>
    </ndxf>
  </rcc>
  <rcc rId="9584" sId="2" odxf="1" dxf="1">
    <nc r="C115">
      <f>IF(B115="","",TEXT(B115,"0.0"))</f>
    </nc>
    <odxf>
      <alignment horizontal="general" vertical="bottom"/>
    </odxf>
    <ndxf>
      <alignment horizontal="left" vertical="top"/>
    </ndxf>
  </rcc>
  <rcc rId="9585" sId="2" odxf="1" dxf="1">
    <nc r="C116">
      <f>IF(B116="","",TEXT(B116,"0.0"))</f>
    </nc>
    <odxf>
      <alignment horizontal="general" vertical="bottom"/>
    </odxf>
    <ndxf>
      <alignment horizontal="left" vertical="top"/>
    </ndxf>
  </rcc>
  <rcc rId="9586" sId="2" odxf="1" dxf="1">
    <nc r="C117">
      <f>IF(B117="","",TEXT(B117,"0.0"))</f>
    </nc>
    <odxf>
      <alignment horizontal="general" vertical="bottom"/>
    </odxf>
    <ndxf>
      <alignment horizontal="left" vertical="top"/>
    </ndxf>
  </rcc>
  <rcc rId="9587" sId="2" odxf="1" dxf="1">
    <nc r="C118">
      <f>IF(B118="","",TEXT(B118,"0.0"))</f>
    </nc>
    <odxf>
      <alignment horizontal="general" vertical="bottom"/>
    </odxf>
    <ndxf>
      <alignment horizontal="left" vertical="top"/>
    </ndxf>
  </rcc>
  <rcc rId="9588" sId="2" odxf="1" dxf="1">
    <nc r="C119">
      <f>IF(B119="","",TEXT(B119,"0.0"))</f>
    </nc>
    <odxf>
      <alignment horizontal="general" vertical="bottom"/>
    </odxf>
    <ndxf>
      <alignment horizontal="left" vertical="top"/>
    </ndxf>
  </rcc>
  <rcc rId="9589" sId="2" odxf="1" dxf="1">
    <nc r="C120">
      <f>IF(B120="","",TEXT(B120,"0.0"))</f>
    </nc>
    <odxf>
      <alignment horizontal="general" vertical="bottom"/>
    </odxf>
    <ndxf>
      <alignment horizontal="left" vertical="top"/>
    </ndxf>
  </rcc>
  <rcc rId="9590" sId="2" odxf="1" dxf="1">
    <nc r="C121">
      <f>IF(B121="","",TEXT(B121,"0.0"))</f>
    </nc>
    <odxf>
      <alignment horizontal="general" vertical="bottom"/>
    </odxf>
    <ndxf>
      <alignment horizontal="left" vertical="top"/>
    </ndxf>
  </rcc>
  <rcc rId="9591" sId="2" odxf="1" dxf="1">
    <nc r="C122">
      <f>IF(B122="","",TEXT(B122,"0.0"))</f>
    </nc>
    <odxf>
      <alignment horizontal="general" vertical="bottom"/>
    </odxf>
    <ndxf>
      <alignment horizontal="left" vertical="top"/>
    </ndxf>
  </rcc>
  <rcc rId="9592" sId="2" odxf="1" dxf="1">
    <nc r="C123">
      <f>IF(B123="","",TEXT(B123,"0.0"))</f>
    </nc>
    <odxf>
      <alignment horizontal="general" vertical="bottom"/>
    </odxf>
    <ndxf>
      <alignment horizontal="left" vertical="top"/>
    </ndxf>
  </rcc>
  <rcc rId="9593" sId="2" odxf="1" dxf="1">
    <nc r="C124">
      <f>IF(B124="","",TEXT(B124,"0.0"))</f>
    </nc>
    <odxf>
      <alignment horizontal="general" vertical="bottom"/>
    </odxf>
    <ndxf>
      <alignment horizontal="left" vertical="top"/>
    </ndxf>
  </rcc>
  <rcc rId="9594" sId="2" odxf="1" dxf="1">
    <nc r="C125">
      <f>IF(B125="","",TEXT(B125,"0.0"))</f>
    </nc>
    <odxf>
      <alignment horizontal="general" vertical="bottom"/>
    </odxf>
    <ndxf>
      <alignment horizontal="left" vertical="top"/>
    </ndxf>
  </rcc>
  <rcc rId="9595" sId="2" odxf="1" dxf="1">
    <nc r="C126">
      <f>IF(B126="","",TEXT(B126,"0.0"))</f>
    </nc>
    <odxf>
      <alignment horizontal="general" vertical="bottom"/>
    </odxf>
    <ndxf>
      <alignment horizontal="left" vertical="top"/>
    </ndxf>
  </rcc>
  <rcc rId="9596" sId="2" odxf="1" dxf="1">
    <nc r="C127">
      <f>IF(B127="","",TEXT(B127,"0.0"))</f>
    </nc>
    <odxf>
      <alignment horizontal="general" vertical="bottom"/>
    </odxf>
    <ndxf>
      <alignment horizontal="left" vertical="top"/>
    </ndxf>
  </rcc>
  <rcc rId="9597" sId="2" odxf="1" dxf="1">
    <nc r="C128">
      <f>IF(B128="","",TEXT(B128,"0.0"))</f>
    </nc>
    <odxf>
      <alignment horizontal="general" vertical="bottom"/>
    </odxf>
    <ndxf>
      <alignment horizontal="left" vertical="top"/>
    </ndxf>
  </rcc>
  <rcc rId="9598" sId="2" odxf="1" dxf="1">
    <nc r="C129">
      <f>IF(B129="","",TEXT(B129,"0.0"))</f>
    </nc>
    <odxf>
      <alignment horizontal="general" vertical="bottom"/>
    </odxf>
    <ndxf>
      <alignment horizontal="left" vertical="top"/>
    </ndxf>
  </rcc>
  <rcc rId="9599" sId="2" odxf="1" dxf="1">
    <nc r="C130">
      <f>IF(B130="","",TEXT(B130,"0.0"))</f>
    </nc>
    <odxf>
      <alignment horizontal="general" vertical="bottom"/>
    </odxf>
    <ndxf>
      <alignment horizontal="left" vertical="top"/>
    </ndxf>
  </rcc>
  <rcc rId="9600" sId="2" odxf="1" dxf="1">
    <nc r="C131">
      <f>IF(B131="","",TEXT(B131,"0.0"))</f>
    </nc>
    <odxf>
      <alignment horizontal="general" vertical="bottom"/>
    </odxf>
    <ndxf>
      <alignment horizontal="left" vertical="top"/>
    </ndxf>
  </rcc>
  <rcc rId="9601" sId="2" odxf="1" dxf="1">
    <nc r="C132">
      <f>IF(B132="","",TEXT(B132,"0.0"))</f>
    </nc>
    <odxf>
      <alignment horizontal="general" vertical="bottom"/>
    </odxf>
    <ndxf>
      <alignment horizontal="left" vertical="top"/>
    </ndxf>
  </rcc>
  <rcc rId="9602" sId="2" odxf="1" dxf="1">
    <nc r="C133">
      <f>IF(B133="","",TEXT(B133,"0.0"))</f>
    </nc>
    <odxf>
      <alignment horizontal="general" vertical="bottom"/>
    </odxf>
    <ndxf>
      <alignment horizontal="left" vertical="top"/>
    </ndxf>
  </rcc>
  <rcc rId="9603" sId="2" odxf="1" dxf="1">
    <nc r="C134">
      <f>IF(B134="","",TEXT(B134,"0.0"))</f>
    </nc>
    <odxf>
      <alignment horizontal="general" vertical="bottom"/>
    </odxf>
    <ndxf>
      <alignment horizontal="left" vertical="top"/>
    </ndxf>
  </rcc>
  <rcc rId="9604" sId="2" odxf="1" dxf="1">
    <nc r="C135">
      <f>IF(B135="","",TEXT(B135,"0.0"))</f>
    </nc>
    <odxf>
      <alignment horizontal="general" vertical="bottom"/>
    </odxf>
    <ndxf>
      <alignment horizontal="left" vertical="top"/>
    </ndxf>
  </rcc>
  <rcc rId="9605" sId="2" odxf="1" dxf="1">
    <nc r="C136">
      <f>IF(B136="","",TEXT(B136,"0.0"))</f>
    </nc>
    <odxf>
      <alignment horizontal="general" vertical="bottom"/>
    </odxf>
    <ndxf>
      <alignment horizontal="left" vertical="top"/>
    </ndxf>
  </rcc>
  <rcc rId="9606" sId="2" odxf="1" dxf="1">
    <nc r="C137">
      <f>IF(B137="","",TEXT(B137,"0.0"))</f>
    </nc>
    <odxf>
      <alignment horizontal="general" vertical="bottom"/>
    </odxf>
    <ndxf>
      <alignment horizontal="left" vertical="top"/>
    </ndxf>
  </rcc>
  <rcc rId="9607" sId="2" odxf="1" dxf="1">
    <nc r="C138">
      <f>IF(B138="","",TEXT(B138,"0.0"))</f>
    </nc>
    <odxf>
      <alignment horizontal="general" vertical="bottom"/>
    </odxf>
    <ndxf>
      <alignment horizontal="left" vertical="top"/>
    </ndxf>
  </rcc>
  <rcc rId="9608" sId="2" odxf="1" dxf="1">
    <nc r="C139">
      <f>IF(B139="","",TEXT(B139,"0.0"))</f>
    </nc>
    <odxf>
      <alignment horizontal="general" vertical="bottom"/>
    </odxf>
    <ndxf>
      <alignment horizontal="left" vertical="top"/>
    </ndxf>
  </rcc>
  <rcc rId="9609" sId="2" odxf="1" dxf="1">
    <nc r="C140">
      <f>IF(B140="","",TEXT(B140,"0.0"))</f>
    </nc>
    <odxf>
      <alignment horizontal="general" vertical="bottom"/>
    </odxf>
    <ndxf>
      <alignment horizontal="left" vertical="top"/>
    </ndxf>
  </rcc>
  <rcc rId="9610" sId="2" odxf="1" dxf="1">
    <nc r="C141">
      <f>IF(B141="","",TEXT(B141,"0.0"))</f>
    </nc>
    <odxf>
      <alignment horizontal="general" vertical="bottom"/>
    </odxf>
    <ndxf>
      <alignment horizontal="left" vertical="top"/>
    </ndxf>
  </rcc>
  <rcc rId="9611" sId="2" odxf="1" dxf="1">
    <nc r="C142">
      <f>IF(B142="","",TEXT(B142,"0.0"))</f>
    </nc>
    <odxf>
      <alignment horizontal="general" vertical="bottom"/>
    </odxf>
    <ndxf>
      <alignment horizontal="left" vertical="top"/>
    </ndxf>
  </rcc>
  <rcc rId="9612" sId="2" odxf="1" dxf="1">
    <nc r="C143">
      <f>IF(B143="","",TEXT(B143,"0.0"))</f>
    </nc>
    <odxf>
      <alignment horizontal="general" vertical="bottom"/>
    </odxf>
    <ndxf>
      <alignment horizontal="left" vertical="top"/>
    </ndxf>
  </rcc>
  <rcc rId="9613" sId="2" odxf="1" dxf="1">
    <nc r="C144">
      <f>IF(B144="","",TEXT(B144,"0.0"))</f>
    </nc>
    <odxf>
      <alignment horizontal="general" vertical="bottom"/>
    </odxf>
    <ndxf>
      <alignment horizontal="left" vertical="top"/>
    </ndxf>
  </rcc>
  <rcc rId="9614" sId="2" odxf="1" dxf="1">
    <nc r="C145">
      <f>IF(B145="","",TEXT(B145,"0.0"))</f>
    </nc>
    <odxf>
      <alignment horizontal="general" vertical="bottom"/>
    </odxf>
    <ndxf>
      <alignment horizontal="left" vertical="top"/>
    </ndxf>
  </rcc>
  <rcc rId="9615" sId="2" odxf="1" dxf="1">
    <nc r="C146">
      <f>IF(B146="","",TEXT(B146,"0.0"))</f>
    </nc>
    <odxf>
      <alignment horizontal="general" vertical="bottom"/>
    </odxf>
    <ndxf>
      <alignment horizontal="left" vertical="top"/>
    </ndxf>
  </rcc>
  <rcc rId="9616" sId="2" odxf="1" dxf="1">
    <nc r="C147">
      <f>IF(B147="","",TEXT(B147,"0.0"))</f>
    </nc>
    <odxf>
      <alignment horizontal="general" vertical="bottom"/>
    </odxf>
    <ndxf>
      <alignment horizontal="left" vertical="top"/>
    </ndxf>
  </rcc>
  <rcc rId="9617" sId="2" odxf="1" dxf="1">
    <nc r="C148">
      <f>IF(B148="","",TEXT(B148,"0.0"))</f>
    </nc>
    <odxf>
      <alignment horizontal="general" vertical="bottom"/>
    </odxf>
    <ndxf>
      <alignment horizontal="left" vertical="top"/>
    </ndxf>
  </rcc>
  <rcc rId="9618" sId="2" odxf="1" dxf="1">
    <nc r="C149">
      <f>IF(B149="","",TEXT(B149,"0.0"))</f>
    </nc>
    <odxf>
      <alignment horizontal="general" vertical="bottom"/>
    </odxf>
    <ndxf>
      <alignment horizontal="left" vertical="top"/>
    </ndxf>
  </rcc>
  <rcc rId="9619" sId="2" odxf="1" dxf="1">
    <nc r="C150">
      <f>IF(B150="","",TEXT(B150,"0.0"))</f>
    </nc>
    <odxf>
      <alignment horizontal="general" vertical="bottom"/>
    </odxf>
    <ndxf>
      <alignment horizontal="left" vertical="top"/>
    </ndxf>
  </rcc>
  <rcc rId="9620" sId="2" odxf="1" dxf="1">
    <nc r="C151">
      <f>IF(B151="","",TEXT(B151,"0.0"))</f>
    </nc>
    <odxf>
      <alignment horizontal="general" vertical="bottom"/>
    </odxf>
    <ndxf>
      <alignment horizontal="left" vertical="top"/>
    </ndxf>
  </rcc>
  <rcc rId="9621" sId="2" odxf="1" dxf="1">
    <nc r="C152">
      <f>IF(B152="","",TEXT(B152,"0.0"))</f>
    </nc>
    <odxf>
      <alignment horizontal="general" vertical="bottom"/>
    </odxf>
    <ndxf>
      <alignment horizontal="left" vertical="top"/>
    </ndxf>
  </rcc>
  <rcc rId="9622" sId="2" odxf="1" dxf="1">
    <nc r="C153">
      <f>IF(B153="","",TEXT(B153,"0.0"))</f>
    </nc>
    <odxf>
      <alignment horizontal="general" vertical="bottom"/>
    </odxf>
    <ndxf>
      <alignment horizontal="left" vertical="top"/>
    </ndxf>
  </rcc>
  <rcc rId="9623" sId="2" odxf="1" dxf="1">
    <nc r="C154">
      <f>IF(B154="","",TEXT(B154,"0.0"))</f>
    </nc>
    <odxf>
      <alignment horizontal="general" vertical="bottom"/>
    </odxf>
    <ndxf>
      <alignment horizontal="left" vertical="top"/>
    </ndxf>
  </rcc>
  <rcc rId="9624" sId="2" odxf="1" dxf="1">
    <nc r="C155">
      <f>IF(B155="","",TEXT(B155,"0.0"))</f>
    </nc>
    <odxf>
      <alignment horizontal="general" vertical="bottom"/>
    </odxf>
    <ndxf>
      <alignment horizontal="left" vertical="top"/>
    </ndxf>
  </rcc>
  <rcc rId="9625" sId="2" odxf="1" dxf="1">
    <nc r="C156">
      <f>IF(B156="","",TEXT(B156,"0.0"))</f>
    </nc>
    <odxf>
      <alignment horizontal="general" vertical="bottom"/>
    </odxf>
    <ndxf>
      <alignment horizontal="left" vertical="top"/>
    </ndxf>
  </rcc>
  <rcc rId="9626" sId="2" odxf="1" dxf="1">
    <nc r="C157">
      <f>IF(B157="","",TEXT(B157,"0.0"))</f>
    </nc>
    <odxf>
      <alignment horizontal="general" vertical="bottom"/>
    </odxf>
    <ndxf>
      <alignment horizontal="left" vertical="top"/>
    </ndxf>
  </rcc>
  <rcc rId="9627" sId="2" odxf="1" dxf="1">
    <nc r="C158">
      <f>IF(B158="","",TEXT(B158,"0.0"))</f>
    </nc>
    <odxf>
      <alignment horizontal="general" vertical="bottom"/>
    </odxf>
    <ndxf>
      <alignment horizontal="left" vertical="top"/>
    </ndxf>
  </rcc>
  <rcc rId="9628" sId="2" odxf="1" dxf="1">
    <nc r="C159">
      <f>IF(B159="","",TEXT(B159,"0.0"))</f>
    </nc>
    <odxf>
      <alignment horizontal="general" vertical="bottom"/>
    </odxf>
    <ndxf>
      <alignment horizontal="left" vertical="top"/>
    </ndxf>
  </rcc>
  <rcc rId="9629" sId="2" odxf="1" dxf="1">
    <nc r="C160">
      <f>IF(B160="","",TEXT(B160,"0.0"))</f>
    </nc>
    <odxf>
      <alignment horizontal="general" vertical="bottom"/>
    </odxf>
    <ndxf>
      <alignment horizontal="left" vertical="top"/>
    </ndxf>
  </rcc>
  <rcc rId="9630" sId="2" odxf="1" dxf="1">
    <nc r="C161">
      <f>IF(B161="","",TEXT(B161,"0.0"))</f>
    </nc>
    <odxf>
      <alignment horizontal="general" vertical="bottom"/>
    </odxf>
    <ndxf>
      <alignment horizontal="left" vertical="top"/>
    </ndxf>
  </rcc>
  <rcc rId="9631" sId="2" odxf="1" dxf="1">
    <nc r="C162">
      <f>IF(B162="","",TEXT(B162,"0.0"))</f>
    </nc>
    <odxf>
      <alignment horizontal="general" vertical="bottom"/>
    </odxf>
    <ndxf>
      <alignment horizontal="left" vertical="top"/>
    </ndxf>
  </rcc>
  <rcc rId="9632" sId="2" odxf="1" dxf="1">
    <nc r="C163">
      <f>IF(B163="","",TEXT(B163,"0.0"))</f>
    </nc>
    <odxf>
      <alignment horizontal="general" vertical="bottom"/>
    </odxf>
    <ndxf>
      <alignment horizontal="left" vertical="top"/>
    </ndxf>
  </rcc>
  <rcc rId="9633" sId="2" odxf="1" dxf="1">
    <nc r="C164">
      <f>IF(B164="","",TEXT(B164,"0.0"))</f>
    </nc>
    <odxf>
      <alignment horizontal="general" vertical="bottom"/>
    </odxf>
    <ndxf>
      <alignment horizontal="left" vertical="top"/>
    </ndxf>
  </rcc>
  <rcc rId="9634" sId="2" odxf="1" dxf="1">
    <nc r="C165">
      <f>IF(B165="","",TEXT(B165,"0.0"))</f>
    </nc>
    <odxf>
      <alignment horizontal="general" vertical="bottom"/>
    </odxf>
    <ndxf>
      <alignment horizontal="left" vertical="top"/>
    </ndxf>
  </rcc>
  <rcc rId="9635" sId="2" odxf="1" dxf="1">
    <nc r="C166">
      <f>IF(B166="","",TEXT(B166,"0.0"))</f>
    </nc>
    <odxf>
      <alignment horizontal="general" vertical="bottom"/>
    </odxf>
    <ndxf>
      <alignment horizontal="left" vertical="top"/>
    </ndxf>
  </rcc>
  <rcc rId="9636" sId="2" odxf="1" dxf="1">
    <nc r="C167">
      <f>IF(B167="","",TEXT(B167,"0.0"))</f>
    </nc>
    <odxf>
      <alignment horizontal="general" vertical="bottom"/>
    </odxf>
    <ndxf>
      <alignment horizontal="left" vertical="top"/>
    </ndxf>
  </rcc>
  <rcc rId="9637" sId="2" odxf="1" dxf="1">
    <nc r="C168">
      <f>IF(B168="","",TEXT(B168,"0.0"))</f>
    </nc>
    <odxf>
      <alignment horizontal="general" vertical="bottom"/>
    </odxf>
    <ndxf>
      <alignment horizontal="left" vertical="top"/>
    </ndxf>
  </rcc>
  <rcc rId="9638" sId="2" odxf="1" dxf="1">
    <nc r="C169">
      <f>IF(B169="","",TEXT(B169,"0.0"))</f>
    </nc>
    <odxf>
      <alignment horizontal="general" vertical="bottom"/>
    </odxf>
    <ndxf>
      <alignment horizontal="left" vertical="top"/>
    </ndxf>
  </rcc>
  <rcc rId="9639" sId="2" odxf="1" dxf="1">
    <nc r="C170">
      <f>IF(B170="","",TEXT(B170,"0.0"))</f>
    </nc>
    <odxf>
      <alignment horizontal="general" vertical="bottom"/>
    </odxf>
    <ndxf>
      <alignment horizontal="left" vertical="top"/>
    </ndxf>
  </rcc>
  <rcc rId="9640" sId="2" odxf="1" dxf="1">
    <nc r="C171">
      <f>IF(B171="","",TEXT(B171,"0.0"))</f>
    </nc>
    <odxf>
      <alignment horizontal="general" vertical="bottom"/>
    </odxf>
    <ndxf>
      <alignment horizontal="left" vertical="top"/>
    </ndxf>
  </rcc>
  <rcc rId="9641" sId="2" odxf="1" dxf="1">
    <nc r="C172">
      <f>IF(B172="","",TEXT(B172,"0.0"))</f>
    </nc>
    <odxf>
      <alignment horizontal="general" vertical="bottom"/>
    </odxf>
    <ndxf>
      <alignment horizontal="left" vertical="top"/>
    </ndxf>
  </rcc>
  <rcc rId="9642" sId="2" odxf="1" dxf="1">
    <nc r="C173">
      <f>IF(B173="","",TEXT(B173,"0.0"))</f>
    </nc>
    <odxf>
      <alignment horizontal="general" vertical="bottom"/>
    </odxf>
    <ndxf>
      <alignment horizontal="left" vertical="top"/>
    </ndxf>
  </rcc>
  <rcc rId="9643" sId="2" odxf="1" dxf="1">
    <nc r="C174">
      <f>IF(B174="","",TEXT(B174,"0.0"))</f>
    </nc>
    <odxf>
      <alignment horizontal="general" vertical="bottom"/>
    </odxf>
    <ndxf>
      <alignment horizontal="left" vertical="top"/>
    </ndxf>
  </rcc>
  <rcc rId="9644" sId="2" odxf="1" dxf="1">
    <nc r="C175">
      <f>IF(B175="","",TEXT(B175,"0.0"))</f>
    </nc>
    <odxf>
      <alignment horizontal="general" vertical="bottom"/>
    </odxf>
    <ndxf>
      <alignment horizontal="left" vertical="top"/>
    </ndxf>
  </rcc>
  <rcc rId="9645" sId="2" odxf="1" dxf="1">
    <nc r="C176">
      <f>IF(B176="","",TEXT(B176,"0.0"))</f>
    </nc>
    <odxf>
      <alignment horizontal="general" vertical="bottom"/>
    </odxf>
    <ndxf>
      <alignment horizontal="left" vertical="top"/>
    </ndxf>
  </rcc>
  <rcc rId="9646" sId="2" odxf="1" dxf="1">
    <nc r="C177">
      <f>IF(B177="","",TEXT(B177,"0.0"))</f>
    </nc>
    <odxf>
      <alignment horizontal="general" vertical="bottom"/>
    </odxf>
    <ndxf>
      <alignment horizontal="left" vertical="top"/>
    </ndxf>
  </rcc>
  <rcc rId="9647" sId="2" odxf="1" dxf="1">
    <nc r="C178">
      <f>IF(B178="","",TEXT(B178,"0.0"))</f>
    </nc>
    <odxf>
      <alignment horizontal="general" vertical="bottom"/>
    </odxf>
    <ndxf>
      <alignment horizontal="left" vertical="top"/>
    </ndxf>
  </rcc>
  <rcc rId="9648" sId="2" odxf="1" dxf="1">
    <nc r="C179">
      <f>IF(B179="","",TEXT(B179,"0.0"))</f>
    </nc>
    <odxf>
      <alignment horizontal="general" vertical="bottom"/>
    </odxf>
    <ndxf>
      <alignment horizontal="left" vertical="top"/>
    </ndxf>
  </rcc>
  <rcc rId="9649" sId="2" odxf="1" dxf="1">
    <nc r="C180">
      <f>IF(B180="","",TEXT(B180,"0.0"))</f>
    </nc>
    <odxf>
      <alignment horizontal="general" vertical="bottom"/>
    </odxf>
    <ndxf>
      <alignment horizontal="left" vertical="top"/>
    </ndxf>
  </rcc>
  <rcc rId="9650" sId="2" odxf="1" dxf="1">
    <nc r="C181">
      <f>IF(B181="","",TEXT(B181,"0.0"))</f>
    </nc>
    <odxf>
      <alignment horizontal="general" vertical="bottom"/>
    </odxf>
    <ndxf>
      <alignment horizontal="left" vertical="top"/>
    </ndxf>
  </rcc>
  <rcc rId="9651" sId="2" odxf="1" dxf="1">
    <nc r="C182">
      <f>IF(B182="","",TEXT(B182,"0.0"))</f>
    </nc>
    <odxf>
      <alignment horizontal="general" vertical="bottom"/>
    </odxf>
    <ndxf>
      <alignment horizontal="left" vertical="top"/>
    </ndxf>
  </rcc>
  <rcc rId="9652" sId="2" odxf="1" dxf="1">
    <nc r="C183">
      <f>IF(B183="","",TEXT(B183,"0.0"))</f>
    </nc>
    <odxf>
      <alignment horizontal="general" vertical="bottom"/>
    </odxf>
    <ndxf>
      <alignment horizontal="left" vertical="top"/>
    </ndxf>
  </rcc>
  <rcc rId="9653" sId="2" odxf="1" dxf="1">
    <nc r="C184">
      <f>IF(B184="","",TEXT(B184,"0.0"))</f>
    </nc>
    <odxf>
      <alignment horizontal="general" vertical="bottom"/>
    </odxf>
    <ndxf>
      <alignment horizontal="left" vertical="top"/>
    </ndxf>
  </rcc>
  <rcc rId="9654" sId="2" odxf="1" dxf="1">
    <nc r="C185">
      <f>IF(B185="","",TEXT(B185,"0.0"))</f>
    </nc>
    <odxf>
      <alignment horizontal="general" vertical="bottom"/>
    </odxf>
    <ndxf>
      <alignment horizontal="left" vertical="top"/>
    </ndxf>
  </rcc>
  <rcc rId="9655" sId="2" odxf="1" dxf="1">
    <nc r="C186">
      <f>IF(B186="","",TEXT(B186,"0.0"))</f>
    </nc>
    <odxf>
      <alignment horizontal="general" vertical="bottom"/>
    </odxf>
    <ndxf>
      <alignment horizontal="left" vertical="top"/>
    </ndxf>
  </rcc>
  <rcc rId="9656" sId="2" odxf="1" dxf="1">
    <nc r="C187">
      <f>IF(B187="","",TEXT(B187,"0.0"))</f>
    </nc>
    <odxf>
      <alignment horizontal="general" vertical="bottom"/>
    </odxf>
    <ndxf>
      <alignment horizontal="left" vertical="top"/>
    </ndxf>
  </rcc>
  <rcc rId="9657" sId="2" odxf="1" dxf="1">
    <nc r="C188">
      <f>IF(B188="","",TEXT(B188,"0.0"))</f>
    </nc>
    <odxf>
      <alignment horizontal="general" vertical="bottom"/>
    </odxf>
    <ndxf>
      <alignment horizontal="left" vertical="top"/>
    </ndxf>
  </rcc>
  <rcc rId="9658" sId="2" odxf="1" dxf="1">
    <nc r="C189">
      <f>IF(B189="","",TEXT(B189,"0.0"))</f>
    </nc>
    <odxf>
      <alignment horizontal="general" vertical="bottom"/>
    </odxf>
    <ndxf>
      <alignment horizontal="left" vertical="top"/>
    </ndxf>
  </rcc>
  <rcc rId="9659" sId="2" odxf="1" dxf="1">
    <nc r="C190">
      <f>IF(B190="","",TEXT(B190,"0.0"))</f>
    </nc>
    <odxf>
      <alignment horizontal="general" vertical="bottom"/>
    </odxf>
    <ndxf>
      <alignment horizontal="left" vertical="top"/>
    </ndxf>
  </rcc>
  <rcc rId="9660" sId="2" odxf="1" dxf="1">
    <nc r="C191">
      <f>IF(B191="","",TEXT(B191,"0.0"))</f>
    </nc>
    <odxf>
      <alignment horizontal="general" vertical="bottom"/>
    </odxf>
    <ndxf>
      <alignment horizontal="left" vertical="top"/>
    </ndxf>
  </rcc>
  <rcc rId="9661" sId="2" odxf="1" dxf="1">
    <nc r="C192">
      <f>IF(B192="","",TEXT(B192,"0.0"))</f>
    </nc>
    <odxf>
      <alignment horizontal="general" vertical="bottom"/>
    </odxf>
    <ndxf>
      <alignment horizontal="left" vertical="top"/>
    </ndxf>
  </rcc>
  <rcc rId="9662" sId="2" odxf="1" dxf="1">
    <nc r="C193">
      <f>IF(B193="","",TEXT(B193,"0.0"))</f>
    </nc>
    <odxf>
      <alignment horizontal="general" vertical="bottom"/>
    </odxf>
    <ndxf>
      <alignment horizontal="left" vertical="top"/>
    </ndxf>
  </rcc>
  <rcc rId="9663" sId="2" odxf="1" dxf="1">
    <nc r="C194">
      <f>IF(B194="","",TEXT(B194,"0.0"))</f>
    </nc>
    <odxf>
      <alignment horizontal="general" vertical="bottom"/>
    </odxf>
    <ndxf>
      <alignment horizontal="left" vertical="top"/>
    </ndxf>
  </rcc>
  <rcc rId="9664" sId="2" odxf="1" dxf="1">
    <nc r="C195">
      <f>IF(B195="","",TEXT(B195,"0.0"))</f>
    </nc>
    <odxf>
      <alignment horizontal="general" vertical="bottom"/>
    </odxf>
    <ndxf>
      <alignment horizontal="left" vertical="top"/>
    </ndxf>
  </rcc>
  <rcc rId="9665" sId="2" odxf="1" dxf="1">
    <nc r="C196">
      <f>IF(B196="","",TEXT(B196,"0.0"))</f>
    </nc>
    <odxf>
      <alignment horizontal="general" vertical="bottom"/>
    </odxf>
    <ndxf>
      <alignment horizontal="left" vertical="top"/>
    </ndxf>
  </rcc>
  <rcc rId="9666" sId="2" odxf="1" dxf="1">
    <nc r="C197">
      <f>IF(B197="","",TEXT(B197,"0.0"))</f>
    </nc>
    <odxf>
      <alignment horizontal="general" vertical="bottom"/>
    </odxf>
    <ndxf>
      <alignment horizontal="left" vertical="top"/>
    </ndxf>
  </rcc>
  <rcc rId="9667" sId="2" odxf="1" dxf="1">
    <nc r="C198">
      <f>IF(B198="","",TEXT(B198,"0.0"))</f>
    </nc>
    <odxf>
      <alignment horizontal="general" vertical="bottom"/>
    </odxf>
    <ndxf>
      <alignment horizontal="left" vertical="top"/>
    </ndxf>
  </rcc>
  <rcc rId="9668" sId="2" odxf="1" dxf="1">
    <nc r="C199">
      <f>IF(B199="","",TEXT(B199,"0.0"))</f>
    </nc>
    <odxf>
      <alignment horizontal="general" vertical="bottom"/>
    </odxf>
    <ndxf>
      <alignment horizontal="left" vertical="top"/>
    </ndxf>
  </rcc>
  <rcc rId="9669" sId="2" odxf="1" dxf="1">
    <nc r="C200">
      <f>IF(B200="","",TEXT(B200,"0.0"))</f>
    </nc>
    <odxf>
      <alignment horizontal="general" vertical="bottom"/>
    </odxf>
    <ndxf>
      <alignment horizontal="left" vertical="top"/>
    </ndxf>
  </rcc>
  <rcc rId="9670" sId="2" odxf="1" dxf="1">
    <nc r="C201">
      <f>IF(B201="","",TEXT(B201,"0.0"))</f>
    </nc>
    <odxf>
      <alignment horizontal="general" vertical="bottom"/>
    </odxf>
    <ndxf>
      <alignment horizontal="left" vertical="top"/>
    </ndxf>
  </rcc>
  <rcc rId="9671" sId="2" odxf="1" dxf="1">
    <nc r="C202">
      <f>IF(B202="","",TEXT(B202,"0.0"))</f>
    </nc>
    <odxf>
      <alignment horizontal="general" vertical="bottom"/>
    </odxf>
    <ndxf>
      <alignment horizontal="left" vertical="top"/>
    </ndxf>
  </rcc>
  <rcc rId="9672" sId="2" odxf="1" dxf="1">
    <nc r="C203">
      <f>IF(B203="","",TEXT(B203,"0.0"))</f>
    </nc>
    <odxf>
      <alignment horizontal="general" vertical="bottom"/>
    </odxf>
    <ndxf>
      <alignment horizontal="left" vertical="top"/>
    </ndxf>
  </rcc>
  <rcc rId="9673" sId="2" odxf="1" dxf="1">
    <nc r="C204">
      <f>IF(B204="","",TEXT(B204,"0.0"))</f>
    </nc>
    <odxf>
      <alignment horizontal="general" vertical="bottom"/>
    </odxf>
    <ndxf>
      <alignment horizontal="left" vertical="top"/>
    </ndxf>
  </rcc>
  <rcc rId="9674" sId="2" odxf="1" dxf="1">
    <nc r="C205">
      <f>IF(B205="","",TEXT(B205,"0.0"))</f>
    </nc>
    <odxf>
      <alignment horizontal="general" vertical="bottom"/>
    </odxf>
    <ndxf>
      <alignment horizontal="left" vertical="top"/>
    </ndxf>
  </rcc>
  <rcc rId="9675" sId="2" odxf="1" dxf="1">
    <nc r="C206">
      <f>IF(B206="","",TEXT(B206,"0.0"))</f>
    </nc>
    <odxf>
      <alignment horizontal="general" vertical="bottom"/>
    </odxf>
    <ndxf>
      <alignment horizontal="left" vertical="top"/>
    </ndxf>
  </rcc>
  <rcc rId="9676" sId="2" odxf="1" dxf="1">
    <nc r="C207">
      <f>IF(B207="","",TEXT(B207,"0.0"))</f>
    </nc>
    <odxf>
      <alignment horizontal="general" vertical="bottom"/>
    </odxf>
    <ndxf>
      <alignment horizontal="left" vertical="top"/>
    </ndxf>
  </rcc>
  <rcc rId="9677" sId="2" odxf="1" dxf="1">
    <nc r="C208">
      <f>IF(B208="","",TEXT(B208,"0.0"))</f>
    </nc>
    <odxf>
      <alignment horizontal="general" vertical="bottom"/>
    </odxf>
    <ndxf>
      <alignment horizontal="left" vertical="top"/>
    </ndxf>
  </rcc>
  <rcc rId="9678" sId="2" odxf="1" dxf="1">
    <nc r="C209">
      <f>IF(B209="","",TEXT(B209,"0.0"))</f>
    </nc>
    <odxf>
      <alignment horizontal="general" vertical="bottom"/>
    </odxf>
    <ndxf>
      <alignment horizontal="left" vertical="top"/>
    </ndxf>
  </rcc>
  <rcc rId="9679" sId="2" odxf="1" dxf="1">
    <nc r="C210">
      <f>IF(B210="","",TEXT(B210,"0.0"))</f>
    </nc>
    <odxf>
      <alignment horizontal="general" vertical="bottom"/>
    </odxf>
    <ndxf>
      <alignment horizontal="left" vertical="top"/>
    </ndxf>
  </rcc>
  <rcc rId="9680" sId="2" odxf="1" dxf="1">
    <nc r="C211">
      <f>IF(B211="","",TEXT(B211,"0.0"))</f>
    </nc>
    <odxf>
      <alignment horizontal="general" vertical="bottom"/>
    </odxf>
    <ndxf>
      <alignment horizontal="left" vertical="top"/>
    </ndxf>
  </rcc>
  <rcc rId="9681" sId="2" odxf="1" dxf="1">
    <nc r="C212">
      <f>IF(B212="","",TEXT(B212,"0.0"))</f>
    </nc>
    <odxf>
      <alignment horizontal="general" vertical="bottom"/>
    </odxf>
    <ndxf>
      <alignment horizontal="left" vertical="top"/>
    </ndxf>
  </rcc>
  <rcc rId="9682" sId="2" odxf="1" dxf="1">
    <nc r="C213">
      <f>IF(B213="","",TEXT(B213,"0.0"))</f>
    </nc>
    <odxf>
      <alignment horizontal="general" vertical="bottom"/>
    </odxf>
    <ndxf>
      <alignment horizontal="left" vertical="top"/>
    </ndxf>
  </rcc>
  <rcc rId="9683" sId="2" odxf="1" dxf="1">
    <nc r="C214">
      <f>IF(B214="","",TEXT(B214,"0.0"))</f>
    </nc>
    <odxf>
      <alignment horizontal="general" vertical="bottom"/>
    </odxf>
    <ndxf>
      <alignment horizontal="left" vertical="top"/>
    </ndxf>
  </rcc>
  <rcc rId="9684" sId="2" odxf="1" dxf="1">
    <nc r="C215">
      <f>IF(B215="","",TEXT(B215,"0.0"))</f>
    </nc>
    <odxf>
      <alignment horizontal="general" vertical="bottom"/>
    </odxf>
    <ndxf>
      <alignment horizontal="left" vertical="top"/>
    </ndxf>
  </rcc>
  <rcc rId="9685" sId="2" odxf="1" dxf="1">
    <nc r="C216">
      <f>IF(B216="","",TEXT(B216,"0.0"))</f>
    </nc>
    <odxf>
      <alignment horizontal="general" vertical="bottom"/>
    </odxf>
    <ndxf>
      <alignment horizontal="left" vertical="top"/>
    </ndxf>
  </rcc>
  <rcc rId="9686" sId="2" odxf="1" dxf="1">
    <nc r="C217">
      <f>IF(B217="","",TEXT(B217,"0.0"))</f>
    </nc>
    <odxf>
      <alignment horizontal="general" vertical="bottom"/>
    </odxf>
    <ndxf>
      <alignment horizontal="left" vertical="top"/>
    </ndxf>
  </rcc>
  <rcc rId="9687" sId="2" odxf="1" dxf="1">
    <nc r="C218">
      <f>IF(B218="","",TEXT(B218,"0.0"))</f>
    </nc>
    <odxf>
      <alignment horizontal="general" vertical="bottom"/>
    </odxf>
    <ndxf>
      <alignment horizontal="left" vertical="top"/>
    </ndxf>
  </rcc>
  <rcc rId="9688" sId="2" odxf="1" dxf="1">
    <nc r="C219">
      <f>IF(B219="","",TEXT(B219,"0.0"))</f>
    </nc>
    <odxf>
      <alignment horizontal="general" vertical="bottom"/>
    </odxf>
    <ndxf>
      <alignment horizontal="left" vertical="top"/>
    </ndxf>
  </rcc>
  <rcc rId="9689" sId="2" odxf="1" dxf="1">
    <nc r="C220">
      <f>IF(B220="","",TEXT(B220,"0.0"))</f>
    </nc>
    <odxf>
      <alignment horizontal="general" vertical="bottom"/>
    </odxf>
    <ndxf>
      <alignment horizontal="left" vertical="top"/>
    </ndxf>
  </rcc>
  <rcc rId="9690" sId="2" odxf="1" dxf="1">
    <nc r="C221">
      <f>IF(B221="","",TEXT(B221,"0.0"))</f>
    </nc>
    <odxf>
      <alignment horizontal="general" vertical="bottom"/>
    </odxf>
    <ndxf>
      <alignment horizontal="left" vertical="top"/>
    </ndxf>
  </rcc>
  <rcc rId="9691" sId="2" odxf="1" dxf="1">
    <nc r="C222">
      <f>IF(B222="","",TEXT(B222,"0.0"))</f>
    </nc>
    <odxf>
      <alignment horizontal="general" vertical="bottom"/>
    </odxf>
    <ndxf>
      <alignment horizontal="left" vertical="top"/>
    </ndxf>
  </rcc>
  <rcc rId="9692" sId="2" odxf="1" dxf="1">
    <nc r="C223">
      <f>IF(B223="","",TEXT(B223,"0.0"))</f>
    </nc>
    <odxf>
      <alignment horizontal="general" vertical="bottom"/>
    </odxf>
    <ndxf>
      <alignment horizontal="left" vertical="top"/>
    </ndxf>
  </rcc>
  <rcc rId="9693" sId="2" odxf="1" dxf="1">
    <nc r="C224">
      <f>IF(B224="","",TEXT(B224,"0.0"))</f>
    </nc>
    <odxf>
      <alignment horizontal="general" vertical="bottom"/>
    </odxf>
    <ndxf>
      <alignment horizontal="left" vertical="top"/>
    </ndxf>
  </rcc>
  <rcc rId="9694" sId="2" odxf="1" dxf="1">
    <nc r="C225">
      <f>IF(B225="","",TEXT(B225,"0.0"))</f>
    </nc>
    <odxf>
      <alignment horizontal="general" vertical="bottom"/>
    </odxf>
    <ndxf>
      <alignment horizontal="left" vertical="top"/>
    </ndxf>
  </rcc>
  <rcc rId="9695" sId="2" odxf="1" dxf="1">
    <nc r="C226">
      <f>IF(B226="","",TEXT(B226,"0.0"))</f>
    </nc>
    <odxf>
      <alignment horizontal="general" vertical="bottom"/>
    </odxf>
    <ndxf>
      <alignment horizontal="left" vertical="top"/>
    </ndxf>
  </rcc>
  <rcc rId="9696" sId="2" odxf="1" dxf="1">
    <nc r="C227">
      <f>IF(B227="","",TEXT(B227,"0.0"))</f>
    </nc>
    <odxf>
      <alignment horizontal="general" vertical="bottom"/>
    </odxf>
    <ndxf>
      <alignment horizontal="left" vertical="top"/>
    </ndxf>
  </rcc>
  <rcc rId="9697" sId="2" odxf="1" dxf="1">
    <nc r="C228">
      <f>IF(B228="","",TEXT(B228,"0.0"))</f>
    </nc>
    <odxf>
      <alignment horizontal="general" vertical="bottom"/>
    </odxf>
    <ndxf>
      <alignment horizontal="left" vertical="top"/>
    </ndxf>
  </rcc>
  <rcc rId="9698" sId="2" odxf="1" dxf="1">
    <nc r="C229">
      <f>IF(B229="","",TEXT(B229,"0.0"))</f>
    </nc>
    <odxf>
      <alignment horizontal="general" vertical="bottom"/>
    </odxf>
    <ndxf>
      <alignment horizontal="left" vertical="top"/>
    </ndxf>
  </rcc>
  <rcc rId="9699" sId="2" odxf="1" dxf="1">
    <nc r="C230">
      <f>IF(B230="","",TEXT(B230,"0.0"))</f>
    </nc>
    <odxf>
      <alignment horizontal="general" vertical="bottom"/>
    </odxf>
    <ndxf>
      <alignment horizontal="left" vertical="top"/>
    </ndxf>
  </rcc>
  <rcc rId="9700" sId="2" odxf="1" dxf="1">
    <nc r="C231">
      <f>IF(B231="","",TEXT(B231,"0.0"))</f>
    </nc>
    <odxf>
      <alignment horizontal="general" vertical="bottom"/>
    </odxf>
    <ndxf>
      <alignment horizontal="left" vertical="top"/>
    </ndxf>
  </rcc>
  <rcc rId="9701" sId="2" odxf="1" dxf="1">
    <nc r="C232">
      <f>IF(B232="","",TEXT(B232,"0.0"))</f>
    </nc>
    <odxf>
      <alignment horizontal="general" vertical="bottom"/>
    </odxf>
    <ndxf>
      <alignment horizontal="left" vertical="top"/>
    </ndxf>
  </rcc>
  <rcc rId="9702" sId="2" odxf="1" dxf="1">
    <nc r="C233">
      <f>IF(B233="","",TEXT(B233,"0.0"))</f>
    </nc>
    <odxf>
      <alignment horizontal="general" vertical="bottom"/>
    </odxf>
    <ndxf>
      <alignment horizontal="left" vertical="top"/>
    </ndxf>
  </rcc>
  <rcc rId="9703" sId="2" odxf="1" dxf="1">
    <nc r="C234">
      <f>IF(B234="","",TEXT(B234,"0.0"))</f>
    </nc>
    <odxf>
      <alignment horizontal="general" vertical="bottom"/>
    </odxf>
    <ndxf>
      <alignment horizontal="left" vertical="top"/>
    </ndxf>
  </rcc>
  <rcc rId="9704" sId="2" odxf="1" dxf="1">
    <nc r="C235">
      <f>IF(B235="","",TEXT(B235,"0.0"))</f>
    </nc>
    <odxf>
      <alignment horizontal="general" vertical="bottom"/>
    </odxf>
    <ndxf>
      <alignment horizontal="left" vertical="top"/>
    </ndxf>
  </rcc>
  <rcc rId="9705" sId="2" odxf="1" dxf="1">
    <nc r="C236">
      <f>IF(B236="","",TEXT(B236,"0.0"))</f>
    </nc>
    <odxf>
      <alignment horizontal="general" vertical="bottom"/>
    </odxf>
    <ndxf>
      <alignment horizontal="left" vertical="top"/>
    </ndxf>
  </rcc>
  <rcc rId="9706" sId="2" odxf="1" dxf="1">
    <nc r="C237">
      <f>IF(B237="","",TEXT(B237,"0.0"))</f>
    </nc>
    <odxf>
      <alignment horizontal="general" vertical="bottom"/>
    </odxf>
    <ndxf>
      <alignment horizontal="left" vertical="top"/>
    </ndxf>
  </rcc>
  <rcc rId="9707" sId="2" odxf="1" dxf="1">
    <nc r="C238">
      <f>IF(B238="","",TEXT(B238,"0.0"))</f>
    </nc>
    <odxf>
      <alignment horizontal="general" vertical="bottom"/>
    </odxf>
    <ndxf>
      <alignment horizontal="left" vertical="top"/>
    </ndxf>
  </rcc>
  <rcc rId="9708" sId="2" odxf="1" dxf="1">
    <nc r="C239">
      <f>IF(B239="","",TEXT(B239,"0.0"))</f>
    </nc>
    <odxf>
      <alignment horizontal="general" vertical="bottom"/>
    </odxf>
    <ndxf>
      <alignment horizontal="left" vertical="top"/>
    </ndxf>
  </rcc>
  <rcc rId="9709" sId="2" odxf="1" dxf="1">
    <nc r="C240">
      <f>IF(B240="","",TEXT(B240,"0.0"))</f>
    </nc>
    <odxf>
      <alignment horizontal="general" vertical="bottom"/>
    </odxf>
    <ndxf>
      <alignment horizontal="left" vertical="top"/>
    </ndxf>
  </rcc>
  <rcc rId="9710" sId="2" odxf="1" dxf="1">
    <nc r="C241">
      <f>IF(B241="","",TEXT(B241,"0.0"))</f>
    </nc>
    <odxf>
      <alignment horizontal="general" vertical="bottom"/>
    </odxf>
    <ndxf>
      <alignment horizontal="left" vertical="top"/>
    </ndxf>
  </rcc>
  <rcc rId="9711" sId="2" odxf="1" dxf="1">
    <nc r="C242">
      <f>IF(B242="","",TEXT(B242,"0.0"))</f>
    </nc>
    <odxf>
      <alignment horizontal="general" vertical="bottom"/>
    </odxf>
    <ndxf>
      <alignment horizontal="left" vertical="top"/>
    </ndxf>
  </rcc>
  <rcc rId="9712" sId="2" odxf="1" dxf="1">
    <nc r="C243">
      <f>IF(B243="","",TEXT(B243,"0.0"))</f>
    </nc>
    <odxf>
      <alignment horizontal="general" vertical="bottom"/>
    </odxf>
    <ndxf>
      <alignment horizontal="left" vertical="top"/>
    </ndxf>
  </rcc>
  <rcc rId="9713" sId="2" odxf="1" dxf="1">
    <nc r="C244">
      <f>IF(B244="","",TEXT(B244,"0.0"))</f>
    </nc>
    <odxf>
      <alignment horizontal="general" vertical="bottom"/>
    </odxf>
    <ndxf>
      <alignment horizontal="left" vertical="top"/>
    </ndxf>
  </rcc>
  <rcc rId="9714" sId="2" odxf="1" dxf="1">
    <nc r="C245">
      <f>IF(B245="","",TEXT(B245,"0.0"))</f>
    </nc>
    <odxf>
      <alignment horizontal="general" vertical="bottom"/>
    </odxf>
    <ndxf>
      <alignment horizontal="left" vertical="top"/>
    </ndxf>
  </rcc>
  <rcc rId="9715" sId="2" odxf="1" dxf="1">
    <nc r="C246">
      <f>IF(B246="","",TEXT(B246,"0.0"))</f>
    </nc>
    <odxf>
      <alignment horizontal="general" vertical="bottom"/>
    </odxf>
    <ndxf>
      <alignment horizontal="left" vertical="top"/>
    </ndxf>
  </rcc>
  <rcc rId="9716" sId="2" odxf="1" dxf="1">
    <nc r="C247">
      <f>IF(B247="","",TEXT(B247,"0.0"))</f>
    </nc>
    <odxf>
      <alignment horizontal="general" vertical="bottom"/>
    </odxf>
    <ndxf>
      <alignment horizontal="left" vertical="top"/>
    </ndxf>
  </rcc>
  <rcc rId="9717" sId="2" odxf="1" dxf="1">
    <nc r="C248">
      <f>IF(B248="","",TEXT(B248,"0.0"))</f>
    </nc>
    <odxf>
      <alignment horizontal="general" vertical="bottom"/>
    </odxf>
    <ndxf>
      <alignment horizontal="left" vertical="top"/>
    </ndxf>
  </rcc>
  <rcc rId="9718" sId="2" odxf="1" dxf="1">
    <nc r="C249">
      <f>IF(B249="","",TEXT(B249,"0.0"))</f>
    </nc>
    <odxf>
      <alignment horizontal="general" vertical="bottom"/>
    </odxf>
    <ndxf>
      <alignment horizontal="left" vertical="top"/>
    </ndxf>
  </rcc>
  <rcc rId="9719" sId="2" odxf="1" dxf="1">
    <nc r="C250">
      <f>IF(B250="","",TEXT(B250,"0.0"))</f>
    </nc>
    <odxf>
      <alignment horizontal="general" vertical="bottom"/>
    </odxf>
    <ndxf>
      <alignment horizontal="left" vertical="top"/>
    </ndxf>
  </rcc>
  <rcc rId="9720" sId="2" odxf="1" dxf="1">
    <nc r="C251">
      <f>IF(B251="","",TEXT(B251,"0.0"))</f>
    </nc>
    <odxf>
      <alignment horizontal="general" vertical="bottom"/>
    </odxf>
    <ndxf>
      <alignment horizontal="left" vertical="top"/>
    </ndxf>
  </rcc>
  <rcc rId="9721" sId="2" odxf="1" dxf="1">
    <nc r="C252">
      <f>IF(B252="","",TEXT(B252,"0.0"))</f>
    </nc>
    <odxf>
      <alignment horizontal="general" vertical="bottom"/>
    </odxf>
    <ndxf>
      <alignment horizontal="left" vertical="top"/>
    </ndxf>
  </rcc>
  <rcc rId="9722" sId="2" odxf="1" dxf="1">
    <nc r="C253">
      <f>IF(B253="","",TEXT(B253,"0.0"))</f>
    </nc>
    <odxf>
      <alignment horizontal="general" vertical="bottom"/>
    </odxf>
    <ndxf>
      <alignment horizontal="left" vertical="top"/>
    </ndxf>
  </rcc>
  <rcc rId="9723" sId="2" odxf="1" dxf="1">
    <nc r="C254">
      <f>IF(B254="","",TEXT(B254,"0.0"))</f>
    </nc>
    <odxf>
      <alignment horizontal="general" vertical="bottom"/>
    </odxf>
    <ndxf>
      <alignment horizontal="left" vertical="top"/>
    </ndxf>
  </rcc>
  <rcc rId="9724" sId="2" odxf="1" dxf="1">
    <nc r="C255">
      <f>IF(B255="","",TEXT(B255,"0.0"))</f>
    </nc>
    <odxf>
      <alignment horizontal="general" vertical="bottom"/>
    </odxf>
    <ndxf>
      <alignment horizontal="left" vertical="top"/>
    </ndxf>
  </rcc>
  <rcc rId="9725" sId="2" odxf="1" dxf="1">
    <nc r="C256">
      <f>IF(B256="","",TEXT(B256,"0.0"))</f>
    </nc>
    <odxf>
      <alignment horizontal="general" vertical="bottom"/>
    </odxf>
    <ndxf>
      <alignment horizontal="left" vertical="top"/>
    </ndxf>
  </rcc>
  <rcc rId="9726" sId="2" odxf="1" dxf="1">
    <nc r="C257">
      <f>IF(B257="","",TEXT(B257,"0.0"))</f>
    </nc>
    <odxf>
      <alignment horizontal="general" vertical="bottom"/>
    </odxf>
    <ndxf>
      <alignment horizontal="left" vertical="top"/>
    </ndxf>
  </rcc>
  <rcc rId="9727" sId="2" odxf="1" dxf="1">
    <nc r="C258">
      <f>IF(B258="","",TEXT(B258,"0.0"))</f>
    </nc>
    <odxf>
      <alignment horizontal="general" vertical="bottom"/>
    </odxf>
    <ndxf>
      <alignment horizontal="left" vertical="top"/>
    </ndxf>
  </rcc>
  <rcc rId="9728" sId="2" odxf="1" dxf="1">
    <nc r="C259">
      <f>IF(B259="","",TEXT(B259,"0.0"))</f>
    </nc>
    <odxf>
      <alignment horizontal="general" vertical="bottom"/>
    </odxf>
    <ndxf>
      <alignment horizontal="left" vertical="top"/>
    </ndxf>
  </rcc>
  <rcc rId="9729" sId="2" odxf="1" dxf="1">
    <nc r="C260">
      <f>IF(B260="","",TEXT(B260,"0.0"))</f>
    </nc>
    <odxf>
      <alignment horizontal="general" vertical="bottom"/>
    </odxf>
    <ndxf>
      <alignment horizontal="left" vertical="top"/>
    </ndxf>
  </rcc>
  <rcc rId="9730" sId="2" odxf="1" dxf="1">
    <nc r="C261">
      <f>IF(B261="","",TEXT(B261,"0.0"))</f>
    </nc>
    <odxf>
      <alignment horizontal="general" vertical="bottom"/>
    </odxf>
    <ndxf>
      <alignment horizontal="left" vertical="top"/>
    </ndxf>
  </rcc>
  <rcc rId="9731" sId="2" odxf="1" dxf="1">
    <nc r="C262">
      <f>IF(B262="","",TEXT(B262,"0.0"))</f>
    </nc>
    <odxf>
      <alignment horizontal="general" vertical="bottom"/>
    </odxf>
    <ndxf>
      <alignment horizontal="left" vertical="top"/>
    </ndxf>
  </rcc>
  <rcc rId="9732" sId="2" odxf="1" dxf="1">
    <nc r="C263">
      <f>IF(B263="","",TEXT(B263,"0.0"))</f>
    </nc>
    <odxf>
      <alignment horizontal="general" vertical="bottom"/>
    </odxf>
    <ndxf>
      <alignment horizontal="left" vertical="top"/>
    </ndxf>
  </rcc>
  <rcc rId="9733" sId="2">
    <nc r="C1" t="inlineStr">
      <is>
        <t>nest2</t>
      </is>
    </nc>
  </rcc>
  <rcc rId="9734" sId="2">
    <oc r="C2">
      <f>IF(B2="","",TEXT(B2,"0.0"))</f>
    </oc>
    <nc r="C2" t="inlineStr">
      <is>
        <t>2.1</t>
      </is>
    </nc>
  </rcc>
  <rcc rId="9735" sId="2">
    <oc r="C3">
      <f>IF(B3="","",TEXT(B3,"0.0"))</f>
    </oc>
    <nc r="C3" t="inlineStr">
      <is>
        <t>2.6</t>
      </is>
    </nc>
  </rcc>
  <rcc rId="9736" sId="2">
    <oc r="C4">
      <f>IF(B4="","",TEXT(B4,"0.0"))</f>
    </oc>
    <nc r="C4" t="inlineStr">
      <is>
        <t>2.1</t>
      </is>
    </nc>
  </rcc>
  <rcc rId="9737" sId="2">
    <oc r="C5">
      <f>IF(B5="","",TEXT(B5,"0.0"))</f>
    </oc>
    <nc r="C5" t="inlineStr">
      <is>
        <t>2.1</t>
      </is>
    </nc>
  </rcc>
  <rcc rId="9738" sId="2">
    <oc r="C6">
      <f>IF(B6="","",TEXT(B6,"0.0"))</f>
    </oc>
    <nc r="C6" t="inlineStr">
      <is>
        <t>2.1</t>
      </is>
    </nc>
  </rcc>
  <rcc rId="9739" sId="2">
    <oc r="C7">
      <f>IF(B7="","",TEXT(B7,"0.0"))</f>
    </oc>
    <nc r="C7" t="inlineStr">
      <is>
        <t>2.1</t>
      </is>
    </nc>
  </rcc>
  <rcc rId="9740" sId="2">
    <oc r="C8">
      <f>IF(B8="","",TEXT(B8,"0.0"))</f>
    </oc>
    <nc r="C8" t="inlineStr">
      <is>
        <t>2.1</t>
      </is>
    </nc>
  </rcc>
  <rcc rId="9741" sId="2">
    <oc r="C9">
      <f>IF(B9="","",TEXT(B9,"0.0"))</f>
    </oc>
    <nc r="C9" t="inlineStr">
      <is>
        <t>2.2</t>
      </is>
    </nc>
  </rcc>
  <rcc rId="9742" sId="2">
    <oc r="C10">
      <f>IF(B10="","",TEXT(B10,"0.0"))</f>
    </oc>
    <nc r="C10" t="inlineStr">
      <is>
        <t>2.2</t>
      </is>
    </nc>
  </rcc>
  <rcc rId="9743" sId="2">
    <oc r="C11">
      <f>IF(B11="","",TEXT(B11,"0.0"))</f>
    </oc>
    <nc r="C11" t="inlineStr">
      <is>
        <t>2.2</t>
      </is>
    </nc>
  </rcc>
  <rcc rId="9744" sId="2">
    <oc r="C12">
      <f>IF(B12="","",TEXT(B12,"0.0"))</f>
    </oc>
    <nc r="C12" t="inlineStr">
      <is>
        <t>2.2</t>
      </is>
    </nc>
  </rcc>
  <rcc rId="9745" sId="2">
    <oc r="C13">
      <f>IF(B13="","",TEXT(B13,"0.0"))</f>
    </oc>
    <nc r="C13" t="inlineStr">
      <is>
        <t>2.1</t>
      </is>
    </nc>
  </rcc>
  <rcc rId="9746" sId="2">
    <oc r="C14">
      <f>IF(B14="","",TEXT(B14,"0.0"))</f>
    </oc>
    <nc r="C14" t="inlineStr">
      <is>
        <t>2.1</t>
      </is>
    </nc>
  </rcc>
  <rcc rId="9747" sId="2">
    <oc r="C15">
      <f>IF(B15="","",TEXT(B15,"0.0"))</f>
    </oc>
    <nc r="C15" t="inlineStr">
      <is>
        <t>2.1</t>
      </is>
    </nc>
  </rcc>
  <rcc rId="9748" sId="2">
    <oc r="C16">
      <f>IF(B16="","",TEXT(B16,"0.0"))</f>
    </oc>
    <nc r="C16" t="inlineStr">
      <is>
        <t>2.1</t>
      </is>
    </nc>
  </rcc>
  <rcc rId="9749" sId="2">
    <oc r="C17">
      <f>IF(B17="","",TEXT(B17,"0.0"))</f>
    </oc>
    <nc r="C17" t="inlineStr">
      <is>
        <t>2.1</t>
      </is>
    </nc>
  </rcc>
  <rcc rId="9750" sId="2">
    <oc r="C18">
      <f>IF(B18="","",TEXT(B18,"0.0"))</f>
    </oc>
    <nc r="C18" t="inlineStr">
      <is>
        <t>2.1</t>
      </is>
    </nc>
  </rcc>
  <rcc rId="9751" sId="2">
    <oc r="C19">
      <f>IF(B19="","",TEXT(B19,"0.0"))</f>
    </oc>
    <nc r="C19" t="inlineStr">
      <is>
        <t>2.1</t>
      </is>
    </nc>
  </rcc>
  <rcc rId="9752" sId="2">
    <oc r="C20">
      <f>IF(B20="","",TEXT(B20,"0.0"))</f>
    </oc>
    <nc r="C20" t="inlineStr">
      <is>
        <t>2.1</t>
      </is>
    </nc>
  </rcc>
  <rcc rId="9753" sId="2">
    <oc r="C21">
      <f>IF(B21="","",TEXT(B21,"0.0"))</f>
    </oc>
    <nc r="C21" t="inlineStr">
      <is>
        <t>2.1</t>
      </is>
    </nc>
  </rcc>
  <rcc rId="9754" sId="2">
    <oc r="C22">
      <f>IF(B22="","",TEXT(B22,"0.0"))</f>
    </oc>
    <nc r="C22" t="inlineStr">
      <is>
        <t>2.1</t>
      </is>
    </nc>
  </rcc>
  <rcc rId="9755" sId="2">
    <oc r="C23">
      <f>IF(B23="","",TEXT(B23,"0.0"))</f>
    </oc>
    <nc r="C23" t="inlineStr">
      <is>
        <t>2.2</t>
      </is>
    </nc>
  </rcc>
  <rcc rId="9756" sId="2">
    <oc r="C24">
      <f>IF(B24="","",TEXT(B24,"0.0"))</f>
    </oc>
    <nc r="C24" t="inlineStr">
      <is>
        <t>2.3</t>
      </is>
    </nc>
  </rcc>
  <rcc rId="9757" sId="2">
    <oc r="C25">
      <f>IF(B25="","",TEXT(B25,"0.0"))</f>
    </oc>
    <nc r="C25" t="inlineStr">
      <is>
        <t>2.2</t>
      </is>
    </nc>
  </rcc>
  <rcc rId="9758" sId="2">
    <oc r="C26">
      <f>IF(B26="","",TEXT(B26,"0.0"))</f>
    </oc>
    <nc r="C26" t="inlineStr">
      <is>
        <t>2.2</t>
      </is>
    </nc>
  </rcc>
  <rcc rId="9759" sId="2">
    <oc r="C27">
      <f>IF(B27="","",TEXT(B27,"0.0"))</f>
    </oc>
    <nc r="C27" t="inlineStr">
      <is>
        <t>2.3</t>
      </is>
    </nc>
  </rcc>
  <rcc rId="9760" sId="2">
    <oc r="C28">
      <f>IF(B28="","",TEXT(B28,"0.0"))</f>
    </oc>
    <nc r="C28" t="inlineStr">
      <is>
        <t>2.3</t>
      </is>
    </nc>
  </rcc>
  <rcc rId="9761" sId="2">
    <oc r="C29">
      <f>IF(B29="","",TEXT(B29,"0.0"))</f>
    </oc>
    <nc r="C29" t="inlineStr">
      <is>
        <t>2.4</t>
      </is>
    </nc>
  </rcc>
  <rcc rId="9762" sId="2">
    <oc r="C30">
      <f>IF(B30="","",TEXT(B30,"0.0"))</f>
    </oc>
    <nc r="C30" t="inlineStr">
      <is>
        <t>2.5</t>
      </is>
    </nc>
  </rcc>
  <rcc rId="9763" sId="2">
    <oc r="C31">
      <f>IF(B31="","",TEXT(B31,"0.0"))</f>
    </oc>
    <nc r="C31" t="inlineStr">
      <is>
        <t>2.6</t>
      </is>
    </nc>
  </rcc>
  <rcc rId="9764" sId="2">
    <oc r="C32">
      <f>IF(B32="","",TEXT(B32,"0.0"))</f>
    </oc>
    <nc r="C32" t="inlineStr">
      <is>
        <t>2.6</t>
      </is>
    </nc>
  </rcc>
  <rcc rId="9765" sId="2">
    <oc r="C33">
      <f>IF(B33="","",TEXT(B33,"0.0"))</f>
    </oc>
    <nc r="C33" t="inlineStr">
      <is>
        <t>2.6</t>
      </is>
    </nc>
  </rcc>
  <rcc rId="9766" sId="2">
    <oc r="C34">
      <f>IF(B34="","",TEXT(B34,"0.0"))</f>
    </oc>
    <nc r="C34" t="inlineStr">
      <is>
        <t>2.6</t>
      </is>
    </nc>
  </rcc>
  <rcc rId="9767" sId="2">
    <oc r="C35">
      <f>IF(B35="","",TEXT(B35,"0.0"))</f>
    </oc>
    <nc r="C35" t="inlineStr">
      <is>
        <t>2.6</t>
      </is>
    </nc>
  </rcc>
  <rcc rId="9768" sId="2">
    <oc r="C36">
      <f>IF(B36="","",TEXT(B36,"0.0"))</f>
    </oc>
    <nc r="C36" t="inlineStr">
      <is>
        <t>2.6</t>
      </is>
    </nc>
  </rcc>
  <rcc rId="9769" sId="2">
    <oc r="C37">
      <f>IF(B37="","",TEXT(B37,"0.0"))</f>
    </oc>
    <nc r="C37" t="inlineStr">
      <is>
        <t>2.6</t>
      </is>
    </nc>
  </rcc>
  <rcc rId="9770" sId="2">
    <oc r="C38">
      <f>IF(B38="","",TEXT(B38,"0.0"))</f>
    </oc>
    <nc r="C38" t="inlineStr">
      <is>
        <t>2.6</t>
      </is>
    </nc>
  </rcc>
  <rcc rId="9771" sId="2">
    <oc r="C39">
      <f>IF(B39="","",TEXT(B39,"0.0"))</f>
    </oc>
    <nc r="C39" t="inlineStr">
      <is>
        <t>2.6</t>
      </is>
    </nc>
  </rcc>
  <rcc rId="9772" sId="2">
    <oc r="C40">
      <f>IF(B40="","",TEXT(B40,"0.0"))</f>
    </oc>
    <nc r="C40" t="inlineStr">
      <is>
        <t>2.6</t>
      </is>
    </nc>
  </rcc>
  <rcc rId="9773" sId="2">
    <oc r="C41">
      <f>IF(B41="","",TEXT(B41,"0.0"))</f>
    </oc>
    <nc r="C41" t="inlineStr">
      <is>
        <t>2.6</t>
      </is>
    </nc>
  </rcc>
  <rcc rId="9774" sId="2">
    <oc r="C42">
      <f>IF(B42="","",TEXT(B42,"0.0"))</f>
    </oc>
    <nc r="C42" t="inlineStr">
      <is>
        <t>2.6</t>
      </is>
    </nc>
  </rcc>
  <rcc rId="9775" sId="2">
    <oc r="C43">
      <f>IF(B43="","",TEXT(B43,"0.0"))</f>
    </oc>
    <nc r="C43" t="inlineStr">
      <is>
        <t>2.6</t>
      </is>
    </nc>
  </rcc>
  <rcc rId="9776" sId="2">
    <oc r="C44">
      <f>IF(B44="","",TEXT(B44,"0.0"))</f>
    </oc>
    <nc r="C44" t="inlineStr">
      <is>
        <t>2.6</t>
      </is>
    </nc>
  </rcc>
  <rcc rId="9777" sId="2">
    <oc r="C45">
      <f>IF(B45="","",TEXT(B45,"0.0"))</f>
    </oc>
    <nc r="C45" t="inlineStr">
      <is>
        <t>2.6</t>
      </is>
    </nc>
  </rcc>
  <rcc rId="9778" sId="2">
    <oc r="C46">
      <f>IF(B46="","",TEXT(B46,"0.0"))</f>
    </oc>
    <nc r="C46" t="inlineStr">
      <is>
        <t>2.6</t>
      </is>
    </nc>
  </rcc>
  <rcc rId="9779" sId="2">
    <oc r="C47">
      <f>IF(B47="","",TEXT(B47,"0.0"))</f>
    </oc>
    <nc r="C47" t="inlineStr">
      <is>
        <t>2.6</t>
      </is>
    </nc>
  </rcc>
  <rcc rId="9780" sId="2">
    <oc r="C48">
      <f>IF(B48="","",TEXT(B48,"0.0"))</f>
    </oc>
    <nc r="C48" t="inlineStr">
      <is>
        <t>2.6</t>
      </is>
    </nc>
  </rcc>
  <rcc rId="9781" sId="2">
    <oc r="C49">
      <f>IF(B49="","",TEXT(B49,"0.0"))</f>
    </oc>
    <nc r="C49" t="inlineStr">
      <is>
        <t>2.6</t>
      </is>
    </nc>
  </rcc>
  <rcc rId="9782" sId="2">
    <oc r="C50">
      <f>IF(B50="","",TEXT(B50,"0.0"))</f>
    </oc>
    <nc r="C50" t="inlineStr">
      <is>
        <t>2.6</t>
      </is>
    </nc>
  </rcc>
  <rcc rId="9783" sId="2">
    <oc r="C51">
      <f>IF(B51="","",TEXT(B51,"0.0"))</f>
    </oc>
    <nc r="C51" t="inlineStr">
      <is>
        <t>2.6</t>
      </is>
    </nc>
  </rcc>
  <rcc rId="9784" sId="2">
    <oc r="C52">
      <f>IF(B52="","",TEXT(B52,"0.0"))</f>
    </oc>
    <nc r="C52" t="inlineStr">
      <is>
        <t>2.6</t>
      </is>
    </nc>
  </rcc>
  <rcc rId="9785" sId="2">
    <oc r="C53">
      <f>IF(B53="","",TEXT(B53,"0.0"))</f>
    </oc>
    <nc r="C53" t="inlineStr">
      <is>
        <t>2.6</t>
      </is>
    </nc>
  </rcc>
  <rcc rId="9786" sId="2">
    <oc r="C54">
      <f>IF(B54="","",TEXT(B54,"0.0"))</f>
    </oc>
    <nc r="C54" t="inlineStr">
      <is>
        <t>2.6</t>
      </is>
    </nc>
  </rcc>
  <rcc rId="9787" sId="2">
    <oc r="C55">
      <f>IF(B55="","",TEXT(B55,"0.0"))</f>
    </oc>
    <nc r="C55" t="inlineStr">
      <is>
        <t>2.6</t>
      </is>
    </nc>
  </rcc>
  <rcc rId="9788" sId="2">
    <oc r="C56">
      <f>IF(B56="","",TEXT(B56,"0.0"))</f>
    </oc>
    <nc r="C56" t="inlineStr">
      <is>
        <t>2.6</t>
      </is>
    </nc>
  </rcc>
  <rcc rId="9789" sId="2">
    <oc r="C57">
      <f>IF(B57="","",TEXT(B57,"0.0"))</f>
    </oc>
    <nc r="C57" t="inlineStr">
      <is>
        <t>2.6</t>
      </is>
    </nc>
  </rcc>
  <rcc rId="9790" sId="2">
    <oc r="C58">
      <f>IF(B58="","",TEXT(B58,"0.0"))</f>
    </oc>
    <nc r="C58" t="inlineStr">
      <is>
        <t>2.6</t>
      </is>
    </nc>
  </rcc>
  <rcc rId="9791" sId="2">
    <oc r="C59">
      <f>IF(B59="","",TEXT(B59,"0.0"))</f>
    </oc>
    <nc r="C59" t="inlineStr">
      <is>
        <t>2.6</t>
      </is>
    </nc>
  </rcc>
  <rcc rId="9792" sId="2">
    <oc r="C60">
      <f>IF(B60="","",TEXT(B60,"0.0"))</f>
    </oc>
    <nc r="C60" t="inlineStr">
      <is>
        <t>2.6</t>
      </is>
    </nc>
  </rcc>
  <rcc rId="9793" sId="2">
    <oc r="C61">
      <f>IF(B61="","",TEXT(B61,"0.0"))</f>
    </oc>
    <nc r="C61" t="inlineStr">
      <is>
        <t>2.6</t>
      </is>
    </nc>
  </rcc>
  <rcc rId="9794" sId="2">
    <oc r="C62">
      <f>IF(B62="","",TEXT(B62,"0.0"))</f>
    </oc>
    <nc r="C62" t="inlineStr">
      <is>
        <t>2.6</t>
      </is>
    </nc>
  </rcc>
  <rcc rId="9795" sId="2">
    <oc r="C63">
      <f>IF(B63="","",TEXT(B63,"0.0"))</f>
    </oc>
    <nc r="C63" t="inlineStr">
      <is>
        <t>2.6</t>
      </is>
    </nc>
  </rcc>
  <rcc rId="9796" sId="2">
    <oc r="C64">
      <f>IF(B64="","",TEXT(B64,"0.0"))</f>
    </oc>
    <nc r="C64" t="inlineStr">
      <is>
        <t>2.6</t>
      </is>
    </nc>
  </rcc>
  <rcc rId="9797" sId="2">
    <oc r="C65">
      <f>IF(B65="","",TEXT(B65,"0.0"))</f>
    </oc>
    <nc r="C65" t="inlineStr">
      <is>
        <t>2.6</t>
      </is>
    </nc>
  </rcc>
  <rcc rId="9798" sId="2">
    <oc r="C66">
      <f>IF(B66="","",TEXT(B66,"0.0"))</f>
    </oc>
    <nc r="C66" t="inlineStr">
      <is>
        <t>2.6</t>
      </is>
    </nc>
  </rcc>
  <rcc rId="9799" sId="2">
    <oc r="C67">
      <f>IF(B67="","",TEXT(B67,"0.0"))</f>
    </oc>
    <nc r="C67" t="inlineStr">
      <is>
        <t>2.6</t>
      </is>
    </nc>
  </rcc>
  <rcc rId="9800" sId="2">
    <oc r="C68">
      <f>IF(B68="","",TEXT(B68,"0.0"))</f>
    </oc>
    <nc r="C68" t="inlineStr">
      <is>
        <t>2.6</t>
      </is>
    </nc>
  </rcc>
  <rcc rId="9801" sId="2">
    <oc r="C69">
      <f>IF(B69="","",TEXT(B69,"0.0"))</f>
    </oc>
    <nc r="C69" t="inlineStr">
      <is>
        <t>2.6</t>
      </is>
    </nc>
  </rcc>
  <rcc rId="9802" sId="2">
    <oc r="C70">
      <f>IF(B70="","",TEXT(B70,"0.0"))</f>
    </oc>
    <nc r="C70" t="inlineStr">
      <is>
        <t>2.6</t>
      </is>
    </nc>
  </rcc>
  <rcc rId="9803" sId="2">
    <oc r="C71">
      <f>IF(B71="","",TEXT(B71,"0.0"))</f>
    </oc>
    <nc r="C71" t="inlineStr">
      <is>
        <t>2.6</t>
      </is>
    </nc>
  </rcc>
  <rcc rId="9804" sId="2">
    <oc r="C72">
      <f>IF(B72="","",TEXT(B72,"0.0"))</f>
    </oc>
    <nc r="C72" t="inlineStr">
      <is>
        <t>2.1</t>
      </is>
    </nc>
  </rcc>
  <rcc rId="9805" sId="2">
    <oc r="C73">
      <f>IF(B73="","",TEXT(B73,"0.0"))</f>
    </oc>
    <nc r="C73" t="inlineStr">
      <is>
        <t>2.1</t>
      </is>
    </nc>
  </rcc>
  <rcc rId="9806" sId="2">
    <oc r="C74">
      <f>IF(B74="","",TEXT(B74,"0.0"))</f>
    </oc>
    <nc r="C74" t="inlineStr">
      <is>
        <t>2.1</t>
      </is>
    </nc>
  </rcc>
  <rcc rId="9807" sId="2">
    <oc r="C75">
      <f>IF(B75="","",TEXT(B75,"0.0"))</f>
    </oc>
    <nc r="C75" t="inlineStr">
      <is>
        <t>2.1</t>
      </is>
    </nc>
  </rcc>
  <rcc rId="9808" sId="2">
    <oc r="C76">
      <f>IF(B76="","",TEXT(B76,"0.0"))</f>
    </oc>
    <nc r="C76" t="inlineStr">
      <is>
        <t>2.1</t>
      </is>
    </nc>
  </rcc>
  <rcc rId="9809" sId="2">
    <oc r="C77">
      <f>IF(B77="","",TEXT(B77,"0.0"))</f>
    </oc>
    <nc r="C77" t="inlineStr">
      <is>
        <t>2.1</t>
      </is>
    </nc>
  </rcc>
  <rcc rId="9810" sId="2">
    <oc r="C78">
      <f>IF(B78="","",TEXT(B78,"0.0"))</f>
    </oc>
    <nc r="C78" t="inlineStr">
      <is>
        <t>2.6</t>
      </is>
    </nc>
  </rcc>
  <rcc rId="9811" sId="2">
    <oc r="C79">
      <f>IF(B79="","",TEXT(B79,"0.0"))</f>
    </oc>
    <nc r="C79" t="inlineStr">
      <is>
        <t>2.6</t>
      </is>
    </nc>
  </rcc>
  <rcc rId="9812" sId="2">
    <oc r="C80">
      <f>IF(B80="","",TEXT(B80,"0.0"))</f>
    </oc>
    <nc r="C80" t="inlineStr">
      <is>
        <t>2.6</t>
      </is>
    </nc>
  </rcc>
  <rcc rId="9813" sId="2">
    <oc r="C81">
      <f>IF(B81="","",TEXT(B81,"0.0"))</f>
    </oc>
    <nc r="C81" t="inlineStr">
      <is>
        <t>2.6</t>
      </is>
    </nc>
  </rcc>
  <rcc rId="9814" sId="2">
    <oc r="C82">
      <f>IF(B82="","",TEXT(B82,"0.0"))</f>
    </oc>
    <nc r="C82" t="inlineStr">
      <is>
        <t>2.6</t>
      </is>
    </nc>
  </rcc>
  <rcc rId="9815" sId="2">
    <oc r="C83">
      <f>IF(B83="","",TEXT(B83,"0.0"))</f>
    </oc>
    <nc r="C83" t="inlineStr">
      <is>
        <t>2.6</t>
      </is>
    </nc>
  </rcc>
  <rcc rId="9816" sId="2">
    <oc r="C84">
      <f>IF(B84="","",TEXT(B84,"0.0"))</f>
    </oc>
    <nc r="C84" t="inlineStr">
      <is>
        <t>2.6</t>
      </is>
    </nc>
  </rcc>
  <rcc rId="9817" sId="2">
    <oc r="C85">
      <f>IF(B85="","",TEXT(B85,"0.0"))</f>
    </oc>
    <nc r="C85" t="inlineStr">
      <is>
        <t>2.6</t>
      </is>
    </nc>
  </rcc>
  <rcc rId="9818" sId="2">
    <oc r="C86">
      <f>IF(B86="","",TEXT(B86,"0.0"))</f>
    </oc>
    <nc r="C86" t="inlineStr">
      <is>
        <t>2.6</t>
      </is>
    </nc>
  </rcc>
  <rcc rId="9819" sId="2">
    <oc r="C87">
      <f>IF(B87="","",TEXT(B87,"0.0"))</f>
    </oc>
    <nc r="C87" t="inlineStr">
      <is>
        <t>2.6</t>
      </is>
    </nc>
  </rcc>
  <rcc rId="9820" sId="2">
    <oc r="C88">
      <f>IF(B88="","",TEXT(B88,"0.0"))</f>
    </oc>
    <nc r="C88" t="inlineStr">
      <is>
        <t>2.6</t>
      </is>
    </nc>
  </rcc>
  <rcc rId="9821" sId="2">
    <oc r="C89">
      <f>IF(B89="","",TEXT(B89,"0.0"))</f>
    </oc>
    <nc r="C89" t="inlineStr">
      <is>
        <t>2.6</t>
      </is>
    </nc>
  </rcc>
  <rcc rId="9822" sId="2">
    <oc r="C90">
      <f>IF(B90="","",TEXT(B90,"0.0"))</f>
    </oc>
    <nc r="C90" t="inlineStr">
      <is>
        <t>2.6</t>
      </is>
    </nc>
  </rcc>
  <rcc rId="9823" sId="2">
    <oc r="C91">
      <f>IF(B91="","",TEXT(B91,"0.0"))</f>
    </oc>
    <nc r="C91" t="inlineStr">
      <is>
        <t>2.6</t>
      </is>
    </nc>
  </rcc>
  <rcc rId="9824" sId="2">
    <oc r="C92">
      <f>IF(B92="","",TEXT(B92,"0.0"))</f>
    </oc>
    <nc r="C92" t="inlineStr">
      <is>
        <t>2.6</t>
      </is>
    </nc>
  </rcc>
  <rcc rId="9825" sId="2">
    <oc r="C93">
      <f>IF(B93="","",TEXT(B93,"0.0"))</f>
    </oc>
    <nc r="C93" t="inlineStr">
      <is>
        <t>2.6</t>
      </is>
    </nc>
  </rcc>
  <rcc rId="9826" sId="2">
    <oc r="C94">
      <f>IF(B94="","",TEXT(B94,"0.0"))</f>
    </oc>
    <nc r="C94" t="inlineStr">
      <is>
        <t>2.6</t>
      </is>
    </nc>
  </rcc>
  <rcc rId="9827" sId="2">
    <oc r="C95">
      <f>IF(B95="","",TEXT(B95,"0.0"))</f>
    </oc>
    <nc r="C95" t="inlineStr">
      <is>
        <t>2.6</t>
      </is>
    </nc>
  </rcc>
  <rcc rId="9828" sId="2">
    <oc r="C96">
      <f>IF(B96="","",TEXT(B96,"0.0"))</f>
    </oc>
    <nc r="C96" t="inlineStr">
      <is>
        <t>2.6</t>
      </is>
    </nc>
  </rcc>
  <rcc rId="9829" sId="2">
    <oc r="C97">
      <f>IF(B97="","",TEXT(B97,"0.0"))</f>
    </oc>
    <nc r="C97" t="inlineStr">
      <is>
        <t>2.6</t>
      </is>
    </nc>
  </rcc>
  <rcc rId="9830" sId="2">
    <oc r="C98">
      <f>IF(B98="","",TEXT(B98,"0.0"))</f>
    </oc>
    <nc r="C98" t="inlineStr">
      <is>
        <t>2.6</t>
      </is>
    </nc>
  </rcc>
  <rcc rId="9831" sId="2">
    <oc r="C99">
      <f>IF(B99="","",TEXT(B99,"0.0"))</f>
    </oc>
    <nc r="C99" t="inlineStr">
      <is>
        <t>2.6</t>
      </is>
    </nc>
  </rcc>
  <rcc rId="9832" sId="2">
    <oc r="C100">
      <f>IF(B100="","",TEXT(B100,"0.0"))</f>
    </oc>
    <nc r="C100" t="inlineStr">
      <is>
        <t>2.6</t>
      </is>
    </nc>
  </rcc>
  <rcc rId="9833" sId="2">
    <oc r="C101">
      <f>IF(B101="","",TEXT(B101,"0.0"))</f>
    </oc>
    <nc r="C101" t="inlineStr">
      <is>
        <t>2.6</t>
      </is>
    </nc>
  </rcc>
  <rcc rId="9834" sId="2">
    <oc r="C102">
      <f>IF(B102="","",TEXT(B102,"0.0"))</f>
    </oc>
    <nc r="C102" t="inlineStr">
      <is>
        <t>2.6</t>
      </is>
    </nc>
  </rcc>
  <rcc rId="9835" sId="2">
    <oc r="C103">
      <f>IF(B103="","",TEXT(B103,"0.0"))</f>
    </oc>
    <nc r="C103" t="inlineStr">
      <is>
        <t>2.6</t>
      </is>
    </nc>
  </rcc>
  <rcc rId="9836" sId="2">
    <oc r="C104">
      <f>IF(B104="","",TEXT(B104,"0.0"))</f>
    </oc>
    <nc r="C104" t="inlineStr">
      <is>
        <t>2.6</t>
      </is>
    </nc>
  </rcc>
  <rcc rId="9837" sId="2">
    <oc r="C105">
      <f>IF(B105="","",TEXT(B105,"0.0"))</f>
    </oc>
    <nc r="C105" t="inlineStr">
      <is>
        <t>2.6</t>
      </is>
    </nc>
  </rcc>
  <rcc rId="9838" sId="2">
    <oc r="C106">
      <f>IF(B106="","",TEXT(B106,"0.0"))</f>
    </oc>
    <nc r="C106" t="inlineStr">
      <is>
        <t>2.6</t>
      </is>
    </nc>
  </rcc>
  <rcc rId="9839" sId="2">
    <oc r="C107">
      <f>IF(B107="","",TEXT(B107,"0.0"))</f>
    </oc>
    <nc r="C107" t="inlineStr">
      <is>
        <t>2.6</t>
      </is>
    </nc>
  </rcc>
  <rcc rId="9840" sId="2">
    <oc r="C108">
      <f>IF(B108="","",TEXT(B108,"0.0"))</f>
    </oc>
    <nc r="C108" t="inlineStr">
      <is>
        <t>2.6</t>
      </is>
    </nc>
  </rcc>
  <rcc rId="9841" sId="2">
    <oc r="C109">
      <f>IF(B109="","",TEXT(B109,"0.0"))</f>
    </oc>
    <nc r="C109" t="inlineStr">
      <is>
        <t>2.6</t>
      </is>
    </nc>
  </rcc>
  <rcc rId="9842" sId="2">
    <oc r="C110">
      <f>IF(B110="","",TEXT(B110,"0.0"))</f>
    </oc>
    <nc r="C110" t="inlineStr">
      <is>
        <t>2.6</t>
      </is>
    </nc>
  </rcc>
  <rcc rId="9843" sId="2">
    <oc r="C111">
      <f>IF(B111="","",TEXT(B111,"0.0"))</f>
    </oc>
    <nc r="C111" t="inlineStr">
      <is>
        <t>2.6</t>
      </is>
    </nc>
  </rcc>
  <rcc rId="9844" sId="2">
    <oc r="C112">
      <f>IF(B112="","",TEXT(B112,"0.0"))</f>
    </oc>
    <nc r="C112" t="inlineStr">
      <is>
        <t>2.6</t>
      </is>
    </nc>
  </rcc>
  <rcc rId="9845" sId="2">
    <oc r="C113">
      <f>IF(B113="","",TEXT(B113,"0.0"))</f>
    </oc>
    <nc r="C113" t="inlineStr">
      <is>
        <t>2.6</t>
      </is>
    </nc>
  </rcc>
  <rcc rId="9846" sId="2">
    <oc r="C114">
      <f>IF(B114="","",TEXT(B114,"0.0"))</f>
    </oc>
    <nc r="C114" t="inlineStr">
      <is>
        <t>2.6</t>
      </is>
    </nc>
  </rcc>
  <rcc rId="9847" sId="2">
    <oc r="C115">
      <f>IF(B115="","",TEXT(B115,"0.0"))</f>
    </oc>
    <nc r="C115" t="inlineStr">
      <is>
        <t>2.6</t>
      </is>
    </nc>
  </rcc>
  <rcc rId="9848" sId="2">
    <oc r="C116">
      <f>IF(B116="","",TEXT(B116,"0.0"))</f>
    </oc>
    <nc r="C116" t="inlineStr">
      <is>
        <t>2.6</t>
      </is>
    </nc>
  </rcc>
  <rcc rId="9849" sId="2">
    <oc r="C117">
      <f>IF(B117="","",TEXT(B117,"0.0"))</f>
    </oc>
    <nc r="C117" t="inlineStr">
      <is>
        <t>2.6</t>
      </is>
    </nc>
  </rcc>
  <rcc rId="9850" sId="2">
    <oc r="C118">
      <f>IF(B118="","",TEXT(B118,"0.0"))</f>
    </oc>
    <nc r="C118" t="inlineStr">
      <is>
        <t>2.6</t>
      </is>
    </nc>
  </rcc>
  <rcc rId="9851" sId="2">
    <oc r="C119">
      <f>IF(B119="","",TEXT(B119,"0.0"))</f>
    </oc>
    <nc r="C119" t="inlineStr">
      <is>
        <t>2.6</t>
      </is>
    </nc>
  </rcc>
  <rcc rId="9852" sId="2">
    <oc r="C120">
      <f>IF(B120="","",TEXT(B120,"0.0"))</f>
    </oc>
    <nc r="C120" t="inlineStr">
      <is>
        <t>2.6</t>
      </is>
    </nc>
  </rcc>
  <rcc rId="9853" sId="2">
    <oc r="C121">
      <f>IF(B121="","",TEXT(B121,"0.0"))</f>
    </oc>
    <nc r="C121" t="inlineStr">
      <is>
        <t>2.6</t>
      </is>
    </nc>
  </rcc>
  <rcc rId="9854" sId="2">
    <oc r="C122">
      <f>IF(B122="","",TEXT(B122,"0.0"))</f>
    </oc>
    <nc r="C122" t="inlineStr">
      <is>
        <t>2.6</t>
      </is>
    </nc>
  </rcc>
  <rcc rId="9855" sId="2">
    <oc r="C123">
      <f>IF(B123="","",TEXT(B123,"0.0"))</f>
    </oc>
    <nc r="C123" t="inlineStr">
      <is>
        <t>2.6</t>
      </is>
    </nc>
  </rcc>
  <rcc rId="9856" sId="2">
    <oc r="C124">
      <f>IF(B124="","",TEXT(B124,"0.0"))</f>
    </oc>
    <nc r="C124" t="inlineStr">
      <is>
        <t>2.6</t>
      </is>
    </nc>
  </rcc>
  <rcc rId="9857" sId="2">
    <oc r="C125">
      <f>IF(B125="","",TEXT(B125,"0.0"))</f>
    </oc>
    <nc r="C125" t="inlineStr">
      <is>
        <t>2.6</t>
      </is>
    </nc>
  </rcc>
  <rcc rId="9858" sId="2">
    <oc r="C126">
      <f>IF(B126="","",TEXT(B126,"0.0"))</f>
    </oc>
    <nc r="C126" t="inlineStr">
      <is>
        <t>2.6</t>
      </is>
    </nc>
  </rcc>
  <rcc rId="9859" sId="2">
    <oc r="C127">
      <f>IF(B127="","",TEXT(B127,"0.0"))</f>
    </oc>
    <nc r="C127" t="inlineStr">
      <is>
        <t>2.6</t>
      </is>
    </nc>
  </rcc>
  <rcc rId="9860" sId="2">
    <oc r="C128">
      <f>IF(B128="","",TEXT(B128,"0.0"))</f>
    </oc>
    <nc r="C128" t="inlineStr">
      <is>
        <t>2.6</t>
      </is>
    </nc>
  </rcc>
  <rcc rId="9861" sId="2">
    <oc r="C129">
      <f>IF(B129="","",TEXT(B129,"0.0"))</f>
    </oc>
    <nc r="C129" t="inlineStr">
      <is>
        <t>2.6</t>
      </is>
    </nc>
  </rcc>
  <rcc rId="9862" sId="2">
    <oc r="C130">
      <f>IF(B130="","",TEXT(B130,"0.0"))</f>
    </oc>
    <nc r="C130" t="inlineStr">
      <is>
        <t>2.6</t>
      </is>
    </nc>
  </rcc>
  <rcc rId="9863" sId="2">
    <oc r="C131">
      <f>IF(B131="","",TEXT(B131,"0.0"))</f>
    </oc>
    <nc r="C131" t="inlineStr">
      <is>
        <t>2.6</t>
      </is>
    </nc>
  </rcc>
  <rcc rId="9864" sId="2">
    <oc r="C132">
      <f>IF(B132="","",TEXT(B132,"0.0"))</f>
    </oc>
    <nc r="C132" t="inlineStr">
      <is>
        <t>2.7</t>
      </is>
    </nc>
  </rcc>
  <rcc rId="9865" sId="2">
    <oc r="C133">
      <f>IF(B133="","",TEXT(B133,"0.0"))</f>
    </oc>
    <nc r="C133" t="inlineStr">
      <is>
        <t>2.6</t>
      </is>
    </nc>
  </rcc>
  <rcc rId="9866" sId="2">
    <oc r="C134">
      <f>IF(B134="","",TEXT(B134,"0.0"))</f>
    </oc>
    <nc r="C134" t="inlineStr">
      <is>
        <t>2.7</t>
      </is>
    </nc>
  </rcc>
  <rcc rId="9867" sId="2">
    <oc r="C135">
      <f>IF(B135="","",TEXT(B135,"0.0"))</f>
    </oc>
    <nc r="C135" t="inlineStr">
      <is>
        <t>2.6</t>
      </is>
    </nc>
  </rcc>
  <rcc rId="9868" sId="2">
    <oc r="C136">
      <f>IF(B136="","",TEXT(B136,"0.0"))</f>
    </oc>
    <nc r="C136" t="inlineStr">
      <is>
        <t>2.6</t>
      </is>
    </nc>
  </rcc>
  <rcc rId="9869" sId="2">
    <oc r="C137">
      <f>IF(B137="","",TEXT(B137,"0.0"))</f>
    </oc>
    <nc r="C137" t="inlineStr">
      <is>
        <t>2.6</t>
      </is>
    </nc>
  </rcc>
  <rcc rId="9870" sId="2">
    <oc r="C138">
      <f>IF(B138="","",TEXT(B138,"0.0"))</f>
    </oc>
    <nc r="C138" t="inlineStr">
      <is>
        <t>2.7</t>
      </is>
    </nc>
  </rcc>
  <rcc rId="9871" sId="2">
    <oc r="C139">
      <f>IF(B139="","",TEXT(B139,"0.0"))</f>
    </oc>
    <nc r="C139" t="inlineStr">
      <is>
        <t>2.7</t>
      </is>
    </nc>
  </rcc>
  <rcc rId="9872" sId="2">
    <oc r="C140">
      <f>IF(B140="","",TEXT(B140,"0.0"))</f>
    </oc>
    <nc r="C140" t="inlineStr">
      <is>
        <t>2.6</t>
      </is>
    </nc>
  </rcc>
  <rcc rId="9873" sId="2">
    <oc r="C141">
      <f>IF(B141="","",TEXT(B141,"0.0"))</f>
    </oc>
    <nc r="C141" t="inlineStr">
      <is>
        <t>2.7</t>
      </is>
    </nc>
  </rcc>
  <rcc rId="9874" sId="2">
    <oc r="C142">
      <f>IF(B142="","",TEXT(B142,"0.0"))</f>
    </oc>
    <nc r="C142" t="inlineStr">
      <is>
        <t>2.6</t>
      </is>
    </nc>
  </rcc>
  <rcc rId="9875" sId="2">
    <oc r="C143">
      <f>IF(B143="","",TEXT(B143,"0.0"))</f>
    </oc>
    <nc r="C143" t="inlineStr">
      <is>
        <t>2.8</t>
      </is>
    </nc>
  </rcc>
  <rcc rId="9876" sId="2">
    <oc r="C144">
      <f>IF(B144="","",TEXT(B144,"0.0"))</f>
    </oc>
    <nc r="C144" t="inlineStr">
      <is>
        <t>2.9</t>
      </is>
    </nc>
  </rcc>
  <rcc rId="9877" sId="2">
    <oc r="C145">
      <f>IF(B145="","",TEXT(B145,"0.0"))</f>
    </oc>
    <nc r="C145" t="inlineStr">
      <is>
        <t>2.8</t>
      </is>
    </nc>
  </rcc>
  <rcc rId="9878" sId="2">
    <oc r="C146">
      <f>IF(B146="","",TEXT(B146,"0.0"))</f>
    </oc>
    <nc r="C146" t="inlineStr">
      <is>
        <t>2.9</t>
      </is>
    </nc>
  </rcc>
  <rcc rId="9879" sId="2">
    <oc r="C147">
      <f>IF(B147="","",TEXT(B147,"0.0"))</f>
    </oc>
    <nc r="C147" t="inlineStr">
      <is>
        <t>2.6</t>
      </is>
    </nc>
  </rcc>
  <rcc rId="9880" sId="2">
    <oc r="C148">
      <f>IF(B148="","",TEXT(B148,"0.0"))</f>
    </oc>
    <nc r="C148" t="inlineStr">
      <is>
        <t>2.6</t>
      </is>
    </nc>
  </rcc>
  <rcc rId="9881" sId="2">
    <oc r="C149">
      <f>IF(B149="","",TEXT(B149,"0.0"))</f>
    </oc>
    <nc r="C149" t="inlineStr">
      <is>
        <t>2.8</t>
      </is>
    </nc>
  </rcc>
  <rcc rId="9882" sId="2">
    <oc r="C150">
      <f>IF(B150="","",TEXT(B150,"0.0"))</f>
    </oc>
    <nc r="C150" t="inlineStr">
      <is>
        <t>2.8</t>
      </is>
    </nc>
  </rcc>
  <rcc rId="9883" sId="2">
    <oc r="C151">
      <f>IF(B151="","",TEXT(B151,"0.0"))</f>
    </oc>
    <nc r="C151" t="inlineStr">
      <is>
        <t>2.8</t>
      </is>
    </nc>
  </rcc>
  <rcc rId="9884" sId="2">
    <oc r="C152">
      <f>IF(B152="","",TEXT(B152,"0.0"))</f>
    </oc>
    <nc r="C152" t="inlineStr">
      <is>
        <t>2.6</t>
      </is>
    </nc>
  </rcc>
  <rcc rId="9885" sId="2">
    <oc r="C153">
      <f>IF(B153="","",TEXT(B153,"0.0"))</f>
    </oc>
    <nc r="C153" t="inlineStr">
      <is>
        <t>2.8</t>
      </is>
    </nc>
  </rcc>
  <rcc rId="9886" sId="2">
    <oc r="C154">
      <f>IF(B154="","",TEXT(B154,"0.0"))</f>
    </oc>
    <nc r="C154" t="inlineStr">
      <is>
        <t>2.6</t>
      </is>
    </nc>
  </rcc>
  <rcc rId="9887" sId="2">
    <oc r="C155">
      <f>IF(B155="","",TEXT(B155,"0.0"))</f>
    </oc>
    <nc r="C155" t="inlineStr">
      <is>
        <t>2.6</t>
      </is>
    </nc>
  </rcc>
  <rcc rId="9888" sId="2">
    <oc r="C156">
      <f>IF(B156="","",TEXT(B156,"0.0"))</f>
    </oc>
    <nc r="C156" t="inlineStr">
      <is>
        <t>2.8</t>
      </is>
    </nc>
  </rcc>
  <rcc rId="9889" sId="2">
    <oc r="C157">
      <f>IF(B157="","",TEXT(B157,"0.0"))</f>
    </oc>
    <nc r="C157" t="inlineStr">
      <is>
        <t>2.8</t>
      </is>
    </nc>
  </rcc>
  <rcc rId="9890" sId="2">
    <oc r="C158">
      <f>IF(B158="","",TEXT(B158,"0.0"))</f>
    </oc>
    <nc r="C158" t="inlineStr">
      <is>
        <t>2.8</t>
      </is>
    </nc>
  </rcc>
  <rcc rId="9891" sId="2">
    <oc r="C159">
      <f>IF(B159="","",TEXT(B159,"0.0"))</f>
    </oc>
    <nc r="C159" t="inlineStr">
      <is>
        <t>2.8</t>
      </is>
    </nc>
  </rcc>
  <rcc rId="9892" sId="2">
    <oc r="C160">
      <f>IF(B160="","",TEXT(B160,"0.0"))</f>
    </oc>
    <nc r="C160" t="inlineStr">
      <is>
        <t>2.8</t>
      </is>
    </nc>
  </rcc>
  <rcc rId="9893" sId="2">
    <oc r="C161">
      <f>IF(B161="","",TEXT(B161,"0.0"))</f>
    </oc>
    <nc r="C161" t="inlineStr">
      <is>
        <t>2.6</t>
      </is>
    </nc>
  </rcc>
  <rcc rId="9894" sId="2">
    <oc r="C162">
      <f>IF(B162="","",TEXT(B162,"0.0"))</f>
    </oc>
    <nc r="C162" t="inlineStr">
      <is>
        <t>2.6</t>
      </is>
    </nc>
  </rcc>
  <rcc rId="9895" sId="2">
    <oc r="C163">
      <f>IF(B163="","",TEXT(B163,"0.0"))</f>
    </oc>
    <nc r="C163" t="inlineStr">
      <is>
        <t>2.8</t>
      </is>
    </nc>
  </rcc>
  <rcc rId="9896" sId="2">
    <oc r="C164">
      <f>IF(B164="","",TEXT(B164,"0.0"))</f>
    </oc>
    <nc r="C164" t="inlineStr">
      <is>
        <t>2.8</t>
      </is>
    </nc>
  </rcc>
  <rcc rId="9897" sId="2">
    <oc r="C165">
      <f>IF(B165="","",TEXT(B165,"0.0"))</f>
    </oc>
    <nc r="C165" t="inlineStr">
      <is>
        <t>2.6</t>
      </is>
    </nc>
  </rcc>
  <rcc rId="9898" sId="2">
    <oc r="C166">
      <f>IF(B166="","",TEXT(B166,"0.0"))</f>
    </oc>
    <nc r="C166" t="inlineStr">
      <is>
        <t>2.6</t>
      </is>
    </nc>
  </rcc>
  <rcc rId="9899" sId="2">
    <oc r="C167">
      <f>IF(B167="","",TEXT(B167,"0.0"))</f>
    </oc>
    <nc r="C167" t="inlineStr">
      <is>
        <t>2.8</t>
      </is>
    </nc>
  </rcc>
  <rcc rId="9900" sId="2">
    <oc r="C168">
      <f>IF(B168="","",TEXT(B168,"0.0"))</f>
    </oc>
    <nc r="C168" t="inlineStr">
      <is>
        <t>2.6</t>
      </is>
    </nc>
  </rcc>
  <rcc rId="9901" sId="2">
    <oc r="C169">
      <f>IF(B169="","",TEXT(B169,"0.0"))</f>
    </oc>
    <nc r="C169" t="inlineStr">
      <is>
        <t>2.8</t>
      </is>
    </nc>
  </rcc>
  <rcc rId="9902" sId="2">
    <oc r="C170">
      <f>IF(B170="","",TEXT(B170,"0.0"))</f>
    </oc>
    <nc r="C170" t="inlineStr">
      <is>
        <t>2.6</t>
      </is>
    </nc>
  </rcc>
  <rcc rId="9903" sId="2">
    <oc r="C171">
      <f>IF(B171="","",TEXT(B171,"0.0"))</f>
    </oc>
    <nc r="C171" t="inlineStr">
      <is>
        <t>2.8</t>
      </is>
    </nc>
  </rcc>
  <rcc rId="9904" sId="2">
    <oc r="C172">
      <f>IF(B172="","",TEXT(B172,"0.0"))</f>
    </oc>
    <nc r="C172" t="inlineStr">
      <is>
        <t>2.6</t>
      </is>
    </nc>
  </rcc>
  <rcc rId="9905" sId="2">
    <oc r="C173">
      <f>IF(B173="","",TEXT(B173,"0.0"))</f>
    </oc>
    <nc r="C173" t="inlineStr">
      <is>
        <t>2.8</t>
      </is>
    </nc>
  </rcc>
  <rcc rId="9906" sId="2">
    <oc r="C174">
      <f>IF(B174="","",TEXT(B174,"0.0"))</f>
    </oc>
    <nc r="C174" t="inlineStr">
      <is>
        <t>2.8</t>
      </is>
    </nc>
  </rcc>
  <rcc rId="9907" sId="2">
    <oc r="C175">
      <f>IF(B175="","",TEXT(B175,"0.0"))</f>
    </oc>
    <nc r="C175" t="inlineStr">
      <is>
        <t>2.8</t>
      </is>
    </nc>
  </rcc>
  <rcc rId="9908" sId="2">
    <oc r="C176">
      <f>IF(B176="","",TEXT(B176,"0.0"))</f>
    </oc>
    <nc r="C176" t="inlineStr">
      <is>
        <t>2.6</t>
      </is>
    </nc>
  </rcc>
  <rcc rId="9909" sId="2">
    <oc r="C177">
      <f>IF(B177="","",TEXT(B177,"0.0"))</f>
    </oc>
    <nc r="C177" t="inlineStr">
      <is>
        <t>2.6</t>
      </is>
    </nc>
  </rcc>
  <rcc rId="9910" sId="2">
    <oc r="C178">
      <f>IF(B178="","",TEXT(B178,"0.0"))</f>
    </oc>
    <nc r="C178" t="inlineStr">
      <is>
        <t>2.8</t>
      </is>
    </nc>
  </rcc>
  <rcc rId="9911" sId="2">
    <oc r="C179">
      <f>IF(B179="","",TEXT(B179,"0.0"))</f>
    </oc>
    <nc r="C179" t="inlineStr">
      <is>
        <t>2.6</t>
      </is>
    </nc>
  </rcc>
  <rcc rId="9912" sId="2">
    <oc r="C180">
      <f>IF(B180="","",TEXT(B180,"0.0"))</f>
    </oc>
    <nc r="C180" t="inlineStr">
      <is>
        <t>2.6</t>
      </is>
    </nc>
  </rcc>
  <rcc rId="9913" sId="2">
    <oc r="C181">
      <f>IF(B181="","",TEXT(B181,"0.0"))</f>
    </oc>
    <nc r="C181" t="inlineStr">
      <is>
        <t>2.8</t>
      </is>
    </nc>
  </rcc>
  <rcc rId="9914" sId="2">
    <oc r="C182">
      <f>IF(B182="","",TEXT(B182,"0.0"))</f>
    </oc>
    <nc r="C182" t="inlineStr">
      <is>
        <t>2.8</t>
      </is>
    </nc>
  </rcc>
  <rcc rId="9915" sId="2">
    <oc r="C183">
      <f>IF(B183="","",TEXT(B183,"0.0"))</f>
    </oc>
    <nc r="C183" t="inlineStr">
      <is>
        <t>2.9</t>
      </is>
    </nc>
  </rcc>
  <rcc rId="9916" sId="2">
    <oc r="C184">
      <f>IF(B184="","",TEXT(B184,"0.0"))</f>
    </oc>
    <nc r="C184" t="inlineStr">
      <is>
        <t>2.8</t>
      </is>
    </nc>
  </rcc>
  <rcc rId="9917" sId="2">
    <oc r="C185">
      <f>IF(B185="","",TEXT(B185,"0.0"))</f>
    </oc>
    <nc r="C185" t="inlineStr">
      <is>
        <t>2.9</t>
      </is>
    </nc>
  </rcc>
  <rcc rId="9918" sId="2">
    <oc r="C186">
      <f>IF(B186="","",TEXT(B186,"0.0"))</f>
    </oc>
    <nc r="C186" t="inlineStr">
      <is>
        <t>2.8</t>
      </is>
    </nc>
  </rcc>
  <rcc rId="9919" sId="2">
    <oc r="C187">
      <f>IF(B187="","",TEXT(B187,"0.0"))</f>
    </oc>
    <nc r="C187" t="inlineStr">
      <is>
        <t>2.9</t>
      </is>
    </nc>
  </rcc>
  <rcc rId="9920" sId="2">
    <oc r="C188">
      <f>IF(B188="","",TEXT(B188,"0.0"))</f>
    </oc>
    <nc r="C188" t="inlineStr">
      <is>
        <t>2.8</t>
      </is>
    </nc>
  </rcc>
  <rcc rId="9921" sId="2">
    <oc r="C189">
      <f>IF(B189="","",TEXT(B189,"0.0"))</f>
    </oc>
    <nc r="C189" t="inlineStr">
      <is>
        <t>2.8</t>
      </is>
    </nc>
  </rcc>
  <rcc rId="9922" sId="2">
    <oc r="C190">
      <f>IF(B190="","",TEXT(B190,"0.0"))</f>
    </oc>
    <nc r="C190" t="inlineStr">
      <is>
        <t>2.9</t>
      </is>
    </nc>
  </rcc>
  <rcc rId="9923" sId="2">
    <oc r="C191">
      <f>IF(B191="","",TEXT(B191,"0.0"))</f>
    </oc>
    <nc r="C191" t="inlineStr">
      <is>
        <t>2.9</t>
      </is>
    </nc>
  </rcc>
  <rcc rId="9924" sId="2">
    <oc r="C192">
      <f>IF(B192="","",TEXT(B192,"0.0"))</f>
    </oc>
    <nc r="C192" t="inlineStr">
      <is>
        <t>2.8</t>
      </is>
    </nc>
  </rcc>
  <rcc rId="9925" sId="2">
    <oc r="C193">
      <f>IF(B193="","",TEXT(B193,"0.0"))</f>
    </oc>
    <nc r="C193" t="inlineStr">
      <is>
        <t>2.9</t>
      </is>
    </nc>
  </rcc>
  <rcc rId="9926" sId="2">
    <oc r="C194">
      <f>IF(B194="","",TEXT(B194,"0.0"))</f>
    </oc>
    <nc r="C194" t="inlineStr">
      <is>
        <t>2.8</t>
      </is>
    </nc>
  </rcc>
  <rcc rId="9927" sId="2">
    <oc r="C195">
      <f>IF(B195="","",TEXT(B195,"0.0"))</f>
    </oc>
    <nc r="C195" t="inlineStr">
      <is>
        <t>2.9</t>
      </is>
    </nc>
  </rcc>
  <rcc rId="9928" sId="2">
    <oc r="C196">
      <f>IF(B196="","",TEXT(B196,"0.0"))</f>
    </oc>
    <nc r="C196" t="inlineStr">
      <is>
        <t>2.8</t>
      </is>
    </nc>
  </rcc>
  <rcc rId="9929" sId="2">
    <oc r="C197">
      <f>IF(B197="","",TEXT(B197,"0.0"))</f>
    </oc>
    <nc r="C197" t="inlineStr">
      <is>
        <t>2.9</t>
      </is>
    </nc>
  </rcc>
  <rcc rId="9930" sId="2">
    <oc r="C198">
      <f>IF(B198="","",TEXT(B198,"0.0"))</f>
    </oc>
    <nc r="C198" t="inlineStr">
      <is>
        <t>2.8</t>
      </is>
    </nc>
  </rcc>
  <rcc rId="9931" sId="2">
    <oc r="C199">
      <f>IF(B199="","",TEXT(B199,"0.0"))</f>
    </oc>
    <nc r="C199" t="inlineStr">
      <is>
        <t>2.9</t>
      </is>
    </nc>
  </rcc>
  <rcc rId="9932" sId="2">
    <oc r="C200">
      <f>IF(B200="","",TEXT(B200,"0.0"))</f>
    </oc>
    <nc r="C200" t="inlineStr">
      <is>
        <t>2.8</t>
      </is>
    </nc>
  </rcc>
  <rcc rId="9933" sId="2">
    <oc r="C201">
      <f>IF(B201="","",TEXT(B201,"0.0"))</f>
    </oc>
    <nc r="C201" t="inlineStr">
      <is>
        <t>NA</t>
      </is>
    </nc>
  </rcc>
  <rcc rId="9934" sId="2">
    <oc r="C202">
      <f>IF(B202="","",TEXT(B202,"0.0"))</f>
    </oc>
    <nc r="C202" t="inlineStr">
      <is>
        <t>2.9</t>
      </is>
    </nc>
  </rcc>
  <rcc rId="9935" sId="2">
    <oc r="C203">
      <f>IF(B203="","",TEXT(B203,"0.0"))</f>
    </oc>
    <nc r="C203" t="inlineStr">
      <is>
        <t>2.9</t>
      </is>
    </nc>
  </rcc>
  <rcc rId="9936" sId="2">
    <oc r="C204">
      <f>IF(B204="","",TEXT(B204,"0.0"))</f>
    </oc>
    <nc r="C204" t="inlineStr">
      <is>
        <t>2.8</t>
      </is>
    </nc>
  </rcc>
  <rcc rId="9937" sId="2">
    <oc r="C205">
      <f>IF(B205="","",TEXT(B205,"0.0"))</f>
    </oc>
    <nc r="C205" t="inlineStr">
      <is>
        <t>2.9</t>
      </is>
    </nc>
  </rcc>
  <rcc rId="9938" sId="2">
    <oc r="C206">
      <f>IF(B206="","",TEXT(B206,"0.0"))</f>
    </oc>
    <nc r="C206" t="inlineStr">
      <is>
        <t>2.9</t>
      </is>
    </nc>
  </rcc>
  <rcc rId="9939" sId="2">
    <oc r="C207">
      <f>IF(B207="","",TEXT(B207,"0.0"))</f>
    </oc>
    <nc r="C207" t="inlineStr">
      <is>
        <t>2.8</t>
      </is>
    </nc>
  </rcc>
  <rcc rId="9940" sId="2">
    <oc r="C208">
      <f>IF(B208="","",TEXT(B208,"0.0"))</f>
    </oc>
    <nc r="C208" t="inlineStr">
      <is>
        <t>2.8</t>
      </is>
    </nc>
  </rcc>
  <rcc rId="9941" sId="2">
    <oc r="C209">
      <f>IF(B209="","",TEXT(B209,"0.0"))</f>
    </oc>
    <nc r="C209" t="inlineStr">
      <is>
        <t>2.8</t>
      </is>
    </nc>
  </rcc>
  <rcc rId="9942" sId="2">
    <oc r="C210">
      <f>IF(B210="","",TEXT(B210,"0.0"))</f>
    </oc>
    <nc r="C210" t="inlineStr">
      <is>
        <t>2.8</t>
      </is>
    </nc>
  </rcc>
  <rcc rId="9943" sId="2">
    <oc r="C211">
      <f>IF(B211="","",TEXT(B211,"0.0"))</f>
    </oc>
    <nc r="C211" t="inlineStr">
      <is>
        <t>2.9</t>
      </is>
    </nc>
  </rcc>
  <rcc rId="9944" sId="2">
    <oc r="C212">
      <f>IF(B212="","",TEXT(B212,"0.0"))</f>
    </oc>
    <nc r="C212" t="inlineStr">
      <is>
        <t>2.9</t>
      </is>
    </nc>
  </rcc>
  <rcc rId="9945" sId="2">
    <oc r="C213">
      <f>IF(B213="","",TEXT(B213,"0.0"))</f>
    </oc>
    <nc r="C213" t="inlineStr">
      <is>
        <t>2.8</t>
      </is>
    </nc>
  </rcc>
  <rcc rId="9946" sId="2">
    <oc r="C214">
      <f>IF(B214="","",TEXT(B214,"0.0"))</f>
    </oc>
    <nc r="C214" t="inlineStr">
      <is>
        <t>2.9</t>
      </is>
    </nc>
  </rcc>
  <rcc rId="9947" sId="2">
    <oc r="C215">
      <f>IF(B215="","",TEXT(B215,"0.0"))</f>
    </oc>
    <nc r="C215" t="inlineStr">
      <is>
        <t>2.9</t>
      </is>
    </nc>
  </rcc>
  <rcc rId="9948" sId="2">
    <oc r="C216">
      <f>IF(B216="","",TEXT(B216,"0.0"))</f>
    </oc>
    <nc r="C216" t="inlineStr">
      <is>
        <t>2.9</t>
      </is>
    </nc>
  </rcc>
  <rcc rId="9949" sId="2">
    <oc r="C217">
      <f>IF(B217="","",TEXT(B217,"0.0"))</f>
    </oc>
    <nc r="C217" t="inlineStr">
      <is>
        <t>2.9</t>
      </is>
    </nc>
  </rcc>
  <rcc rId="9950" sId="2">
    <oc r="C218">
      <f>IF(B218="","",TEXT(B218,"0.0"))</f>
    </oc>
    <nc r="C218" t="inlineStr">
      <is>
        <t>2.9</t>
      </is>
    </nc>
  </rcc>
  <rcc rId="9951" sId="2">
    <oc r="C219">
      <f>IF(B219="","",TEXT(B219,"0.0"))</f>
    </oc>
    <nc r="C219" t="inlineStr">
      <is>
        <t>2.9</t>
      </is>
    </nc>
  </rcc>
  <rcc rId="9952" sId="2">
    <oc r="C220">
      <f>IF(B220="","",TEXT(B220,"0.0"))</f>
    </oc>
    <nc r="C220" t="inlineStr">
      <is>
        <t>2.8</t>
      </is>
    </nc>
  </rcc>
  <rcc rId="9953" sId="2">
    <oc r="C221">
      <f>IF(B221="","",TEXT(B221,"0.0"))</f>
    </oc>
    <nc r="C221" t="inlineStr">
      <is>
        <t>2.9</t>
      </is>
    </nc>
  </rcc>
  <rcc rId="9954" sId="2">
    <oc r="C222">
      <f>IF(B222="","",TEXT(B222,"0.0"))</f>
    </oc>
    <nc r="C222" t="inlineStr">
      <is>
        <t>2.9</t>
      </is>
    </nc>
  </rcc>
  <rcc rId="9955" sId="2">
    <oc r="C223">
      <f>IF(B223="","",TEXT(B223,"0.0"))</f>
    </oc>
    <nc r="C223" t="inlineStr">
      <is>
        <t>2.9</t>
      </is>
    </nc>
  </rcc>
  <rcc rId="9956" sId="2">
    <oc r="C224">
      <f>IF(B224="","",TEXT(B224,"0.0"))</f>
    </oc>
    <nc r="C224" t="inlineStr">
      <is>
        <t>2.8</t>
      </is>
    </nc>
  </rcc>
  <rcc rId="9957" sId="2">
    <oc r="C225">
      <f>IF(B225="","",TEXT(B225,"0.0"))</f>
    </oc>
    <nc r="C225" t="inlineStr">
      <is>
        <t>2.9</t>
      </is>
    </nc>
  </rcc>
  <rcc rId="9958" sId="2">
    <oc r="C226">
      <f>IF(B226="","",TEXT(B226,"0.0"))</f>
    </oc>
    <nc r="C226" t="inlineStr">
      <is>
        <t>2.9</t>
      </is>
    </nc>
  </rcc>
  <rcc rId="9959" sId="2">
    <oc r="C227">
      <f>IF(B227="","",TEXT(B227,"0.0"))</f>
    </oc>
    <nc r="C227" t="inlineStr">
      <is>
        <t>2.8</t>
      </is>
    </nc>
  </rcc>
  <rcc rId="9960" sId="2">
    <oc r="C228">
      <f>IF(B228="","",TEXT(B228,"0.0"))</f>
    </oc>
    <nc r="C228" t="inlineStr">
      <is>
        <t>2.8</t>
      </is>
    </nc>
  </rcc>
  <rcc rId="9961" sId="2">
    <oc r="C229">
      <f>IF(B229="","",TEXT(B229,"0.0"))</f>
    </oc>
    <nc r="C229" t="inlineStr">
      <is>
        <t>2.8</t>
      </is>
    </nc>
  </rcc>
  <rcc rId="9962" sId="2">
    <oc r="C230">
      <f>IF(B230="","",TEXT(B230,"0.0"))</f>
    </oc>
    <nc r="C230" t="inlineStr">
      <is>
        <t>2.8</t>
      </is>
    </nc>
  </rcc>
  <rcc rId="9963" sId="2">
    <oc r="C231">
      <f>IF(B231="","",TEXT(B231,"0.0"))</f>
    </oc>
    <nc r="C231" t="inlineStr">
      <is>
        <t>2.9</t>
      </is>
    </nc>
  </rcc>
  <rcc rId="9964" sId="2">
    <oc r="C232">
      <f>IF(B232="","",TEXT(B232,"0.0"))</f>
    </oc>
    <nc r="C232" t="inlineStr">
      <is>
        <t>2.9</t>
      </is>
    </nc>
  </rcc>
  <rcc rId="9965" sId="2">
    <oc r="C233">
      <f>IF(B233="","",TEXT(B233,"0.0"))</f>
    </oc>
    <nc r="C233" t="inlineStr">
      <is>
        <t>2.9</t>
      </is>
    </nc>
  </rcc>
  <rcc rId="9966" sId="2">
    <oc r="C234">
      <f>IF(B234="","",TEXT(B234,"0.0"))</f>
    </oc>
    <nc r="C234" t="inlineStr">
      <is>
        <t>2.9</t>
      </is>
    </nc>
  </rcc>
  <rcc rId="9967" sId="2">
    <oc r="C235">
      <f>IF(B235="","",TEXT(B235,"0.0"))</f>
    </oc>
    <nc r="C235" t="inlineStr">
      <is>
        <t>2.9</t>
      </is>
    </nc>
  </rcc>
  <rcc rId="9968" sId="2">
    <oc r="C236">
      <f>IF(B236="","",TEXT(B236,"0.0"))</f>
    </oc>
    <nc r="C236" t="inlineStr">
      <is>
        <t>2.8</t>
      </is>
    </nc>
  </rcc>
  <rcc rId="9969" sId="2">
    <oc r="C237">
      <f>IF(B237="","",TEXT(B237,"0.0"))</f>
    </oc>
    <nc r="C237" t="inlineStr">
      <is>
        <t>2.8</t>
      </is>
    </nc>
  </rcc>
  <rcc rId="9970" sId="2">
    <oc r="C238">
      <f>IF(B238="","",TEXT(B238,"0.0"))</f>
    </oc>
    <nc r="C238" t="inlineStr">
      <is>
        <t>2.8</t>
      </is>
    </nc>
  </rcc>
  <rcc rId="9971" sId="2">
    <oc r="C239">
      <f>IF(B239="","",TEXT(B239,"0.0"))</f>
    </oc>
    <nc r="C239" t="inlineStr">
      <is>
        <t>2.9</t>
      </is>
    </nc>
  </rcc>
  <rcc rId="9972" sId="2">
    <oc r="C240">
      <f>IF(B240="","",TEXT(B240,"0.0"))</f>
    </oc>
    <nc r="C240" t="inlineStr">
      <is>
        <t>2.8</t>
      </is>
    </nc>
  </rcc>
  <rcc rId="9973" sId="2">
    <oc r="C241">
      <f>IF(B241="","",TEXT(B241,"0.0"))</f>
    </oc>
    <nc r="C241" t="inlineStr">
      <is>
        <t>2.9</t>
      </is>
    </nc>
  </rcc>
  <rcc rId="9974" sId="2">
    <oc r="C242">
      <f>IF(B242="","",TEXT(B242,"0.0"))</f>
    </oc>
    <nc r="C242" t="inlineStr">
      <is>
        <t>2.8</t>
      </is>
    </nc>
  </rcc>
  <rcc rId="9975" sId="2">
    <oc r="C243">
      <f>IF(B243="","",TEXT(B243,"0.0"))</f>
    </oc>
    <nc r="C243" t="inlineStr">
      <is>
        <t>2.8</t>
      </is>
    </nc>
  </rcc>
  <rcc rId="9976" sId="2">
    <oc r="C244">
      <f>IF(B244="","",TEXT(B244,"0.0"))</f>
    </oc>
    <nc r="C244" t="inlineStr">
      <is>
        <t>2.8</t>
      </is>
    </nc>
  </rcc>
  <rcc rId="9977" sId="2">
    <oc r="C245">
      <f>IF(B245="","",TEXT(B245,"0.0"))</f>
    </oc>
    <nc r="C245" t="inlineStr">
      <is>
        <t>2.8</t>
      </is>
    </nc>
  </rcc>
  <rcc rId="9978" sId="2">
    <oc r="C246">
      <f>IF(B246="","",TEXT(B246,"0.0"))</f>
    </oc>
    <nc r="C246" t="inlineStr">
      <is>
        <t>2.9</t>
      </is>
    </nc>
  </rcc>
  <rcc rId="9979" sId="2">
    <oc r="C247">
      <f>IF(B247="","",TEXT(B247,"0.0"))</f>
    </oc>
    <nc r="C247" t="inlineStr">
      <is>
        <t>2.8</t>
      </is>
    </nc>
  </rcc>
  <rcc rId="9980" sId="2">
    <oc r="C248">
      <f>IF(B248="","",TEXT(B248,"0.0"))</f>
    </oc>
    <nc r="C248" t="inlineStr">
      <is>
        <t>2.8</t>
      </is>
    </nc>
  </rcc>
  <rcc rId="9981" sId="2">
    <oc r="C249">
      <f>IF(B249="","",TEXT(B249,"0.0"))</f>
    </oc>
    <nc r="C249" t="inlineStr">
      <is>
        <t>2.8</t>
      </is>
    </nc>
  </rcc>
  <rcc rId="9982" sId="2">
    <oc r="C250">
      <f>IF(B250="","",TEXT(B250,"0.0"))</f>
    </oc>
    <nc r="C250" t="inlineStr">
      <is>
        <t>2.8</t>
      </is>
    </nc>
  </rcc>
  <rcc rId="9983" sId="2">
    <oc r="C251">
      <f>IF(B251="","",TEXT(B251,"0.0"))</f>
    </oc>
    <nc r="C251" t="inlineStr">
      <is>
        <t>2.8</t>
      </is>
    </nc>
  </rcc>
  <rcc rId="9984" sId="2">
    <oc r="C252">
      <f>IF(B252="","",TEXT(B252,"0.0"))</f>
    </oc>
    <nc r="C252" t="inlineStr">
      <is>
        <t>2.8</t>
      </is>
    </nc>
  </rcc>
  <rcc rId="9985" sId="2">
    <oc r="C253">
      <f>IF(B253="","",TEXT(B253,"0.0"))</f>
    </oc>
    <nc r="C253" t="inlineStr">
      <is>
        <t>2.8</t>
      </is>
    </nc>
  </rcc>
  <rcc rId="9986" sId="2">
    <oc r="C254">
      <f>IF(B254="","",TEXT(B254,"0.0"))</f>
    </oc>
    <nc r="C254" t="inlineStr">
      <is>
        <t>2.8</t>
      </is>
    </nc>
  </rcc>
  <rcc rId="9987" sId="2">
    <oc r="C255">
      <f>IF(B255="","",TEXT(B255,"0.0"))</f>
    </oc>
    <nc r="C255" t="inlineStr">
      <is>
        <t>2.8</t>
      </is>
    </nc>
  </rcc>
  <rcc rId="9988" sId="2">
    <oc r="C256">
      <f>IF(B256="","",TEXT(B256,"0.0"))</f>
    </oc>
    <nc r="C256" t="inlineStr">
      <is>
        <t>2.8</t>
      </is>
    </nc>
  </rcc>
  <rcc rId="9989" sId="2">
    <oc r="C257">
      <f>IF(B257="","",TEXT(B257,"0.0"))</f>
    </oc>
    <nc r="C257" t="inlineStr">
      <is>
        <t>2.8</t>
      </is>
    </nc>
  </rcc>
  <rcc rId="9990" sId="2">
    <oc r="C258">
      <f>IF(B258="","",TEXT(B258,"0.0"))</f>
    </oc>
    <nc r="C258" t="inlineStr">
      <is>
        <t>2.8</t>
      </is>
    </nc>
  </rcc>
  <rcc rId="9991" sId="2">
    <oc r="C259">
      <f>IF(B259="","",TEXT(B259,"0.0"))</f>
    </oc>
    <nc r="C259" t="inlineStr">
      <is>
        <t>2.8</t>
      </is>
    </nc>
  </rcc>
  <rcc rId="9992" sId="2">
    <oc r="C260">
      <f>IF(B260="","",TEXT(B260,"0.0"))</f>
    </oc>
    <nc r="C260" t="inlineStr">
      <is>
        <t>2.8</t>
      </is>
    </nc>
  </rcc>
  <rcc rId="9993" sId="2">
    <oc r="C261">
      <f>IF(B261="","",TEXT(B261,"0.0"))</f>
    </oc>
    <nc r="C261" t="inlineStr">
      <is>
        <t>NA</t>
      </is>
    </nc>
  </rcc>
  <rcc rId="9994" sId="2">
    <oc r="C262">
      <f>IF(B262="","",TEXT(B262,"0.0"))</f>
    </oc>
    <nc r="C262" t="inlineStr">
      <is>
        <t/>
      </is>
    </nc>
  </rcc>
  <rcc rId="9995" sId="2">
    <oc r="C263">
      <f>IF(B263="","",TEXT(B263,"0.0"))</f>
    </oc>
    <nc r="C263" t="inlineStr">
      <is>
        <t/>
      </is>
    </nc>
  </rcc>
  <rrc rId="9996" sId="2" ref="B1:B1048576" action="deleteCol">
    <rfmt sheetId="2" xfDxf="1" sqref="B1:B1048576" start="0" length="0">
      <dxf>
        <alignment horizontal="left"/>
      </dxf>
    </rfmt>
    <rcc rId="0" sId="2">
      <nc r="B1" t="inlineStr">
        <is>
          <t>nest</t>
        </is>
      </nc>
    </rcc>
    <rcc rId="0" sId="2">
      <nc r="B2">
        <v>2.1</v>
      </nc>
    </rcc>
    <rcc rId="0" sId="2" dxf="1">
      <nc r="B3">
        <v>2.6</v>
      </nc>
      <ndxf>
        <font>
          <sz val="12"/>
          <color rgb="FFFF0000"/>
          <name val="Calibri"/>
          <family val="2"/>
          <scheme val="minor"/>
        </font>
      </ndxf>
    </rcc>
    <rcc rId="0" sId="2">
      <nc r="B4">
        <v>2.1</v>
      </nc>
    </rcc>
    <rcc rId="0" sId="2">
      <nc r="B5">
        <v>2.1</v>
      </nc>
    </rcc>
    <rcc rId="0" sId="2">
      <nc r="B6">
        <v>2.1</v>
      </nc>
    </rcc>
    <rcc rId="0" sId="2">
      <nc r="B7">
        <v>2.1</v>
      </nc>
    </rcc>
    <rcc rId="0" sId="2">
      <nc r="B8">
        <v>2.1</v>
      </nc>
    </rcc>
    <rcc rId="0" sId="2">
      <nc r="B9">
        <v>2.2000000000000002</v>
      </nc>
    </rcc>
    <rcc rId="0" sId="2">
      <nc r="B10">
        <v>2.2000000000000002</v>
      </nc>
    </rcc>
    <rcc rId="0" sId="2">
      <nc r="B11">
        <v>2.2000000000000002</v>
      </nc>
    </rcc>
    <rcc rId="0" sId="2">
      <nc r="B12">
        <v>2.2000000000000002</v>
      </nc>
    </rcc>
    <rcc rId="0" sId="2" dxf="1">
      <nc r="B13">
        <v>2.1</v>
      </nc>
      <ndxf>
        <font>
          <sz val="12"/>
          <color rgb="FFFF0000"/>
          <name val="Calibri"/>
          <family val="2"/>
          <scheme val="minor"/>
        </font>
      </ndxf>
    </rcc>
    <rcc rId="0" sId="2" dxf="1">
      <nc r="B14">
        <v>2.1</v>
      </nc>
      <ndxf>
        <font>
          <sz val="12"/>
          <color rgb="FFFF0000"/>
          <name val="Calibri"/>
          <family val="2"/>
          <scheme val="minor"/>
        </font>
      </ndxf>
    </rcc>
    <rcc rId="0" sId="2">
      <nc r="B15">
        <v>2.1</v>
      </nc>
    </rcc>
    <rcc rId="0" sId="2">
      <nc r="B16">
        <v>2.1</v>
      </nc>
    </rcc>
    <rcc rId="0" sId="2">
      <nc r="B17">
        <v>2.1</v>
      </nc>
    </rcc>
    <rcc rId="0" sId="2">
      <nc r="B18">
        <v>2.1</v>
      </nc>
    </rcc>
    <rcc rId="0" sId="2">
      <nc r="B19">
        <v>2.1</v>
      </nc>
    </rcc>
    <rcc rId="0" sId="2">
      <nc r="B20">
        <v>2.1</v>
      </nc>
    </rcc>
    <rcc rId="0" sId="2">
      <nc r="B21">
        <v>2.1</v>
      </nc>
    </rcc>
    <rcc rId="0" sId="2">
      <nc r="B22">
        <v>2.1</v>
      </nc>
    </rcc>
    <rcc rId="0" sId="2">
      <nc r="B23">
        <v>2.2000000000000002</v>
      </nc>
    </rcc>
    <rcc rId="0" sId="2">
      <nc r="B24">
        <v>2.2999999999999998</v>
      </nc>
    </rcc>
    <rcc rId="0" sId="2">
      <nc r="B25">
        <v>2.2000000000000002</v>
      </nc>
    </rcc>
    <rcc rId="0" sId="2">
      <nc r="B26">
        <v>2.2000000000000002</v>
      </nc>
    </rcc>
    <rcc rId="0" sId="2">
      <nc r="B27">
        <v>2.2999999999999998</v>
      </nc>
    </rcc>
    <rcc rId="0" sId="2">
      <nc r="B28">
        <v>2.2999999999999998</v>
      </nc>
    </rcc>
    <rcc rId="0" sId="2">
      <nc r="B29">
        <v>2.4</v>
      </nc>
    </rcc>
    <rcc rId="0" sId="2">
      <nc r="B30">
        <v>2.5</v>
      </nc>
    </rcc>
    <rcc rId="0" sId="2">
      <nc r="B31">
        <v>2.6</v>
      </nc>
    </rcc>
    <rcc rId="0" sId="2">
      <nc r="B32">
        <v>2.6</v>
      </nc>
    </rcc>
    <rcc rId="0" sId="2">
      <nc r="B33">
        <v>2.6</v>
      </nc>
    </rcc>
    <rcc rId="0" sId="2">
      <nc r="B34">
        <v>2.6</v>
      </nc>
    </rcc>
    <rcc rId="0" sId="2">
      <nc r="B35">
        <v>2.6</v>
      </nc>
    </rcc>
    <rcc rId="0" sId="2">
      <nc r="B36">
        <v>2.6</v>
      </nc>
    </rcc>
    <rcc rId="0" sId="2">
      <nc r="B37">
        <v>2.6</v>
      </nc>
    </rcc>
    <rcc rId="0" sId="2">
      <nc r="B38">
        <v>2.6</v>
      </nc>
    </rcc>
    <rcc rId="0" sId="2">
      <nc r="B39">
        <v>2.6</v>
      </nc>
    </rcc>
    <rcc rId="0" sId="2">
      <nc r="B40">
        <v>2.6</v>
      </nc>
    </rcc>
    <rcc rId="0" sId="2">
      <nc r="B41">
        <v>2.6</v>
      </nc>
    </rcc>
    <rcc rId="0" sId="2">
      <nc r="B42">
        <v>2.6</v>
      </nc>
    </rcc>
    <rcc rId="0" sId="2">
      <nc r="B43">
        <v>2.6</v>
      </nc>
    </rcc>
    <rcc rId="0" sId="2">
      <nc r="B44">
        <v>2.6</v>
      </nc>
    </rcc>
    <rcc rId="0" sId="2">
      <nc r="B45">
        <v>2.6</v>
      </nc>
    </rcc>
    <rcc rId="0" sId="2">
      <nc r="B46">
        <v>2.6</v>
      </nc>
    </rcc>
    <rcc rId="0" sId="2">
      <nc r="B47">
        <v>2.6</v>
      </nc>
    </rcc>
    <rcc rId="0" sId="2">
      <nc r="B48">
        <v>2.6</v>
      </nc>
    </rcc>
    <rcc rId="0" sId="2">
      <nc r="B49">
        <v>2.6</v>
      </nc>
    </rcc>
    <rcc rId="0" sId="2">
      <nc r="B50">
        <v>2.6</v>
      </nc>
    </rcc>
    <rcc rId="0" sId="2">
      <nc r="B51">
        <v>2.6</v>
      </nc>
    </rcc>
    <rcc rId="0" sId="2">
      <nc r="B52">
        <v>2.6</v>
      </nc>
    </rcc>
    <rcc rId="0" sId="2">
      <nc r="B53">
        <v>2.6</v>
      </nc>
    </rcc>
    <rcc rId="0" sId="2">
      <nc r="B54">
        <v>2.6</v>
      </nc>
    </rcc>
    <rcc rId="0" sId="2">
      <nc r="B55">
        <v>2.6</v>
      </nc>
    </rcc>
    <rcc rId="0" sId="2">
      <nc r="B56">
        <v>2.6</v>
      </nc>
    </rcc>
    <rcc rId="0" sId="2">
      <nc r="B57">
        <v>2.6</v>
      </nc>
    </rcc>
    <rcc rId="0" sId="2">
      <nc r="B58">
        <v>2.6</v>
      </nc>
    </rcc>
    <rcc rId="0" sId="2">
      <nc r="B59">
        <v>2.6</v>
      </nc>
    </rcc>
    <rcc rId="0" sId="2">
      <nc r="B60">
        <v>2.6</v>
      </nc>
    </rcc>
    <rcc rId="0" sId="2">
      <nc r="B61">
        <v>2.6</v>
      </nc>
    </rcc>
    <rcc rId="0" sId="2">
      <nc r="B62">
        <v>2.6</v>
      </nc>
    </rcc>
    <rcc rId="0" sId="2">
      <nc r="B63">
        <v>2.6</v>
      </nc>
    </rcc>
    <rcc rId="0" sId="2">
      <nc r="B64">
        <v>2.6</v>
      </nc>
    </rcc>
    <rcc rId="0" sId="2">
      <nc r="B65">
        <v>2.6</v>
      </nc>
    </rcc>
    <rcc rId="0" sId="2">
      <nc r="B66">
        <v>2.6</v>
      </nc>
    </rcc>
    <rcc rId="0" sId="2">
      <nc r="B67">
        <v>2.6</v>
      </nc>
    </rcc>
    <rcc rId="0" sId="2">
      <nc r="B68">
        <v>2.6</v>
      </nc>
    </rcc>
    <rcc rId="0" sId="2">
      <nc r="B69">
        <v>2.6</v>
      </nc>
    </rcc>
    <rcc rId="0" sId="2">
      <nc r="B70">
        <v>2.6</v>
      </nc>
    </rcc>
    <rcc rId="0" sId="2">
      <nc r="B71">
        <v>2.6</v>
      </nc>
    </rcc>
    <rcc rId="0" sId="2">
      <nc r="B72">
        <v>2.1</v>
      </nc>
    </rcc>
    <rcc rId="0" sId="2">
      <nc r="B73">
        <v>2.1</v>
      </nc>
    </rcc>
    <rcc rId="0" sId="2">
      <nc r="B74">
        <v>2.1</v>
      </nc>
    </rcc>
    <rcc rId="0" sId="2">
      <nc r="B75">
        <v>2.1</v>
      </nc>
    </rcc>
    <rcc rId="0" sId="2">
      <nc r="B76">
        <v>2.1</v>
      </nc>
    </rcc>
    <rcc rId="0" sId="2">
      <nc r="B77">
        <v>2.1</v>
      </nc>
    </rcc>
    <rcc rId="0" sId="2" dxf="1">
      <nc r="B78" t="inlineStr">
        <is>
          <t>2.6</t>
        </is>
      </nc>
      <ndxf>
        <alignment horizontal="general" vertical="bottom"/>
      </ndxf>
    </rcc>
    <rcc rId="0" sId="2" dxf="1">
      <nc r="B79" t="inlineStr">
        <is>
          <t>2.6</t>
        </is>
      </nc>
      <ndxf>
        <alignment horizontal="general" vertical="bottom"/>
      </ndxf>
    </rcc>
    <rcc rId="0" sId="2" dxf="1">
      <nc r="B80" t="inlineStr">
        <is>
          <t>2.6</t>
        </is>
      </nc>
      <ndxf>
        <alignment horizontal="general" vertical="bottom"/>
      </ndxf>
    </rcc>
    <rcc rId="0" sId="2" dxf="1">
      <nc r="B81" t="inlineStr">
        <is>
          <t>2.6</t>
        </is>
      </nc>
      <ndxf>
        <alignment horizontal="general" vertical="bottom"/>
      </ndxf>
    </rcc>
    <rcc rId="0" sId="2" dxf="1">
      <nc r="B82" t="inlineStr">
        <is>
          <t>2.6</t>
        </is>
      </nc>
      <ndxf>
        <alignment horizontal="general" vertical="bottom"/>
      </ndxf>
    </rcc>
    <rcc rId="0" sId="2" dxf="1">
      <nc r="B83" t="inlineStr">
        <is>
          <t>2.6</t>
        </is>
      </nc>
      <ndxf>
        <alignment horizontal="general" vertical="bottom"/>
      </ndxf>
    </rcc>
    <rcc rId="0" sId="2" dxf="1">
      <nc r="B84" t="inlineStr">
        <is>
          <t>2.6</t>
        </is>
      </nc>
      <ndxf>
        <alignment horizontal="general" vertical="bottom"/>
      </ndxf>
    </rcc>
    <rcc rId="0" sId="2" dxf="1">
      <nc r="B85" t="inlineStr">
        <is>
          <t>2.6</t>
        </is>
      </nc>
      <ndxf>
        <alignment horizontal="general" vertical="bottom"/>
      </ndxf>
    </rcc>
    <rcc rId="0" sId="2" dxf="1">
      <nc r="B86" t="inlineStr">
        <is>
          <t>2.6</t>
        </is>
      </nc>
      <ndxf>
        <alignment horizontal="general" vertical="bottom"/>
      </ndxf>
    </rcc>
    <rcc rId="0" sId="2" dxf="1">
      <nc r="B87" t="inlineStr">
        <is>
          <t>2.6</t>
        </is>
      </nc>
      <ndxf>
        <alignment horizontal="general" vertical="bottom"/>
      </ndxf>
    </rcc>
    <rcc rId="0" sId="2" dxf="1">
      <nc r="B88" t="inlineStr">
        <is>
          <t>2.6</t>
        </is>
      </nc>
      <ndxf>
        <alignment horizontal="general" vertical="bottom"/>
      </ndxf>
    </rcc>
    <rcc rId="0" sId="2" dxf="1">
      <nc r="B89" t="inlineStr">
        <is>
          <t>2.6</t>
        </is>
      </nc>
      <ndxf>
        <alignment horizontal="general" vertical="bottom"/>
      </ndxf>
    </rcc>
    <rcc rId="0" sId="2" dxf="1">
      <nc r="B90" t="inlineStr">
        <is>
          <t>2.6</t>
        </is>
      </nc>
      <ndxf>
        <alignment horizontal="general" vertical="bottom"/>
      </ndxf>
    </rcc>
    <rcc rId="0" sId="2" dxf="1">
      <nc r="B91" t="inlineStr">
        <is>
          <t>2.6</t>
        </is>
      </nc>
      <ndxf>
        <alignment horizontal="general" vertical="bottom"/>
      </ndxf>
    </rcc>
    <rcc rId="0" sId="2" dxf="1">
      <nc r="B92" t="inlineStr">
        <is>
          <t>2.6</t>
        </is>
      </nc>
      <ndxf>
        <alignment horizontal="general" vertical="bottom"/>
      </ndxf>
    </rcc>
    <rcc rId="0" sId="2" dxf="1">
      <nc r="B93" t="inlineStr">
        <is>
          <t>2.6</t>
        </is>
      </nc>
      <ndxf>
        <alignment horizontal="general" vertical="bottom"/>
      </ndxf>
    </rcc>
    <rcc rId="0" sId="2" dxf="1">
      <nc r="B94" t="inlineStr">
        <is>
          <t>2.6</t>
        </is>
      </nc>
      <ndxf>
        <alignment horizontal="general" vertical="bottom"/>
      </ndxf>
    </rcc>
    <rcc rId="0" sId="2" dxf="1">
      <nc r="B95" t="inlineStr">
        <is>
          <t>2.6</t>
        </is>
      </nc>
      <ndxf>
        <alignment horizontal="general" vertical="bottom"/>
      </ndxf>
    </rcc>
    <rcc rId="0" sId="2" dxf="1">
      <nc r="B96" t="inlineStr">
        <is>
          <t>2.6</t>
        </is>
      </nc>
      <ndxf>
        <alignment horizontal="general" vertical="bottom"/>
      </ndxf>
    </rcc>
    <rcc rId="0" sId="2" dxf="1">
      <nc r="B97" t="inlineStr">
        <is>
          <t>2.6</t>
        </is>
      </nc>
      <ndxf>
        <alignment horizontal="general" vertical="bottom"/>
      </ndxf>
    </rcc>
    <rcc rId="0" sId="2" dxf="1">
      <nc r="B98" t="inlineStr">
        <is>
          <t>2.6</t>
        </is>
      </nc>
      <ndxf>
        <alignment horizontal="general" vertical="bottom"/>
      </ndxf>
    </rcc>
    <rcc rId="0" sId="2" dxf="1">
      <nc r="B99" t="inlineStr">
        <is>
          <t>2.6</t>
        </is>
      </nc>
      <ndxf>
        <alignment horizontal="general" vertical="bottom"/>
      </ndxf>
    </rcc>
    <rcc rId="0" sId="2" dxf="1">
      <nc r="B100" t="inlineStr">
        <is>
          <t>2.6</t>
        </is>
      </nc>
      <ndxf>
        <alignment horizontal="general" vertical="bottom"/>
      </ndxf>
    </rcc>
    <rcc rId="0" sId="2" dxf="1">
      <nc r="B101" t="inlineStr">
        <is>
          <t>2.6</t>
        </is>
      </nc>
      <ndxf>
        <alignment horizontal="general" vertical="bottom"/>
      </ndxf>
    </rcc>
    <rcc rId="0" sId="2" dxf="1">
      <nc r="B102" t="inlineStr">
        <is>
          <t>2.6</t>
        </is>
      </nc>
      <ndxf>
        <alignment horizontal="general" vertical="bottom"/>
      </ndxf>
    </rcc>
    <rcc rId="0" sId="2" dxf="1">
      <nc r="B103" t="inlineStr">
        <is>
          <t>2.6</t>
        </is>
      </nc>
      <ndxf>
        <alignment horizontal="general" vertical="bottom"/>
      </ndxf>
    </rcc>
    <rcc rId="0" sId="2" dxf="1">
      <nc r="B104" t="inlineStr">
        <is>
          <t>2.6</t>
        </is>
      </nc>
      <ndxf>
        <alignment horizontal="general" vertical="bottom"/>
      </ndxf>
    </rcc>
    <rcc rId="0" sId="2" dxf="1">
      <nc r="B105" t="inlineStr">
        <is>
          <t>2.6</t>
        </is>
      </nc>
      <ndxf>
        <alignment horizontal="general" vertical="bottom"/>
      </ndxf>
    </rcc>
    <rcc rId="0" sId="2" dxf="1">
      <nc r="B106" t="inlineStr">
        <is>
          <t>2.6</t>
        </is>
      </nc>
      <ndxf>
        <alignment horizontal="general" vertical="bottom"/>
      </ndxf>
    </rcc>
    <rcc rId="0" sId="2" dxf="1">
      <nc r="B107" t="inlineStr">
        <is>
          <t>2.6</t>
        </is>
      </nc>
      <ndxf>
        <alignment horizontal="general" vertical="bottom"/>
      </ndxf>
    </rcc>
    <rcc rId="0" sId="2" dxf="1">
      <nc r="B108" t="inlineStr">
        <is>
          <t>2.6</t>
        </is>
      </nc>
      <ndxf>
        <alignment horizontal="general" vertical="bottom"/>
      </ndxf>
    </rcc>
    <rcc rId="0" sId="2" dxf="1">
      <nc r="B109" t="inlineStr">
        <is>
          <t>2.6</t>
        </is>
      </nc>
      <ndxf>
        <alignment horizontal="general" vertical="bottom"/>
      </ndxf>
    </rcc>
    <rcc rId="0" sId="2" dxf="1">
      <nc r="B110" t="inlineStr">
        <is>
          <t>2.6</t>
        </is>
      </nc>
      <ndxf>
        <alignment horizontal="general" vertical="bottom"/>
      </ndxf>
    </rcc>
    <rcc rId="0" sId="2" dxf="1">
      <nc r="B111" t="inlineStr">
        <is>
          <t>2.6</t>
        </is>
      </nc>
      <ndxf>
        <alignment horizontal="general" vertical="bottom"/>
      </ndxf>
    </rcc>
    <rcc rId="0" sId="2" dxf="1">
      <nc r="B112" t="inlineStr">
        <is>
          <t>2.6</t>
        </is>
      </nc>
      <ndxf>
        <alignment horizontal="general" vertical="bottom"/>
      </ndxf>
    </rcc>
    <rcc rId="0" sId="2" dxf="1">
      <nc r="B113" t="inlineStr">
        <is>
          <t>2.6</t>
        </is>
      </nc>
      <ndxf>
        <alignment horizontal="general" vertical="bottom"/>
      </ndxf>
    </rcc>
    <rcc rId="0" sId="2" dxf="1">
      <nc r="B114" t="inlineStr">
        <is>
          <t>2.6</t>
        </is>
      </nc>
      <ndxf>
        <alignment horizontal="general" vertical="bottom"/>
      </ndxf>
    </rcc>
    <rcc rId="0" sId="2" dxf="1">
      <nc r="B115" t="inlineStr">
        <is>
          <t>2.6</t>
        </is>
      </nc>
      <ndxf>
        <alignment horizontal="general" vertical="bottom"/>
      </ndxf>
    </rcc>
    <rcc rId="0" sId="2" dxf="1">
      <nc r="B116" t="inlineStr">
        <is>
          <t>2.6</t>
        </is>
      </nc>
      <ndxf>
        <alignment horizontal="general" vertical="bottom"/>
      </ndxf>
    </rcc>
    <rcc rId="0" sId="2" dxf="1">
      <nc r="B117" t="inlineStr">
        <is>
          <t>2.6</t>
        </is>
      </nc>
      <ndxf>
        <alignment horizontal="general" vertical="bottom"/>
      </ndxf>
    </rcc>
    <rcc rId="0" sId="2" dxf="1">
      <nc r="B118" t="inlineStr">
        <is>
          <t>2.6</t>
        </is>
      </nc>
      <ndxf>
        <alignment horizontal="general" vertical="bottom"/>
      </ndxf>
    </rcc>
    <rcc rId="0" sId="2" dxf="1">
      <nc r="B119" t="inlineStr">
        <is>
          <t>2.6</t>
        </is>
      </nc>
      <ndxf>
        <alignment horizontal="general" vertical="bottom"/>
      </ndxf>
    </rcc>
    <rcc rId="0" sId="2" dxf="1">
      <nc r="B120" t="inlineStr">
        <is>
          <t>2.6</t>
        </is>
      </nc>
      <ndxf>
        <alignment horizontal="general" vertical="bottom"/>
      </ndxf>
    </rcc>
    <rcc rId="0" sId="2" dxf="1">
      <nc r="B121" t="inlineStr">
        <is>
          <t>2.6</t>
        </is>
      </nc>
      <ndxf>
        <alignment horizontal="general" vertical="bottom"/>
      </ndxf>
    </rcc>
    <rcc rId="0" sId="2" dxf="1">
      <nc r="B122" t="inlineStr">
        <is>
          <t>2.6</t>
        </is>
      </nc>
      <ndxf>
        <alignment horizontal="general" vertical="bottom"/>
      </ndxf>
    </rcc>
    <rcc rId="0" sId="2" dxf="1">
      <nc r="B123" t="inlineStr">
        <is>
          <t>2.6</t>
        </is>
      </nc>
      <ndxf>
        <alignment horizontal="general" vertical="bottom"/>
      </ndxf>
    </rcc>
    <rcc rId="0" sId="2" dxf="1">
      <nc r="B124" t="inlineStr">
        <is>
          <t>2.6</t>
        </is>
      </nc>
      <ndxf>
        <alignment horizontal="general" vertical="bottom"/>
      </ndxf>
    </rcc>
    <rcc rId="0" sId="2" dxf="1">
      <nc r="B125" t="inlineStr">
        <is>
          <t>2.6</t>
        </is>
      </nc>
      <ndxf>
        <alignment horizontal="general" vertical="bottom"/>
      </ndxf>
    </rcc>
    <rcc rId="0" sId="2" dxf="1">
      <nc r="B126" t="inlineStr">
        <is>
          <t>2.6</t>
        </is>
      </nc>
      <ndxf>
        <alignment horizontal="general" vertical="bottom"/>
      </ndxf>
    </rcc>
    <rcc rId="0" sId="2" dxf="1">
      <nc r="B127" t="inlineStr">
        <is>
          <t>2.6</t>
        </is>
      </nc>
      <ndxf>
        <alignment horizontal="general" vertical="bottom"/>
      </ndxf>
    </rcc>
    <rcc rId="0" sId="2" dxf="1">
      <nc r="B128" t="inlineStr">
        <is>
          <t>2.6</t>
        </is>
      </nc>
      <ndxf>
        <alignment horizontal="general" vertical="bottom"/>
      </ndxf>
    </rcc>
    <rcc rId="0" sId="2" dxf="1">
      <nc r="B129" t="inlineStr">
        <is>
          <t>2.6</t>
        </is>
      </nc>
      <ndxf>
        <alignment horizontal="general" vertical="bottom"/>
      </ndxf>
    </rcc>
    <rcc rId="0" sId="2" dxf="1">
      <nc r="B130" t="inlineStr">
        <is>
          <t>2.6</t>
        </is>
      </nc>
      <ndxf>
        <alignment horizontal="general" vertical="bottom"/>
      </ndxf>
    </rcc>
    <rcc rId="0" sId="2" dxf="1">
      <nc r="B131" t="inlineStr">
        <is>
          <t>2.6</t>
        </is>
      </nc>
      <ndxf>
        <alignment horizontal="general" vertical="bottom"/>
      </ndxf>
    </rcc>
    <rcc rId="0" sId="2" dxf="1">
      <nc r="B132" t="inlineStr">
        <is>
          <t>2.7</t>
        </is>
      </nc>
      <ndxf>
        <alignment horizontal="general" vertical="bottom"/>
      </ndxf>
    </rcc>
    <rcc rId="0" sId="2" dxf="1">
      <nc r="B133" t="inlineStr">
        <is>
          <t>2.6</t>
        </is>
      </nc>
      <ndxf>
        <alignment horizontal="general" vertical="bottom"/>
      </ndxf>
    </rcc>
    <rcc rId="0" sId="2" dxf="1">
      <nc r="B134" t="inlineStr">
        <is>
          <t>2.7</t>
        </is>
      </nc>
      <ndxf>
        <alignment horizontal="general" vertical="bottom"/>
      </ndxf>
    </rcc>
    <rcc rId="0" sId="2" dxf="1">
      <nc r="B135" t="inlineStr">
        <is>
          <t>2.6</t>
        </is>
      </nc>
      <ndxf>
        <alignment horizontal="general" vertical="bottom"/>
      </ndxf>
    </rcc>
    <rcc rId="0" sId="2" dxf="1">
      <nc r="B136" t="inlineStr">
        <is>
          <t>2.6</t>
        </is>
      </nc>
      <ndxf>
        <alignment horizontal="general" vertical="bottom"/>
      </ndxf>
    </rcc>
    <rcc rId="0" sId="2" dxf="1">
      <nc r="B137" t="inlineStr">
        <is>
          <t>2.6</t>
        </is>
      </nc>
      <ndxf>
        <alignment horizontal="general" vertical="bottom"/>
      </ndxf>
    </rcc>
    <rcc rId="0" sId="2" dxf="1">
      <nc r="B138" t="inlineStr">
        <is>
          <t>2.7</t>
        </is>
      </nc>
      <ndxf>
        <alignment horizontal="general" vertical="bottom"/>
      </ndxf>
    </rcc>
    <rcc rId="0" sId="2" dxf="1">
      <nc r="B139" t="inlineStr">
        <is>
          <t>2.7</t>
        </is>
      </nc>
      <ndxf>
        <alignment horizontal="general" vertical="bottom"/>
      </ndxf>
    </rcc>
    <rcc rId="0" sId="2" dxf="1">
      <nc r="B140" t="inlineStr">
        <is>
          <t>2.6</t>
        </is>
      </nc>
      <ndxf>
        <alignment horizontal="general" vertical="bottom"/>
      </ndxf>
    </rcc>
    <rcc rId="0" sId="2" dxf="1">
      <nc r="B141" t="inlineStr">
        <is>
          <t>2.7</t>
        </is>
      </nc>
      <ndxf>
        <alignment horizontal="general" vertical="bottom"/>
      </ndxf>
    </rcc>
    <rcc rId="0" sId="2" dxf="1">
      <nc r="B142" t="inlineStr">
        <is>
          <t>2.6</t>
        </is>
      </nc>
      <ndxf>
        <alignment horizontal="general" vertical="bottom"/>
      </ndxf>
    </rcc>
    <rcc rId="0" sId="2" dxf="1">
      <nc r="B143" t="inlineStr">
        <is>
          <t>2.8</t>
        </is>
      </nc>
      <ndxf>
        <alignment horizontal="general" vertical="bottom"/>
      </ndxf>
    </rcc>
    <rcc rId="0" sId="2" dxf="1">
      <nc r="B144" t="inlineStr">
        <is>
          <t>2.9</t>
        </is>
      </nc>
      <ndxf>
        <alignment horizontal="general" vertical="bottom"/>
      </ndxf>
    </rcc>
    <rcc rId="0" sId="2" dxf="1">
      <nc r="B145" t="inlineStr">
        <is>
          <t>2.8</t>
        </is>
      </nc>
      <ndxf>
        <alignment horizontal="general" vertical="bottom"/>
      </ndxf>
    </rcc>
    <rcc rId="0" sId="2" dxf="1">
      <nc r="B146" t="inlineStr">
        <is>
          <t>2.9</t>
        </is>
      </nc>
      <ndxf>
        <alignment horizontal="general" vertical="bottom"/>
      </ndxf>
    </rcc>
    <rcc rId="0" sId="2" dxf="1">
      <nc r="B147" t="inlineStr">
        <is>
          <t>2.6</t>
        </is>
      </nc>
      <ndxf>
        <alignment horizontal="general" vertical="bottom"/>
      </ndxf>
    </rcc>
    <rcc rId="0" sId="2" dxf="1">
      <nc r="B148" t="inlineStr">
        <is>
          <t>2.6</t>
        </is>
      </nc>
      <ndxf>
        <alignment horizontal="general" vertical="bottom"/>
      </ndxf>
    </rcc>
    <rcc rId="0" sId="2" dxf="1">
      <nc r="B149" t="inlineStr">
        <is>
          <t>2.8</t>
        </is>
      </nc>
      <ndxf>
        <alignment horizontal="general" vertical="bottom"/>
      </ndxf>
    </rcc>
    <rcc rId="0" sId="2" dxf="1">
      <nc r="B150" t="inlineStr">
        <is>
          <t>2.8</t>
        </is>
      </nc>
      <ndxf>
        <alignment horizontal="general" vertical="bottom"/>
      </ndxf>
    </rcc>
    <rcc rId="0" sId="2" dxf="1">
      <nc r="B151" t="inlineStr">
        <is>
          <t>2.8</t>
        </is>
      </nc>
      <ndxf>
        <alignment horizontal="general" vertical="bottom"/>
      </ndxf>
    </rcc>
    <rcc rId="0" sId="2" dxf="1">
      <nc r="B152" t="inlineStr">
        <is>
          <t>2.6</t>
        </is>
      </nc>
      <ndxf>
        <alignment horizontal="general" vertical="bottom"/>
      </ndxf>
    </rcc>
    <rcc rId="0" sId="2" dxf="1">
      <nc r="B153" t="inlineStr">
        <is>
          <t>2.8</t>
        </is>
      </nc>
      <ndxf>
        <alignment horizontal="general" vertical="bottom"/>
      </ndxf>
    </rcc>
    <rcc rId="0" sId="2" dxf="1">
      <nc r="B154" t="inlineStr">
        <is>
          <t>2.6</t>
        </is>
      </nc>
      <ndxf>
        <alignment horizontal="general" vertical="bottom"/>
      </ndxf>
    </rcc>
    <rcc rId="0" sId="2" dxf="1">
      <nc r="B155" t="inlineStr">
        <is>
          <t>2.6</t>
        </is>
      </nc>
      <ndxf>
        <alignment horizontal="general" vertical="bottom"/>
      </ndxf>
    </rcc>
    <rcc rId="0" sId="2" dxf="1">
      <nc r="B156" t="inlineStr">
        <is>
          <t>2.8</t>
        </is>
      </nc>
      <ndxf>
        <alignment horizontal="general" vertical="bottom"/>
      </ndxf>
    </rcc>
    <rcc rId="0" sId="2" dxf="1">
      <nc r="B157" t="inlineStr">
        <is>
          <t>2.8</t>
        </is>
      </nc>
      <ndxf>
        <alignment horizontal="general" vertical="bottom"/>
      </ndxf>
    </rcc>
    <rcc rId="0" sId="2" dxf="1">
      <nc r="B158" t="inlineStr">
        <is>
          <t>2.8</t>
        </is>
      </nc>
      <ndxf>
        <alignment horizontal="general" vertical="bottom"/>
      </ndxf>
    </rcc>
    <rcc rId="0" sId="2" dxf="1">
      <nc r="B159" t="inlineStr">
        <is>
          <t>2.8</t>
        </is>
      </nc>
      <ndxf>
        <alignment horizontal="general" vertical="bottom"/>
      </ndxf>
    </rcc>
    <rcc rId="0" sId="2" dxf="1">
      <nc r="B160" t="inlineStr">
        <is>
          <t>2.8</t>
        </is>
      </nc>
      <ndxf>
        <alignment horizontal="general" vertical="bottom"/>
      </ndxf>
    </rcc>
    <rcc rId="0" sId="2" dxf="1">
      <nc r="B161" t="inlineStr">
        <is>
          <t>2.6</t>
        </is>
      </nc>
      <ndxf>
        <alignment horizontal="general" vertical="bottom"/>
      </ndxf>
    </rcc>
    <rcc rId="0" sId="2" dxf="1">
      <nc r="B162" t="inlineStr">
        <is>
          <t>2.6</t>
        </is>
      </nc>
      <ndxf>
        <alignment horizontal="general" vertical="bottom"/>
      </ndxf>
    </rcc>
    <rcc rId="0" sId="2" dxf="1">
      <nc r="B163" t="inlineStr">
        <is>
          <t>2.8</t>
        </is>
      </nc>
      <ndxf>
        <alignment horizontal="general" vertical="bottom"/>
      </ndxf>
    </rcc>
    <rcc rId="0" sId="2" dxf="1">
      <nc r="B164" t="inlineStr">
        <is>
          <t>2.8</t>
        </is>
      </nc>
      <ndxf>
        <alignment horizontal="general" vertical="bottom"/>
      </ndxf>
    </rcc>
    <rcc rId="0" sId="2" dxf="1">
      <nc r="B165" t="inlineStr">
        <is>
          <t>2.6</t>
        </is>
      </nc>
      <ndxf>
        <alignment horizontal="general" vertical="bottom"/>
      </ndxf>
    </rcc>
    <rcc rId="0" sId="2" dxf="1">
      <nc r="B166" t="inlineStr">
        <is>
          <t>2.6</t>
        </is>
      </nc>
      <ndxf>
        <alignment horizontal="general" vertical="bottom"/>
      </ndxf>
    </rcc>
    <rcc rId="0" sId="2" dxf="1">
      <nc r="B167" t="inlineStr">
        <is>
          <t>2.8</t>
        </is>
      </nc>
      <ndxf>
        <alignment horizontal="general" vertical="bottom"/>
      </ndxf>
    </rcc>
    <rcc rId="0" sId="2" dxf="1">
      <nc r="B168" t="inlineStr">
        <is>
          <t>2.6</t>
        </is>
      </nc>
      <ndxf>
        <alignment horizontal="general" vertical="bottom"/>
      </ndxf>
    </rcc>
    <rcc rId="0" sId="2" dxf="1">
      <nc r="B169" t="inlineStr">
        <is>
          <t>2.8</t>
        </is>
      </nc>
      <ndxf>
        <alignment horizontal="general" vertical="bottom"/>
      </ndxf>
    </rcc>
    <rcc rId="0" sId="2" dxf="1">
      <nc r="B170" t="inlineStr">
        <is>
          <t>2.6</t>
        </is>
      </nc>
      <ndxf>
        <alignment horizontal="general" vertical="bottom"/>
      </ndxf>
    </rcc>
    <rcc rId="0" sId="2" dxf="1">
      <nc r="B171" t="inlineStr">
        <is>
          <t>2.8</t>
        </is>
      </nc>
      <ndxf>
        <alignment horizontal="general" vertical="bottom"/>
      </ndxf>
    </rcc>
    <rcc rId="0" sId="2" dxf="1">
      <nc r="B172" t="inlineStr">
        <is>
          <t>2.6</t>
        </is>
      </nc>
      <ndxf>
        <alignment horizontal="general" vertical="bottom"/>
      </ndxf>
    </rcc>
    <rcc rId="0" sId="2" dxf="1">
      <nc r="B173" t="inlineStr">
        <is>
          <t>2.8</t>
        </is>
      </nc>
      <ndxf>
        <alignment horizontal="general" vertical="bottom"/>
      </ndxf>
    </rcc>
    <rcc rId="0" sId="2" dxf="1">
      <nc r="B174" t="inlineStr">
        <is>
          <t>2.8</t>
        </is>
      </nc>
      <ndxf>
        <alignment horizontal="general" vertical="bottom"/>
      </ndxf>
    </rcc>
    <rcc rId="0" sId="2" dxf="1">
      <nc r="B175" t="inlineStr">
        <is>
          <t>2.8</t>
        </is>
      </nc>
      <ndxf>
        <alignment horizontal="general" vertical="bottom"/>
      </ndxf>
    </rcc>
    <rcc rId="0" sId="2" dxf="1">
      <nc r="B176" t="inlineStr">
        <is>
          <t>2.6</t>
        </is>
      </nc>
      <ndxf>
        <alignment horizontal="general" vertical="bottom"/>
      </ndxf>
    </rcc>
    <rcc rId="0" sId="2" dxf="1">
      <nc r="B177" t="inlineStr">
        <is>
          <t>2.6</t>
        </is>
      </nc>
      <ndxf>
        <alignment horizontal="general" vertical="bottom"/>
      </ndxf>
    </rcc>
    <rcc rId="0" sId="2" dxf="1">
      <nc r="B178" t="inlineStr">
        <is>
          <t>2.8</t>
        </is>
      </nc>
      <ndxf>
        <alignment horizontal="general" vertical="bottom"/>
      </ndxf>
    </rcc>
    <rcc rId="0" sId="2" dxf="1">
      <nc r="B179" t="inlineStr">
        <is>
          <t>2.6</t>
        </is>
      </nc>
      <ndxf>
        <alignment horizontal="general" vertical="bottom"/>
      </ndxf>
    </rcc>
    <rcc rId="0" sId="2" dxf="1">
      <nc r="B180" t="inlineStr">
        <is>
          <t>2.6</t>
        </is>
      </nc>
      <ndxf>
        <alignment horizontal="general" vertical="bottom"/>
      </ndxf>
    </rcc>
    <rcc rId="0" sId="2" dxf="1">
      <nc r="B181" t="inlineStr">
        <is>
          <t>2.8</t>
        </is>
      </nc>
      <ndxf>
        <alignment horizontal="general" vertical="bottom"/>
      </ndxf>
    </rcc>
    <rcc rId="0" sId="2" dxf="1">
      <nc r="B182" t="inlineStr">
        <is>
          <t>2.8</t>
        </is>
      </nc>
      <ndxf>
        <alignment horizontal="general" vertical="bottom"/>
      </ndxf>
    </rcc>
    <rcc rId="0" sId="2" dxf="1">
      <nc r="B183" t="inlineStr">
        <is>
          <t>2.9</t>
        </is>
      </nc>
      <ndxf>
        <alignment horizontal="general" vertical="bottom"/>
      </ndxf>
    </rcc>
    <rcc rId="0" sId="2" dxf="1">
      <nc r="B184" t="inlineStr">
        <is>
          <t>2.8</t>
        </is>
      </nc>
      <ndxf>
        <alignment horizontal="general" vertical="bottom"/>
      </ndxf>
    </rcc>
    <rcc rId="0" sId="2" dxf="1">
      <nc r="B185" t="inlineStr">
        <is>
          <t>2.9</t>
        </is>
      </nc>
      <ndxf>
        <alignment horizontal="general" vertical="bottom"/>
      </ndxf>
    </rcc>
    <rcc rId="0" sId="2" dxf="1">
      <nc r="B186" t="inlineStr">
        <is>
          <t>2.8</t>
        </is>
      </nc>
      <ndxf>
        <alignment horizontal="general" vertical="bottom"/>
      </ndxf>
    </rcc>
    <rcc rId="0" sId="2" dxf="1">
      <nc r="B187" t="inlineStr">
        <is>
          <t>2.9</t>
        </is>
      </nc>
      <ndxf>
        <alignment horizontal="general" vertical="bottom"/>
      </ndxf>
    </rcc>
    <rcc rId="0" sId="2" dxf="1">
      <nc r="B188" t="inlineStr">
        <is>
          <t>2.8</t>
        </is>
      </nc>
      <ndxf>
        <alignment horizontal="general" vertical="bottom"/>
      </ndxf>
    </rcc>
    <rcc rId="0" sId="2" dxf="1">
      <nc r="B189" t="inlineStr">
        <is>
          <t>2.8</t>
        </is>
      </nc>
      <ndxf>
        <alignment horizontal="general" vertical="bottom"/>
      </ndxf>
    </rcc>
    <rcc rId="0" sId="2" dxf="1">
      <nc r="B190" t="inlineStr">
        <is>
          <t>2.9</t>
        </is>
      </nc>
      <ndxf>
        <alignment horizontal="general" vertical="bottom"/>
      </ndxf>
    </rcc>
    <rcc rId="0" sId="2" dxf="1">
      <nc r="B191" t="inlineStr">
        <is>
          <t>2.9</t>
        </is>
      </nc>
      <ndxf>
        <alignment horizontal="general" vertical="bottom"/>
      </ndxf>
    </rcc>
    <rcc rId="0" sId="2" dxf="1">
      <nc r="B192" t="inlineStr">
        <is>
          <t>2.8</t>
        </is>
      </nc>
      <ndxf>
        <alignment horizontal="general" vertical="bottom"/>
      </ndxf>
    </rcc>
    <rcc rId="0" sId="2" dxf="1">
      <nc r="B193" t="inlineStr">
        <is>
          <t>2.9</t>
        </is>
      </nc>
      <ndxf>
        <alignment horizontal="general" vertical="bottom"/>
      </ndxf>
    </rcc>
    <rcc rId="0" sId="2" dxf="1">
      <nc r="B194" t="inlineStr">
        <is>
          <t>2.8</t>
        </is>
      </nc>
      <ndxf>
        <alignment horizontal="general" vertical="bottom"/>
      </ndxf>
    </rcc>
    <rcc rId="0" sId="2" dxf="1">
      <nc r="B195" t="inlineStr">
        <is>
          <t>2.9</t>
        </is>
      </nc>
      <ndxf>
        <alignment horizontal="general" vertical="bottom"/>
      </ndxf>
    </rcc>
    <rcc rId="0" sId="2" dxf="1">
      <nc r="B196" t="inlineStr">
        <is>
          <t>2.8</t>
        </is>
      </nc>
      <ndxf>
        <alignment horizontal="general" vertical="bottom"/>
      </ndxf>
    </rcc>
    <rcc rId="0" sId="2" dxf="1">
      <nc r="B197" t="inlineStr">
        <is>
          <t>2.9</t>
        </is>
      </nc>
      <ndxf>
        <alignment horizontal="general" vertical="bottom"/>
      </ndxf>
    </rcc>
    <rcc rId="0" sId="2" dxf="1">
      <nc r="B198" t="inlineStr">
        <is>
          <t>2.8</t>
        </is>
      </nc>
      <ndxf>
        <alignment horizontal="general" vertical="bottom"/>
      </ndxf>
    </rcc>
    <rcc rId="0" sId="2" dxf="1">
      <nc r="B199" t="inlineStr">
        <is>
          <t>2.9</t>
        </is>
      </nc>
      <ndxf>
        <alignment horizontal="general" vertical="bottom"/>
      </ndxf>
    </rcc>
    <rcc rId="0" sId="2" dxf="1">
      <nc r="B200" t="inlineStr">
        <is>
          <t>2.8</t>
        </is>
      </nc>
      <ndxf>
        <alignment horizontal="general" vertical="bottom"/>
      </ndxf>
    </rcc>
    <rcc rId="0" sId="2" dxf="1">
      <nc r="B201" t="inlineStr">
        <is>
          <t>NA</t>
        </is>
      </nc>
      <ndxf>
        <alignment horizontal="general" vertical="bottom"/>
      </ndxf>
    </rcc>
    <rcc rId="0" sId="2" dxf="1">
      <nc r="B202" t="inlineStr">
        <is>
          <t>2.9</t>
        </is>
      </nc>
      <ndxf>
        <alignment horizontal="general" vertical="bottom"/>
      </ndxf>
    </rcc>
    <rcc rId="0" sId="2" dxf="1">
      <nc r="B203" t="inlineStr">
        <is>
          <t>2.9</t>
        </is>
      </nc>
      <ndxf>
        <alignment horizontal="general" vertical="bottom"/>
      </ndxf>
    </rcc>
    <rcc rId="0" sId="2" dxf="1">
      <nc r="B204" t="inlineStr">
        <is>
          <t>2.8</t>
        </is>
      </nc>
      <ndxf>
        <alignment horizontal="general" vertical="bottom"/>
      </ndxf>
    </rcc>
    <rcc rId="0" sId="2" dxf="1">
      <nc r="B205" t="inlineStr">
        <is>
          <t>2.9</t>
        </is>
      </nc>
      <ndxf>
        <alignment horizontal="general" vertical="bottom"/>
      </ndxf>
    </rcc>
    <rcc rId="0" sId="2" dxf="1">
      <nc r="B206" t="inlineStr">
        <is>
          <t>2.9</t>
        </is>
      </nc>
      <ndxf>
        <alignment horizontal="general" vertical="bottom"/>
      </ndxf>
    </rcc>
    <rcc rId="0" sId="2" dxf="1">
      <nc r="B207" t="inlineStr">
        <is>
          <t>2.8</t>
        </is>
      </nc>
      <ndxf>
        <alignment horizontal="general" vertical="bottom"/>
      </ndxf>
    </rcc>
    <rcc rId="0" sId="2" dxf="1">
      <nc r="B208" t="inlineStr">
        <is>
          <t>2.8</t>
        </is>
      </nc>
      <ndxf>
        <alignment horizontal="general" vertical="bottom"/>
      </ndxf>
    </rcc>
    <rcc rId="0" sId="2" dxf="1">
      <nc r="B209" t="inlineStr">
        <is>
          <t>2.8</t>
        </is>
      </nc>
      <ndxf>
        <alignment horizontal="general" vertical="bottom"/>
      </ndxf>
    </rcc>
    <rcc rId="0" sId="2" dxf="1">
      <nc r="B210" t="inlineStr">
        <is>
          <t>2.8</t>
        </is>
      </nc>
      <ndxf>
        <alignment horizontal="general" vertical="bottom"/>
      </ndxf>
    </rcc>
    <rcc rId="0" sId="2" dxf="1">
      <nc r="B211" t="inlineStr">
        <is>
          <t>2.9</t>
        </is>
      </nc>
      <ndxf>
        <alignment horizontal="general" vertical="bottom"/>
      </ndxf>
    </rcc>
    <rcc rId="0" sId="2" dxf="1">
      <nc r="B212" t="inlineStr">
        <is>
          <t>2.9</t>
        </is>
      </nc>
      <ndxf>
        <alignment horizontal="general" vertical="bottom"/>
      </ndxf>
    </rcc>
    <rcc rId="0" sId="2" dxf="1">
      <nc r="B213" t="inlineStr">
        <is>
          <t>2.8</t>
        </is>
      </nc>
      <ndxf>
        <alignment horizontal="general" vertical="bottom"/>
      </ndxf>
    </rcc>
    <rcc rId="0" sId="2" dxf="1">
      <nc r="B214" t="inlineStr">
        <is>
          <t>2.9</t>
        </is>
      </nc>
      <ndxf>
        <alignment horizontal="general" vertical="bottom"/>
      </ndxf>
    </rcc>
    <rcc rId="0" sId="2" dxf="1">
      <nc r="B215" t="inlineStr">
        <is>
          <t>2.9</t>
        </is>
      </nc>
      <ndxf>
        <alignment horizontal="general" vertical="bottom"/>
      </ndxf>
    </rcc>
    <rcc rId="0" sId="2" dxf="1">
      <nc r="B216" t="inlineStr">
        <is>
          <t>2.9</t>
        </is>
      </nc>
      <ndxf>
        <alignment horizontal="general" vertical="bottom"/>
      </ndxf>
    </rcc>
    <rcc rId="0" sId="2" dxf="1">
      <nc r="B217" t="inlineStr">
        <is>
          <t>2.9</t>
        </is>
      </nc>
      <ndxf>
        <alignment horizontal="general" vertical="bottom"/>
      </ndxf>
    </rcc>
    <rcc rId="0" sId="2" dxf="1">
      <nc r="B218" t="inlineStr">
        <is>
          <t>2.9</t>
        </is>
      </nc>
      <ndxf>
        <alignment horizontal="general" vertical="bottom"/>
      </ndxf>
    </rcc>
    <rcc rId="0" sId="2" dxf="1">
      <nc r="B219" t="inlineStr">
        <is>
          <t>2.9</t>
        </is>
      </nc>
      <ndxf>
        <alignment horizontal="general" vertical="bottom"/>
      </ndxf>
    </rcc>
    <rcc rId="0" sId="2" dxf="1">
      <nc r="B220" t="inlineStr">
        <is>
          <t>2.8</t>
        </is>
      </nc>
      <ndxf>
        <alignment horizontal="general" vertical="bottom"/>
      </ndxf>
    </rcc>
    <rcc rId="0" sId="2" dxf="1">
      <nc r="B221" t="inlineStr">
        <is>
          <t>2.9</t>
        </is>
      </nc>
      <ndxf>
        <alignment horizontal="general" vertical="bottom"/>
      </ndxf>
    </rcc>
    <rcc rId="0" sId="2" dxf="1">
      <nc r="B222" t="inlineStr">
        <is>
          <t>2.9</t>
        </is>
      </nc>
      <ndxf>
        <alignment horizontal="general" vertical="bottom"/>
      </ndxf>
    </rcc>
    <rcc rId="0" sId="2" dxf="1">
      <nc r="B223" t="inlineStr">
        <is>
          <t>2.9</t>
        </is>
      </nc>
      <ndxf>
        <alignment horizontal="general" vertical="bottom"/>
      </ndxf>
    </rcc>
    <rcc rId="0" sId="2" dxf="1">
      <nc r="B224" t="inlineStr">
        <is>
          <t>2.8</t>
        </is>
      </nc>
      <ndxf>
        <alignment horizontal="general" vertical="bottom"/>
      </ndxf>
    </rcc>
    <rcc rId="0" sId="2" dxf="1">
      <nc r="B225" t="inlineStr">
        <is>
          <t>2.9</t>
        </is>
      </nc>
      <ndxf>
        <alignment horizontal="general" vertical="bottom"/>
      </ndxf>
    </rcc>
    <rcc rId="0" sId="2" dxf="1">
      <nc r="B226" t="inlineStr">
        <is>
          <t>2.9</t>
        </is>
      </nc>
      <ndxf>
        <alignment horizontal="general" vertical="bottom"/>
      </ndxf>
    </rcc>
    <rcc rId="0" sId="2" dxf="1">
      <nc r="B227" t="inlineStr">
        <is>
          <t>2.8</t>
        </is>
      </nc>
      <ndxf>
        <alignment horizontal="general" vertical="bottom"/>
      </ndxf>
    </rcc>
    <rcc rId="0" sId="2" dxf="1">
      <nc r="B228" t="inlineStr">
        <is>
          <t>2.8</t>
        </is>
      </nc>
      <ndxf>
        <alignment horizontal="general" vertical="bottom"/>
      </ndxf>
    </rcc>
    <rcc rId="0" sId="2" dxf="1">
      <nc r="B229" t="inlineStr">
        <is>
          <t>2.8</t>
        </is>
      </nc>
      <ndxf>
        <alignment horizontal="general" vertical="bottom"/>
      </ndxf>
    </rcc>
    <rcc rId="0" sId="2" dxf="1">
      <nc r="B230" t="inlineStr">
        <is>
          <t>2.8</t>
        </is>
      </nc>
      <ndxf>
        <alignment horizontal="general" vertical="bottom"/>
      </ndxf>
    </rcc>
    <rcc rId="0" sId="2" dxf="1">
      <nc r="B231" t="inlineStr">
        <is>
          <t>2.9</t>
        </is>
      </nc>
      <ndxf>
        <alignment horizontal="general" vertical="bottom"/>
      </ndxf>
    </rcc>
    <rcc rId="0" sId="2" dxf="1">
      <nc r="B232" t="inlineStr">
        <is>
          <t>2.9</t>
        </is>
      </nc>
      <ndxf>
        <alignment horizontal="general" vertical="bottom"/>
      </ndxf>
    </rcc>
    <rcc rId="0" sId="2" dxf="1">
      <nc r="B233" t="inlineStr">
        <is>
          <t>2.9</t>
        </is>
      </nc>
      <ndxf>
        <alignment horizontal="general" vertical="bottom"/>
      </ndxf>
    </rcc>
    <rcc rId="0" sId="2" dxf="1">
      <nc r="B234" t="inlineStr">
        <is>
          <t>2.9</t>
        </is>
      </nc>
      <ndxf>
        <alignment horizontal="general" vertical="bottom"/>
      </ndxf>
    </rcc>
    <rcc rId="0" sId="2" dxf="1">
      <nc r="B235" t="inlineStr">
        <is>
          <t>2.9</t>
        </is>
      </nc>
      <ndxf>
        <alignment horizontal="general" vertical="bottom"/>
      </ndxf>
    </rcc>
    <rcc rId="0" sId="2" dxf="1">
      <nc r="B236" t="inlineStr">
        <is>
          <t>2.8</t>
        </is>
      </nc>
      <ndxf>
        <alignment horizontal="general" vertical="bottom"/>
      </ndxf>
    </rcc>
    <rcc rId="0" sId="2" dxf="1">
      <nc r="B237" t="inlineStr">
        <is>
          <t>2.8</t>
        </is>
      </nc>
      <ndxf>
        <alignment horizontal="general" vertical="bottom"/>
      </ndxf>
    </rcc>
    <rcc rId="0" sId="2" dxf="1">
      <nc r="B238" t="inlineStr">
        <is>
          <t>2.8</t>
        </is>
      </nc>
      <ndxf>
        <alignment horizontal="general" vertical="bottom"/>
      </ndxf>
    </rcc>
    <rcc rId="0" sId="2" dxf="1">
      <nc r="B239" t="inlineStr">
        <is>
          <t>2.9</t>
        </is>
      </nc>
      <ndxf>
        <alignment horizontal="general" vertical="bottom"/>
      </ndxf>
    </rcc>
    <rcc rId="0" sId="2" dxf="1">
      <nc r="B240" t="inlineStr">
        <is>
          <t>2.8</t>
        </is>
      </nc>
      <ndxf>
        <alignment horizontal="general" vertical="bottom"/>
      </ndxf>
    </rcc>
    <rcc rId="0" sId="2" dxf="1">
      <nc r="B241" t="inlineStr">
        <is>
          <t>2.9</t>
        </is>
      </nc>
      <ndxf>
        <alignment horizontal="general" vertical="bottom"/>
      </ndxf>
    </rcc>
    <rcc rId="0" sId="2" dxf="1">
      <nc r="B242" t="inlineStr">
        <is>
          <t>2.8</t>
        </is>
      </nc>
      <ndxf>
        <alignment horizontal="general" vertical="bottom"/>
      </ndxf>
    </rcc>
    <rcc rId="0" sId="2" dxf="1">
      <nc r="B243" t="inlineStr">
        <is>
          <t>2.8</t>
        </is>
      </nc>
      <ndxf>
        <alignment horizontal="general" vertical="bottom"/>
      </ndxf>
    </rcc>
    <rcc rId="0" sId="2" dxf="1">
      <nc r="B244" t="inlineStr">
        <is>
          <t>2.8</t>
        </is>
      </nc>
      <ndxf>
        <alignment horizontal="general" vertical="bottom"/>
      </ndxf>
    </rcc>
    <rcc rId="0" sId="2" dxf="1">
      <nc r="B245" t="inlineStr">
        <is>
          <t>2.8</t>
        </is>
      </nc>
      <ndxf>
        <alignment horizontal="general" vertical="bottom"/>
      </ndxf>
    </rcc>
    <rcc rId="0" sId="2" dxf="1">
      <nc r="B246" t="inlineStr">
        <is>
          <t>2.9</t>
        </is>
      </nc>
      <ndxf>
        <alignment horizontal="general" vertical="bottom"/>
      </ndxf>
    </rcc>
    <rcc rId="0" sId="2" dxf="1">
      <nc r="B247" t="inlineStr">
        <is>
          <t>2.8</t>
        </is>
      </nc>
      <ndxf>
        <alignment horizontal="general" vertical="bottom"/>
      </ndxf>
    </rcc>
    <rcc rId="0" sId="2" dxf="1">
      <nc r="B248" t="inlineStr">
        <is>
          <t>2.8</t>
        </is>
      </nc>
      <ndxf>
        <alignment horizontal="general" vertical="bottom"/>
      </ndxf>
    </rcc>
    <rcc rId="0" sId="2" dxf="1">
      <nc r="B249" t="inlineStr">
        <is>
          <t>2.8</t>
        </is>
      </nc>
      <ndxf>
        <alignment horizontal="general" vertical="bottom"/>
      </ndxf>
    </rcc>
    <rcc rId="0" sId="2" dxf="1">
      <nc r="B250" t="inlineStr">
        <is>
          <t>2.8</t>
        </is>
      </nc>
      <ndxf>
        <alignment horizontal="general" vertical="bottom"/>
      </ndxf>
    </rcc>
    <rcc rId="0" sId="2" dxf="1">
      <nc r="B251" t="inlineStr">
        <is>
          <t>2.8</t>
        </is>
      </nc>
      <ndxf>
        <alignment horizontal="general" vertical="bottom"/>
      </ndxf>
    </rcc>
    <rcc rId="0" sId="2" dxf="1">
      <nc r="B252" t="inlineStr">
        <is>
          <t>2.8</t>
        </is>
      </nc>
      <ndxf>
        <alignment horizontal="general" vertical="bottom"/>
      </ndxf>
    </rcc>
    <rcc rId="0" sId="2" dxf="1">
      <nc r="B253" t="inlineStr">
        <is>
          <t>2.8</t>
        </is>
      </nc>
      <ndxf>
        <alignment horizontal="general" vertical="bottom"/>
      </ndxf>
    </rcc>
    <rcc rId="0" sId="2" dxf="1">
      <nc r="B254" t="inlineStr">
        <is>
          <t>2.8</t>
        </is>
      </nc>
      <ndxf>
        <alignment horizontal="general" vertical="bottom"/>
      </ndxf>
    </rcc>
    <rcc rId="0" sId="2" dxf="1">
      <nc r="B255" t="inlineStr">
        <is>
          <t>2.8</t>
        </is>
      </nc>
      <ndxf>
        <alignment horizontal="general" vertical="bottom"/>
      </ndxf>
    </rcc>
    <rcc rId="0" sId="2" dxf="1">
      <nc r="B256" t="inlineStr">
        <is>
          <t>2.8</t>
        </is>
      </nc>
      <ndxf>
        <alignment horizontal="general" vertical="bottom"/>
      </ndxf>
    </rcc>
    <rcc rId="0" sId="2" dxf="1">
      <nc r="B257" t="inlineStr">
        <is>
          <t>2.8</t>
        </is>
      </nc>
      <ndxf>
        <alignment horizontal="general" vertical="bottom"/>
      </ndxf>
    </rcc>
    <rcc rId="0" sId="2" dxf="1">
      <nc r="B258" t="inlineStr">
        <is>
          <t>2.8</t>
        </is>
      </nc>
      <ndxf>
        <alignment horizontal="general" vertical="bottom"/>
      </ndxf>
    </rcc>
    <rcc rId="0" sId="2" dxf="1">
      <nc r="B259" t="inlineStr">
        <is>
          <t>2.8</t>
        </is>
      </nc>
      <ndxf>
        <alignment horizontal="general" vertical="bottom"/>
      </ndxf>
    </rcc>
    <rcc rId="0" sId="2" dxf="1">
      <nc r="B260" t="inlineStr">
        <is>
          <t>2.8</t>
        </is>
      </nc>
      <ndxf>
        <alignment horizontal="general" vertical="bottom"/>
      </ndxf>
    </rcc>
    <rcc rId="0" sId="2" dxf="1">
      <nc r="B261" t="inlineStr">
        <is>
          <t>NA</t>
        </is>
      </nc>
      <ndxf>
        <alignment horizontal="general" vertical="bottom"/>
      </ndxf>
    </rcc>
    <rfmt sheetId="2" sqref="B262" start="0" length="0">
      <dxf>
        <alignment horizontal="general" vertical="bottom"/>
      </dxf>
    </rfmt>
    <rfmt sheetId="2" sqref="B263" start="0" length="0">
      <dxf>
        <alignment horizontal="general" vertical="bottom"/>
      </dxf>
    </rfmt>
  </rrc>
</revisions>
</file>

<file path=xl/revisions/revisionLog6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997" sId="1">
    <nc r="B2">
      <v>1.2</v>
    </nc>
  </rcc>
</revisions>
</file>

<file path=xl/revisions/revisionLog6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9998" sId="2">
    <oc r="B1" t="inlineStr">
      <is>
        <t>nest2</t>
      </is>
    </oc>
    <nc r="B1" t="inlineStr">
      <is>
        <t>nest</t>
      </is>
    </nc>
  </rcc>
  <rcv guid="{8A75D892-44B4-104C-BB94-8EB0D0E43396}" action="delete"/>
  <rdn rId="0" localSheetId="1" customView="1" name="Z_8A75D892_44B4_104C_BB94_8EB0D0E43396_.wvu.FilterData" hidden="1" oldHidden="1">
    <formula>maze1!$A$1:$W$338</formula>
    <oldFormula>maze1!$A$1:$W$338</oldFormula>
  </rdn>
  <rdn rId="0" localSheetId="2" customView="1" name="Z_8A75D892_44B4_104C_BB94_8EB0D0E43396_.wvu.FilterData" hidden="1" oldHidden="1">
    <formula>maze2!$A$1:$W$263</formula>
    <oldFormula>maze2!$A$1:$W$263</oldFormula>
  </rdn>
  <rcv guid="{8A75D892-44B4-104C-BB94-8EB0D0E43396}" action="add"/>
</revisions>
</file>

<file path=xl/revisions/revisionLog6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01" sId="2">
    <oc r="O84" t="inlineStr">
      <is>
        <t>3</t>
      </is>
    </oc>
    <nc r="O84">
      <v>3</v>
    </nc>
  </rcc>
</revisions>
</file>

<file path=xl/revisions/revisionLog6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08" sId="1">
    <nc r="U14" t="inlineStr">
      <is>
        <t>Unknown which side pattern was on, as video now deleted</t>
      </is>
    </nc>
  </rcc>
</revisions>
</file>

<file path=xl/revisions/revisionLog6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09" sId="1">
    <oc r="L14" t="inlineStr">
      <is>
        <t>?</t>
      </is>
    </oc>
    <nc r="L14" t="inlineStr">
      <is>
        <t>NA</t>
      </is>
    </nc>
  </rcc>
  <rcc rId="10010" sId="1">
    <oc r="M14" t="inlineStr">
      <is>
        <t>?</t>
      </is>
    </oc>
    <nc r="M14" t="inlineStr">
      <is>
        <t>NA</t>
      </is>
    </nc>
  </rcc>
</revisions>
</file>

<file path=xl/revisions/revisionLog6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11" sId="1">
    <oc r="U14" t="inlineStr">
      <is>
        <t>Unknown which side pattern was on, as video now deleted</t>
      </is>
    </oc>
    <nc r="U14"/>
  </rcc>
  <rcc rId="10012" sId="1">
    <oc r="L14" t="inlineStr">
      <is>
        <t>NA</t>
      </is>
    </oc>
    <nc r="L14" t="inlineStr">
      <is>
        <t>L</t>
      </is>
    </nc>
  </rcc>
  <rcc rId="10013" sId="1">
    <oc r="M14" t="inlineStr">
      <is>
        <t>NA</t>
      </is>
    </oc>
    <nc r="M14" t="inlineStr">
      <is>
        <t>L</t>
      </is>
    </nc>
  </rcc>
</revisions>
</file>

<file path=xl/revisions/revisionLog6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14" sId="1">
    <oc r="L15" t="inlineStr">
      <is>
        <t>?</t>
      </is>
    </oc>
    <nc r="L15" t="inlineStr">
      <is>
        <t>NA</t>
      </is>
    </nc>
  </rcc>
  <rcc rId="10015" sId="1">
    <oc r="M15" t="inlineStr">
      <is>
        <t>?</t>
      </is>
    </oc>
    <nc r="M15" t="inlineStr">
      <is>
        <t>NA</t>
      </is>
    </nc>
  </rcc>
</revisions>
</file>

<file path=xl/revisions/revisionLog6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16" sId="1">
    <oc r="L16" t="inlineStr">
      <is>
        <t>?</t>
      </is>
    </oc>
    <nc r="L16" t="inlineStr">
      <is>
        <t>R</t>
      </is>
    </nc>
  </rcc>
  <rcc rId="10017" sId="1">
    <oc r="M16" t="inlineStr">
      <is>
        <t>?</t>
      </is>
    </oc>
    <nc r="M16" t="inlineStr">
      <is>
        <t>L</t>
      </is>
    </nc>
  </rcc>
  <rcc rId="10018" sId="1">
    <oc r="L17" t="inlineStr">
      <is>
        <t>?</t>
      </is>
    </oc>
    <nc r="L17" t="inlineStr">
      <is>
        <t>L</t>
      </is>
    </nc>
  </rcc>
  <rcc rId="10019" sId="1">
    <oc r="M17" t="inlineStr">
      <is>
        <t>?</t>
      </is>
    </oc>
    <nc r="M17" t="inlineStr">
      <is>
        <t>L</t>
      </is>
    </nc>
  </rcc>
</revisions>
</file>

<file path=xl/revisions/revisionLog6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20" sId="1" odxf="1" dxf="1">
    <nc r="S15">
      <v>57.4</v>
    </nc>
    <odxf>
      <numFmt numFmtId="2" formatCode="0.00"/>
    </odxf>
    <ndxf>
      <numFmt numFmtId="0" formatCode="General"/>
    </ndxf>
  </rcc>
</revisions>
</file>

<file path=xl/revisions/revisionLog6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21" sId="2">
    <oc r="B144" t="inlineStr">
      <is>
        <t>2.9</t>
      </is>
    </oc>
    <nc r="B144" t="inlineStr">
      <is>
        <t>2. 10</t>
      </is>
    </nc>
  </rcc>
  <rcc rId="10022" sId="2">
    <oc r="B146" t="inlineStr">
      <is>
        <t>2.9</t>
      </is>
    </oc>
    <nc r="B146" t="inlineStr">
      <is>
        <t>2. 10</t>
      </is>
    </nc>
  </rcc>
  <rcv guid="{8A75D892-44B4-104C-BB94-8EB0D0E43396}" action="delete"/>
  <rdn rId="0" localSheetId="1" customView="1" name="Z_8A75D892_44B4_104C_BB94_8EB0D0E43396_.wvu.FilterData" hidden="1" oldHidden="1">
    <formula>maze1!$A$1:$W$338</formula>
    <oldFormula>maze1!$A$1:$W$338</oldFormula>
  </rdn>
  <rdn rId="0" localSheetId="2" customView="1" name="Z_8A75D892_44B4_104C_BB94_8EB0D0E43396_.wvu.FilterData" hidden="1" oldHidden="1">
    <formula>maze2!$A$1:$W$263</formula>
    <oldFormula>maze2!$A$1:$W$263</oldFormula>
  </rdn>
  <rcv guid="{8A75D892-44B4-104C-BB94-8EB0D0E43396}" action="add"/>
</revisions>
</file>

<file path=xl/revisions/revisionLog7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25" sId="2">
    <oc r="B183" t="inlineStr">
      <is>
        <t>2.9</t>
      </is>
    </oc>
    <nc r="B183" t="inlineStr">
      <is>
        <t>2. 11</t>
      </is>
    </nc>
  </rcc>
  <rcc rId="10026" sId="2">
    <oc r="B185" t="inlineStr">
      <is>
        <t>2.9</t>
      </is>
    </oc>
    <nc r="B185" t="inlineStr">
      <is>
        <t>2. 11</t>
      </is>
    </nc>
  </rcc>
</revisions>
</file>

<file path=xl/revisions/revisionLog7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027" sId="2">
    <oc r="B187" t="inlineStr">
      <is>
        <t>2.9</t>
      </is>
    </oc>
    <nc r="B187" t="inlineStr">
      <is>
        <t>2. 11</t>
      </is>
    </nc>
  </rcc>
  <rcc rId="10028" sId="2">
    <oc r="B190" t="inlineStr">
      <is>
        <t>2.9</t>
      </is>
    </oc>
    <nc r="B190" t="inlineStr">
      <is>
        <t>2. 11</t>
      </is>
    </nc>
  </rcc>
  <rcc rId="10029" sId="2">
    <oc r="B191" t="inlineStr">
      <is>
        <t>2.9</t>
      </is>
    </oc>
    <nc r="B191" t="inlineStr">
      <is>
        <t>2. 11</t>
      </is>
    </nc>
  </rcc>
  <rcc rId="10030" sId="2">
    <oc r="B193" t="inlineStr">
      <is>
        <t>2.9</t>
      </is>
    </oc>
    <nc r="B193" t="inlineStr">
      <is>
        <t>2. 11</t>
      </is>
    </nc>
  </rcc>
  <rcc rId="10031" sId="2">
    <oc r="B195" t="inlineStr">
      <is>
        <t>2.9</t>
      </is>
    </oc>
    <nc r="B195" t="inlineStr">
      <is>
        <t>2. 11</t>
      </is>
    </nc>
  </rcc>
  <rcc rId="10032" sId="2">
    <oc r="B197" t="inlineStr">
      <is>
        <t>2.9</t>
      </is>
    </oc>
    <nc r="B197" t="inlineStr">
      <is>
        <t>2. 11</t>
      </is>
    </nc>
  </rcc>
  <rcc rId="10033" sId="2">
    <oc r="B199" t="inlineStr">
      <is>
        <t>2.9</t>
      </is>
    </oc>
    <nc r="B199" t="inlineStr">
      <is>
        <t>2. 11</t>
      </is>
    </nc>
  </rcc>
  <rcc rId="10034" sId="2">
    <oc r="B202" t="inlineStr">
      <is>
        <t>2.9</t>
      </is>
    </oc>
    <nc r="B202" t="inlineStr">
      <is>
        <t>2. 11</t>
      </is>
    </nc>
  </rcc>
  <rcc rId="10035" sId="2">
    <oc r="B203" t="inlineStr">
      <is>
        <t>2.9</t>
      </is>
    </oc>
    <nc r="B203" t="inlineStr">
      <is>
        <t>2. 11</t>
      </is>
    </nc>
  </rcc>
  <rcc rId="10036" sId="2">
    <oc r="B205" t="inlineStr">
      <is>
        <t>2.9</t>
      </is>
    </oc>
    <nc r="B205" t="inlineStr">
      <is>
        <t>2. 11</t>
      </is>
    </nc>
  </rcc>
  <rcc rId="10037" sId="2">
    <oc r="B206" t="inlineStr">
      <is>
        <t>2.9</t>
      </is>
    </oc>
    <nc r="B206" t="inlineStr">
      <is>
        <t>2. 11</t>
      </is>
    </nc>
  </rcc>
  <rcc rId="10038" sId="2">
    <oc r="B211" t="inlineStr">
      <is>
        <t>2.9</t>
      </is>
    </oc>
    <nc r="B211" t="inlineStr">
      <is>
        <t>2. 11</t>
      </is>
    </nc>
  </rcc>
  <rcc rId="10039" sId="2">
    <oc r="B212" t="inlineStr">
      <is>
        <t>2.9</t>
      </is>
    </oc>
    <nc r="B212" t="inlineStr">
      <is>
        <t>2. 11</t>
      </is>
    </nc>
  </rcc>
  <rcc rId="10040" sId="2">
    <oc r="B214" t="inlineStr">
      <is>
        <t>2.9</t>
      </is>
    </oc>
    <nc r="B214" t="inlineStr">
      <is>
        <t>2. 11</t>
      </is>
    </nc>
  </rcc>
  <rcc rId="10041" sId="2">
    <oc r="B215" t="inlineStr">
      <is>
        <t>2.9</t>
      </is>
    </oc>
    <nc r="B215" t="inlineStr">
      <is>
        <t>2. 11</t>
      </is>
    </nc>
  </rcc>
  <rcc rId="10042" sId="2">
    <oc r="B216" t="inlineStr">
      <is>
        <t>2.9</t>
      </is>
    </oc>
    <nc r="B216" t="inlineStr">
      <is>
        <t>2. 11</t>
      </is>
    </nc>
  </rcc>
  <rcc rId="10043" sId="2">
    <oc r="B217" t="inlineStr">
      <is>
        <t>2.9</t>
      </is>
    </oc>
    <nc r="B217" t="inlineStr">
      <is>
        <t>2. 11</t>
      </is>
    </nc>
  </rcc>
  <rcc rId="10044" sId="2">
    <oc r="B218" t="inlineStr">
      <is>
        <t>2.9</t>
      </is>
    </oc>
    <nc r="B218" t="inlineStr">
      <is>
        <t>2. 11</t>
      </is>
    </nc>
  </rcc>
  <rcc rId="10045" sId="2">
    <oc r="B219" t="inlineStr">
      <is>
        <t>2.9</t>
      </is>
    </oc>
    <nc r="B219" t="inlineStr">
      <is>
        <t>2. 11</t>
      </is>
    </nc>
  </rcc>
  <rcc rId="10046" sId="2">
    <oc r="B221" t="inlineStr">
      <is>
        <t>2.9</t>
      </is>
    </oc>
    <nc r="B221" t="inlineStr">
      <is>
        <t>2. 11</t>
      </is>
    </nc>
  </rcc>
  <rcc rId="10047" sId="2">
    <oc r="B222" t="inlineStr">
      <is>
        <t>2.9</t>
      </is>
    </oc>
    <nc r="B222" t="inlineStr">
      <is>
        <t>2. 11</t>
      </is>
    </nc>
  </rcc>
  <rcc rId="10048" sId="2">
    <oc r="B223" t="inlineStr">
      <is>
        <t>2.9</t>
      </is>
    </oc>
    <nc r="B223" t="inlineStr">
      <is>
        <t>2. 11</t>
      </is>
    </nc>
  </rcc>
  <rcc rId="10049" sId="2">
    <oc r="B225" t="inlineStr">
      <is>
        <t>2.9</t>
      </is>
    </oc>
    <nc r="B225" t="inlineStr">
      <is>
        <t>2. 11</t>
      </is>
    </nc>
  </rcc>
  <rcc rId="10050" sId="2">
    <oc r="B226" t="inlineStr">
      <is>
        <t>2.9</t>
      </is>
    </oc>
    <nc r="B226" t="inlineStr">
      <is>
        <t>2. 11</t>
      </is>
    </nc>
  </rcc>
  <rcc rId="10051" sId="2">
    <oc r="B231" t="inlineStr">
      <is>
        <t>2.9</t>
      </is>
    </oc>
    <nc r="B231" t="inlineStr">
      <is>
        <t>2. 11</t>
      </is>
    </nc>
  </rcc>
  <rcc rId="10052" sId="2">
    <oc r="B232" t="inlineStr">
      <is>
        <t>2.9</t>
      </is>
    </oc>
    <nc r="B232" t="inlineStr">
      <is>
        <t>2. 11</t>
      </is>
    </nc>
  </rcc>
  <rcc rId="10053" sId="2">
    <oc r="B233" t="inlineStr">
      <is>
        <t>2.9</t>
      </is>
    </oc>
    <nc r="B233" t="inlineStr">
      <is>
        <t>2. 11</t>
      </is>
    </nc>
  </rcc>
  <rcc rId="10054" sId="2">
    <oc r="B234" t="inlineStr">
      <is>
        <t>2.9</t>
      </is>
    </oc>
    <nc r="B234" t="inlineStr">
      <is>
        <t>2. 11</t>
      </is>
    </nc>
  </rcc>
  <rcc rId="10055" sId="2">
    <oc r="B235" t="inlineStr">
      <is>
        <t>2.9</t>
      </is>
    </oc>
    <nc r="B235" t="inlineStr">
      <is>
        <t>2. 11</t>
      </is>
    </nc>
  </rcc>
  <rcc rId="10056" sId="2">
    <oc r="B239" t="inlineStr">
      <is>
        <t>2.9</t>
      </is>
    </oc>
    <nc r="B239" t="inlineStr">
      <is>
        <t>2. 11</t>
      </is>
    </nc>
  </rcc>
  <rcc rId="10057" sId="2">
    <oc r="B241" t="inlineStr">
      <is>
        <t>2.9</t>
      </is>
    </oc>
    <nc r="B241" t="inlineStr">
      <is>
        <t>2. 11</t>
      </is>
    </nc>
  </rcc>
  <rcc rId="10058" sId="2">
    <oc r="B246" t="inlineStr">
      <is>
        <t>2.9</t>
      </is>
    </oc>
    <nc r="B246" t="inlineStr">
      <is>
        <t>2. 11</t>
      </is>
    </nc>
  </rcc>
</revisions>
</file>

<file path=xl/revisions/revisionLog7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059" sId="2" ref="C1:C1048576" action="insertCol"/>
  <rcc rId="10060" sId="2">
    <nc r="C1" t="inlineStr">
      <is>
        <t>nest2</t>
      </is>
    </nc>
  </rcc>
  <rcc rId="10061" sId="2">
    <oc r="B2" t="inlineStr">
      <is>
        <t>2.1</t>
      </is>
    </oc>
    <nc r="B2">
      <v>1</v>
    </nc>
  </rcc>
  <rcc rId="10062" sId="2">
    <oc r="B4" t="inlineStr">
      <is>
        <t>2.1</t>
      </is>
    </oc>
    <nc r="B4">
      <v>1</v>
    </nc>
  </rcc>
  <rcc rId="10063" sId="2">
    <oc r="B5" t="inlineStr">
      <is>
        <t>2.1</t>
      </is>
    </oc>
    <nc r="B5">
      <v>1</v>
    </nc>
  </rcc>
  <rcc rId="10064" sId="2">
    <oc r="B6" t="inlineStr">
      <is>
        <t>2.1</t>
      </is>
    </oc>
    <nc r="B6">
      <v>1</v>
    </nc>
  </rcc>
  <rcc rId="10065" sId="2">
    <oc r="B7" t="inlineStr">
      <is>
        <t>2.1</t>
      </is>
    </oc>
    <nc r="B7">
      <v>1</v>
    </nc>
  </rcc>
  <rcc rId="10066" sId="2">
    <oc r="B8" t="inlineStr">
      <is>
        <t>2.1</t>
      </is>
    </oc>
    <nc r="B8">
      <v>1</v>
    </nc>
  </rcc>
  <rcc rId="10067" sId="2">
    <oc r="B13" t="inlineStr">
      <is>
        <t>2.1</t>
      </is>
    </oc>
    <nc r="B13">
      <v>1</v>
    </nc>
  </rcc>
  <rcc rId="10068" sId="2">
    <oc r="B14" t="inlineStr">
      <is>
        <t>2.1</t>
      </is>
    </oc>
    <nc r="B14">
      <v>1</v>
    </nc>
  </rcc>
  <rcc rId="10069" sId="2">
    <oc r="B15" t="inlineStr">
      <is>
        <t>2.1</t>
      </is>
    </oc>
    <nc r="B15">
      <v>1</v>
    </nc>
  </rcc>
  <rcc rId="10070" sId="2">
    <oc r="B16" t="inlineStr">
      <is>
        <t>2.1</t>
      </is>
    </oc>
    <nc r="B16">
      <v>1</v>
    </nc>
  </rcc>
  <rcc rId="10071" sId="2">
    <oc r="B17" t="inlineStr">
      <is>
        <t>2.1</t>
      </is>
    </oc>
    <nc r="B17">
      <v>1</v>
    </nc>
  </rcc>
  <rcc rId="10072" sId="2">
    <oc r="B18" t="inlineStr">
      <is>
        <t>2.1</t>
      </is>
    </oc>
    <nc r="B18">
      <v>1</v>
    </nc>
  </rcc>
  <rcc rId="10073" sId="2">
    <oc r="B19" t="inlineStr">
      <is>
        <t>2.1</t>
      </is>
    </oc>
    <nc r="B19">
      <v>1</v>
    </nc>
  </rcc>
  <rcc rId="10074" sId="2">
    <oc r="B20" t="inlineStr">
      <is>
        <t>2.1</t>
      </is>
    </oc>
    <nc r="B20">
      <v>1</v>
    </nc>
  </rcc>
  <rcc rId="10075" sId="2">
    <oc r="B21" t="inlineStr">
      <is>
        <t>2.1</t>
      </is>
    </oc>
    <nc r="B21">
      <v>1</v>
    </nc>
  </rcc>
  <rcc rId="10076" sId="2">
    <oc r="B22" t="inlineStr">
      <is>
        <t>2.1</t>
      </is>
    </oc>
    <nc r="B22">
      <v>1</v>
    </nc>
  </rcc>
  <rcc rId="10077" sId="2">
    <oc r="B72" t="inlineStr">
      <is>
        <t>2.1</t>
      </is>
    </oc>
    <nc r="B72">
      <v>1</v>
    </nc>
  </rcc>
  <rcc rId="10078" sId="2">
    <oc r="B73" t="inlineStr">
      <is>
        <t>2.1</t>
      </is>
    </oc>
    <nc r="B73">
      <v>1</v>
    </nc>
  </rcc>
  <rcc rId="10079" sId="2">
    <oc r="B74" t="inlineStr">
      <is>
        <t>2.1</t>
      </is>
    </oc>
    <nc r="B74">
      <v>1</v>
    </nc>
  </rcc>
  <rcc rId="10080" sId="2">
    <oc r="B75" t="inlineStr">
      <is>
        <t>2.1</t>
      </is>
    </oc>
    <nc r="B75">
      <v>1</v>
    </nc>
  </rcc>
  <rcc rId="10081" sId="2">
    <oc r="B76" t="inlineStr">
      <is>
        <t>2.1</t>
      </is>
    </oc>
    <nc r="B76">
      <v>1</v>
    </nc>
  </rcc>
  <rcc rId="10082" sId="2">
    <oc r="B77" t="inlineStr">
      <is>
        <t>2.1</t>
      </is>
    </oc>
    <nc r="B77">
      <v>1</v>
    </nc>
  </rcc>
  <rcc rId="10083" sId="2">
    <oc r="B9" t="inlineStr">
      <is>
        <t>2.2</t>
      </is>
    </oc>
    <nc r="B9">
      <v>2</v>
    </nc>
  </rcc>
  <rcc rId="10084" sId="2">
    <oc r="B10" t="inlineStr">
      <is>
        <t>2.2</t>
      </is>
    </oc>
    <nc r="B10">
      <v>2</v>
    </nc>
  </rcc>
  <rcc rId="10085" sId="2">
    <oc r="B11" t="inlineStr">
      <is>
        <t>2.2</t>
      </is>
    </oc>
    <nc r="B11">
      <v>2</v>
    </nc>
  </rcc>
  <rcc rId="10086" sId="2">
    <oc r="B12" t="inlineStr">
      <is>
        <t>2.2</t>
      </is>
    </oc>
    <nc r="B12">
      <v>2</v>
    </nc>
  </rcc>
  <rcc rId="10087" sId="2">
    <oc r="B23" t="inlineStr">
      <is>
        <t>2.2</t>
      </is>
    </oc>
    <nc r="B23">
      <v>2</v>
    </nc>
  </rcc>
  <rcc rId="10088" sId="2">
    <oc r="B25" t="inlineStr">
      <is>
        <t>2.2</t>
      </is>
    </oc>
    <nc r="B25">
      <v>2</v>
    </nc>
  </rcc>
  <rcc rId="10089" sId="2">
    <oc r="B26" t="inlineStr">
      <is>
        <t>2.2</t>
      </is>
    </oc>
    <nc r="B26">
      <v>2</v>
    </nc>
  </rcc>
  <rcc rId="10090" sId="2">
    <oc r="B24" t="inlineStr">
      <is>
        <t>2.3</t>
      </is>
    </oc>
    <nc r="B24">
      <v>3</v>
    </nc>
  </rcc>
  <rcc rId="10091" sId="2">
    <oc r="B27" t="inlineStr">
      <is>
        <t>2.3</t>
      </is>
    </oc>
    <nc r="B27">
      <v>3</v>
    </nc>
  </rcc>
  <rcc rId="10092" sId="2">
    <oc r="B28" t="inlineStr">
      <is>
        <t>2.3</t>
      </is>
    </oc>
    <nc r="B28">
      <v>3</v>
    </nc>
  </rcc>
  <rcc rId="10093" sId="2">
    <oc r="B29" t="inlineStr">
      <is>
        <t>2.4</t>
      </is>
    </oc>
    <nc r="B29">
      <v>4</v>
    </nc>
  </rcc>
  <rcc rId="10094" sId="2">
    <oc r="B30" t="inlineStr">
      <is>
        <t>2.5</t>
      </is>
    </oc>
    <nc r="B30">
      <v>5</v>
    </nc>
  </rcc>
  <rcc rId="10095" sId="2">
    <oc r="B3" t="inlineStr">
      <is>
        <t>2.6</t>
      </is>
    </oc>
    <nc r="B3">
      <v>6</v>
    </nc>
  </rcc>
  <rcc rId="10096" sId="2">
    <oc r="B31" t="inlineStr">
      <is>
        <t>2.6</t>
      </is>
    </oc>
    <nc r="B31">
      <v>6</v>
    </nc>
  </rcc>
  <rcc rId="10097" sId="2">
    <oc r="B32" t="inlineStr">
      <is>
        <t>2.6</t>
      </is>
    </oc>
    <nc r="B32">
      <v>6</v>
    </nc>
  </rcc>
  <rcc rId="10098" sId="2">
    <oc r="B33" t="inlineStr">
      <is>
        <t>2.6</t>
      </is>
    </oc>
    <nc r="B33">
      <v>6</v>
    </nc>
  </rcc>
  <rcc rId="10099" sId="2">
    <oc r="B34" t="inlineStr">
      <is>
        <t>2.6</t>
      </is>
    </oc>
    <nc r="B34">
      <v>6</v>
    </nc>
  </rcc>
  <rcc rId="10100" sId="2">
    <oc r="B35" t="inlineStr">
      <is>
        <t>2.6</t>
      </is>
    </oc>
    <nc r="B35">
      <v>6</v>
    </nc>
  </rcc>
  <rcc rId="10101" sId="2">
    <oc r="B36" t="inlineStr">
      <is>
        <t>2.6</t>
      </is>
    </oc>
    <nc r="B36">
      <v>6</v>
    </nc>
  </rcc>
  <rcc rId="10102" sId="2">
    <oc r="B37" t="inlineStr">
      <is>
        <t>2.6</t>
      </is>
    </oc>
    <nc r="B37">
      <v>6</v>
    </nc>
  </rcc>
  <rcc rId="10103" sId="2">
    <oc r="B38" t="inlineStr">
      <is>
        <t>2.6</t>
      </is>
    </oc>
    <nc r="B38">
      <v>6</v>
    </nc>
  </rcc>
  <rcc rId="10104" sId="2">
    <oc r="B39" t="inlineStr">
      <is>
        <t>2.6</t>
      </is>
    </oc>
    <nc r="B39">
      <v>6</v>
    </nc>
  </rcc>
  <rcc rId="10105" sId="2">
    <oc r="B40" t="inlineStr">
      <is>
        <t>2.6</t>
      </is>
    </oc>
    <nc r="B40">
      <v>6</v>
    </nc>
  </rcc>
  <rcc rId="10106" sId="2">
    <oc r="B41" t="inlineStr">
      <is>
        <t>2.6</t>
      </is>
    </oc>
    <nc r="B41">
      <v>6</v>
    </nc>
  </rcc>
  <rcc rId="10107" sId="2">
    <oc r="B42" t="inlineStr">
      <is>
        <t>2.6</t>
      </is>
    </oc>
    <nc r="B42">
      <v>6</v>
    </nc>
  </rcc>
  <rcc rId="10108" sId="2">
    <oc r="B43" t="inlineStr">
      <is>
        <t>2.6</t>
      </is>
    </oc>
    <nc r="B43">
      <v>6</v>
    </nc>
  </rcc>
  <rcc rId="10109" sId="2">
    <oc r="B44" t="inlineStr">
      <is>
        <t>2.6</t>
      </is>
    </oc>
    <nc r="B44">
      <v>6</v>
    </nc>
  </rcc>
  <rcc rId="10110" sId="2">
    <oc r="B45" t="inlineStr">
      <is>
        <t>2.6</t>
      </is>
    </oc>
    <nc r="B45">
      <v>6</v>
    </nc>
  </rcc>
  <rcc rId="10111" sId="2">
    <oc r="B46" t="inlineStr">
      <is>
        <t>2.6</t>
      </is>
    </oc>
    <nc r="B46">
      <v>6</v>
    </nc>
  </rcc>
  <rcc rId="10112" sId="2">
    <oc r="B47" t="inlineStr">
      <is>
        <t>2.6</t>
      </is>
    </oc>
    <nc r="B47">
      <v>6</v>
    </nc>
  </rcc>
  <rcc rId="10113" sId="2">
    <oc r="B48" t="inlineStr">
      <is>
        <t>2.6</t>
      </is>
    </oc>
    <nc r="B48">
      <v>6</v>
    </nc>
  </rcc>
  <rcc rId="10114" sId="2">
    <oc r="B49" t="inlineStr">
      <is>
        <t>2.6</t>
      </is>
    </oc>
    <nc r="B49">
      <v>6</v>
    </nc>
  </rcc>
  <rcc rId="10115" sId="2">
    <oc r="B50" t="inlineStr">
      <is>
        <t>2.6</t>
      </is>
    </oc>
    <nc r="B50">
      <v>6</v>
    </nc>
  </rcc>
  <rcc rId="10116" sId="2">
    <oc r="B51" t="inlineStr">
      <is>
        <t>2.6</t>
      </is>
    </oc>
    <nc r="B51">
      <v>6</v>
    </nc>
  </rcc>
  <rcc rId="10117" sId="2">
    <oc r="B52" t="inlineStr">
      <is>
        <t>2.6</t>
      </is>
    </oc>
    <nc r="B52">
      <v>6</v>
    </nc>
  </rcc>
  <rcc rId="10118" sId="2">
    <oc r="B53" t="inlineStr">
      <is>
        <t>2.6</t>
      </is>
    </oc>
    <nc r="B53">
      <v>6</v>
    </nc>
  </rcc>
  <rcc rId="10119" sId="2">
    <oc r="B54" t="inlineStr">
      <is>
        <t>2.6</t>
      </is>
    </oc>
    <nc r="B54">
      <v>6</v>
    </nc>
  </rcc>
  <rcc rId="10120" sId="2">
    <oc r="B55" t="inlineStr">
      <is>
        <t>2.6</t>
      </is>
    </oc>
    <nc r="B55">
      <v>6</v>
    </nc>
  </rcc>
  <rcc rId="10121" sId="2">
    <oc r="B56" t="inlineStr">
      <is>
        <t>2.6</t>
      </is>
    </oc>
    <nc r="B56">
      <v>6</v>
    </nc>
  </rcc>
  <rcc rId="10122" sId="2">
    <oc r="B57" t="inlineStr">
      <is>
        <t>2.6</t>
      </is>
    </oc>
    <nc r="B57">
      <v>6</v>
    </nc>
  </rcc>
  <rcc rId="10123" sId="2">
    <oc r="B58" t="inlineStr">
      <is>
        <t>2.6</t>
      </is>
    </oc>
    <nc r="B58">
      <v>6</v>
    </nc>
  </rcc>
  <rcc rId="10124" sId="2">
    <oc r="B59" t="inlineStr">
      <is>
        <t>2.6</t>
      </is>
    </oc>
    <nc r="B59">
      <v>6</v>
    </nc>
  </rcc>
  <rcc rId="10125" sId="2">
    <oc r="B60" t="inlineStr">
      <is>
        <t>2.6</t>
      </is>
    </oc>
    <nc r="B60">
      <v>6</v>
    </nc>
  </rcc>
  <rcc rId="10126" sId="2">
    <oc r="B61" t="inlineStr">
      <is>
        <t>2.6</t>
      </is>
    </oc>
    <nc r="B61">
      <v>6</v>
    </nc>
  </rcc>
  <rcc rId="10127" sId="2">
    <oc r="B62" t="inlineStr">
      <is>
        <t>2.6</t>
      </is>
    </oc>
    <nc r="B62">
      <v>6</v>
    </nc>
  </rcc>
  <rcc rId="10128" sId="2">
    <oc r="B63" t="inlineStr">
      <is>
        <t>2.6</t>
      </is>
    </oc>
    <nc r="B63">
      <v>6</v>
    </nc>
  </rcc>
  <rcc rId="10129" sId="2">
    <oc r="B64" t="inlineStr">
      <is>
        <t>2.6</t>
      </is>
    </oc>
    <nc r="B64">
      <v>6</v>
    </nc>
  </rcc>
  <rcc rId="10130" sId="2">
    <oc r="B65" t="inlineStr">
      <is>
        <t>2.6</t>
      </is>
    </oc>
    <nc r="B65">
      <v>6</v>
    </nc>
  </rcc>
  <rcc rId="10131" sId="2">
    <oc r="B66" t="inlineStr">
      <is>
        <t>2.6</t>
      </is>
    </oc>
    <nc r="B66">
      <v>6</v>
    </nc>
  </rcc>
  <rcc rId="10132" sId="2">
    <oc r="B67" t="inlineStr">
      <is>
        <t>2.6</t>
      </is>
    </oc>
    <nc r="B67">
      <v>6</v>
    </nc>
  </rcc>
  <rcc rId="10133" sId="2">
    <oc r="B68" t="inlineStr">
      <is>
        <t>2.6</t>
      </is>
    </oc>
    <nc r="B68">
      <v>6</v>
    </nc>
  </rcc>
  <rcc rId="10134" sId="2">
    <oc r="B69" t="inlineStr">
      <is>
        <t>2.6</t>
      </is>
    </oc>
    <nc r="B69">
      <v>6</v>
    </nc>
  </rcc>
  <rcc rId="10135" sId="2">
    <oc r="B70" t="inlineStr">
      <is>
        <t>2.6</t>
      </is>
    </oc>
    <nc r="B70">
      <v>6</v>
    </nc>
  </rcc>
  <rcc rId="10136" sId="2">
    <oc r="B71" t="inlineStr">
      <is>
        <t>2.6</t>
      </is>
    </oc>
    <nc r="B71">
      <v>6</v>
    </nc>
  </rcc>
  <rcc rId="10137" sId="2">
    <oc r="B78" t="inlineStr">
      <is>
        <t>2.6</t>
      </is>
    </oc>
    <nc r="B78">
      <v>6</v>
    </nc>
  </rcc>
  <rcc rId="10138" sId="2">
    <oc r="B79" t="inlineStr">
      <is>
        <t>2.6</t>
      </is>
    </oc>
    <nc r="B79">
      <v>6</v>
    </nc>
  </rcc>
  <rcc rId="10139" sId="2">
    <oc r="B80" t="inlineStr">
      <is>
        <t>2.6</t>
      </is>
    </oc>
    <nc r="B80">
      <v>6</v>
    </nc>
  </rcc>
  <rcc rId="10140" sId="2">
    <oc r="B81" t="inlineStr">
      <is>
        <t>2.6</t>
      </is>
    </oc>
    <nc r="B81">
      <v>6</v>
    </nc>
  </rcc>
  <rcc rId="10141" sId="2">
    <oc r="B82" t="inlineStr">
      <is>
        <t>2.6</t>
      </is>
    </oc>
    <nc r="B82">
      <v>6</v>
    </nc>
  </rcc>
  <rcc rId="10142" sId="2">
    <oc r="B83" t="inlineStr">
      <is>
        <t>2.6</t>
      </is>
    </oc>
    <nc r="B83">
      <v>6</v>
    </nc>
  </rcc>
  <rcc rId="10143" sId="2">
    <oc r="B84" t="inlineStr">
      <is>
        <t>2.6</t>
      </is>
    </oc>
    <nc r="B84">
      <v>6</v>
    </nc>
  </rcc>
  <rcc rId="10144" sId="2">
    <oc r="B85" t="inlineStr">
      <is>
        <t>2.6</t>
      </is>
    </oc>
    <nc r="B85">
      <v>6</v>
    </nc>
  </rcc>
  <rcc rId="10145" sId="2">
    <oc r="B86" t="inlineStr">
      <is>
        <t>2.6</t>
      </is>
    </oc>
    <nc r="B86">
      <v>6</v>
    </nc>
  </rcc>
  <rcc rId="10146" sId="2">
    <oc r="B87" t="inlineStr">
      <is>
        <t>2.6</t>
      </is>
    </oc>
    <nc r="B87">
      <v>6</v>
    </nc>
  </rcc>
  <rcc rId="10147" sId="2">
    <oc r="B88" t="inlineStr">
      <is>
        <t>2.6</t>
      </is>
    </oc>
    <nc r="B88">
      <v>6</v>
    </nc>
  </rcc>
  <rcc rId="10148" sId="2">
    <oc r="B89" t="inlineStr">
      <is>
        <t>2.6</t>
      </is>
    </oc>
    <nc r="B89">
      <v>6</v>
    </nc>
  </rcc>
  <rcc rId="10149" sId="2">
    <oc r="B90" t="inlineStr">
      <is>
        <t>2.6</t>
      </is>
    </oc>
    <nc r="B90">
      <v>6</v>
    </nc>
  </rcc>
  <rcc rId="10150" sId="2">
    <oc r="B91" t="inlineStr">
      <is>
        <t>2.6</t>
      </is>
    </oc>
    <nc r="B91">
      <v>6</v>
    </nc>
  </rcc>
  <rcc rId="10151" sId="2">
    <oc r="B92" t="inlineStr">
      <is>
        <t>2.6</t>
      </is>
    </oc>
    <nc r="B92">
      <v>6</v>
    </nc>
  </rcc>
  <rcc rId="10152" sId="2">
    <oc r="B93" t="inlineStr">
      <is>
        <t>2.6</t>
      </is>
    </oc>
    <nc r="B93">
      <v>6</v>
    </nc>
  </rcc>
  <rcc rId="10153" sId="2">
    <oc r="B94" t="inlineStr">
      <is>
        <t>2.6</t>
      </is>
    </oc>
    <nc r="B94">
      <v>6</v>
    </nc>
  </rcc>
  <rcc rId="10154" sId="2">
    <oc r="B95" t="inlineStr">
      <is>
        <t>2.6</t>
      </is>
    </oc>
    <nc r="B95">
      <v>6</v>
    </nc>
  </rcc>
  <rcc rId="10155" sId="2">
    <oc r="B96" t="inlineStr">
      <is>
        <t>2.6</t>
      </is>
    </oc>
    <nc r="B96">
      <v>6</v>
    </nc>
  </rcc>
  <rcc rId="10156" sId="2">
    <oc r="B97" t="inlineStr">
      <is>
        <t>2.6</t>
      </is>
    </oc>
    <nc r="B97">
      <v>6</v>
    </nc>
  </rcc>
  <rcc rId="10157" sId="2">
    <oc r="B98" t="inlineStr">
      <is>
        <t>2.6</t>
      </is>
    </oc>
    <nc r="B98">
      <v>6</v>
    </nc>
  </rcc>
  <rcc rId="10158" sId="2">
    <oc r="B99" t="inlineStr">
      <is>
        <t>2.6</t>
      </is>
    </oc>
    <nc r="B99">
      <v>6</v>
    </nc>
  </rcc>
  <rcc rId="10159" sId="2">
    <oc r="B100" t="inlineStr">
      <is>
        <t>2.6</t>
      </is>
    </oc>
    <nc r="B100">
      <v>6</v>
    </nc>
  </rcc>
  <rcc rId="10160" sId="2">
    <oc r="B101" t="inlineStr">
      <is>
        <t>2.6</t>
      </is>
    </oc>
    <nc r="B101">
      <v>6</v>
    </nc>
  </rcc>
  <rcc rId="10161" sId="2">
    <oc r="B102" t="inlineStr">
      <is>
        <t>2.6</t>
      </is>
    </oc>
    <nc r="B102">
      <v>6</v>
    </nc>
  </rcc>
  <rcc rId="10162" sId="2">
    <oc r="B103" t="inlineStr">
      <is>
        <t>2.6</t>
      </is>
    </oc>
    <nc r="B103">
      <v>6</v>
    </nc>
  </rcc>
  <rcc rId="10163" sId="2">
    <oc r="B104" t="inlineStr">
      <is>
        <t>2.6</t>
      </is>
    </oc>
    <nc r="B104">
      <v>6</v>
    </nc>
  </rcc>
  <rcc rId="10164" sId="2">
    <oc r="B105" t="inlineStr">
      <is>
        <t>2.6</t>
      </is>
    </oc>
    <nc r="B105">
      <v>6</v>
    </nc>
  </rcc>
  <rcc rId="10165" sId="2">
    <oc r="B106" t="inlineStr">
      <is>
        <t>2.6</t>
      </is>
    </oc>
    <nc r="B106">
      <v>6</v>
    </nc>
  </rcc>
  <rcc rId="10166" sId="2">
    <oc r="B107" t="inlineStr">
      <is>
        <t>2.6</t>
      </is>
    </oc>
    <nc r="B107">
      <v>6</v>
    </nc>
  </rcc>
  <rcc rId="10167" sId="2">
    <oc r="B108" t="inlineStr">
      <is>
        <t>2.6</t>
      </is>
    </oc>
    <nc r="B108">
      <v>6</v>
    </nc>
  </rcc>
  <rcc rId="10168" sId="2">
    <oc r="B109" t="inlineStr">
      <is>
        <t>2.6</t>
      </is>
    </oc>
    <nc r="B109">
      <v>6</v>
    </nc>
  </rcc>
  <rcc rId="10169" sId="2">
    <oc r="B110" t="inlineStr">
      <is>
        <t>2.6</t>
      </is>
    </oc>
    <nc r="B110">
      <v>6</v>
    </nc>
  </rcc>
  <rcc rId="10170" sId="2">
    <oc r="B111" t="inlineStr">
      <is>
        <t>2.6</t>
      </is>
    </oc>
    <nc r="B111">
      <v>6</v>
    </nc>
  </rcc>
  <rcc rId="10171" sId="2">
    <oc r="B112" t="inlineStr">
      <is>
        <t>2.6</t>
      </is>
    </oc>
    <nc r="B112">
      <v>6</v>
    </nc>
  </rcc>
  <rcc rId="10172" sId="2">
    <oc r="B113" t="inlineStr">
      <is>
        <t>2.6</t>
      </is>
    </oc>
    <nc r="B113">
      <v>6</v>
    </nc>
  </rcc>
  <rcc rId="10173" sId="2">
    <oc r="B114" t="inlineStr">
      <is>
        <t>2.6</t>
      </is>
    </oc>
    <nc r="B114">
      <v>6</v>
    </nc>
  </rcc>
  <rcc rId="10174" sId="2">
    <oc r="B115" t="inlineStr">
      <is>
        <t>2.6</t>
      </is>
    </oc>
    <nc r="B115">
      <v>6</v>
    </nc>
  </rcc>
  <rcc rId="10175" sId="2">
    <oc r="B116" t="inlineStr">
      <is>
        <t>2.6</t>
      </is>
    </oc>
    <nc r="B116">
      <v>6</v>
    </nc>
  </rcc>
  <rcc rId="10176" sId="2">
    <oc r="B117" t="inlineStr">
      <is>
        <t>2.6</t>
      </is>
    </oc>
    <nc r="B117">
      <v>6</v>
    </nc>
  </rcc>
  <rcc rId="10177" sId="2">
    <oc r="B118" t="inlineStr">
      <is>
        <t>2.6</t>
      </is>
    </oc>
    <nc r="B118">
      <v>6</v>
    </nc>
  </rcc>
  <rcc rId="10178" sId="2">
    <oc r="B119" t="inlineStr">
      <is>
        <t>2.6</t>
      </is>
    </oc>
    <nc r="B119">
      <v>6</v>
    </nc>
  </rcc>
  <rcc rId="10179" sId="2">
    <oc r="B120" t="inlineStr">
      <is>
        <t>2.6</t>
      </is>
    </oc>
    <nc r="B120">
      <v>6</v>
    </nc>
  </rcc>
  <rcc rId="10180" sId="2">
    <oc r="B121" t="inlineStr">
      <is>
        <t>2.6</t>
      </is>
    </oc>
    <nc r="B121">
      <v>6</v>
    </nc>
  </rcc>
  <rcc rId="10181" sId="2">
    <oc r="B122" t="inlineStr">
      <is>
        <t>2.6</t>
      </is>
    </oc>
    <nc r="B122">
      <v>6</v>
    </nc>
  </rcc>
  <rcc rId="10182" sId="2">
    <oc r="B123" t="inlineStr">
      <is>
        <t>2.6</t>
      </is>
    </oc>
    <nc r="B123">
      <v>6</v>
    </nc>
  </rcc>
  <rcc rId="10183" sId="2">
    <oc r="B124" t="inlineStr">
      <is>
        <t>2.6</t>
      </is>
    </oc>
    <nc r="B124">
      <v>6</v>
    </nc>
  </rcc>
  <rcc rId="10184" sId="2">
    <oc r="B125" t="inlineStr">
      <is>
        <t>2.6</t>
      </is>
    </oc>
    <nc r="B125">
      <v>6</v>
    </nc>
  </rcc>
  <rcc rId="10185" sId="2">
    <oc r="B126" t="inlineStr">
      <is>
        <t>2.6</t>
      </is>
    </oc>
    <nc r="B126">
      <v>6</v>
    </nc>
  </rcc>
  <rcc rId="10186" sId="2">
    <oc r="B127" t="inlineStr">
      <is>
        <t>2.6</t>
      </is>
    </oc>
    <nc r="B127">
      <v>6</v>
    </nc>
  </rcc>
  <rcc rId="10187" sId="2">
    <oc r="B128" t="inlineStr">
      <is>
        <t>2.6</t>
      </is>
    </oc>
    <nc r="B128">
      <v>6</v>
    </nc>
  </rcc>
  <rcc rId="10188" sId="2">
    <oc r="B129" t="inlineStr">
      <is>
        <t>2.6</t>
      </is>
    </oc>
    <nc r="B129">
      <v>6</v>
    </nc>
  </rcc>
  <rcc rId="10189" sId="2">
    <oc r="B130" t="inlineStr">
      <is>
        <t>2.6</t>
      </is>
    </oc>
    <nc r="B130">
      <v>6</v>
    </nc>
  </rcc>
  <rcc rId="10190" sId="2">
    <oc r="B131" t="inlineStr">
      <is>
        <t>2.6</t>
      </is>
    </oc>
    <nc r="B131">
      <v>6</v>
    </nc>
  </rcc>
  <rcc rId="10191" sId="2">
    <oc r="B133" t="inlineStr">
      <is>
        <t>2.6</t>
      </is>
    </oc>
    <nc r="B133">
      <v>6</v>
    </nc>
  </rcc>
  <rcc rId="10192" sId="2">
    <oc r="B135" t="inlineStr">
      <is>
        <t>2.6</t>
      </is>
    </oc>
    <nc r="B135">
      <v>6</v>
    </nc>
  </rcc>
  <rcc rId="10193" sId="2">
    <oc r="B136" t="inlineStr">
      <is>
        <t>2.6</t>
      </is>
    </oc>
    <nc r="B136">
      <v>6</v>
    </nc>
  </rcc>
  <rcc rId="10194" sId="2">
    <oc r="B137" t="inlineStr">
      <is>
        <t>2.6</t>
      </is>
    </oc>
    <nc r="B137">
      <v>6</v>
    </nc>
  </rcc>
  <rcc rId="10195" sId="2">
    <oc r="B140" t="inlineStr">
      <is>
        <t>2.6</t>
      </is>
    </oc>
    <nc r="B140">
      <v>6</v>
    </nc>
  </rcc>
  <rcc rId="10196" sId="2">
    <oc r="B142" t="inlineStr">
      <is>
        <t>2.6</t>
      </is>
    </oc>
    <nc r="B142">
      <v>6</v>
    </nc>
  </rcc>
  <rcc rId="10197" sId="2">
    <oc r="B147" t="inlineStr">
      <is>
        <t>2.6</t>
      </is>
    </oc>
    <nc r="B147">
      <v>6</v>
    </nc>
  </rcc>
  <rcc rId="10198" sId="2">
    <oc r="B148" t="inlineStr">
      <is>
        <t>2.6</t>
      </is>
    </oc>
    <nc r="B148">
      <v>6</v>
    </nc>
  </rcc>
  <rcc rId="10199" sId="2">
    <oc r="B152" t="inlineStr">
      <is>
        <t>2.6</t>
      </is>
    </oc>
    <nc r="B152">
      <v>6</v>
    </nc>
  </rcc>
  <rcc rId="10200" sId="2">
    <oc r="B154" t="inlineStr">
      <is>
        <t>2.6</t>
      </is>
    </oc>
    <nc r="B154">
      <v>6</v>
    </nc>
  </rcc>
  <rcc rId="10201" sId="2">
    <oc r="B155" t="inlineStr">
      <is>
        <t>2.6</t>
      </is>
    </oc>
    <nc r="B155">
      <v>6</v>
    </nc>
  </rcc>
  <rcc rId="10202" sId="2">
    <oc r="B161" t="inlineStr">
      <is>
        <t>2.6</t>
      </is>
    </oc>
    <nc r="B161">
      <v>6</v>
    </nc>
  </rcc>
  <rcc rId="10203" sId="2">
    <oc r="B162" t="inlineStr">
      <is>
        <t>2.6</t>
      </is>
    </oc>
    <nc r="B162">
      <v>6</v>
    </nc>
  </rcc>
  <rcc rId="10204" sId="2">
    <oc r="B165" t="inlineStr">
      <is>
        <t>2.6</t>
      </is>
    </oc>
    <nc r="B165">
      <v>6</v>
    </nc>
  </rcc>
  <rcc rId="10205" sId="2">
    <oc r="B166" t="inlineStr">
      <is>
        <t>2.6</t>
      </is>
    </oc>
    <nc r="B166">
      <v>6</v>
    </nc>
  </rcc>
  <rcc rId="10206" sId="2">
    <oc r="B168" t="inlineStr">
      <is>
        <t>2.6</t>
      </is>
    </oc>
    <nc r="B168">
      <v>6</v>
    </nc>
  </rcc>
  <rcc rId="10207" sId="2">
    <oc r="B170" t="inlineStr">
      <is>
        <t>2.6</t>
      </is>
    </oc>
    <nc r="B170">
      <v>6</v>
    </nc>
  </rcc>
  <rcc rId="10208" sId="2">
    <oc r="B172" t="inlineStr">
      <is>
        <t>2.6</t>
      </is>
    </oc>
    <nc r="B172">
      <v>6</v>
    </nc>
  </rcc>
  <rcc rId="10209" sId="2">
    <oc r="B176" t="inlineStr">
      <is>
        <t>2.6</t>
      </is>
    </oc>
    <nc r="B176">
      <v>6</v>
    </nc>
  </rcc>
  <rcc rId="10210" sId="2">
    <oc r="B177" t="inlineStr">
      <is>
        <t>2.6</t>
      </is>
    </oc>
    <nc r="B177">
      <v>6</v>
    </nc>
  </rcc>
  <rcc rId="10211" sId="2">
    <oc r="B179" t="inlineStr">
      <is>
        <t>2.6</t>
      </is>
    </oc>
    <nc r="B179">
      <v>6</v>
    </nc>
  </rcc>
  <rcc rId="10212" sId="2">
    <oc r="B180" t="inlineStr">
      <is>
        <t>2.6</t>
      </is>
    </oc>
    <nc r="B180">
      <v>6</v>
    </nc>
  </rcc>
  <rcc rId="10213" sId="2">
    <oc r="B132" t="inlineStr">
      <is>
        <t>2.7</t>
      </is>
    </oc>
    <nc r="B132">
      <v>7</v>
    </nc>
  </rcc>
  <rcc rId="10214" sId="2">
    <oc r="B134" t="inlineStr">
      <is>
        <t>2.7</t>
      </is>
    </oc>
    <nc r="B134">
      <v>7</v>
    </nc>
  </rcc>
  <rcc rId="10215" sId="2">
    <oc r="B138" t="inlineStr">
      <is>
        <t>2.7</t>
      </is>
    </oc>
    <nc r="B138">
      <v>7</v>
    </nc>
  </rcc>
  <rcc rId="10216" sId="2">
    <oc r="B139" t="inlineStr">
      <is>
        <t>2.7</t>
      </is>
    </oc>
    <nc r="B139">
      <v>7</v>
    </nc>
  </rcc>
  <rcc rId="10217" sId="2">
    <oc r="B141" t="inlineStr">
      <is>
        <t>2.7</t>
      </is>
    </oc>
    <nc r="B141">
      <v>7</v>
    </nc>
  </rcc>
  <rcc rId="10218" sId="2">
    <oc r="B143" t="inlineStr">
      <is>
        <t>2.8</t>
      </is>
    </oc>
    <nc r="B143">
      <v>8</v>
    </nc>
  </rcc>
  <rcc rId="10219" sId="2">
    <oc r="B145" t="inlineStr">
      <is>
        <t>2.8</t>
      </is>
    </oc>
    <nc r="B145">
      <v>8</v>
    </nc>
  </rcc>
  <rcc rId="10220" sId="2">
    <oc r="B149" t="inlineStr">
      <is>
        <t>2.8</t>
      </is>
    </oc>
    <nc r="B149">
      <v>8</v>
    </nc>
  </rcc>
  <rcc rId="10221" sId="2">
    <oc r="B150" t="inlineStr">
      <is>
        <t>2.8</t>
      </is>
    </oc>
    <nc r="B150">
      <v>8</v>
    </nc>
  </rcc>
  <rcc rId="10222" sId="2">
    <oc r="B151" t="inlineStr">
      <is>
        <t>2.8</t>
      </is>
    </oc>
    <nc r="B151">
      <v>8</v>
    </nc>
  </rcc>
  <rcc rId="10223" sId="2">
    <oc r="B153" t="inlineStr">
      <is>
        <t>2.8</t>
      </is>
    </oc>
    <nc r="B153">
      <v>8</v>
    </nc>
  </rcc>
  <rcc rId="10224" sId="2">
    <oc r="B156" t="inlineStr">
      <is>
        <t>2.8</t>
      </is>
    </oc>
    <nc r="B156">
      <v>8</v>
    </nc>
  </rcc>
  <rcc rId="10225" sId="2">
    <oc r="B157" t="inlineStr">
      <is>
        <t>2.8</t>
      </is>
    </oc>
    <nc r="B157">
      <v>8</v>
    </nc>
  </rcc>
  <rcc rId="10226" sId="2">
    <oc r="B158" t="inlineStr">
      <is>
        <t>2.8</t>
      </is>
    </oc>
    <nc r="B158">
      <v>8</v>
    </nc>
  </rcc>
  <rcc rId="10227" sId="2">
    <oc r="B159" t="inlineStr">
      <is>
        <t>2.8</t>
      </is>
    </oc>
    <nc r="B159">
      <v>8</v>
    </nc>
  </rcc>
  <rcc rId="10228" sId="2">
    <oc r="B160" t="inlineStr">
      <is>
        <t>2.8</t>
      </is>
    </oc>
    <nc r="B160">
      <v>8</v>
    </nc>
  </rcc>
  <rcc rId="10229" sId="2">
    <oc r="B163" t="inlineStr">
      <is>
        <t>2.8</t>
      </is>
    </oc>
    <nc r="B163">
      <v>8</v>
    </nc>
  </rcc>
  <rcc rId="10230" sId="2">
    <oc r="B164" t="inlineStr">
      <is>
        <t>2.8</t>
      </is>
    </oc>
    <nc r="B164">
      <v>8</v>
    </nc>
  </rcc>
  <rcc rId="10231" sId="2">
    <oc r="B167" t="inlineStr">
      <is>
        <t>2.8</t>
      </is>
    </oc>
    <nc r="B167">
      <v>8</v>
    </nc>
  </rcc>
  <rcc rId="10232" sId="2">
    <oc r="B169" t="inlineStr">
      <is>
        <t>2.8</t>
      </is>
    </oc>
    <nc r="B169">
      <v>8</v>
    </nc>
  </rcc>
  <rcc rId="10233" sId="2">
    <oc r="B171" t="inlineStr">
      <is>
        <t>2.8</t>
      </is>
    </oc>
    <nc r="B171">
      <v>8</v>
    </nc>
  </rcc>
  <rcc rId="10234" sId="2">
    <oc r="B173" t="inlineStr">
      <is>
        <t>2.8</t>
      </is>
    </oc>
    <nc r="B173">
      <v>8</v>
    </nc>
  </rcc>
  <rcc rId="10235" sId="2">
    <oc r="B174" t="inlineStr">
      <is>
        <t>2.8</t>
      </is>
    </oc>
    <nc r="B174">
      <v>8</v>
    </nc>
  </rcc>
  <rcc rId="10236" sId="2">
    <oc r="B175" t="inlineStr">
      <is>
        <t>2.8</t>
      </is>
    </oc>
    <nc r="B175">
      <v>8</v>
    </nc>
  </rcc>
  <rcc rId="10237" sId="2">
    <oc r="B178" t="inlineStr">
      <is>
        <t>2.8</t>
      </is>
    </oc>
    <nc r="B178">
      <v>8</v>
    </nc>
  </rcc>
  <rcc rId="10238" sId="2">
    <oc r="B181" t="inlineStr">
      <is>
        <t>2.8</t>
      </is>
    </oc>
    <nc r="B181">
      <v>8</v>
    </nc>
  </rcc>
  <rcc rId="10239" sId="2">
    <oc r="B182" t="inlineStr">
      <is>
        <t>2.8</t>
      </is>
    </oc>
    <nc r="B182">
      <v>8</v>
    </nc>
  </rcc>
  <rcc rId="10240" sId="2">
    <oc r="B184" t="inlineStr">
      <is>
        <t>2.8</t>
      </is>
    </oc>
    <nc r="B184">
      <v>8</v>
    </nc>
  </rcc>
  <rcc rId="10241" sId="2">
    <oc r="B186" t="inlineStr">
      <is>
        <t>2.8</t>
      </is>
    </oc>
    <nc r="B186">
      <v>8</v>
    </nc>
  </rcc>
  <rcc rId="10242" sId="2">
    <oc r="B188" t="inlineStr">
      <is>
        <t>2.8</t>
      </is>
    </oc>
    <nc r="B188">
      <v>8</v>
    </nc>
  </rcc>
  <rcc rId="10243" sId="2">
    <oc r="B189" t="inlineStr">
      <is>
        <t>2.8</t>
      </is>
    </oc>
    <nc r="B189">
      <v>8</v>
    </nc>
  </rcc>
  <rcc rId="10244" sId="2">
    <oc r="B192" t="inlineStr">
      <is>
        <t>2.8</t>
      </is>
    </oc>
    <nc r="B192">
      <v>8</v>
    </nc>
  </rcc>
  <rcc rId="10245" sId="2">
    <oc r="B194" t="inlineStr">
      <is>
        <t>2.8</t>
      </is>
    </oc>
    <nc r="B194">
      <v>8</v>
    </nc>
  </rcc>
  <rcc rId="10246" sId="2">
    <oc r="B196" t="inlineStr">
      <is>
        <t>2.8</t>
      </is>
    </oc>
    <nc r="B196">
      <v>8</v>
    </nc>
  </rcc>
  <rcc rId="10247" sId="2">
    <oc r="B198" t="inlineStr">
      <is>
        <t>2.8</t>
      </is>
    </oc>
    <nc r="B198">
      <v>8</v>
    </nc>
  </rcc>
  <rcc rId="10248" sId="2">
    <oc r="B200" t="inlineStr">
      <is>
        <t>2.8</t>
      </is>
    </oc>
    <nc r="B200">
      <v>8</v>
    </nc>
  </rcc>
  <rcc rId="10249" sId="2">
    <oc r="B204" t="inlineStr">
      <is>
        <t>2.8</t>
      </is>
    </oc>
    <nc r="B204">
      <v>8</v>
    </nc>
  </rcc>
  <rcc rId="10250" sId="2">
    <oc r="B207" t="inlineStr">
      <is>
        <t>2.8</t>
      </is>
    </oc>
    <nc r="B207">
      <v>8</v>
    </nc>
  </rcc>
  <rcc rId="10251" sId="2">
    <oc r="B208" t="inlineStr">
      <is>
        <t>2.8</t>
      </is>
    </oc>
    <nc r="B208">
      <v>8</v>
    </nc>
  </rcc>
  <rcc rId="10252" sId="2">
    <oc r="B209" t="inlineStr">
      <is>
        <t>2.8</t>
      </is>
    </oc>
    <nc r="B209">
      <v>8</v>
    </nc>
  </rcc>
  <rcc rId="10253" sId="2">
    <oc r="B210" t="inlineStr">
      <is>
        <t>2.8</t>
      </is>
    </oc>
    <nc r="B210">
      <v>8</v>
    </nc>
  </rcc>
  <rcc rId="10254" sId="2">
    <oc r="B213" t="inlineStr">
      <is>
        <t>2.8</t>
      </is>
    </oc>
    <nc r="B213">
      <v>8</v>
    </nc>
  </rcc>
  <rcc rId="10255" sId="2">
    <oc r="B220" t="inlineStr">
      <is>
        <t>2.8</t>
      </is>
    </oc>
    <nc r="B220">
      <v>8</v>
    </nc>
  </rcc>
  <rcc rId="10256" sId="2">
    <oc r="B224" t="inlineStr">
      <is>
        <t>2.8</t>
      </is>
    </oc>
    <nc r="B224">
      <v>8</v>
    </nc>
  </rcc>
  <rcc rId="10257" sId="2">
    <oc r="B227" t="inlineStr">
      <is>
        <t>2.8</t>
      </is>
    </oc>
    <nc r="B227">
      <v>8</v>
    </nc>
  </rcc>
  <rcc rId="10258" sId="2">
    <oc r="B228" t="inlineStr">
      <is>
        <t>2.8</t>
      </is>
    </oc>
    <nc r="B228">
      <v>8</v>
    </nc>
  </rcc>
  <rcc rId="10259" sId="2">
    <oc r="B229" t="inlineStr">
      <is>
        <t>2.8</t>
      </is>
    </oc>
    <nc r="B229">
      <v>8</v>
    </nc>
  </rcc>
  <rcc rId="10260" sId="2">
    <oc r="B230" t="inlineStr">
      <is>
        <t>2.8</t>
      </is>
    </oc>
    <nc r="B230">
      <v>8</v>
    </nc>
  </rcc>
  <rcc rId="10261" sId="2">
    <oc r="B236" t="inlineStr">
      <is>
        <t>2.8</t>
      </is>
    </oc>
    <nc r="B236">
      <v>8</v>
    </nc>
  </rcc>
  <rcc rId="10262" sId="2">
    <oc r="B237" t="inlineStr">
      <is>
        <t>2.8</t>
      </is>
    </oc>
    <nc r="B237">
      <v>8</v>
    </nc>
  </rcc>
  <rcc rId="10263" sId="2">
    <oc r="B238" t="inlineStr">
      <is>
        <t>2.8</t>
      </is>
    </oc>
    <nc r="B238">
      <v>8</v>
    </nc>
  </rcc>
  <rcc rId="10264" sId="2">
    <oc r="B240" t="inlineStr">
      <is>
        <t>2.8</t>
      </is>
    </oc>
    <nc r="B240">
      <v>8</v>
    </nc>
  </rcc>
  <rcc rId="10265" sId="2">
    <oc r="B242" t="inlineStr">
      <is>
        <t>2.8</t>
      </is>
    </oc>
    <nc r="B242">
      <v>8</v>
    </nc>
  </rcc>
  <rcc rId="10266" sId="2">
    <oc r="B243" t="inlineStr">
      <is>
        <t>2.8</t>
      </is>
    </oc>
    <nc r="B243">
      <v>8</v>
    </nc>
  </rcc>
  <rcc rId="10267" sId="2">
    <oc r="B244" t="inlineStr">
      <is>
        <t>2.8</t>
      </is>
    </oc>
    <nc r="B244">
      <v>8</v>
    </nc>
  </rcc>
  <rcc rId="10268" sId="2">
    <oc r="B245" t="inlineStr">
      <is>
        <t>2.8</t>
      </is>
    </oc>
    <nc r="B245">
      <v>8</v>
    </nc>
  </rcc>
  <rcc rId="10269" sId="2">
    <oc r="B247" t="inlineStr">
      <is>
        <t>2.8</t>
      </is>
    </oc>
    <nc r="B247">
      <v>8</v>
    </nc>
  </rcc>
  <rcc rId="10270" sId="2">
    <oc r="B248" t="inlineStr">
      <is>
        <t>2.8</t>
      </is>
    </oc>
    <nc r="B248">
      <v>8</v>
    </nc>
  </rcc>
  <rcc rId="10271" sId="2">
    <oc r="B249" t="inlineStr">
      <is>
        <t>2.8</t>
      </is>
    </oc>
    <nc r="B249">
      <v>8</v>
    </nc>
  </rcc>
  <rcc rId="10272" sId="2">
    <oc r="B250" t="inlineStr">
      <is>
        <t>2.8</t>
      </is>
    </oc>
    <nc r="B250">
      <v>8</v>
    </nc>
  </rcc>
  <rcc rId="10273" sId="2">
    <oc r="B251" t="inlineStr">
      <is>
        <t>2.8</t>
      </is>
    </oc>
    <nc r="B251">
      <v>8</v>
    </nc>
  </rcc>
  <rcc rId="10274" sId="2">
    <oc r="B252" t="inlineStr">
      <is>
        <t>2.8</t>
      </is>
    </oc>
    <nc r="B252">
      <v>8</v>
    </nc>
  </rcc>
  <rcc rId="10275" sId="2">
    <oc r="B253" t="inlineStr">
      <is>
        <t>2.8</t>
      </is>
    </oc>
    <nc r="B253">
      <v>8</v>
    </nc>
  </rcc>
  <rcc rId="10276" sId="2">
    <oc r="B254" t="inlineStr">
      <is>
        <t>2.8</t>
      </is>
    </oc>
    <nc r="B254">
      <v>8</v>
    </nc>
  </rcc>
  <rcc rId="10277" sId="2">
    <oc r="B255" t="inlineStr">
      <is>
        <t>2.8</t>
      </is>
    </oc>
    <nc r="B255">
      <v>8</v>
    </nc>
  </rcc>
  <rcc rId="10278" sId="2">
    <oc r="B256" t="inlineStr">
      <is>
        <t>2.8</t>
      </is>
    </oc>
    <nc r="B256">
      <v>8</v>
    </nc>
  </rcc>
  <rcc rId="10279" sId="2">
    <oc r="B257" t="inlineStr">
      <is>
        <t>2.8</t>
      </is>
    </oc>
    <nc r="B257">
      <v>8</v>
    </nc>
  </rcc>
  <rcc rId="10280" sId="2">
    <oc r="B258" t="inlineStr">
      <is>
        <t>2.8</t>
      </is>
    </oc>
    <nc r="B258">
      <v>8</v>
    </nc>
  </rcc>
  <rcc rId="10281" sId="2">
    <oc r="B259" t="inlineStr">
      <is>
        <t>2.8</t>
      </is>
    </oc>
    <nc r="B259">
      <v>8</v>
    </nc>
  </rcc>
  <rcc rId="10282" sId="2">
    <oc r="B260" t="inlineStr">
      <is>
        <t>2.8</t>
      </is>
    </oc>
    <nc r="B260">
      <v>8</v>
    </nc>
  </rcc>
  <rcc rId="10283" sId="2">
    <oc r="B144" t="inlineStr">
      <is>
        <t>2. 10</t>
      </is>
    </oc>
    <nc r="B144">
      <v>10</v>
    </nc>
  </rcc>
  <rcc rId="10284" sId="2">
    <oc r="B146" t="inlineStr">
      <is>
        <t>2. 10</t>
      </is>
    </oc>
    <nc r="B146">
      <v>10</v>
    </nc>
  </rcc>
  <rcc rId="10285" sId="2">
    <oc r="B183" t="inlineStr">
      <is>
        <t>2. 11</t>
      </is>
    </oc>
    <nc r="B183">
      <v>11</v>
    </nc>
  </rcc>
  <rcc rId="10286" sId="2">
    <oc r="B185" t="inlineStr">
      <is>
        <t>2. 11</t>
      </is>
    </oc>
    <nc r="B185">
      <v>11</v>
    </nc>
  </rcc>
  <rcc rId="10287" sId="2">
    <oc r="B187" t="inlineStr">
      <is>
        <t>2. 11</t>
      </is>
    </oc>
    <nc r="B187">
      <v>11</v>
    </nc>
  </rcc>
  <rcc rId="10288" sId="2">
    <oc r="B190" t="inlineStr">
      <is>
        <t>2. 11</t>
      </is>
    </oc>
    <nc r="B190">
      <v>11</v>
    </nc>
  </rcc>
  <rcc rId="10289" sId="2">
    <oc r="B191" t="inlineStr">
      <is>
        <t>2. 11</t>
      </is>
    </oc>
    <nc r="B191">
      <v>11</v>
    </nc>
  </rcc>
  <rcc rId="10290" sId="2">
    <oc r="B193" t="inlineStr">
      <is>
        <t>2. 11</t>
      </is>
    </oc>
    <nc r="B193">
      <v>11</v>
    </nc>
  </rcc>
  <rcc rId="10291" sId="2">
    <oc r="B195" t="inlineStr">
      <is>
        <t>2. 11</t>
      </is>
    </oc>
    <nc r="B195">
      <v>11</v>
    </nc>
  </rcc>
  <rcc rId="10292" sId="2">
    <oc r="B197" t="inlineStr">
      <is>
        <t>2. 11</t>
      </is>
    </oc>
    <nc r="B197">
      <v>11</v>
    </nc>
  </rcc>
  <rcc rId="10293" sId="2">
    <oc r="B199" t="inlineStr">
      <is>
        <t>2. 11</t>
      </is>
    </oc>
    <nc r="B199">
      <v>11</v>
    </nc>
  </rcc>
  <rcc rId="10294" sId="2">
    <oc r="B202" t="inlineStr">
      <is>
        <t>2. 11</t>
      </is>
    </oc>
    <nc r="B202">
      <v>11</v>
    </nc>
  </rcc>
  <rcc rId="10295" sId="2">
    <oc r="B203" t="inlineStr">
      <is>
        <t>2. 11</t>
      </is>
    </oc>
    <nc r="B203">
      <v>11</v>
    </nc>
  </rcc>
  <rcc rId="10296" sId="2">
    <oc r="B205" t="inlineStr">
      <is>
        <t>2. 11</t>
      </is>
    </oc>
    <nc r="B205">
      <v>11</v>
    </nc>
  </rcc>
  <rcc rId="10297" sId="2">
    <oc r="B206" t="inlineStr">
      <is>
        <t>2. 11</t>
      </is>
    </oc>
    <nc r="B206">
      <v>11</v>
    </nc>
  </rcc>
  <rcc rId="10298" sId="2">
    <oc r="B211" t="inlineStr">
      <is>
        <t>2. 11</t>
      </is>
    </oc>
    <nc r="B211">
      <v>11</v>
    </nc>
  </rcc>
  <rcc rId="10299" sId="2">
    <oc r="B212" t="inlineStr">
      <is>
        <t>2. 11</t>
      </is>
    </oc>
    <nc r="B212">
      <v>11</v>
    </nc>
  </rcc>
  <rcc rId="10300" sId="2">
    <oc r="B214" t="inlineStr">
      <is>
        <t>2. 11</t>
      </is>
    </oc>
    <nc r="B214">
      <v>11</v>
    </nc>
  </rcc>
  <rcc rId="10301" sId="2">
    <oc r="B215" t="inlineStr">
      <is>
        <t>2. 11</t>
      </is>
    </oc>
    <nc r="B215">
      <v>11</v>
    </nc>
  </rcc>
  <rcc rId="10302" sId="2">
    <oc r="B216" t="inlineStr">
      <is>
        <t>2. 11</t>
      </is>
    </oc>
    <nc r="B216">
      <v>11</v>
    </nc>
  </rcc>
  <rcc rId="10303" sId="2">
    <oc r="B217" t="inlineStr">
      <is>
        <t>2. 11</t>
      </is>
    </oc>
    <nc r="B217">
      <v>11</v>
    </nc>
  </rcc>
  <rcc rId="10304" sId="2">
    <oc r="B218" t="inlineStr">
      <is>
        <t>2. 11</t>
      </is>
    </oc>
    <nc r="B218">
      <v>11</v>
    </nc>
  </rcc>
  <rcc rId="10305" sId="2">
    <oc r="B219" t="inlineStr">
      <is>
        <t>2. 11</t>
      </is>
    </oc>
    <nc r="B219">
      <v>11</v>
    </nc>
  </rcc>
  <rcc rId="10306" sId="2">
    <oc r="B221" t="inlineStr">
      <is>
        <t>2. 11</t>
      </is>
    </oc>
    <nc r="B221">
      <v>11</v>
    </nc>
  </rcc>
  <rcc rId="10307" sId="2">
    <oc r="B222" t="inlineStr">
      <is>
        <t>2. 11</t>
      </is>
    </oc>
    <nc r="B222">
      <v>11</v>
    </nc>
  </rcc>
  <rcc rId="10308" sId="2">
    <oc r="B223" t="inlineStr">
      <is>
        <t>2. 11</t>
      </is>
    </oc>
    <nc r="B223">
      <v>11</v>
    </nc>
  </rcc>
  <rcc rId="10309" sId="2">
    <oc r="B225" t="inlineStr">
      <is>
        <t>2. 11</t>
      </is>
    </oc>
    <nc r="B225">
      <v>11</v>
    </nc>
  </rcc>
  <rcc rId="10310" sId="2">
    <oc r="B226" t="inlineStr">
      <is>
        <t>2. 11</t>
      </is>
    </oc>
    <nc r="B226">
      <v>11</v>
    </nc>
  </rcc>
  <rcc rId="10311" sId="2">
    <oc r="B231" t="inlineStr">
      <is>
        <t>2. 11</t>
      </is>
    </oc>
    <nc r="B231">
      <v>11</v>
    </nc>
  </rcc>
  <rcc rId="10312" sId="2">
    <oc r="B232" t="inlineStr">
      <is>
        <t>2. 11</t>
      </is>
    </oc>
    <nc r="B232">
      <v>11</v>
    </nc>
  </rcc>
  <rcc rId="10313" sId="2">
    <oc r="B233" t="inlineStr">
      <is>
        <t>2. 11</t>
      </is>
    </oc>
    <nc r="B233">
      <v>11</v>
    </nc>
  </rcc>
  <rcc rId="10314" sId="2">
    <oc r="B234" t="inlineStr">
      <is>
        <t>2. 11</t>
      </is>
    </oc>
    <nc r="B234">
      <v>11</v>
    </nc>
  </rcc>
  <rcc rId="10315" sId="2">
    <oc r="B235" t="inlineStr">
      <is>
        <t>2. 11</t>
      </is>
    </oc>
    <nc r="B235">
      <v>11</v>
    </nc>
  </rcc>
  <rcc rId="10316" sId="2">
    <oc r="B239" t="inlineStr">
      <is>
        <t>2. 11</t>
      </is>
    </oc>
    <nc r="B239">
      <v>11</v>
    </nc>
  </rcc>
  <rcc rId="10317" sId="2">
    <oc r="B241" t="inlineStr">
      <is>
        <t>2. 11</t>
      </is>
    </oc>
    <nc r="B241">
      <v>11</v>
    </nc>
  </rcc>
  <rcc rId="10318" sId="2">
    <oc r="B246" t="inlineStr">
      <is>
        <t>2. 11</t>
      </is>
    </oc>
    <nc r="B246">
      <v>11</v>
    </nc>
  </rcc>
  <rrc rId="10319" sId="2" ref="C1:C1048576" action="deleteCol">
    <rfmt sheetId="2" xfDxf="1" sqref="C1:C1048576" start="0" length="0">
      <dxf>
        <alignment horizontal="left"/>
      </dxf>
    </rfmt>
    <rcc rId="0" sId="2">
      <nc r="C1" t="inlineStr">
        <is>
          <t>nest2</t>
        </is>
      </nc>
    </rcc>
  </rrc>
  <rcc rId="10320" sId="2" numFmtId="19">
    <oc r="F2">
      <v>36526</v>
    </oc>
    <nc r="F2" t="inlineStr">
      <is>
        <t>NA</t>
      </is>
    </nc>
  </rcc>
</revisions>
</file>

<file path=xl/revisions/revisionLog7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0321" sId="2" ref="A2:XFD2" action="deleteRow" edge="1">
    <rfmt sheetId="2" xfDxf="1" sqref="A2:XFD2" start="0" length="0">
      <dxf>
        <alignment horizontal="left"/>
      </dxf>
    </rfmt>
    <rcc rId="0" sId="2">
      <nc r="A2">
        <v>2</v>
      </nc>
    </rcc>
    <rcc rId="0" sId="2">
      <nc r="B2">
        <v>1</v>
      </nc>
    </rcc>
    <rcc rId="0" sId="2">
      <nc r="C2" t="inlineStr">
        <is>
          <t>vertical</t>
        </is>
      </nc>
    </rcc>
    <rcc rId="0" sId="2">
      <nc r="D2" t="inlineStr">
        <is>
          <t>NA</t>
        </is>
      </nc>
    </rcc>
    <rcc rId="0" sId="2">
      <nc r="E2" t="inlineStr">
        <is>
          <t>NA</t>
        </is>
      </nc>
    </rcc>
    <rcc rId="0" sId="2" dxf="1">
      <nc r="F2" t="inlineStr">
        <is>
          <t>NA</t>
        </is>
      </nc>
      <ndxf>
        <numFmt numFmtId="19" formatCode="yyyy/mm/dd"/>
      </ndxf>
    </rcc>
    <rcc rId="0" sId="2">
      <nc r="G2" t="inlineStr">
        <is>
          <t>NA</t>
        </is>
      </nc>
    </rcc>
    <rcc rId="0" sId="2">
      <nc r="H2" t="inlineStr">
        <is>
          <t>NA</t>
        </is>
      </nc>
    </rcc>
    <rcc rId="0" sId="2">
      <nc r="I2" t="inlineStr">
        <is>
          <t>NA</t>
        </is>
      </nc>
    </rcc>
    <rcc rId="0" sId="2">
      <nc r="J2" t="inlineStr">
        <is>
          <t>NA</t>
        </is>
      </nc>
    </rcc>
    <rcc rId="0" sId="2">
      <nc r="K2" t="inlineStr">
        <is>
          <t>NA</t>
        </is>
      </nc>
    </rcc>
    <rcc rId="0" sId="2">
      <nc r="L2" t="inlineStr">
        <is>
          <t>NA</t>
        </is>
      </nc>
    </rcc>
    <rcc rId="0" sId="2">
      <nc r="M2" t="inlineStr">
        <is>
          <t>NA</t>
        </is>
      </nc>
    </rcc>
    <rcc rId="0" sId="2">
      <nc r="N2" t="inlineStr">
        <is>
          <t>NA</t>
        </is>
      </nc>
    </rcc>
    <rcc rId="0" sId="2">
      <nc r="O2" t="inlineStr">
        <is>
          <t>NA</t>
        </is>
      </nc>
    </rcc>
    <rcc rId="0" sId="2">
      <nc r="P2">
        <v>90</v>
      </nc>
    </rcc>
    <rcc rId="0" sId="2">
      <nc r="Q2">
        <v>90</v>
      </nc>
    </rcc>
    <rcc rId="0" sId="2">
      <nc r="T2" t="inlineStr">
        <is>
          <t>NA</t>
        </is>
      </nc>
    </rcc>
    <rcc rId="0" sId="2">
      <nc r="V2" t="inlineStr">
        <is>
          <t xml:space="preserve">This nest I didn’t write down the details, but I think it had two flights levaing and returning with the vertical pattern in the right arm and the first position when I first inserted it into maze. </t>
        </is>
      </nc>
    </rcc>
  </rrc>
</revisions>
</file>

<file path=xl/revisions/revisionLog7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22" sId="1">
    <oc r="B3" t="inlineStr">
      <is>
        <t>1.1</t>
      </is>
    </oc>
    <nc r="B3">
      <v>1</v>
    </nc>
  </rcc>
  <rcc rId="10323" sId="1">
    <oc r="B2">
      <v>1.2</v>
    </oc>
    <nc r="B2">
      <v>2</v>
    </nc>
  </rcc>
  <rcc rId="10324" sId="1">
    <oc r="B4" t="inlineStr">
      <is>
        <t>1.2</t>
      </is>
    </oc>
    <nc r="B4">
      <v>2</v>
    </nc>
  </rcc>
  <rcc rId="10325" sId="1">
    <oc r="B5" t="inlineStr">
      <is>
        <t>1.2</t>
      </is>
    </oc>
    <nc r="B5">
      <v>2</v>
    </nc>
  </rcc>
  <rcc rId="10326" sId="1">
    <oc r="B6" t="inlineStr">
      <is>
        <t>1.2</t>
      </is>
    </oc>
    <nc r="B6">
      <v>2</v>
    </nc>
  </rcc>
  <rcc rId="10327" sId="1">
    <oc r="B7" t="inlineStr">
      <is>
        <t>1.2</t>
      </is>
    </oc>
    <nc r="B7">
      <v>2</v>
    </nc>
  </rcc>
  <rcc rId="10328" sId="1">
    <oc r="B8" t="inlineStr">
      <is>
        <t>1.2</t>
      </is>
    </oc>
    <nc r="B8">
      <v>2</v>
    </nc>
  </rcc>
  <rcc rId="10329" sId="1">
    <oc r="B9" t="inlineStr">
      <is>
        <t>1.2</t>
      </is>
    </oc>
    <nc r="B9">
      <v>2</v>
    </nc>
  </rcc>
  <rcc rId="10330" sId="1">
    <oc r="B10" t="inlineStr">
      <is>
        <t>1.2</t>
      </is>
    </oc>
    <nc r="B10">
      <v>2</v>
    </nc>
  </rcc>
  <rcc rId="10331" sId="1">
    <oc r="B11" t="inlineStr">
      <is>
        <t>1.2</t>
      </is>
    </oc>
    <nc r="B11">
      <v>2</v>
    </nc>
  </rcc>
  <rcc rId="10332" sId="1">
    <oc r="B12" t="inlineStr">
      <is>
        <t>1.2</t>
      </is>
    </oc>
    <nc r="B12">
      <v>2</v>
    </nc>
  </rcc>
  <rcc rId="10333" sId="1">
    <oc r="B13" t="inlineStr">
      <is>
        <t>1.2</t>
      </is>
    </oc>
    <nc r="B13">
      <v>2</v>
    </nc>
  </rcc>
  <rcc rId="10334" sId="1">
    <oc r="B14" t="inlineStr">
      <is>
        <t>1.2</t>
      </is>
    </oc>
    <nc r="B14">
      <v>2</v>
    </nc>
  </rcc>
  <rcc rId="10335" sId="1">
    <oc r="B15" t="inlineStr">
      <is>
        <t>1.2</t>
      </is>
    </oc>
    <nc r="B15">
      <v>2</v>
    </nc>
  </rcc>
  <rcc rId="10336" sId="1">
    <oc r="B16" t="inlineStr">
      <is>
        <t>1.2</t>
      </is>
    </oc>
    <nc r="B16">
      <v>2</v>
    </nc>
  </rcc>
  <rcc rId="10337" sId="1">
    <oc r="B17" t="inlineStr">
      <is>
        <t>1.2</t>
      </is>
    </oc>
    <nc r="B17">
      <v>2</v>
    </nc>
  </rcc>
  <rcc rId="10338" sId="1">
    <oc r="B18" t="inlineStr">
      <is>
        <t>1.2</t>
      </is>
    </oc>
    <nc r="B18">
      <v>2</v>
    </nc>
  </rcc>
  <rcc rId="10339" sId="1">
    <oc r="B19" t="inlineStr">
      <is>
        <t>1.2</t>
      </is>
    </oc>
    <nc r="B19">
      <v>2</v>
    </nc>
  </rcc>
  <rcc rId="10340" sId="1">
    <oc r="B20" t="inlineStr">
      <is>
        <t>1.2</t>
      </is>
    </oc>
    <nc r="B20">
      <v>2</v>
    </nc>
  </rcc>
  <rcc rId="10341" sId="1">
    <oc r="B21" t="inlineStr">
      <is>
        <t>1.2</t>
      </is>
    </oc>
    <nc r="B21">
      <v>2</v>
    </nc>
  </rcc>
  <rcc rId="10342" sId="1">
    <oc r="B22" t="inlineStr">
      <is>
        <t>1.2</t>
      </is>
    </oc>
    <nc r="B22">
      <v>2</v>
    </nc>
  </rcc>
  <rcc rId="10343" sId="1">
    <oc r="B23" t="inlineStr">
      <is>
        <t>1.2</t>
      </is>
    </oc>
    <nc r="B23">
      <v>2</v>
    </nc>
  </rcc>
  <rcc rId="10344" sId="1">
    <oc r="B24" t="inlineStr">
      <is>
        <t>1.2</t>
      </is>
    </oc>
    <nc r="B24">
      <v>2</v>
    </nc>
  </rcc>
  <rcc rId="10345" sId="1">
    <oc r="B25" t="inlineStr">
      <is>
        <t>1.2</t>
      </is>
    </oc>
    <nc r="B25">
      <v>2</v>
    </nc>
  </rcc>
  <rcc rId="10346" sId="1">
    <oc r="B26" t="inlineStr">
      <is>
        <t>1.2</t>
      </is>
    </oc>
    <nc r="B26">
      <v>2</v>
    </nc>
  </rcc>
  <rcc rId="10347" sId="1">
    <oc r="B27" t="inlineStr">
      <is>
        <t>1.2</t>
      </is>
    </oc>
    <nc r="B27">
      <v>2</v>
    </nc>
  </rcc>
  <rcc rId="10348" sId="1">
    <oc r="B28" t="inlineStr">
      <is>
        <t>1.2</t>
      </is>
    </oc>
    <nc r="B28">
      <v>2</v>
    </nc>
  </rcc>
  <rcc rId="10349" sId="1">
    <oc r="B29" t="inlineStr">
      <is>
        <t>1.2</t>
      </is>
    </oc>
    <nc r="B29">
      <v>2</v>
    </nc>
  </rcc>
  <rcc rId="10350" sId="1">
    <oc r="B30" t="inlineStr">
      <is>
        <t>1.2</t>
      </is>
    </oc>
    <nc r="B30">
      <v>2</v>
    </nc>
  </rcc>
  <rcc rId="10351" sId="1">
    <oc r="B31" t="inlineStr">
      <is>
        <t>1.2</t>
      </is>
    </oc>
    <nc r="B31">
      <v>2</v>
    </nc>
  </rcc>
  <rcc rId="10352" sId="1">
    <oc r="B32" t="inlineStr">
      <is>
        <t>1.2</t>
      </is>
    </oc>
    <nc r="B32">
      <v>2</v>
    </nc>
  </rcc>
  <rcc rId="10353" sId="1">
    <oc r="B33" t="inlineStr">
      <is>
        <t>1.2</t>
      </is>
    </oc>
    <nc r="B33">
      <v>2</v>
    </nc>
  </rcc>
  <rcc rId="10354" sId="1">
    <oc r="B34" t="inlineStr">
      <is>
        <t>1.2</t>
      </is>
    </oc>
    <nc r="B34">
      <v>2</v>
    </nc>
  </rcc>
  <rcc rId="10355" sId="1">
    <oc r="B35" t="inlineStr">
      <is>
        <t>1.2</t>
      </is>
    </oc>
    <nc r="B35">
      <v>2</v>
    </nc>
  </rcc>
  <rcc rId="10356" sId="1">
    <oc r="B36" t="inlineStr">
      <is>
        <t>1.2</t>
      </is>
    </oc>
    <nc r="B36">
      <v>2</v>
    </nc>
  </rcc>
  <rcc rId="10357" sId="1">
    <oc r="B37" t="inlineStr">
      <is>
        <t>1.2</t>
      </is>
    </oc>
    <nc r="B37">
      <v>2</v>
    </nc>
  </rcc>
  <rcc rId="10358" sId="1">
    <oc r="B38" t="inlineStr">
      <is>
        <t>1.2</t>
      </is>
    </oc>
    <nc r="B38">
      <v>2</v>
    </nc>
  </rcc>
  <rcc rId="10359" sId="1">
    <oc r="B39" t="inlineStr">
      <is>
        <t>1.2</t>
      </is>
    </oc>
    <nc r="B39">
      <v>2</v>
    </nc>
  </rcc>
  <rcc rId="10360" sId="1">
    <oc r="B40" t="inlineStr">
      <is>
        <t>1.2</t>
      </is>
    </oc>
    <nc r="B40">
      <v>2</v>
    </nc>
  </rcc>
  <rcc rId="10361" sId="1">
    <oc r="B41" t="inlineStr">
      <is>
        <t>1.2</t>
      </is>
    </oc>
    <nc r="B41">
      <v>2</v>
    </nc>
  </rcc>
  <rcc rId="10362" sId="1">
    <oc r="B42" t="inlineStr">
      <is>
        <t>1.2</t>
      </is>
    </oc>
    <nc r="B42">
      <v>2</v>
    </nc>
  </rcc>
  <rcc rId="10363" sId="1">
    <oc r="B43" t="inlineStr">
      <is>
        <t>1.2</t>
      </is>
    </oc>
    <nc r="B43">
      <v>2</v>
    </nc>
  </rcc>
  <rcc rId="10364" sId="1">
    <oc r="B44" t="inlineStr">
      <is>
        <t>1.2</t>
      </is>
    </oc>
    <nc r="B44">
      <v>2</v>
    </nc>
  </rcc>
  <rcc rId="10365" sId="1">
    <oc r="B45" t="inlineStr">
      <is>
        <t>1.2</t>
      </is>
    </oc>
    <nc r="B45">
      <v>2</v>
    </nc>
  </rcc>
  <rcc rId="10366" sId="1">
    <oc r="B46" t="inlineStr">
      <is>
        <t>1.2</t>
      </is>
    </oc>
    <nc r="B46">
      <v>2</v>
    </nc>
  </rcc>
  <rcc rId="10367" sId="1">
    <oc r="B47" t="inlineStr">
      <is>
        <t>1.2</t>
      </is>
    </oc>
    <nc r="B47">
      <v>2</v>
    </nc>
  </rcc>
  <rcc rId="10368" sId="1">
    <oc r="B48" t="inlineStr">
      <is>
        <t>1.2</t>
      </is>
    </oc>
    <nc r="B48">
      <v>2</v>
    </nc>
  </rcc>
  <rcc rId="10369" sId="1">
    <oc r="B49" t="inlineStr">
      <is>
        <t>1.2</t>
      </is>
    </oc>
    <nc r="B49">
      <v>2</v>
    </nc>
  </rcc>
  <rcc rId="10370" sId="1">
    <oc r="B50" t="inlineStr">
      <is>
        <t>1.2</t>
      </is>
    </oc>
    <nc r="B50">
      <v>2</v>
    </nc>
  </rcc>
  <rcc rId="10371" sId="1">
    <oc r="B51" t="inlineStr">
      <is>
        <t>1.2</t>
      </is>
    </oc>
    <nc r="B51">
      <v>2</v>
    </nc>
  </rcc>
  <rcc rId="10372" sId="1">
    <oc r="B52" t="inlineStr">
      <is>
        <t>1.2</t>
      </is>
    </oc>
    <nc r="B52">
      <v>2</v>
    </nc>
  </rcc>
  <rcc rId="10373" sId="1">
    <oc r="B53" t="inlineStr">
      <is>
        <t>1.2</t>
      </is>
    </oc>
    <nc r="B53">
      <v>2</v>
    </nc>
  </rcc>
  <rcc rId="10374" sId="1">
    <oc r="B54" t="inlineStr">
      <is>
        <t>1.2</t>
      </is>
    </oc>
    <nc r="B54">
      <v>2</v>
    </nc>
  </rcc>
  <rcc rId="10375" sId="1">
    <oc r="B55" t="inlineStr">
      <is>
        <t>1.2</t>
      </is>
    </oc>
    <nc r="B55">
      <v>2</v>
    </nc>
  </rcc>
  <rcc rId="10376" sId="1">
    <oc r="B56" t="inlineStr">
      <is>
        <t>1.2</t>
      </is>
    </oc>
    <nc r="B56">
      <v>2</v>
    </nc>
  </rcc>
  <rcc rId="10377" sId="1">
    <oc r="B57" t="inlineStr">
      <is>
        <t>1.2</t>
      </is>
    </oc>
    <nc r="B57">
      <v>2</v>
    </nc>
  </rcc>
  <rcc rId="10378" sId="1">
    <oc r="B58" t="inlineStr">
      <is>
        <t>1.2</t>
      </is>
    </oc>
    <nc r="B58">
      <v>2</v>
    </nc>
  </rcc>
  <rcc rId="10379" sId="1">
    <oc r="B59" t="inlineStr">
      <is>
        <t>1.2</t>
      </is>
    </oc>
    <nc r="B59">
      <v>2</v>
    </nc>
  </rcc>
  <rcc rId="10380" sId="1">
    <oc r="B60" t="inlineStr">
      <is>
        <t>1.2</t>
      </is>
    </oc>
    <nc r="B60">
      <v>2</v>
    </nc>
  </rcc>
  <rcc rId="10381" sId="1">
    <oc r="B61" t="inlineStr">
      <is>
        <t>1.2</t>
      </is>
    </oc>
    <nc r="B61">
      <v>2</v>
    </nc>
  </rcc>
  <rcc rId="10382" sId="1">
    <oc r="B62" t="inlineStr">
      <is>
        <t>1.2</t>
      </is>
    </oc>
    <nc r="B62">
      <v>2</v>
    </nc>
  </rcc>
  <rcc rId="10383" sId="1">
    <oc r="B63" t="inlineStr">
      <is>
        <t>1.2</t>
      </is>
    </oc>
    <nc r="B63">
      <v>2</v>
    </nc>
  </rcc>
  <rcc rId="10384" sId="1">
    <oc r="B64" t="inlineStr">
      <is>
        <t>1.2</t>
      </is>
    </oc>
    <nc r="B64">
      <v>2</v>
    </nc>
  </rcc>
  <rcc rId="10385" sId="1">
    <oc r="B65" t="inlineStr">
      <is>
        <t>1.2</t>
      </is>
    </oc>
    <nc r="B65">
      <v>2</v>
    </nc>
  </rcc>
  <rcc rId="10386" sId="1">
    <oc r="B66" t="inlineStr">
      <is>
        <t>1.2</t>
      </is>
    </oc>
    <nc r="B66">
      <v>2</v>
    </nc>
  </rcc>
  <rcc rId="10387" sId="1">
    <oc r="B67" t="inlineStr">
      <is>
        <t>1.2</t>
      </is>
    </oc>
    <nc r="B67">
      <v>2</v>
    </nc>
  </rcc>
  <rcc rId="10388" sId="1">
    <oc r="B68" t="inlineStr">
      <is>
        <t>1.2</t>
      </is>
    </oc>
    <nc r="B68">
      <v>2</v>
    </nc>
  </rcc>
  <rcc rId="10389" sId="1">
    <oc r="B69" t="inlineStr">
      <is>
        <t>1.2</t>
      </is>
    </oc>
    <nc r="B69">
      <v>2</v>
    </nc>
  </rcc>
  <rcc rId="10390" sId="1">
    <oc r="B70" t="inlineStr">
      <is>
        <t>1.2</t>
      </is>
    </oc>
    <nc r="B70">
      <v>2</v>
    </nc>
  </rcc>
  <rcc rId="10391" sId="1">
    <oc r="B71" t="inlineStr">
      <is>
        <t>1.2</t>
      </is>
    </oc>
    <nc r="B71">
      <v>2</v>
    </nc>
  </rcc>
  <rcc rId="10392" sId="1">
    <oc r="B72" t="inlineStr">
      <is>
        <t>1.2</t>
      </is>
    </oc>
    <nc r="B72">
      <v>2</v>
    </nc>
  </rcc>
  <rcc rId="10393" sId="1">
    <oc r="B73" t="inlineStr">
      <is>
        <t>1.2</t>
      </is>
    </oc>
    <nc r="B73">
      <v>2</v>
    </nc>
  </rcc>
  <rcc rId="10394" sId="1">
    <oc r="B74" t="inlineStr">
      <is>
        <t>1.2</t>
      </is>
    </oc>
    <nc r="B74">
      <v>2</v>
    </nc>
  </rcc>
  <rcc rId="10395" sId="1">
    <oc r="B75" t="inlineStr">
      <is>
        <t>1.2</t>
      </is>
    </oc>
    <nc r="B75">
      <v>2</v>
    </nc>
  </rcc>
  <rcc rId="10396" sId="1">
    <oc r="B76" t="inlineStr">
      <is>
        <t>1.2</t>
      </is>
    </oc>
    <nc r="B76">
      <v>2</v>
    </nc>
  </rcc>
  <rcc rId="10397" sId="1">
    <oc r="B77" t="inlineStr">
      <is>
        <t>1.2</t>
      </is>
    </oc>
    <nc r="B77">
      <v>2</v>
    </nc>
  </rcc>
  <rcc rId="10398" sId="1">
    <oc r="B78" t="inlineStr">
      <is>
        <t>1.2</t>
      </is>
    </oc>
    <nc r="B78">
      <v>2</v>
    </nc>
  </rcc>
  <rcc rId="10399" sId="1">
    <oc r="B79" t="inlineStr">
      <is>
        <t>1.2</t>
      </is>
    </oc>
    <nc r="B79">
      <v>2</v>
    </nc>
  </rcc>
  <rcc rId="10400" sId="1">
    <oc r="B80" t="inlineStr">
      <is>
        <t>1.2</t>
      </is>
    </oc>
    <nc r="B80">
      <v>2</v>
    </nc>
  </rcc>
  <rcc rId="10401" sId="1">
    <oc r="B81" t="inlineStr">
      <is>
        <t>1.2</t>
      </is>
    </oc>
    <nc r="B81">
      <v>2</v>
    </nc>
  </rcc>
  <rcc rId="10402" sId="1">
    <oc r="B82" t="inlineStr">
      <is>
        <t>1.2</t>
      </is>
    </oc>
    <nc r="B82">
      <v>2</v>
    </nc>
  </rcc>
  <rcc rId="10403" sId="1">
    <oc r="B83" t="inlineStr">
      <is>
        <t>1.2</t>
      </is>
    </oc>
    <nc r="B83">
      <v>2</v>
    </nc>
  </rcc>
  <rcc rId="10404" sId="1">
    <oc r="B84" t="inlineStr">
      <is>
        <t>1.2</t>
      </is>
    </oc>
    <nc r="B84">
      <v>2</v>
    </nc>
  </rcc>
  <rcc rId="10405" sId="1">
    <oc r="B85" t="inlineStr">
      <is>
        <t>1.2</t>
      </is>
    </oc>
    <nc r="B85">
      <v>2</v>
    </nc>
  </rcc>
  <rcc rId="10406" sId="1">
    <oc r="B86" t="inlineStr">
      <is>
        <t>1.2</t>
      </is>
    </oc>
    <nc r="B86">
      <v>2</v>
    </nc>
  </rcc>
  <rcc rId="10407" sId="1">
    <oc r="B87" t="inlineStr">
      <is>
        <t>1.2</t>
      </is>
    </oc>
    <nc r="B87">
      <v>2</v>
    </nc>
  </rcc>
  <rcc rId="10408" sId="1">
    <oc r="B88" t="inlineStr">
      <is>
        <t>1.2</t>
      </is>
    </oc>
    <nc r="B88">
      <v>2</v>
    </nc>
  </rcc>
  <rcc rId="10409" sId="1">
    <oc r="B89" t="inlineStr">
      <is>
        <t>1.2</t>
      </is>
    </oc>
    <nc r="B89">
      <v>2</v>
    </nc>
  </rcc>
  <rcc rId="10410" sId="1">
    <oc r="B90" t="inlineStr">
      <is>
        <t>1.2</t>
      </is>
    </oc>
    <nc r="B90">
      <v>2</v>
    </nc>
  </rcc>
  <rcc rId="10411" sId="1">
    <oc r="B91" t="inlineStr">
      <is>
        <t>1.2</t>
      </is>
    </oc>
    <nc r="B91">
      <v>2</v>
    </nc>
  </rcc>
  <rcc rId="10412" sId="1">
    <oc r="B92" t="inlineStr">
      <is>
        <t>1.2</t>
      </is>
    </oc>
    <nc r="B92">
      <v>2</v>
    </nc>
  </rcc>
  <rcc rId="10413" sId="1">
    <oc r="B93" t="inlineStr">
      <is>
        <t>1.2</t>
      </is>
    </oc>
    <nc r="B93">
      <v>2</v>
    </nc>
  </rcc>
  <rcc rId="10414" sId="1">
    <oc r="B94" t="inlineStr">
      <is>
        <t>1.2</t>
      </is>
    </oc>
    <nc r="B94">
      <v>2</v>
    </nc>
  </rcc>
  <rcc rId="10415" sId="1">
    <oc r="B95" t="inlineStr">
      <is>
        <t>1.2</t>
      </is>
    </oc>
    <nc r="B95">
      <v>2</v>
    </nc>
  </rcc>
  <rcc rId="10416" sId="1">
    <oc r="B96" t="inlineStr">
      <is>
        <t>1.2</t>
      </is>
    </oc>
    <nc r="B96">
      <v>2</v>
    </nc>
  </rcc>
  <rcc rId="10417" sId="1">
    <oc r="B97" t="inlineStr">
      <is>
        <t>1.2</t>
      </is>
    </oc>
    <nc r="B97">
      <v>2</v>
    </nc>
  </rcc>
  <rcc rId="10418" sId="1">
    <oc r="B98" t="inlineStr">
      <is>
        <t>1.2</t>
      </is>
    </oc>
    <nc r="B98">
      <v>2</v>
    </nc>
  </rcc>
  <rcc rId="10419" sId="1">
    <oc r="B99" t="inlineStr">
      <is>
        <t>1.2</t>
      </is>
    </oc>
    <nc r="B99">
      <v>2</v>
    </nc>
  </rcc>
  <rcc rId="10420" sId="1">
    <oc r="B100" t="inlineStr">
      <is>
        <t>1.2</t>
      </is>
    </oc>
    <nc r="B100">
      <v>2</v>
    </nc>
  </rcc>
  <rcc rId="10421" sId="1">
    <oc r="B101" t="inlineStr">
      <is>
        <t>1.2</t>
      </is>
    </oc>
    <nc r="B101">
      <v>2</v>
    </nc>
  </rcc>
  <rcc rId="10422" sId="1">
    <oc r="B102" t="inlineStr">
      <is>
        <t>1.2</t>
      </is>
    </oc>
    <nc r="B102">
      <v>2</v>
    </nc>
  </rcc>
  <rcc rId="10423" sId="1">
    <oc r="B103" t="inlineStr">
      <is>
        <t>1.2</t>
      </is>
    </oc>
    <nc r="B103">
      <v>2</v>
    </nc>
  </rcc>
  <rcc rId="10424" sId="1">
    <oc r="B104" t="inlineStr">
      <is>
        <t>1.2</t>
      </is>
    </oc>
    <nc r="B104">
      <v>2</v>
    </nc>
  </rcc>
  <rcc rId="10425" sId="1">
    <oc r="B105" t="inlineStr">
      <is>
        <t>1.2</t>
      </is>
    </oc>
    <nc r="B105">
      <v>2</v>
    </nc>
  </rcc>
  <rcc rId="10426" sId="1">
    <oc r="B106" t="inlineStr">
      <is>
        <t>1.2</t>
      </is>
    </oc>
    <nc r="B106">
      <v>2</v>
    </nc>
  </rcc>
  <rcc rId="10427" sId="1">
    <oc r="B107" t="inlineStr">
      <is>
        <t>1.2</t>
      </is>
    </oc>
    <nc r="B107">
      <v>2</v>
    </nc>
  </rcc>
  <rcc rId="10428" sId="1">
    <oc r="B108" t="inlineStr">
      <is>
        <t>1.2</t>
      </is>
    </oc>
    <nc r="B108">
      <v>2</v>
    </nc>
  </rcc>
  <rcc rId="10429" sId="1">
    <oc r="B109" t="inlineStr">
      <is>
        <t>1.2</t>
      </is>
    </oc>
    <nc r="B109">
      <v>2</v>
    </nc>
  </rcc>
  <rcc rId="10430" sId="1">
    <oc r="B110" t="inlineStr">
      <is>
        <t>1.2</t>
      </is>
    </oc>
    <nc r="B110">
      <v>2</v>
    </nc>
  </rcc>
  <rcc rId="10431" sId="1">
    <oc r="B111" t="inlineStr">
      <is>
        <t>1.2</t>
      </is>
    </oc>
    <nc r="B111">
      <v>2</v>
    </nc>
  </rcc>
  <rcc rId="10432" sId="1">
    <oc r="B112" t="inlineStr">
      <is>
        <t>1.2</t>
      </is>
    </oc>
    <nc r="B112">
      <v>2</v>
    </nc>
  </rcc>
  <rcc rId="10433" sId="1">
    <oc r="B113" t="inlineStr">
      <is>
        <t>1.2</t>
      </is>
    </oc>
    <nc r="B113">
      <v>2</v>
    </nc>
  </rcc>
  <rcc rId="10434" sId="1">
    <oc r="B114" t="inlineStr">
      <is>
        <t>1.2</t>
      </is>
    </oc>
    <nc r="B114">
      <v>2</v>
    </nc>
  </rcc>
  <rcc rId="10435" sId="1">
    <oc r="B115" t="inlineStr">
      <is>
        <t>1.2</t>
      </is>
    </oc>
    <nc r="B115">
      <v>2</v>
    </nc>
  </rcc>
  <rcc rId="10436" sId="1">
    <oc r="B116" t="inlineStr">
      <is>
        <t>1.2</t>
      </is>
    </oc>
    <nc r="B116">
      <v>2</v>
    </nc>
  </rcc>
  <rcc rId="10437" sId="1">
    <oc r="B117" t="inlineStr">
      <is>
        <t>1.2</t>
      </is>
    </oc>
    <nc r="B117">
      <v>2</v>
    </nc>
  </rcc>
  <rcc rId="10438" sId="1">
    <oc r="B118" t="inlineStr">
      <is>
        <t>1.2</t>
      </is>
    </oc>
    <nc r="B118">
      <v>2</v>
    </nc>
  </rcc>
  <rcc rId="10439" sId="1">
    <oc r="B119" t="inlineStr">
      <is>
        <t>1.2</t>
      </is>
    </oc>
    <nc r="B119">
      <v>2</v>
    </nc>
  </rcc>
  <rcc rId="10440" sId="1">
    <oc r="B120" t="inlineStr">
      <is>
        <t>1.2</t>
      </is>
    </oc>
    <nc r="B120">
      <v>2</v>
    </nc>
  </rcc>
  <rcc rId="10441" sId="1">
    <oc r="B121" t="inlineStr">
      <is>
        <t>1.2</t>
      </is>
    </oc>
    <nc r="B121">
      <v>2</v>
    </nc>
  </rcc>
  <rcc rId="10442" sId="1">
    <oc r="B122" t="inlineStr">
      <is>
        <t>1.2</t>
      </is>
    </oc>
    <nc r="B122">
      <v>2</v>
    </nc>
  </rcc>
  <rcc rId="10443" sId="1">
    <oc r="B123" t="inlineStr">
      <is>
        <t>1.2</t>
      </is>
    </oc>
    <nc r="B123">
      <v>2</v>
    </nc>
  </rcc>
  <rcc rId="10444" sId="1">
    <oc r="B124" t="inlineStr">
      <is>
        <t>1.2</t>
      </is>
    </oc>
    <nc r="B124">
      <v>2</v>
    </nc>
  </rcc>
  <rcc rId="10445" sId="1">
    <oc r="B125" t="inlineStr">
      <is>
        <t>1.2</t>
      </is>
    </oc>
    <nc r="B125">
      <v>2</v>
    </nc>
  </rcc>
  <rcc rId="10446" sId="1">
    <oc r="B126" t="inlineStr">
      <is>
        <t>1.2</t>
      </is>
    </oc>
    <nc r="B126">
      <v>2</v>
    </nc>
  </rcc>
  <rcc rId="10447" sId="1">
    <oc r="B127" t="inlineStr">
      <is>
        <t>1.2</t>
      </is>
    </oc>
    <nc r="B127">
      <v>2</v>
    </nc>
  </rcc>
  <rcc rId="10448" sId="1">
    <oc r="B128" t="inlineStr">
      <is>
        <t>1.2</t>
      </is>
    </oc>
    <nc r="B128">
      <v>2</v>
    </nc>
  </rcc>
  <rcc rId="10449" sId="1">
    <oc r="B129" t="inlineStr">
      <is>
        <t>1.2</t>
      </is>
    </oc>
    <nc r="B129">
      <v>2</v>
    </nc>
  </rcc>
  <rcc rId="10450" sId="1">
    <oc r="B130" t="inlineStr">
      <is>
        <t>1.2</t>
      </is>
    </oc>
    <nc r="B130">
      <v>2</v>
    </nc>
  </rcc>
  <rcc rId="10451" sId="1">
    <oc r="B131" t="inlineStr">
      <is>
        <t>1.3</t>
      </is>
    </oc>
    <nc r="B131">
      <v>3</v>
    </nc>
  </rcc>
  <rcc rId="10452" sId="1">
    <oc r="B132" t="inlineStr">
      <is>
        <t>1.3</t>
      </is>
    </oc>
    <nc r="B132">
      <v>3</v>
    </nc>
  </rcc>
  <rcc rId="10453" sId="1">
    <oc r="B133" t="inlineStr">
      <is>
        <t>1.3</t>
      </is>
    </oc>
    <nc r="B133">
      <v>3</v>
    </nc>
  </rcc>
  <rcc rId="10454" sId="1">
    <oc r="B134" t="inlineStr">
      <is>
        <t>1.3</t>
      </is>
    </oc>
    <nc r="B134">
      <v>3</v>
    </nc>
  </rcc>
  <rcc rId="10455" sId="1">
    <oc r="B135" t="inlineStr">
      <is>
        <t>1.4</t>
      </is>
    </oc>
    <nc r="B135">
      <v>4</v>
    </nc>
  </rcc>
  <rcc rId="10456" sId="1">
    <oc r="B137" t="inlineStr">
      <is>
        <t>1.4</t>
      </is>
    </oc>
    <nc r="B137">
      <v>4</v>
    </nc>
  </rcc>
  <rcc rId="10457" sId="1">
    <oc r="B139" t="inlineStr">
      <is>
        <t>1.4</t>
      </is>
    </oc>
    <nc r="B139">
      <v>4</v>
    </nc>
  </rcc>
  <rcc rId="10458" sId="1">
    <oc r="B141" t="inlineStr">
      <is>
        <t>1.4</t>
      </is>
    </oc>
    <nc r="B141">
      <v>4</v>
    </nc>
  </rcc>
  <rcc rId="10459" sId="1">
    <oc r="B142" t="inlineStr">
      <is>
        <t>1.4</t>
      </is>
    </oc>
    <nc r="B142">
      <v>4</v>
    </nc>
  </rcc>
  <rcc rId="10460" sId="1">
    <oc r="B144" t="inlineStr">
      <is>
        <t>1.4</t>
      </is>
    </oc>
    <nc r="B144">
      <v>4</v>
    </nc>
  </rcc>
  <rcc rId="10461" sId="1">
    <oc r="B147" t="inlineStr">
      <is>
        <t>1.4</t>
      </is>
    </oc>
    <nc r="B147">
      <v>4</v>
    </nc>
  </rcc>
  <rcc rId="10462" sId="1">
    <oc r="B150" t="inlineStr">
      <is>
        <t>1.4</t>
      </is>
    </oc>
    <nc r="B150">
      <v>4</v>
    </nc>
  </rcc>
  <rcc rId="10463" sId="1">
    <oc r="B152" t="inlineStr">
      <is>
        <t>1.4</t>
      </is>
    </oc>
    <nc r="B152">
      <v>4</v>
    </nc>
  </rcc>
  <rcc rId="10464" sId="1">
    <oc r="B156" t="inlineStr">
      <is>
        <t>1.4</t>
      </is>
    </oc>
    <nc r="B156">
      <v>4</v>
    </nc>
  </rcc>
  <rcc rId="10465" sId="1">
    <oc r="B158" t="inlineStr">
      <is>
        <t>1.4</t>
      </is>
    </oc>
    <nc r="B158">
      <v>4</v>
    </nc>
  </rcc>
  <rcc rId="10466" sId="1">
    <oc r="B161" t="inlineStr">
      <is>
        <t>1.4</t>
      </is>
    </oc>
    <nc r="B161">
      <v>4</v>
    </nc>
  </rcc>
  <rcc rId="10467" sId="1">
    <oc r="B164" t="inlineStr">
      <is>
        <t>1.4</t>
      </is>
    </oc>
    <nc r="B164">
      <v>4</v>
    </nc>
  </rcc>
  <rcc rId="10468" sId="1">
    <oc r="B167" t="inlineStr">
      <is>
        <t>1.4</t>
      </is>
    </oc>
    <nc r="B167">
      <v>4</v>
    </nc>
  </rcc>
  <rcc rId="10469" sId="1">
    <oc r="B168" t="inlineStr">
      <is>
        <t>1.4</t>
      </is>
    </oc>
    <nc r="B168">
      <v>4</v>
    </nc>
  </rcc>
  <rcc rId="10470" sId="1">
    <oc r="B170" t="inlineStr">
      <is>
        <t>1.4</t>
      </is>
    </oc>
    <nc r="B170">
      <v>4</v>
    </nc>
  </rcc>
  <rcc rId="10471" sId="1">
    <oc r="B173" t="inlineStr">
      <is>
        <t>1.4</t>
      </is>
    </oc>
    <nc r="B173">
      <v>4</v>
    </nc>
  </rcc>
  <rcc rId="10472" sId="1">
    <oc r="B174" t="inlineStr">
      <is>
        <t>1.4</t>
      </is>
    </oc>
    <nc r="B174">
      <v>4</v>
    </nc>
  </rcc>
  <rcc rId="10473" sId="1">
    <oc r="B177" t="inlineStr">
      <is>
        <t>1.4</t>
      </is>
    </oc>
    <nc r="B177">
      <v>4</v>
    </nc>
  </rcc>
  <rcc rId="10474" sId="1">
    <oc r="B179" t="inlineStr">
      <is>
        <t>1.4</t>
      </is>
    </oc>
    <nc r="B179">
      <v>4</v>
    </nc>
  </rcc>
  <rcc rId="10475" sId="1">
    <oc r="B181" t="inlineStr">
      <is>
        <t>1.4</t>
      </is>
    </oc>
    <nc r="B181">
      <v>4</v>
    </nc>
  </rcc>
  <rcc rId="10476" sId="1">
    <oc r="B182" t="inlineStr">
      <is>
        <t>1.4</t>
      </is>
    </oc>
    <nc r="B182">
      <v>4</v>
    </nc>
  </rcc>
  <rcc rId="10477" sId="1">
    <oc r="B184" t="inlineStr">
      <is>
        <t>1.4</t>
      </is>
    </oc>
    <nc r="B184">
      <v>4</v>
    </nc>
  </rcc>
  <rcc rId="10478" sId="1">
    <oc r="B187" t="inlineStr">
      <is>
        <t>1.4</t>
      </is>
    </oc>
    <nc r="B187">
      <v>4</v>
    </nc>
  </rcc>
  <rcc rId="10479" sId="1">
    <oc r="B188" t="inlineStr">
      <is>
        <t>1.4</t>
      </is>
    </oc>
    <nc r="B188">
      <v>4</v>
    </nc>
  </rcc>
  <rcc rId="10480" sId="1">
    <oc r="B192" t="inlineStr">
      <is>
        <t>1.4</t>
      </is>
    </oc>
    <nc r="B192">
      <v>4</v>
    </nc>
  </rcc>
  <rcc rId="10481" sId="1">
    <oc r="B193" t="inlineStr">
      <is>
        <t>1.4</t>
      </is>
    </oc>
    <nc r="B193">
      <v>4</v>
    </nc>
  </rcc>
  <rcc rId="10482" sId="1">
    <oc r="B195" t="inlineStr">
      <is>
        <t>1.4</t>
      </is>
    </oc>
    <nc r="B195">
      <v>4</v>
    </nc>
  </rcc>
  <rcc rId="10483" sId="1">
    <oc r="B198" t="inlineStr">
      <is>
        <t>1.4</t>
      </is>
    </oc>
    <nc r="B198">
      <v>4</v>
    </nc>
  </rcc>
  <rcc rId="10484" sId="1">
    <oc r="B199" t="inlineStr">
      <is>
        <t>1.4</t>
      </is>
    </oc>
    <nc r="B199">
      <v>4</v>
    </nc>
  </rcc>
  <rcc rId="10485" sId="1">
    <oc r="B201" t="inlineStr">
      <is>
        <t>1.4</t>
      </is>
    </oc>
    <nc r="B201">
      <v>4</v>
    </nc>
  </rcc>
  <rcc rId="10486" sId="1">
    <oc r="B202" t="inlineStr">
      <is>
        <t>1.4</t>
      </is>
    </oc>
    <nc r="B202">
      <v>4</v>
    </nc>
  </rcc>
  <rcc rId="10487" sId="1">
    <oc r="B206" t="inlineStr">
      <is>
        <t>1.4</t>
      </is>
    </oc>
    <nc r="B206">
      <v>4</v>
    </nc>
  </rcc>
  <rcc rId="10488" sId="1">
    <oc r="B208" t="inlineStr">
      <is>
        <t>1.4</t>
      </is>
    </oc>
    <nc r="B208">
      <v>4</v>
    </nc>
  </rcc>
  <rcc rId="10489" sId="1">
    <oc r="B210" t="inlineStr">
      <is>
        <t>1.4</t>
      </is>
    </oc>
    <nc r="B210">
      <v>4</v>
    </nc>
  </rcc>
  <rcc rId="10490" sId="1">
    <oc r="B211" t="inlineStr">
      <is>
        <t>1.4</t>
      </is>
    </oc>
    <nc r="B211">
      <v>4</v>
    </nc>
  </rcc>
  <rcc rId="10491" sId="1">
    <oc r="B213" t="inlineStr">
      <is>
        <t>1.4</t>
      </is>
    </oc>
    <nc r="B213">
      <v>4</v>
    </nc>
  </rcc>
  <rcc rId="10492" sId="1">
    <oc r="B214" t="inlineStr">
      <is>
        <t>1.4</t>
      </is>
    </oc>
    <nc r="B214">
      <v>4</v>
    </nc>
  </rcc>
  <rcc rId="10493" sId="1">
    <oc r="B218" t="inlineStr">
      <is>
        <t>1.4</t>
      </is>
    </oc>
    <nc r="B218">
      <v>4</v>
    </nc>
  </rcc>
  <rcc rId="10494" sId="1">
    <oc r="B220" t="inlineStr">
      <is>
        <t>1.4</t>
      </is>
    </oc>
    <nc r="B220">
      <v>4</v>
    </nc>
  </rcc>
  <rcc rId="10495" sId="1">
    <oc r="B222" t="inlineStr">
      <is>
        <t>1.4</t>
      </is>
    </oc>
    <nc r="B222">
      <v>4</v>
    </nc>
  </rcc>
  <rcc rId="10496" sId="1">
    <oc r="B225" t="inlineStr">
      <is>
        <t>1.4</t>
      </is>
    </oc>
    <nc r="B225">
      <v>4</v>
    </nc>
  </rcc>
  <rcc rId="10497" sId="1">
    <oc r="B228" t="inlineStr">
      <is>
        <t>1.4</t>
      </is>
    </oc>
    <nc r="B228">
      <v>4</v>
    </nc>
  </rcc>
  <rcc rId="10498" sId="1">
    <oc r="B230" t="inlineStr">
      <is>
        <t>1.4</t>
      </is>
    </oc>
    <nc r="B230">
      <v>4</v>
    </nc>
  </rcc>
  <rcc rId="10499" sId="1">
    <oc r="B232" t="inlineStr">
      <is>
        <t>1.4</t>
      </is>
    </oc>
    <nc r="B232">
      <v>4</v>
    </nc>
  </rcc>
  <rcc rId="10500" sId="1">
    <oc r="B234" t="inlineStr">
      <is>
        <t>1.4</t>
      </is>
    </oc>
    <nc r="B234">
      <v>4</v>
    </nc>
  </rcc>
  <rcc rId="10501" sId="1">
    <oc r="B237" t="inlineStr">
      <is>
        <t>1.4</t>
      </is>
    </oc>
    <nc r="B237">
      <v>4</v>
    </nc>
  </rcc>
  <rcc rId="10502" sId="1">
    <oc r="B238" t="inlineStr">
      <is>
        <t>1.4</t>
      </is>
    </oc>
    <nc r="B238">
      <v>4</v>
    </nc>
  </rcc>
  <rcc rId="10503" sId="1">
    <oc r="B240" t="inlineStr">
      <is>
        <t>1.4</t>
      </is>
    </oc>
    <nc r="B240">
      <v>4</v>
    </nc>
  </rcc>
  <rcc rId="10504" sId="1">
    <oc r="B242" t="inlineStr">
      <is>
        <t>1.4</t>
      </is>
    </oc>
    <nc r="B242">
      <v>4</v>
    </nc>
  </rcc>
  <rcc rId="10505" sId="1">
    <oc r="B243" t="inlineStr">
      <is>
        <t>1.4</t>
      </is>
    </oc>
    <nc r="B243">
      <v>4</v>
    </nc>
  </rcc>
  <rcc rId="10506" sId="1">
    <oc r="B244" t="inlineStr">
      <is>
        <t>1.4</t>
      </is>
    </oc>
    <nc r="B244">
      <v>4</v>
    </nc>
  </rcc>
  <rcc rId="10507" sId="1">
    <oc r="B245" t="inlineStr">
      <is>
        <t>1.4</t>
      </is>
    </oc>
    <nc r="B245">
      <v>4</v>
    </nc>
  </rcc>
  <rcc rId="10508" sId="1">
    <oc r="B246" t="inlineStr">
      <is>
        <t>1.4</t>
      </is>
    </oc>
    <nc r="B246">
      <v>4</v>
    </nc>
  </rcc>
  <rcc rId="10509" sId="1">
    <oc r="B247" t="inlineStr">
      <is>
        <t>1.4</t>
      </is>
    </oc>
    <nc r="B247">
      <v>4</v>
    </nc>
  </rcc>
  <rcc rId="10510" sId="1">
    <oc r="B248" t="inlineStr">
      <is>
        <t>1.4</t>
      </is>
    </oc>
    <nc r="B248">
      <v>4</v>
    </nc>
  </rcc>
  <rcc rId="10511" sId="1">
    <oc r="B249" t="inlineStr">
      <is>
        <t>1.4</t>
      </is>
    </oc>
    <nc r="B249">
      <v>4</v>
    </nc>
  </rcc>
  <rcc rId="10512" sId="1">
    <oc r="B250" t="inlineStr">
      <is>
        <t>1.4</t>
      </is>
    </oc>
    <nc r="B250">
      <v>4</v>
    </nc>
  </rcc>
  <rcc rId="10513" sId="1">
    <oc r="B251" t="inlineStr">
      <is>
        <t>1.4</t>
      </is>
    </oc>
    <nc r="B251">
      <v>4</v>
    </nc>
  </rcc>
  <rcc rId="10514" sId="1">
    <oc r="B252" t="inlineStr">
      <is>
        <t>1.4</t>
      </is>
    </oc>
    <nc r="B252">
      <v>4</v>
    </nc>
  </rcc>
  <rcc rId="10515" sId="1">
    <oc r="B253" t="inlineStr">
      <is>
        <t>1.4</t>
      </is>
    </oc>
    <nc r="B253">
      <v>4</v>
    </nc>
  </rcc>
  <rcc rId="10516" sId="1">
    <oc r="B254" t="inlineStr">
      <is>
        <t>1.4</t>
      </is>
    </oc>
    <nc r="B254">
      <v>4</v>
    </nc>
  </rcc>
  <rcc rId="10517" sId="1">
    <oc r="B255" t="inlineStr">
      <is>
        <t>1.4</t>
      </is>
    </oc>
    <nc r="B255">
      <v>4</v>
    </nc>
  </rcc>
  <rcc rId="10518" sId="1">
    <oc r="B256" t="inlineStr">
      <is>
        <t>1.4</t>
      </is>
    </oc>
    <nc r="B256">
      <v>4</v>
    </nc>
  </rcc>
  <rcc rId="10519" sId="1">
    <oc r="B257" t="inlineStr">
      <is>
        <t>1.4</t>
      </is>
    </oc>
    <nc r="B257">
      <v>4</v>
    </nc>
  </rcc>
  <rcc rId="10520" sId="1">
    <oc r="B258" t="inlineStr">
      <is>
        <t>1.4</t>
      </is>
    </oc>
    <nc r="B258">
      <v>4</v>
    </nc>
  </rcc>
  <rcc rId="10521" sId="1">
    <oc r="B259" t="inlineStr">
      <is>
        <t>1.4</t>
      </is>
    </oc>
    <nc r="B259">
      <v>4</v>
    </nc>
  </rcc>
  <rcc rId="10522" sId="1">
    <oc r="B260" t="inlineStr">
      <is>
        <t>1.4</t>
      </is>
    </oc>
    <nc r="B260">
      <v>4</v>
    </nc>
  </rcc>
  <rcc rId="10523" sId="1">
    <oc r="B261" t="inlineStr">
      <is>
        <t>1.4</t>
      </is>
    </oc>
    <nc r="B261">
      <v>4</v>
    </nc>
  </rcc>
  <rcc rId="10524" sId="1">
    <oc r="B262" t="inlineStr">
      <is>
        <t>1.4</t>
      </is>
    </oc>
    <nc r="B262">
      <v>4</v>
    </nc>
  </rcc>
  <rcc rId="10525" sId="1">
    <oc r="B263" t="inlineStr">
      <is>
        <t>1.4</t>
      </is>
    </oc>
    <nc r="B263">
      <v>4</v>
    </nc>
  </rcc>
  <rcc rId="10526" sId="1">
    <oc r="B264" t="inlineStr">
      <is>
        <t>1.4</t>
      </is>
    </oc>
    <nc r="B264">
      <v>4</v>
    </nc>
  </rcc>
  <rcc rId="10527" sId="1">
    <oc r="B265" t="inlineStr">
      <is>
        <t>1.4</t>
      </is>
    </oc>
    <nc r="B265">
      <v>4</v>
    </nc>
  </rcc>
  <rcc rId="10528" sId="1">
    <oc r="B266" t="inlineStr">
      <is>
        <t>1.4</t>
      </is>
    </oc>
    <nc r="B266">
      <v>4</v>
    </nc>
  </rcc>
  <rcc rId="10529" sId="1">
    <oc r="B267" t="inlineStr">
      <is>
        <t>1.4</t>
      </is>
    </oc>
    <nc r="B267">
      <v>4</v>
    </nc>
  </rcc>
  <rcc rId="10530" sId="1">
    <oc r="B268" t="inlineStr">
      <is>
        <t>1.4</t>
      </is>
    </oc>
    <nc r="B268">
      <v>4</v>
    </nc>
  </rcc>
  <rcc rId="10531" sId="1">
    <oc r="B269" t="inlineStr">
      <is>
        <t>1.4</t>
      </is>
    </oc>
    <nc r="B269">
      <v>4</v>
    </nc>
  </rcc>
  <rcc rId="10532" sId="1">
    <oc r="B270" t="inlineStr">
      <is>
        <t>1.4</t>
      </is>
    </oc>
    <nc r="B270">
      <v>4</v>
    </nc>
  </rcc>
  <rcc rId="10533" sId="1">
    <oc r="B271" t="inlineStr">
      <is>
        <t>1.4</t>
      </is>
    </oc>
    <nc r="B271">
      <v>4</v>
    </nc>
  </rcc>
  <rcc rId="10534" sId="1">
    <oc r="B272" t="inlineStr">
      <is>
        <t>1.4</t>
      </is>
    </oc>
    <nc r="B272">
      <v>4</v>
    </nc>
  </rcc>
  <rcc rId="10535" sId="1">
    <oc r="B273" t="inlineStr">
      <is>
        <t>1.4</t>
      </is>
    </oc>
    <nc r="B273">
      <v>4</v>
    </nc>
  </rcc>
  <rcc rId="10536" sId="1">
    <oc r="B274" t="inlineStr">
      <is>
        <t>1.4</t>
      </is>
    </oc>
    <nc r="B274">
      <v>4</v>
    </nc>
  </rcc>
  <rcc rId="10537" sId="1">
    <oc r="B275" t="inlineStr">
      <is>
        <t>1.4</t>
      </is>
    </oc>
    <nc r="B275">
      <v>4</v>
    </nc>
  </rcc>
  <rcc rId="10538" sId="1">
    <oc r="B276" t="inlineStr">
      <is>
        <t>1.4</t>
      </is>
    </oc>
    <nc r="B276">
      <v>4</v>
    </nc>
  </rcc>
  <rcc rId="10539" sId="1">
    <oc r="B277" t="inlineStr">
      <is>
        <t>1.4</t>
      </is>
    </oc>
    <nc r="B277">
      <v>4</v>
    </nc>
  </rcc>
  <rcc rId="10540" sId="1">
    <oc r="B278" t="inlineStr">
      <is>
        <t>1.4</t>
      </is>
    </oc>
    <nc r="B278">
      <v>4</v>
    </nc>
  </rcc>
  <rcc rId="10541" sId="1">
    <oc r="B279" t="inlineStr">
      <is>
        <t>1.4</t>
      </is>
    </oc>
    <nc r="B279">
      <v>4</v>
    </nc>
  </rcc>
  <rcc rId="10542" sId="1">
    <oc r="B280" t="inlineStr">
      <is>
        <t>1.4</t>
      </is>
    </oc>
    <nc r="B280">
      <v>4</v>
    </nc>
  </rcc>
  <rcc rId="10543" sId="1">
    <oc r="B281" t="inlineStr">
      <is>
        <t>1.4</t>
      </is>
    </oc>
    <nc r="B281">
      <v>4</v>
    </nc>
  </rcc>
  <rcc rId="10544" sId="1">
    <oc r="B282" t="inlineStr">
      <is>
        <t>1.4</t>
      </is>
    </oc>
    <nc r="B282">
      <v>4</v>
    </nc>
  </rcc>
  <rcc rId="10545" sId="1">
    <oc r="B283" t="inlineStr">
      <is>
        <t>1.4</t>
      </is>
    </oc>
    <nc r="B283">
      <v>4</v>
    </nc>
  </rcc>
  <rcc rId="10546" sId="1">
    <oc r="B284" t="inlineStr">
      <is>
        <t>1.4</t>
      </is>
    </oc>
    <nc r="B284">
      <v>4</v>
    </nc>
  </rcc>
  <rcc rId="10547" sId="1">
    <oc r="B285" t="inlineStr">
      <is>
        <t>1.4</t>
      </is>
    </oc>
    <nc r="B285">
      <v>4</v>
    </nc>
  </rcc>
  <rcc rId="10548" sId="1">
    <oc r="B286" t="inlineStr">
      <is>
        <t>1.4</t>
      </is>
    </oc>
    <nc r="B286">
      <v>4</v>
    </nc>
  </rcc>
  <rcc rId="10549" sId="1">
    <oc r="B287" t="inlineStr">
      <is>
        <t>1.4</t>
      </is>
    </oc>
    <nc r="B287">
      <v>4</v>
    </nc>
  </rcc>
  <rcc rId="10550" sId="1">
    <oc r="B288" t="inlineStr">
      <is>
        <t>1.4</t>
      </is>
    </oc>
    <nc r="B288">
      <v>4</v>
    </nc>
  </rcc>
  <rcc rId="10551" sId="1">
    <oc r="B289" t="inlineStr">
      <is>
        <t>1.4</t>
      </is>
    </oc>
    <nc r="B289">
      <v>4</v>
    </nc>
  </rcc>
  <rcc rId="10552" sId="1">
    <oc r="B290" t="inlineStr">
      <is>
        <t>1.4</t>
      </is>
    </oc>
    <nc r="B290">
      <v>4</v>
    </nc>
  </rcc>
  <rcc rId="10553" sId="1">
    <oc r="B291" t="inlineStr">
      <is>
        <t>1.4</t>
      </is>
    </oc>
    <nc r="B291">
      <v>4</v>
    </nc>
  </rcc>
  <rcc rId="10554" sId="1">
    <oc r="B292" t="inlineStr">
      <is>
        <t>1.4</t>
      </is>
    </oc>
    <nc r="B292">
      <v>4</v>
    </nc>
  </rcc>
  <rcc rId="10555" sId="1">
    <oc r="B293" t="inlineStr">
      <is>
        <t>1.4</t>
      </is>
    </oc>
    <nc r="B293">
      <v>4</v>
    </nc>
  </rcc>
  <rcc rId="10556" sId="1">
    <oc r="B294" t="inlineStr">
      <is>
        <t>1.4</t>
      </is>
    </oc>
    <nc r="B294">
      <v>4</v>
    </nc>
  </rcc>
  <rcc rId="10557" sId="1">
    <oc r="B295" t="inlineStr">
      <is>
        <t>1.4</t>
      </is>
    </oc>
    <nc r="B295">
      <v>4</v>
    </nc>
  </rcc>
  <rcc rId="10558" sId="1">
    <oc r="B296" t="inlineStr">
      <is>
        <t>1.4</t>
      </is>
    </oc>
    <nc r="B296">
      <v>4</v>
    </nc>
  </rcc>
  <rcc rId="10559" sId="1">
    <oc r="B297" t="inlineStr">
      <is>
        <t>1.4</t>
      </is>
    </oc>
    <nc r="B297">
      <v>4</v>
    </nc>
  </rcc>
  <rcc rId="10560" sId="1">
    <oc r="B298" t="inlineStr">
      <is>
        <t>1.4</t>
      </is>
    </oc>
    <nc r="B298">
      <v>4</v>
    </nc>
  </rcc>
  <rcc rId="10561" sId="1">
    <oc r="B299" t="inlineStr">
      <is>
        <t>1.4</t>
      </is>
    </oc>
    <nc r="B299">
      <v>4</v>
    </nc>
  </rcc>
  <rcc rId="10562" sId="1">
    <oc r="B300" t="inlineStr">
      <is>
        <t>1.4</t>
      </is>
    </oc>
    <nc r="B300">
      <v>4</v>
    </nc>
  </rcc>
  <rcc rId="10563" sId="1">
    <oc r="B301" t="inlineStr">
      <is>
        <t>1.4</t>
      </is>
    </oc>
    <nc r="B301">
      <v>4</v>
    </nc>
  </rcc>
  <rcc rId="10564" sId="1">
    <oc r="B302" t="inlineStr">
      <is>
        <t>1.4</t>
      </is>
    </oc>
    <nc r="B302">
      <v>4</v>
    </nc>
  </rcc>
  <rcc rId="10565" sId="1">
    <oc r="B303" t="inlineStr">
      <is>
        <t>1.4</t>
      </is>
    </oc>
    <nc r="B303">
      <v>4</v>
    </nc>
  </rcc>
  <rcc rId="10566" sId="1">
    <oc r="B304" t="inlineStr">
      <is>
        <t>1.4</t>
      </is>
    </oc>
    <nc r="B304">
      <v>4</v>
    </nc>
  </rcc>
  <rcc rId="10567" sId="1">
    <oc r="B305" t="inlineStr">
      <is>
        <t>1.4</t>
      </is>
    </oc>
    <nc r="B305">
      <v>4</v>
    </nc>
  </rcc>
  <rcc rId="10568" sId="1">
    <oc r="B306" t="inlineStr">
      <is>
        <t>1.4</t>
      </is>
    </oc>
    <nc r="B306">
      <v>4</v>
    </nc>
  </rcc>
  <rcc rId="10569" sId="1">
    <oc r="B307" t="inlineStr">
      <is>
        <t>1.4</t>
      </is>
    </oc>
    <nc r="B307">
      <v>4</v>
    </nc>
  </rcc>
  <rcc rId="10570" sId="1">
    <oc r="B308" t="inlineStr">
      <is>
        <t>1.4</t>
      </is>
    </oc>
    <nc r="B308">
      <v>4</v>
    </nc>
  </rcc>
  <rcc rId="10571" sId="1">
    <oc r="B309" t="inlineStr">
      <is>
        <t>1.4</t>
      </is>
    </oc>
    <nc r="B309">
      <v>4</v>
    </nc>
  </rcc>
  <rcc rId="10572" sId="1">
    <oc r="B310" t="inlineStr">
      <is>
        <t>1.4</t>
      </is>
    </oc>
    <nc r="B310">
      <v>4</v>
    </nc>
  </rcc>
  <rcc rId="10573" sId="1">
    <oc r="B311" t="inlineStr">
      <is>
        <t>1.4</t>
      </is>
    </oc>
    <nc r="B311">
      <v>4</v>
    </nc>
  </rcc>
  <rcc rId="10574" sId="1">
    <oc r="B312" t="inlineStr">
      <is>
        <t>1.4</t>
      </is>
    </oc>
    <nc r="B312">
      <v>4</v>
    </nc>
  </rcc>
  <rcc rId="10575" sId="1">
    <oc r="B313" t="inlineStr">
      <is>
        <t>1.4</t>
      </is>
    </oc>
    <nc r="B313">
      <v>4</v>
    </nc>
  </rcc>
  <rcc rId="10576" sId="1">
    <oc r="B314" t="inlineStr">
      <is>
        <t>1.4</t>
      </is>
    </oc>
    <nc r="B314">
      <v>4</v>
    </nc>
  </rcc>
  <rcc rId="10577" sId="1">
    <oc r="B315" t="inlineStr">
      <is>
        <t>1.4</t>
      </is>
    </oc>
    <nc r="B315">
      <v>4</v>
    </nc>
  </rcc>
  <rcc rId="10578" sId="1">
    <oc r="B316" t="inlineStr">
      <is>
        <t>1.4</t>
      </is>
    </oc>
    <nc r="B316">
      <v>4</v>
    </nc>
  </rcc>
  <rcc rId="10579" sId="1">
    <oc r="B317" t="inlineStr">
      <is>
        <t>1.4</t>
      </is>
    </oc>
    <nc r="B317">
      <v>4</v>
    </nc>
  </rcc>
  <rcc rId="10580" sId="1">
    <oc r="B318" t="inlineStr">
      <is>
        <t>1.4</t>
      </is>
    </oc>
    <nc r="B318">
      <v>4</v>
    </nc>
  </rcc>
  <rcc rId="10581" sId="1">
    <oc r="B319" t="inlineStr">
      <is>
        <t>1.4</t>
      </is>
    </oc>
    <nc r="B319">
      <v>4</v>
    </nc>
  </rcc>
  <rcc rId="10582" sId="1">
    <oc r="B320" t="inlineStr">
      <is>
        <t>1.4</t>
      </is>
    </oc>
    <nc r="B320">
      <v>4</v>
    </nc>
  </rcc>
  <rcc rId="10583" sId="1">
    <oc r="B321" t="inlineStr">
      <is>
        <t>1.4</t>
      </is>
    </oc>
    <nc r="B321">
      <v>4</v>
    </nc>
  </rcc>
  <rcc rId="10584" sId="1">
    <oc r="B322" t="inlineStr">
      <is>
        <t>1.4</t>
      </is>
    </oc>
    <nc r="B322">
      <v>4</v>
    </nc>
  </rcc>
  <rcc rId="10585" sId="1">
    <oc r="B323" t="inlineStr">
      <is>
        <t>1.4</t>
      </is>
    </oc>
    <nc r="B323">
      <v>4</v>
    </nc>
  </rcc>
  <rcc rId="10586" sId="1">
    <oc r="B324" t="inlineStr">
      <is>
        <t>1.4</t>
      </is>
    </oc>
    <nc r="B324">
      <v>4</v>
    </nc>
  </rcc>
  <rcc rId="10587" sId="1">
    <oc r="B325" t="inlineStr">
      <is>
        <t>1.4</t>
      </is>
    </oc>
    <nc r="B325">
      <v>4</v>
    </nc>
  </rcc>
  <rcc rId="10588" sId="1">
    <oc r="B326" t="inlineStr">
      <is>
        <t>1.4</t>
      </is>
    </oc>
    <nc r="B326">
      <v>4</v>
    </nc>
  </rcc>
  <rcc rId="10589" sId="1">
    <oc r="B328" t="inlineStr">
      <is>
        <t>1.4</t>
      </is>
    </oc>
    <nc r="B328">
      <v>4</v>
    </nc>
  </rcc>
  <rcc rId="10590" sId="1">
    <oc r="B329" t="inlineStr">
      <is>
        <t>1.4</t>
      </is>
    </oc>
    <nc r="B329">
      <v>4</v>
    </nc>
  </rcc>
  <rcc rId="10591" sId="1">
    <oc r="B330" t="inlineStr">
      <is>
        <t>1.4</t>
      </is>
    </oc>
    <nc r="B330">
      <v>4</v>
    </nc>
  </rcc>
  <rcc rId="10592" sId="1">
    <oc r="B331" t="inlineStr">
      <is>
        <t>1.4</t>
      </is>
    </oc>
    <nc r="B331">
      <v>4</v>
    </nc>
  </rcc>
  <rcc rId="10593" sId="1">
    <oc r="B332" t="inlineStr">
      <is>
        <t>1.4</t>
      </is>
    </oc>
    <nc r="B332">
      <v>4</v>
    </nc>
  </rcc>
  <rcc rId="10594" sId="1">
    <oc r="B333" t="inlineStr">
      <is>
        <t>1.4</t>
      </is>
    </oc>
    <nc r="B333">
      <v>4</v>
    </nc>
  </rcc>
  <rcc rId="10595" sId="1">
    <oc r="B334" t="inlineStr">
      <is>
        <t>1.4</t>
      </is>
    </oc>
    <nc r="B334">
      <v>4</v>
    </nc>
  </rcc>
  <rcc rId="10596" sId="1">
    <oc r="B335" t="inlineStr">
      <is>
        <t>1.4</t>
      </is>
    </oc>
    <nc r="B335">
      <v>4</v>
    </nc>
  </rcc>
  <rcc rId="10597" sId="1">
    <oc r="B336" t="inlineStr">
      <is>
        <t>1.4</t>
      </is>
    </oc>
    <nc r="B336">
      <v>4</v>
    </nc>
  </rcc>
  <rcc rId="10598" sId="1">
    <oc r="B337" t="inlineStr">
      <is>
        <t>1.4</t>
      </is>
    </oc>
    <nc r="B337">
      <v>4</v>
    </nc>
  </rcc>
  <rcc rId="10599" sId="1">
    <oc r="B338" t="inlineStr">
      <is>
        <t>1.4</t>
      </is>
    </oc>
    <nc r="B338">
      <v>4</v>
    </nc>
  </rcc>
  <rcc rId="10600" sId="1">
    <oc r="B136" t="inlineStr">
      <is>
        <t>1.5</t>
      </is>
    </oc>
    <nc r="B136">
      <v>5</v>
    </nc>
  </rcc>
  <rcc rId="10601" sId="1">
    <oc r="B138" t="inlineStr">
      <is>
        <t>1.5</t>
      </is>
    </oc>
    <nc r="B138">
      <v>5</v>
    </nc>
  </rcc>
  <rcc rId="10602" sId="1">
    <oc r="B140" t="inlineStr">
      <is>
        <t>1.5</t>
      </is>
    </oc>
    <nc r="B140">
      <v>5</v>
    </nc>
  </rcc>
  <rcc rId="10603" sId="1">
    <oc r="B143" t="inlineStr">
      <is>
        <t>1.5</t>
      </is>
    </oc>
    <nc r="B143">
      <v>5</v>
    </nc>
  </rcc>
  <rcc rId="10604" sId="1">
    <oc r="B145" t="inlineStr">
      <is>
        <t>1.5</t>
      </is>
    </oc>
    <nc r="B145">
      <v>5</v>
    </nc>
  </rcc>
  <rcc rId="10605" sId="1">
    <oc r="B146" t="inlineStr">
      <is>
        <t>1.5</t>
      </is>
    </oc>
    <nc r="B146">
      <v>5</v>
    </nc>
  </rcc>
  <rcc rId="10606" sId="1">
    <oc r="B148" t="inlineStr">
      <is>
        <t>1.5</t>
      </is>
    </oc>
    <nc r="B148">
      <v>5</v>
    </nc>
  </rcc>
  <rcc rId="10607" sId="1">
    <oc r="B149" t="inlineStr">
      <is>
        <t>1.5</t>
      </is>
    </oc>
    <nc r="B149">
      <v>5</v>
    </nc>
  </rcc>
  <rcc rId="10608" sId="1">
    <oc r="B151" t="inlineStr">
      <is>
        <t>1.5</t>
      </is>
    </oc>
    <nc r="B151">
      <v>5</v>
    </nc>
  </rcc>
  <rcc rId="10609" sId="1">
    <oc r="B153" t="inlineStr">
      <is>
        <t>1.5</t>
      </is>
    </oc>
    <nc r="B153">
      <v>5</v>
    </nc>
  </rcc>
  <rcc rId="10610" sId="1">
    <oc r="B154" t="inlineStr">
      <is>
        <t>1.5</t>
      </is>
    </oc>
    <nc r="B154">
      <v>5</v>
    </nc>
  </rcc>
  <rcc rId="10611" sId="1">
    <oc r="B155" t="inlineStr">
      <is>
        <t>1.5</t>
      </is>
    </oc>
    <nc r="B155">
      <v>5</v>
    </nc>
  </rcc>
  <rcc rId="10612" sId="1">
    <oc r="B157" t="inlineStr">
      <is>
        <t>1.5</t>
      </is>
    </oc>
    <nc r="B157">
      <v>5</v>
    </nc>
  </rcc>
  <rcc rId="10613" sId="1">
    <oc r="B159" t="inlineStr">
      <is>
        <t>1.5</t>
      </is>
    </oc>
    <nc r="B159">
      <v>5</v>
    </nc>
  </rcc>
  <rcc rId="10614" sId="1">
    <oc r="B160" t="inlineStr">
      <is>
        <t>1.5</t>
      </is>
    </oc>
    <nc r="B160">
      <v>5</v>
    </nc>
  </rcc>
  <rcc rId="10615" sId="1">
    <oc r="B162" t="inlineStr">
      <is>
        <t>1.5</t>
      </is>
    </oc>
    <nc r="B162">
      <v>5</v>
    </nc>
  </rcc>
  <rcc rId="10616" sId="1">
    <oc r="B163" t="inlineStr">
      <is>
        <t>1.5</t>
      </is>
    </oc>
    <nc r="B163">
      <v>5</v>
    </nc>
  </rcc>
  <rcc rId="10617" sId="1">
    <oc r="B165" t="inlineStr">
      <is>
        <t>1.5</t>
      </is>
    </oc>
    <nc r="B165">
      <v>5</v>
    </nc>
  </rcc>
  <rcc rId="10618" sId="1">
    <oc r="B166" t="inlineStr">
      <is>
        <t>1.5</t>
      </is>
    </oc>
    <nc r="B166">
      <v>5</v>
    </nc>
  </rcc>
  <rcc rId="10619" sId="1">
    <oc r="B169" t="inlineStr">
      <is>
        <t>1.5</t>
      </is>
    </oc>
    <nc r="B169">
      <v>5</v>
    </nc>
  </rcc>
  <rcc rId="10620" sId="1">
    <oc r="B171" t="inlineStr">
      <is>
        <t>1.5</t>
      </is>
    </oc>
    <nc r="B171">
      <v>5</v>
    </nc>
  </rcc>
  <rcc rId="10621" sId="1">
    <oc r="B172" t="inlineStr">
      <is>
        <t>1.5</t>
      </is>
    </oc>
    <nc r="B172">
      <v>5</v>
    </nc>
  </rcc>
  <rcc rId="10622" sId="1">
    <oc r="B175" t="inlineStr">
      <is>
        <t>1.5</t>
      </is>
    </oc>
    <nc r="B175">
      <v>5</v>
    </nc>
  </rcc>
  <rcc rId="10623" sId="1">
    <oc r="B176" t="inlineStr">
      <is>
        <t>1.5</t>
      </is>
    </oc>
    <nc r="B176">
      <v>5</v>
    </nc>
  </rcc>
  <rcc rId="10624" sId="1">
    <oc r="B178" t="inlineStr">
      <is>
        <t>1.5</t>
      </is>
    </oc>
    <nc r="B178">
      <v>5</v>
    </nc>
  </rcc>
  <rcc rId="10625" sId="1">
    <oc r="B180" t="inlineStr">
      <is>
        <t>1.5</t>
      </is>
    </oc>
    <nc r="B180">
      <v>5</v>
    </nc>
  </rcc>
  <rcc rId="10626" sId="1">
    <oc r="B183" t="inlineStr">
      <is>
        <t>1.5</t>
      </is>
    </oc>
    <nc r="B183">
      <v>5</v>
    </nc>
  </rcc>
  <rcc rId="10627" sId="1">
    <oc r="B185" t="inlineStr">
      <is>
        <t>1.5</t>
      </is>
    </oc>
    <nc r="B185">
      <v>5</v>
    </nc>
  </rcc>
  <rcc rId="10628" sId="1">
    <oc r="B186" t="inlineStr">
      <is>
        <t>1.5</t>
      </is>
    </oc>
    <nc r="B186">
      <v>5</v>
    </nc>
  </rcc>
  <rcc rId="10629" sId="1">
    <oc r="B189" t="inlineStr">
      <is>
        <t>1.5</t>
      </is>
    </oc>
    <nc r="B189">
      <v>5</v>
    </nc>
  </rcc>
  <rcc rId="10630" sId="1">
    <oc r="B190" t="inlineStr">
      <is>
        <t>1.5</t>
      </is>
    </oc>
    <nc r="B190">
      <v>5</v>
    </nc>
  </rcc>
  <rcc rId="10631" sId="1">
    <oc r="B191" t="inlineStr">
      <is>
        <t>1.5</t>
      </is>
    </oc>
    <nc r="B191">
      <v>5</v>
    </nc>
  </rcc>
  <rcc rId="10632" sId="1">
    <oc r="B194" t="inlineStr">
      <is>
        <t>1.5</t>
      </is>
    </oc>
    <nc r="B194">
      <v>5</v>
    </nc>
  </rcc>
  <rcc rId="10633" sId="1">
    <oc r="B196" t="inlineStr">
      <is>
        <t>1.5</t>
      </is>
    </oc>
    <nc r="B196">
      <v>5</v>
    </nc>
  </rcc>
  <rcc rId="10634" sId="1">
    <oc r="B197" t="inlineStr">
      <is>
        <t>1.5</t>
      </is>
    </oc>
    <nc r="B197">
      <v>5</v>
    </nc>
  </rcc>
  <rcc rId="10635" sId="1">
    <oc r="B200" t="inlineStr">
      <is>
        <t>1.5</t>
      </is>
    </oc>
    <nc r="B200">
      <v>5</v>
    </nc>
  </rcc>
  <rcc rId="10636" sId="1">
    <oc r="B203" t="inlineStr">
      <is>
        <t>1.5</t>
      </is>
    </oc>
    <nc r="B203">
      <v>5</v>
    </nc>
  </rcc>
  <rcc rId="10637" sId="1">
    <oc r="B205" t="inlineStr">
      <is>
        <t>1.5</t>
      </is>
    </oc>
    <nc r="B205">
      <v>5</v>
    </nc>
  </rcc>
  <rcc rId="10638" sId="1">
    <oc r="B207" t="inlineStr">
      <is>
        <t>1.5</t>
      </is>
    </oc>
    <nc r="B207">
      <v>5</v>
    </nc>
  </rcc>
  <rcc rId="10639" sId="1">
    <oc r="B209" t="inlineStr">
      <is>
        <t>1.5</t>
      </is>
    </oc>
    <nc r="B209">
      <v>5</v>
    </nc>
  </rcc>
  <rcc rId="10640" sId="1">
    <oc r="B212" t="inlineStr">
      <is>
        <t>1.5</t>
      </is>
    </oc>
    <nc r="B212">
      <v>5</v>
    </nc>
  </rcc>
  <rcc rId="10641" sId="1">
    <oc r="B215" t="inlineStr">
      <is>
        <t>1.5</t>
      </is>
    </oc>
    <nc r="B215">
      <v>5</v>
    </nc>
  </rcc>
  <rcc rId="10642" sId="1">
    <oc r="B216" t="inlineStr">
      <is>
        <t>1.5</t>
      </is>
    </oc>
    <nc r="B216">
      <v>5</v>
    </nc>
  </rcc>
  <rcc rId="10643" sId="1">
    <oc r="B217" t="inlineStr">
      <is>
        <t>1.5</t>
      </is>
    </oc>
    <nc r="B217">
      <v>5</v>
    </nc>
  </rcc>
  <rcc rId="10644" sId="1">
    <oc r="B219" t="inlineStr">
      <is>
        <t>1.5</t>
      </is>
    </oc>
    <nc r="B219">
      <v>5</v>
    </nc>
  </rcc>
  <rcc rId="10645" sId="1">
    <oc r="B221" t="inlineStr">
      <is>
        <t>1.5</t>
      </is>
    </oc>
    <nc r="B221">
      <v>5</v>
    </nc>
  </rcc>
  <rcc rId="10646" sId="1">
    <oc r="B223" t="inlineStr">
      <is>
        <t>1.5</t>
      </is>
    </oc>
    <nc r="B223">
      <v>5</v>
    </nc>
  </rcc>
  <rcc rId="10647" sId="1">
    <oc r="B224" t="inlineStr">
      <is>
        <t>1.5</t>
      </is>
    </oc>
    <nc r="B224">
      <v>5</v>
    </nc>
  </rcc>
  <rcc rId="10648" sId="1">
    <oc r="B227" t="inlineStr">
      <is>
        <t>1.5</t>
      </is>
    </oc>
    <nc r="B227">
      <v>5</v>
    </nc>
  </rcc>
  <rcc rId="10649" sId="1">
    <oc r="B229" t="inlineStr">
      <is>
        <t>1.5</t>
      </is>
    </oc>
    <nc r="B229">
      <v>5</v>
    </nc>
  </rcc>
  <rcc rId="10650" sId="1">
    <oc r="B231" t="inlineStr">
      <is>
        <t>1.5</t>
      </is>
    </oc>
    <nc r="B231">
      <v>5</v>
    </nc>
  </rcc>
  <rcc rId="10651" sId="1">
    <oc r="B233" t="inlineStr">
      <is>
        <t>1.5</t>
      </is>
    </oc>
    <nc r="B233">
      <v>5</v>
    </nc>
  </rcc>
  <rcc rId="10652" sId="1">
    <oc r="B235" t="inlineStr">
      <is>
        <t>1.5</t>
      </is>
    </oc>
    <nc r="B235">
      <v>5</v>
    </nc>
  </rcc>
  <rcc rId="10653" sId="1">
    <oc r="B236" t="inlineStr">
      <is>
        <t>1.5</t>
      </is>
    </oc>
    <nc r="B236">
      <v>5</v>
    </nc>
  </rcc>
  <rcc rId="10654" sId="1">
    <oc r="B239" t="inlineStr">
      <is>
        <t>1.5</t>
      </is>
    </oc>
    <nc r="B239">
      <v>5</v>
    </nc>
  </rcc>
  <rcc rId="10655" sId="1">
    <oc r="B241" t="inlineStr">
      <is>
        <t>1.5</t>
      </is>
    </oc>
    <nc r="B241">
      <v>5</v>
    </nc>
  </rcc>
  <rrc rId="10656" sId="1" ref="C1:C1048576" action="insertCol" edge="1"/>
  <rcc rId="10657" sId="1">
    <nc r="C1" t="inlineStr">
      <is>
        <t>nest2</t>
      </is>
    </nc>
  </rcc>
  <rcc rId="10658" sId="1">
    <nc r="C3">
      <f>B3 &amp; A3 &amp; "." &amp; "." &amp; RIGHT(YEAR(G3), 2)</f>
    </nc>
  </rcc>
  <rcv guid="{8A75D892-44B4-104C-BB94-8EB0D0E43396}" action="delete"/>
  <rdn rId="0" localSheetId="1" customView="1" name="Z_8A75D892_44B4_104C_BB94_8EB0D0E43396_.wvu.FilterData" hidden="1" oldHidden="1">
    <formula>maze1!$A$1:$X$338</formula>
    <oldFormula>maze1!$A$1:$X$338</oldFormula>
  </rdn>
  <rdn rId="0" localSheetId="2" customView="1" name="Z_8A75D892_44B4_104C_BB94_8EB0D0E43396_.wvu.FilterData" hidden="1" oldHidden="1">
    <formula>maze2!$A$1:$W$262</formula>
    <oldFormula>maze2!$A$1:$W$262</oldFormula>
  </rdn>
  <rcv guid="{8A75D892-44B4-104C-BB94-8EB0D0E43396}" action="add"/>
</revisions>
</file>

<file path=xl/revisions/revisionLog7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61" sId="1">
    <oc r="C3">
      <f>B3 &amp; A3 &amp; "." &amp; "." &amp; RIGHT(YEAR(G3), 2)</f>
    </oc>
    <nc r="C3">
      <f>B3 &amp; "." &amp;  A3 &amp; "." &amp; RIGHT(YEAR(G3), 2)</f>
    </nc>
  </rcc>
</revisions>
</file>

<file path=xl/revisions/revisionLog7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662" sId="1">
    <nc r="C2">
      <f>B2 &amp; "." &amp;  A2 &amp; "." &amp; RIGHT(YEAR(G2), 2)</f>
    </nc>
  </rcc>
  <rcc rId="10663" sId="1">
    <nc r="C4">
      <f>B4 &amp; "." &amp;  A4 &amp; "." &amp; RIGHT(YEAR(G4), 2)</f>
    </nc>
  </rcc>
  <rcc rId="10664" sId="1">
    <nc r="C5">
      <f>B5 &amp; "." &amp;  A5 &amp; "." &amp; RIGHT(YEAR(G5), 2)</f>
    </nc>
  </rcc>
  <rcc rId="10665" sId="1">
    <nc r="C6">
      <f>B6 &amp; "." &amp;  A6 &amp; "." &amp; RIGHT(YEAR(G6), 2)</f>
    </nc>
  </rcc>
  <rcc rId="10666" sId="1">
    <nc r="C7">
      <f>B7 &amp; "." &amp;  A7 &amp; "." &amp; RIGHT(YEAR(G7), 2)</f>
    </nc>
  </rcc>
  <rcc rId="10667" sId="1">
    <nc r="C8">
      <f>B8 &amp; "." &amp;  A8 &amp; "." &amp; RIGHT(YEAR(G8), 2)</f>
    </nc>
  </rcc>
  <rcc rId="10668" sId="1">
    <nc r="C9">
      <f>B9 &amp; "." &amp;  A9 &amp; "." &amp; RIGHT(YEAR(G9), 2)</f>
    </nc>
  </rcc>
  <rcc rId="10669" sId="1">
    <nc r="C10">
      <f>B10 &amp; "." &amp;  A10 &amp; "." &amp; RIGHT(YEAR(G10), 2)</f>
    </nc>
  </rcc>
  <rcc rId="10670" sId="1">
    <nc r="C11">
      <f>B11 &amp; "." &amp;  A11 &amp; "." &amp; RIGHT(YEAR(G11), 2)</f>
    </nc>
  </rcc>
  <rcc rId="10671" sId="1">
    <nc r="C12">
      <f>B12 &amp; "." &amp;  A12 &amp; "." &amp; RIGHT(YEAR(G12), 2)</f>
    </nc>
  </rcc>
  <rcc rId="10672" sId="1">
    <nc r="C13">
      <f>B13 &amp; "." &amp;  A13 &amp; "." &amp; RIGHT(YEAR(G13), 2)</f>
    </nc>
  </rcc>
  <rcc rId="10673" sId="1">
    <nc r="C14">
      <f>B14 &amp; "." &amp;  A14 &amp; "." &amp; RIGHT(YEAR(G14), 2)</f>
    </nc>
  </rcc>
  <rcc rId="10674" sId="1">
    <nc r="C15">
      <f>B15 &amp; "." &amp;  A15 &amp; "." &amp; RIGHT(YEAR(G15), 2)</f>
    </nc>
  </rcc>
  <rcc rId="10675" sId="1">
    <nc r="C16">
      <f>B16 &amp; "." &amp;  A16 &amp; "." &amp; RIGHT(YEAR(G16), 2)</f>
    </nc>
  </rcc>
  <rcc rId="10676" sId="1">
    <nc r="C17">
      <f>B17 &amp; "." &amp;  A17 &amp; "." &amp; RIGHT(YEAR(G17), 2)</f>
    </nc>
  </rcc>
  <rcc rId="10677" sId="1">
    <nc r="C18">
      <f>B18 &amp; "." &amp;  A18 &amp; "." &amp; RIGHT(YEAR(G18), 2)</f>
    </nc>
  </rcc>
  <rcc rId="10678" sId="1">
    <nc r="C19">
      <f>B19 &amp; "." &amp;  A19 &amp; "." &amp; RIGHT(YEAR(G19), 2)</f>
    </nc>
  </rcc>
  <rcc rId="10679" sId="1">
    <nc r="C20">
      <f>B20 &amp; "." &amp;  A20 &amp; "." &amp; RIGHT(YEAR(G20), 2)</f>
    </nc>
  </rcc>
  <rcc rId="10680" sId="1">
    <nc r="C21">
      <f>B21 &amp; "." &amp;  A21 &amp; "." &amp; RIGHT(YEAR(G21), 2)</f>
    </nc>
  </rcc>
  <rcc rId="10681" sId="1">
    <nc r="C22">
      <f>B22 &amp; "." &amp;  A22 &amp; "." &amp; RIGHT(YEAR(G22), 2)</f>
    </nc>
  </rcc>
  <rcc rId="10682" sId="1">
    <nc r="C23">
      <f>B23 &amp; "." &amp;  A23 &amp; "." &amp; RIGHT(YEAR(G23), 2)</f>
    </nc>
  </rcc>
  <rcc rId="10683" sId="1">
    <nc r="C24">
      <f>B24 &amp; "." &amp;  A24 &amp; "." &amp; RIGHT(YEAR(G24), 2)</f>
    </nc>
  </rcc>
  <rcc rId="10684" sId="1">
    <nc r="C25">
      <f>B25 &amp; "." &amp;  A25 &amp; "." &amp; RIGHT(YEAR(G25), 2)</f>
    </nc>
  </rcc>
  <rcc rId="10685" sId="1">
    <nc r="C26">
      <f>B26 &amp; "." &amp;  A26 &amp; "." &amp; RIGHT(YEAR(G26), 2)</f>
    </nc>
  </rcc>
  <rcc rId="10686" sId="1">
    <nc r="C27">
      <f>B27 &amp; "." &amp;  A27 &amp; "." &amp; RIGHT(YEAR(G27), 2)</f>
    </nc>
  </rcc>
  <rcc rId="10687" sId="1">
    <nc r="C28">
      <f>B28 &amp; "." &amp;  A28 &amp; "." &amp; RIGHT(YEAR(G28), 2)</f>
    </nc>
  </rcc>
  <rcc rId="10688" sId="1">
    <nc r="C29">
      <f>B29 &amp; "." &amp;  A29 &amp; "." &amp; RIGHT(YEAR(G29), 2)</f>
    </nc>
  </rcc>
  <rcc rId="10689" sId="1">
    <nc r="C30">
      <f>B30 &amp; "." &amp;  A30 &amp; "." &amp; RIGHT(YEAR(G30), 2)</f>
    </nc>
  </rcc>
  <rcc rId="10690" sId="1">
    <nc r="C31">
      <f>B31 &amp; "." &amp;  A31 &amp; "." &amp; RIGHT(YEAR(G31), 2)</f>
    </nc>
  </rcc>
  <rcc rId="10691" sId="1">
    <nc r="C32">
      <f>B32 &amp; "." &amp;  A32 &amp; "." &amp; RIGHT(YEAR(G32), 2)</f>
    </nc>
  </rcc>
  <rcc rId="10692" sId="1">
    <nc r="C33">
      <f>B33 &amp; "." &amp;  A33 &amp; "." &amp; RIGHT(YEAR(G33), 2)</f>
    </nc>
  </rcc>
  <rcc rId="10693" sId="1">
    <nc r="C34">
      <f>B34 &amp; "." &amp;  A34 &amp; "." &amp; RIGHT(YEAR(G34), 2)</f>
    </nc>
  </rcc>
  <rcc rId="10694" sId="1">
    <nc r="C35">
      <f>B35 &amp; "." &amp;  A35 &amp; "." &amp; RIGHT(YEAR(G35), 2)</f>
    </nc>
  </rcc>
  <rcc rId="10695" sId="1">
    <nc r="C36">
      <f>B36 &amp; "." &amp;  A36 &amp; "." &amp; RIGHT(YEAR(G36), 2)</f>
    </nc>
  </rcc>
  <rcc rId="10696" sId="1">
    <nc r="C37">
      <f>B37 &amp; "." &amp;  A37 &amp; "." &amp; RIGHT(YEAR(G37), 2)</f>
    </nc>
  </rcc>
  <rcc rId="10697" sId="1">
    <nc r="C38">
      <f>B38 &amp; "." &amp;  A38 &amp; "." &amp; RIGHT(YEAR(G38), 2)</f>
    </nc>
  </rcc>
  <rcc rId="10698" sId="1">
    <nc r="C39">
      <f>B39 &amp; "." &amp;  A39 &amp; "." &amp; RIGHT(YEAR(G39), 2)</f>
    </nc>
  </rcc>
  <rcc rId="10699" sId="1">
    <nc r="C40">
      <f>B40 &amp; "." &amp;  A40 &amp; "." &amp; RIGHT(YEAR(G40), 2)</f>
    </nc>
  </rcc>
  <rcc rId="10700" sId="1">
    <nc r="C41">
      <f>B41 &amp; "." &amp;  A41 &amp; "." &amp; RIGHT(YEAR(G41), 2)</f>
    </nc>
  </rcc>
  <rcc rId="10701" sId="1">
    <nc r="C42">
      <f>B42 &amp; "." &amp;  A42 &amp; "." &amp; RIGHT(YEAR(G42), 2)</f>
    </nc>
  </rcc>
  <rcc rId="10702" sId="1">
    <nc r="C43">
      <f>B43 &amp; "." &amp;  A43 &amp; "." &amp; RIGHT(YEAR(G43), 2)</f>
    </nc>
  </rcc>
  <rcc rId="10703" sId="1">
    <nc r="C44">
      <f>B44 &amp; "." &amp;  A44 &amp; "." &amp; RIGHT(YEAR(G44), 2)</f>
    </nc>
  </rcc>
  <rcc rId="10704" sId="1">
    <nc r="C45">
      <f>B45 &amp; "." &amp;  A45 &amp; "." &amp; RIGHT(YEAR(G45), 2)</f>
    </nc>
  </rcc>
  <rcc rId="10705" sId="1">
    <nc r="C46">
      <f>B46 &amp; "." &amp;  A46 &amp; "." &amp; RIGHT(YEAR(G46), 2)</f>
    </nc>
  </rcc>
  <rcc rId="10706" sId="1">
    <nc r="C47">
      <f>B47 &amp; "." &amp;  A47 &amp; "." &amp; RIGHT(YEAR(G47), 2)</f>
    </nc>
  </rcc>
  <rcc rId="10707" sId="1">
    <nc r="C48">
      <f>B48 &amp; "." &amp;  A48 &amp; "." &amp; RIGHT(YEAR(G48), 2)</f>
    </nc>
  </rcc>
  <rcc rId="10708" sId="1">
    <nc r="C49">
      <f>B49 &amp; "." &amp;  A49 &amp; "." &amp; RIGHT(YEAR(G49), 2)</f>
    </nc>
  </rcc>
  <rcc rId="10709" sId="1">
    <nc r="C50">
      <f>B50 &amp; "." &amp;  A50 &amp; "." &amp; RIGHT(YEAR(G50), 2)</f>
    </nc>
  </rcc>
  <rcc rId="10710" sId="1">
    <nc r="C51">
      <f>B51 &amp; "." &amp;  A51 &amp; "." &amp; RIGHT(YEAR(G51), 2)</f>
    </nc>
  </rcc>
  <rcc rId="10711" sId="1">
    <nc r="C52">
      <f>B52 &amp; "." &amp;  A52 &amp; "." &amp; RIGHT(YEAR(G52), 2)</f>
    </nc>
  </rcc>
  <rcc rId="10712" sId="1">
    <nc r="C53">
      <f>B53 &amp; "." &amp;  A53 &amp; "." &amp; RIGHT(YEAR(G53), 2)</f>
    </nc>
  </rcc>
  <rcc rId="10713" sId="1">
    <nc r="C54">
      <f>B54 &amp; "." &amp;  A54 &amp; "." &amp; RIGHT(YEAR(G54), 2)</f>
    </nc>
  </rcc>
  <rcc rId="10714" sId="1">
    <nc r="C55">
      <f>B55 &amp; "." &amp;  A55 &amp; "." &amp; RIGHT(YEAR(G55), 2)</f>
    </nc>
  </rcc>
  <rcc rId="10715" sId="1">
    <nc r="C56">
      <f>B56 &amp; "." &amp;  A56 &amp; "." &amp; RIGHT(YEAR(G56), 2)</f>
    </nc>
  </rcc>
  <rcc rId="10716" sId="1">
    <nc r="C57">
      <f>B57 &amp; "." &amp;  A57 &amp; "." &amp; RIGHT(YEAR(G57), 2)</f>
    </nc>
  </rcc>
  <rcc rId="10717" sId="1">
    <nc r="C58">
      <f>B58 &amp; "." &amp;  A58 &amp; "." &amp; RIGHT(YEAR(G58), 2)</f>
    </nc>
  </rcc>
  <rcc rId="10718" sId="1">
    <nc r="C59">
      <f>B59 &amp; "." &amp;  A59 &amp; "." &amp; RIGHT(YEAR(G59), 2)</f>
    </nc>
  </rcc>
  <rcc rId="10719" sId="1">
    <nc r="C60">
      <f>B60 &amp; "." &amp;  A60 &amp; "." &amp; RIGHT(YEAR(G60), 2)</f>
    </nc>
  </rcc>
  <rcc rId="10720" sId="1">
    <nc r="C61">
      <f>B61 &amp; "." &amp;  A61 &amp; "." &amp; RIGHT(YEAR(G61), 2)</f>
    </nc>
  </rcc>
  <rcc rId="10721" sId="1">
    <nc r="C62">
      <f>B62 &amp; "." &amp;  A62 &amp; "." &amp; RIGHT(YEAR(G62), 2)</f>
    </nc>
  </rcc>
  <rcc rId="10722" sId="1">
    <nc r="C63">
      <f>B63 &amp; "." &amp;  A63 &amp; "." &amp; RIGHT(YEAR(G63), 2)</f>
    </nc>
  </rcc>
  <rcc rId="10723" sId="1">
    <nc r="C64">
      <f>B64 &amp; "." &amp;  A64 &amp; "." &amp; RIGHT(YEAR(G64), 2)</f>
    </nc>
  </rcc>
  <rcc rId="10724" sId="1">
    <nc r="C65">
      <f>B65 &amp; "." &amp;  A65 &amp; "." &amp; RIGHT(YEAR(G65), 2)</f>
    </nc>
  </rcc>
  <rcc rId="10725" sId="1">
    <nc r="C66">
      <f>B66 &amp; "." &amp;  A66 &amp; "." &amp; RIGHT(YEAR(G66), 2)</f>
    </nc>
  </rcc>
  <rcc rId="10726" sId="1">
    <nc r="C67">
      <f>B67 &amp; "." &amp;  A67 &amp; "." &amp; RIGHT(YEAR(G67), 2)</f>
    </nc>
  </rcc>
  <rcc rId="10727" sId="1">
    <nc r="C68">
      <f>B68 &amp; "." &amp;  A68 &amp; "." &amp; RIGHT(YEAR(G68), 2)</f>
    </nc>
  </rcc>
  <rcc rId="10728" sId="1">
    <nc r="C69">
      <f>B69 &amp; "." &amp;  A69 &amp; "." &amp; RIGHT(YEAR(G69), 2)</f>
    </nc>
  </rcc>
  <rcc rId="10729" sId="1">
    <nc r="C70">
      <f>B70 &amp; "." &amp;  A70 &amp; "." &amp; RIGHT(YEAR(G70), 2)</f>
    </nc>
  </rcc>
  <rcc rId="10730" sId="1">
    <nc r="C71">
      <f>B71 &amp; "." &amp;  A71 &amp; "." &amp; RIGHT(YEAR(G71), 2)</f>
    </nc>
  </rcc>
  <rcc rId="10731" sId="1">
    <nc r="C72">
      <f>B72 &amp; "." &amp;  A72 &amp; "." &amp; RIGHT(YEAR(G72), 2)</f>
    </nc>
  </rcc>
  <rcc rId="10732" sId="1">
    <nc r="C73">
      <f>B73 &amp; "." &amp;  A73 &amp; "." &amp; RIGHT(YEAR(G73), 2)</f>
    </nc>
  </rcc>
  <rcc rId="10733" sId="1">
    <nc r="C74">
      <f>B74 &amp; "." &amp;  A74 &amp; "." &amp; RIGHT(YEAR(G74), 2)</f>
    </nc>
  </rcc>
  <rcc rId="10734" sId="1">
    <nc r="C75">
      <f>B75 &amp; "." &amp;  A75 &amp; "." &amp; RIGHT(YEAR(G75), 2)</f>
    </nc>
  </rcc>
  <rcc rId="10735" sId="1">
    <nc r="C76">
      <f>B76 &amp; "." &amp;  A76 &amp; "." &amp; RIGHT(YEAR(G76), 2)</f>
    </nc>
  </rcc>
  <rcc rId="10736" sId="1">
    <nc r="C77">
      <f>B77 &amp; "." &amp;  A77 &amp; "." &amp; RIGHT(YEAR(G77), 2)</f>
    </nc>
  </rcc>
  <rcc rId="10737" sId="1">
    <nc r="C78">
      <f>B78 &amp; "." &amp;  A78 &amp; "." &amp; RIGHT(YEAR(G78), 2)</f>
    </nc>
  </rcc>
  <rcc rId="10738" sId="1">
    <nc r="C79">
      <f>B79 &amp; "." &amp;  A79 &amp; "." &amp; RIGHT(YEAR(G79), 2)</f>
    </nc>
  </rcc>
  <rcc rId="10739" sId="1">
    <nc r="C80">
      <f>B80 &amp; "." &amp;  A80 &amp; "." &amp; RIGHT(YEAR(G80), 2)</f>
    </nc>
  </rcc>
  <rcc rId="10740" sId="1">
    <nc r="C81">
      <f>B81 &amp; "." &amp;  A81 &amp; "." &amp; RIGHT(YEAR(G81), 2)</f>
    </nc>
  </rcc>
  <rcc rId="10741" sId="1">
    <nc r="C82">
      <f>B82 &amp; "." &amp;  A82 &amp; "." &amp; RIGHT(YEAR(G82), 2)</f>
    </nc>
  </rcc>
  <rcc rId="10742" sId="1">
    <nc r="C83">
      <f>B83 &amp; "." &amp;  A83 &amp; "." &amp; RIGHT(YEAR(G83), 2)</f>
    </nc>
  </rcc>
  <rcc rId="10743" sId="1">
    <nc r="C84">
      <f>B84 &amp; "." &amp;  A84 &amp; "." &amp; RIGHT(YEAR(G84), 2)</f>
    </nc>
  </rcc>
  <rcc rId="10744" sId="1">
    <nc r="C85">
      <f>B85 &amp; "." &amp;  A85 &amp; "." &amp; RIGHT(YEAR(G85), 2)</f>
    </nc>
  </rcc>
  <rcc rId="10745" sId="1">
    <nc r="C86">
      <f>B86 &amp; "." &amp;  A86 &amp; "." &amp; RIGHT(YEAR(G86), 2)</f>
    </nc>
  </rcc>
  <rcc rId="10746" sId="1">
    <nc r="C87">
      <f>B87 &amp; "." &amp;  A87 &amp; "." &amp; RIGHT(YEAR(G87), 2)</f>
    </nc>
  </rcc>
  <rcc rId="10747" sId="1">
    <nc r="C88">
      <f>B88 &amp; "." &amp;  A88 &amp; "." &amp; RIGHT(YEAR(G88), 2)</f>
    </nc>
  </rcc>
  <rcc rId="10748" sId="1">
    <nc r="C89">
      <f>B89 &amp; "." &amp;  A89 &amp; "." &amp; RIGHT(YEAR(G89), 2)</f>
    </nc>
  </rcc>
  <rcc rId="10749" sId="1">
    <nc r="C90">
      <f>B90 &amp; "." &amp;  A90 &amp; "." &amp; RIGHT(YEAR(G90), 2)</f>
    </nc>
  </rcc>
  <rcc rId="10750" sId="1">
    <nc r="C91">
      <f>B91 &amp; "." &amp;  A91 &amp; "." &amp; RIGHT(YEAR(G91), 2)</f>
    </nc>
  </rcc>
  <rcc rId="10751" sId="1">
    <nc r="C92">
      <f>B92 &amp; "." &amp;  A92 &amp; "." &amp; RIGHT(YEAR(G92), 2)</f>
    </nc>
  </rcc>
  <rcc rId="10752" sId="1">
    <nc r="C93">
      <f>B93 &amp; "." &amp;  A93 &amp; "." &amp; RIGHT(YEAR(G93), 2)</f>
    </nc>
  </rcc>
  <rcc rId="10753" sId="1">
    <nc r="C94">
      <f>B94 &amp; "." &amp;  A94 &amp; "." &amp; RIGHT(YEAR(G94), 2)</f>
    </nc>
  </rcc>
  <rcc rId="10754" sId="1">
    <nc r="C95">
      <f>B95 &amp; "." &amp;  A95 &amp; "." &amp; RIGHT(YEAR(G95), 2)</f>
    </nc>
  </rcc>
  <rcc rId="10755" sId="1">
    <nc r="C96">
      <f>B96 &amp; "." &amp;  A96 &amp; "." &amp; RIGHT(YEAR(G96), 2)</f>
    </nc>
  </rcc>
  <rcc rId="10756" sId="1">
    <nc r="C97">
      <f>B97 &amp; "." &amp;  A97 &amp; "." &amp; RIGHT(YEAR(G97), 2)</f>
    </nc>
  </rcc>
  <rcc rId="10757" sId="1">
    <nc r="C98">
      <f>B98 &amp; "." &amp;  A98 &amp; "." &amp; RIGHT(YEAR(G98), 2)</f>
    </nc>
  </rcc>
  <rcc rId="10758" sId="1">
    <nc r="C99">
      <f>B99 &amp; "." &amp;  A99 &amp; "." &amp; RIGHT(YEAR(G99), 2)</f>
    </nc>
  </rcc>
  <rcc rId="10759" sId="1">
    <nc r="C100">
      <f>B100 &amp; "." &amp;  A100 &amp; "." &amp; RIGHT(YEAR(G100), 2)</f>
    </nc>
  </rcc>
  <rcc rId="10760" sId="1">
    <nc r="C101">
      <f>B101 &amp; "." &amp;  A101 &amp; "." &amp; RIGHT(YEAR(G101), 2)</f>
    </nc>
  </rcc>
  <rcc rId="10761" sId="1">
    <nc r="C102">
      <f>B102 &amp; "." &amp;  A102 &amp; "." &amp; RIGHT(YEAR(G102), 2)</f>
    </nc>
  </rcc>
  <rcc rId="10762" sId="1">
    <nc r="C103">
      <f>B103 &amp; "." &amp;  A103 &amp; "." &amp; RIGHT(YEAR(G103), 2)</f>
    </nc>
  </rcc>
  <rcc rId="10763" sId="1">
    <nc r="C104">
      <f>B104 &amp; "." &amp;  A104 &amp; "." &amp; RIGHT(YEAR(G104), 2)</f>
    </nc>
  </rcc>
  <rcc rId="10764" sId="1">
    <nc r="C105">
      <f>B105 &amp; "." &amp;  A105 &amp; "." &amp; RIGHT(YEAR(G105), 2)</f>
    </nc>
  </rcc>
  <rcc rId="10765" sId="1">
    <nc r="C106">
      <f>B106 &amp; "." &amp;  A106 &amp; "." &amp; RIGHT(YEAR(G106), 2)</f>
    </nc>
  </rcc>
  <rcc rId="10766" sId="1">
    <nc r="C107">
      <f>B107 &amp; "." &amp;  A107 &amp; "." &amp; RIGHT(YEAR(G107), 2)</f>
    </nc>
  </rcc>
  <rcc rId="10767" sId="1">
    <nc r="C108">
      <f>B108 &amp; "." &amp;  A108 &amp; "." &amp; RIGHT(YEAR(G108), 2)</f>
    </nc>
  </rcc>
  <rcc rId="10768" sId="1">
    <nc r="C109">
      <f>B109 &amp; "." &amp;  A109 &amp; "." &amp; RIGHT(YEAR(G109), 2)</f>
    </nc>
  </rcc>
  <rcc rId="10769" sId="1">
    <nc r="C110">
      <f>B110 &amp; "." &amp;  A110 &amp; "." &amp; RIGHT(YEAR(G110), 2)</f>
    </nc>
  </rcc>
  <rcc rId="10770" sId="1">
    <nc r="C111">
      <f>B111 &amp; "." &amp;  A111 &amp; "." &amp; RIGHT(YEAR(G111), 2)</f>
    </nc>
  </rcc>
  <rcc rId="10771" sId="1">
    <nc r="C112">
      <f>B112 &amp; "." &amp;  A112 &amp; "." &amp; RIGHT(YEAR(G112), 2)</f>
    </nc>
  </rcc>
  <rcc rId="10772" sId="1">
    <nc r="C113">
      <f>B113 &amp; "." &amp;  A113 &amp; "." &amp; RIGHT(YEAR(G113), 2)</f>
    </nc>
  </rcc>
  <rcc rId="10773" sId="1">
    <nc r="C114">
      <f>B114 &amp; "." &amp;  A114 &amp; "." &amp; RIGHT(YEAR(G114), 2)</f>
    </nc>
  </rcc>
  <rcc rId="10774" sId="1">
    <nc r="C115">
      <f>B115 &amp; "." &amp;  A115 &amp; "." &amp; RIGHT(YEAR(G115), 2)</f>
    </nc>
  </rcc>
  <rcc rId="10775" sId="1">
    <nc r="C116">
      <f>B116 &amp; "." &amp;  A116 &amp; "." &amp; RIGHT(YEAR(G116), 2)</f>
    </nc>
  </rcc>
  <rcc rId="10776" sId="1">
    <nc r="C117">
      <f>B117 &amp; "." &amp;  A117 &amp; "." &amp; RIGHT(YEAR(G117), 2)</f>
    </nc>
  </rcc>
  <rcc rId="10777" sId="1">
    <nc r="C118">
      <f>B118 &amp; "." &amp;  A118 &amp; "." &amp; RIGHT(YEAR(G118), 2)</f>
    </nc>
  </rcc>
  <rcc rId="10778" sId="1">
    <nc r="C119">
      <f>B119 &amp; "." &amp;  A119 &amp; "." &amp; RIGHT(YEAR(G119), 2)</f>
    </nc>
  </rcc>
  <rcc rId="10779" sId="1">
    <nc r="C120">
      <f>B120 &amp; "." &amp;  A120 &amp; "." &amp; RIGHT(YEAR(G120), 2)</f>
    </nc>
  </rcc>
  <rcc rId="10780" sId="1">
    <nc r="C121">
      <f>B121 &amp; "." &amp;  A121 &amp; "." &amp; RIGHT(YEAR(G121), 2)</f>
    </nc>
  </rcc>
  <rcc rId="10781" sId="1">
    <nc r="C122">
      <f>B122 &amp; "." &amp;  A122 &amp; "." &amp; RIGHT(YEAR(G122), 2)</f>
    </nc>
  </rcc>
  <rcc rId="10782" sId="1">
    <nc r="C123">
      <f>B123 &amp; "." &amp;  A123 &amp; "." &amp; RIGHT(YEAR(G123), 2)</f>
    </nc>
  </rcc>
  <rcc rId="10783" sId="1">
    <nc r="C124">
      <f>B124 &amp; "." &amp;  A124 &amp; "." &amp; RIGHT(YEAR(G124), 2)</f>
    </nc>
  </rcc>
  <rcc rId="10784" sId="1">
    <nc r="C125">
      <f>B125 &amp; "." &amp;  A125 &amp; "." &amp; RIGHT(YEAR(G125), 2)</f>
    </nc>
  </rcc>
  <rcc rId="10785" sId="1">
    <nc r="C126">
      <f>B126 &amp; "." &amp;  A126 &amp; "." &amp; RIGHT(YEAR(G126), 2)</f>
    </nc>
  </rcc>
  <rcc rId="10786" sId="1">
    <nc r="C127">
      <f>B127 &amp; "." &amp;  A127 &amp; "." &amp; RIGHT(YEAR(G127), 2)</f>
    </nc>
  </rcc>
  <rcc rId="10787" sId="1">
    <nc r="C128">
      <f>B128 &amp; "." &amp;  A128 &amp; "." &amp; RIGHT(YEAR(G128), 2)</f>
    </nc>
  </rcc>
  <rcc rId="10788" sId="1">
    <nc r="C129">
      <f>B129 &amp; "." &amp;  A129 &amp; "." &amp; RIGHT(YEAR(G129), 2)</f>
    </nc>
  </rcc>
  <rcc rId="10789" sId="1">
    <nc r="C130">
      <f>B130 &amp; "." &amp;  A130 &amp; "." &amp; RIGHT(YEAR(G130), 2)</f>
    </nc>
  </rcc>
  <rcc rId="10790" sId="1">
    <nc r="C131">
      <f>B131 &amp; "." &amp;  A131 &amp; "." &amp; RIGHT(YEAR(G131), 2)</f>
    </nc>
  </rcc>
  <rcc rId="10791" sId="1">
    <nc r="C132">
      <f>B132 &amp; "." &amp;  A132 &amp; "." &amp; RIGHT(YEAR(G132), 2)</f>
    </nc>
  </rcc>
  <rcc rId="10792" sId="1">
    <nc r="C133">
      <f>B133 &amp; "." &amp;  A133 &amp; "." &amp; RIGHT(YEAR(G133), 2)</f>
    </nc>
  </rcc>
  <rcc rId="10793" sId="1">
    <nc r="C134">
      <f>B134 &amp; "." &amp;  A134 &amp; "." &amp; RIGHT(YEAR(G134), 2)</f>
    </nc>
  </rcc>
  <rcc rId="10794" sId="1">
    <nc r="C135">
      <f>B135 &amp; "." &amp;  A135 &amp; "." &amp; RIGHT(YEAR(G135), 2)</f>
    </nc>
  </rcc>
  <rcc rId="10795" sId="1">
    <nc r="C137">
      <f>B137 &amp; "." &amp;  A137 &amp; "." &amp; RIGHT(YEAR(G137), 2)</f>
    </nc>
  </rcc>
  <rcc rId="10796" sId="1">
    <nc r="C139">
      <f>B139 &amp; "." &amp;  A139 &amp; "." &amp; RIGHT(YEAR(G139), 2)</f>
    </nc>
  </rcc>
  <rcc rId="10797" sId="1">
    <nc r="C141">
      <f>B141 &amp; "." &amp;  A141 &amp; "." &amp; RIGHT(YEAR(G141), 2)</f>
    </nc>
  </rcc>
  <rcc rId="10798" sId="1">
    <nc r="C142">
      <f>B142 &amp; "." &amp;  A142 &amp; "." &amp; RIGHT(YEAR(G142), 2)</f>
    </nc>
  </rcc>
  <rcc rId="10799" sId="1">
    <nc r="C144">
      <f>B144 &amp; "." &amp;  A144 &amp; "." &amp; RIGHT(YEAR(G144), 2)</f>
    </nc>
  </rcc>
  <rcc rId="10800" sId="1">
    <nc r="C147">
      <f>B147 &amp; "." &amp;  A147 &amp; "." &amp; RIGHT(YEAR(G147), 2)</f>
    </nc>
  </rcc>
  <rcc rId="10801" sId="1">
    <nc r="C150">
      <f>B150 &amp; "." &amp;  A150 &amp; "." &amp; RIGHT(YEAR(G150), 2)</f>
    </nc>
  </rcc>
  <rcc rId="10802" sId="1">
    <nc r="C152">
      <f>B152 &amp; "." &amp;  A152 &amp; "." &amp; RIGHT(YEAR(G152), 2)</f>
    </nc>
  </rcc>
  <rcc rId="10803" sId="1">
    <nc r="C156">
      <f>B156 &amp; "." &amp;  A156 &amp; "." &amp; RIGHT(YEAR(G156), 2)</f>
    </nc>
  </rcc>
  <rcc rId="10804" sId="1">
    <nc r="C158">
      <f>B158 &amp; "." &amp;  A158 &amp; "." &amp; RIGHT(YEAR(G158), 2)</f>
    </nc>
  </rcc>
  <rcc rId="10805" sId="1">
    <nc r="C161">
      <f>B161 &amp; "." &amp;  A161 &amp; "." &amp; RIGHT(YEAR(G161), 2)</f>
    </nc>
  </rcc>
  <rcc rId="10806" sId="1">
    <nc r="C164">
      <f>B164 &amp; "." &amp;  A164 &amp; "." &amp; RIGHT(YEAR(G164), 2)</f>
    </nc>
  </rcc>
  <rcc rId="10807" sId="1">
    <nc r="C167">
      <f>B167 &amp; "." &amp;  A167 &amp; "." &amp; RIGHT(YEAR(G167), 2)</f>
    </nc>
  </rcc>
  <rcc rId="10808" sId="1">
    <nc r="C168">
      <f>B168 &amp; "." &amp;  A168 &amp; "." &amp; RIGHT(YEAR(G168), 2)</f>
    </nc>
  </rcc>
  <rcc rId="10809" sId="1">
    <nc r="C170">
      <f>B170 &amp; "." &amp;  A170 &amp; "." &amp; RIGHT(YEAR(G170), 2)</f>
    </nc>
  </rcc>
  <rcc rId="10810" sId="1">
    <nc r="C173">
      <f>B173 &amp; "." &amp;  A173 &amp; "." &amp; RIGHT(YEAR(G173), 2)</f>
    </nc>
  </rcc>
  <rcc rId="10811" sId="1">
    <nc r="C174">
      <f>B174 &amp; "." &amp;  A174 &amp; "." &amp; RIGHT(YEAR(G174), 2)</f>
    </nc>
  </rcc>
  <rcc rId="10812" sId="1">
    <nc r="C177">
      <f>B177 &amp; "." &amp;  A177 &amp; "." &amp; RIGHT(YEAR(G177), 2)</f>
    </nc>
  </rcc>
  <rcc rId="10813" sId="1">
    <nc r="C179">
      <f>B179 &amp; "." &amp;  A179 &amp; "." &amp; RIGHT(YEAR(G179), 2)</f>
    </nc>
  </rcc>
  <rcc rId="10814" sId="1">
    <nc r="C181">
      <f>B181 &amp; "." &amp;  A181 &amp; "." &amp; RIGHT(YEAR(G181), 2)</f>
    </nc>
  </rcc>
  <rcc rId="10815" sId="1">
    <nc r="C182">
      <f>B182 &amp; "." &amp;  A182 &amp; "." &amp; RIGHT(YEAR(G182), 2)</f>
    </nc>
  </rcc>
  <rcc rId="10816" sId="1">
    <nc r="C184">
      <f>B184 &amp; "." &amp;  A184 &amp; "." &amp; RIGHT(YEAR(G184), 2)</f>
    </nc>
  </rcc>
  <rcc rId="10817" sId="1">
    <nc r="C187">
      <f>B187 &amp; "." &amp;  A187 &amp; "." &amp; RIGHT(YEAR(G187), 2)</f>
    </nc>
  </rcc>
  <rcc rId="10818" sId="1">
    <nc r="C188">
      <f>B188 &amp; "." &amp;  A188 &amp; "." &amp; RIGHT(YEAR(G188), 2)</f>
    </nc>
  </rcc>
  <rcc rId="10819" sId="1">
    <nc r="C192">
      <f>B192 &amp; "." &amp;  A192 &amp; "." &amp; RIGHT(YEAR(G192), 2)</f>
    </nc>
  </rcc>
  <rcc rId="10820" sId="1">
    <nc r="C193">
      <f>B193 &amp; "." &amp;  A193 &amp; "." &amp; RIGHT(YEAR(G193), 2)</f>
    </nc>
  </rcc>
  <rcc rId="10821" sId="1">
    <nc r="C195">
      <f>B195 &amp; "." &amp;  A195 &amp; "." &amp; RIGHT(YEAR(G195), 2)</f>
    </nc>
  </rcc>
  <rcc rId="10822" sId="1">
    <nc r="C198">
      <f>B198 &amp; "." &amp;  A198 &amp; "." &amp; RIGHT(YEAR(G198), 2)</f>
    </nc>
  </rcc>
  <rcc rId="10823" sId="1">
    <nc r="C199">
      <f>B199 &amp; "." &amp;  A199 &amp; "." &amp; RIGHT(YEAR(G199), 2)</f>
    </nc>
  </rcc>
  <rcc rId="10824" sId="1">
    <nc r="C201">
      <f>B201 &amp; "." &amp;  A201 &amp; "." &amp; RIGHT(YEAR(G201), 2)</f>
    </nc>
  </rcc>
  <rcc rId="10825" sId="1">
    <nc r="C202">
      <f>B202 &amp; "." &amp;  A202 &amp; "." &amp; RIGHT(YEAR(G202), 2)</f>
    </nc>
  </rcc>
  <rcc rId="10826" sId="1">
    <nc r="C206">
      <f>B206 &amp; "." &amp;  A206 &amp; "." &amp; RIGHT(YEAR(G206), 2)</f>
    </nc>
  </rcc>
  <rcc rId="10827" sId="1">
    <nc r="C208">
      <f>B208 &amp; "." &amp;  A208 &amp; "." &amp; RIGHT(YEAR(G208), 2)</f>
    </nc>
  </rcc>
  <rcc rId="10828" sId="1">
    <nc r="C210">
      <f>B210 &amp; "." &amp;  A210 &amp; "." &amp; RIGHT(YEAR(G210), 2)</f>
    </nc>
  </rcc>
  <rcc rId="10829" sId="1">
    <nc r="C211">
      <f>B211 &amp; "." &amp;  A211 &amp; "." &amp; RIGHT(YEAR(G211), 2)</f>
    </nc>
  </rcc>
  <rcc rId="10830" sId="1">
    <nc r="C213">
      <f>B213 &amp; "." &amp;  A213 &amp; "." &amp; RIGHT(YEAR(G213), 2)</f>
    </nc>
  </rcc>
  <rcc rId="10831" sId="1">
    <nc r="C214">
      <f>B214 &amp; "." &amp;  A214 &amp; "." &amp; RIGHT(YEAR(G214), 2)</f>
    </nc>
  </rcc>
  <rcc rId="10832" sId="1">
    <nc r="C218">
      <f>B218 &amp; "." &amp;  A218 &amp; "." &amp; RIGHT(YEAR(G218), 2)</f>
    </nc>
  </rcc>
  <rcc rId="10833" sId="1">
    <nc r="C220">
      <f>B220 &amp; "." &amp;  A220 &amp; "." &amp; RIGHT(YEAR(G220), 2)</f>
    </nc>
  </rcc>
  <rcc rId="10834" sId="1">
    <nc r="C222">
      <f>B222 &amp; "." &amp;  A222 &amp; "." &amp; RIGHT(YEAR(G222), 2)</f>
    </nc>
  </rcc>
  <rcc rId="10835" sId="1">
    <nc r="C225">
      <f>B225 &amp; "." &amp;  A225 &amp; "." &amp; RIGHT(YEAR(G225), 2)</f>
    </nc>
  </rcc>
  <rcc rId="10836" sId="1">
    <nc r="C228">
      <f>B228 &amp; "." &amp;  A228 &amp; "." &amp; RIGHT(YEAR(G228), 2)</f>
    </nc>
  </rcc>
  <rcc rId="10837" sId="1">
    <nc r="C230">
      <f>B230 &amp; "." &amp;  A230 &amp; "." &amp; RIGHT(YEAR(G230), 2)</f>
    </nc>
  </rcc>
  <rcc rId="10838" sId="1">
    <nc r="C232">
      <f>B232 &amp; "." &amp;  A232 &amp; "." &amp; RIGHT(YEAR(G232), 2)</f>
    </nc>
  </rcc>
  <rcc rId="10839" sId="1">
    <nc r="C234">
      <f>B234 &amp; "." &amp;  A234 &amp; "." &amp; RIGHT(YEAR(G234), 2)</f>
    </nc>
  </rcc>
  <rcc rId="10840" sId="1">
    <nc r="C237">
      <f>B237 &amp; "." &amp;  A237 &amp; "." &amp; RIGHT(YEAR(G237), 2)</f>
    </nc>
  </rcc>
  <rcc rId="10841" sId="1">
    <nc r="C238">
      <f>B238 &amp; "." &amp;  A238 &amp; "." &amp; RIGHT(YEAR(G238), 2)</f>
    </nc>
  </rcc>
  <rcc rId="10842" sId="1">
    <nc r="C240">
      <f>B240 &amp; "." &amp;  A240 &amp; "." &amp; RIGHT(YEAR(G240), 2)</f>
    </nc>
  </rcc>
  <rcc rId="10843" sId="1">
    <nc r="C242">
      <f>B242 &amp; "." &amp;  A242 &amp; "." &amp; RIGHT(YEAR(G242), 2)</f>
    </nc>
  </rcc>
  <rcc rId="10844" sId="1">
    <nc r="C243">
      <f>B243 &amp; "." &amp;  A243 &amp; "." &amp; RIGHT(YEAR(G243), 2)</f>
    </nc>
  </rcc>
  <rcc rId="10845" sId="1">
    <nc r="C244">
      <f>B244 &amp; "." &amp;  A244 &amp; "." &amp; RIGHT(YEAR(G244), 2)</f>
    </nc>
  </rcc>
  <rcc rId="10846" sId="1">
    <nc r="C245">
      <f>B245 &amp; "." &amp;  A245 &amp; "." &amp; RIGHT(YEAR(G245), 2)</f>
    </nc>
  </rcc>
  <rcc rId="10847" sId="1">
    <nc r="C246">
      <f>B246 &amp; "." &amp;  A246 &amp; "." &amp; RIGHT(YEAR(G246), 2)</f>
    </nc>
  </rcc>
  <rcc rId="10848" sId="1">
    <nc r="C247">
      <f>B247 &amp; "." &amp;  A247 &amp; "." &amp; RIGHT(YEAR(G247), 2)</f>
    </nc>
  </rcc>
  <rcc rId="10849" sId="1">
    <nc r="C248">
      <f>B248 &amp; "." &amp;  A248 &amp; "." &amp; RIGHT(YEAR(G248), 2)</f>
    </nc>
  </rcc>
  <rcc rId="10850" sId="1">
    <nc r="C249">
      <f>B249 &amp; "." &amp;  A249 &amp; "." &amp; RIGHT(YEAR(G249), 2)</f>
    </nc>
  </rcc>
  <rcc rId="10851" sId="1">
    <nc r="C250">
      <f>B250 &amp; "." &amp;  A250 &amp; "." &amp; RIGHT(YEAR(G250), 2)</f>
    </nc>
  </rcc>
  <rcc rId="10852" sId="1">
    <nc r="C251">
      <f>B251 &amp; "." &amp;  A251 &amp; "." &amp; RIGHT(YEAR(G251), 2)</f>
    </nc>
  </rcc>
  <rcc rId="10853" sId="1">
    <nc r="C252">
      <f>B252 &amp; "." &amp;  A252 &amp; "." &amp; RIGHT(YEAR(G252), 2)</f>
    </nc>
  </rcc>
  <rcc rId="10854" sId="1">
    <nc r="C253">
      <f>B253 &amp; "." &amp;  A253 &amp; "." &amp; RIGHT(YEAR(G253), 2)</f>
    </nc>
  </rcc>
  <rcc rId="10855" sId="1">
    <nc r="C254">
      <f>B254 &amp; "." &amp;  A254 &amp; "." &amp; RIGHT(YEAR(G254), 2)</f>
    </nc>
  </rcc>
  <rcc rId="10856" sId="1">
    <nc r="C255">
      <f>B255 &amp; "." &amp;  A255 &amp; "." &amp; RIGHT(YEAR(G255), 2)</f>
    </nc>
  </rcc>
  <rcc rId="10857" sId="1">
    <nc r="C256">
      <f>B256 &amp; "." &amp;  A256 &amp; "." &amp; RIGHT(YEAR(G256), 2)</f>
    </nc>
  </rcc>
  <rcc rId="10858" sId="1">
    <nc r="C257">
      <f>B257 &amp; "." &amp;  A257 &amp; "." &amp; RIGHT(YEAR(G257), 2)</f>
    </nc>
  </rcc>
  <rcc rId="10859" sId="1">
    <nc r="C258">
      <f>B258 &amp; "." &amp;  A258 &amp; "." &amp; RIGHT(YEAR(G258), 2)</f>
    </nc>
  </rcc>
  <rcc rId="10860" sId="1">
    <nc r="C259">
      <f>B259 &amp; "." &amp;  A259 &amp; "." &amp; RIGHT(YEAR(G259), 2)</f>
    </nc>
  </rcc>
  <rcc rId="10861" sId="1">
    <nc r="C260">
      <f>B260 &amp; "." &amp;  A260 &amp; "." &amp; RIGHT(YEAR(G260), 2)</f>
    </nc>
  </rcc>
  <rcc rId="10862" sId="1">
    <nc r="C261">
      <f>B261 &amp; "." &amp;  A261 &amp; "." &amp; RIGHT(YEAR(G261), 2)</f>
    </nc>
  </rcc>
  <rcc rId="10863" sId="1">
    <nc r="C262">
      <f>B262 &amp; "." &amp;  A262 &amp; "." &amp; RIGHT(YEAR(G262), 2)</f>
    </nc>
  </rcc>
  <rcc rId="10864" sId="1">
    <nc r="C263">
      <f>B263 &amp; "." &amp;  A263 &amp; "." &amp; RIGHT(YEAR(G263), 2)</f>
    </nc>
  </rcc>
  <rcc rId="10865" sId="1">
    <nc r="C264">
      <f>B264 &amp; "." &amp;  A264 &amp; "." &amp; RIGHT(YEAR(G264), 2)</f>
    </nc>
  </rcc>
  <rcc rId="10866" sId="1">
    <nc r="C265">
      <f>B265 &amp; "." &amp;  A265 &amp; "." &amp; RIGHT(YEAR(G265), 2)</f>
    </nc>
  </rcc>
  <rcc rId="10867" sId="1">
    <nc r="C266">
      <f>B266 &amp; "." &amp;  A266 &amp; "." &amp; RIGHT(YEAR(G266), 2)</f>
    </nc>
  </rcc>
  <rcc rId="10868" sId="1">
    <nc r="C267">
      <f>B267 &amp; "." &amp;  A267 &amp; "." &amp; RIGHT(YEAR(G267), 2)</f>
    </nc>
  </rcc>
  <rcc rId="10869" sId="1">
    <nc r="C268">
      <f>B268 &amp; "." &amp;  A268 &amp; "." &amp; RIGHT(YEAR(G268), 2)</f>
    </nc>
  </rcc>
  <rcc rId="10870" sId="1">
    <nc r="C269">
      <f>B269 &amp; "." &amp;  A269 &amp; "." &amp; RIGHT(YEAR(G269), 2)</f>
    </nc>
  </rcc>
  <rcc rId="10871" sId="1">
    <nc r="C270">
      <f>B270 &amp; "." &amp;  A270 &amp; "." &amp; RIGHT(YEAR(G270), 2)</f>
    </nc>
  </rcc>
  <rcc rId="10872" sId="1">
    <nc r="C271">
      <f>B271 &amp; "." &amp;  A271 &amp; "." &amp; RIGHT(YEAR(G271), 2)</f>
    </nc>
  </rcc>
  <rcc rId="10873" sId="1">
    <nc r="C272">
      <f>B272 &amp; "." &amp;  A272 &amp; "." &amp; RIGHT(YEAR(G272), 2)</f>
    </nc>
  </rcc>
  <rcc rId="10874" sId="1">
    <nc r="C273">
      <f>B273 &amp; "." &amp;  A273 &amp; "." &amp; RIGHT(YEAR(G273), 2)</f>
    </nc>
  </rcc>
  <rcc rId="10875" sId="1">
    <nc r="C274">
      <f>B274 &amp; "." &amp;  A274 &amp; "." &amp; RIGHT(YEAR(G274), 2)</f>
    </nc>
  </rcc>
  <rcc rId="10876" sId="1">
    <nc r="C275">
      <f>B275 &amp; "." &amp;  A275 &amp; "." &amp; RIGHT(YEAR(G275), 2)</f>
    </nc>
  </rcc>
  <rcc rId="10877" sId="1">
    <nc r="C276">
      <f>B276 &amp; "." &amp;  A276 &amp; "." &amp; RIGHT(YEAR(G276), 2)</f>
    </nc>
  </rcc>
  <rcc rId="10878" sId="1">
    <nc r="C277">
      <f>B277 &amp; "." &amp;  A277 &amp; "." &amp; RIGHT(YEAR(G277), 2)</f>
    </nc>
  </rcc>
  <rcc rId="10879" sId="1">
    <nc r="C278">
      <f>B278 &amp; "." &amp;  A278 &amp; "." &amp; RIGHT(YEAR(G278), 2)</f>
    </nc>
  </rcc>
  <rcc rId="10880" sId="1">
    <nc r="C279">
      <f>B279 &amp; "." &amp;  A279 &amp; "." &amp; RIGHT(YEAR(G279), 2)</f>
    </nc>
  </rcc>
  <rcc rId="10881" sId="1">
    <nc r="C280">
      <f>B280 &amp; "." &amp;  A280 &amp; "." &amp; RIGHT(YEAR(G280), 2)</f>
    </nc>
  </rcc>
  <rcc rId="10882" sId="1">
    <nc r="C281">
      <f>B281 &amp; "." &amp;  A281 &amp; "." &amp; RIGHT(YEAR(G281), 2)</f>
    </nc>
  </rcc>
  <rcc rId="10883" sId="1">
    <nc r="C282">
      <f>B282 &amp; "." &amp;  A282 &amp; "." &amp; RIGHT(YEAR(G282), 2)</f>
    </nc>
  </rcc>
  <rcc rId="10884" sId="1">
    <nc r="C283">
      <f>B283 &amp; "." &amp;  A283 &amp; "." &amp; RIGHT(YEAR(G283), 2)</f>
    </nc>
  </rcc>
  <rcc rId="10885" sId="1">
    <nc r="C284">
      <f>B284 &amp; "." &amp;  A284 &amp; "." &amp; RIGHT(YEAR(G284), 2)</f>
    </nc>
  </rcc>
  <rcc rId="10886" sId="1">
    <nc r="C285">
      <f>B285 &amp; "." &amp;  A285 &amp; "." &amp; RIGHT(YEAR(G285), 2)</f>
    </nc>
  </rcc>
  <rcc rId="10887" sId="1">
    <nc r="C286">
      <f>B286 &amp; "." &amp;  A286 &amp; "." &amp; RIGHT(YEAR(G286), 2)</f>
    </nc>
  </rcc>
  <rcc rId="10888" sId="1">
    <nc r="C287">
      <f>B287 &amp; "." &amp;  A287 &amp; "." &amp; RIGHT(YEAR(G287), 2)</f>
    </nc>
  </rcc>
  <rcc rId="10889" sId="1">
    <nc r="C288">
      <f>B288 &amp; "." &amp;  A288 &amp; "." &amp; RIGHT(YEAR(G288), 2)</f>
    </nc>
  </rcc>
  <rcc rId="10890" sId="1">
    <nc r="C289">
      <f>B289 &amp; "." &amp;  A289 &amp; "." &amp; RIGHT(YEAR(G289), 2)</f>
    </nc>
  </rcc>
  <rcc rId="10891" sId="1">
    <nc r="C290">
      <f>B290 &amp; "." &amp;  A290 &amp; "." &amp; RIGHT(YEAR(G290), 2)</f>
    </nc>
  </rcc>
  <rcc rId="10892" sId="1">
    <nc r="C291">
      <f>B291 &amp; "." &amp;  A291 &amp; "." &amp; RIGHT(YEAR(G291), 2)</f>
    </nc>
  </rcc>
  <rcc rId="10893" sId="1">
    <nc r="C292">
      <f>B292 &amp; "." &amp;  A292 &amp; "." &amp; RIGHT(YEAR(G292), 2)</f>
    </nc>
  </rcc>
  <rcc rId="10894" sId="1">
    <nc r="C293">
      <f>B293 &amp; "." &amp;  A293 &amp; "." &amp; RIGHT(YEAR(G293), 2)</f>
    </nc>
  </rcc>
  <rcc rId="10895" sId="1">
    <nc r="C294">
      <f>B294 &amp; "." &amp;  A294 &amp; "." &amp; RIGHT(YEAR(G294), 2)</f>
    </nc>
  </rcc>
  <rcc rId="10896" sId="1">
    <nc r="C295">
      <f>B295 &amp; "." &amp;  A295 &amp; "." &amp; RIGHT(YEAR(G295), 2)</f>
    </nc>
  </rcc>
  <rcc rId="10897" sId="1">
    <nc r="C296">
      <f>B296 &amp; "." &amp;  A296 &amp; "." &amp; RIGHT(YEAR(G296), 2)</f>
    </nc>
  </rcc>
  <rcc rId="10898" sId="1">
    <nc r="C297">
      <f>B297 &amp; "." &amp;  A297 &amp; "." &amp; RIGHT(YEAR(G297), 2)</f>
    </nc>
  </rcc>
  <rcc rId="10899" sId="1">
    <nc r="C298">
      <f>B298 &amp; "." &amp;  A298 &amp; "." &amp; RIGHT(YEAR(G298), 2)</f>
    </nc>
  </rcc>
  <rcc rId="10900" sId="1">
    <nc r="C299">
      <f>B299 &amp; "." &amp;  A299 &amp; "." &amp; RIGHT(YEAR(G299), 2)</f>
    </nc>
  </rcc>
  <rcc rId="10901" sId="1">
    <nc r="C300">
      <f>B300 &amp; "." &amp;  A300 &amp; "." &amp; RIGHT(YEAR(G300), 2)</f>
    </nc>
  </rcc>
  <rcc rId="10902" sId="1">
    <nc r="C301">
      <f>B301 &amp; "." &amp;  A301 &amp; "." &amp; RIGHT(YEAR(G301), 2)</f>
    </nc>
  </rcc>
  <rcc rId="10903" sId="1">
    <nc r="C302">
      <f>B302 &amp; "." &amp;  A302 &amp; "." &amp; RIGHT(YEAR(G302), 2)</f>
    </nc>
  </rcc>
  <rcc rId="10904" sId="1">
    <nc r="C303">
      <f>B303 &amp; "." &amp;  A303 &amp; "." &amp; RIGHT(YEAR(G303), 2)</f>
    </nc>
  </rcc>
  <rcc rId="10905" sId="1">
    <nc r="C304">
      <f>B304 &amp; "." &amp;  A304 &amp; "." &amp; RIGHT(YEAR(G304), 2)</f>
    </nc>
  </rcc>
  <rcc rId="10906" sId="1">
    <nc r="C305">
      <f>B305 &amp; "." &amp;  A305 &amp; "." &amp; RIGHT(YEAR(G305), 2)</f>
    </nc>
  </rcc>
  <rcc rId="10907" sId="1">
    <nc r="C306">
      <f>B306 &amp; "." &amp;  A306 &amp; "." &amp; RIGHT(YEAR(G306), 2)</f>
    </nc>
  </rcc>
  <rcc rId="10908" sId="1">
    <nc r="C307">
      <f>B307 &amp; "." &amp;  A307 &amp; "." &amp; RIGHT(YEAR(G307), 2)</f>
    </nc>
  </rcc>
  <rcc rId="10909" sId="1">
    <nc r="C308">
      <f>B308 &amp; "." &amp;  A308 &amp; "." &amp; RIGHT(YEAR(G308), 2)</f>
    </nc>
  </rcc>
  <rcc rId="10910" sId="1">
    <nc r="C309">
      <f>B309 &amp; "." &amp;  A309 &amp; "." &amp; RIGHT(YEAR(G309), 2)</f>
    </nc>
  </rcc>
  <rcc rId="10911" sId="1">
    <nc r="C310">
      <f>B310 &amp; "." &amp;  A310 &amp; "." &amp; RIGHT(YEAR(G310), 2)</f>
    </nc>
  </rcc>
  <rcc rId="10912" sId="1">
    <nc r="C311">
      <f>B311 &amp; "." &amp;  A311 &amp; "." &amp; RIGHT(YEAR(G311), 2)</f>
    </nc>
  </rcc>
  <rcc rId="10913" sId="1">
    <nc r="C312">
      <f>B312 &amp; "." &amp;  A312 &amp; "." &amp; RIGHT(YEAR(G312), 2)</f>
    </nc>
  </rcc>
  <rcc rId="10914" sId="1">
    <nc r="C313">
      <f>B313 &amp; "." &amp;  A313 &amp; "." &amp; RIGHT(YEAR(G313), 2)</f>
    </nc>
  </rcc>
  <rcc rId="10915" sId="1">
    <nc r="C314">
      <f>B314 &amp; "." &amp;  A314 &amp; "." &amp; RIGHT(YEAR(G314), 2)</f>
    </nc>
  </rcc>
  <rcc rId="10916" sId="1">
    <nc r="C315">
      <f>B315 &amp; "." &amp;  A315 &amp; "." &amp; RIGHT(YEAR(G315), 2)</f>
    </nc>
  </rcc>
  <rcc rId="10917" sId="1">
    <nc r="C316">
      <f>B316 &amp; "." &amp;  A316 &amp; "." &amp; RIGHT(YEAR(G316), 2)</f>
    </nc>
  </rcc>
  <rcc rId="10918" sId="1">
    <nc r="C317">
      <f>B317 &amp; "." &amp;  A317 &amp; "." &amp; RIGHT(YEAR(G317), 2)</f>
    </nc>
  </rcc>
  <rcc rId="10919" sId="1">
    <nc r="C318">
      <f>B318 &amp; "." &amp;  A318 &amp; "." &amp; RIGHT(YEAR(G318), 2)</f>
    </nc>
  </rcc>
  <rcc rId="10920" sId="1">
    <nc r="C319">
      <f>B319 &amp; "." &amp;  A319 &amp; "." &amp; RIGHT(YEAR(G319), 2)</f>
    </nc>
  </rcc>
  <rcc rId="10921" sId="1">
    <nc r="C320">
      <f>B320 &amp; "." &amp;  A320 &amp; "." &amp; RIGHT(YEAR(G320), 2)</f>
    </nc>
  </rcc>
  <rcc rId="10922" sId="1">
    <nc r="C321">
      <f>B321 &amp; "." &amp;  A321 &amp; "." &amp; RIGHT(YEAR(G321), 2)</f>
    </nc>
  </rcc>
  <rcc rId="10923" sId="1">
    <nc r="C322">
      <f>B322 &amp; "." &amp;  A322 &amp; "." &amp; RIGHT(YEAR(G322), 2)</f>
    </nc>
  </rcc>
  <rcc rId="10924" sId="1">
    <nc r="C323">
      <f>B323 &amp; "." &amp;  A323 &amp; "." &amp; RIGHT(YEAR(G323), 2)</f>
    </nc>
  </rcc>
  <rcc rId="10925" sId="1">
    <nc r="C324">
      <f>B324 &amp; "." &amp;  A324 &amp; "." &amp; RIGHT(YEAR(G324), 2)</f>
    </nc>
  </rcc>
  <rcc rId="10926" sId="1">
    <nc r="C325">
      <f>B325 &amp; "." &amp;  A325 &amp; "." &amp; RIGHT(YEAR(G325), 2)</f>
    </nc>
  </rcc>
  <rcc rId="10927" sId="1">
    <nc r="C326">
      <f>B326 &amp; "." &amp;  A326 &amp; "." &amp; RIGHT(YEAR(G326), 2)</f>
    </nc>
  </rcc>
  <rcc rId="10928" sId="1">
    <nc r="C328">
      <f>B328 &amp; "." &amp;  A328 &amp; "." &amp; RIGHT(YEAR(G328), 2)</f>
    </nc>
  </rcc>
  <rcc rId="10929" sId="1">
    <nc r="C329">
      <f>B329 &amp; "." &amp;  A329 &amp; "." &amp; RIGHT(YEAR(G329), 2)</f>
    </nc>
  </rcc>
  <rcc rId="10930" sId="1">
    <nc r="C330">
      <f>B330 &amp; "." &amp;  A330 &amp; "." &amp; RIGHT(YEAR(G330), 2)</f>
    </nc>
  </rcc>
  <rcc rId="10931" sId="1">
    <nc r="C331">
      <f>B331 &amp; "." &amp;  A331 &amp; "." &amp; RIGHT(YEAR(G331), 2)</f>
    </nc>
  </rcc>
  <rcc rId="10932" sId="1">
    <nc r="C332">
      <f>B332 &amp; "." &amp;  A332 &amp; "." &amp; RIGHT(YEAR(G332), 2)</f>
    </nc>
  </rcc>
  <rcc rId="10933" sId="1">
    <nc r="C333">
      <f>B333 &amp; "." &amp;  A333 &amp; "." &amp; RIGHT(YEAR(G333), 2)</f>
    </nc>
  </rcc>
  <rcc rId="10934" sId="1">
    <nc r="C334">
      <f>B334 &amp; "." &amp;  A334 &amp; "." &amp; RIGHT(YEAR(G334), 2)</f>
    </nc>
  </rcc>
  <rcc rId="10935" sId="1">
    <nc r="C335">
      <f>B335 &amp; "." &amp;  A335 &amp; "." &amp; RIGHT(YEAR(G335), 2)</f>
    </nc>
  </rcc>
  <rcc rId="10936" sId="1">
    <nc r="C336">
      <f>B336 &amp; "." &amp;  A336 &amp; "." &amp; RIGHT(YEAR(G336), 2)</f>
    </nc>
  </rcc>
  <rcc rId="10937" sId="1">
    <nc r="C337">
      <f>B337 &amp; "." &amp;  A337 &amp; "." &amp; RIGHT(YEAR(G337), 2)</f>
    </nc>
  </rcc>
  <rcc rId="10938" sId="1">
    <nc r="C338">
      <f>B338 &amp; "." &amp;  A338 &amp; "." &amp; RIGHT(YEAR(G338), 2)</f>
    </nc>
  </rcc>
  <rcc rId="10939" sId="1">
    <nc r="C136">
      <f>B136 &amp; "." &amp;  A136 &amp; "." &amp; RIGHT(YEAR(G136), 2)</f>
    </nc>
  </rcc>
  <rcc rId="10940" sId="1">
    <nc r="C138">
      <f>B138 &amp; "." &amp;  A138 &amp; "." &amp; RIGHT(YEAR(G138), 2)</f>
    </nc>
  </rcc>
  <rcc rId="10941" sId="1">
    <nc r="C140">
      <f>B140 &amp; "." &amp;  A140 &amp; "." &amp; RIGHT(YEAR(G140), 2)</f>
    </nc>
  </rcc>
  <rcc rId="10942" sId="1">
    <nc r="C143">
      <f>B143 &amp; "." &amp;  A143 &amp; "." &amp; RIGHT(YEAR(G143), 2)</f>
    </nc>
  </rcc>
  <rcc rId="10943" sId="1">
    <nc r="C145">
      <f>B145 &amp; "." &amp;  A145 &amp; "." &amp; RIGHT(YEAR(G145), 2)</f>
    </nc>
  </rcc>
  <rcc rId="10944" sId="1">
    <nc r="C146">
      <f>B146 &amp; "." &amp;  A146 &amp; "." &amp; RIGHT(YEAR(G146), 2)</f>
    </nc>
  </rcc>
  <rcc rId="10945" sId="1">
    <nc r="C148">
      <f>B148 &amp; "." &amp;  A148 &amp; "." &amp; RIGHT(YEAR(G148), 2)</f>
    </nc>
  </rcc>
  <rcc rId="10946" sId="1">
    <nc r="C149">
      <f>B149 &amp; "." &amp;  A149 &amp; "." &amp; RIGHT(YEAR(G149), 2)</f>
    </nc>
  </rcc>
  <rcc rId="10947" sId="1">
    <nc r="C151">
      <f>B151 &amp; "." &amp;  A151 &amp; "." &amp; RIGHT(YEAR(G151), 2)</f>
    </nc>
  </rcc>
  <rcc rId="10948" sId="1">
    <nc r="C153">
      <f>B153 &amp; "." &amp;  A153 &amp; "." &amp; RIGHT(YEAR(G153), 2)</f>
    </nc>
  </rcc>
  <rcc rId="10949" sId="1">
    <nc r="C154">
      <f>B154 &amp; "." &amp;  A154 &amp; "." &amp; RIGHT(YEAR(G154), 2)</f>
    </nc>
  </rcc>
  <rcc rId="10950" sId="1">
    <nc r="C155">
      <f>B155 &amp; "." &amp;  A155 &amp; "." &amp; RIGHT(YEAR(G155), 2)</f>
    </nc>
  </rcc>
  <rcc rId="10951" sId="1">
    <nc r="C157">
      <f>B157 &amp; "." &amp;  A157 &amp; "." &amp; RIGHT(YEAR(G157), 2)</f>
    </nc>
  </rcc>
  <rcc rId="10952" sId="1">
    <nc r="C159">
      <f>B159 &amp; "." &amp;  A159 &amp; "." &amp; RIGHT(YEAR(G159), 2)</f>
    </nc>
  </rcc>
  <rcc rId="10953" sId="1">
    <nc r="C160">
      <f>B160 &amp; "." &amp;  A160 &amp; "." &amp; RIGHT(YEAR(G160), 2)</f>
    </nc>
  </rcc>
  <rcc rId="10954" sId="1">
    <nc r="C162">
      <f>B162 &amp; "." &amp;  A162 &amp; "." &amp; RIGHT(YEAR(G162), 2)</f>
    </nc>
  </rcc>
  <rcc rId="10955" sId="1">
    <nc r="C163">
      <f>B163 &amp; "." &amp;  A163 &amp; "." &amp; RIGHT(YEAR(G163), 2)</f>
    </nc>
  </rcc>
  <rcc rId="10956" sId="1">
    <nc r="C165">
      <f>B165 &amp; "." &amp;  A165 &amp; "." &amp; RIGHT(YEAR(G165), 2)</f>
    </nc>
  </rcc>
  <rcc rId="10957" sId="1">
    <nc r="C166">
      <f>B166 &amp; "." &amp;  A166 &amp; "." &amp; RIGHT(YEAR(G166), 2)</f>
    </nc>
  </rcc>
  <rcc rId="10958" sId="1">
    <nc r="C169">
      <f>B169 &amp; "." &amp;  A169 &amp; "." &amp; RIGHT(YEAR(G169), 2)</f>
    </nc>
  </rcc>
  <rcc rId="10959" sId="1">
    <nc r="C171">
      <f>B171 &amp; "." &amp;  A171 &amp; "." &amp; RIGHT(YEAR(G171), 2)</f>
    </nc>
  </rcc>
  <rcc rId="10960" sId="1">
    <nc r="C172">
      <f>B172 &amp; "." &amp;  A172 &amp; "." &amp; RIGHT(YEAR(G172), 2)</f>
    </nc>
  </rcc>
  <rcc rId="10961" sId="1">
    <nc r="C175">
      <f>B175 &amp; "." &amp;  A175 &amp; "." &amp; RIGHT(YEAR(G175), 2)</f>
    </nc>
  </rcc>
  <rcc rId="10962" sId="1">
    <nc r="C176">
      <f>B176 &amp; "." &amp;  A176 &amp; "." &amp; RIGHT(YEAR(G176), 2)</f>
    </nc>
  </rcc>
  <rcc rId="10963" sId="1">
    <nc r="C178">
      <f>B178 &amp; "." &amp;  A178 &amp; "." &amp; RIGHT(YEAR(G178), 2)</f>
    </nc>
  </rcc>
  <rcc rId="10964" sId="1">
    <nc r="C180">
      <f>B180 &amp; "." &amp;  A180 &amp; "." &amp; RIGHT(YEAR(G180), 2)</f>
    </nc>
  </rcc>
  <rcc rId="10965" sId="1">
    <nc r="C183">
      <f>B183 &amp; "." &amp;  A183 &amp; "." &amp; RIGHT(YEAR(G183), 2)</f>
    </nc>
  </rcc>
  <rcc rId="10966" sId="1">
    <nc r="C185">
      <f>B185 &amp; "." &amp;  A185 &amp; "." &amp; RIGHT(YEAR(G185), 2)</f>
    </nc>
  </rcc>
  <rcc rId="10967" sId="1">
    <nc r="C186">
      <f>B186 &amp; "." &amp;  A186 &amp; "." &amp; RIGHT(YEAR(G186), 2)</f>
    </nc>
  </rcc>
  <rcc rId="10968" sId="1">
    <nc r="C189">
      <f>B189 &amp; "." &amp;  A189 &amp; "." &amp; RIGHT(YEAR(G189), 2)</f>
    </nc>
  </rcc>
  <rcc rId="10969" sId="1">
    <nc r="C190">
      <f>B190 &amp; "." &amp;  A190 &amp; "." &amp; RIGHT(YEAR(G190), 2)</f>
    </nc>
  </rcc>
  <rcc rId="10970" sId="1">
    <nc r="C191">
      <f>B191 &amp; "." &amp;  A191 &amp; "." &amp; RIGHT(YEAR(G191), 2)</f>
    </nc>
  </rcc>
  <rcc rId="10971" sId="1">
    <nc r="C194">
      <f>B194 &amp; "." &amp;  A194 &amp; "." &amp; RIGHT(YEAR(G194), 2)</f>
    </nc>
  </rcc>
  <rcc rId="10972" sId="1">
    <nc r="C196">
      <f>B196 &amp; "." &amp;  A196 &amp; "." &amp; RIGHT(YEAR(G196), 2)</f>
    </nc>
  </rcc>
  <rcc rId="10973" sId="1">
    <nc r="C197">
      <f>B197 &amp; "." &amp;  A197 &amp; "." &amp; RIGHT(YEAR(G197), 2)</f>
    </nc>
  </rcc>
  <rcc rId="10974" sId="1">
    <nc r="C200">
      <f>B200 &amp; "." &amp;  A200 &amp; "." &amp; RIGHT(YEAR(G200), 2)</f>
    </nc>
  </rcc>
  <rcc rId="10975" sId="1">
    <nc r="C203">
      <f>B203 &amp; "." &amp;  A203 &amp; "." &amp; RIGHT(YEAR(G203), 2)</f>
    </nc>
  </rcc>
  <rcc rId="10976" sId="1">
    <nc r="C205">
      <f>B205 &amp; "." &amp;  A205 &amp; "." &amp; RIGHT(YEAR(G205), 2)</f>
    </nc>
  </rcc>
  <rcc rId="10977" sId="1">
    <nc r="C207">
      <f>B207 &amp; "." &amp;  A207 &amp; "." &amp; RIGHT(YEAR(G207), 2)</f>
    </nc>
  </rcc>
  <rcc rId="10978" sId="1">
    <nc r="C209">
      <f>B209 &amp; "." &amp;  A209 &amp; "." &amp; RIGHT(YEAR(G209), 2)</f>
    </nc>
  </rcc>
  <rcc rId="10979" sId="1">
    <nc r="C212">
      <f>B212 &amp; "." &amp;  A212 &amp; "." &amp; RIGHT(YEAR(G212), 2)</f>
    </nc>
  </rcc>
  <rcc rId="10980" sId="1">
    <nc r="C215">
      <f>B215 &amp; "." &amp;  A215 &amp; "." &amp; RIGHT(YEAR(G215), 2)</f>
    </nc>
  </rcc>
  <rcc rId="10981" sId="1">
    <nc r="C216">
      <f>B216 &amp; "." &amp;  A216 &amp; "." &amp; RIGHT(YEAR(G216), 2)</f>
    </nc>
  </rcc>
  <rcc rId="10982" sId="1">
    <nc r="C217">
      <f>B217 &amp; "." &amp;  A217 &amp; "." &amp; RIGHT(YEAR(G217), 2)</f>
    </nc>
  </rcc>
  <rcc rId="10983" sId="1">
    <nc r="C219">
      <f>B219 &amp; "." &amp;  A219 &amp; "." &amp; RIGHT(YEAR(G219), 2)</f>
    </nc>
  </rcc>
  <rcc rId="10984" sId="1">
    <nc r="C221">
      <f>B221 &amp; "." &amp;  A221 &amp; "." &amp; RIGHT(YEAR(G221), 2)</f>
    </nc>
  </rcc>
  <rcc rId="10985" sId="1">
    <nc r="C223">
      <f>B223 &amp; "." &amp;  A223 &amp; "." &amp; RIGHT(YEAR(G223), 2)</f>
    </nc>
  </rcc>
  <rcc rId="10986" sId="1">
    <nc r="C224">
      <f>B224 &amp; "." &amp;  A224 &amp; "." &amp; RIGHT(YEAR(G224), 2)</f>
    </nc>
  </rcc>
  <rcc rId="10987" sId="1">
    <nc r="C227">
      <f>B227 &amp; "." &amp;  A227 &amp; "." &amp; RIGHT(YEAR(G227), 2)</f>
    </nc>
  </rcc>
  <rcc rId="10988" sId="1">
    <nc r="C229">
      <f>B229 &amp; "." &amp;  A229 &amp; "." &amp; RIGHT(YEAR(G229), 2)</f>
    </nc>
  </rcc>
  <rcc rId="10989" sId="1">
    <nc r="C231">
      <f>B231 &amp; "." &amp;  A231 &amp; "." &amp; RIGHT(YEAR(G231), 2)</f>
    </nc>
  </rcc>
  <rcc rId="10990" sId="1">
    <nc r="C233">
      <f>B233 &amp; "." &amp;  A233 &amp; "." &amp; RIGHT(YEAR(G233), 2)</f>
    </nc>
  </rcc>
  <rcc rId="10991" sId="1">
    <nc r="C235">
      <f>B235 &amp; "." &amp;  A235 &amp; "." &amp; RIGHT(YEAR(G235), 2)</f>
    </nc>
  </rcc>
  <rcc rId="10992" sId="1">
    <nc r="C236">
      <f>B236 &amp; "." &amp;  A236 &amp; "." &amp; RIGHT(YEAR(G236), 2)</f>
    </nc>
  </rcc>
  <rcc rId="10993" sId="1">
    <nc r="C239">
      <f>B239 &amp; "." &amp;  A239 &amp; "." &amp; RIGHT(YEAR(G239), 2)</f>
    </nc>
  </rcc>
  <rcc rId="10994" sId="1">
    <nc r="C241">
      <f>B241 &amp; "." &amp;  A241 &amp; "." &amp; RIGHT(YEAR(G241), 2)</f>
    </nc>
  </rcc>
  <rcc rId="10995" sId="1">
    <nc r="C327">
      <f>B327 &amp; "." &amp;  A327 &amp; "." &amp; RIGHT(YEAR(G327), 2)</f>
    </nc>
  </rcc>
  <rcc rId="10996" sId="1">
    <nc r="C204">
      <f>B204 &amp; "." &amp;  A204 &amp; "." &amp; RIGHT(YEAR(G204), 2)</f>
    </nc>
  </rcc>
  <rcc rId="10997" sId="1">
    <nc r="C226">
      <f>B226 &amp; "." &amp;  A226 &amp; "." &amp; RIGHT(YEAR(G226), 2)</f>
    </nc>
  </rcc>
  <rrc rId="10998" sId="2" ref="C1:C1048576" action="insertCol" edge="1"/>
  <rcc rId="10999" sId="2">
    <nc r="C1" t="inlineStr">
      <is>
        <t>nest2</t>
      </is>
    </nc>
  </rcc>
  <rcc rId="11000" sId="2">
    <nc r="C3">
      <f>B3 &amp; "." &amp;  A3 &amp; "." &amp; RIGHT(YEAR(G3), 2)</f>
    </nc>
  </rcc>
</revisions>
</file>

<file path=xl/revisions/revisionLog7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001" sId="2">
    <nc r="C4">
      <f>B4 &amp; "." &amp;  A4 &amp; "." &amp; RIGHT(YEAR(G4), 2)</f>
    </nc>
  </rcc>
  <rcc rId="11002" sId="2">
    <nc r="C5">
      <f>B5 &amp; "." &amp;  A5 &amp; "." &amp; RIGHT(YEAR(G5), 2)</f>
    </nc>
  </rcc>
  <rcc rId="11003" sId="2">
    <nc r="C6">
      <f>B6 &amp; "." &amp;  A6 &amp; "." &amp; RIGHT(YEAR(G6), 2)</f>
    </nc>
  </rcc>
  <rcc rId="11004" sId="2">
    <nc r="C7">
      <f>B7 &amp; "." &amp;  A7 &amp; "." &amp; RIGHT(YEAR(G7), 2)</f>
    </nc>
  </rcc>
  <rcc rId="11005" sId="2">
    <nc r="C12">
      <f>B12 &amp; "." &amp;  A12 &amp; "." &amp; RIGHT(YEAR(G12), 2)</f>
    </nc>
  </rcc>
  <rcc rId="11006" sId="2">
    <nc r="C13">
      <f>B13 &amp; "." &amp;  A13 &amp; "." &amp; RIGHT(YEAR(G13), 2)</f>
    </nc>
  </rcc>
  <rcc rId="11007" sId="2">
    <nc r="C14">
      <f>B14 &amp; "." &amp;  A14 &amp; "." &amp; RIGHT(YEAR(G14), 2)</f>
    </nc>
  </rcc>
  <rcc rId="11008" sId="2">
    <nc r="C15">
      <f>B15 &amp; "." &amp;  A15 &amp; "." &amp; RIGHT(YEAR(G15), 2)</f>
    </nc>
  </rcc>
  <rcc rId="11009" sId="2">
    <nc r="C16">
      <f>B16 &amp; "." &amp;  A16 &amp; "." &amp; RIGHT(YEAR(G16), 2)</f>
    </nc>
  </rcc>
  <rcc rId="11010" sId="2">
    <nc r="C17">
      <f>B17 &amp; "." &amp;  A17 &amp; "." &amp; RIGHT(YEAR(G17), 2)</f>
    </nc>
  </rcc>
  <rcc rId="11011" sId="2">
    <nc r="C18">
      <f>B18 &amp; "." &amp;  A18 &amp; "." &amp; RIGHT(YEAR(G18), 2)</f>
    </nc>
  </rcc>
  <rcc rId="11012" sId="2">
    <nc r="C19">
      <f>B19 &amp; "." &amp;  A19 &amp; "." &amp; RIGHT(YEAR(G19), 2)</f>
    </nc>
  </rcc>
  <rcc rId="11013" sId="2">
    <nc r="C20">
      <f>B20 &amp; "." &amp;  A20 &amp; "." &amp; RIGHT(YEAR(G20), 2)</f>
    </nc>
  </rcc>
  <rcc rId="11014" sId="2">
    <nc r="C21">
      <f>B21 &amp; "." &amp;  A21 &amp; "." &amp; RIGHT(YEAR(G21), 2)</f>
    </nc>
  </rcc>
  <rcc rId="11015" sId="2">
    <nc r="C71">
      <f>B71 &amp; "." &amp;  A71 &amp; "." &amp; RIGHT(YEAR(G71), 2)</f>
    </nc>
  </rcc>
  <rcc rId="11016" sId="2">
    <nc r="C72">
      <f>B72 &amp; "." &amp;  A72 &amp; "." &amp; RIGHT(YEAR(G72), 2)</f>
    </nc>
  </rcc>
  <rcc rId="11017" sId="2">
    <nc r="C73">
      <f>B73 &amp; "." &amp;  A73 &amp; "." &amp; RIGHT(YEAR(G73), 2)</f>
    </nc>
  </rcc>
  <rcc rId="11018" sId="2">
    <nc r="C74">
      <f>B74 &amp; "." &amp;  A74 &amp; "." &amp; RIGHT(YEAR(G74), 2)</f>
    </nc>
  </rcc>
  <rcc rId="11019" sId="2">
    <nc r="C75">
      <f>B75 &amp; "." &amp;  A75 &amp; "." &amp; RIGHT(YEAR(G75), 2)</f>
    </nc>
  </rcc>
  <rcc rId="11020" sId="2">
    <nc r="C76">
      <f>B76 &amp; "." &amp;  A76 &amp; "." &amp; RIGHT(YEAR(G76), 2)</f>
    </nc>
  </rcc>
  <rcc rId="11021" sId="2">
    <nc r="C8">
      <f>B8 &amp; "." &amp;  A8 &amp; "." &amp; RIGHT(YEAR(G8), 2)</f>
    </nc>
  </rcc>
  <rcc rId="11022" sId="2">
    <nc r="C9">
      <f>B9 &amp; "." &amp;  A9 &amp; "." &amp; RIGHT(YEAR(G9), 2)</f>
    </nc>
  </rcc>
  <rcc rId="11023" sId="2">
    <nc r="C10">
      <f>B10 &amp; "." &amp;  A10 &amp; "." &amp; RIGHT(YEAR(G10), 2)</f>
    </nc>
  </rcc>
  <rcc rId="11024" sId="2">
    <nc r="C11">
      <f>B11 &amp; "." &amp;  A11 &amp; "." &amp; RIGHT(YEAR(G11), 2)</f>
    </nc>
  </rcc>
  <rcc rId="11025" sId="2">
    <nc r="C22">
      <f>B22 &amp; "." &amp;  A22 &amp; "." &amp; RIGHT(YEAR(G22), 2)</f>
    </nc>
  </rcc>
  <rcc rId="11026" sId="2">
    <nc r="C24">
      <f>B24 &amp; "." &amp;  A24 &amp; "." &amp; RIGHT(YEAR(G24), 2)</f>
    </nc>
  </rcc>
  <rcc rId="11027" sId="2">
    <nc r="C25">
      <f>B25 &amp; "." &amp;  A25 &amp; "." &amp; RIGHT(YEAR(G25), 2)</f>
    </nc>
  </rcc>
  <rcc rId="11028" sId="2">
    <nc r="C23">
      <f>B23 &amp; "." &amp;  A23 &amp; "." &amp; RIGHT(YEAR(G23), 2)</f>
    </nc>
  </rcc>
  <rcc rId="11029" sId="2">
    <nc r="C26">
      <f>B26 &amp; "." &amp;  A26 &amp; "." &amp; RIGHT(YEAR(G26), 2)</f>
    </nc>
  </rcc>
  <rcc rId="11030" sId="2">
    <nc r="C27">
      <f>B27 &amp; "." &amp;  A27 &amp; "." &amp; RIGHT(YEAR(G27), 2)</f>
    </nc>
  </rcc>
  <rcc rId="11031" sId="2">
    <nc r="C28">
      <f>B28 &amp; "." &amp;  A28 &amp; "." &amp; RIGHT(YEAR(G28), 2)</f>
    </nc>
  </rcc>
  <rcc rId="11032" sId="2">
    <nc r="C29">
      <f>B29 &amp; "." &amp;  A29 &amp; "." &amp; RIGHT(YEAR(G29), 2)</f>
    </nc>
  </rcc>
  <rcc rId="11033" sId="2">
    <nc r="C2">
      <f>B2 &amp; "." &amp;  A2 &amp; "." &amp; RIGHT(YEAR(G2), 2)</f>
    </nc>
  </rcc>
  <rcc rId="11034" sId="2">
    <nc r="C30">
      <f>B30 &amp; "." &amp;  A30 &amp; "." &amp; RIGHT(YEAR(G30), 2)</f>
    </nc>
  </rcc>
  <rcc rId="11035" sId="2">
    <nc r="C31">
      <f>B31 &amp; "." &amp;  A31 &amp; "." &amp; RIGHT(YEAR(G31), 2)</f>
    </nc>
  </rcc>
  <rcc rId="11036" sId="2">
    <nc r="C32">
      <f>B32 &amp; "." &amp;  A32 &amp; "." &amp; RIGHT(YEAR(G32), 2)</f>
    </nc>
  </rcc>
  <rcc rId="11037" sId="2">
    <nc r="C33">
      <f>B33 &amp; "." &amp;  A33 &amp; "." &amp; RIGHT(YEAR(G33), 2)</f>
    </nc>
  </rcc>
  <rcc rId="11038" sId="2">
    <nc r="C34">
      <f>B34 &amp; "." &amp;  A34 &amp; "." &amp; RIGHT(YEAR(G34), 2)</f>
    </nc>
  </rcc>
  <rcc rId="11039" sId="2">
    <nc r="C35">
      <f>B35 &amp; "." &amp;  A35 &amp; "." &amp; RIGHT(YEAR(G35), 2)</f>
    </nc>
  </rcc>
  <rcc rId="11040" sId="2">
    <nc r="C36">
      <f>B36 &amp; "." &amp;  A36 &amp; "." &amp; RIGHT(YEAR(G36), 2)</f>
    </nc>
  </rcc>
  <rcc rId="11041" sId="2">
    <nc r="C37">
      <f>B37 &amp; "." &amp;  A37 &amp; "." &amp; RIGHT(YEAR(G37), 2)</f>
    </nc>
  </rcc>
  <rcc rId="11042" sId="2">
    <nc r="C38">
      <f>B38 &amp; "." &amp;  A38 &amp; "." &amp; RIGHT(YEAR(G38), 2)</f>
    </nc>
  </rcc>
  <rcc rId="11043" sId="2">
    <nc r="C39">
      <f>B39 &amp; "." &amp;  A39 &amp; "." &amp; RIGHT(YEAR(G39), 2)</f>
    </nc>
  </rcc>
  <rcc rId="11044" sId="2">
    <nc r="C40">
      <f>B40 &amp; "." &amp;  A40 &amp; "." &amp; RIGHT(YEAR(G40), 2)</f>
    </nc>
  </rcc>
  <rcc rId="11045" sId="2">
    <nc r="C41">
      <f>B41 &amp; "." &amp;  A41 &amp; "." &amp; RIGHT(YEAR(G41), 2)</f>
    </nc>
  </rcc>
  <rcc rId="11046" sId="2">
    <nc r="C42">
      <f>B42 &amp; "." &amp;  A42 &amp; "." &amp; RIGHT(YEAR(G42), 2)</f>
    </nc>
  </rcc>
  <rcc rId="11047" sId="2">
    <nc r="C43">
      <f>B43 &amp; "." &amp;  A43 &amp; "." &amp; RIGHT(YEAR(G43), 2)</f>
    </nc>
  </rcc>
  <rcc rId="11048" sId="2">
    <nc r="C44">
      <f>B44 &amp; "." &amp;  A44 &amp; "." &amp; RIGHT(YEAR(G44), 2)</f>
    </nc>
  </rcc>
  <rcc rId="11049" sId="2">
    <nc r="C45">
      <f>B45 &amp; "." &amp;  A45 &amp; "." &amp; RIGHT(YEAR(G45), 2)</f>
    </nc>
  </rcc>
  <rcc rId="11050" sId="2">
    <nc r="C46">
      <f>B46 &amp; "." &amp;  A46 &amp; "." &amp; RIGHT(YEAR(G46), 2)</f>
    </nc>
  </rcc>
  <rcc rId="11051" sId="2">
    <nc r="C47">
      <f>B47 &amp; "." &amp;  A47 &amp; "." &amp; RIGHT(YEAR(G47), 2)</f>
    </nc>
  </rcc>
  <rcc rId="11052" sId="2">
    <nc r="C48">
      <f>B48 &amp; "." &amp;  A48 &amp; "." &amp; RIGHT(YEAR(G48), 2)</f>
    </nc>
  </rcc>
  <rcc rId="11053" sId="2">
    <nc r="C49">
      <f>B49 &amp; "." &amp;  A49 &amp; "." &amp; RIGHT(YEAR(G49), 2)</f>
    </nc>
  </rcc>
  <rcc rId="11054" sId="2">
    <nc r="C50">
      <f>B50 &amp; "." &amp;  A50 &amp; "." &amp; RIGHT(YEAR(G50), 2)</f>
    </nc>
  </rcc>
  <rcc rId="11055" sId="2">
    <nc r="C51">
      <f>B51 &amp; "." &amp;  A51 &amp; "." &amp; RIGHT(YEAR(G51), 2)</f>
    </nc>
  </rcc>
  <rcc rId="11056" sId="2">
    <nc r="C52">
      <f>B52 &amp; "." &amp;  A52 &amp; "." &amp; RIGHT(YEAR(G52), 2)</f>
    </nc>
  </rcc>
  <rcc rId="11057" sId="2">
    <nc r="C53">
      <f>B53 &amp; "." &amp;  A53 &amp; "." &amp; RIGHT(YEAR(G53), 2)</f>
    </nc>
  </rcc>
  <rcc rId="11058" sId="2">
    <nc r="C54">
      <f>B54 &amp; "." &amp;  A54 &amp; "." &amp; RIGHT(YEAR(G54), 2)</f>
    </nc>
  </rcc>
  <rcc rId="11059" sId="2">
    <nc r="C55">
      <f>B55 &amp; "." &amp;  A55 &amp; "." &amp; RIGHT(YEAR(G55), 2)</f>
    </nc>
  </rcc>
  <rcc rId="11060" sId="2">
    <nc r="C56">
      <f>B56 &amp; "." &amp;  A56 &amp; "." &amp; RIGHT(YEAR(G56), 2)</f>
    </nc>
  </rcc>
  <rcc rId="11061" sId="2">
    <nc r="C57">
      <f>B57 &amp; "." &amp;  A57 &amp; "." &amp; RIGHT(YEAR(G57), 2)</f>
    </nc>
  </rcc>
  <rcc rId="11062" sId="2">
    <nc r="C58">
      <f>B58 &amp; "." &amp;  A58 &amp; "." &amp; RIGHT(YEAR(G58), 2)</f>
    </nc>
  </rcc>
  <rcc rId="11063" sId="2">
    <nc r="C59">
      <f>B59 &amp; "." &amp;  A59 &amp; "." &amp; RIGHT(YEAR(G59), 2)</f>
    </nc>
  </rcc>
  <rcc rId="11064" sId="2">
    <nc r="C60">
      <f>B60 &amp; "." &amp;  A60 &amp; "." &amp; RIGHT(YEAR(G60), 2)</f>
    </nc>
  </rcc>
  <rcc rId="11065" sId="2">
    <nc r="C61">
      <f>B61 &amp; "." &amp;  A61 &amp; "." &amp; RIGHT(YEAR(G61), 2)</f>
    </nc>
  </rcc>
  <rcc rId="11066" sId="2">
    <nc r="C62">
      <f>B62 &amp; "." &amp;  A62 &amp; "." &amp; RIGHT(YEAR(G62), 2)</f>
    </nc>
  </rcc>
  <rcc rId="11067" sId="2">
    <nc r="C63">
      <f>B63 &amp; "." &amp;  A63 &amp; "." &amp; RIGHT(YEAR(G63), 2)</f>
    </nc>
  </rcc>
  <rcc rId="11068" sId="2">
    <nc r="C64">
      <f>B64 &amp; "." &amp;  A64 &amp; "." &amp; RIGHT(YEAR(G64), 2)</f>
    </nc>
  </rcc>
  <rcc rId="11069" sId="2">
    <nc r="C65">
      <f>B65 &amp; "." &amp;  A65 &amp; "." &amp; RIGHT(YEAR(G65), 2)</f>
    </nc>
  </rcc>
  <rcc rId="11070" sId="2">
    <nc r="C66">
      <f>B66 &amp; "." &amp;  A66 &amp; "." &amp; RIGHT(YEAR(G66), 2)</f>
    </nc>
  </rcc>
  <rcc rId="11071" sId="2">
    <nc r="C67">
      <f>B67 &amp; "." &amp;  A67 &amp; "." &amp; RIGHT(YEAR(G67), 2)</f>
    </nc>
  </rcc>
  <rcc rId="11072" sId="2">
    <nc r="C68">
      <f>B68 &amp; "." &amp;  A68 &amp; "." &amp; RIGHT(YEAR(G68), 2)</f>
    </nc>
  </rcc>
  <rcc rId="11073" sId="2">
    <nc r="C69">
      <f>B69 &amp; "." &amp;  A69 &amp; "." &amp; RIGHT(YEAR(G69), 2)</f>
    </nc>
  </rcc>
  <rcc rId="11074" sId="2">
    <nc r="C70">
      <f>B70 &amp; "." &amp;  A70 &amp; "." &amp; RIGHT(YEAR(G70), 2)</f>
    </nc>
  </rcc>
  <rcc rId="11075" sId="2">
    <nc r="C77">
      <f>B77 &amp; "." &amp;  A77 &amp; "." &amp; RIGHT(YEAR(G77), 2)</f>
    </nc>
  </rcc>
  <rcc rId="11076" sId="2">
    <nc r="C78">
      <f>B78 &amp; "." &amp;  A78 &amp; "." &amp; RIGHT(YEAR(G78), 2)</f>
    </nc>
  </rcc>
  <rcc rId="11077" sId="2">
    <nc r="C79">
      <f>B79 &amp; "." &amp;  A79 &amp; "." &amp; RIGHT(YEAR(G79), 2)</f>
    </nc>
  </rcc>
  <rcc rId="11078" sId="2">
    <nc r="C80">
      <f>B80 &amp; "." &amp;  A80 &amp; "." &amp; RIGHT(YEAR(G80), 2)</f>
    </nc>
  </rcc>
  <rcc rId="11079" sId="2">
    <nc r="C81">
      <f>B81 &amp; "." &amp;  A81 &amp; "." &amp; RIGHT(YEAR(G81), 2)</f>
    </nc>
  </rcc>
  <rcc rId="11080" sId="2">
    <nc r="C82">
      <f>B82 &amp; "." &amp;  A82 &amp; "." &amp; RIGHT(YEAR(G82), 2)</f>
    </nc>
  </rcc>
  <rcc rId="11081" sId="2">
    <nc r="C83">
      <f>B83 &amp; "." &amp;  A83 &amp; "." &amp; RIGHT(YEAR(G83), 2)</f>
    </nc>
  </rcc>
  <rcc rId="11082" sId="2">
    <nc r="C84">
      <f>B84 &amp; "." &amp;  A84 &amp; "." &amp; RIGHT(YEAR(G84), 2)</f>
    </nc>
  </rcc>
  <rcc rId="11083" sId="2">
    <nc r="C85">
      <f>B85 &amp; "." &amp;  A85 &amp; "." &amp; RIGHT(YEAR(G85), 2)</f>
    </nc>
  </rcc>
  <rcc rId="11084" sId="2">
    <nc r="C86">
      <f>B86 &amp; "." &amp;  A86 &amp; "." &amp; RIGHT(YEAR(G86), 2)</f>
    </nc>
  </rcc>
  <rcc rId="11085" sId="2">
    <nc r="C87">
      <f>B87 &amp; "." &amp;  A87 &amp; "." &amp; RIGHT(YEAR(G87), 2)</f>
    </nc>
  </rcc>
  <rcc rId="11086" sId="2">
    <nc r="C88">
      <f>B88 &amp; "." &amp;  A88 &amp; "." &amp; RIGHT(YEAR(G88), 2)</f>
    </nc>
  </rcc>
  <rcc rId="11087" sId="2">
    <nc r="C89">
      <f>B89 &amp; "." &amp;  A89 &amp; "." &amp; RIGHT(YEAR(G89), 2)</f>
    </nc>
  </rcc>
  <rcc rId="11088" sId="2">
    <nc r="C90">
      <f>B90 &amp; "." &amp;  A90 &amp; "." &amp; RIGHT(YEAR(G90), 2)</f>
    </nc>
  </rcc>
  <rcc rId="11089" sId="2">
    <nc r="C91">
      <f>B91 &amp; "." &amp;  A91 &amp; "." &amp; RIGHT(YEAR(G91), 2)</f>
    </nc>
  </rcc>
  <rcc rId="11090" sId="2">
    <nc r="C92">
      <f>B92 &amp; "." &amp;  A92 &amp; "." &amp; RIGHT(YEAR(G92), 2)</f>
    </nc>
  </rcc>
  <rcc rId="11091" sId="2">
    <nc r="C93">
      <f>B93 &amp; "." &amp;  A93 &amp; "." &amp; RIGHT(YEAR(G93), 2)</f>
    </nc>
  </rcc>
  <rcc rId="11092" sId="2">
    <nc r="C94">
      <f>B94 &amp; "." &amp;  A94 &amp; "." &amp; RIGHT(YEAR(G94), 2)</f>
    </nc>
  </rcc>
  <rcc rId="11093" sId="2">
    <nc r="C95">
      <f>B95 &amp; "." &amp;  A95 &amp; "." &amp; RIGHT(YEAR(G95), 2)</f>
    </nc>
  </rcc>
  <rcc rId="11094" sId="2">
    <nc r="C96">
      <f>B96 &amp; "." &amp;  A96 &amp; "." &amp; RIGHT(YEAR(G96), 2)</f>
    </nc>
  </rcc>
  <rcc rId="11095" sId="2">
    <nc r="C97">
      <f>B97 &amp; "." &amp;  A97 &amp; "." &amp; RIGHT(YEAR(G97), 2)</f>
    </nc>
  </rcc>
  <rcc rId="11096" sId="2">
    <nc r="C98">
      <f>B98 &amp; "." &amp;  A98 &amp; "." &amp; RIGHT(YEAR(G98), 2)</f>
    </nc>
  </rcc>
  <rcc rId="11097" sId="2">
    <nc r="C99">
      <f>B99 &amp; "." &amp;  A99 &amp; "." &amp; RIGHT(YEAR(G99), 2)</f>
    </nc>
  </rcc>
  <rcc rId="11098" sId="2">
    <nc r="C100">
      <f>B100 &amp; "." &amp;  A100 &amp; "." &amp; RIGHT(YEAR(G100), 2)</f>
    </nc>
  </rcc>
  <rcc rId="11099" sId="2">
    <nc r="C101">
      <f>B101 &amp; "." &amp;  A101 &amp; "." &amp; RIGHT(YEAR(G101), 2)</f>
    </nc>
  </rcc>
  <rcc rId="11100" sId="2">
    <nc r="C102">
      <f>B102 &amp; "." &amp;  A102 &amp; "." &amp; RIGHT(YEAR(G102), 2)</f>
    </nc>
  </rcc>
  <rcc rId="11101" sId="2">
    <nc r="C103">
      <f>B103 &amp; "." &amp;  A103 &amp; "." &amp; RIGHT(YEAR(G103), 2)</f>
    </nc>
  </rcc>
  <rcc rId="11102" sId="2">
    <nc r="C104">
      <f>B104 &amp; "." &amp;  A104 &amp; "." &amp; RIGHT(YEAR(G104), 2)</f>
    </nc>
  </rcc>
  <rcc rId="11103" sId="2">
    <nc r="C105">
      <f>B105 &amp; "." &amp;  A105 &amp; "." &amp; RIGHT(YEAR(G105), 2)</f>
    </nc>
  </rcc>
  <rcc rId="11104" sId="2">
    <nc r="C106">
      <f>B106 &amp; "." &amp;  A106 &amp; "." &amp; RIGHT(YEAR(G106), 2)</f>
    </nc>
  </rcc>
  <rcc rId="11105" sId="2">
    <nc r="C107">
      <f>B107 &amp; "." &amp;  A107 &amp; "." &amp; RIGHT(YEAR(G107), 2)</f>
    </nc>
  </rcc>
  <rcc rId="11106" sId="2">
    <nc r="C108">
      <f>B108 &amp; "." &amp;  A108 &amp; "." &amp; RIGHT(YEAR(G108), 2)</f>
    </nc>
  </rcc>
  <rcc rId="11107" sId="2">
    <nc r="C109">
      <f>B109 &amp; "." &amp;  A109 &amp; "." &amp; RIGHT(YEAR(G109), 2)</f>
    </nc>
  </rcc>
  <rcc rId="11108" sId="2">
    <nc r="C110">
      <f>B110 &amp; "." &amp;  A110 &amp; "." &amp; RIGHT(YEAR(G110), 2)</f>
    </nc>
  </rcc>
  <rcc rId="11109" sId="2">
    <nc r="C111">
      <f>B111 &amp; "." &amp;  A111 &amp; "." &amp; RIGHT(YEAR(G111), 2)</f>
    </nc>
  </rcc>
  <rcc rId="11110" sId="2">
    <nc r="C112">
      <f>B112 &amp; "." &amp;  A112 &amp; "." &amp; RIGHT(YEAR(G112), 2)</f>
    </nc>
  </rcc>
  <rcc rId="11111" sId="2">
    <nc r="C113">
      <f>B113 &amp; "." &amp;  A113 &amp; "." &amp; RIGHT(YEAR(G113), 2)</f>
    </nc>
  </rcc>
  <rcc rId="11112" sId="2">
    <nc r="C114">
      <f>B114 &amp; "." &amp;  A114 &amp; "." &amp; RIGHT(YEAR(G114), 2)</f>
    </nc>
  </rcc>
  <rcc rId="11113" sId="2">
    <nc r="C115">
      <f>B115 &amp; "." &amp;  A115 &amp; "." &amp; RIGHT(YEAR(G115), 2)</f>
    </nc>
  </rcc>
  <rcc rId="11114" sId="2">
    <nc r="C116">
      <f>B116 &amp; "." &amp;  A116 &amp; "." &amp; RIGHT(YEAR(G116), 2)</f>
    </nc>
  </rcc>
  <rcc rId="11115" sId="2">
    <nc r="C117">
      <f>B117 &amp; "." &amp;  A117 &amp; "." &amp; RIGHT(YEAR(G117), 2)</f>
    </nc>
  </rcc>
  <rcc rId="11116" sId="2">
    <nc r="C118">
      <f>B118 &amp; "." &amp;  A118 &amp; "." &amp; RIGHT(YEAR(G118), 2)</f>
    </nc>
  </rcc>
  <rcc rId="11117" sId="2">
    <nc r="C119">
      <f>B119 &amp; "." &amp;  A119 &amp; "." &amp; RIGHT(YEAR(G119), 2)</f>
    </nc>
  </rcc>
  <rcc rId="11118" sId="2">
    <nc r="C120">
      <f>B120 &amp; "." &amp;  A120 &amp; "." &amp; RIGHT(YEAR(G120), 2)</f>
    </nc>
  </rcc>
  <rcc rId="11119" sId="2">
    <nc r="C121">
      <f>B121 &amp; "." &amp;  A121 &amp; "." &amp; RIGHT(YEAR(G121), 2)</f>
    </nc>
  </rcc>
  <rcc rId="11120" sId="2">
    <nc r="C122">
      <f>B122 &amp; "." &amp;  A122 &amp; "." &amp; RIGHT(YEAR(G122), 2)</f>
    </nc>
  </rcc>
  <rcc rId="11121" sId="2">
    <nc r="C123">
      <f>B123 &amp; "." &amp;  A123 &amp; "." &amp; RIGHT(YEAR(G123), 2)</f>
    </nc>
  </rcc>
  <rcc rId="11122" sId="2">
    <nc r="C124">
      <f>B124 &amp; "." &amp;  A124 &amp; "." &amp; RIGHT(YEAR(G124), 2)</f>
    </nc>
  </rcc>
  <rcc rId="11123" sId="2">
    <nc r="C125">
      <f>B125 &amp; "." &amp;  A125 &amp; "." &amp; RIGHT(YEAR(G125), 2)</f>
    </nc>
  </rcc>
  <rcc rId="11124" sId="2">
    <nc r="C126">
      <f>B126 &amp; "." &amp;  A126 &amp; "." &amp; RIGHT(YEAR(G126), 2)</f>
    </nc>
  </rcc>
  <rcc rId="11125" sId="2">
    <nc r="C127">
      <f>B127 &amp; "." &amp;  A127 &amp; "." &amp; RIGHT(YEAR(G127), 2)</f>
    </nc>
  </rcc>
  <rcc rId="11126" sId="2">
    <nc r="C128">
      <f>B128 &amp; "." &amp;  A128 &amp; "." &amp; RIGHT(YEAR(G128), 2)</f>
    </nc>
  </rcc>
  <rcc rId="11127" sId="2">
    <nc r="C129">
      <f>B129 &amp; "." &amp;  A129 &amp; "." &amp; RIGHT(YEAR(G129), 2)</f>
    </nc>
  </rcc>
  <rcc rId="11128" sId="2">
    <nc r="C130">
      <f>B130 &amp; "." &amp;  A130 &amp; "." &amp; RIGHT(YEAR(G130), 2)</f>
    </nc>
  </rcc>
  <rcc rId="11129" sId="2">
    <nc r="C132">
      <f>B132 &amp; "." &amp;  A132 &amp; "." &amp; RIGHT(YEAR(G132), 2)</f>
    </nc>
  </rcc>
  <rcc rId="11130" sId="2">
    <nc r="C134">
      <f>B134 &amp; "." &amp;  A134 &amp; "." &amp; RIGHT(YEAR(G134), 2)</f>
    </nc>
  </rcc>
  <rcc rId="11131" sId="2">
    <nc r="C135">
      <f>B135 &amp; "." &amp;  A135 &amp; "." &amp; RIGHT(YEAR(G135), 2)</f>
    </nc>
  </rcc>
  <rcc rId="11132" sId="2">
    <nc r="C136">
      <f>B136 &amp; "." &amp;  A136 &amp; "." &amp; RIGHT(YEAR(G136), 2)</f>
    </nc>
  </rcc>
  <rcc rId="11133" sId="2">
    <nc r="C139">
      <f>B139 &amp; "." &amp;  A139 &amp; "." &amp; RIGHT(YEAR(G139), 2)</f>
    </nc>
  </rcc>
  <rcc rId="11134" sId="2">
    <nc r="C141">
      <f>B141 &amp; "." &amp;  A141 &amp; "." &amp; RIGHT(YEAR(G141), 2)</f>
    </nc>
  </rcc>
  <rcc rId="11135" sId="2">
    <nc r="C146">
      <f>B146 &amp; "." &amp;  A146 &amp; "." &amp; RIGHT(YEAR(G146), 2)</f>
    </nc>
  </rcc>
  <rcc rId="11136" sId="2">
    <nc r="C147">
      <f>B147 &amp; "." &amp;  A147 &amp; "." &amp; RIGHT(YEAR(G147), 2)</f>
    </nc>
  </rcc>
  <rcc rId="11137" sId="2">
    <nc r="C151">
      <f>B151 &amp; "." &amp;  A151 &amp; "." &amp; RIGHT(YEAR(G151), 2)</f>
    </nc>
  </rcc>
  <rcc rId="11138" sId="2">
    <nc r="C153">
      <f>B153 &amp; "." &amp;  A153 &amp; "." &amp; RIGHT(YEAR(G153), 2)</f>
    </nc>
  </rcc>
  <rcc rId="11139" sId="2">
    <nc r="C154">
      <f>B154 &amp; "." &amp;  A154 &amp; "." &amp; RIGHT(YEAR(G154), 2)</f>
    </nc>
  </rcc>
  <rcc rId="11140" sId="2">
    <nc r="C160">
      <f>B160 &amp; "." &amp;  A160 &amp; "." &amp; RIGHT(YEAR(G160), 2)</f>
    </nc>
  </rcc>
  <rcc rId="11141" sId="2">
    <nc r="C161">
      <f>B161 &amp; "." &amp;  A161 &amp; "." &amp; RIGHT(YEAR(G161), 2)</f>
    </nc>
  </rcc>
  <rcc rId="11142" sId="2">
    <nc r="C164">
      <f>B164 &amp; "." &amp;  A164 &amp; "." &amp; RIGHT(YEAR(G164), 2)</f>
    </nc>
  </rcc>
  <rcc rId="11143" sId="2">
    <nc r="C165">
      <f>B165 &amp; "." &amp;  A165 &amp; "." &amp; RIGHT(YEAR(G165), 2)</f>
    </nc>
  </rcc>
  <rcc rId="11144" sId="2">
    <nc r="C167">
      <f>B167 &amp; "." &amp;  A167 &amp; "." &amp; RIGHT(YEAR(G167), 2)</f>
    </nc>
  </rcc>
  <rcc rId="11145" sId="2">
    <nc r="C169">
      <f>B169 &amp; "." &amp;  A169 &amp; "." &amp; RIGHT(YEAR(G169), 2)</f>
    </nc>
  </rcc>
  <rcc rId="11146" sId="2">
    <nc r="C171">
      <f>B171 &amp; "." &amp;  A171 &amp; "." &amp; RIGHT(YEAR(G171), 2)</f>
    </nc>
  </rcc>
  <rcc rId="11147" sId="2">
    <nc r="C175">
      <f>B175 &amp; "." &amp;  A175 &amp; "." &amp; RIGHT(YEAR(G175), 2)</f>
    </nc>
  </rcc>
  <rcc rId="11148" sId="2">
    <nc r="C176">
      <f>B176 &amp; "." &amp;  A176 &amp; "." &amp; RIGHT(YEAR(G176), 2)</f>
    </nc>
  </rcc>
  <rcc rId="11149" sId="2">
    <nc r="C178">
      <f>B178 &amp; "." &amp;  A178 &amp; "." &amp; RIGHT(YEAR(G178), 2)</f>
    </nc>
  </rcc>
  <rcc rId="11150" sId="2">
    <nc r="C179">
      <f>B179 &amp; "." &amp;  A179 &amp; "." &amp; RIGHT(YEAR(G179), 2)</f>
    </nc>
  </rcc>
  <rcc rId="11151" sId="2">
    <nc r="C131">
      <f>B131 &amp; "." &amp;  A131 &amp; "." &amp; RIGHT(YEAR(G131), 2)</f>
    </nc>
  </rcc>
  <rcc rId="11152" sId="2">
    <nc r="C133">
      <f>B133 &amp; "." &amp;  A133 &amp; "." &amp; RIGHT(YEAR(G133), 2)</f>
    </nc>
  </rcc>
  <rcc rId="11153" sId="2">
    <nc r="C137">
      <f>B137 &amp; "." &amp;  A137 &amp; "." &amp; RIGHT(YEAR(G137), 2)</f>
    </nc>
  </rcc>
  <rcc rId="11154" sId="2">
    <nc r="C138">
      <f>B138 &amp; "." &amp;  A138 &amp; "." &amp; RIGHT(YEAR(G138), 2)</f>
    </nc>
  </rcc>
  <rcc rId="11155" sId="2">
    <nc r="C140">
      <f>B140 &amp; "." &amp;  A140 &amp; "." &amp; RIGHT(YEAR(G140), 2)</f>
    </nc>
  </rcc>
  <rcc rId="11156" sId="2">
    <nc r="C142">
      <f>B142 &amp; "." &amp;  A142 &amp; "." &amp; RIGHT(YEAR(G142), 2)</f>
    </nc>
  </rcc>
  <rcc rId="11157" sId="2">
    <nc r="C144">
      <f>B144 &amp; "." &amp;  A144 &amp; "." &amp; RIGHT(YEAR(G144), 2)</f>
    </nc>
  </rcc>
  <rcc rId="11158" sId="2">
    <nc r="C148">
      <f>B148 &amp; "." &amp;  A148 &amp; "." &amp; RIGHT(YEAR(G148), 2)</f>
    </nc>
  </rcc>
  <rcc rId="11159" sId="2">
    <nc r="C149">
      <f>B149 &amp; "." &amp;  A149 &amp; "." &amp; RIGHT(YEAR(G149), 2)</f>
    </nc>
  </rcc>
  <rcc rId="11160" sId="2">
    <nc r="C150">
      <f>B150 &amp; "." &amp;  A150 &amp; "." &amp; RIGHT(YEAR(G150), 2)</f>
    </nc>
  </rcc>
  <rcc rId="11161" sId="2">
    <nc r="C152">
      <f>B152 &amp; "." &amp;  A152 &amp; "." &amp; RIGHT(YEAR(G152), 2)</f>
    </nc>
  </rcc>
  <rcc rId="11162" sId="2">
    <nc r="C155">
      <f>B155 &amp; "." &amp;  A155 &amp; "." &amp; RIGHT(YEAR(G155), 2)</f>
    </nc>
  </rcc>
  <rcc rId="11163" sId="2">
    <nc r="C156">
      <f>B156 &amp; "." &amp;  A156 &amp; "." &amp; RIGHT(YEAR(G156), 2)</f>
    </nc>
  </rcc>
  <rcc rId="11164" sId="2">
    <nc r="C157">
      <f>B157 &amp; "." &amp;  A157 &amp; "." &amp; RIGHT(YEAR(G157), 2)</f>
    </nc>
  </rcc>
  <rcc rId="11165" sId="2">
    <nc r="C158">
      <f>B158 &amp; "." &amp;  A158 &amp; "." &amp; RIGHT(YEAR(G158), 2)</f>
    </nc>
  </rcc>
  <rcc rId="11166" sId="2">
    <nc r="C159">
      <f>B159 &amp; "." &amp;  A159 &amp; "." &amp; RIGHT(YEAR(G159), 2)</f>
    </nc>
  </rcc>
  <rcc rId="11167" sId="2">
    <nc r="C162">
      <f>B162 &amp; "." &amp;  A162 &amp; "." &amp; RIGHT(YEAR(G162), 2)</f>
    </nc>
  </rcc>
  <rcc rId="11168" sId="2">
    <nc r="C163">
      <f>B163 &amp; "." &amp;  A163 &amp; "." &amp; RIGHT(YEAR(G163), 2)</f>
    </nc>
  </rcc>
  <rcc rId="11169" sId="2">
    <nc r="C166">
      <f>B166 &amp; "." &amp;  A166 &amp; "." &amp; RIGHT(YEAR(G166), 2)</f>
    </nc>
  </rcc>
  <rcc rId="11170" sId="2">
    <nc r="C168">
      <f>B168 &amp; "." &amp;  A168 &amp; "." &amp; RIGHT(YEAR(G168), 2)</f>
    </nc>
  </rcc>
  <rcc rId="11171" sId="2">
    <nc r="C170">
      <f>B170 &amp; "." &amp;  A170 &amp; "." &amp; RIGHT(YEAR(G170), 2)</f>
    </nc>
  </rcc>
  <rcc rId="11172" sId="2">
    <nc r="C172">
      <f>B172 &amp; "." &amp;  A172 &amp; "." &amp; RIGHT(YEAR(G172), 2)</f>
    </nc>
  </rcc>
  <rcc rId="11173" sId="2">
    <nc r="C173">
      <f>B173 &amp; "." &amp;  A173 &amp; "." &amp; RIGHT(YEAR(G173), 2)</f>
    </nc>
  </rcc>
  <rcc rId="11174" sId="2">
    <nc r="C174">
      <f>B174 &amp; "." &amp;  A174 &amp; "." &amp; RIGHT(YEAR(G174), 2)</f>
    </nc>
  </rcc>
  <rcc rId="11175" sId="2">
    <nc r="C177">
      <f>B177 &amp; "." &amp;  A177 &amp; "." &amp; RIGHT(YEAR(G177), 2)</f>
    </nc>
  </rcc>
  <rcc rId="11176" sId="2">
    <nc r="C180">
      <f>B180 &amp; "." &amp;  A180 &amp; "." &amp; RIGHT(YEAR(G180), 2)</f>
    </nc>
  </rcc>
  <rcc rId="11177" sId="2">
    <nc r="C181">
      <f>B181 &amp; "." &amp;  A181 &amp; "." &amp; RIGHT(YEAR(G181), 2)</f>
    </nc>
  </rcc>
  <rcc rId="11178" sId="2">
    <nc r="C183">
      <f>B183 &amp; "." &amp;  A183 &amp; "." &amp; RIGHT(YEAR(G183), 2)</f>
    </nc>
  </rcc>
  <rcc rId="11179" sId="2">
    <nc r="C185">
      <f>B185 &amp; "." &amp;  A185 &amp; "." &amp; RIGHT(YEAR(G185), 2)</f>
    </nc>
  </rcc>
  <rcc rId="11180" sId="2">
    <nc r="C187">
      <f>B187 &amp; "." &amp;  A187 &amp; "." &amp; RIGHT(YEAR(G187), 2)</f>
    </nc>
  </rcc>
  <rcc rId="11181" sId="2">
    <nc r="C188">
      <f>B188 &amp; "." &amp;  A188 &amp; "." &amp; RIGHT(YEAR(G188), 2)</f>
    </nc>
  </rcc>
  <rcc rId="11182" sId="2">
    <nc r="C191">
      <f>B191 &amp; "." &amp;  A191 &amp; "." &amp; RIGHT(YEAR(G191), 2)</f>
    </nc>
  </rcc>
  <rcc rId="11183" sId="2">
    <nc r="C193">
      <f>B193 &amp; "." &amp;  A193 &amp; "." &amp; RIGHT(YEAR(G193), 2)</f>
    </nc>
  </rcc>
  <rcc rId="11184" sId="2">
    <nc r="C195">
      <f>B195 &amp; "." &amp;  A195 &amp; "." &amp; RIGHT(YEAR(G195), 2)</f>
    </nc>
  </rcc>
  <rcc rId="11185" sId="2">
    <nc r="C197">
      <f>B197 &amp; "." &amp;  A197 &amp; "." &amp; RIGHT(YEAR(G197), 2)</f>
    </nc>
  </rcc>
  <rcc rId="11186" sId="2">
    <nc r="C199">
      <f>B199 &amp; "." &amp;  A199 &amp; "." &amp; RIGHT(YEAR(G199), 2)</f>
    </nc>
  </rcc>
  <rcc rId="11187" sId="2">
    <nc r="C203">
      <f>B203 &amp; "." &amp;  A203 &amp; "." &amp; RIGHT(YEAR(G203), 2)</f>
    </nc>
  </rcc>
  <rcc rId="11188" sId="2">
    <nc r="C206">
      <f>B206 &amp; "." &amp;  A206 &amp; "." &amp; RIGHT(YEAR(G206), 2)</f>
    </nc>
  </rcc>
  <rcc rId="11189" sId="2">
    <nc r="C207">
      <f>B207 &amp; "." &amp;  A207 &amp; "." &amp; RIGHT(YEAR(G207), 2)</f>
    </nc>
  </rcc>
  <rcc rId="11190" sId="2">
    <nc r="C208">
      <f>B208 &amp; "." &amp;  A208 &amp; "." &amp; RIGHT(YEAR(G208), 2)</f>
    </nc>
  </rcc>
  <rcc rId="11191" sId="2">
    <nc r="C209">
      <f>B209 &amp; "." &amp;  A209 &amp; "." &amp; RIGHT(YEAR(G209), 2)</f>
    </nc>
  </rcc>
  <rcc rId="11192" sId="2">
    <nc r="C212">
      <f>B212 &amp; "." &amp;  A212 &amp; "." &amp; RIGHT(YEAR(G212), 2)</f>
    </nc>
  </rcc>
  <rcc rId="11193" sId="2">
    <nc r="C219">
      <f>B219 &amp; "." &amp;  A219 &amp; "." &amp; RIGHT(YEAR(G219), 2)</f>
    </nc>
  </rcc>
  <rcc rId="11194" sId="2">
    <nc r="C223">
      <f>B223 &amp; "." &amp;  A223 &amp; "." &amp; RIGHT(YEAR(G223), 2)</f>
    </nc>
  </rcc>
  <rcc rId="11195" sId="2">
    <nc r="C226">
      <f>B226 &amp; "." &amp;  A226 &amp; "." &amp; RIGHT(YEAR(G226), 2)</f>
    </nc>
  </rcc>
  <rcc rId="11196" sId="2">
    <nc r="C227">
      <f>B227 &amp; "." &amp;  A227 &amp; "." &amp; RIGHT(YEAR(G227), 2)</f>
    </nc>
  </rcc>
  <rcc rId="11197" sId="2">
    <nc r="C228">
      <f>B228 &amp; "." &amp;  A228 &amp; "." &amp; RIGHT(YEAR(G228), 2)</f>
    </nc>
  </rcc>
  <rcc rId="11198" sId="2">
    <nc r="C229">
      <f>B229 &amp; "." &amp;  A229 &amp; "." &amp; RIGHT(YEAR(G229), 2)</f>
    </nc>
  </rcc>
  <rcc rId="11199" sId="2">
    <nc r="C235">
      <f>B235 &amp; "." &amp;  A235 &amp; "." &amp; RIGHT(YEAR(G235), 2)</f>
    </nc>
  </rcc>
  <rcc rId="11200" sId="2">
    <nc r="C236">
      <f>B236 &amp; "." &amp;  A236 &amp; "." &amp; RIGHT(YEAR(G236), 2)</f>
    </nc>
  </rcc>
  <rcc rId="11201" sId="2">
    <nc r="C237">
      <f>B237 &amp; "." &amp;  A237 &amp; "." &amp; RIGHT(YEAR(G237), 2)</f>
    </nc>
  </rcc>
  <rcc rId="11202" sId="2">
    <nc r="C239">
      <f>B239 &amp; "." &amp;  A239 &amp; "." &amp; RIGHT(YEAR(G239), 2)</f>
    </nc>
  </rcc>
  <rcc rId="11203" sId="2">
    <nc r="C241">
      <f>B241 &amp; "." &amp;  A241 &amp; "." &amp; RIGHT(YEAR(G241), 2)</f>
    </nc>
  </rcc>
  <rcc rId="11204" sId="2">
    <nc r="C242">
      <f>B242 &amp; "." &amp;  A242 &amp; "." &amp; RIGHT(YEAR(G242), 2)</f>
    </nc>
  </rcc>
  <rcc rId="11205" sId="2">
    <nc r="C243">
      <f>B243 &amp; "." &amp;  A243 &amp; "." &amp; RIGHT(YEAR(G243), 2)</f>
    </nc>
  </rcc>
  <rcc rId="11206" sId="2">
    <nc r="C244">
      <f>B244 &amp; "." &amp;  A244 &amp; "." &amp; RIGHT(YEAR(G244), 2)</f>
    </nc>
  </rcc>
  <rcc rId="11207" sId="2">
    <nc r="C246">
      <f>B246 &amp; "." &amp;  A246 &amp; "." &amp; RIGHT(YEAR(G246), 2)</f>
    </nc>
  </rcc>
  <rcc rId="11208" sId="2">
    <nc r="C247">
      <f>B247 &amp; "." &amp;  A247 &amp; "." &amp; RIGHT(YEAR(G247), 2)</f>
    </nc>
  </rcc>
  <rcc rId="11209" sId="2">
    <nc r="C248">
      <f>B248 &amp; "." &amp;  A248 &amp; "." &amp; RIGHT(YEAR(G248), 2)</f>
    </nc>
  </rcc>
  <rcc rId="11210" sId="2">
    <nc r="C249">
      <f>B249 &amp; "." &amp;  A249 &amp; "." &amp; RIGHT(YEAR(G249), 2)</f>
    </nc>
  </rcc>
  <rcc rId="11211" sId="2">
    <nc r="C250">
      <f>B250 &amp; "." &amp;  A250 &amp; "." &amp; RIGHT(YEAR(G250), 2)</f>
    </nc>
  </rcc>
  <rcc rId="11212" sId="2">
    <nc r="C251">
      <f>B251 &amp; "." &amp;  A251 &amp; "." &amp; RIGHT(YEAR(G251), 2)</f>
    </nc>
  </rcc>
  <rcc rId="11213" sId="2">
    <nc r="C252">
      <f>B252 &amp; "." &amp;  A252 &amp; "." &amp; RIGHT(YEAR(G252), 2)</f>
    </nc>
  </rcc>
  <rcc rId="11214" sId="2">
    <nc r="C253">
      <f>B253 &amp; "." &amp;  A253 &amp; "." &amp; RIGHT(YEAR(G253), 2)</f>
    </nc>
  </rcc>
  <rcc rId="11215" sId="2">
    <nc r="C254">
      <f>B254 &amp; "." &amp;  A254 &amp; "." &amp; RIGHT(YEAR(G254), 2)</f>
    </nc>
  </rcc>
  <rcc rId="11216" sId="2">
    <nc r="C255">
      <f>B255 &amp; "." &amp;  A255 &amp; "." &amp; RIGHT(YEAR(G255), 2)</f>
    </nc>
  </rcc>
  <rcc rId="11217" sId="2">
    <nc r="C256">
      <f>B256 &amp; "." &amp;  A256 &amp; "." &amp; RIGHT(YEAR(G256), 2)</f>
    </nc>
  </rcc>
  <rcc rId="11218" sId="2">
    <nc r="C257">
      <f>B257 &amp; "." &amp;  A257 &amp; "." &amp; RIGHT(YEAR(G257), 2)</f>
    </nc>
  </rcc>
  <rcc rId="11219" sId="2">
    <nc r="C258">
      <f>B258 &amp; "." &amp;  A258 &amp; "." &amp; RIGHT(YEAR(G258), 2)</f>
    </nc>
  </rcc>
  <rcc rId="11220" sId="2">
    <nc r="C259">
      <f>B259 &amp; "." &amp;  A259 &amp; "." &amp; RIGHT(YEAR(G259), 2)</f>
    </nc>
  </rcc>
  <rcc rId="11221" sId="2">
    <nc r="C143">
      <f>B143 &amp; "." &amp;  A143 &amp; "." &amp; RIGHT(YEAR(G143), 2)</f>
    </nc>
  </rcc>
  <rcc rId="11222" sId="2">
    <nc r="C145">
      <f>B145 &amp; "." &amp;  A145 &amp; "." &amp; RIGHT(YEAR(G145), 2)</f>
    </nc>
  </rcc>
  <rcc rId="11223" sId="2">
    <nc r="C182">
      <f>B182 &amp; "." &amp;  A182 &amp; "." &amp; RIGHT(YEAR(G182), 2)</f>
    </nc>
  </rcc>
  <rcc rId="11224" sId="2">
    <nc r="C184">
      <f>B184 &amp; "." &amp;  A184 &amp; "." &amp; RIGHT(YEAR(G184), 2)</f>
    </nc>
  </rcc>
  <rcc rId="11225" sId="2">
    <nc r="C186">
      <f>B186 &amp; "." &amp;  A186 &amp; "." &amp; RIGHT(YEAR(G186), 2)</f>
    </nc>
  </rcc>
  <rcc rId="11226" sId="2">
    <nc r="C189">
      <f>B189 &amp; "." &amp;  A189 &amp; "." &amp; RIGHT(YEAR(G189), 2)</f>
    </nc>
  </rcc>
  <rcc rId="11227" sId="2">
    <nc r="C190">
      <f>B190 &amp; "." &amp;  A190 &amp; "." &amp; RIGHT(YEAR(G190), 2)</f>
    </nc>
  </rcc>
  <rcc rId="11228" sId="2">
    <nc r="C192">
      <f>B192 &amp; "." &amp;  A192 &amp; "." &amp; RIGHT(YEAR(G192), 2)</f>
    </nc>
  </rcc>
  <rcc rId="11229" sId="2">
    <nc r="C194">
      <f>B194 &amp; "." &amp;  A194 &amp; "." &amp; RIGHT(YEAR(G194), 2)</f>
    </nc>
  </rcc>
  <rcc rId="11230" sId="2">
    <nc r="C196">
      <f>B196 &amp; "." &amp;  A196 &amp; "." &amp; RIGHT(YEAR(G196), 2)</f>
    </nc>
  </rcc>
  <rcc rId="11231" sId="2">
    <nc r="C198">
      <f>B198 &amp; "." &amp;  A198 &amp; "." &amp; RIGHT(YEAR(G198), 2)</f>
    </nc>
  </rcc>
  <rcc rId="11232" sId="2">
    <nc r="C201">
      <f>B201 &amp; "." &amp;  A201 &amp; "." &amp; RIGHT(YEAR(G201), 2)</f>
    </nc>
  </rcc>
  <rcc rId="11233" sId="2">
    <nc r="C202">
      <f>B202 &amp; "." &amp;  A202 &amp; "." &amp; RIGHT(YEAR(G202), 2)</f>
    </nc>
  </rcc>
  <rcc rId="11234" sId="2">
    <nc r="C204">
      <f>B204 &amp; "." &amp;  A204 &amp; "." &amp; RIGHT(YEAR(G204), 2)</f>
    </nc>
  </rcc>
  <rcc rId="11235" sId="2">
    <nc r="C205">
      <f>B205 &amp; "." &amp;  A205 &amp; "." &amp; RIGHT(YEAR(G205), 2)</f>
    </nc>
  </rcc>
  <rcc rId="11236" sId="2">
    <nc r="C210">
      <f>B210 &amp; "." &amp;  A210 &amp; "." &amp; RIGHT(YEAR(G210), 2)</f>
    </nc>
  </rcc>
  <rcc rId="11237" sId="2">
    <nc r="C211">
      <f>B211 &amp; "." &amp;  A211 &amp; "." &amp; RIGHT(YEAR(G211), 2)</f>
    </nc>
  </rcc>
  <rcc rId="11238" sId="2">
    <nc r="C213">
      <f>B213 &amp; "." &amp;  A213 &amp; "." &amp; RIGHT(YEAR(G213), 2)</f>
    </nc>
  </rcc>
  <rcc rId="11239" sId="2">
    <nc r="C214">
      <f>B214 &amp; "." &amp;  A214 &amp; "." &amp; RIGHT(YEAR(G214), 2)</f>
    </nc>
  </rcc>
  <rcc rId="11240" sId="2">
    <nc r="C215">
      <f>B215 &amp; "." &amp;  A215 &amp; "." &amp; RIGHT(YEAR(G215), 2)</f>
    </nc>
  </rcc>
  <rcc rId="11241" sId="2">
    <nc r="C216">
      <f>B216 &amp; "." &amp;  A216 &amp; "." &amp; RIGHT(YEAR(G216), 2)</f>
    </nc>
  </rcc>
  <rcc rId="11242" sId="2">
    <nc r="C217">
      <f>B217 &amp; "." &amp;  A217 &amp; "." &amp; RIGHT(YEAR(G217), 2)</f>
    </nc>
  </rcc>
  <rcc rId="11243" sId="2">
    <nc r="C218">
      <f>B218 &amp; "." &amp;  A218 &amp; "." &amp; RIGHT(YEAR(G218), 2)</f>
    </nc>
  </rcc>
  <rcc rId="11244" sId="2">
    <nc r="C220">
      <f>B220 &amp; "." &amp;  A220 &amp; "." &amp; RIGHT(YEAR(G220), 2)</f>
    </nc>
  </rcc>
  <rcc rId="11245" sId="2">
    <nc r="C221">
      <f>B221 &amp; "." &amp;  A221 &amp; "." &amp; RIGHT(YEAR(G221), 2)</f>
    </nc>
  </rcc>
  <rcc rId="11246" sId="2">
    <nc r="C222">
      <f>B222 &amp; "." &amp;  A222 &amp; "." &amp; RIGHT(YEAR(G222), 2)</f>
    </nc>
  </rcc>
  <rcc rId="11247" sId="2">
    <nc r="C224">
      <f>B224 &amp; "." &amp;  A224 &amp; "." &amp; RIGHT(YEAR(G224), 2)</f>
    </nc>
  </rcc>
  <rcc rId="11248" sId="2">
    <nc r="C225">
      <f>B225 &amp; "." &amp;  A225 &amp; "." &amp; RIGHT(YEAR(G225), 2)</f>
    </nc>
  </rcc>
  <rcc rId="11249" sId="2">
    <nc r="C230">
      <f>B230 &amp; "." &amp;  A230 &amp; "." &amp; RIGHT(YEAR(G230), 2)</f>
    </nc>
  </rcc>
  <rcc rId="11250" sId="2">
    <nc r="C231">
      <f>B231 &amp; "." &amp;  A231 &amp; "." &amp; RIGHT(YEAR(G231), 2)</f>
    </nc>
  </rcc>
  <rcc rId="11251" sId="2">
    <nc r="C232">
      <f>B232 &amp; "." &amp;  A232 &amp; "." &amp; RIGHT(YEAR(G232), 2)</f>
    </nc>
  </rcc>
  <rcc rId="11252" sId="2">
    <nc r="C233">
      <f>B233 &amp; "." &amp;  A233 &amp; "." &amp; RIGHT(YEAR(G233), 2)</f>
    </nc>
  </rcc>
  <rcc rId="11253" sId="2">
    <nc r="C234">
      <f>B234 &amp; "." &amp;  A234 &amp; "." &amp; RIGHT(YEAR(G234), 2)</f>
    </nc>
  </rcc>
  <rcc rId="11254" sId="2">
    <nc r="C238">
      <f>B238 &amp; "." &amp;  A238 &amp; "." &amp; RIGHT(YEAR(G238), 2)</f>
    </nc>
  </rcc>
  <rcc rId="11255" sId="2">
    <nc r="C240">
      <f>B240 &amp; "." &amp;  A240 &amp; "." &amp; RIGHT(YEAR(G240), 2)</f>
    </nc>
  </rcc>
  <rcc rId="11256" sId="2">
    <nc r="C245">
      <f>B245 &amp; "." &amp;  A245 &amp; "." &amp; RIGHT(YEAR(G245), 2)</f>
    </nc>
  </rcc>
</revisions>
</file>

<file path=xl/revisions/revisionLog7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57" sId="1">
    <oc r="G190" t="inlineStr">
      <is>
        <t>NA</t>
      </is>
    </oc>
    <nc r="G190"/>
  </rcc>
  <rcc rId="11258" sId="1">
    <oc r="C327">
      <f>B336 &amp; "." &amp;  A336 &amp; "." &amp; RIGHT(YEAR(G336), 2)</f>
    </oc>
    <nc r="C327"/>
  </rcc>
  <rcc rId="11259" sId="1">
    <oc r="C204">
      <f>B337 &amp; "." &amp;  A337 &amp; "." &amp; RIGHT(YEAR(G337), 2)</f>
    </oc>
    <nc r="C204"/>
  </rcc>
  <rcc rId="11260" sId="1">
    <oc r="C226">
      <f>B338 &amp; "." &amp;  A338 &amp; "." &amp; RIGHT(YEAR(G338), 2)</f>
    </oc>
    <nc r="C226"/>
  </rcc>
  <rfmt sheetId="1" sqref="C190">
    <dxf>
      <fill>
        <patternFill patternType="solid">
          <bgColor rgb="FFFFFF00"/>
        </patternFill>
      </fill>
    </dxf>
  </rfmt>
  <rfmt sheetId="1" sqref="C325">
    <dxf>
      <fill>
        <patternFill patternType="solid">
          <bgColor rgb="FFFFFF00"/>
        </patternFill>
      </fill>
    </dxf>
  </rfmt>
  <rfmt sheetId="2" sqref="C189 C190">
    <dxf>
      <fill>
        <patternFill patternType="solid">
          <bgColor rgb="FFFFFF00"/>
        </patternFill>
      </fill>
    </dxf>
  </rfmt>
  <rfmt sheetId="2" sqref="C188 C191">
    <dxf>
      <fill>
        <patternFill patternType="solid">
          <bgColor rgb="FFFFFF00"/>
        </patternFill>
      </fill>
    </dxf>
  </rfmt>
  <rcc rId="11261" sId="2" xfDxf="1" dxf="1" numFmtId="19">
    <nc r="G188">
      <v>45420</v>
    </nc>
    <ndxf>
      <numFmt numFmtId="19" formatCode="yyyy/mm/dd"/>
      <alignment horizontal="left"/>
    </ndxf>
  </rcc>
  <rcc rId="11262" sId="2" xfDxf="1" dxf="1" numFmtId="19">
    <nc r="G191">
      <v>45421</v>
    </nc>
    <ndxf>
      <numFmt numFmtId="19" formatCode="yyyy/mm/dd"/>
      <alignment horizontal="left"/>
    </ndxf>
  </rcc>
</revisions>
</file>

<file path=xl/revisions/revisionLog7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C188 C191">
    <dxf>
      <fill>
        <patternFill patternType="none">
          <bgColor auto="1"/>
        </patternFill>
      </fill>
    </dxf>
  </rfmt>
  <rcc rId="11263" sId="2">
    <oc r="B181">
      <v>8</v>
    </oc>
    <nc r="B181">
      <v>9</v>
    </nc>
  </rcc>
  <rcc rId="11264" sId="2">
    <oc r="B183">
      <v>8</v>
    </oc>
    <nc r="B183">
      <v>9</v>
    </nc>
  </rcc>
  <rcc rId="11265" sId="2">
    <oc r="B185">
      <v>8</v>
    </oc>
    <nc r="B185">
      <v>9</v>
    </nc>
  </rcc>
  <rcc rId="11266" sId="2">
    <oc r="B187">
      <v>8</v>
    </oc>
    <nc r="B187">
      <v>9</v>
    </nc>
  </rcc>
  <rcc rId="11267" sId="2">
    <oc r="B188">
      <v>8</v>
    </oc>
    <nc r="B188">
      <v>9</v>
    </nc>
  </rcc>
  <rcc rId="11268" sId="2">
    <oc r="B191">
      <v>8</v>
    </oc>
    <nc r="B191">
      <v>9</v>
    </nc>
  </rcc>
  <rcc rId="11269" sId="2">
    <oc r="B193">
      <v>8</v>
    </oc>
    <nc r="B193">
      <v>9</v>
    </nc>
  </rcc>
  <rcc rId="11270" sId="2">
    <oc r="B195">
      <v>8</v>
    </oc>
    <nc r="B195">
      <v>9</v>
    </nc>
  </rcc>
  <rcc rId="11271" sId="2">
    <oc r="B197">
      <v>8</v>
    </oc>
    <nc r="B197">
      <v>9</v>
    </nc>
  </rcc>
  <rcc rId="11272" sId="2">
    <oc r="B199">
      <v>8</v>
    </oc>
    <nc r="B199">
      <v>9</v>
    </nc>
  </rcc>
  <rcc rId="11273" sId="2">
    <oc r="B203">
      <v>8</v>
    </oc>
    <nc r="B203">
      <v>9</v>
    </nc>
  </rcc>
  <rcc rId="11274" sId="2">
    <oc r="B206">
      <v>8</v>
    </oc>
    <nc r="B206">
      <v>9</v>
    </nc>
  </rcc>
  <rcc rId="11275" sId="2">
    <oc r="B207">
      <v>8</v>
    </oc>
    <nc r="B207">
      <v>9</v>
    </nc>
  </rcc>
  <rcc rId="11276" sId="2">
    <oc r="B208">
      <v>8</v>
    </oc>
    <nc r="B208">
      <v>9</v>
    </nc>
  </rcc>
  <rcc rId="11277" sId="2">
    <oc r="B209">
      <v>8</v>
    </oc>
    <nc r="B209">
      <v>9</v>
    </nc>
  </rcc>
  <rcc rId="11278" sId="2">
    <oc r="B212">
      <v>8</v>
    </oc>
    <nc r="B212">
      <v>9</v>
    </nc>
  </rcc>
  <rcc rId="11279" sId="2">
    <oc r="B219">
      <v>8</v>
    </oc>
    <nc r="B219">
      <v>9</v>
    </nc>
  </rcc>
  <rcc rId="11280" sId="2">
    <oc r="B223">
      <v>8</v>
    </oc>
    <nc r="B223">
      <v>9</v>
    </nc>
  </rcc>
  <rcc rId="11281" sId="2">
    <oc r="B226">
      <v>8</v>
    </oc>
    <nc r="B226">
      <v>9</v>
    </nc>
  </rcc>
  <rcc rId="11282" sId="2">
    <oc r="B227">
      <v>8</v>
    </oc>
    <nc r="B227">
      <v>9</v>
    </nc>
  </rcc>
  <rcc rId="11283" sId="2">
    <oc r="B228">
      <v>8</v>
    </oc>
    <nc r="B228">
      <v>9</v>
    </nc>
  </rcc>
  <rcc rId="11284" sId="2">
    <oc r="B229">
      <v>8</v>
    </oc>
    <nc r="B229">
      <v>9</v>
    </nc>
  </rcc>
  <rcc rId="11285" sId="2">
    <oc r="B235">
      <v>8</v>
    </oc>
    <nc r="B235">
      <v>9</v>
    </nc>
  </rcc>
  <rcc rId="11286" sId="2">
    <oc r="B236">
      <v>8</v>
    </oc>
    <nc r="B236">
      <v>9</v>
    </nc>
  </rcc>
  <rcc rId="11287" sId="2">
    <oc r="B237">
      <v>8</v>
    </oc>
    <nc r="B237">
      <v>9</v>
    </nc>
  </rcc>
  <rcc rId="11288" sId="2">
    <oc r="B239">
      <v>8</v>
    </oc>
    <nc r="B239">
      <v>9</v>
    </nc>
  </rcc>
  <rcc rId="11289" sId="2">
    <oc r="B241">
      <v>8</v>
    </oc>
    <nc r="B241">
      <v>9</v>
    </nc>
  </rcc>
  <rcc rId="11290" sId="2">
    <oc r="B242">
      <v>8</v>
    </oc>
    <nc r="B242">
      <v>9</v>
    </nc>
  </rcc>
  <rcc rId="11291" sId="2">
    <oc r="B243">
      <v>8</v>
    </oc>
    <nc r="B243">
      <v>9</v>
    </nc>
  </rcc>
  <rcc rId="11292" sId="2">
    <oc r="B244">
      <v>8</v>
    </oc>
    <nc r="B244">
      <v>9</v>
    </nc>
  </rcc>
  <rcc rId="11293" sId="2">
    <oc r="B246">
      <v>8</v>
    </oc>
    <nc r="B246">
      <v>9</v>
    </nc>
  </rcc>
  <rcc rId="11294" sId="2">
    <oc r="B247">
      <v>8</v>
    </oc>
    <nc r="B247">
      <v>9</v>
    </nc>
  </rcc>
  <rcc rId="11295" sId="2">
    <oc r="B248">
      <v>8</v>
    </oc>
    <nc r="B248">
      <v>9</v>
    </nc>
  </rcc>
  <rcc rId="11296" sId="2">
    <oc r="B250">
      <v>8</v>
    </oc>
    <nc r="B250">
      <v>9</v>
    </nc>
  </rcc>
  <rcc rId="11297" sId="2">
    <oc r="B249">
      <v>8</v>
    </oc>
    <nc r="B249">
      <v>9</v>
    </nc>
  </rcc>
  <rcc rId="11298" sId="2">
    <oc r="B251">
      <v>8</v>
    </oc>
    <nc r="B251">
      <v>9</v>
    </nc>
  </rcc>
  <rcc rId="11299" sId="2">
    <oc r="B252">
      <v>8</v>
    </oc>
    <nc r="B252">
      <v>9</v>
    </nc>
  </rcc>
  <rcc rId="11300" sId="2">
    <oc r="B253">
      <v>8</v>
    </oc>
    <nc r="B253">
      <v>9</v>
    </nc>
  </rcc>
  <rcc rId="11301" sId="2">
    <oc r="B254">
      <v>8</v>
    </oc>
    <nc r="B254">
      <v>9</v>
    </nc>
  </rcc>
  <rcc rId="11302" sId="2">
    <oc r="B255">
      <v>8</v>
    </oc>
    <nc r="B255">
      <v>9</v>
    </nc>
  </rcc>
  <rcc rId="11303" sId="2">
    <oc r="B256">
      <v>8</v>
    </oc>
    <nc r="B256">
      <v>9</v>
    </nc>
  </rcc>
  <rcc rId="11304" sId="2">
    <oc r="B257">
      <v>8</v>
    </oc>
    <nc r="B257">
      <v>9</v>
    </nc>
  </rcc>
  <rcc rId="11305" sId="2">
    <oc r="B258">
      <v>8</v>
    </oc>
    <nc r="B258">
      <v>9</v>
    </nc>
  </rcc>
  <rcc rId="11306" sId="2">
    <oc r="B259">
      <v>8</v>
    </oc>
    <nc r="B259">
      <v>9</v>
    </nc>
  </rcc>
</revisions>
</file>

<file path=xl/revisions/revisionLog8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07" sId="2">
    <oc r="H191" t="inlineStr">
      <is>
        <t>NA</t>
      </is>
    </oc>
    <nc r="H191"/>
  </rcc>
  <rcc rId="11308" sId="2">
    <oc r="I191" t="inlineStr">
      <is>
        <t>NA</t>
      </is>
    </oc>
    <nc r="I191"/>
  </rcc>
  <rcc rId="11309" sId="2">
    <oc r="J191" t="inlineStr">
      <is>
        <t>NA</t>
      </is>
    </oc>
    <nc r="J191"/>
  </rcc>
  <rcc rId="11310" sId="2">
    <oc r="K191" t="inlineStr">
      <is>
        <t>NA</t>
      </is>
    </oc>
    <nc r="K191"/>
  </rcc>
</revisions>
</file>

<file path=xl/revisions/revisionLog8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L191" start="0" length="0">
    <dxf>
      <numFmt numFmtId="26" formatCode="hh:mm:ss"/>
    </dxf>
  </rfmt>
  <rcc rId="11311" sId="2" xfDxf="1" dxf="1" numFmtId="26">
    <nc r="L191">
      <v>0.22443287037037038</v>
    </nc>
    <ndxf>
      <numFmt numFmtId="26" formatCode="hh:mm:ss"/>
      <alignment horizontal="left"/>
    </ndxf>
  </rcc>
</revisions>
</file>

<file path=xl/revisions/revisionLog8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L188" start="0" length="0">
    <dxf>
      <numFmt numFmtId="26" formatCode="hh:mm:ss"/>
    </dxf>
  </rfmt>
  <rcc rId="11312" sId="2" xfDxf="1" dxf="1" numFmtId="26">
    <nc r="L188">
      <v>0.760625</v>
    </nc>
    <ndxf>
      <numFmt numFmtId="26" formatCode="hh:mm:ss"/>
      <alignment horizontal="left"/>
    </ndxf>
  </rcc>
</revisions>
</file>

<file path=xl/revisions/revisionLog8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13" sId="2" numFmtId="19">
    <nc r="G189">
      <v>45420</v>
    </nc>
  </rcc>
  <rcv guid="{8A75D892-44B4-104C-BB94-8EB0D0E43396}" action="delete"/>
  <rdn rId="0" localSheetId="1" customView="1" name="Z_8A75D892_44B4_104C_BB94_8EB0D0E43396_.wvu.FilterData" hidden="1" oldHidden="1">
    <formula>maze1!$A$1:$X$338</formula>
    <oldFormula>maze1!$A$1:$X$338</oldFormula>
  </rdn>
  <rdn rId="0" localSheetId="2" customView="1" name="Z_8A75D892_44B4_104C_BB94_8EB0D0E43396_.wvu.FilterData" hidden="1" oldHidden="1">
    <formula>maze2!$A$1:$X$262</formula>
    <oldFormula>maze2!$A$1:$X$262</oldFormula>
  </rdn>
  <rcv guid="{8A75D892-44B4-104C-BB94-8EB0D0E43396}" action="add"/>
</revisions>
</file>

<file path=xl/revisions/revisionLog8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16" sId="2" numFmtId="19">
    <nc r="G190">
      <v>45421</v>
    </nc>
  </rcc>
</revisions>
</file>

<file path=xl/revisions/revisionLog8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C189 C190">
    <dxf>
      <fill>
        <patternFill patternType="none">
          <bgColor auto="1"/>
        </patternFill>
      </fill>
    </dxf>
  </rfmt>
</revisions>
</file>

<file path=xl/revisions/revisionLog8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17" sId="1" xfDxf="1" dxf="1" numFmtId="26">
    <oc r="L190">
      <v>0.76178240740740744</v>
    </oc>
    <nc r="L190">
      <v>0.76344907407407403</v>
    </nc>
    <ndxf>
      <numFmt numFmtId="26" formatCode="hh:mm:ss"/>
      <alignment horizontal="left"/>
    </ndxf>
  </rcc>
</revisions>
</file>

<file path=xl/revisions/revisionLog8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18" sId="1" xfDxf="1" dxf="1" numFmtId="19">
    <nc r="G190">
      <v>45412</v>
    </nc>
    <ndxf>
      <numFmt numFmtId="19" formatCode="yyyy/mm/dd"/>
      <alignment horizontal="left"/>
    </ndxf>
  </rcc>
</revisions>
</file>

<file path=xl/revisions/revisionLog8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19" sId="1" numFmtId="26">
    <oc r="J190">
      <v>2.7222222222222221E-2</v>
    </oc>
    <nc r="J190" t="inlineStr">
      <is>
        <t>NA</t>
      </is>
    </nc>
  </rcc>
</revisions>
</file>

<file path=xl/revisions/revisionLog8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20" sId="1">
    <oc r="H190">
      <f>J310+L310</f>
    </oc>
    <nc r="H190" t="inlineStr">
      <is>
        <t>NA</t>
      </is>
    </nc>
  </rcc>
</revisions>
</file>

<file path=xl/revisions/revisionLog9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190">
    <dxf>
      <fill>
        <patternFill patternType="none">
          <bgColor auto="1"/>
        </patternFill>
      </fill>
    </dxf>
  </rfmt>
</revisions>
</file>

<file path=xl/revisions/revisionLog9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321" sId="1" ref="V1:V1048576" action="insertCol" edge="1"/>
  <rcc rId="11322" sId="1">
    <nc r="V1" t="inlineStr">
      <is>
        <t xml:space="preserve">analysis complete? </t>
      </is>
    </nc>
  </rcc>
</revisions>
</file>

<file path=xl/revisions/revisionLog9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23" sId="1">
    <nc r="V182" t="inlineStr">
      <is>
        <t>no</t>
      </is>
    </nc>
  </rcc>
  <rcv guid="{8A75D892-44B4-104C-BB94-8EB0D0E43396}" action="delete"/>
  <rdn rId="0" localSheetId="1" customView="1" name="Z_8A75D892_44B4_104C_BB94_8EB0D0E43396_.wvu.FilterData" hidden="1" oldHidden="1">
    <formula>maze1!$A$1:$Y$338</formula>
    <oldFormula>maze1!$A$1:$Y$338</oldFormula>
  </rdn>
  <rdn rId="0" localSheetId="2" customView="1" name="Z_8A75D892_44B4_104C_BB94_8EB0D0E43396_.wvu.FilterData" hidden="1" oldHidden="1">
    <formula>maze2!$A$1:$X$262</formula>
    <oldFormula>maze2!$A$1:$X$262</oldFormula>
  </rdn>
  <rcv guid="{8A75D892-44B4-104C-BB94-8EB0D0E43396}" action="add"/>
</revisions>
</file>

<file path=xl/revisions/revisionLog9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326" sId="1" ref="V1:V1048576" action="deleteCol" edge="1">
    <rfmt sheetId="1" xfDxf="1" sqref="V1:V1048576" start="0" length="0">
      <dxf>
        <alignment horizontal="left"/>
      </dxf>
    </rfmt>
    <rcc rId="0" sId="1">
      <nc r="V1" t="inlineStr">
        <is>
          <t xml:space="preserve">analysis complete? </t>
        </is>
      </nc>
    </rcc>
    <rfmt sheetId="1" sqref="V104" start="0" length="0">
      <dxf>
        <numFmt numFmtId="2" formatCode="0.00"/>
      </dxf>
    </rfmt>
    <rfmt sheetId="1" sqref="V131" start="0" length="0">
      <dxf>
        <font>
          <sz val="12"/>
          <color rgb="FF000000"/>
          <name val="Calibri"/>
          <family val="2"/>
          <scheme val="minor"/>
        </font>
      </dxf>
    </rfmt>
    <rfmt sheetId="1" sqref="V133" start="0" length="0">
      <dxf>
        <font>
          <sz val="12"/>
          <color rgb="FF000000"/>
          <name val="Calibri"/>
          <family val="2"/>
          <scheme val="minor"/>
        </font>
      </dxf>
    </rfmt>
    <rcc rId="0" sId="1">
      <nc r="V182" t="inlineStr">
        <is>
          <t>no</t>
        </is>
      </nc>
    </rcc>
    <rfmt sheetId="1" sqref="V226" start="0" length="0">
      <dxf>
        <numFmt numFmtId="26" formatCode="hh:mm:ss"/>
      </dxf>
    </rfmt>
  </rrc>
</revisions>
</file>

<file path=xl/revisions/revisionLog9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L325" start="0" length="0">
    <dxf>
      <numFmt numFmtId="26" formatCode="hh:mm:ss"/>
    </dxf>
  </rfmt>
  <rcc rId="11327" sId="1" xfDxf="1" dxf="1" numFmtId="26">
    <nc r="L325">
      <v>0.21502314814814816</v>
    </nc>
    <ndxf>
      <numFmt numFmtId="26" formatCode="hh:mm:ss"/>
      <alignment horizontal="left"/>
    </ndxf>
  </rcc>
</revisions>
</file>

<file path=xl/revisions/revisionLog9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28" sId="1" xfDxf="1" dxf="1" numFmtId="19">
    <nc r="G325">
      <v>45439</v>
    </nc>
    <ndxf>
      <numFmt numFmtId="19" formatCode="yyyy/mm/dd"/>
      <alignment horizontal="left"/>
    </ndxf>
  </rcc>
</revisions>
</file>

<file path=xl/revisions/revisionLog9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1" sqref="C325">
    <dxf>
      <fill>
        <patternFill patternType="none">
          <bgColor auto="1"/>
        </patternFill>
      </fill>
    </dxf>
  </rfmt>
  <rrc rId="11329" sId="1" ref="U1:U1048576" action="insertCol" edge="1"/>
  <rcc rId="11330" sId="1">
    <nc r="U1" t="inlineStr">
      <is>
        <t>analysis complete?</t>
      </is>
    </nc>
  </rcc>
</revisions>
</file>

<file path=xl/revisions/revisionLog9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31" sId="1">
    <nc r="U325" t="inlineStr">
      <is>
        <t>no</t>
      </is>
    </nc>
  </rcc>
</revisions>
</file>

<file path=xl/revisions/revisionLog9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32" sId="1">
    <nc r="U190" t="inlineStr">
      <is>
        <t>no</t>
      </is>
    </nc>
  </rcc>
</revisions>
</file>

<file path=xl/revisions/revisionLog9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333" sId="1">
    <oc r="C3">
      <f>B2 &amp; "." &amp;  A2 &amp; "." &amp; RIGHT(YEAR(G2), 2)</f>
    </oc>
    <nc r="C3" t="inlineStr">
      <is>
        <t>1.1.24</t>
      </is>
    </nc>
  </rcc>
  <rcc rId="11334" sId="1">
    <oc r="C2">
      <f>B3 &amp; "." &amp;  A3 &amp; "." &amp; RIGHT(YEAR(G3), 2)</f>
    </oc>
    <nc r="C2" t="inlineStr">
      <is>
        <t>2.1.24</t>
      </is>
    </nc>
  </rcc>
  <rcc rId="11335" sId="1">
    <oc r="C4">
      <f>B4 &amp; "." &amp;  A4 &amp; "." &amp; RIGHT(YEAR(G4), 2)</f>
    </oc>
    <nc r="C4" t="inlineStr">
      <is>
        <t>2.1.24</t>
      </is>
    </nc>
  </rcc>
  <rcc rId="11336" sId="1">
    <oc r="C5">
      <f>B5 &amp; "." &amp;  A5 &amp; "." &amp; RIGHT(YEAR(G5), 2)</f>
    </oc>
    <nc r="C5" t="inlineStr">
      <is>
        <t>2.1.24</t>
      </is>
    </nc>
  </rcc>
  <rcc rId="11337" sId="1">
    <oc r="C6">
      <f>B6 &amp; "." &amp;  A6 &amp; "." &amp; RIGHT(YEAR(G6), 2)</f>
    </oc>
    <nc r="C6" t="inlineStr">
      <is>
        <t>2.1.24</t>
      </is>
    </nc>
  </rcc>
  <rcc rId="11338" sId="1">
    <oc r="C7">
      <f>B7 &amp; "." &amp;  A7 &amp; "." &amp; RIGHT(YEAR(G7), 2)</f>
    </oc>
    <nc r="C7" t="inlineStr">
      <is>
        <t>2.1.24</t>
      </is>
    </nc>
  </rcc>
  <rcc rId="11339" sId="1">
    <oc r="C8">
      <f>B8 &amp; "." &amp;  A8 &amp; "." &amp; RIGHT(YEAR(G8), 2)</f>
    </oc>
    <nc r="C8" t="inlineStr">
      <is>
        <t>2.1.24</t>
      </is>
    </nc>
  </rcc>
  <rcc rId="11340" sId="1">
    <oc r="C9">
      <f>B9 &amp; "." &amp;  A9 &amp; "." &amp; RIGHT(YEAR(G9), 2)</f>
    </oc>
    <nc r="C9" t="inlineStr">
      <is>
        <t>2.1.24</t>
      </is>
    </nc>
  </rcc>
  <rcc rId="11341" sId="1">
    <oc r="C10">
      <f>B10 &amp; "." &amp;  A10 &amp; "." &amp; RIGHT(YEAR(G10), 2)</f>
    </oc>
    <nc r="C10" t="inlineStr">
      <is>
        <t>2.1.24</t>
      </is>
    </nc>
  </rcc>
  <rcc rId="11342" sId="1">
    <oc r="C11">
      <f>B11 &amp; "." &amp;  A11 &amp; "." &amp; RIGHT(YEAR(G11), 2)</f>
    </oc>
    <nc r="C11" t="inlineStr">
      <is>
        <t>2.1.24</t>
      </is>
    </nc>
  </rcc>
  <rcc rId="11343" sId="1">
    <oc r="C12">
      <f>B12 &amp; "." &amp;  A12 &amp; "." &amp; RIGHT(YEAR(G12), 2)</f>
    </oc>
    <nc r="C12" t="inlineStr">
      <is>
        <t>2.1.24</t>
      </is>
    </nc>
  </rcc>
  <rcc rId="11344" sId="1">
    <oc r="C13">
      <f>B13 &amp; "." &amp;  A13 &amp; "." &amp; RIGHT(YEAR(G13), 2)</f>
    </oc>
    <nc r="C13" t="inlineStr">
      <is>
        <t>2.1.24</t>
      </is>
    </nc>
  </rcc>
  <rcc rId="11345" sId="1">
    <oc r="C14">
      <f>B14 &amp; "." &amp;  A14 &amp; "." &amp; RIGHT(YEAR(G14), 2)</f>
    </oc>
    <nc r="C14" t="inlineStr">
      <is>
        <t>2.1.24</t>
      </is>
    </nc>
  </rcc>
  <rcc rId="11346" sId="1">
    <oc r="C15">
      <f>B15 &amp; "." &amp;  A15 &amp; "." &amp; RIGHT(YEAR(G15), 2)</f>
    </oc>
    <nc r="C15" t="inlineStr">
      <is>
        <t>2.1.24</t>
      </is>
    </nc>
  </rcc>
  <rcc rId="11347" sId="1">
    <oc r="C16">
      <f>B16 &amp; "." &amp;  A16 &amp; "." &amp; RIGHT(YEAR(G16), 2)</f>
    </oc>
    <nc r="C16" t="inlineStr">
      <is>
        <t>2.1.24</t>
      </is>
    </nc>
  </rcc>
  <rcc rId="11348" sId="1">
    <oc r="C17">
      <f>B17 &amp; "." &amp;  A17 &amp; "." &amp; RIGHT(YEAR(G17), 2)</f>
    </oc>
    <nc r="C17" t="inlineStr">
      <is>
        <t>2.1.24</t>
      </is>
    </nc>
  </rcc>
  <rcc rId="11349" sId="1">
    <oc r="C18">
      <f>B18 &amp; "." &amp;  A18 &amp; "." &amp; RIGHT(YEAR(G18), 2)</f>
    </oc>
    <nc r="C18" t="inlineStr">
      <is>
        <t>2.1.24</t>
      </is>
    </nc>
  </rcc>
  <rcc rId="11350" sId="1">
    <oc r="C19">
      <f>B19 &amp; "." &amp;  A19 &amp; "." &amp; RIGHT(YEAR(G19), 2)</f>
    </oc>
    <nc r="C19" t="inlineStr">
      <is>
        <t>2.1.24</t>
      </is>
    </nc>
  </rcc>
  <rcc rId="11351" sId="1">
    <oc r="C20">
      <f>B20 &amp; "." &amp;  A20 &amp; "." &amp; RIGHT(YEAR(G20), 2)</f>
    </oc>
    <nc r="C20" t="inlineStr">
      <is>
        <t>2.1.24</t>
      </is>
    </nc>
  </rcc>
  <rcc rId="11352" sId="1">
    <oc r="C21">
      <f>B21 &amp; "." &amp;  A21 &amp; "." &amp; RIGHT(YEAR(G21), 2)</f>
    </oc>
    <nc r="C21" t="inlineStr">
      <is>
        <t>2.1.24</t>
      </is>
    </nc>
  </rcc>
  <rcc rId="11353" sId="1">
    <oc r="C22">
      <f>B22 &amp; "." &amp;  A22 &amp; "." &amp; RIGHT(YEAR(G22), 2)</f>
    </oc>
    <nc r="C22" t="inlineStr">
      <is>
        <t>2.1.24</t>
      </is>
    </nc>
  </rcc>
  <rcc rId="11354" sId="1">
    <oc r="C23">
      <f>B23 &amp; "." &amp;  A23 &amp; "." &amp; RIGHT(YEAR(G23), 2)</f>
    </oc>
    <nc r="C23" t="inlineStr">
      <is>
        <t>2.1.24</t>
      </is>
    </nc>
  </rcc>
  <rcc rId="11355" sId="1">
    <oc r="C24">
      <f>B24 &amp; "." &amp;  A24 &amp; "." &amp; RIGHT(YEAR(G24), 2)</f>
    </oc>
    <nc r="C24" t="inlineStr">
      <is>
        <t>2.1.24</t>
      </is>
    </nc>
  </rcc>
  <rcc rId="11356" sId="1">
    <oc r="C25">
      <f>B25 &amp; "." &amp;  A25 &amp; "." &amp; RIGHT(YEAR(G25), 2)</f>
    </oc>
    <nc r="C25" t="inlineStr">
      <is>
        <t>2.1.24</t>
      </is>
    </nc>
  </rcc>
  <rcc rId="11357" sId="1">
    <oc r="C26">
      <f>B26 &amp; "." &amp;  A26 &amp; "." &amp; RIGHT(YEAR(G26), 2)</f>
    </oc>
    <nc r="C26" t="inlineStr">
      <is>
        <t>2.1.24</t>
      </is>
    </nc>
  </rcc>
  <rcc rId="11358" sId="1">
    <oc r="C27">
      <f>B27 &amp; "." &amp;  A27 &amp; "." &amp; RIGHT(YEAR(G27), 2)</f>
    </oc>
    <nc r="C27" t="inlineStr">
      <is>
        <t>2.1.24</t>
      </is>
    </nc>
  </rcc>
  <rcc rId="11359" sId="1">
    <oc r="C28">
      <f>B28 &amp; "." &amp;  A28 &amp; "." &amp; RIGHT(YEAR(G28), 2)</f>
    </oc>
    <nc r="C28" t="inlineStr">
      <is>
        <t>2.1.24</t>
      </is>
    </nc>
  </rcc>
  <rcc rId="11360" sId="1">
    <oc r="C29">
      <f>B29 &amp; "." &amp;  A29 &amp; "." &amp; RIGHT(YEAR(G29), 2)</f>
    </oc>
    <nc r="C29" t="inlineStr">
      <is>
        <t>2.1.24</t>
      </is>
    </nc>
  </rcc>
  <rcc rId="11361" sId="1">
    <oc r="C30">
      <f>B30 &amp; "." &amp;  A30 &amp; "." &amp; RIGHT(YEAR(G30), 2)</f>
    </oc>
    <nc r="C30" t="inlineStr">
      <is>
        <t>2.1.24</t>
      </is>
    </nc>
  </rcc>
  <rcc rId="11362" sId="1">
    <oc r="C31">
      <f>B31 &amp; "." &amp;  A31 &amp; "." &amp; RIGHT(YEAR(G31), 2)</f>
    </oc>
    <nc r="C31" t="inlineStr">
      <is>
        <t>2.1.24</t>
      </is>
    </nc>
  </rcc>
  <rcc rId="11363" sId="1">
    <oc r="C32">
      <f>B32 &amp; "." &amp;  A32 &amp; "." &amp; RIGHT(YEAR(G32), 2)</f>
    </oc>
    <nc r="C32" t="inlineStr">
      <is>
        <t>2.1.24</t>
      </is>
    </nc>
  </rcc>
  <rcc rId="11364" sId="1">
    <oc r="C33">
      <f>B33 &amp; "." &amp;  A33 &amp; "." &amp; RIGHT(YEAR(G33), 2)</f>
    </oc>
    <nc r="C33" t="inlineStr">
      <is>
        <t>2.1.24</t>
      </is>
    </nc>
  </rcc>
  <rcc rId="11365" sId="1">
    <oc r="C34">
      <f>B34 &amp; "." &amp;  A34 &amp; "." &amp; RIGHT(YEAR(G34), 2)</f>
    </oc>
    <nc r="C34" t="inlineStr">
      <is>
        <t>2.1.24</t>
      </is>
    </nc>
  </rcc>
  <rcc rId="11366" sId="1">
    <oc r="C35">
      <f>B35 &amp; "." &amp;  A35 &amp; "." &amp; RIGHT(YEAR(G35), 2)</f>
    </oc>
    <nc r="C35" t="inlineStr">
      <is>
        <t>2.1.24</t>
      </is>
    </nc>
  </rcc>
  <rcc rId="11367" sId="1">
    <oc r="C36">
      <f>B36 &amp; "." &amp;  A36 &amp; "." &amp; RIGHT(YEAR(G36), 2)</f>
    </oc>
    <nc r="C36" t="inlineStr">
      <is>
        <t>2.1.24</t>
      </is>
    </nc>
  </rcc>
  <rcc rId="11368" sId="1">
    <oc r="C37">
      <f>B37 &amp; "." &amp;  A37 &amp; "." &amp; RIGHT(YEAR(G37), 2)</f>
    </oc>
    <nc r="C37" t="inlineStr">
      <is>
        <t>2.1.24</t>
      </is>
    </nc>
  </rcc>
  <rcc rId="11369" sId="1">
    <oc r="C38">
      <f>B38 &amp; "." &amp;  A38 &amp; "." &amp; RIGHT(YEAR(G38), 2)</f>
    </oc>
    <nc r="C38" t="inlineStr">
      <is>
        <t>2.1.24</t>
      </is>
    </nc>
  </rcc>
  <rcc rId="11370" sId="1">
    <oc r="C39">
      <f>B39 &amp; "." &amp;  A39 &amp; "." &amp; RIGHT(YEAR(G39), 2)</f>
    </oc>
    <nc r="C39" t="inlineStr">
      <is>
        <t>2.1.24</t>
      </is>
    </nc>
  </rcc>
  <rcc rId="11371" sId="1">
    <oc r="C40">
      <f>B40 &amp; "." &amp;  A40 &amp; "." &amp; RIGHT(YEAR(G40), 2)</f>
    </oc>
    <nc r="C40" t="inlineStr">
      <is>
        <t>2.1.24</t>
      </is>
    </nc>
  </rcc>
  <rcc rId="11372" sId="1">
    <oc r="C41">
      <f>B41 &amp; "." &amp;  A41 &amp; "." &amp; RIGHT(YEAR(G41), 2)</f>
    </oc>
    <nc r="C41" t="inlineStr">
      <is>
        <t>2.1.24</t>
      </is>
    </nc>
  </rcc>
  <rcc rId="11373" sId="1">
    <oc r="C42">
      <f>B42 &amp; "." &amp;  A42 &amp; "." &amp; RIGHT(YEAR(G42), 2)</f>
    </oc>
    <nc r="C42" t="inlineStr">
      <is>
        <t>2.1.24</t>
      </is>
    </nc>
  </rcc>
  <rcc rId="11374" sId="1">
    <oc r="C43">
      <f>B43 &amp; "." &amp;  A43 &amp; "." &amp; RIGHT(YEAR(G43), 2)</f>
    </oc>
    <nc r="C43" t="inlineStr">
      <is>
        <t>2.1.24</t>
      </is>
    </nc>
  </rcc>
  <rcc rId="11375" sId="1">
    <oc r="C44">
      <f>B44 &amp; "." &amp;  A44 &amp; "." &amp; RIGHT(YEAR(G44), 2)</f>
    </oc>
    <nc r="C44" t="inlineStr">
      <is>
        <t>2.1.24</t>
      </is>
    </nc>
  </rcc>
  <rcc rId="11376" sId="1">
    <oc r="C45">
      <f>B45 &amp; "." &amp;  A45 &amp; "." &amp; RIGHT(YEAR(G45), 2)</f>
    </oc>
    <nc r="C45" t="inlineStr">
      <is>
        <t>2.1.24</t>
      </is>
    </nc>
  </rcc>
  <rcc rId="11377" sId="1">
    <oc r="C46">
      <f>B46 &amp; "." &amp;  A46 &amp; "." &amp; RIGHT(YEAR(G46), 2)</f>
    </oc>
    <nc r="C46" t="inlineStr">
      <is>
        <t>2.1.24</t>
      </is>
    </nc>
  </rcc>
  <rcc rId="11378" sId="1">
    <oc r="C47">
      <f>B47 &amp; "." &amp;  A47 &amp; "." &amp; RIGHT(YEAR(G47), 2)</f>
    </oc>
    <nc r="C47" t="inlineStr">
      <is>
        <t>2.1.24</t>
      </is>
    </nc>
  </rcc>
  <rcc rId="11379" sId="1">
    <oc r="C48">
      <f>B48 &amp; "." &amp;  A48 &amp; "." &amp; RIGHT(YEAR(G48), 2)</f>
    </oc>
    <nc r="C48" t="inlineStr">
      <is>
        <t>2.1.24</t>
      </is>
    </nc>
  </rcc>
  <rcc rId="11380" sId="1">
    <oc r="C49">
      <f>B49 &amp; "." &amp;  A49 &amp; "." &amp; RIGHT(YEAR(G49), 2)</f>
    </oc>
    <nc r="C49" t="inlineStr">
      <is>
        <t>2.1.24</t>
      </is>
    </nc>
  </rcc>
  <rcc rId="11381" sId="1">
    <oc r="C50">
      <f>B50 &amp; "." &amp;  A50 &amp; "." &amp; RIGHT(YEAR(G50), 2)</f>
    </oc>
    <nc r="C50" t="inlineStr">
      <is>
        <t>2.1.24</t>
      </is>
    </nc>
  </rcc>
  <rcc rId="11382" sId="1">
    <oc r="C51">
      <f>B51 &amp; "." &amp;  A51 &amp; "." &amp; RIGHT(YEAR(G51), 2)</f>
    </oc>
    <nc r="C51" t="inlineStr">
      <is>
        <t>2.1.24</t>
      </is>
    </nc>
  </rcc>
  <rcc rId="11383" sId="1">
    <oc r="C52">
      <f>B52 &amp; "." &amp;  A52 &amp; "." &amp; RIGHT(YEAR(G52), 2)</f>
    </oc>
    <nc r="C52" t="inlineStr">
      <is>
        <t>2.1.24</t>
      </is>
    </nc>
  </rcc>
  <rcc rId="11384" sId="1">
    <oc r="C53">
      <f>B53 &amp; "." &amp;  A53 &amp; "." &amp; RIGHT(YEAR(G53), 2)</f>
    </oc>
    <nc r="C53" t="inlineStr">
      <is>
        <t>2.1.24</t>
      </is>
    </nc>
  </rcc>
  <rcc rId="11385" sId="1">
    <oc r="C54">
      <f>B54 &amp; "." &amp;  A54 &amp; "." &amp; RIGHT(YEAR(G54), 2)</f>
    </oc>
    <nc r="C54" t="inlineStr">
      <is>
        <t>2.1.24</t>
      </is>
    </nc>
  </rcc>
  <rcc rId="11386" sId="1">
    <oc r="C55">
      <f>B55 &amp; "." &amp;  A55 &amp; "." &amp; RIGHT(YEAR(G55), 2)</f>
    </oc>
    <nc r="C55" t="inlineStr">
      <is>
        <t>2.1.24</t>
      </is>
    </nc>
  </rcc>
  <rcc rId="11387" sId="1">
    <oc r="C56">
      <f>B56 &amp; "." &amp;  A56 &amp; "." &amp; RIGHT(YEAR(G56), 2)</f>
    </oc>
    <nc r="C56" t="inlineStr">
      <is>
        <t>2.1.24</t>
      </is>
    </nc>
  </rcc>
  <rcc rId="11388" sId="1">
    <oc r="C57">
      <f>B57 &amp; "." &amp;  A57 &amp; "." &amp; RIGHT(YEAR(G57), 2)</f>
    </oc>
    <nc r="C57" t="inlineStr">
      <is>
        <t>2.1.24</t>
      </is>
    </nc>
  </rcc>
  <rcc rId="11389" sId="1">
    <oc r="C58">
      <f>B58 &amp; "." &amp;  A58 &amp; "." &amp; RIGHT(YEAR(G58), 2)</f>
    </oc>
    <nc r="C58" t="inlineStr">
      <is>
        <t>2.1.24</t>
      </is>
    </nc>
  </rcc>
  <rcc rId="11390" sId="1">
    <oc r="C59">
      <f>B59 &amp; "." &amp;  A59 &amp; "." &amp; RIGHT(YEAR(G59), 2)</f>
    </oc>
    <nc r="C59" t="inlineStr">
      <is>
        <t>2.1.24</t>
      </is>
    </nc>
  </rcc>
  <rcc rId="11391" sId="1">
    <oc r="C60">
      <f>B60 &amp; "." &amp;  A60 &amp; "." &amp; RIGHT(YEAR(G60), 2)</f>
    </oc>
    <nc r="C60" t="inlineStr">
      <is>
        <t>2.1.24</t>
      </is>
    </nc>
  </rcc>
  <rcc rId="11392" sId="1">
    <oc r="C61">
      <f>B61 &amp; "." &amp;  A61 &amp; "." &amp; RIGHT(YEAR(G61), 2)</f>
    </oc>
    <nc r="C61" t="inlineStr">
      <is>
        <t>2.1.24</t>
      </is>
    </nc>
  </rcc>
  <rcc rId="11393" sId="1">
    <oc r="C62">
      <f>B62 &amp; "." &amp;  A62 &amp; "." &amp; RIGHT(YEAR(G62), 2)</f>
    </oc>
    <nc r="C62" t="inlineStr">
      <is>
        <t>2.1.24</t>
      </is>
    </nc>
  </rcc>
  <rcc rId="11394" sId="1">
    <oc r="C63">
      <f>B63 &amp; "." &amp;  A63 &amp; "." &amp; RIGHT(YEAR(G63), 2)</f>
    </oc>
    <nc r="C63" t="inlineStr">
      <is>
        <t>2.1.24</t>
      </is>
    </nc>
  </rcc>
  <rcc rId="11395" sId="1">
    <oc r="C64">
      <f>B64 &amp; "." &amp;  A64 &amp; "." &amp; RIGHT(YEAR(G64), 2)</f>
    </oc>
    <nc r="C64" t="inlineStr">
      <is>
        <t>2.1.24</t>
      </is>
    </nc>
  </rcc>
  <rcc rId="11396" sId="1">
    <oc r="C65">
      <f>B65 &amp; "." &amp;  A65 &amp; "." &amp; RIGHT(YEAR(G65), 2)</f>
    </oc>
    <nc r="C65" t="inlineStr">
      <is>
        <t>2.1.24</t>
      </is>
    </nc>
  </rcc>
  <rcc rId="11397" sId="1">
    <oc r="C66">
      <f>B66 &amp; "." &amp;  A66 &amp; "." &amp; RIGHT(YEAR(G66), 2)</f>
    </oc>
    <nc r="C66" t="inlineStr">
      <is>
        <t>2.1.24</t>
      </is>
    </nc>
  </rcc>
  <rcc rId="11398" sId="1">
    <oc r="C67">
      <f>B67 &amp; "." &amp;  A67 &amp; "." &amp; RIGHT(YEAR(G67), 2)</f>
    </oc>
    <nc r="C67" t="inlineStr">
      <is>
        <t>2.1.24</t>
      </is>
    </nc>
  </rcc>
  <rcc rId="11399" sId="1">
    <oc r="C68">
      <f>B68 &amp; "." &amp;  A68 &amp; "." &amp; RIGHT(YEAR(G68), 2)</f>
    </oc>
    <nc r="C68" t="inlineStr">
      <is>
        <t>2.1.24</t>
      </is>
    </nc>
  </rcc>
  <rcc rId="11400" sId="1">
    <oc r="C69">
      <f>B69 &amp; "." &amp;  A69 &amp; "." &amp; RIGHT(YEAR(G69), 2)</f>
    </oc>
    <nc r="C69" t="inlineStr">
      <is>
        <t>2.1.24</t>
      </is>
    </nc>
  </rcc>
  <rcc rId="11401" sId="1">
    <oc r="C70">
      <f>B70 &amp; "." &amp;  A70 &amp; "." &amp; RIGHT(YEAR(G70), 2)</f>
    </oc>
    <nc r="C70" t="inlineStr">
      <is>
        <t>2.1.24</t>
      </is>
    </nc>
  </rcc>
  <rcc rId="11402" sId="1">
    <oc r="C71">
      <f>B71 &amp; "." &amp;  A71 &amp; "." &amp; RIGHT(YEAR(G71), 2)</f>
    </oc>
    <nc r="C71" t="inlineStr">
      <is>
        <t>2.1.24</t>
      </is>
    </nc>
  </rcc>
  <rcc rId="11403" sId="1">
    <oc r="C72">
      <f>B72 &amp; "." &amp;  A72 &amp; "." &amp; RIGHT(YEAR(G72), 2)</f>
    </oc>
    <nc r="C72" t="inlineStr">
      <is>
        <t>2.1.24</t>
      </is>
    </nc>
  </rcc>
  <rcc rId="11404" sId="1">
    <oc r="C73">
      <f>B73 &amp; "." &amp;  A73 &amp; "." &amp; RIGHT(YEAR(G73), 2)</f>
    </oc>
    <nc r="C73" t="inlineStr">
      <is>
        <t>2.1.24</t>
      </is>
    </nc>
  </rcc>
  <rcc rId="11405" sId="1">
    <oc r="C74">
      <f>B74 &amp; "." &amp;  A74 &amp; "." &amp; RIGHT(YEAR(G74), 2)</f>
    </oc>
    <nc r="C74" t="inlineStr">
      <is>
        <t>2.1.24</t>
      </is>
    </nc>
  </rcc>
  <rcc rId="11406" sId="1">
    <oc r="C75">
      <f>B75 &amp; "." &amp;  A75 &amp; "." &amp; RIGHT(YEAR(G75), 2)</f>
    </oc>
    <nc r="C75" t="inlineStr">
      <is>
        <t>2.1.24</t>
      </is>
    </nc>
  </rcc>
  <rcc rId="11407" sId="1">
    <oc r="C76">
      <f>B76 &amp; "." &amp;  A76 &amp; "." &amp; RIGHT(YEAR(G76), 2)</f>
    </oc>
    <nc r="C76" t="inlineStr">
      <is>
        <t>2.1.24</t>
      </is>
    </nc>
  </rcc>
  <rcc rId="11408" sId="1">
    <oc r="C77">
      <f>B77 &amp; "." &amp;  A77 &amp; "." &amp; RIGHT(YEAR(G77), 2)</f>
    </oc>
    <nc r="C77" t="inlineStr">
      <is>
        <t>2.1.24</t>
      </is>
    </nc>
  </rcc>
  <rcc rId="11409" sId="1">
    <oc r="C78">
      <f>B78 &amp; "." &amp;  A78 &amp; "." &amp; RIGHT(YEAR(G78), 2)</f>
    </oc>
    <nc r="C78" t="inlineStr">
      <is>
        <t>2.1.24</t>
      </is>
    </nc>
  </rcc>
  <rcc rId="11410" sId="1">
    <oc r="C79">
      <f>B79 &amp; "." &amp;  A79 &amp; "." &amp; RIGHT(YEAR(G79), 2)</f>
    </oc>
    <nc r="C79" t="inlineStr">
      <is>
        <t>2.1.24</t>
      </is>
    </nc>
  </rcc>
  <rcc rId="11411" sId="1">
    <oc r="C80">
      <f>B80 &amp; "." &amp;  A80 &amp; "." &amp; RIGHT(YEAR(G80), 2)</f>
    </oc>
    <nc r="C80" t="inlineStr">
      <is>
        <t>2.1.24</t>
      </is>
    </nc>
  </rcc>
  <rcc rId="11412" sId="1">
    <oc r="C81">
      <f>B81 &amp; "." &amp;  A81 &amp; "." &amp; RIGHT(YEAR(G81), 2)</f>
    </oc>
    <nc r="C81" t="inlineStr">
      <is>
        <t>2.1.24</t>
      </is>
    </nc>
  </rcc>
  <rcc rId="11413" sId="1">
    <oc r="C82">
      <f>B82 &amp; "." &amp;  A82 &amp; "." &amp; RIGHT(YEAR(G82), 2)</f>
    </oc>
    <nc r="C82" t="inlineStr">
      <is>
        <t>2.1.24</t>
      </is>
    </nc>
  </rcc>
  <rcc rId="11414" sId="1">
    <oc r="C83">
      <f>B83 &amp; "." &amp;  A83 &amp; "." &amp; RIGHT(YEAR(G83), 2)</f>
    </oc>
    <nc r="C83" t="inlineStr">
      <is>
        <t>2.1.24</t>
      </is>
    </nc>
  </rcc>
  <rcc rId="11415" sId="1">
    <oc r="C84">
      <f>B84 &amp; "." &amp;  A84 &amp; "." &amp; RIGHT(YEAR(G84), 2)</f>
    </oc>
    <nc r="C84" t="inlineStr">
      <is>
        <t>2.1.24</t>
      </is>
    </nc>
  </rcc>
  <rcc rId="11416" sId="1">
    <oc r="C85">
      <f>B85 &amp; "." &amp;  A85 &amp; "." &amp; RIGHT(YEAR(G85), 2)</f>
    </oc>
    <nc r="C85" t="inlineStr">
      <is>
        <t>2.1.24</t>
      </is>
    </nc>
  </rcc>
  <rcc rId="11417" sId="1">
    <oc r="C86">
      <f>B86 &amp; "." &amp;  A86 &amp; "." &amp; RIGHT(YEAR(G86), 2)</f>
    </oc>
    <nc r="C86" t="inlineStr">
      <is>
        <t>2.1.24</t>
      </is>
    </nc>
  </rcc>
  <rcc rId="11418" sId="1">
    <oc r="C87">
      <f>B87 &amp; "." &amp;  A87 &amp; "." &amp; RIGHT(YEAR(G87), 2)</f>
    </oc>
    <nc r="C87" t="inlineStr">
      <is>
        <t>2.1.24</t>
      </is>
    </nc>
  </rcc>
  <rcc rId="11419" sId="1">
    <oc r="C88">
      <f>B88 &amp; "." &amp;  A88 &amp; "." &amp; RIGHT(YEAR(G88), 2)</f>
    </oc>
    <nc r="C88" t="inlineStr">
      <is>
        <t>2.1.24</t>
      </is>
    </nc>
  </rcc>
  <rcc rId="11420" sId="1">
    <oc r="C89">
      <f>B89 &amp; "." &amp;  A89 &amp; "." &amp; RIGHT(YEAR(G89), 2)</f>
    </oc>
    <nc r="C89" t="inlineStr">
      <is>
        <t>2.1.24</t>
      </is>
    </nc>
  </rcc>
  <rcc rId="11421" sId="1">
    <oc r="C90">
      <f>B90 &amp; "." &amp;  A90 &amp; "." &amp; RIGHT(YEAR(G90), 2)</f>
    </oc>
    <nc r="C90" t="inlineStr">
      <is>
        <t>2.1.24</t>
      </is>
    </nc>
  </rcc>
  <rcc rId="11422" sId="1">
    <oc r="C91">
      <f>B91 &amp; "." &amp;  A91 &amp; "." &amp; RIGHT(YEAR(G91), 2)</f>
    </oc>
    <nc r="C91" t="inlineStr">
      <is>
        <t>2.1.24</t>
      </is>
    </nc>
  </rcc>
  <rcc rId="11423" sId="1">
    <oc r="C92">
      <f>B92 &amp; "." &amp;  A92 &amp; "." &amp; RIGHT(YEAR(G92), 2)</f>
    </oc>
    <nc r="C92" t="inlineStr">
      <is>
        <t>2.1.24</t>
      </is>
    </nc>
  </rcc>
  <rcc rId="11424" sId="1">
    <oc r="C93">
      <f>B93 &amp; "." &amp;  A93 &amp; "." &amp; RIGHT(YEAR(G93), 2)</f>
    </oc>
    <nc r="C93" t="inlineStr">
      <is>
        <t>2.1.24</t>
      </is>
    </nc>
  </rcc>
  <rcc rId="11425" sId="1">
    <oc r="C94">
      <f>B94 &amp; "." &amp;  A94 &amp; "." &amp; RIGHT(YEAR(G94), 2)</f>
    </oc>
    <nc r="C94" t="inlineStr">
      <is>
        <t>2.1.24</t>
      </is>
    </nc>
  </rcc>
  <rcc rId="11426" sId="1">
    <oc r="C95">
      <f>B95 &amp; "." &amp;  A95 &amp; "." &amp; RIGHT(YEAR(G95), 2)</f>
    </oc>
    <nc r="C95" t="inlineStr">
      <is>
        <t>2.1.24</t>
      </is>
    </nc>
  </rcc>
  <rcc rId="11427" sId="1">
    <oc r="C96">
      <f>B96 &amp; "." &amp;  A96 &amp; "." &amp; RIGHT(YEAR(G96), 2)</f>
    </oc>
    <nc r="C96" t="inlineStr">
      <is>
        <t>2.1.24</t>
      </is>
    </nc>
  </rcc>
  <rcc rId="11428" sId="1">
    <oc r="C97">
      <f>B97 &amp; "." &amp;  A97 &amp; "." &amp; RIGHT(YEAR(G97), 2)</f>
    </oc>
    <nc r="C97" t="inlineStr">
      <is>
        <t>2.1.24</t>
      </is>
    </nc>
  </rcc>
  <rcc rId="11429" sId="1">
    <oc r="C98">
      <f>B98 &amp; "." &amp;  A98 &amp; "." &amp; RIGHT(YEAR(G98), 2)</f>
    </oc>
    <nc r="C98" t="inlineStr">
      <is>
        <t>2.1.24</t>
      </is>
    </nc>
  </rcc>
  <rcc rId="11430" sId="1">
    <oc r="C99">
      <f>B99 &amp; "." &amp;  A99 &amp; "." &amp; RIGHT(YEAR(G99), 2)</f>
    </oc>
    <nc r="C99" t="inlineStr">
      <is>
        <t>2.1.24</t>
      </is>
    </nc>
  </rcc>
  <rcc rId="11431" sId="1">
    <oc r="C100">
      <f>B100 &amp; "." &amp;  A100 &amp; "." &amp; RIGHT(YEAR(G100), 2)</f>
    </oc>
    <nc r="C100" t="inlineStr">
      <is>
        <t>2.1.24</t>
      </is>
    </nc>
  </rcc>
  <rcc rId="11432" sId="1">
    <oc r="C101">
      <f>B101 &amp; "." &amp;  A101 &amp; "." &amp; RIGHT(YEAR(G101), 2)</f>
    </oc>
    <nc r="C101" t="inlineStr">
      <is>
        <t>2.1.24</t>
      </is>
    </nc>
  </rcc>
  <rcc rId="11433" sId="1">
    <oc r="C102">
      <f>B102 &amp; "." &amp;  A102 &amp; "." &amp; RIGHT(YEAR(G102), 2)</f>
    </oc>
    <nc r="C102" t="inlineStr">
      <is>
        <t>2.1.24</t>
      </is>
    </nc>
  </rcc>
  <rcc rId="11434" sId="1">
    <oc r="C103">
      <f>B103 &amp; "." &amp;  A103 &amp; "." &amp; RIGHT(YEAR(G103), 2)</f>
    </oc>
    <nc r="C103" t="inlineStr">
      <is>
        <t>2.1.24</t>
      </is>
    </nc>
  </rcc>
  <rcc rId="11435" sId="1">
    <oc r="C104">
      <f>B104 &amp; "." &amp;  A104 &amp; "." &amp; RIGHT(YEAR(G104), 2)</f>
    </oc>
    <nc r="C104" t="inlineStr">
      <is>
        <t>2.1.24</t>
      </is>
    </nc>
  </rcc>
  <rcc rId="11436" sId="1">
    <oc r="C105">
      <f>B105 &amp; "." &amp;  A105 &amp; "." &amp; RIGHT(YEAR(G105), 2)</f>
    </oc>
    <nc r="C105" t="inlineStr">
      <is>
        <t>2.1.24</t>
      </is>
    </nc>
  </rcc>
  <rcc rId="11437" sId="1">
    <oc r="C106">
      <f>B106 &amp; "." &amp;  A106 &amp; "." &amp; RIGHT(YEAR(G106), 2)</f>
    </oc>
    <nc r="C106" t="inlineStr">
      <is>
        <t>2.1.24</t>
      </is>
    </nc>
  </rcc>
  <rcc rId="11438" sId="1">
    <oc r="C107">
      <f>B107 &amp; "." &amp;  A107 &amp; "." &amp; RIGHT(YEAR(G107), 2)</f>
    </oc>
    <nc r="C107" t="inlineStr">
      <is>
        <t>2.1.24</t>
      </is>
    </nc>
  </rcc>
  <rcc rId="11439" sId="1">
    <oc r="C108">
      <f>B108 &amp; "." &amp;  A108 &amp; "." &amp; RIGHT(YEAR(G108), 2)</f>
    </oc>
    <nc r="C108" t="inlineStr">
      <is>
        <t>2.1.24</t>
      </is>
    </nc>
  </rcc>
  <rcc rId="11440" sId="1">
    <oc r="C109">
      <f>B109 &amp; "." &amp;  A109 &amp; "." &amp; RIGHT(YEAR(G109), 2)</f>
    </oc>
    <nc r="C109" t="inlineStr">
      <is>
        <t>2.1.24</t>
      </is>
    </nc>
  </rcc>
  <rcc rId="11441" sId="1">
    <oc r="C110">
      <f>B110 &amp; "." &amp;  A110 &amp; "." &amp; RIGHT(YEAR(G110), 2)</f>
    </oc>
    <nc r="C110" t="inlineStr">
      <is>
        <t>2.1.24</t>
      </is>
    </nc>
  </rcc>
  <rcc rId="11442" sId="1">
    <oc r="C111">
      <f>B111 &amp; "." &amp;  A111 &amp; "." &amp; RIGHT(YEAR(G111), 2)</f>
    </oc>
    <nc r="C111" t="inlineStr">
      <is>
        <t>2.1.24</t>
      </is>
    </nc>
  </rcc>
  <rcc rId="11443" sId="1">
    <oc r="C112">
      <f>B112 &amp; "." &amp;  A112 &amp; "." &amp; RIGHT(YEAR(G112), 2)</f>
    </oc>
    <nc r="C112" t="inlineStr">
      <is>
        <t>2.1.24</t>
      </is>
    </nc>
  </rcc>
  <rcc rId="11444" sId="1">
    <oc r="C113">
      <f>B113 &amp; "." &amp;  A113 &amp; "." &amp; RIGHT(YEAR(G113), 2)</f>
    </oc>
    <nc r="C113" t="inlineStr">
      <is>
        <t>2.1.24</t>
      </is>
    </nc>
  </rcc>
  <rcc rId="11445" sId="1">
    <oc r="C114">
      <f>B114 &amp; "." &amp;  A114 &amp; "." &amp; RIGHT(YEAR(G114), 2)</f>
    </oc>
    <nc r="C114" t="inlineStr">
      <is>
        <t>2.1.24</t>
      </is>
    </nc>
  </rcc>
  <rcc rId="11446" sId="1">
    <oc r="C115">
      <f>B115 &amp; "." &amp;  A115 &amp; "." &amp; RIGHT(YEAR(G115), 2)</f>
    </oc>
    <nc r="C115" t="inlineStr">
      <is>
        <t>2.1.24</t>
      </is>
    </nc>
  </rcc>
  <rcc rId="11447" sId="1">
    <oc r="C116">
      <f>B116 &amp; "." &amp;  A116 &amp; "." &amp; RIGHT(YEAR(G116), 2)</f>
    </oc>
    <nc r="C116" t="inlineStr">
      <is>
        <t>2.1.24</t>
      </is>
    </nc>
  </rcc>
  <rcc rId="11448" sId="1">
    <oc r="C117">
      <f>B117 &amp; "." &amp;  A117 &amp; "." &amp; RIGHT(YEAR(G117), 2)</f>
    </oc>
    <nc r="C117" t="inlineStr">
      <is>
        <t>2.1.24</t>
      </is>
    </nc>
  </rcc>
  <rcc rId="11449" sId="1">
    <oc r="C118">
      <f>B118 &amp; "." &amp;  A118 &amp; "." &amp; RIGHT(YEAR(G118), 2)</f>
    </oc>
    <nc r="C118" t="inlineStr">
      <is>
        <t>2.1.24</t>
      </is>
    </nc>
  </rcc>
  <rcc rId="11450" sId="1">
    <oc r="C119">
      <f>B119 &amp; "." &amp;  A119 &amp; "." &amp; RIGHT(YEAR(G119), 2)</f>
    </oc>
    <nc r="C119" t="inlineStr">
      <is>
        <t>2.1.24</t>
      </is>
    </nc>
  </rcc>
  <rcc rId="11451" sId="1">
    <oc r="C120">
      <f>B120 &amp; "." &amp;  A120 &amp; "." &amp; RIGHT(YEAR(G120), 2)</f>
    </oc>
    <nc r="C120" t="inlineStr">
      <is>
        <t>2.1.24</t>
      </is>
    </nc>
  </rcc>
  <rcc rId="11452" sId="1">
    <oc r="C121">
      <f>B121 &amp; "." &amp;  A121 &amp; "." &amp; RIGHT(YEAR(G121), 2)</f>
    </oc>
    <nc r="C121" t="inlineStr">
      <is>
        <t>2.1.24</t>
      </is>
    </nc>
  </rcc>
  <rcc rId="11453" sId="1">
    <oc r="C122">
      <f>B122 &amp; "." &amp;  A122 &amp; "." &amp; RIGHT(YEAR(G122), 2)</f>
    </oc>
    <nc r="C122" t="inlineStr">
      <is>
        <t>2.1.24</t>
      </is>
    </nc>
  </rcc>
  <rcc rId="11454" sId="1">
    <oc r="C123">
      <f>B123 &amp; "." &amp;  A123 &amp; "." &amp; RIGHT(YEAR(G123), 2)</f>
    </oc>
    <nc r="C123" t="inlineStr">
      <is>
        <t>2.1.24</t>
      </is>
    </nc>
  </rcc>
  <rcc rId="11455" sId="1">
    <oc r="C124">
      <f>B124 &amp; "." &amp;  A124 &amp; "." &amp; RIGHT(YEAR(G124), 2)</f>
    </oc>
    <nc r="C124" t="inlineStr">
      <is>
        <t>2.1.24</t>
      </is>
    </nc>
  </rcc>
  <rcc rId="11456" sId="1">
    <oc r="C125">
      <f>B125 &amp; "." &amp;  A125 &amp; "." &amp; RIGHT(YEAR(G125), 2)</f>
    </oc>
    <nc r="C125" t="inlineStr">
      <is>
        <t>2.1.24</t>
      </is>
    </nc>
  </rcc>
  <rcc rId="11457" sId="1">
    <oc r="C126">
      <f>B126 &amp; "." &amp;  A126 &amp; "." &amp; RIGHT(YEAR(G126), 2)</f>
    </oc>
    <nc r="C126" t="inlineStr">
      <is>
        <t>2.1.24</t>
      </is>
    </nc>
  </rcc>
  <rcc rId="11458" sId="1">
    <oc r="C127">
      <f>B127 &amp; "." &amp;  A127 &amp; "." &amp; RIGHT(YEAR(G127), 2)</f>
    </oc>
    <nc r="C127" t="inlineStr">
      <is>
        <t>2.1.24</t>
      </is>
    </nc>
  </rcc>
  <rcc rId="11459" sId="1">
    <oc r="C128">
      <f>B128 &amp; "." &amp;  A128 &amp; "." &amp; RIGHT(YEAR(G128), 2)</f>
    </oc>
    <nc r="C128" t="inlineStr">
      <is>
        <t>2.1.24</t>
      </is>
    </nc>
  </rcc>
  <rcc rId="11460" sId="1">
    <oc r="C129">
      <f>B129 &amp; "." &amp;  A129 &amp; "." &amp; RIGHT(YEAR(G129), 2)</f>
    </oc>
    <nc r="C129" t="inlineStr">
      <is>
        <t>2.1.24</t>
      </is>
    </nc>
  </rcc>
  <rcc rId="11461" sId="1">
    <oc r="C130">
      <f>B130 &amp; "." &amp;  A130 &amp; "." &amp; RIGHT(YEAR(G130), 2)</f>
    </oc>
    <nc r="C130" t="inlineStr">
      <is>
        <t>2.1.24</t>
      </is>
    </nc>
  </rcc>
  <rcc rId="11462" sId="1">
    <oc r="C131">
      <f>B131 &amp; "." &amp;  A131 &amp; "." &amp; RIGHT(YEAR(G131), 2)</f>
    </oc>
    <nc r="C131" t="inlineStr">
      <is>
        <t>3.1.24</t>
      </is>
    </nc>
  </rcc>
  <rcc rId="11463" sId="1">
    <oc r="C132">
      <f>B132 &amp; "." &amp;  A132 &amp; "." &amp; RIGHT(YEAR(G132), 2)</f>
    </oc>
    <nc r="C132" t="inlineStr">
      <is>
        <t>3.1.24</t>
      </is>
    </nc>
  </rcc>
  <rcc rId="11464" sId="1">
    <oc r="C133">
      <f>B133 &amp; "." &amp;  A133 &amp; "." &amp; RIGHT(YEAR(G133), 2)</f>
    </oc>
    <nc r="C133" t="inlineStr">
      <is>
        <t>3.1.24</t>
      </is>
    </nc>
  </rcc>
  <rcc rId="11465" sId="1">
    <oc r="C134">
      <f>B134 &amp; "." &amp;  A134 &amp; "." &amp; RIGHT(YEAR(G134), 2)</f>
    </oc>
    <nc r="C134" t="inlineStr">
      <is>
        <t>3.1.24</t>
      </is>
    </nc>
  </rcc>
  <rcc rId="11466" sId="1">
    <oc r="C135">
      <f>B135 &amp; "." &amp;  A135 &amp; "." &amp; RIGHT(YEAR(G135), 2)</f>
    </oc>
    <nc r="C135" t="inlineStr">
      <is>
        <t>4.1.24</t>
      </is>
    </nc>
  </rcc>
  <rcc rId="11467" sId="1">
    <oc r="C137">
      <f>B136 &amp; "." &amp;  A136 &amp; "." &amp; RIGHT(YEAR(G136), 2)</f>
    </oc>
    <nc r="C137" t="inlineStr">
      <is>
        <t>4.1.24</t>
      </is>
    </nc>
  </rcc>
  <rcc rId="11468" sId="1">
    <oc r="C139">
      <f>B137 &amp; "." &amp;  A137 &amp; "." &amp; RIGHT(YEAR(G137), 2)</f>
    </oc>
    <nc r="C139" t="inlineStr">
      <is>
        <t>4.1.24</t>
      </is>
    </nc>
  </rcc>
  <rcc rId="11469" sId="1">
    <oc r="C141">
      <f>B138 &amp; "." &amp;  A138 &amp; "." &amp; RIGHT(YEAR(G138), 2)</f>
    </oc>
    <nc r="C141" t="inlineStr">
      <is>
        <t>4.1.24</t>
      </is>
    </nc>
  </rcc>
  <rcc rId="11470" sId="1">
    <oc r="C142">
      <f>B139 &amp; "." &amp;  A139 &amp; "." &amp; RIGHT(YEAR(G139), 2)</f>
    </oc>
    <nc r="C142" t="inlineStr">
      <is>
        <t>4.1.24</t>
      </is>
    </nc>
  </rcc>
  <rcc rId="11471" sId="1">
    <oc r="C144">
      <f>B140 &amp; "." &amp;  A140 &amp; "." &amp; RIGHT(YEAR(G140), 2)</f>
    </oc>
    <nc r="C144" t="inlineStr">
      <is>
        <t>4.1.24</t>
      </is>
    </nc>
  </rcc>
  <rcc rId="11472" sId="1">
    <oc r="C147">
      <f>B141 &amp; "." &amp;  A141 &amp; "." &amp; RIGHT(YEAR(G141), 2)</f>
    </oc>
    <nc r="C147" t="inlineStr">
      <is>
        <t>4.1.24</t>
      </is>
    </nc>
  </rcc>
  <rcc rId="11473" sId="1">
    <oc r="C150">
      <f>B142 &amp; "." &amp;  A142 &amp; "." &amp; RIGHT(YEAR(G142), 2)</f>
    </oc>
    <nc r="C150" t="inlineStr">
      <is>
        <t>4.1.24</t>
      </is>
    </nc>
  </rcc>
  <rcc rId="11474" sId="1">
    <oc r="C152">
      <f>B143 &amp; "." &amp;  A143 &amp; "." &amp; RIGHT(YEAR(G143), 2)</f>
    </oc>
    <nc r="C152" t="inlineStr">
      <is>
        <t>4.1.24</t>
      </is>
    </nc>
  </rcc>
  <rcc rId="11475" sId="1">
    <oc r="C156">
      <f>B144 &amp; "." &amp;  A144 &amp; "." &amp; RIGHT(YEAR(G144), 2)</f>
    </oc>
    <nc r="C156" t="inlineStr">
      <is>
        <t>4.1.24</t>
      </is>
    </nc>
  </rcc>
  <rcc rId="11476" sId="1">
    <oc r="C158">
      <f>B145 &amp; "." &amp;  A145 &amp; "." &amp; RIGHT(YEAR(G145), 2)</f>
    </oc>
    <nc r="C158" t="inlineStr">
      <is>
        <t>4.1.24</t>
      </is>
    </nc>
  </rcc>
  <rcc rId="11477" sId="1">
    <oc r="C161">
      <f>B146 &amp; "." &amp;  A146 &amp; "." &amp; RIGHT(YEAR(G146), 2)</f>
    </oc>
    <nc r="C161" t="inlineStr">
      <is>
        <t>4.1.24</t>
      </is>
    </nc>
  </rcc>
  <rcc rId="11478" sId="1">
    <oc r="C164">
      <f>B147 &amp; "." &amp;  A147 &amp; "." &amp; RIGHT(YEAR(G147), 2)</f>
    </oc>
    <nc r="C164" t="inlineStr">
      <is>
        <t>4.1.24</t>
      </is>
    </nc>
  </rcc>
  <rcc rId="11479" sId="1">
    <oc r="C167">
      <f>B148 &amp; "." &amp;  A148 &amp; "." &amp; RIGHT(YEAR(G148), 2)</f>
    </oc>
    <nc r="C167" t="inlineStr">
      <is>
        <t>4.1.24</t>
      </is>
    </nc>
  </rcc>
  <rcc rId="11480" sId="1">
    <oc r="C168">
      <f>B149 &amp; "." &amp;  A149 &amp; "." &amp; RIGHT(YEAR(G149), 2)</f>
    </oc>
    <nc r="C168" t="inlineStr">
      <is>
        <t>4.1.24</t>
      </is>
    </nc>
  </rcc>
  <rcc rId="11481" sId="1">
    <oc r="C170">
      <f>B150 &amp; "." &amp;  A150 &amp; "." &amp; RIGHT(YEAR(G150), 2)</f>
    </oc>
    <nc r="C170" t="inlineStr">
      <is>
        <t>4.1.24</t>
      </is>
    </nc>
  </rcc>
  <rcc rId="11482" sId="1">
    <oc r="C173">
      <f>B151 &amp; "." &amp;  A151 &amp; "." &amp; RIGHT(YEAR(G151), 2)</f>
    </oc>
    <nc r="C173" t="inlineStr">
      <is>
        <t>4.1.24</t>
      </is>
    </nc>
  </rcc>
  <rcc rId="11483" sId="1">
    <oc r="C174">
      <f>B152 &amp; "." &amp;  A152 &amp; "." &amp; RIGHT(YEAR(G152), 2)</f>
    </oc>
    <nc r="C174" t="inlineStr">
      <is>
        <t>4.1.24</t>
      </is>
    </nc>
  </rcc>
  <rcc rId="11484" sId="1">
    <oc r="C177">
      <f>B153 &amp; "." &amp;  A153 &amp; "." &amp; RIGHT(YEAR(G153), 2)</f>
    </oc>
    <nc r="C177" t="inlineStr">
      <is>
        <t>4.1.24</t>
      </is>
    </nc>
  </rcc>
  <rcc rId="11485" sId="1">
    <oc r="C179">
      <f>B154 &amp; "." &amp;  A154 &amp; "." &amp; RIGHT(YEAR(G154), 2)</f>
    </oc>
    <nc r="C179" t="inlineStr">
      <is>
        <t>4.1.24</t>
      </is>
    </nc>
  </rcc>
  <rcc rId="11486" sId="1">
    <oc r="C181">
      <f>B155 &amp; "." &amp;  A155 &amp; "." &amp; RIGHT(YEAR(G155), 2)</f>
    </oc>
    <nc r="C181" t="inlineStr">
      <is>
        <t>4.1.24</t>
      </is>
    </nc>
  </rcc>
  <rcc rId="11487" sId="1">
    <oc r="C182">
      <f>B156 &amp; "." &amp;  A156 &amp; "." &amp; RIGHT(YEAR(G156), 2)</f>
    </oc>
    <nc r="C182" t="inlineStr">
      <is>
        <t>4.1.24</t>
      </is>
    </nc>
  </rcc>
  <rcc rId="11488" sId="1">
    <oc r="C184">
      <f>B157 &amp; "." &amp;  A157 &amp; "." &amp; RIGHT(YEAR(G157), 2)</f>
    </oc>
    <nc r="C184" t="inlineStr">
      <is>
        <t>4.1.24</t>
      </is>
    </nc>
  </rcc>
  <rcc rId="11489" sId="1">
    <oc r="C187">
      <f>B158 &amp; "." &amp;  A158 &amp; "." &amp; RIGHT(YEAR(G158), 2)</f>
    </oc>
    <nc r="C187" t="inlineStr">
      <is>
        <t>4.1.24</t>
      </is>
    </nc>
  </rcc>
  <rcc rId="11490" sId="1">
    <oc r="C188">
      <f>B159 &amp; "." &amp;  A159 &amp; "." &amp; RIGHT(YEAR(G159), 2)</f>
    </oc>
    <nc r="C188" t="inlineStr">
      <is>
        <t>4.1.24</t>
      </is>
    </nc>
  </rcc>
  <rcc rId="11491" sId="1">
    <oc r="C192">
      <f>B160 &amp; "." &amp;  A160 &amp; "." &amp; RIGHT(YEAR(G160), 2)</f>
    </oc>
    <nc r="C192" t="inlineStr">
      <is>
        <t>4.1.24</t>
      </is>
    </nc>
  </rcc>
  <rcc rId="11492" sId="1">
    <oc r="C193">
      <f>B161 &amp; "." &amp;  A161 &amp; "." &amp; RIGHT(YEAR(G161), 2)</f>
    </oc>
    <nc r="C193" t="inlineStr">
      <is>
        <t>4.1.24</t>
      </is>
    </nc>
  </rcc>
  <rcc rId="11493" sId="1">
    <oc r="C195">
      <f>B162 &amp; "." &amp;  A162 &amp; "." &amp; RIGHT(YEAR(G162), 2)</f>
    </oc>
    <nc r="C195" t="inlineStr">
      <is>
        <t>4.1.24</t>
      </is>
    </nc>
  </rcc>
  <rcc rId="11494" sId="1">
    <oc r="C198">
      <f>B163 &amp; "." &amp;  A163 &amp; "." &amp; RIGHT(YEAR(G163), 2)</f>
    </oc>
    <nc r="C198" t="inlineStr">
      <is>
        <t>4.1.24</t>
      </is>
    </nc>
  </rcc>
  <rcc rId="11495" sId="1">
    <oc r="C199">
      <f>B164 &amp; "." &amp;  A164 &amp; "." &amp; RIGHT(YEAR(G164), 2)</f>
    </oc>
    <nc r="C199" t="inlineStr">
      <is>
        <t>4.1.24</t>
      </is>
    </nc>
  </rcc>
  <rcc rId="11496" sId="1">
    <oc r="C201">
      <f>B165 &amp; "." &amp;  A165 &amp; "." &amp; RIGHT(YEAR(G165), 2)</f>
    </oc>
    <nc r="C201" t="inlineStr">
      <is>
        <t>4.1.24</t>
      </is>
    </nc>
  </rcc>
  <rcc rId="11497" sId="1">
    <oc r="C202">
      <f>B166 &amp; "." &amp;  A166 &amp; "." &amp; RIGHT(YEAR(G166), 2)</f>
    </oc>
    <nc r="C202" t="inlineStr">
      <is>
        <t>4.1.24</t>
      </is>
    </nc>
  </rcc>
  <rcc rId="11498" sId="1">
    <oc r="C206">
      <f>B167 &amp; "." &amp;  A167 &amp; "." &amp; RIGHT(YEAR(G167), 2)</f>
    </oc>
    <nc r="C206" t="inlineStr">
      <is>
        <t>4.1.24</t>
      </is>
    </nc>
  </rcc>
  <rcc rId="11499" sId="1">
    <oc r="C208">
      <f>B168 &amp; "." &amp;  A168 &amp; "." &amp; RIGHT(YEAR(G168), 2)</f>
    </oc>
    <nc r="C208" t="inlineStr">
      <is>
        <t>4.1.24</t>
      </is>
    </nc>
  </rcc>
  <rcc rId="11500" sId="1">
    <oc r="C210">
      <f>B169 &amp; "." &amp;  A169 &amp; "." &amp; RIGHT(YEAR(G169), 2)</f>
    </oc>
    <nc r="C210" t="inlineStr">
      <is>
        <t>4.1.24</t>
      </is>
    </nc>
  </rcc>
  <rcc rId="11501" sId="1">
    <oc r="C211">
      <f>B170 &amp; "." &amp;  A170 &amp; "." &amp; RIGHT(YEAR(G170), 2)</f>
    </oc>
    <nc r="C211" t="inlineStr">
      <is>
        <t>4.1.24</t>
      </is>
    </nc>
  </rcc>
  <rcc rId="11502" sId="1">
    <oc r="C213">
      <f>B171 &amp; "." &amp;  A171 &amp; "." &amp; RIGHT(YEAR(G171), 2)</f>
    </oc>
    <nc r="C213" t="inlineStr">
      <is>
        <t>4.1.24</t>
      </is>
    </nc>
  </rcc>
  <rcc rId="11503" sId="1">
    <oc r="C214">
      <f>B172 &amp; "." &amp;  A172 &amp; "." &amp; RIGHT(YEAR(G172), 2)</f>
    </oc>
    <nc r="C214" t="inlineStr">
      <is>
        <t>4.1.24</t>
      </is>
    </nc>
  </rcc>
  <rcc rId="11504" sId="1">
    <oc r="C218">
      <f>B173 &amp; "." &amp;  A173 &amp; "." &amp; RIGHT(YEAR(G173), 2)</f>
    </oc>
    <nc r="C218" t="inlineStr">
      <is>
        <t>4.1.24</t>
      </is>
    </nc>
  </rcc>
  <rcc rId="11505" sId="1">
    <oc r="C220">
      <f>B174 &amp; "." &amp;  A174 &amp; "." &amp; RIGHT(YEAR(G174), 2)</f>
    </oc>
    <nc r="C220" t="inlineStr">
      <is>
        <t>4.1.24</t>
      </is>
    </nc>
  </rcc>
  <rcc rId="11506" sId="1">
    <oc r="C222">
      <f>B175 &amp; "." &amp;  A175 &amp; "." &amp; RIGHT(YEAR(G175), 2)</f>
    </oc>
    <nc r="C222" t="inlineStr">
      <is>
        <t>4.1.24</t>
      </is>
    </nc>
  </rcc>
  <rcc rId="11507" sId="1">
    <oc r="C225">
      <f>B176 &amp; "." &amp;  A176 &amp; "." &amp; RIGHT(YEAR(G176), 2)</f>
    </oc>
    <nc r="C225" t="inlineStr">
      <is>
        <t>4.1.24</t>
      </is>
    </nc>
  </rcc>
  <rcc rId="11508" sId="1">
    <oc r="C228">
      <f>B177 &amp; "." &amp;  A177 &amp; "." &amp; RIGHT(YEAR(G177), 2)</f>
    </oc>
    <nc r="C228" t="inlineStr">
      <is>
        <t>4.1.24</t>
      </is>
    </nc>
  </rcc>
  <rcc rId="11509" sId="1">
    <oc r="C230">
      <f>B178 &amp; "." &amp;  A178 &amp; "." &amp; RIGHT(YEAR(G178), 2)</f>
    </oc>
    <nc r="C230" t="inlineStr">
      <is>
        <t>4.1.24</t>
      </is>
    </nc>
  </rcc>
  <rcc rId="11510" sId="1">
    <oc r="C232">
      <f>B179 &amp; "." &amp;  A179 &amp; "." &amp; RIGHT(YEAR(G179), 2)</f>
    </oc>
    <nc r="C232" t="inlineStr">
      <is>
        <t>4.1.24</t>
      </is>
    </nc>
  </rcc>
  <rcc rId="11511" sId="1">
    <oc r="C234">
      <f>B180 &amp; "." &amp;  A180 &amp; "." &amp; RIGHT(YEAR(G180), 2)</f>
    </oc>
    <nc r="C234" t="inlineStr">
      <is>
        <t>4.1.24</t>
      </is>
    </nc>
  </rcc>
  <rcc rId="11512" sId="1">
    <oc r="C237">
      <f>B181 &amp; "." &amp;  A181 &amp; "." &amp; RIGHT(YEAR(G181), 2)</f>
    </oc>
    <nc r="C237" t="inlineStr">
      <is>
        <t>4.1.24</t>
      </is>
    </nc>
  </rcc>
  <rcc rId="11513" sId="1">
    <oc r="C238">
      <f>B182 &amp; "." &amp;  A182 &amp; "." &amp; RIGHT(YEAR(G182), 2)</f>
    </oc>
    <nc r="C238" t="inlineStr">
      <is>
        <t>4.1.24</t>
      </is>
    </nc>
  </rcc>
  <rcc rId="11514" sId="1">
    <oc r="C240">
      <f>B183 &amp; "." &amp;  A183 &amp; "." &amp; RIGHT(YEAR(G183), 2)</f>
    </oc>
    <nc r="C240" t="inlineStr">
      <is>
        <t>4.1.24</t>
      </is>
    </nc>
  </rcc>
  <rcc rId="11515" sId="1">
    <oc r="C242">
      <f>B184 &amp; "." &amp;  A184 &amp; "." &amp; RIGHT(YEAR(G184), 2)</f>
    </oc>
    <nc r="C242" t="inlineStr">
      <is>
        <t>4.1.24</t>
      </is>
    </nc>
  </rcc>
  <rcc rId="11516" sId="1">
    <oc r="C243">
      <f>B185 &amp; "." &amp;  A185 &amp; "." &amp; RIGHT(YEAR(G185), 2)</f>
    </oc>
    <nc r="C243" t="inlineStr">
      <is>
        <t>4.1.24</t>
      </is>
    </nc>
  </rcc>
  <rcc rId="11517" sId="1">
    <oc r="C244">
      <f>B186 &amp; "." &amp;  A186 &amp; "." &amp; RIGHT(YEAR(G186), 2)</f>
    </oc>
    <nc r="C244" t="inlineStr">
      <is>
        <t>4.1.24</t>
      </is>
    </nc>
  </rcc>
  <rcc rId="11518" sId="1">
    <oc r="C245">
      <f>B187 &amp; "." &amp;  A187 &amp; "." &amp; RIGHT(YEAR(G187), 2)</f>
    </oc>
    <nc r="C245" t="inlineStr">
      <is>
        <t>4.1.24</t>
      </is>
    </nc>
  </rcc>
  <rcc rId="11519" sId="1">
    <oc r="C246">
      <f>B188 &amp; "." &amp;  A188 &amp; "." &amp; RIGHT(YEAR(G188), 2)</f>
    </oc>
    <nc r="C246" t="inlineStr">
      <is>
        <t>4.1.24</t>
      </is>
    </nc>
  </rcc>
  <rcc rId="11520" sId="1">
    <oc r="C247">
      <f>B189 &amp; "." &amp;  A189 &amp; "." &amp; RIGHT(YEAR(G189), 2)</f>
    </oc>
    <nc r="C247" t="inlineStr">
      <is>
        <t>4.1.24</t>
      </is>
    </nc>
  </rcc>
  <rcc rId="11521" sId="1">
    <oc r="C248">
      <f>B190 &amp; "." &amp;  A190 &amp; "." &amp; RIGHT(YEAR(G190), 2)</f>
    </oc>
    <nc r="C248" t="inlineStr">
      <is>
        <t>4.1.24</t>
      </is>
    </nc>
  </rcc>
  <rcc rId="11522" sId="1">
    <oc r="C249">
      <f>B191 &amp; "." &amp;  A191 &amp; "." &amp; RIGHT(YEAR(G191), 2)</f>
    </oc>
    <nc r="C249" t="inlineStr">
      <is>
        <t>4.1.24</t>
      </is>
    </nc>
  </rcc>
  <rcc rId="11523" sId="1">
    <oc r="C250">
      <f>B192 &amp; "." &amp;  A192 &amp; "." &amp; RIGHT(YEAR(G192), 2)</f>
    </oc>
    <nc r="C250" t="inlineStr">
      <is>
        <t>4.1.24</t>
      </is>
    </nc>
  </rcc>
  <rcc rId="11524" sId="1">
    <oc r="C251">
      <f>B193 &amp; "." &amp;  A193 &amp; "." &amp; RIGHT(YEAR(G193), 2)</f>
    </oc>
    <nc r="C251" t="inlineStr">
      <is>
        <t>4.1.24</t>
      </is>
    </nc>
  </rcc>
  <rcc rId="11525" sId="1">
    <oc r="C252">
      <f>B194 &amp; "." &amp;  A194 &amp; "." &amp; RIGHT(YEAR(G194), 2)</f>
    </oc>
    <nc r="C252" t="inlineStr">
      <is>
        <t>4.1.24</t>
      </is>
    </nc>
  </rcc>
  <rcc rId="11526" sId="1">
    <oc r="C253">
      <f>B195 &amp; "." &amp;  A195 &amp; "." &amp; RIGHT(YEAR(G195), 2)</f>
    </oc>
    <nc r="C253" t="inlineStr">
      <is>
        <t>4.1.24</t>
      </is>
    </nc>
  </rcc>
  <rcc rId="11527" sId="1">
    <oc r="C254">
      <f>B196 &amp; "." &amp;  A196 &amp; "." &amp; RIGHT(YEAR(G196), 2)</f>
    </oc>
    <nc r="C254" t="inlineStr">
      <is>
        <t>4.1.24</t>
      </is>
    </nc>
  </rcc>
  <rcc rId="11528" sId="1">
    <oc r="C255">
      <f>B197 &amp; "." &amp;  A197 &amp; "." &amp; RIGHT(YEAR(G197), 2)</f>
    </oc>
    <nc r="C255" t="inlineStr">
      <is>
        <t>4.1.24</t>
      </is>
    </nc>
  </rcc>
  <rcc rId="11529" sId="1">
    <oc r="C256">
      <f>B198 &amp; "." &amp;  A198 &amp; "." &amp; RIGHT(YEAR(G198), 2)</f>
    </oc>
    <nc r="C256" t="inlineStr">
      <is>
        <t>4.1.24</t>
      </is>
    </nc>
  </rcc>
  <rcc rId="11530" sId="1">
    <oc r="C257">
      <f>B199 &amp; "." &amp;  A199 &amp; "." &amp; RIGHT(YEAR(G199), 2)</f>
    </oc>
    <nc r="C257" t="inlineStr">
      <is>
        <t>4.1.24</t>
      </is>
    </nc>
  </rcc>
  <rcc rId="11531" sId="1">
    <oc r="C258">
      <f>B200 &amp; "." &amp;  A200 &amp; "." &amp; RIGHT(YEAR(G200), 2)</f>
    </oc>
    <nc r="C258" t="inlineStr">
      <is>
        <t>4.1.24</t>
      </is>
    </nc>
  </rcc>
  <rcc rId="11532" sId="1">
    <oc r="C259">
      <f>B201 &amp; "." &amp;  A201 &amp; "." &amp; RIGHT(YEAR(G201), 2)</f>
    </oc>
    <nc r="C259" t="inlineStr">
      <is>
        <t>4.1.24</t>
      </is>
    </nc>
  </rcc>
  <rcc rId="11533" sId="1">
    <oc r="C260">
      <f>B202 &amp; "." &amp;  A202 &amp; "." &amp; RIGHT(YEAR(G202), 2)</f>
    </oc>
    <nc r="C260" t="inlineStr">
      <is>
        <t>4.1.24</t>
      </is>
    </nc>
  </rcc>
  <rcc rId="11534" sId="1">
    <oc r="C261">
      <f>B203 &amp; "." &amp;  A203 &amp; "." &amp; RIGHT(YEAR(G203), 2)</f>
    </oc>
    <nc r="C261" t="inlineStr">
      <is>
        <t>4.1.24</t>
      </is>
    </nc>
  </rcc>
  <rcc rId="11535" sId="1">
    <oc r="C262">
      <f>B204 &amp; "." &amp;  A204 &amp; "." &amp; RIGHT(YEAR(G204), 2)</f>
    </oc>
    <nc r="C262" t="inlineStr">
      <is>
        <t>4.1.24</t>
      </is>
    </nc>
  </rcc>
  <rcc rId="11536" sId="1">
    <oc r="C263">
      <f>B205 &amp; "." &amp;  A205 &amp; "." &amp; RIGHT(YEAR(G205), 2)</f>
    </oc>
    <nc r="C263" t="inlineStr">
      <is>
        <t>4.1.24</t>
      </is>
    </nc>
  </rcc>
  <rcc rId="11537" sId="1">
    <oc r="C264">
      <f>B206 &amp; "." &amp;  A206 &amp; "." &amp; RIGHT(YEAR(G206), 2)</f>
    </oc>
    <nc r="C264" t="inlineStr">
      <is>
        <t>4.1.24</t>
      </is>
    </nc>
  </rcc>
  <rcc rId="11538" sId="1">
    <oc r="C265">
      <f>B207 &amp; "." &amp;  A207 &amp; "." &amp; RIGHT(YEAR(G207), 2)</f>
    </oc>
    <nc r="C265" t="inlineStr">
      <is>
        <t>4.1.24</t>
      </is>
    </nc>
  </rcc>
  <rcc rId="11539" sId="1">
    <oc r="C266">
      <f>B208 &amp; "." &amp;  A208 &amp; "." &amp; RIGHT(YEAR(G208), 2)</f>
    </oc>
    <nc r="C266" t="inlineStr">
      <is>
        <t>4.1.24</t>
      </is>
    </nc>
  </rcc>
  <rcc rId="11540" sId="1">
    <oc r="C267">
      <f>B209 &amp; "." &amp;  A209 &amp; "." &amp; RIGHT(YEAR(G209), 2)</f>
    </oc>
    <nc r="C267" t="inlineStr">
      <is>
        <t>4.1.24</t>
      </is>
    </nc>
  </rcc>
  <rcc rId="11541" sId="1">
    <oc r="C268">
      <f>B210 &amp; "." &amp;  A210 &amp; "." &amp; RIGHT(YEAR(G210), 2)</f>
    </oc>
    <nc r="C268" t="inlineStr">
      <is>
        <t>4.1.24</t>
      </is>
    </nc>
  </rcc>
  <rcc rId="11542" sId="1">
    <oc r="C269">
      <f>B211 &amp; "." &amp;  A211 &amp; "." &amp; RIGHT(YEAR(G211), 2)</f>
    </oc>
    <nc r="C269" t="inlineStr">
      <is>
        <t>4.1.24</t>
      </is>
    </nc>
  </rcc>
  <rcc rId="11543" sId="1">
    <oc r="C270">
      <f>B212 &amp; "." &amp;  A212 &amp; "." &amp; RIGHT(YEAR(G212), 2)</f>
    </oc>
    <nc r="C270" t="inlineStr">
      <is>
        <t>4.1.24</t>
      </is>
    </nc>
  </rcc>
  <rcc rId="11544" sId="1">
    <oc r="C271">
      <f>B213 &amp; "." &amp;  A213 &amp; "." &amp; RIGHT(YEAR(G213), 2)</f>
    </oc>
    <nc r="C271" t="inlineStr">
      <is>
        <t>4.1.24</t>
      </is>
    </nc>
  </rcc>
  <rcc rId="11545" sId="1">
    <oc r="C272">
      <f>B214 &amp; "." &amp;  A214 &amp; "." &amp; RIGHT(YEAR(G214), 2)</f>
    </oc>
    <nc r="C272" t="inlineStr">
      <is>
        <t>4.1.24</t>
      </is>
    </nc>
  </rcc>
  <rcc rId="11546" sId="1">
    <oc r="C273">
      <f>B215 &amp; "." &amp;  A215 &amp; "." &amp; RIGHT(YEAR(G215), 2)</f>
    </oc>
    <nc r="C273" t="inlineStr">
      <is>
        <t>4.1.24</t>
      </is>
    </nc>
  </rcc>
  <rcc rId="11547" sId="1">
    <oc r="C274">
      <f>B216 &amp; "." &amp;  A216 &amp; "." &amp; RIGHT(YEAR(G216), 2)</f>
    </oc>
    <nc r="C274" t="inlineStr">
      <is>
        <t>4.1.24</t>
      </is>
    </nc>
  </rcc>
  <rcc rId="11548" sId="1">
    <oc r="C275">
      <f>B217 &amp; "." &amp;  A217 &amp; "." &amp; RIGHT(YEAR(G217), 2)</f>
    </oc>
    <nc r="C275" t="inlineStr">
      <is>
        <t>4.1.24</t>
      </is>
    </nc>
  </rcc>
  <rcc rId="11549" sId="1">
    <oc r="C276">
      <f>B218 &amp; "." &amp;  A218 &amp; "." &amp; RIGHT(YEAR(G218), 2)</f>
    </oc>
    <nc r="C276" t="inlineStr">
      <is>
        <t>4.1.24</t>
      </is>
    </nc>
  </rcc>
  <rcc rId="11550" sId="1">
    <oc r="C277">
      <f>B219 &amp; "." &amp;  A219 &amp; "." &amp; RIGHT(YEAR(G219), 2)</f>
    </oc>
    <nc r="C277" t="inlineStr">
      <is>
        <t>4.1.24</t>
      </is>
    </nc>
  </rcc>
  <rcc rId="11551" sId="1">
    <oc r="C278">
      <f>B220 &amp; "." &amp;  A220 &amp; "." &amp; RIGHT(YEAR(G220), 2)</f>
    </oc>
    <nc r="C278" t="inlineStr">
      <is>
        <t>4.1.24</t>
      </is>
    </nc>
  </rcc>
  <rcc rId="11552" sId="1">
    <oc r="C279">
      <f>B221 &amp; "." &amp;  A221 &amp; "." &amp; RIGHT(YEAR(G221), 2)</f>
    </oc>
    <nc r="C279" t="inlineStr">
      <is>
        <t>4.1.24</t>
      </is>
    </nc>
  </rcc>
  <rcc rId="11553" sId="1">
    <oc r="C280">
      <f>B222 &amp; "." &amp;  A222 &amp; "." &amp; RIGHT(YEAR(G222), 2)</f>
    </oc>
    <nc r="C280" t="inlineStr">
      <is>
        <t>4.1.24</t>
      </is>
    </nc>
  </rcc>
  <rcc rId="11554" sId="1">
    <oc r="C281">
      <f>B223 &amp; "." &amp;  A223 &amp; "." &amp; RIGHT(YEAR(G223), 2)</f>
    </oc>
    <nc r="C281" t="inlineStr">
      <is>
        <t>4.1.24</t>
      </is>
    </nc>
  </rcc>
  <rcc rId="11555" sId="1">
    <oc r="C282">
      <f>B224 &amp; "." &amp;  A224 &amp; "." &amp; RIGHT(YEAR(G224), 2)</f>
    </oc>
    <nc r="C282" t="inlineStr">
      <is>
        <t>4.1.24</t>
      </is>
    </nc>
  </rcc>
  <rcc rId="11556" sId="1">
    <oc r="C283">
      <f>B225 &amp; "." &amp;  A225 &amp; "." &amp; RIGHT(YEAR(G225), 2)</f>
    </oc>
    <nc r="C283" t="inlineStr">
      <is>
        <t>4.1.24</t>
      </is>
    </nc>
  </rcc>
  <rcc rId="11557" sId="1">
    <oc r="C284">
      <f>B226 &amp; "." &amp;  A226 &amp; "." &amp; RIGHT(YEAR(G226), 2)</f>
    </oc>
    <nc r="C284" t="inlineStr">
      <is>
        <t>4.1.24</t>
      </is>
    </nc>
  </rcc>
  <rcc rId="11558" sId="1">
    <oc r="C285">
      <f>B227 &amp; "." &amp;  A227 &amp; "." &amp; RIGHT(YEAR(G227), 2)</f>
    </oc>
    <nc r="C285" t="inlineStr">
      <is>
        <t>4.1.24</t>
      </is>
    </nc>
  </rcc>
  <rcc rId="11559" sId="1">
    <oc r="C286">
      <f>B228 &amp; "." &amp;  A228 &amp; "." &amp; RIGHT(YEAR(G228), 2)</f>
    </oc>
    <nc r="C286" t="inlineStr">
      <is>
        <t>4.1.24</t>
      </is>
    </nc>
  </rcc>
  <rcc rId="11560" sId="1">
    <oc r="C287">
      <f>B229 &amp; "." &amp;  A229 &amp; "." &amp; RIGHT(YEAR(G229), 2)</f>
    </oc>
    <nc r="C287" t="inlineStr">
      <is>
        <t>4.1.24</t>
      </is>
    </nc>
  </rcc>
  <rcc rId="11561" sId="1">
    <oc r="C288">
      <f>B230 &amp; "." &amp;  A230 &amp; "." &amp; RIGHT(YEAR(G230), 2)</f>
    </oc>
    <nc r="C288" t="inlineStr">
      <is>
        <t>4.1.24</t>
      </is>
    </nc>
  </rcc>
  <rcc rId="11562" sId="1">
    <oc r="C289">
      <f>B231 &amp; "." &amp;  A231 &amp; "." &amp; RIGHT(YEAR(G231), 2)</f>
    </oc>
    <nc r="C289" t="inlineStr">
      <is>
        <t>4.1.24</t>
      </is>
    </nc>
  </rcc>
  <rcc rId="11563" sId="1">
    <oc r="C290">
      <f>B232 &amp; "." &amp;  A232 &amp; "." &amp; RIGHT(YEAR(G232), 2)</f>
    </oc>
    <nc r="C290" t="inlineStr">
      <is>
        <t>4.1.24</t>
      </is>
    </nc>
  </rcc>
  <rcc rId="11564" sId="1">
    <oc r="C291">
      <f>B233 &amp; "." &amp;  A233 &amp; "." &amp; RIGHT(YEAR(G233), 2)</f>
    </oc>
    <nc r="C291" t="inlineStr">
      <is>
        <t>4.1.24</t>
      </is>
    </nc>
  </rcc>
  <rcc rId="11565" sId="1">
    <oc r="C292">
      <f>B234 &amp; "." &amp;  A234 &amp; "." &amp; RIGHT(YEAR(G234), 2)</f>
    </oc>
    <nc r="C292" t="inlineStr">
      <is>
        <t>4.1.24</t>
      </is>
    </nc>
  </rcc>
  <rcc rId="11566" sId="1">
    <oc r="C293">
      <f>B235 &amp; "." &amp;  A235 &amp; "." &amp; RIGHT(YEAR(G235), 2)</f>
    </oc>
    <nc r="C293" t="inlineStr">
      <is>
        <t>4.1.24</t>
      </is>
    </nc>
  </rcc>
  <rcc rId="11567" sId="1">
    <oc r="C294">
      <f>B236 &amp; "." &amp;  A236 &amp; "." &amp; RIGHT(YEAR(G236), 2)</f>
    </oc>
    <nc r="C294" t="inlineStr">
      <is>
        <t>4.1.24</t>
      </is>
    </nc>
  </rcc>
  <rcc rId="11568" sId="1">
    <oc r="C295">
      <f>B237 &amp; "." &amp;  A237 &amp; "." &amp; RIGHT(YEAR(G237), 2)</f>
    </oc>
    <nc r="C295" t="inlineStr">
      <is>
        <t>4.1.24</t>
      </is>
    </nc>
  </rcc>
  <rcc rId="11569" sId="1">
    <oc r="C296">
      <f>B238 &amp; "." &amp;  A238 &amp; "." &amp; RIGHT(YEAR(G238), 2)</f>
    </oc>
    <nc r="C296" t="inlineStr">
      <is>
        <t>4.1.24</t>
      </is>
    </nc>
  </rcc>
  <rcc rId="11570" sId="1">
    <oc r="C297">
      <f>B239 &amp; "." &amp;  A239 &amp; "." &amp; RIGHT(YEAR(G239), 2)</f>
    </oc>
    <nc r="C297" t="inlineStr">
      <is>
        <t>4.1.24</t>
      </is>
    </nc>
  </rcc>
  <rcc rId="11571" sId="1">
    <oc r="C298">
      <f>B240 &amp; "." &amp;  A240 &amp; "." &amp; RIGHT(YEAR(G240), 2)</f>
    </oc>
    <nc r="C298" t="inlineStr">
      <is>
        <t>4.1.24</t>
      </is>
    </nc>
  </rcc>
  <rcc rId="11572" sId="1">
    <oc r="C299">
      <f>B241 &amp; "." &amp;  A241 &amp; "." &amp; RIGHT(YEAR(G241), 2)</f>
    </oc>
    <nc r="C299" t="inlineStr">
      <is>
        <t>4.1.24</t>
      </is>
    </nc>
  </rcc>
  <rcc rId="11573" sId="1">
    <oc r="C300">
      <f>B242 &amp; "." &amp;  A242 &amp; "." &amp; RIGHT(YEAR(G242), 2)</f>
    </oc>
    <nc r="C300" t="inlineStr">
      <is>
        <t>4.1.24</t>
      </is>
    </nc>
  </rcc>
  <rcc rId="11574" sId="1">
    <oc r="C301">
      <f>B243 &amp; "." &amp;  A243 &amp; "." &amp; RIGHT(YEAR(G243), 2)</f>
    </oc>
    <nc r="C301" t="inlineStr">
      <is>
        <t>4.1.24</t>
      </is>
    </nc>
  </rcc>
  <rcc rId="11575" sId="1">
    <oc r="C302">
      <f>B244 &amp; "." &amp;  A244 &amp; "." &amp; RIGHT(YEAR(G244), 2)</f>
    </oc>
    <nc r="C302" t="inlineStr">
      <is>
        <t>4.1.24</t>
      </is>
    </nc>
  </rcc>
  <rcc rId="11576" sId="1">
    <oc r="C303">
      <f>B245 &amp; "." &amp;  A245 &amp; "." &amp; RIGHT(YEAR(G245), 2)</f>
    </oc>
    <nc r="C303" t="inlineStr">
      <is>
        <t>4.1.24</t>
      </is>
    </nc>
  </rcc>
  <rcc rId="11577" sId="1">
    <oc r="C304">
      <f>B246 &amp; "." &amp;  A246 &amp; "." &amp; RIGHT(YEAR(G246), 2)</f>
    </oc>
    <nc r="C304" t="inlineStr">
      <is>
        <t>4.1.24</t>
      </is>
    </nc>
  </rcc>
  <rcc rId="11578" sId="1">
    <oc r="C305">
      <f>B247 &amp; "." &amp;  A247 &amp; "." &amp; RIGHT(YEAR(G247), 2)</f>
    </oc>
    <nc r="C305" t="inlineStr">
      <is>
        <t>4.1.24</t>
      </is>
    </nc>
  </rcc>
  <rcc rId="11579" sId="1">
    <oc r="C306">
      <f>B248 &amp; "." &amp;  A248 &amp; "." &amp; RIGHT(YEAR(G248), 2)</f>
    </oc>
    <nc r="C306" t="inlineStr">
      <is>
        <t>4.1.24</t>
      </is>
    </nc>
  </rcc>
  <rcc rId="11580" sId="1">
    <oc r="C307">
      <f>B249 &amp; "." &amp;  A249 &amp; "." &amp; RIGHT(YEAR(G249), 2)</f>
    </oc>
    <nc r="C307" t="inlineStr">
      <is>
        <t>4.1.24</t>
      </is>
    </nc>
  </rcc>
  <rcc rId="11581" sId="1">
    <oc r="C308">
      <f>B250 &amp; "." &amp;  A250 &amp; "." &amp; RIGHT(YEAR(G250), 2)</f>
    </oc>
    <nc r="C308" t="inlineStr">
      <is>
        <t>4.1.24</t>
      </is>
    </nc>
  </rcc>
  <rcc rId="11582" sId="1">
    <oc r="C309">
      <f>B251 &amp; "." &amp;  A251 &amp; "." &amp; RIGHT(YEAR(G251), 2)</f>
    </oc>
    <nc r="C309" t="inlineStr">
      <is>
        <t>4.1.24</t>
      </is>
    </nc>
  </rcc>
  <rcc rId="11583" sId="1">
    <oc r="C310">
      <f>B252 &amp; "." &amp;  A252 &amp; "." &amp; RIGHT(YEAR(G252), 2)</f>
    </oc>
    <nc r="C310" t="inlineStr">
      <is>
        <t>4.1.24</t>
      </is>
    </nc>
  </rcc>
  <rcc rId="11584" sId="1">
    <oc r="C311">
      <f>B253 &amp; "." &amp;  A253 &amp; "." &amp; RIGHT(YEAR(G253), 2)</f>
    </oc>
    <nc r="C311" t="inlineStr">
      <is>
        <t>4.1.24</t>
      </is>
    </nc>
  </rcc>
  <rcc rId="11585" sId="1">
    <oc r="C312">
      <f>B254 &amp; "." &amp;  A254 &amp; "." &amp; RIGHT(YEAR(G254), 2)</f>
    </oc>
    <nc r="C312" t="inlineStr">
      <is>
        <t>4.1.24</t>
      </is>
    </nc>
  </rcc>
  <rcc rId="11586" sId="1">
    <oc r="C313">
      <f>B255 &amp; "." &amp;  A255 &amp; "." &amp; RIGHT(YEAR(G255), 2)</f>
    </oc>
    <nc r="C313" t="inlineStr">
      <is>
        <t>4.1.24</t>
      </is>
    </nc>
  </rcc>
  <rcc rId="11587" sId="1">
    <oc r="C314">
      <f>B256 &amp; "." &amp;  A256 &amp; "." &amp; RIGHT(YEAR(G256), 2)</f>
    </oc>
    <nc r="C314" t="inlineStr">
      <is>
        <t>4.1.24</t>
      </is>
    </nc>
  </rcc>
  <rcc rId="11588" sId="1">
    <oc r="C315">
      <f>B257 &amp; "." &amp;  A257 &amp; "." &amp; RIGHT(YEAR(G257), 2)</f>
    </oc>
    <nc r="C315" t="inlineStr">
      <is>
        <t>4.1.24</t>
      </is>
    </nc>
  </rcc>
  <rcc rId="11589" sId="1">
    <oc r="C316">
      <f>B258 &amp; "." &amp;  A258 &amp; "." &amp; RIGHT(YEAR(G258), 2)</f>
    </oc>
    <nc r="C316" t="inlineStr">
      <is>
        <t>4.1.24</t>
      </is>
    </nc>
  </rcc>
  <rcc rId="11590" sId="1">
    <oc r="C317">
      <f>B259 &amp; "." &amp;  A259 &amp; "." &amp; RIGHT(YEAR(G259), 2)</f>
    </oc>
    <nc r="C317" t="inlineStr">
      <is>
        <t>4.1.24</t>
      </is>
    </nc>
  </rcc>
  <rcc rId="11591" sId="1">
    <oc r="C318">
      <f>B260 &amp; "." &amp;  A260 &amp; "." &amp; RIGHT(YEAR(G260), 2)</f>
    </oc>
    <nc r="C318" t="inlineStr">
      <is>
        <t>4.1.24</t>
      </is>
    </nc>
  </rcc>
  <rcc rId="11592" sId="1">
    <oc r="C319">
      <f>B261 &amp; "." &amp;  A261 &amp; "." &amp; RIGHT(YEAR(G261), 2)</f>
    </oc>
    <nc r="C319" t="inlineStr">
      <is>
        <t>4.1.24</t>
      </is>
    </nc>
  </rcc>
  <rcc rId="11593" sId="1">
    <oc r="C320">
      <f>B262 &amp; "." &amp;  A262 &amp; "." &amp; RIGHT(YEAR(G262), 2)</f>
    </oc>
    <nc r="C320" t="inlineStr">
      <is>
        <t>4.1.24</t>
      </is>
    </nc>
  </rcc>
  <rcc rId="11594" sId="1">
    <oc r="C321">
      <f>B263 &amp; "." &amp;  A263 &amp; "." &amp; RIGHT(YEAR(G263), 2)</f>
    </oc>
    <nc r="C321" t="inlineStr">
      <is>
        <t>4.1.24</t>
      </is>
    </nc>
  </rcc>
  <rcc rId="11595" sId="1">
    <oc r="C322">
      <f>B264 &amp; "." &amp;  A264 &amp; "." &amp; RIGHT(YEAR(G264), 2)</f>
    </oc>
    <nc r="C322" t="inlineStr">
      <is>
        <t>4.1.24</t>
      </is>
    </nc>
  </rcc>
  <rcc rId="11596" sId="1">
    <oc r="C323">
      <f>B265 &amp; "." &amp;  A265 &amp; "." &amp; RIGHT(YEAR(G265), 2)</f>
    </oc>
    <nc r="C323" t="inlineStr">
      <is>
        <t>4.1.24</t>
      </is>
    </nc>
  </rcc>
  <rcc rId="11597" sId="1">
    <oc r="C324">
      <f>B266 &amp; "." &amp;  A266 &amp; "." &amp; RIGHT(YEAR(G266), 2)</f>
    </oc>
    <nc r="C324" t="inlineStr">
      <is>
        <t>4.1.24</t>
      </is>
    </nc>
  </rcc>
  <rcc rId="11598" sId="1">
    <oc r="C325">
      <f>B267 &amp; "." &amp;  A267 &amp; "." &amp; RIGHT(YEAR(G267), 2)</f>
    </oc>
    <nc r="C325" t="inlineStr">
      <is>
        <t>4.1.24</t>
      </is>
    </nc>
  </rcc>
  <rcc rId="11599" sId="1">
    <oc r="C326">
      <f>B268 &amp; "." &amp;  A268 &amp; "." &amp; RIGHT(YEAR(G268), 2)</f>
    </oc>
    <nc r="C326" t="inlineStr">
      <is>
        <t>4.1.24</t>
      </is>
    </nc>
  </rcc>
  <rcc rId="11600" sId="1">
    <oc r="C328">
      <f>B269 &amp; "." &amp;  A269 &amp; "." &amp; RIGHT(YEAR(G269), 2)</f>
    </oc>
    <nc r="C328" t="inlineStr">
      <is>
        <t>4.1.24</t>
      </is>
    </nc>
  </rcc>
  <rcc rId="11601" sId="1">
    <oc r="C329">
      <f>B270 &amp; "." &amp;  A270 &amp; "." &amp; RIGHT(YEAR(G270), 2)</f>
    </oc>
    <nc r="C329" t="inlineStr">
      <is>
        <t>4.1.24</t>
      </is>
    </nc>
  </rcc>
  <rcc rId="11602" sId="1">
    <oc r="C330">
      <f>B271 &amp; "." &amp;  A271 &amp; "." &amp; RIGHT(YEAR(G271), 2)</f>
    </oc>
    <nc r="C330" t="inlineStr">
      <is>
        <t>4.1.24</t>
      </is>
    </nc>
  </rcc>
  <rcc rId="11603" sId="1">
    <oc r="C331">
      <f>B272 &amp; "." &amp;  A272 &amp; "." &amp; RIGHT(YEAR(G272), 2)</f>
    </oc>
    <nc r="C331" t="inlineStr">
      <is>
        <t>4.1.24</t>
      </is>
    </nc>
  </rcc>
  <rcc rId="11604" sId="1">
    <oc r="C332">
      <f>B273 &amp; "." &amp;  A273 &amp; "." &amp; RIGHT(YEAR(G273), 2)</f>
    </oc>
    <nc r="C332" t="inlineStr">
      <is>
        <t>4.1.24</t>
      </is>
    </nc>
  </rcc>
  <rcc rId="11605" sId="1">
    <oc r="C333">
      <f>B274 &amp; "." &amp;  A274 &amp; "." &amp; RIGHT(YEAR(G274), 2)</f>
    </oc>
    <nc r="C333" t="inlineStr">
      <is>
        <t>4.1.24</t>
      </is>
    </nc>
  </rcc>
  <rcc rId="11606" sId="1">
    <oc r="C334">
      <f>B275 &amp; "." &amp;  A275 &amp; "." &amp; RIGHT(YEAR(G275), 2)</f>
    </oc>
    <nc r="C334" t="inlineStr">
      <is>
        <t>4.1.24</t>
      </is>
    </nc>
  </rcc>
  <rcc rId="11607" sId="1">
    <oc r="C335">
      <f>B276 &amp; "." &amp;  A276 &amp; "." &amp; RIGHT(YEAR(G276), 2)</f>
    </oc>
    <nc r="C335" t="inlineStr">
      <is>
        <t>4.1.24</t>
      </is>
    </nc>
  </rcc>
  <rcc rId="11608" sId="1">
    <oc r="C336">
      <f>B277 &amp; "." &amp;  A277 &amp; "." &amp; RIGHT(YEAR(G277), 2)</f>
    </oc>
    <nc r="C336" t="inlineStr">
      <is>
        <t>4.1.24</t>
      </is>
    </nc>
  </rcc>
  <rcc rId="11609" sId="1">
    <oc r="C337">
      <f>B278 &amp; "." &amp;  A278 &amp; "." &amp; RIGHT(YEAR(G278), 2)</f>
    </oc>
    <nc r="C337" t="inlineStr">
      <is>
        <t>4.1.24</t>
      </is>
    </nc>
  </rcc>
  <rcc rId="11610" sId="1">
    <oc r="C338">
      <f>B279 &amp; "." &amp;  A279 &amp; "." &amp; RIGHT(YEAR(G279), 2)</f>
    </oc>
    <nc r="C338" t="inlineStr">
      <is>
        <t>4.1.24</t>
      </is>
    </nc>
  </rcc>
  <rcc rId="11611" sId="1">
    <oc r="C136">
      <f>B280 &amp; "." &amp;  A280 &amp; "." &amp; RIGHT(YEAR(G280), 2)</f>
    </oc>
    <nc r="C136" t="inlineStr">
      <is>
        <t>5.1.24</t>
      </is>
    </nc>
  </rcc>
  <rcc rId="11612" sId="1">
    <oc r="C138">
      <f>B281 &amp; "." &amp;  A281 &amp; "." &amp; RIGHT(YEAR(G281), 2)</f>
    </oc>
    <nc r="C138" t="inlineStr">
      <is>
        <t>5.1.24</t>
      </is>
    </nc>
  </rcc>
  <rcc rId="11613" sId="1">
    <oc r="C140">
      <f>B282 &amp; "." &amp;  A282 &amp; "." &amp; RIGHT(YEAR(G282), 2)</f>
    </oc>
    <nc r="C140" t="inlineStr">
      <is>
        <t>5.1.24</t>
      </is>
    </nc>
  </rcc>
  <rcc rId="11614" sId="1">
    <oc r="C143">
      <f>B283 &amp; "." &amp;  A283 &amp; "." &amp; RIGHT(YEAR(G283), 2)</f>
    </oc>
    <nc r="C143" t="inlineStr">
      <is>
        <t>5.1.24</t>
      </is>
    </nc>
  </rcc>
  <rcc rId="11615" sId="1">
    <oc r="C145">
      <f>B284 &amp; "." &amp;  A284 &amp; "." &amp; RIGHT(YEAR(G284), 2)</f>
    </oc>
    <nc r="C145" t="inlineStr">
      <is>
        <t>5.1.24</t>
      </is>
    </nc>
  </rcc>
  <rcc rId="11616" sId="1">
    <oc r="C146">
      <f>B285 &amp; "." &amp;  A285 &amp; "." &amp; RIGHT(YEAR(G285), 2)</f>
    </oc>
    <nc r="C146" t="inlineStr">
      <is>
        <t>5.1.24</t>
      </is>
    </nc>
  </rcc>
  <rcc rId="11617" sId="1">
    <oc r="C148">
      <f>B286 &amp; "." &amp;  A286 &amp; "." &amp; RIGHT(YEAR(G286), 2)</f>
    </oc>
    <nc r="C148" t="inlineStr">
      <is>
        <t>5.1.24</t>
      </is>
    </nc>
  </rcc>
  <rcc rId="11618" sId="1">
    <oc r="C149">
      <f>B287 &amp; "." &amp;  A287 &amp; "." &amp; RIGHT(YEAR(G287), 2)</f>
    </oc>
    <nc r="C149" t="inlineStr">
      <is>
        <t>5.1.24</t>
      </is>
    </nc>
  </rcc>
  <rcc rId="11619" sId="1">
    <oc r="C151">
      <f>B288 &amp; "." &amp;  A288 &amp; "." &amp; RIGHT(YEAR(G288), 2)</f>
    </oc>
    <nc r="C151" t="inlineStr">
      <is>
        <t>5.1.24</t>
      </is>
    </nc>
  </rcc>
  <rcc rId="11620" sId="1">
    <oc r="C153">
      <f>B289 &amp; "." &amp;  A289 &amp; "." &amp; RIGHT(YEAR(G289), 2)</f>
    </oc>
    <nc r="C153" t="inlineStr">
      <is>
        <t>5.1.24</t>
      </is>
    </nc>
  </rcc>
  <rcc rId="11621" sId="1">
    <oc r="C154">
      <f>B290 &amp; "." &amp;  A290 &amp; "." &amp; RIGHT(YEAR(G290), 2)</f>
    </oc>
    <nc r="C154" t="inlineStr">
      <is>
        <t>5.1.24</t>
      </is>
    </nc>
  </rcc>
  <rcc rId="11622" sId="1">
    <oc r="C155">
      <f>B291 &amp; "." &amp;  A291 &amp; "." &amp; RIGHT(YEAR(G291), 2)</f>
    </oc>
    <nc r="C155" t="inlineStr">
      <is>
        <t>5.1.24</t>
      </is>
    </nc>
  </rcc>
  <rcc rId="11623" sId="1">
    <oc r="C157">
      <f>B292 &amp; "." &amp;  A292 &amp; "." &amp; RIGHT(YEAR(G292), 2)</f>
    </oc>
    <nc r="C157" t="inlineStr">
      <is>
        <t>5.1.24</t>
      </is>
    </nc>
  </rcc>
  <rcc rId="11624" sId="1">
    <oc r="C159">
      <f>B293 &amp; "." &amp;  A293 &amp; "." &amp; RIGHT(YEAR(G293), 2)</f>
    </oc>
    <nc r="C159" t="inlineStr">
      <is>
        <t>5.1.24</t>
      </is>
    </nc>
  </rcc>
  <rcc rId="11625" sId="1">
    <oc r="C160">
      <f>B294 &amp; "." &amp;  A294 &amp; "." &amp; RIGHT(YEAR(G294), 2)</f>
    </oc>
    <nc r="C160" t="inlineStr">
      <is>
        <t>5.1.24</t>
      </is>
    </nc>
  </rcc>
  <rcc rId="11626" sId="1">
    <oc r="C162">
      <f>B295 &amp; "." &amp;  A295 &amp; "." &amp; RIGHT(YEAR(G295), 2)</f>
    </oc>
    <nc r="C162" t="inlineStr">
      <is>
        <t>5.1.24</t>
      </is>
    </nc>
  </rcc>
  <rcc rId="11627" sId="1">
    <oc r="C163">
      <f>B296 &amp; "." &amp;  A296 &amp; "." &amp; RIGHT(YEAR(G296), 2)</f>
    </oc>
    <nc r="C163" t="inlineStr">
      <is>
        <t>5.1.24</t>
      </is>
    </nc>
  </rcc>
  <rcc rId="11628" sId="1">
    <oc r="C165">
      <f>B297 &amp; "." &amp;  A297 &amp; "." &amp; RIGHT(YEAR(G297), 2)</f>
    </oc>
    <nc r="C165" t="inlineStr">
      <is>
        <t>5.1.24</t>
      </is>
    </nc>
  </rcc>
  <rcc rId="11629" sId="1">
    <oc r="C166">
      <f>B298 &amp; "." &amp;  A298 &amp; "." &amp; RIGHT(YEAR(G298), 2)</f>
    </oc>
    <nc r="C166" t="inlineStr">
      <is>
        <t>5.1.24</t>
      </is>
    </nc>
  </rcc>
  <rcc rId="11630" sId="1">
    <oc r="C169">
      <f>B299 &amp; "." &amp;  A299 &amp; "." &amp; RIGHT(YEAR(G299), 2)</f>
    </oc>
    <nc r="C169" t="inlineStr">
      <is>
        <t>5.1.24</t>
      </is>
    </nc>
  </rcc>
  <rcc rId="11631" sId="1">
    <oc r="C171">
      <f>B300 &amp; "." &amp;  A300 &amp; "." &amp; RIGHT(YEAR(G300), 2)</f>
    </oc>
    <nc r="C171" t="inlineStr">
      <is>
        <t>5.1.24</t>
      </is>
    </nc>
  </rcc>
  <rcc rId="11632" sId="1">
    <oc r="C172">
      <f>B301 &amp; "." &amp;  A301 &amp; "." &amp; RIGHT(YEAR(G301), 2)</f>
    </oc>
    <nc r="C172" t="inlineStr">
      <is>
        <t>5.1.24</t>
      </is>
    </nc>
  </rcc>
  <rcc rId="11633" sId="1">
    <oc r="C175">
      <f>B302 &amp; "." &amp;  A302 &amp; "." &amp; RIGHT(YEAR(G302), 2)</f>
    </oc>
    <nc r="C175" t="inlineStr">
      <is>
        <t>5.1.24</t>
      </is>
    </nc>
  </rcc>
  <rcc rId="11634" sId="1">
    <oc r="C176">
      <f>B303 &amp; "." &amp;  A303 &amp; "." &amp; RIGHT(YEAR(G303), 2)</f>
    </oc>
    <nc r="C176" t="inlineStr">
      <is>
        <t>5.1.24</t>
      </is>
    </nc>
  </rcc>
  <rcc rId="11635" sId="1">
    <oc r="C178">
      <f>B304 &amp; "." &amp;  A304 &amp; "." &amp; RIGHT(YEAR(G304), 2)</f>
    </oc>
    <nc r="C178" t="inlineStr">
      <is>
        <t>5.1.24</t>
      </is>
    </nc>
  </rcc>
  <rcc rId="11636" sId="1">
    <oc r="C180">
      <f>B305 &amp; "." &amp;  A305 &amp; "." &amp; RIGHT(YEAR(G305), 2)</f>
    </oc>
    <nc r="C180" t="inlineStr">
      <is>
        <t>5.1.24</t>
      </is>
    </nc>
  </rcc>
  <rcc rId="11637" sId="1">
    <oc r="C183">
      <f>B306 &amp; "." &amp;  A306 &amp; "." &amp; RIGHT(YEAR(G306), 2)</f>
    </oc>
    <nc r="C183" t="inlineStr">
      <is>
        <t>5.1.24</t>
      </is>
    </nc>
  </rcc>
  <rcc rId="11638" sId="1">
    <oc r="C185">
      <f>B307 &amp; "." &amp;  A307 &amp; "." &amp; RIGHT(YEAR(G307), 2)</f>
    </oc>
    <nc r="C185" t="inlineStr">
      <is>
        <t>5.1.24</t>
      </is>
    </nc>
  </rcc>
  <rcc rId="11639" sId="1">
    <oc r="C186">
      <f>B308 &amp; "." &amp;  A308 &amp; "." &amp; RIGHT(YEAR(G308), 2)</f>
    </oc>
    <nc r="C186" t="inlineStr">
      <is>
        <t>5.1.24</t>
      </is>
    </nc>
  </rcc>
  <rcc rId="11640" sId="1">
    <oc r="C189">
      <f>B309 &amp; "." &amp;  A309 &amp; "." &amp; RIGHT(YEAR(G309), 2)</f>
    </oc>
    <nc r="C189" t="inlineStr">
      <is>
        <t>5.1.24</t>
      </is>
    </nc>
  </rcc>
  <rcc rId="11641" sId="1">
    <oc r="C190">
      <f>B310 &amp; "." &amp;  A310 &amp; "." &amp; RIGHT(YEAR(G310), 2)</f>
    </oc>
    <nc r="C190" t="inlineStr">
      <is>
        <t>5.1.24</t>
      </is>
    </nc>
  </rcc>
  <rcc rId="11642" sId="1">
    <oc r="C191">
      <f>B311 &amp; "." &amp;  A311 &amp; "." &amp; RIGHT(YEAR(G311), 2)</f>
    </oc>
    <nc r="C191" t="inlineStr">
      <is>
        <t>5.1.24</t>
      </is>
    </nc>
  </rcc>
  <rcc rId="11643" sId="1">
    <oc r="C194">
      <f>B312 &amp; "." &amp;  A312 &amp; "." &amp; RIGHT(YEAR(G312), 2)</f>
    </oc>
    <nc r="C194" t="inlineStr">
      <is>
        <t>5.1.24</t>
      </is>
    </nc>
  </rcc>
  <rcc rId="11644" sId="1">
    <oc r="C196">
      <f>B313 &amp; "." &amp;  A313 &amp; "." &amp; RIGHT(YEAR(G313), 2)</f>
    </oc>
    <nc r="C196" t="inlineStr">
      <is>
        <t>5.1.24</t>
      </is>
    </nc>
  </rcc>
  <rcc rId="11645" sId="1">
    <oc r="C197">
      <f>B314 &amp; "." &amp;  A314 &amp; "." &amp; RIGHT(YEAR(G314), 2)</f>
    </oc>
    <nc r="C197" t="inlineStr">
      <is>
        <t>5.1.24</t>
      </is>
    </nc>
  </rcc>
  <rcc rId="11646" sId="1">
    <oc r="C200">
      <f>B315 &amp; "." &amp;  A315 &amp; "." &amp; RIGHT(YEAR(G315), 2)</f>
    </oc>
    <nc r="C200" t="inlineStr">
      <is>
        <t>5.1.24</t>
      </is>
    </nc>
  </rcc>
  <rcc rId="11647" sId="1">
    <oc r="C203">
      <f>B316 &amp; "." &amp;  A316 &amp; "." &amp; RIGHT(YEAR(G316), 2)</f>
    </oc>
    <nc r="C203" t="inlineStr">
      <is>
        <t>5.1.24</t>
      </is>
    </nc>
  </rcc>
  <rcc rId="11648" sId="1">
    <oc r="C205">
      <f>B317 &amp; "." &amp;  A317 &amp; "." &amp; RIGHT(YEAR(G317), 2)</f>
    </oc>
    <nc r="C205" t="inlineStr">
      <is>
        <t>5.1.24</t>
      </is>
    </nc>
  </rcc>
  <rcc rId="11649" sId="1">
    <oc r="C207">
      <f>B318 &amp; "." &amp;  A318 &amp; "." &amp; RIGHT(YEAR(G318), 2)</f>
    </oc>
    <nc r="C207" t="inlineStr">
      <is>
        <t>5.1.24</t>
      </is>
    </nc>
  </rcc>
  <rcc rId="11650" sId="1">
    <oc r="C209">
      <f>B319 &amp; "." &amp;  A319 &amp; "." &amp; RIGHT(YEAR(G319), 2)</f>
    </oc>
    <nc r="C209" t="inlineStr">
      <is>
        <t>5.1.24</t>
      </is>
    </nc>
  </rcc>
  <rcc rId="11651" sId="1">
    <oc r="C212">
      <f>B320 &amp; "." &amp;  A320 &amp; "." &amp; RIGHT(YEAR(G320), 2)</f>
    </oc>
    <nc r="C212" t="inlineStr">
      <is>
        <t>5.1.24</t>
      </is>
    </nc>
  </rcc>
  <rcc rId="11652" sId="1">
    <oc r="C215">
      <f>B321 &amp; "." &amp;  A321 &amp; "." &amp; RIGHT(YEAR(G321), 2)</f>
    </oc>
    <nc r="C215" t="inlineStr">
      <is>
        <t>5.1.24</t>
      </is>
    </nc>
  </rcc>
  <rcc rId="11653" sId="1">
    <oc r="C216">
      <f>B322 &amp; "." &amp;  A322 &amp; "." &amp; RIGHT(YEAR(G322), 2)</f>
    </oc>
    <nc r="C216" t="inlineStr">
      <is>
        <t>5.1.24</t>
      </is>
    </nc>
  </rcc>
  <rcc rId="11654" sId="1">
    <oc r="C217">
      <f>B323 &amp; "." &amp;  A323 &amp; "." &amp; RIGHT(YEAR(G323), 2)</f>
    </oc>
    <nc r="C217" t="inlineStr">
      <is>
        <t>5.1.24</t>
      </is>
    </nc>
  </rcc>
  <rcc rId="11655" sId="1">
    <oc r="C219">
      <f>B324 &amp; "." &amp;  A324 &amp; "." &amp; RIGHT(YEAR(G324), 2)</f>
    </oc>
    <nc r="C219" t="inlineStr">
      <is>
        <t>5.1.24</t>
      </is>
    </nc>
  </rcc>
  <rcc rId="11656" sId="1">
    <oc r="C221">
      <f>B325 &amp; "." &amp;  A325 &amp; "." &amp; RIGHT(YEAR(G325), 2)</f>
    </oc>
    <nc r="C221" t="inlineStr">
      <is>
        <t>5.1.24</t>
      </is>
    </nc>
  </rcc>
  <rcc rId="11657" sId="1">
    <oc r="C223">
      <f>B326 &amp; "." &amp;  A326 &amp; "." &amp; RIGHT(YEAR(G326), 2)</f>
    </oc>
    <nc r="C223" t="inlineStr">
      <is>
        <t>5.1.24</t>
      </is>
    </nc>
  </rcc>
  <rcc rId="11658" sId="1">
    <oc r="C224">
      <f>B327 &amp; "." &amp;  A327 &amp; "." &amp; RIGHT(YEAR(G327), 2)</f>
    </oc>
    <nc r="C224" t="inlineStr">
      <is>
        <t>5.1.24</t>
      </is>
    </nc>
  </rcc>
  <rcc rId="11659" sId="1">
    <oc r="C227">
      <f>B328 &amp; "." &amp;  A328 &amp; "." &amp; RIGHT(YEAR(G328), 2)</f>
    </oc>
    <nc r="C227" t="inlineStr">
      <is>
        <t>5.1.24</t>
      </is>
    </nc>
  </rcc>
  <rcc rId="11660" sId="1">
    <oc r="C229">
      <f>B329 &amp; "." &amp;  A329 &amp; "." &amp; RIGHT(YEAR(G329), 2)</f>
    </oc>
    <nc r="C229" t="inlineStr">
      <is>
        <t>5.1.24</t>
      </is>
    </nc>
  </rcc>
  <rcc rId="11661" sId="1">
    <oc r="C231">
      <f>B330 &amp; "." &amp;  A330 &amp; "." &amp; RIGHT(YEAR(G330), 2)</f>
    </oc>
    <nc r="C231" t="inlineStr">
      <is>
        <t>5.1.24</t>
      </is>
    </nc>
  </rcc>
  <rcc rId="11662" sId="1">
    <oc r="C233">
      <f>B331 &amp; "." &amp;  A331 &amp; "." &amp; RIGHT(YEAR(G331), 2)</f>
    </oc>
    <nc r="C233" t="inlineStr">
      <is>
        <t>5.1.24</t>
      </is>
    </nc>
  </rcc>
  <rcc rId="11663" sId="1">
    <oc r="C235">
      <f>B332 &amp; "." &amp;  A332 &amp; "." &amp; RIGHT(YEAR(G332), 2)</f>
    </oc>
    <nc r="C235" t="inlineStr">
      <is>
        <t>5.1.24</t>
      </is>
    </nc>
  </rcc>
  <rcc rId="11664" sId="1">
    <oc r="C236">
      <f>B333 &amp; "." &amp;  A333 &amp; "." &amp; RIGHT(YEAR(G333), 2)</f>
    </oc>
    <nc r="C236" t="inlineStr">
      <is>
        <t>5.1.24</t>
      </is>
    </nc>
  </rcc>
  <rcc rId="11665" sId="1">
    <oc r="C239">
      <f>B334 &amp; "." &amp;  A334 &amp; "." &amp; RIGHT(YEAR(G334), 2)</f>
    </oc>
    <nc r="C239" t="inlineStr">
      <is>
        <t>5.1.24</t>
      </is>
    </nc>
  </rcc>
  <rcc rId="11666" sId="1">
    <oc r="C241">
      <f>B335 &amp; "." &amp;  A335 &amp; "." &amp; RIGHT(YEAR(G335), 2)</f>
    </oc>
    <nc r="C241" t="inlineStr">
      <is>
        <t>5.1.24</t>
      </is>
    </nc>
  </rcc>
  <rrc rId="11667" sId="1" ref="B1:B1048576" action="deleteCol" edge="1">
    <rfmt sheetId="1" xfDxf="1" sqref="B1:B1048576" start="0" length="0">
      <dxf>
        <alignment horizontal="left"/>
      </dxf>
    </rfmt>
    <rcc rId="0" sId="1">
      <nc r="B1" t="inlineStr">
        <is>
          <t>nest</t>
        </is>
      </nc>
    </rcc>
    <rcc rId="0" sId="1">
      <nc r="B3">
        <v>1</v>
      </nc>
    </rcc>
    <rcc rId="0" sId="1">
      <nc r="B2">
        <v>2</v>
      </nc>
    </rcc>
    <rcc rId="0" sId="1">
      <nc r="B4">
        <v>2</v>
      </nc>
    </rcc>
    <rcc rId="0" sId="1">
      <nc r="B5">
        <v>2</v>
      </nc>
    </rcc>
    <rcc rId="0" sId="1">
      <nc r="B6">
        <v>2</v>
      </nc>
    </rcc>
    <rcc rId="0" sId="1">
      <nc r="B7">
        <v>2</v>
      </nc>
    </rcc>
    <rcc rId="0" sId="1">
      <nc r="B8">
        <v>2</v>
      </nc>
    </rcc>
    <rcc rId="0" sId="1">
      <nc r="B9">
        <v>2</v>
      </nc>
    </rcc>
    <rcc rId="0" sId="1">
      <nc r="B10">
        <v>2</v>
      </nc>
    </rcc>
    <rcc rId="0" sId="1">
      <nc r="B11">
        <v>2</v>
      </nc>
    </rcc>
    <rcc rId="0" sId="1">
      <nc r="B12">
        <v>2</v>
      </nc>
    </rcc>
    <rcc rId="0" sId="1">
      <nc r="B13">
        <v>2</v>
      </nc>
    </rcc>
    <rcc rId="0" sId="1">
      <nc r="B14">
        <v>2</v>
      </nc>
    </rcc>
    <rcc rId="0" sId="1">
      <nc r="B15">
        <v>2</v>
      </nc>
    </rcc>
    <rcc rId="0" sId="1">
      <nc r="B16">
        <v>2</v>
      </nc>
    </rcc>
    <rcc rId="0" sId="1">
      <nc r="B17">
        <v>2</v>
      </nc>
    </rcc>
    <rcc rId="0" sId="1">
      <nc r="B18">
        <v>2</v>
      </nc>
    </rcc>
    <rcc rId="0" sId="1">
      <nc r="B19">
        <v>2</v>
      </nc>
    </rcc>
    <rcc rId="0" sId="1">
      <nc r="B20">
        <v>2</v>
      </nc>
    </rcc>
    <rcc rId="0" sId="1">
      <nc r="B21">
        <v>2</v>
      </nc>
    </rcc>
    <rcc rId="0" sId="1">
      <nc r="B22">
        <v>2</v>
      </nc>
    </rcc>
    <rcc rId="0" sId="1">
      <nc r="B23">
        <v>2</v>
      </nc>
    </rcc>
    <rcc rId="0" sId="1">
      <nc r="B24">
        <v>2</v>
      </nc>
    </rcc>
    <rcc rId="0" sId="1">
      <nc r="B25">
        <v>2</v>
      </nc>
    </rcc>
    <rcc rId="0" sId="1">
      <nc r="B26">
        <v>2</v>
      </nc>
    </rcc>
    <rcc rId="0" sId="1">
      <nc r="B27">
        <v>2</v>
      </nc>
    </rcc>
    <rcc rId="0" sId="1">
      <nc r="B28">
        <v>2</v>
      </nc>
    </rcc>
    <rcc rId="0" sId="1">
      <nc r="B29">
        <v>2</v>
      </nc>
    </rcc>
    <rcc rId="0" sId="1">
      <nc r="B30">
        <v>2</v>
      </nc>
    </rcc>
    <rcc rId="0" sId="1">
      <nc r="B31">
        <v>2</v>
      </nc>
    </rcc>
    <rcc rId="0" sId="1">
      <nc r="B32">
        <v>2</v>
      </nc>
    </rcc>
    <rcc rId="0" sId="1">
      <nc r="B33">
        <v>2</v>
      </nc>
    </rcc>
    <rcc rId="0" sId="1">
      <nc r="B34">
        <v>2</v>
      </nc>
    </rcc>
    <rcc rId="0" sId="1">
      <nc r="B35">
        <v>2</v>
      </nc>
    </rcc>
    <rcc rId="0" sId="1">
      <nc r="B36">
        <v>2</v>
      </nc>
    </rcc>
    <rcc rId="0" sId="1">
      <nc r="B37">
        <v>2</v>
      </nc>
    </rcc>
    <rcc rId="0" sId="1">
      <nc r="B38">
        <v>2</v>
      </nc>
    </rcc>
    <rcc rId="0" sId="1">
      <nc r="B39">
        <v>2</v>
      </nc>
    </rcc>
    <rcc rId="0" sId="1">
      <nc r="B40">
        <v>2</v>
      </nc>
    </rcc>
    <rcc rId="0" sId="1">
      <nc r="B41">
        <v>2</v>
      </nc>
    </rcc>
    <rcc rId="0" sId="1">
      <nc r="B42">
        <v>2</v>
      </nc>
    </rcc>
    <rcc rId="0" sId="1">
      <nc r="B43">
        <v>2</v>
      </nc>
    </rcc>
    <rcc rId="0" sId="1">
      <nc r="B44">
        <v>2</v>
      </nc>
    </rcc>
    <rcc rId="0" sId="1">
      <nc r="B45">
        <v>2</v>
      </nc>
    </rcc>
    <rcc rId="0" sId="1">
      <nc r="B46">
        <v>2</v>
      </nc>
    </rcc>
    <rcc rId="0" sId="1">
      <nc r="B47">
        <v>2</v>
      </nc>
    </rcc>
    <rcc rId="0" sId="1">
      <nc r="B48">
        <v>2</v>
      </nc>
    </rcc>
    <rcc rId="0" sId="1">
      <nc r="B49">
        <v>2</v>
      </nc>
    </rcc>
    <rcc rId="0" sId="1">
      <nc r="B50">
        <v>2</v>
      </nc>
    </rcc>
    <rcc rId="0" sId="1">
      <nc r="B51">
        <v>2</v>
      </nc>
    </rcc>
    <rcc rId="0" sId="1">
      <nc r="B52">
        <v>2</v>
      </nc>
    </rcc>
    <rcc rId="0" sId="1">
      <nc r="B53">
        <v>2</v>
      </nc>
    </rcc>
    <rcc rId="0" sId="1">
      <nc r="B54">
        <v>2</v>
      </nc>
    </rcc>
    <rcc rId="0" sId="1">
      <nc r="B55">
        <v>2</v>
      </nc>
    </rcc>
    <rcc rId="0" sId="1">
      <nc r="B56">
        <v>2</v>
      </nc>
    </rcc>
    <rcc rId="0" sId="1">
      <nc r="B57">
        <v>2</v>
      </nc>
    </rcc>
    <rcc rId="0" sId="1">
      <nc r="B58">
        <v>2</v>
      </nc>
    </rcc>
    <rcc rId="0" sId="1">
      <nc r="B59">
        <v>2</v>
      </nc>
    </rcc>
    <rcc rId="0" sId="1">
      <nc r="B60">
        <v>2</v>
      </nc>
    </rcc>
    <rcc rId="0" sId="1">
      <nc r="B61">
        <v>2</v>
      </nc>
    </rcc>
    <rcc rId="0" sId="1">
      <nc r="B62">
        <v>2</v>
      </nc>
    </rcc>
    <rcc rId="0" sId="1">
      <nc r="B63">
        <v>2</v>
      </nc>
    </rcc>
    <rcc rId="0" sId="1">
      <nc r="B64">
        <v>2</v>
      </nc>
    </rcc>
    <rcc rId="0" sId="1">
      <nc r="B65">
        <v>2</v>
      </nc>
    </rcc>
    <rcc rId="0" sId="1">
      <nc r="B66">
        <v>2</v>
      </nc>
    </rcc>
    <rcc rId="0" sId="1">
      <nc r="B67">
        <v>2</v>
      </nc>
    </rcc>
    <rcc rId="0" sId="1">
      <nc r="B68">
        <v>2</v>
      </nc>
    </rcc>
    <rcc rId="0" sId="1">
      <nc r="B69">
        <v>2</v>
      </nc>
    </rcc>
    <rcc rId="0" sId="1">
      <nc r="B70">
        <v>2</v>
      </nc>
    </rcc>
    <rcc rId="0" sId="1">
      <nc r="B71">
        <v>2</v>
      </nc>
    </rcc>
    <rcc rId="0" sId="1">
      <nc r="B72">
        <v>2</v>
      </nc>
    </rcc>
    <rcc rId="0" sId="1">
      <nc r="B73">
        <v>2</v>
      </nc>
    </rcc>
    <rcc rId="0" sId="1">
      <nc r="B74">
        <v>2</v>
      </nc>
    </rcc>
    <rcc rId="0" sId="1">
      <nc r="B75">
        <v>2</v>
      </nc>
    </rcc>
    <rcc rId="0" sId="1">
      <nc r="B76">
        <v>2</v>
      </nc>
    </rcc>
    <rcc rId="0" sId="1">
      <nc r="B77">
        <v>2</v>
      </nc>
    </rcc>
    <rcc rId="0" sId="1">
      <nc r="B78">
        <v>2</v>
      </nc>
    </rcc>
    <rcc rId="0" sId="1">
      <nc r="B79">
        <v>2</v>
      </nc>
    </rcc>
    <rcc rId="0" sId="1">
      <nc r="B80">
        <v>2</v>
      </nc>
    </rcc>
    <rcc rId="0" sId="1">
      <nc r="B81">
        <v>2</v>
      </nc>
    </rcc>
    <rcc rId="0" sId="1">
      <nc r="B82">
        <v>2</v>
      </nc>
    </rcc>
    <rcc rId="0" sId="1">
      <nc r="B83">
        <v>2</v>
      </nc>
    </rcc>
    <rcc rId="0" sId="1">
      <nc r="B84">
        <v>2</v>
      </nc>
    </rcc>
    <rcc rId="0" sId="1">
      <nc r="B85">
        <v>2</v>
      </nc>
    </rcc>
    <rcc rId="0" sId="1">
      <nc r="B86">
        <v>2</v>
      </nc>
    </rcc>
    <rcc rId="0" sId="1">
      <nc r="B87">
        <v>2</v>
      </nc>
    </rcc>
    <rcc rId="0" sId="1">
      <nc r="B88">
        <v>2</v>
      </nc>
    </rcc>
    <rcc rId="0" sId="1">
      <nc r="B89">
        <v>2</v>
      </nc>
    </rcc>
    <rcc rId="0" sId="1">
      <nc r="B90">
        <v>2</v>
      </nc>
    </rcc>
    <rcc rId="0" sId="1">
      <nc r="B91">
        <v>2</v>
      </nc>
    </rcc>
    <rcc rId="0" sId="1">
      <nc r="B92">
        <v>2</v>
      </nc>
    </rcc>
    <rcc rId="0" sId="1">
      <nc r="B93">
        <v>2</v>
      </nc>
    </rcc>
    <rcc rId="0" sId="1">
      <nc r="B94">
        <v>2</v>
      </nc>
    </rcc>
    <rcc rId="0" sId="1">
      <nc r="B95">
        <v>2</v>
      </nc>
    </rcc>
    <rcc rId="0" sId="1">
      <nc r="B96">
        <v>2</v>
      </nc>
    </rcc>
    <rcc rId="0" sId="1">
      <nc r="B97">
        <v>2</v>
      </nc>
    </rcc>
    <rcc rId="0" sId="1">
      <nc r="B98">
        <v>2</v>
      </nc>
    </rcc>
    <rcc rId="0" sId="1">
      <nc r="B99">
        <v>2</v>
      </nc>
    </rcc>
    <rcc rId="0" sId="1">
      <nc r="B100">
        <v>2</v>
      </nc>
    </rcc>
    <rcc rId="0" sId="1">
      <nc r="B101">
        <v>2</v>
      </nc>
    </rcc>
    <rcc rId="0" sId="1">
      <nc r="B102">
        <v>2</v>
      </nc>
    </rcc>
    <rcc rId="0" sId="1">
      <nc r="B103">
        <v>2</v>
      </nc>
    </rcc>
    <rcc rId="0" sId="1">
      <nc r="B104">
        <v>2</v>
      </nc>
    </rcc>
    <rcc rId="0" sId="1">
      <nc r="B105">
        <v>2</v>
      </nc>
    </rcc>
    <rcc rId="0" sId="1">
      <nc r="B106">
        <v>2</v>
      </nc>
    </rcc>
    <rcc rId="0" sId="1">
      <nc r="B107">
        <v>2</v>
      </nc>
    </rcc>
    <rcc rId="0" sId="1">
      <nc r="B108">
        <v>2</v>
      </nc>
    </rcc>
    <rcc rId="0" sId="1">
      <nc r="B109">
        <v>2</v>
      </nc>
    </rcc>
    <rcc rId="0" sId="1">
      <nc r="B110">
        <v>2</v>
      </nc>
    </rcc>
    <rcc rId="0" sId="1">
      <nc r="B111">
        <v>2</v>
      </nc>
    </rcc>
    <rcc rId="0" sId="1">
      <nc r="B112">
        <v>2</v>
      </nc>
    </rcc>
    <rcc rId="0" sId="1">
      <nc r="B113">
        <v>2</v>
      </nc>
    </rcc>
    <rcc rId="0" sId="1">
      <nc r="B114">
        <v>2</v>
      </nc>
    </rcc>
    <rcc rId="0" sId="1">
      <nc r="B115">
        <v>2</v>
      </nc>
    </rcc>
    <rcc rId="0" sId="1">
      <nc r="B116">
        <v>2</v>
      </nc>
    </rcc>
    <rcc rId="0" sId="1">
      <nc r="B117">
        <v>2</v>
      </nc>
    </rcc>
    <rcc rId="0" sId="1">
      <nc r="B118">
        <v>2</v>
      </nc>
    </rcc>
    <rcc rId="0" sId="1">
      <nc r="B119">
        <v>2</v>
      </nc>
    </rcc>
    <rcc rId="0" sId="1">
      <nc r="B120">
        <v>2</v>
      </nc>
    </rcc>
    <rcc rId="0" sId="1">
      <nc r="B121">
        <v>2</v>
      </nc>
    </rcc>
    <rcc rId="0" sId="1">
      <nc r="B122">
        <v>2</v>
      </nc>
    </rcc>
    <rcc rId="0" sId="1">
      <nc r="B123">
        <v>2</v>
      </nc>
    </rcc>
    <rcc rId="0" sId="1">
      <nc r="B124">
        <v>2</v>
      </nc>
    </rcc>
    <rcc rId="0" sId="1">
      <nc r="B125">
        <v>2</v>
      </nc>
    </rcc>
    <rcc rId="0" sId="1">
      <nc r="B126">
        <v>2</v>
      </nc>
    </rcc>
    <rcc rId="0" sId="1">
      <nc r="B127">
        <v>2</v>
      </nc>
    </rcc>
    <rcc rId="0" sId="1">
      <nc r="B128">
        <v>2</v>
      </nc>
    </rcc>
    <rcc rId="0" sId="1">
      <nc r="B129">
        <v>2</v>
      </nc>
    </rcc>
    <rcc rId="0" sId="1">
      <nc r="B130">
        <v>2</v>
      </nc>
    </rcc>
    <rcc rId="0" sId="1">
      <nc r="B131">
        <v>3</v>
      </nc>
    </rcc>
    <rcc rId="0" sId="1">
      <nc r="B132">
        <v>3</v>
      </nc>
    </rcc>
    <rcc rId="0" sId="1">
      <nc r="B133">
        <v>3</v>
      </nc>
    </rcc>
    <rcc rId="0" sId="1">
      <nc r="B134">
        <v>3</v>
      </nc>
    </rcc>
    <rcc rId="0" sId="1">
      <nc r="B135">
        <v>4</v>
      </nc>
    </rcc>
    <rcc rId="0" sId="1">
      <nc r="B137">
        <v>4</v>
      </nc>
    </rcc>
    <rcc rId="0" sId="1">
      <nc r="B139">
        <v>4</v>
      </nc>
    </rcc>
    <rcc rId="0" sId="1">
      <nc r="B141">
        <v>4</v>
      </nc>
    </rcc>
    <rcc rId="0" sId="1">
      <nc r="B142">
        <v>4</v>
      </nc>
    </rcc>
    <rcc rId="0" sId="1">
      <nc r="B144">
        <v>4</v>
      </nc>
    </rcc>
    <rcc rId="0" sId="1">
      <nc r="B147">
        <v>4</v>
      </nc>
    </rcc>
    <rcc rId="0" sId="1">
      <nc r="B150">
        <v>4</v>
      </nc>
    </rcc>
    <rcc rId="0" sId="1">
      <nc r="B152">
        <v>4</v>
      </nc>
    </rcc>
    <rcc rId="0" sId="1">
      <nc r="B156">
        <v>4</v>
      </nc>
    </rcc>
    <rcc rId="0" sId="1">
      <nc r="B158">
        <v>4</v>
      </nc>
    </rcc>
    <rcc rId="0" sId="1">
      <nc r="B161">
        <v>4</v>
      </nc>
    </rcc>
    <rcc rId="0" sId="1">
      <nc r="B164">
        <v>4</v>
      </nc>
    </rcc>
    <rcc rId="0" sId="1">
      <nc r="B167">
        <v>4</v>
      </nc>
    </rcc>
    <rcc rId="0" sId="1">
      <nc r="B168">
        <v>4</v>
      </nc>
    </rcc>
    <rcc rId="0" sId="1">
      <nc r="B170">
        <v>4</v>
      </nc>
    </rcc>
    <rcc rId="0" sId="1">
      <nc r="B173">
        <v>4</v>
      </nc>
    </rcc>
    <rcc rId="0" sId="1">
      <nc r="B174">
        <v>4</v>
      </nc>
    </rcc>
    <rcc rId="0" sId="1">
      <nc r="B177">
        <v>4</v>
      </nc>
    </rcc>
    <rcc rId="0" sId="1">
      <nc r="B179">
        <v>4</v>
      </nc>
    </rcc>
    <rcc rId="0" sId="1">
      <nc r="B181">
        <v>4</v>
      </nc>
    </rcc>
    <rcc rId="0" sId="1">
      <nc r="B182">
        <v>4</v>
      </nc>
    </rcc>
    <rcc rId="0" sId="1">
      <nc r="B184">
        <v>4</v>
      </nc>
    </rcc>
    <rcc rId="0" sId="1">
      <nc r="B187">
        <v>4</v>
      </nc>
    </rcc>
    <rcc rId="0" sId="1">
      <nc r="B188">
        <v>4</v>
      </nc>
    </rcc>
    <rcc rId="0" sId="1">
      <nc r="B192">
        <v>4</v>
      </nc>
    </rcc>
    <rcc rId="0" sId="1">
      <nc r="B193">
        <v>4</v>
      </nc>
    </rcc>
    <rcc rId="0" sId="1">
      <nc r="B195">
        <v>4</v>
      </nc>
    </rcc>
    <rcc rId="0" sId="1">
      <nc r="B198">
        <v>4</v>
      </nc>
    </rcc>
    <rcc rId="0" sId="1">
      <nc r="B199">
        <v>4</v>
      </nc>
    </rcc>
    <rcc rId="0" sId="1">
      <nc r="B201">
        <v>4</v>
      </nc>
    </rcc>
    <rcc rId="0" sId="1">
      <nc r="B202">
        <v>4</v>
      </nc>
    </rcc>
    <rcc rId="0" sId="1">
      <nc r="B206">
        <v>4</v>
      </nc>
    </rcc>
    <rcc rId="0" sId="1">
      <nc r="B208">
        <v>4</v>
      </nc>
    </rcc>
    <rcc rId="0" sId="1">
      <nc r="B210">
        <v>4</v>
      </nc>
    </rcc>
    <rcc rId="0" sId="1">
      <nc r="B211">
        <v>4</v>
      </nc>
    </rcc>
    <rcc rId="0" sId="1">
      <nc r="B213">
        <v>4</v>
      </nc>
    </rcc>
    <rcc rId="0" sId="1">
      <nc r="B214">
        <v>4</v>
      </nc>
    </rcc>
    <rcc rId="0" sId="1">
      <nc r="B218">
        <v>4</v>
      </nc>
    </rcc>
    <rcc rId="0" sId="1">
      <nc r="B220">
        <v>4</v>
      </nc>
    </rcc>
    <rcc rId="0" sId="1">
      <nc r="B222">
        <v>4</v>
      </nc>
    </rcc>
    <rcc rId="0" sId="1">
      <nc r="B225">
        <v>4</v>
      </nc>
    </rcc>
    <rcc rId="0" sId="1">
      <nc r="B228">
        <v>4</v>
      </nc>
    </rcc>
    <rcc rId="0" sId="1">
      <nc r="B230">
        <v>4</v>
      </nc>
    </rcc>
    <rcc rId="0" sId="1">
      <nc r="B232">
        <v>4</v>
      </nc>
    </rcc>
    <rcc rId="0" sId="1">
      <nc r="B234">
        <v>4</v>
      </nc>
    </rcc>
    <rcc rId="0" sId="1">
      <nc r="B237">
        <v>4</v>
      </nc>
    </rcc>
    <rcc rId="0" sId="1">
      <nc r="B238">
        <v>4</v>
      </nc>
    </rcc>
    <rcc rId="0" sId="1">
      <nc r="B240">
        <v>4</v>
      </nc>
    </rcc>
    <rcc rId="0" sId="1">
      <nc r="B242">
        <v>4</v>
      </nc>
    </rcc>
    <rcc rId="0" sId="1">
      <nc r="B243">
        <v>4</v>
      </nc>
    </rcc>
    <rcc rId="0" sId="1">
      <nc r="B244">
        <v>4</v>
      </nc>
    </rcc>
    <rcc rId="0" sId="1">
      <nc r="B245">
        <v>4</v>
      </nc>
    </rcc>
    <rcc rId="0" sId="1">
      <nc r="B246">
        <v>4</v>
      </nc>
    </rcc>
    <rcc rId="0" sId="1">
      <nc r="B247">
        <v>4</v>
      </nc>
    </rcc>
    <rcc rId="0" sId="1">
      <nc r="B248">
        <v>4</v>
      </nc>
    </rcc>
    <rcc rId="0" sId="1">
      <nc r="B249">
        <v>4</v>
      </nc>
    </rcc>
    <rcc rId="0" sId="1">
      <nc r="B250">
        <v>4</v>
      </nc>
    </rcc>
    <rcc rId="0" sId="1">
      <nc r="B251">
        <v>4</v>
      </nc>
    </rcc>
    <rcc rId="0" sId="1">
      <nc r="B252">
        <v>4</v>
      </nc>
    </rcc>
    <rcc rId="0" sId="1">
      <nc r="B253">
        <v>4</v>
      </nc>
    </rcc>
    <rcc rId="0" sId="1">
      <nc r="B254">
        <v>4</v>
      </nc>
    </rcc>
    <rcc rId="0" sId="1">
      <nc r="B255">
        <v>4</v>
      </nc>
    </rcc>
    <rcc rId="0" sId="1">
      <nc r="B256">
        <v>4</v>
      </nc>
    </rcc>
    <rcc rId="0" sId="1">
      <nc r="B257">
        <v>4</v>
      </nc>
    </rcc>
    <rcc rId="0" sId="1">
      <nc r="B258">
        <v>4</v>
      </nc>
    </rcc>
    <rcc rId="0" sId="1">
      <nc r="B259">
        <v>4</v>
      </nc>
    </rcc>
    <rcc rId="0" sId="1">
      <nc r="B260">
        <v>4</v>
      </nc>
    </rcc>
    <rcc rId="0" sId="1">
      <nc r="B261">
        <v>4</v>
      </nc>
    </rcc>
    <rcc rId="0" sId="1">
      <nc r="B262">
        <v>4</v>
      </nc>
    </rcc>
    <rcc rId="0" sId="1">
      <nc r="B263">
        <v>4</v>
      </nc>
    </rcc>
    <rcc rId="0" sId="1">
      <nc r="B264">
        <v>4</v>
      </nc>
    </rcc>
    <rcc rId="0" sId="1">
      <nc r="B265">
        <v>4</v>
      </nc>
    </rcc>
    <rcc rId="0" sId="1">
      <nc r="B266">
        <v>4</v>
      </nc>
    </rcc>
    <rcc rId="0" sId="1">
      <nc r="B267">
        <v>4</v>
      </nc>
    </rcc>
    <rcc rId="0" sId="1">
      <nc r="B268">
        <v>4</v>
      </nc>
    </rcc>
    <rcc rId="0" sId="1">
      <nc r="B269">
        <v>4</v>
      </nc>
    </rcc>
    <rcc rId="0" sId="1">
      <nc r="B270">
        <v>4</v>
      </nc>
    </rcc>
    <rcc rId="0" sId="1">
      <nc r="B271">
        <v>4</v>
      </nc>
    </rcc>
    <rcc rId="0" sId="1">
      <nc r="B272">
        <v>4</v>
      </nc>
    </rcc>
    <rcc rId="0" sId="1">
      <nc r="B273">
        <v>4</v>
      </nc>
    </rcc>
    <rcc rId="0" sId="1">
      <nc r="B274">
        <v>4</v>
      </nc>
    </rcc>
    <rcc rId="0" sId="1">
      <nc r="B275">
        <v>4</v>
      </nc>
    </rcc>
    <rcc rId="0" sId="1">
      <nc r="B276">
        <v>4</v>
      </nc>
    </rcc>
    <rcc rId="0" sId="1">
      <nc r="B277">
        <v>4</v>
      </nc>
    </rcc>
    <rcc rId="0" sId="1">
      <nc r="B278">
        <v>4</v>
      </nc>
    </rcc>
    <rcc rId="0" sId="1">
      <nc r="B279">
        <v>4</v>
      </nc>
    </rcc>
    <rcc rId="0" sId="1">
      <nc r="B280">
        <v>4</v>
      </nc>
    </rcc>
    <rcc rId="0" sId="1">
      <nc r="B281">
        <v>4</v>
      </nc>
    </rcc>
    <rcc rId="0" sId="1">
      <nc r="B282">
        <v>4</v>
      </nc>
    </rcc>
    <rcc rId="0" sId="1">
      <nc r="B283">
        <v>4</v>
      </nc>
    </rcc>
    <rcc rId="0" sId="1">
      <nc r="B284">
        <v>4</v>
      </nc>
    </rcc>
    <rcc rId="0" sId="1">
      <nc r="B285">
        <v>4</v>
      </nc>
    </rcc>
    <rcc rId="0" sId="1">
      <nc r="B286">
        <v>4</v>
      </nc>
    </rcc>
    <rcc rId="0" sId="1">
      <nc r="B287">
        <v>4</v>
      </nc>
    </rcc>
    <rcc rId="0" sId="1">
      <nc r="B288">
        <v>4</v>
      </nc>
    </rcc>
    <rcc rId="0" sId="1">
      <nc r="B289">
        <v>4</v>
      </nc>
    </rcc>
    <rcc rId="0" sId="1">
      <nc r="B290">
        <v>4</v>
      </nc>
    </rcc>
    <rcc rId="0" sId="1">
      <nc r="B291">
        <v>4</v>
      </nc>
    </rcc>
    <rcc rId="0" sId="1">
      <nc r="B292">
        <v>4</v>
      </nc>
    </rcc>
    <rcc rId="0" sId="1">
      <nc r="B293">
        <v>4</v>
      </nc>
    </rcc>
    <rcc rId="0" sId="1">
      <nc r="B294">
        <v>4</v>
      </nc>
    </rcc>
    <rcc rId="0" sId="1">
      <nc r="B295">
        <v>4</v>
      </nc>
    </rcc>
    <rcc rId="0" sId="1">
      <nc r="B296">
        <v>4</v>
      </nc>
    </rcc>
    <rcc rId="0" sId="1">
      <nc r="B297">
        <v>4</v>
      </nc>
    </rcc>
    <rcc rId="0" sId="1">
      <nc r="B298">
        <v>4</v>
      </nc>
    </rcc>
    <rcc rId="0" sId="1">
      <nc r="B299">
        <v>4</v>
      </nc>
    </rcc>
    <rcc rId="0" sId="1">
      <nc r="B300">
        <v>4</v>
      </nc>
    </rcc>
    <rcc rId="0" sId="1">
      <nc r="B301">
        <v>4</v>
      </nc>
    </rcc>
    <rcc rId="0" sId="1">
      <nc r="B302">
        <v>4</v>
      </nc>
    </rcc>
    <rcc rId="0" sId="1">
      <nc r="B303">
        <v>4</v>
      </nc>
    </rcc>
    <rcc rId="0" sId="1">
      <nc r="B304">
        <v>4</v>
      </nc>
    </rcc>
    <rcc rId="0" sId="1">
      <nc r="B305">
        <v>4</v>
      </nc>
    </rcc>
    <rcc rId="0" sId="1">
      <nc r="B306">
        <v>4</v>
      </nc>
    </rcc>
    <rcc rId="0" sId="1">
      <nc r="B307">
        <v>4</v>
      </nc>
    </rcc>
    <rcc rId="0" sId="1">
      <nc r="B308">
        <v>4</v>
      </nc>
    </rcc>
    <rcc rId="0" sId="1">
      <nc r="B309">
        <v>4</v>
      </nc>
    </rcc>
    <rcc rId="0" sId="1">
      <nc r="B310">
        <v>4</v>
      </nc>
    </rcc>
    <rcc rId="0" sId="1">
      <nc r="B311">
        <v>4</v>
      </nc>
    </rcc>
    <rcc rId="0" sId="1">
      <nc r="B312">
        <v>4</v>
      </nc>
    </rcc>
    <rcc rId="0" sId="1">
      <nc r="B313">
        <v>4</v>
      </nc>
    </rcc>
    <rcc rId="0" sId="1">
      <nc r="B314">
        <v>4</v>
      </nc>
    </rcc>
    <rcc rId="0" sId="1">
      <nc r="B315">
        <v>4</v>
      </nc>
    </rcc>
    <rcc rId="0" sId="1">
      <nc r="B316">
        <v>4</v>
      </nc>
    </rcc>
    <rcc rId="0" sId="1">
      <nc r="B317">
        <v>4</v>
      </nc>
    </rcc>
    <rcc rId="0" sId="1">
      <nc r="B318">
        <v>4</v>
      </nc>
    </rcc>
    <rcc rId="0" sId="1">
      <nc r="B319">
        <v>4</v>
      </nc>
    </rcc>
    <rcc rId="0" sId="1">
      <nc r="B320">
        <v>4</v>
      </nc>
    </rcc>
    <rcc rId="0" sId="1">
      <nc r="B321">
        <v>4</v>
      </nc>
    </rcc>
    <rcc rId="0" sId="1">
      <nc r="B322">
        <v>4</v>
      </nc>
    </rcc>
    <rcc rId="0" sId="1">
      <nc r="B323">
        <v>4</v>
      </nc>
    </rcc>
    <rcc rId="0" sId="1">
      <nc r="B324">
        <v>4</v>
      </nc>
    </rcc>
    <rcc rId="0" sId="1">
      <nc r="B325">
        <v>4</v>
      </nc>
    </rcc>
    <rcc rId="0" sId="1">
      <nc r="B326">
        <v>4</v>
      </nc>
    </rcc>
    <rcc rId="0" sId="1">
      <nc r="B328">
        <v>4</v>
      </nc>
    </rcc>
    <rcc rId="0" sId="1">
      <nc r="B329">
        <v>4</v>
      </nc>
    </rcc>
    <rcc rId="0" sId="1">
      <nc r="B330">
        <v>4</v>
      </nc>
    </rcc>
    <rcc rId="0" sId="1">
      <nc r="B331">
        <v>4</v>
      </nc>
    </rcc>
    <rcc rId="0" sId="1">
      <nc r="B332">
        <v>4</v>
      </nc>
    </rcc>
    <rcc rId="0" sId="1">
      <nc r="B333">
        <v>4</v>
      </nc>
    </rcc>
    <rcc rId="0" sId="1">
      <nc r="B334">
        <v>4</v>
      </nc>
    </rcc>
    <rcc rId="0" sId="1">
      <nc r="B335">
        <v>4</v>
      </nc>
    </rcc>
    <rcc rId="0" sId="1">
      <nc r="B336">
        <v>4</v>
      </nc>
    </rcc>
    <rcc rId="0" sId="1">
      <nc r="B337">
        <v>4</v>
      </nc>
    </rcc>
    <rcc rId="0" sId="1">
      <nc r="B338">
        <v>4</v>
      </nc>
    </rcc>
    <rcc rId="0" sId="1">
      <nc r="B136">
        <v>5</v>
      </nc>
    </rcc>
    <rcc rId="0" sId="1">
      <nc r="B138">
        <v>5</v>
      </nc>
    </rcc>
    <rcc rId="0" sId="1">
      <nc r="B140">
        <v>5</v>
      </nc>
    </rcc>
    <rcc rId="0" sId="1">
      <nc r="B143">
        <v>5</v>
      </nc>
    </rcc>
    <rcc rId="0" sId="1">
      <nc r="B145">
        <v>5</v>
      </nc>
    </rcc>
    <rcc rId="0" sId="1">
      <nc r="B146">
        <v>5</v>
      </nc>
    </rcc>
    <rcc rId="0" sId="1">
      <nc r="B148">
        <v>5</v>
      </nc>
    </rcc>
    <rcc rId="0" sId="1">
      <nc r="B149">
        <v>5</v>
      </nc>
    </rcc>
    <rcc rId="0" sId="1">
      <nc r="B151">
        <v>5</v>
      </nc>
    </rcc>
    <rcc rId="0" sId="1">
      <nc r="B153">
        <v>5</v>
      </nc>
    </rcc>
    <rcc rId="0" sId="1">
      <nc r="B154">
        <v>5</v>
      </nc>
    </rcc>
    <rcc rId="0" sId="1">
      <nc r="B155">
        <v>5</v>
      </nc>
    </rcc>
    <rcc rId="0" sId="1">
      <nc r="B157">
        <v>5</v>
      </nc>
    </rcc>
    <rcc rId="0" sId="1">
      <nc r="B159">
        <v>5</v>
      </nc>
    </rcc>
    <rcc rId="0" sId="1">
      <nc r="B160">
        <v>5</v>
      </nc>
    </rcc>
    <rcc rId="0" sId="1">
      <nc r="B162">
        <v>5</v>
      </nc>
    </rcc>
    <rcc rId="0" sId="1">
      <nc r="B163">
        <v>5</v>
      </nc>
    </rcc>
    <rcc rId="0" sId="1">
      <nc r="B165">
        <v>5</v>
      </nc>
    </rcc>
    <rcc rId="0" sId="1">
      <nc r="B166">
        <v>5</v>
      </nc>
    </rcc>
    <rcc rId="0" sId="1">
      <nc r="B169">
        <v>5</v>
      </nc>
    </rcc>
    <rcc rId="0" sId="1">
      <nc r="B171">
        <v>5</v>
      </nc>
    </rcc>
    <rcc rId="0" sId="1">
      <nc r="B172">
        <v>5</v>
      </nc>
    </rcc>
    <rcc rId="0" sId="1">
      <nc r="B175">
        <v>5</v>
      </nc>
    </rcc>
    <rcc rId="0" sId="1">
      <nc r="B176">
        <v>5</v>
      </nc>
    </rcc>
    <rcc rId="0" sId="1">
      <nc r="B178">
        <v>5</v>
      </nc>
    </rcc>
    <rcc rId="0" sId="1">
      <nc r="B180">
        <v>5</v>
      </nc>
    </rcc>
    <rcc rId="0" sId="1">
      <nc r="B183">
        <v>5</v>
      </nc>
    </rcc>
    <rcc rId="0" sId="1">
      <nc r="B185">
        <v>5</v>
      </nc>
    </rcc>
    <rcc rId="0" sId="1">
      <nc r="B186">
        <v>5</v>
      </nc>
    </rcc>
    <rcc rId="0" sId="1">
      <nc r="B189">
        <v>5</v>
      </nc>
    </rcc>
    <rcc rId="0" sId="1">
      <nc r="B190">
        <v>5</v>
      </nc>
    </rcc>
    <rcc rId="0" sId="1">
      <nc r="B191">
        <v>5</v>
      </nc>
    </rcc>
    <rcc rId="0" sId="1">
      <nc r="B194">
        <v>5</v>
      </nc>
    </rcc>
    <rcc rId="0" sId="1">
      <nc r="B196">
        <v>5</v>
      </nc>
    </rcc>
    <rcc rId="0" sId="1">
      <nc r="B197">
        <v>5</v>
      </nc>
    </rcc>
    <rcc rId="0" sId="1">
      <nc r="B200">
        <v>5</v>
      </nc>
    </rcc>
    <rcc rId="0" sId="1">
      <nc r="B203">
        <v>5</v>
      </nc>
    </rcc>
    <rcc rId="0" sId="1">
      <nc r="B205">
        <v>5</v>
      </nc>
    </rcc>
    <rcc rId="0" sId="1">
      <nc r="B207">
        <v>5</v>
      </nc>
    </rcc>
    <rcc rId="0" sId="1">
      <nc r="B209">
        <v>5</v>
      </nc>
    </rcc>
    <rcc rId="0" sId="1">
      <nc r="B212">
        <v>5</v>
      </nc>
    </rcc>
    <rcc rId="0" sId="1">
      <nc r="B215">
        <v>5</v>
      </nc>
    </rcc>
    <rcc rId="0" sId="1">
      <nc r="B216">
        <v>5</v>
      </nc>
    </rcc>
    <rcc rId="0" sId="1">
      <nc r="B217">
        <v>5</v>
      </nc>
    </rcc>
    <rcc rId="0" sId="1">
      <nc r="B219">
        <v>5</v>
      </nc>
    </rcc>
    <rcc rId="0" sId="1">
      <nc r="B221">
        <v>5</v>
      </nc>
    </rcc>
    <rcc rId="0" sId="1">
      <nc r="B223">
        <v>5</v>
      </nc>
    </rcc>
    <rcc rId="0" sId="1">
      <nc r="B224">
        <v>5</v>
      </nc>
    </rcc>
    <rcc rId="0" sId="1">
      <nc r="B227">
        <v>5</v>
      </nc>
    </rcc>
    <rcc rId="0" sId="1">
      <nc r="B229">
        <v>5</v>
      </nc>
    </rcc>
    <rcc rId="0" sId="1">
      <nc r="B231">
        <v>5</v>
      </nc>
    </rcc>
    <rcc rId="0" sId="1">
      <nc r="B233">
        <v>5</v>
      </nc>
    </rcc>
    <rcc rId="0" sId="1">
      <nc r="B235">
        <v>5</v>
      </nc>
    </rcc>
    <rcc rId="0" sId="1">
      <nc r="B236">
        <v>5</v>
      </nc>
    </rcc>
    <rcc rId="0" sId="1">
      <nc r="B239">
        <v>5</v>
      </nc>
    </rcc>
    <rcc rId="0" sId="1">
      <nc r="B241">
        <v>5</v>
      </nc>
    </rcc>
    <rcc rId="0" sId="1">
      <nc r="B327" t="inlineStr">
        <is>
          <t/>
        </is>
      </nc>
    </rcc>
    <rcc rId="0" sId="1">
      <nc r="B204" t="inlineStr">
        <is>
          <t>NA</t>
        </is>
      </nc>
    </rcc>
    <rcc rId="0" sId="1">
      <nc r="B226" t="inlineStr">
        <is>
          <t>NA</t>
        </is>
      </nc>
    </rcc>
  </rrc>
  <rcc rId="11668" sId="1">
    <oc r="B1" t="inlineStr">
      <is>
        <t>nest2</t>
      </is>
    </oc>
    <nc r="B1" t="inlineStr">
      <is>
        <t>nest</t>
      </is>
    </nc>
  </rcc>
</revisions>
</file>

<file path=xl/revisions/revisionLog10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69" sId="2">
    <oc r="C3">
      <f>B2 &amp; "." &amp;  A2 &amp; "." &amp; RIGHT(YEAR(G2), 2)</f>
    </oc>
    <nc r="C3" t="inlineStr">
      <is>
        <t>1.2.24</t>
      </is>
    </nc>
  </rcc>
  <rcc rId="11670" sId="2">
    <oc r="C4">
      <f>B3 &amp; "." &amp;  A3 &amp; "." &amp; RIGHT(YEAR(G3), 2)</f>
    </oc>
    <nc r="C4" t="inlineStr">
      <is>
        <t>1.2.24</t>
      </is>
    </nc>
  </rcc>
  <rcc rId="11671" sId="2">
    <oc r="C5">
      <f>B4 &amp; "." &amp;  A4 &amp; "." &amp; RIGHT(YEAR(G4), 2)</f>
    </oc>
    <nc r="C5" t="inlineStr">
      <is>
        <t>1.2.24</t>
      </is>
    </nc>
  </rcc>
  <rcc rId="11672" sId="2">
    <oc r="C6">
      <f>B5 &amp; "." &amp;  A5 &amp; "." &amp; RIGHT(YEAR(G5), 2)</f>
    </oc>
    <nc r="C6" t="inlineStr">
      <is>
        <t>1.2.24</t>
      </is>
    </nc>
  </rcc>
  <rcc rId="11673" sId="2">
    <oc r="C7">
      <f>B6 &amp; "." &amp;  A6 &amp; "." &amp; RIGHT(YEAR(G6), 2)</f>
    </oc>
    <nc r="C7" t="inlineStr">
      <is>
        <t>1.2.24</t>
      </is>
    </nc>
  </rcc>
  <rcc rId="11674" sId="2">
    <oc r="C12">
      <f>B7 &amp; "." &amp;  A7 &amp; "." &amp; RIGHT(YEAR(G7), 2)</f>
    </oc>
    <nc r="C12" t="inlineStr">
      <is>
        <t>1.2.24</t>
      </is>
    </nc>
  </rcc>
  <rcc rId="11675" sId="2">
    <oc r="C13">
      <f>B8 &amp; "." &amp;  A8 &amp; "." &amp; RIGHT(YEAR(G8), 2)</f>
    </oc>
    <nc r="C13" t="inlineStr">
      <is>
        <t>1.2.24</t>
      </is>
    </nc>
  </rcc>
  <rcc rId="11676" sId="2">
    <oc r="C14">
      <f>B9 &amp; "." &amp;  A9 &amp; "." &amp; RIGHT(YEAR(G9), 2)</f>
    </oc>
    <nc r="C14" t="inlineStr">
      <is>
        <t>1.2.24</t>
      </is>
    </nc>
  </rcc>
  <rcc rId="11677" sId="2">
    <oc r="C15">
      <f>B10 &amp; "." &amp;  A10 &amp; "." &amp; RIGHT(YEAR(G10), 2)</f>
    </oc>
    <nc r="C15" t="inlineStr">
      <is>
        <t>1.2.24</t>
      </is>
    </nc>
  </rcc>
  <rcc rId="11678" sId="2">
    <oc r="C16">
      <f>B11 &amp; "." &amp;  A11 &amp; "." &amp; RIGHT(YEAR(G11), 2)</f>
    </oc>
    <nc r="C16" t="inlineStr">
      <is>
        <t>1.2.24</t>
      </is>
    </nc>
  </rcc>
  <rcc rId="11679" sId="2">
    <oc r="C17">
      <f>B12 &amp; "." &amp;  A12 &amp; "." &amp; RIGHT(YEAR(G12), 2)</f>
    </oc>
    <nc r="C17" t="inlineStr">
      <is>
        <t>1.2.24</t>
      </is>
    </nc>
  </rcc>
  <rcc rId="11680" sId="2">
    <oc r="C18">
      <f>B13 &amp; "." &amp;  A13 &amp; "." &amp; RIGHT(YEAR(G13), 2)</f>
    </oc>
    <nc r="C18" t="inlineStr">
      <is>
        <t>1.2.24</t>
      </is>
    </nc>
  </rcc>
  <rcc rId="11681" sId="2">
    <oc r="C19">
      <f>B14 &amp; "." &amp;  A14 &amp; "." &amp; RIGHT(YEAR(G14), 2)</f>
    </oc>
    <nc r="C19" t="inlineStr">
      <is>
        <t>1.2.24</t>
      </is>
    </nc>
  </rcc>
  <rcc rId="11682" sId="2">
    <oc r="C20">
      <f>B15 &amp; "." &amp;  A15 &amp; "." &amp; RIGHT(YEAR(G15), 2)</f>
    </oc>
    <nc r="C20" t="inlineStr">
      <is>
        <t>1.2.24</t>
      </is>
    </nc>
  </rcc>
  <rcc rId="11683" sId="2">
    <oc r="C21">
      <f>B16 &amp; "." &amp;  A16 &amp; "." &amp; RIGHT(YEAR(G16), 2)</f>
    </oc>
    <nc r="C21" t="inlineStr">
      <is>
        <t>1.2.24</t>
      </is>
    </nc>
  </rcc>
  <rcc rId="11684" sId="2">
    <oc r="C71">
      <f>B17 &amp; "." &amp;  A17 &amp; "." &amp; RIGHT(YEAR(G17), 2)</f>
    </oc>
    <nc r="C71" t="inlineStr">
      <is>
        <t>1.2.24</t>
      </is>
    </nc>
  </rcc>
  <rcc rId="11685" sId="2">
    <oc r="C72">
      <f>B18 &amp; "." &amp;  A18 &amp; "." &amp; RIGHT(YEAR(G18), 2)</f>
    </oc>
    <nc r="C72" t="inlineStr">
      <is>
        <t>1.2.24</t>
      </is>
    </nc>
  </rcc>
  <rcc rId="11686" sId="2">
    <oc r="C73">
      <f>B19 &amp; "." &amp;  A19 &amp; "." &amp; RIGHT(YEAR(G19), 2)</f>
    </oc>
    <nc r="C73" t="inlineStr">
      <is>
        <t>1.2.24</t>
      </is>
    </nc>
  </rcc>
  <rcc rId="11687" sId="2">
    <oc r="C74">
      <f>B20 &amp; "." &amp;  A20 &amp; "." &amp; RIGHT(YEAR(G20), 2)</f>
    </oc>
    <nc r="C74" t="inlineStr">
      <is>
        <t>1.2.24</t>
      </is>
    </nc>
  </rcc>
  <rcc rId="11688" sId="2">
    <oc r="C75">
      <f>B21 &amp; "." &amp;  A21 &amp; "." &amp; RIGHT(YEAR(G21), 2)</f>
    </oc>
    <nc r="C75" t="inlineStr">
      <is>
        <t>1.2.24</t>
      </is>
    </nc>
  </rcc>
  <rcc rId="11689" sId="2">
    <oc r="C76">
      <f>B22 &amp; "." &amp;  A22 &amp; "." &amp; RIGHT(YEAR(G22), 2)</f>
    </oc>
    <nc r="C76" t="inlineStr">
      <is>
        <t>1.2.24</t>
      </is>
    </nc>
  </rcc>
  <rcc rId="11690" sId="2">
    <oc r="C8">
      <f>B23 &amp; "." &amp;  A23 &amp; "." &amp; RIGHT(YEAR(G23), 2)</f>
    </oc>
    <nc r="C8" t="inlineStr">
      <is>
        <t>2.2.24</t>
      </is>
    </nc>
  </rcc>
  <rcc rId="11691" sId="2">
    <oc r="C9">
      <f>B24 &amp; "." &amp;  A24 &amp; "." &amp; RIGHT(YEAR(G24), 2)</f>
    </oc>
    <nc r="C9" t="inlineStr">
      <is>
        <t>2.2.24</t>
      </is>
    </nc>
  </rcc>
  <rcc rId="11692" sId="2">
    <oc r="C10">
      <f>B25 &amp; "." &amp;  A25 &amp; "." &amp; RIGHT(YEAR(G25), 2)</f>
    </oc>
    <nc r="C10" t="inlineStr">
      <is>
        <t>2.2.24</t>
      </is>
    </nc>
  </rcc>
  <rcc rId="11693" sId="2">
    <oc r="C11">
      <f>B26 &amp; "." &amp;  A26 &amp; "." &amp; RIGHT(YEAR(G26), 2)</f>
    </oc>
    <nc r="C11" t="inlineStr">
      <is>
        <t>2.2.24</t>
      </is>
    </nc>
  </rcc>
  <rcc rId="11694" sId="2">
    <oc r="C22">
      <f>B27 &amp; "." &amp;  A27 &amp; "." &amp; RIGHT(YEAR(G27), 2)</f>
    </oc>
    <nc r="C22" t="inlineStr">
      <is>
        <t>2.2.24</t>
      </is>
    </nc>
  </rcc>
  <rcc rId="11695" sId="2">
    <oc r="C24">
      <f>B28 &amp; "." &amp;  A28 &amp; "." &amp; RIGHT(YEAR(G28), 2)</f>
    </oc>
    <nc r="C24" t="inlineStr">
      <is>
        <t>2.2.24</t>
      </is>
    </nc>
  </rcc>
  <rcc rId="11696" sId="2">
    <oc r="C25">
      <f>B29 &amp; "." &amp;  A29 &amp; "." &amp; RIGHT(YEAR(G29), 2)</f>
    </oc>
    <nc r="C25" t="inlineStr">
      <is>
        <t>2.2.24</t>
      </is>
    </nc>
  </rcc>
  <rcc rId="11697" sId="2">
    <oc r="C23">
      <f>B30 &amp; "." &amp;  A30 &amp; "." &amp; RIGHT(YEAR(G30), 2)</f>
    </oc>
    <nc r="C23" t="inlineStr">
      <is>
        <t>3.2.24</t>
      </is>
    </nc>
  </rcc>
  <rcc rId="11698" sId="2">
    <oc r="C26">
      <f>B31 &amp; "." &amp;  A31 &amp; "." &amp; RIGHT(YEAR(G31), 2)</f>
    </oc>
    <nc r="C26" t="inlineStr">
      <is>
        <t>3.2.24</t>
      </is>
    </nc>
  </rcc>
  <rcc rId="11699" sId="2">
    <oc r="C27">
      <f>B32 &amp; "." &amp;  A32 &amp; "." &amp; RIGHT(YEAR(G32), 2)</f>
    </oc>
    <nc r="C27" t="inlineStr">
      <is>
        <t>3.2.24</t>
      </is>
    </nc>
  </rcc>
  <rcc rId="11700" sId="2">
    <oc r="C28">
      <f>B33 &amp; "." &amp;  A33 &amp; "." &amp; RIGHT(YEAR(G33), 2)</f>
    </oc>
    <nc r="C28" t="inlineStr">
      <is>
        <t>4.2.24</t>
      </is>
    </nc>
  </rcc>
  <rcc rId="11701" sId="2">
    <oc r="C29">
      <f>B34 &amp; "." &amp;  A34 &amp; "." &amp; RIGHT(YEAR(G34), 2)</f>
    </oc>
    <nc r="C29" t="inlineStr">
      <is>
        <t>5.2.24</t>
      </is>
    </nc>
  </rcc>
  <rcc rId="11702" sId="2">
    <oc r="C2">
      <f>B35 &amp; "." &amp;  A35 &amp; "." &amp; RIGHT(YEAR(G35), 2)</f>
    </oc>
    <nc r="C2" t="inlineStr">
      <is>
        <t>6.2.23</t>
      </is>
    </nc>
  </rcc>
  <rcc rId="11703" sId="2">
    <oc r="C30">
      <f>B36 &amp; "." &amp;  A36 &amp; "." &amp; RIGHT(YEAR(G36), 2)</f>
    </oc>
    <nc r="C30" t="inlineStr">
      <is>
        <t>6.2.24</t>
      </is>
    </nc>
  </rcc>
  <rcc rId="11704" sId="2">
    <oc r="C31">
      <f>B37 &amp; "." &amp;  A37 &amp; "." &amp; RIGHT(YEAR(G37), 2)</f>
    </oc>
    <nc r="C31" t="inlineStr">
      <is>
        <t>6.2.24</t>
      </is>
    </nc>
  </rcc>
  <rcc rId="11705" sId="2">
    <oc r="C32">
      <f>B38 &amp; "." &amp;  A38 &amp; "." &amp; RIGHT(YEAR(G38), 2)</f>
    </oc>
    <nc r="C32" t="inlineStr">
      <is>
        <t>6.2.24</t>
      </is>
    </nc>
  </rcc>
  <rcc rId="11706" sId="2">
    <oc r="C33">
      <f>B39 &amp; "." &amp;  A39 &amp; "." &amp; RIGHT(YEAR(G39), 2)</f>
    </oc>
    <nc r="C33" t="inlineStr">
      <is>
        <t>6.2.24</t>
      </is>
    </nc>
  </rcc>
  <rcc rId="11707" sId="2">
    <oc r="C34">
      <f>B40 &amp; "." &amp;  A40 &amp; "." &amp; RIGHT(YEAR(G40), 2)</f>
    </oc>
    <nc r="C34" t="inlineStr">
      <is>
        <t>6.2.24</t>
      </is>
    </nc>
  </rcc>
  <rcc rId="11708" sId="2">
    <oc r="C35">
      <f>B41 &amp; "." &amp;  A41 &amp; "." &amp; RIGHT(YEAR(G41), 2)</f>
    </oc>
    <nc r="C35" t="inlineStr">
      <is>
        <t>6.2.24</t>
      </is>
    </nc>
  </rcc>
  <rcc rId="11709" sId="2">
    <oc r="C36">
      <f>B42 &amp; "." &amp;  A42 &amp; "." &amp; RIGHT(YEAR(G42), 2)</f>
    </oc>
    <nc r="C36" t="inlineStr">
      <is>
        <t>6.2.24</t>
      </is>
    </nc>
  </rcc>
  <rcc rId="11710" sId="2">
    <oc r="C37">
      <f>B43 &amp; "." &amp;  A43 &amp; "." &amp; RIGHT(YEAR(G43), 2)</f>
    </oc>
    <nc r="C37" t="inlineStr">
      <is>
        <t>6.2.24</t>
      </is>
    </nc>
  </rcc>
  <rcc rId="11711" sId="2">
    <oc r="C38">
      <f>B44 &amp; "." &amp;  A44 &amp; "." &amp; RIGHT(YEAR(G44), 2)</f>
    </oc>
    <nc r="C38" t="inlineStr">
      <is>
        <t>6.2.24</t>
      </is>
    </nc>
  </rcc>
  <rcc rId="11712" sId="2">
    <oc r="C39">
      <f>B45 &amp; "." &amp;  A45 &amp; "." &amp; RIGHT(YEAR(G45), 2)</f>
    </oc>
    <nc r="C39" t="inlineStr">
      <is>
        <t>6.2.24</t>
      </is>
    </nc>
  </rcc>
  <rcc rId="11713" sId="2">
    <oc r="C40">
      <f>B46 &amp; "." &amp;  A46 &amp; "." &amp; RIGHT(YEAR(G46), 2)</f>
    </oc>
    <nc r="C40" t="inlineStr">
      <is>
        <t>6.2.24</t>
      </is>
    </nc>
  </rcc>
  <rcc rId="11714" sId="2">
    <oc r="C41">
      <f>B47 &amp; "." &amp;  A47 &amp; "." &amp; RIGHT(YEAR(G47), 2)</f>
    </oc>
    <nc r="C41" t="inlineStr">
      <is>
        <t>6.2.24</t>
      </is>
    </nc>
  </rcc>
  <rcc rId="11715" sId="2">
    <oc r="C42">
      <f>B48 &amp; "." &amp;  A48 &amp; "." &amp; RIGHT(YEAR(G48), 2)</f>
    </oc>
    <nc r="C42" t="inlineStr">
      <is>
        <t>6.2.24</t>
      </is>
    </nc>
  </rcc>
  <rcc rId="11716" sId="2">
    <oc r="C43">
      <f>B49 &amp; "." &amp;  A49 &amp; "." &amp; RIGHT(YEAR(G49), 2)</f>
    </oc>
    <nc r="C43" t="inlineStr">
      <is>
        <t>6.2.24</t>
      </is>
    </nc>
  </rcc>
  <rcc rId="11717" sId="2">
    <oc r="C44">
      <f>B50 &amp; "." &amp;  A50 &amp; "." &amp; RIGHT(YEAR(G50), 2)</f>
    </oc>
    <nc r="C44" t="inlineStr">
      <is>
        <t>6.2.24</t>
      </is>
    </nc>
  </rcc>
  <rcc rId="11718" sId="2">
    <oc r="C45">
      <f>B51 &amp; "." &amp;  A51 &amp; "." &amp; RIGHT(YEAR(G51), 2)</f>
    </oc>
    <nc r="C45" t="inlineStr">
      <is>
        <t>6.2.24</t>
      </is>
    </nc>
  </rcc>
  <rcc rId="11719" sId="2">
    <oc r="C46">
      <f>B52 &amp; "." &amp;  A52 &amp; "." &amp; RIGHT(YEAR(G52), 2)</f>
    </oc>
    <nc r="C46" t="inlineStr">
      <is>
        <t>6.2.24</t>
      </is>
    </nc>
  </rcc>
  <rcc rId="11720" sId="2">
    <oc r="C47">
      <f>B53 &amp; "." &amp;  A53 &amp; "." &amp; RIGHT(YEAR(G53), 2)</f>
    </oc>
    <nc r="C47" t="inlineStr">
      <is>
        <t>6.2.24</t>
      </is>
    </nc>
  </rcc>
  <rcc rId="11721" sId="2">
    <oc r="C48">
      <f>B54 &amp; "." &amp;  A54 &amp; "." &amp; RIGHT(YEAR(G54), 2)</f>
    </oc>
    <nc r="C48" t="inlineStr">
      <is>
        <t>6.2.24</t>
      </is>
    </nc>
  </rcc>
  <rcc rId="11722" sId="2">
    <oc r="C49">
      <f>B55 &amp; "." &amp;  A55 &amp; "." &amp; RIGHT(YEAR(G55), 2)</f>
    </oc>
    <nc r="C49" t="inlineStr">
      <is>
        <t>6.2.24</t>
      </is>
    </nc>
  </rcc>
  <rcc rId="11723" sId="2">
    <oc r="C50">
      <f>B56 &amp; "." &amp;  A56 &amp; "." &amp; RIGHT(YEAR(G56), 2)</f>
    </oc>
    <nc r="C50" t="inlineStr">
      <is>
        <t>6.2.24</t>
      </is>
    </nc>
  </rcc>
  <rcc rId="11724" sId="2">
    <oc r="C51">
      <f>B57 &amp; "." &amp;  A57 &amp; "." &amp; RIGHT(YEAR(G57), 2)</f>
    </oc>
    <nc r="C51" t="inlineStr">
      <is>
        <t>6.2.24</t>
      </is>
    </nc>
  </rcc>
  <rcc rId="11725" sId="2">
    <oc r="C52">
      <f>B58 &amp; "." &amp;  A58 &amp; "." &amp; RIGHT(YEAR(G58), 2)</f>
    </oc>
    <nc r="C52" t="inlineStr">
      <is>
        <t>6.2.24</t>
      </is>
    </nc>
  </rcc>
  <rcc rId="11726" sId="2">
    <oc r="C53">
      <f>B59 &amp; "." &amp;  A59 &amp; "." &amp; RIGHT(YEAR(G59), 2)</f>
    </oc>
    <nc r="C53" t="inlineStr">
      <is>
        <t>6.2.24</t>
      </is>
    </nc>
  </rcc>
  <rcc rId="11727" sId="2">
    <oc r="C54">
      <f>B60 &amp; "." &amp;  A60 &amp; "." &amp; RIGHT(YEAR(G60), 2)</f>
    </oc>
    <nc r="C54" t="inlineStr">
      <is>
        <t>6.2.24</t>
      </is>
    </nc>
  </rcc>
  <rcc rId="11728" sId="2">
    <oc r="C55">
      <f>B61 &amp; "." &amp;  A61 &amp; "." &amp; RIGHT(YEAR(G61), 2)</f>
    </oc>
    <nc r="C55" t="inlineStr">
      <is>
        <t>6.2.24</t>
      </is>
    </nc>
  </rcc>
  <rcc rId="11729" sId="2">
    <oc r="C56">
      <f>B62 &amp; "." &amp;  A62 &amp; "." &amp; RIGHT(YEAR(G62), 2)</f>
    </oc>
    <nc r="C56" t="inlineStr">
      <is>
        <t>6.2.24</t>
      </is>
    </nc>
  </rcc>
  <rcc rId="11730" sId="2">
    <oc r="C57">
      <f>B63 &amp; "." &amp;  A63 &amp; "." &amp; RIGHT(YEAR(G63), 2)</f>
    </oc>
    <nc r="C57" t="inlineStr">
      <is>
        <t>6.2.24</t>
      </is>
    </nc>
  </rcc>
  <rcc rId="11731" sId="2">
    <oc r="C58">
      <f>B64 &amp; "." &amp;  A64 &amp; "." &amp; RIGHT(YEAR(G64), 2)</f>
    </oc>
    <nc r="C58" t="inlineStr">
      <is>
        <t>6.2.24</t>
      </is>
    </nc>
  </rcc>
  <rcc rId="11732" sId="2">
    <oc r="C59">
      <f>B65 &amp; "." &amp;  A65 &amp; "." &amp; RIGHT(YEAR(G65), 2)</f>
    </oc>
    <nc r="C59" t="inlineStr">
      <is>
        <t>6.2.24</t>
      </is>
    </nc>
  </rcc>
  <rcc rId="11733" sId="2">
    <oc r="C60">
      <f>B66 &amp; "." &amp;  A66 &amp; "." &amp; RIGHT(YEAR(G66), 2)</f>
    </oc>
    <nc r="C60" t="inlineStr">
      <is>
        <t>6.2.24</t>
      </is>
    </nc>
  </rcc>
  <rcc rId="11734" sId="2">
    <oc r="C61">
      <f>B67 &amp; "." &amp;  A67 &amp; "." &amp; RIGHT(YEAR(G67), 2)</f>
    </oc>
    <nc r="C61" t="inlineStr">
      <is>
        <t>6.2.24</t>
      </is>
    </nc>
  </rcc>
  <rcc rId="11735" sId="2">
    <oc r="C62">
      <f>B68 &amp; "." &amp;  A68 &amp; "." &amp; RIGHT(YEAR(G68), 2)</f>
    </oc>
    <nc r="C62" t="inlineStr">
      <is>
        <t>6.2.24</t>
      </is>
    </nc>
  </rcc>
  <rcc rId="11736" sId="2">
    <oc r="C63">
      <f>B69 &amp; "." &amp;  A69 &amp; "." &amp; RIGHT(YEAR(G69), 2)</f>
    </oc>
    <nc r="C63" t="inlineStr">
      <is>
        <t>6.2.24</t>
      </is>
    </nc>
  </rcc>
  <rcc rId="11737" sId="2">
    <oc r="C64">
      <f>B70 &amp; "." &amp;  A70 &amp; "." &amp; RIGHT(YEAR(G70), 2)</f>
    </oc>
    <nc r="C64" t="inlineStr">
      <is>
        <t>6.2.24</t>
      </is>
    </nc>
  </rcc>
  <rcc rId="11738" sId="2">
    <oc r="C65">
      <f>B71 &amp; "." &amp;  A71 &amp; "." &amp; RIGHT(YEAR(G71), 2)</f>
    </oc>
    <nc r="C65" t="inlineStr">
      <is>
        <t>6.2.24</t>
      </is>
    </nc>
  </rcc>
  <rcc rId="11739" sId="2">
    <oc r="C66">
      <f>B72 &amp; "." &amp;  A72 &amp; "." &amp; RIGHT(YEAR(G72), 2)</f>
    </oc>
    <nc r="C66" t="inlineStr">
      <is>
        <t>6.2.24</t>
      </is>
    </nc>
  </rcc>
  <rcc rId="11740" sId="2">
    <oc r="C67">
      <f>B73 &amp; "." &amp;  A73 &amp; "." &amp; RIGHT(YEAR(G73), 2)</f>
    </oc>
    <nc r="C67" t="inlineStr">
      <is>
        <t>6.2.24</t>
      </is>
    </nc>
  </rcc>
  <rcc rId="11741" sId="2">
    <oc r="C68">
      <f>B74 &amp; "." &amp;  A74 &amp; "." &amp; RIGHT(YEAR(G74), 2)</f>
    </oc>
    <nc r="C68" t="inlineStr">
      <is>
        <t>6.2.24</t>
      </is>
    </nc>
  </rcc>
  <rcc rId="11742" sId="2">
    <oc r="C69">
      <f>B75 &amp; "." &amp;  A75 &amp; "." &amp; RIGHT(YEAR(G75), 2)</f>
    </oc>
    <nc r="C69" t="inlineStr">
      <is>
        <t>6.2.24</t>
      </is>
    </nc>
  </rcc>
  <rcc rId="11743" sId="2">
    <oc r="C70">
      <f>B76 &amp; "." &amp;  A76 &amp; "." &amp; RIGHT(YEAR(G76), 2)</f>
    </oc>
    <nc r="C70" t="inlineStr">
      <is>
        <t>6.2.24</t>
      </is>
    </nc>
  </rcc>
  <rcc rId="11744" sId="2">
    <oc r="C77">
      <f>B77 &amp; "." &amp;  A77 &amp; "." &amp; RIGHT(YEAR(G77), 2)</f>
    </oc>
    <nc r="C77" t="inlineStr">
      <is>
        <t>6.2.24</t>
      </is>
    </nc>
  </rcc>
  <rcc rId="11745" sId="2">
    <oc r="C78">
      <f>B78 &amp; "." &amp;  A78 &amp; "." &amp; RIGHT(YEAR(G78), 2)</f>
    </oc>
    <nc r="C78" t="inlineStr">
      <is>
        <t>6.2.24</t>
      </is>
    </nc>
  </rcc>
  <rcc rId="11746" sId="2">
    <oc r="C79">
      <f>B79 &amp; "." &amp;  A79 &amp; "." &amp; RIGHT(YEAR(G79), 2)</f>
    </oc>
    <nc r="C79" t="inlineStr">
      <is>
        <t>6.2.24</t>
      </is>
    </nc>
  </rcc>
  <rcc rId="11747" sId="2">
    <oc r="C80">
      <f>B80 &amp; "." &amp;  A80 &amp; "." &amp; RIGHT(YEAR(G80), 2)</f>
    </oc>
    <nc r="C80" t="inlineStr">
      <is>
        <t>6.2.24</t>
      </is>
    </nc>
  </rcc>
  <rcc rId="11748" sId="2">
    <oc r="C81">
      <f>B81 &amp; "." &amp;  A81 &amp; "." &amp; RIGHT(YEAR(G81), 2)</f>
    </oc>
    <nc r="C81" t="inlineStr">
      <is>
        <t>6.2.24</t>
      </is>
    </nc>
  </rcc>
  <rcc rId="11749" sId="2">
    <oc r="C82">
      <f>B82 &amp; "." &amp;  A82 &amp; "." &amp; RIGHT(YEAR(G82), 2)</f>
    </oc>
    <nc r="C82" t="inlineStr">
      <is>
        <t>6.2.24</t>
      </is>
    </nc>
  </rcc>
  <rcc rId="11750" sId="2">
    <oc r="C83">
      <f>B83 &amp; "." &amp;  A83 &amp; "." &amp; RIGHT(YEAR(G83), 2)</f>
    </oc>
    <nc r="C83" t="inlineStr">
      <is>
        <t>6.2.24</t>
      </is>
    </nc>
  </rcc>
  <rcc rId="11751" sId="2">
    <oc r="C84">
      <f>B84 &amp; "." &amp;  A84 &amp; "." &amp; RIGHT(YEAR(G84), 2)</f>
    </oc>
    <nc r="C84" t="inlineStr">
      <is>
        <t>6.2.24</t>
      </is>
    </nc>
  </rcc>
  <rcc rId="11752" sId="2">
    <oc r="C85">
      <f>B85 &amp; "." &amp;  A85 &amp; "." &amp; RIGHT(YEAR(G85), 2)</f>
    </oc>
    <nc r="C85" t="inlineStr">
      <is>
        <t>6.2.24</t>
      </is>
    </nc>
  </rcc>
  <rcc rId="11753" sId="2">
    <oc r="C86">
      <f>B86 &amp; "." &amp;  A86 &amp; "." &amp; RIGHT(YEAR(G86), 2)</f>
    </oc>
    <nc r="C86" t="inlineStr">
      <is>
        <t>6.2.24</t>
      </is>
    </nc>
  </rcc>
  <rcc rId="11754" sId="2">
    <oc r="C87">
      <f>B87 &amp; "." &amp;  A87 &amp; "." &amp; RIGHT(YEAR(G87), 2)</f>
    </oc>
    <nc r="C87" t="inlineStr">
      <is>
        <t>6.2.24</t>
      </is>
    </nc>
  </rcc>
  <rcc rId="11755" sId="2">
    <oc r="C88">
      <f>B88 &amp; "." &amp;  A88 &amp; "." &amp; RIGHT(YEAR(G88), 2)</f>
    </oc>
    <nc r="C88" t="inlineStr">
      <is>
        <t>6.2.24</t>
      </is>
    </nc>
  </rcc>
  <rcc rId="11756" sId="2">
    <oc r="C89">
      <f>B89 &amp; "." &amp;  A89 &amp; "." &amp; RIGHT(YEAR(G89), 2)</f>
    </oc>
    <nc r="C89" t="inlineStr">
      <is>
        <t>6.2.24</t>
      </is>
    </nc>
  </rcc>
  <rcc rId="11757" sId="2">
    <oc r="C90">
      <f>B90 &amp; "." &amp;  A90 &amp; "." &amp; RIGHT(YEAR(G90), 2)</f>
    </oc>
    <nc r="C90" t="inlineStr">
      <is>
        <t>6.2.24</t>
      </is>
    </nc>
  </rcc>
  <rcc rId="11758" sId="2">
    <oc r="C91">
      <f>B91 &amp; "." &amp;  A91 &amp; "." &amp; RIGHT(YEAR(G91), 2)</f>
    </oc>
    <nc r="C91" t="inlineStr">
      <is>
        <t>6.2.24</t>
      </is>
    </nc>
  </rcc>
  <rcc rId="11759" sId="2">
    <oc r="C92">
      <f>B92 &amp; "." &amp;  A92 &amp; "." &amp; RIGHT(YEAR(G92), 2)</f>
    </oc>
    <nc r="C92" t="inlineStr">
      <is>
        <t>6.2.24</t>
      </is>
    </nc>
  </rcc>
  <rcc rId="11760" sId="2">
    <oc r="C93">
      <f>B93 &amp; "." &amp;  A93 &amp; "." &amp; RIGHT(YEAR(G93), 2)</f>
    </oc>
    <nc r="C93" t="inlineStr">
      <is>
        <t>6.2.24</t>
      </is>
    </nc>
  </rcc>
  <rcc rId="11761" sId="2">
    <oc r="C94">
      <f>B94 &amp; "." &amp;  A94 &amp; "." &amp; RIGHT(YEAR(G94), 2)</f>
    </oc>
    <nc r="C94" t="inlineStr">
      <is>
        <t>6.2.24</t>
      </is>
    </nc>
  </rcc>
  <rcc rId="11762" sId="2">
    <oc r="C95">
      <f>B95 &amp; "." &amp;  A95 &amp; "." &amp; RIGHT(YEAR(G95), 2)</f>
    </oc>
    <nc r="C95" t="inlineStr">
      <is>
        <t>6.2.24</t>
      </is>
    </nc>
  </rcc>
  <rcc rId="11763" sId="2">
    <oc r="C96">
      <f>B96 &amp; "." &amp;  A96 &amp; "." &amp; RIGHT(YEAR(G96), 2)</f>
    </oc>
    <nc r="C96" t="inlineStr">
      <is>
        <t>6.2.24</t>
      </is>
    </nc>
  </rcc>
  <rcc rId="11764" sId="2">
    <oc r="C97">
      <f>B97 &amp; "." &amp;  A97 &amp; "." &amp; RIGHT(YEAR(G97), 2)</f>
    </oc>
    <nc r="C97" t="inlineStr">
      <is>
        <t>6.2.24</t>
      </is>
    </nc>
  </rcc>
  <rcc rId="11765" sId="2">
    <oc r="C98">
      <f>B98 &amp; "." &amp;  A98 &amp; "." &amp; RIGHT(YEAR(G98), 2)</f>
    </oc>
    <nc r="C98" t="inlineStr">
      <is>
        <t>6.2.24</t>
      </is>
    </nc>
  </rcc>
  <rcc rId="11766" sId="2">
    <oc r="C99">
      <f>B99 &amp; "." &amp;  A99 &amp; "." &amp; RIGHT(YEAR(G99), 2)</f>
    </oc>
    <nc r="C99" t="inlineStr">
      <is>
        <t>6.2.24</t>
      </is>
    </nc>
  </rcc>
  <rcc rId="11767" sId="2">
    <oc r="C100">
      <f>B100 &amp; "." &amp;  A100 &amp; "." &amp; RIGHT(YEAR(G100), 2)</f>
    </oc>
    <nc r="C100" t="inlineStr">
      <is>
        <t>6.2.24</t>
      </is>
    </nc>
  </rcc>
  <rcc rId="11768" sId="2">
    <oc r="C101">
      <f>B101 &amp; "." &amp;  A101 &amp; "." &amp; RIGHT(YEAR(G101), 2)</f>
    </oc>
    <nc r="C101" t="inlineStr">
      <is>
        <t>6.2.24</t>
      </is>
    </nc>
  </rcc>
  <rcc rId="11769" sId="2">
    <oc r="C102">
      <f>B102 &amp; "." &amp;  A102 &amp; "." &amp; RIGHT(YEAR(G102), 2)</f>
    </oc>
    <nc r="C102" t="inlineStr">
      <is>
        <t>6.2.24</t>
      </is>
    </nc>
  </rcc>
  <rcc rId="11770" sId="2">
    <oc r="C103">
      <f>B103 &amp; "." &amp;  A103 &amp; "." &amp; RIGHT(YEAR(G103), 2)</f>
    </oc>
    <nc r="C103" t="inlineStr">
      <is>
        <t>6.2.24</t>
      </is>
    </nc>
  </rcc>
  <rcc rId="11771" sId="2">
    <oc r="C104">
      <f>B104 &amp; "." &amp;  A104 &amp; "." &amp; RIGHT(YEAR(G104), 2)</f>
    </oc>
    <nc r="C104" t="inlineStr">
      <is>
        <t>6.2.24</t>
      </is>
    </nc>
  </rcc>
  <rcc rId="11772" sId="2">
    <oc r="C105">
      <f>B105 &amp; "." &amp;  A105 &amp; "." &amp; RIGHT(YEAR(G105), 2)</f>
    </oc>
    <nc r="C105" t="inlineStr">
      <is>
        <t>6.2.24</t>
      </is>
    </nc>
  </rcc>
  <rcc rId="11773" sId="2">
    <oc r="C106">
      <f>B106 &amp; "." &amp;  A106 &amp; "." &amp; RIGHT(YEAR(G106), 2)</f>
    </oc>
    <nc r="C106" t="inlineStr">
      <is>
        <t>6.2.24</t>
      </is>
    </nc>
  </rcc>
  <rcc rId="11774" sId="2">
    <oc r="C107">
      <f>B107 &amp; "." &amp;  A107 &amp; "." &amp; RIGHT(YEAR(G107), 2)</f>
    </oc>
    <nc r="C107" t="inlineStr">
      <is>
        <t>6.2.24</t>
      </is>
    </nc>
  </rcc>
  <rcc rId="11775" sId="2">
    <oc r="C108">
      <f>B108 &amp; "." &amp;  A108 &amp; "." &amp; RIGHT(YEAR(G108), 2)</f>
    </oc>
    <nc r="C108" t="inlineStr">
      <is>
        <t>6.2.24</t>
      </is>
    </nc>
  </rcc>
  <rcc rId="11776" sId="2">
    <oc r="C109">
      <f>B109 &amp; "." &amp;  A109 &amp; "." &amp; RIGHT(YEAR(G109), 2)</f>
    </oc>
    <nc r="C109" t="inlineStr">
      <is>
        <t>6.2.24</t>
      </is>
    </nc>
  </rcc>
  <rcc rId="11777" sId="2">
    <oc r="C110">
      <f>B110 &amp; "." &amp;  A110 &amp; "." &amp; RIGHT(YEAR(G110), 2)</f>
    </oc>
    <nc r="C110" t="inlineStr">
      <is>
        <t>6.2.24</t>
      </is>
    </nc>
  </rcc>
  <rcc rId="11778" sId="2">
    <oc r="C111">
      <f>B111 &amp; "." &amp;  A111 &amp; "." &amp; RIGHT(YEAR(G111), 2)</f>
    </oc>
    <nc r="C111" t="inlineStr">
      <is>
        <t>6.2.24</t>
      </is>
    </nc>
  </rcc>
  <rcc rId="11779" sId="2">
    <oc r="C112">
      <f>B112 &amp; "." &amp;  A112 &amp; "." &amp; RIGHT(YEAR(G112), 2)</f>
    </oc>
    <nc r="C112" t="inlineStr">
      <is>
        <t>6.2.24</t>
      </is>
    </nc>
  </rcc>
  <rcc rId="11780" sId="2">
    <oc r="C113">
      <f>B113 &amp; "." &amp;  A113 &amp; "." &amp; RIGHT(YEAR(G113), 2)</f>
    </oc>
    <nc r="C113" t="inlineStr">
      <is>
        <t>6.2.24</t>
      </is>
    </nc>
  </rcc>
  <rcc rId="11781" sId="2">
    <oc r="C114">
      <f>B114 &amp; "." &amp;  A114 &amp; "." &amp; RIGHT(YEAR(G114), 2)</f>
    </oc>
    <nc r="C114" t="inlineStr">
      <is>
        <t>6.2.24</t>
      </is>
    </nc>
  </rcc>
  <rcc rId="11782" sId="2">
    <oc r="C115">
      <f>B115 &amp; "." &amp;  A115 &amp; "." &amp; RIGHT(YEAR(G115), 2)</f>
    </oc>
    <nc r="C115" t="inlineStr">
      <is>
        <t>6.2.24</t>
      </is>
    </nc>
  </rcc>
  <rcc rId="11783" sId="2">
    <oc r="C116">
      <f>B116 &amp; "." &amp;  A116 &amp; "." &amp; RIGHT(YEAR(G116), 2)</f>
    </oc>
    <nc r="C116" t="inlineStr">
      <is>
        <t>6.2.24</t>
      </is>
    </nc>
  </rcc>
  <rcc rId="11784" sId="2">
    <oc r="C117">
      <f>B117 &amp; "." &amp;  A117 &amp; "." &amp; RIGHT(YEAR(G117), 2)</f>
    </oc>
    <nc r="C117" t="inlineStr">
      <is>
        <t>6.2.24</t>
      </is>
    </nc>
  </rcc>
  <rcc rId="11785" sId="2">
    <oc r="C118">
      <f>B118 &amp; "." &amp;  A118 &amp; "." &amp; RIGHT(YEAR(G118), 2)</f>
    </oc>
    <nc r="C118" t="inlineStr">
      <is>
        <t>6.2.24</t>
      </is>
    </nc>
  </rcc>
  <rcc rId="11786" sId="2">
    <oc r="C119">
      <f>B119 &amp; "." &amp;  A119 &amp; "." &amp; RIGHT(YEAR(G119), 2)</f>
    </oc>
    <nc r="C119" t="inlineStr">
      <is>
        <t>6.2.24</t>
      </is>
    </nc>
  </rcc>
  <rcc rId="11787" sId="2">
    <oc r="C120">
      <f>B120 &amp; "." &amp;  A120 &amp; "." &amp; RIGHT(YEAR(G120), 2)</f>
    </oc>
    <nc r="C120" t="inlineStr">
      <is>
        <t>6.2.24</t>
      </is>
    </nc>
  </rcc>
  <rcc rId="11788" sId="2">
    <oc r="C121">
      <f>B121 &amp; "." &amp;  A121 &amp; "." &amp; RIGHT(YEAR(G121), 2)</f>
    </oc>
    <nc r="C121" t="inlineStr">
      <is>
        <t>6.2.24</t>
      </is>
    </nc>
  </rcc>
  <rcc rId="11789" sId="2">
    <oc r="C122">
      <f>B122 &amp; "." &amp;  A122 &amp; "." &amp; RIGHT(YEAR(G122), 2)</f>
    </oc>
    <nc r="C122" t="inlineStr">
      <is>
        <t>6.2.24</t>
      </is>
    </nc>
  </rcc>
  <rcc rId="11790" sId="2">
    <oc r="C123">
      <f>B123 &amp; "." &amp;  A123 &amp; "." &amp; RIGHT(YEAR(G123), 2)</f>
    </oc>
    <nc r="C123" t="inlineStr">
      <is>
        <t>6.2.24</t>
      </is>
    </nc>
  </rcc>
  <rcc rId="11791" sId="2">
    <oc r="C124">
      <f>B124 &amp; "." &amp;  A124 &amp; "." &amp; RIGHT(YEAR(G124), 2)</f>
    </oc>
    <nc r="C124" t="inlineStr">
      <is>
        <t>6.2.24</t>
      </is>
    </nc>
  </rcc>
  <rcc rId="11792" sId="2">
    <oc r="C125">
      <f>B125 &amp; "." &amp;  A125 &amp; "." &amp; RIGHT(YEAR(G125), 2)</f>
    </oc>
    <nc r="C125" t="inlineStr">
      <is>
        <t>6.2.24</t>
      </is>
    </nc>
  </rcc>
  <rcc rId="11793" sId="2">
    <oc r="C126">
      <f>B126 &amp; "." &amp;  A126 &amp; "." &amp; RIGHT(YEAR(G126), 2)</f>
    </oc>
    <nc r="C126" t="inlineStr">
      <is>
        <t>6.2.24</t>
      </is>
    </nc>
  </rcc>
  <rcc rId="11794" sId="2">
    <oc r="C127">
      <f>B127 &amp; "." &amp;  A127 &amp; "." &amp; RIGHT(YEAR(G127), 2)</f>
    </oc>
    <nc r="C127" t="inlineStr">
      <is>
        <t>6.2.24</t>
      </is>
    </nc>
  </rcc>
  <rcc rId="11795" sId="2">
    <oc r="C128">
      <f>B128 &amp; "." &amp;  A128 &amp; "." &amp; RIGHT(YEAR(G128), 2)</f>
    </oc>
    <nc r="C128" t="inlineStr">
      <is>
        <t>6.2.24</t>
      </is>
    </nc>
  </rcc>
  <rcc rId="11796" sId="2">
    <oc r="C129">
      <f>B129 &amp; "." &amp;  A129 &amp; "." &amp; RIGHT(YEAR(G129), 2)</f>
    </oc>
    <nc r="C129" t="inlineStr">
      <is>
        <t>6.2.24</t>
      </is>
    </nc>
  </rcc>
  <rcc rId="11797" sId="2">
    <oc r="C130">
      <f>B130 &amp; "." &amp;  A130 &amp; "." &amp; RIGHT(YEAR(G130), 2)</f>
    </oc>
    <nc r="C130" t="inlineStr">
      <is>
        <t>6.2.24</t>
      </is>
    </nc>
  </rcc>
  <rcc rId="11798" sId="2">
    <oc r="C132">
      <f>B131 &amp; "." &amp;  A131 &amp; "." &amp; RIGHT(YEAR(G131), 2)</f>
    </oc>
    <nc r="C132" t="inlineStr">
      <is>
        <t>6.2.24</t>
      </is>
    </nc>
  </rcc>
  <rcc rId="11799" sId="2">
    <oc r="C134">
      <f>B132 &amp; "." &amp;  A132 &amp; "." &amp; RIGHT(YEAR(G132), 2)</f>
    </oc>
    <nc r="C134" t="inlineStr">
      <is>
        <t>6.2.24</t>
      </is>
    </nc>
  </rcc>
  <rcc rId="11800" sId="2">
    <oc r="C135">
      <f>B133 &amp; "." &amp;  A133 &amp; "." &amp; RIGHT(YEAR(G133), 2)</f>
    </oc>
    <nc r="C135" t="inlineStr">
      <is>
        <t>6.2.24</t>
      </is>
    </nc>
  </rcc>
  <rcc rId="11801" sId="2">
    <oc r="C136">
      <f>B134 &amp; "." &amp;  A134 &amp; "." &amp; RIGHT(YEAR(G134), 2)</f>
    </oc>
    <nc r="C136" t="inlineStr">
      <is>
        <t>6.2.24</t>
      </is>
    </nc>
  </rcc>
  <rcc rId="11802" sId="2">
    <oc r="C139">
      <f>B135 &amp; "." &amp;  A135 &amp; "." &amp; RIGHT(YEAR(G135), 2)</f>
    </oc>
    <nc r="C139" t="inlineStr">
      <is>
        <t>6.2.24</t>
      </is>
    </nc>
  </rcc>
  <rcc rId="11803" sId="2">
    <oc r="C141">
      <f>B136 &amp; "." &amp;  A136 &amp; "." &amp; RIGHT(YEAR(G136), 2)</f>
    </oc>
    <nc r="C141" t="inlineStr">
      <is>
        <t>6.2.24</t>
      </is>
    </nc>
  </rcc>
  <rcc rId="11804" sId="2">
    <oc r="C146">
      <f>B137 &amp; "." &amp;  A137 &amp; "." &amp; RIGHT(YEAR(G137), 2)</f>
    </oc>
    <nc r="C146" t="inlineStr">
      <is>
        <t>6.2.24</t>
      </is>
    </nc>
  </rcc>
  <rcc rId="11805" sId="2">
    <oc r="C147">
      <f>B138 &amp; "." &amp;  A138 &amp; "." &amp; RIGHT(YEAR(G138), 2)</f>
    </oc>
    <nc r="C147" t="inlineStr">
      <is>
        <t>6.2.24</t>
      </is>
    </nc>
  </rcc>
  <rcc rId="11806" sId="2">
    <oc r="C151">
      <f>B139 &amp; "." &amp;  A139 &amp; "." &amp; RIGHT(YEAR(G139), 2)</f>
    </oc>
    <nc r="C151" t="inlineStr">
      <is>
        <t>6.2.24</t>
      </is>
    </nc>
  </rcc>
  <rcc rId="11807" sId="2">
    <oc r="C153">
      <f>B140 &amp; "." &amp;  A140 &amp; "." &amp; RIGHT(YEAR(G140), 2)</f>
    </oc>
    <nc r="C153" t="inlineStr">
      <is>
        <t>6.2.24</t>
      </is>
    </nc>
  </rcc>
  <rcc rId="11808" sId="2">
    <oc r="C154">
      <f>B141 &amp; "." &amp;  A141 &amp; "." &amp; RIGHT(YEAR(G141), 2)</f>
    </oc>
    <nc r="C154" t="inlineStr">
      <is>
        <t>6.2.24</t>
      </is>
    </nc>
  </rcc>
  <rcc rId="11809" sId="2">
    <oc r="C160">
      <f>B142 &amp; "." &amp;  A142 &amp; "." &amp; RIGHT(YEAR(G142), 2)</f>
    </oc>
    <nc r="C160" t="inlineStr">
      <is>
        <t>6.2.24</t>
      </is>
    </nc>
  </rcc>
  <rcc rId="11810" sId="2">
    <oc r="C161">
      <f>B143 &amp; "." &amp;  A143 &amp; "." &amp; RIGHT(YEAR(G143), 2)</f>
    </oc>
    <nc r="C161" t="inlineStr">
      <is>
        <t>6.2.24</t>
      </is>
    </nc>
  </rcc>
  <rcc rId="11811" sId="2">
    <oc r="C164">
      <f>B144 &amp; "." &amp;  A144 &amp; "." &amp; RIGHT(YEAR(G144), 2)</f>
    </oc>
    <nc r="C164" t="inlineStr">
      <is>
        <t>6.2.24</t>
      </is>
    </nc>
  </rcc>
  <rcc rId="11812" sId="2">
    <oc r="C165">
      <f>B145 &amp; "." &amp;  A145 &amp; "." &amp; RIGHT(YEAR(G145), 2)</f>
    </oc>
    <nc r="C165" t="inlineStr">
      <is>
        <t>6.2.24</t>
      </is>
    </nc>
  </rcc>
  <rcc rId="11813" sId="2">
    <oc r="C167">
      <f>B146 &amp; "." &amp;  A146 &amp; "." &amp; RIGHT(YEAR(G146), 2)</f>
    </oc>
    <nc r="C167" t="inlineStr">
      <is>
        <t>6.2.24</t>
      </is>
    </nc>
  </rcc>
  <rcc rId="11814" sId="2">
    <oc r="C169">
      <f>B147 &amp; "." &amp;  A147 &amp; "." &amp; RIGHT(YEAR(G147), 2)</f>
    </oc>
    <nc r="C169" t="inlineStr">
      <is>
        <t>6.2.24</t>
      </is>
    </nc>
  </rcc>
  <rcc rId="11815" sId="2">
    <oc r="C171">
      <f>B148 &amp; "." &amp;  A148 &amp; "." &amp; RIGHT(YEAR(G148), 2)</f>
    </oc>
    <nc r="C171" t="inlineStr">
      <is>
        <t>6.2.24</t>
      </is>
    </nc>
  </rcc>
  <rcc rId="11816" sId="2">
    <oc r="C175">
      <f>B149 &amp; "." &amp;  A149 &amp; "." &amp; RIGHT(YEAR(G149), 2)</f>
    </oc>
    <nc r="C175" t="inlineStr">
      <is>
        <t>6.2.24</t>
      </is>
    </nc>
  </rcc>
  <rcc rId="11817" sId="2">
    <oc r="C176">
      <f>B150 &amp; "." &amp;  A150 &amp; "." &amp; RIGHT(YEAR(G150), 2)</f>
    </oc>
    <nc r="C176" t="inlineStr">
      <is>
        <t>6.2.24</t>
      </is>
    </nc>
  </rcc>
  <rcc rId="11818" sId="2">
    <oc r="C178">
      <f>B151 &amp; "." &amp;  A151 &amp; "." &amp; RIGHT(YEAR(G151), 2)</f>
    </oc>
    <nc r="C178" t="inlineStr">
      <is>
        <t>6.2.24</t>
      </is>
    </nc>
  </rcc>
  <rcc rId="11819" sId="2">
    <oc r="C179">
      <f>B152 &amp; "." &amp;  A152 &amp; "." &amp; RIGHT(YEAR(G152), 2)</f>
    </oc>
    <nc r="C179" t="inlineStr">
      <is>
        <t>6.2.24</t>
      </is>
    </nc>
  </rcc>
  <rcc rId="11820" sId="2">
    <oc r="C131">
      <f>B153 &amp; "." &amp;  A153 &amp; "." &amp; RIGHT(YEAR(G153), 2)</f>
    </oc>
    <nc r="C131" t="inlineStr">
      <is>
        <t>7.2.24</t>
      </is>
    </nc>
  </rcc>
  <rcc rId="11821" sId="2">
    <oc r="C133">
      <f>B154 &amp; "." &amp;  A154 &amp; "." &amp; RIGHT(YEAR(G154), 2)</f>
    </oc>
    <nc r="C133" t="inlineStr">
      <is>
        <t>7.2.24</t>
      </is>
    </nc>
  </rcc>
  <rcc rId="11822" sId="2">
    <oc r="C137">
      <f>B155 &amp; "." &amp;  A155 &amp; "." &amp; RIGHT(YEAR(G155), 2)</f>
    </oc>
    <nc r="C137" t="inlineStr">
      <is>
        <t>7.2.24</t>
      </is>
    </nc>
  </rcc>
  <rcc rId="11823" sId="2">
    <oc r="C138">
      <f>B156 &amp; "." &amp;  A156 &amp; "." &amp; RIGHT(YEAR(G156), 2)</f>
    </oc>
    <nc r="C138" t="inlineStr">
      <is>
        <t>7.2.24</t>
      </is>
    </nc>
  </rcc>
  <rcc rId="11824" sId="2">
    <oc r="C140">
      <f>B157 &amp; "." &amp;  A157 &amp; "." &amp; RIGHT(YEAR(G157), 2)</f>
    </oc>
    <nc r="C140" t="inlineStr">
      <is>
        <t>7.2.24</t>
      </is>
    </nc>
  </rcc>
  <rcc rId="11825" sId="2">
    <oc r="C142">
      <f>B158 &amp; "." &amp;  A158 &amp; "." &amp; RIGHT(YEAR(G158), 2)</f>
    </oc>
    <nc r="C142" t="inlineStr">
      <is>
        <t>8.2.24</t>
      </is>
    </nc>
  </rcc>
  <rcc rId="11826" sId="2">
    <oc r="C144">
      <f>B159 &amp; "." &amp;  A159 &amp; "." &amp; RIGHT(YEAR(G159), 2)</f>
    </oc>
    <nc r="C144" t="inlineStr">
      <is>
        <t>8.2.24</t>
      </is>
    </nc>
  </rcc>
  <rcc rId="11827" sId="2">
    <oc r="C148">
      <f>B160 &amp; "." &amp;  A160 &amp; "." &amp; RIGHT(YEAR(G160), 2)</f>
    </oc>
    <nc r="C148" t="inlineStr">
      <is>
        <t>8.2.24</t>
      </is>
    </nc>
  </rcc>
  <rcc rId="11828" sId="2">
    <oc r="C149">
      <f>B161 &amp; "." &amp;  A161 &amp; "." &amp; RIGHT(YEAR(G161), 2)</f>
    </oc>
    <nc r="C149" t="inlineStr">
      <is>
        <t>8.2.24</t>
      </is>
    </nc>
  </rcc>
  <rcc rId="11829" sId="2">
    <oc r="C150">
      <f>B162 &amp; "." &amp;  A162 &amp; "." &amp; RIGHT(YEAR(G162), 2)</f>
    </oc>
    <nc r="C150" t="inlineStr">
      <is>
        <t>8.2.24</t>
      </is>
    </nc>
  </rcc>
  <rcc rId="11830" sId="2">
    <oc r="C152">
      <f>B163 &amp; "." &amp;  A163 &amp; "." &amp; RIGHT(YEAR(G163), 2)</f>
    </oc>
    <nc r="C152" t="inlineStr">
      <is>
        <t>8.2.24</t>
      </is>
    </nc>
  </rcc>
  <rcc rId="11831" sId="2">
    <oc r="C155">
      <f>B164 &amp; "." &amp;  A164 &amp; "." &amp; RIGHT(YEAR(G164), 2)</f>
    </oc>
    <nc r="C155" t="inlineStr">
      <is>
        <t>8.2.24</t>
      </is>
    </nc>
  </rcc>
  <rcc rId="11832" sId="2">
    <oc r="C156">
      <f>B165 &amp; "." &amp;  A165 &amp; "." &amp; RIGHT(YEAR(G165), 2)</f>
    </oc>
    <nc r="C156" t="inlineStr">
      <is>
        <t>8.2.24</t>
      </is>
    </nc>
  </rcc>
  <rcc rId="11833" sId="2">
    <oc r="C157">
      <f>B166 &amp; "." &amp;  A166 &amp; "." &amp; RIGHT(YEAR(G166), 2)</f>
    </oc>
    <nc r="C157" t="inlineStr">
      <is>
        <t>8.2.24</t>
      </is>
    </nc>
  </rcc>
  <rcc rId="11834" sId="2">
    <oc r="C158">
      <f>B167 &amp; "." &amp;  A167 &amp; "." &amp; RIGHT(YEAR(G167), 2)</f>
    </oc>
    <nc r="C158" t="inlineStr">
      <is>
        <t>8.2.24</t>
      </is>
    </nc>
  </rcc>
  <rcc rId="11835" sId="2">
    <oc r="C159">
      <f>B168 &amp; "." &amp;  A168 &amp; "." &amp; RIGHT(YEAR(G168), 2)</f>
    </oc>
    <nc r="C159" t="inlineStr">
      <is>
        <t>8.2.24</t>
      </is>
    </nc>
  </rcc>
  <rcc rId="11836" sId="2">
    <oc r="C162">
      <f>B169 &amp; "." &amp;  A169 &amp; "." &amp; RIGHT(YEAR(G169), 2)</f>
    </oc>
    <nc r="C162" t="inlineStr">
      <is>
        <t>8.2.24</t>
      </is>
    </nc>
  </rcc>
  <rcc rId="11837" sId="2">
    <oc r="C163">
      <f>B170 &amp; "." &amp;  A170 &amp; "." &amp; RIGHT(YEAR(G170), 2)</f>
    </oc>
    <nc r="C163" t="inlineStr">
      <is>
        <t>8.2.24</t>
      </is>
    </nc>
  </rcc>
  <rcc rId="11838" sId="2">
    <oc r="C166">
      <f>B171 &amp; "." &amp;  A171 &amp; "." &amp; RIGHT(YEAR(G171), 2)</f>
    </oc>
    <nc r="C166" t="inlineStr">
      <is>
        <t>8.2.24</t>
      </is>
    </nc>
  </rcc>
  <rcc rId="11839" sId="2">
    <oc r="C168">
      <f>B172 &amp; "." &amp;  A172 &amp; "." &amp; RIGHT(YEAR(G172), 2)</f>
    </oc>
    <nc r="C168" t="inlineStr">
      <is>
        <t>8.2.24</t>
      </is>
    </nc>
  </rcc>
  <rcc rId="11840" sId="2">
    <oc r="C170">
      <f>B173 &amp; "." &amp;  A173 &amp; "." &amp; RIGHT(YEAR(G173), 2)</f>
    </oc>
    <nc r="C170" t="inlineStr">
      <is>
        <t>8.2.24</t>
      </is>
    </nc>
  </rcc>
  <rcc rId="11841" sId="2">
    <oc r="C172">
      <f>B174 &amp; "." &amp;  A174 &amp; "." &amp; RIGHT(YEAR(G174), 2)</f>
    </oc>
    <nc r="C172" t="inlineStr">
      <is>
        <t>8.2.24</t>
      </is>
    </nc>
  </rcc>
  <rcc rId="11842" sId="2">
    <oc r="C173">
      <f>B175 &amp; "." &amp;  A175 &amp; "." &amp; RIGHT(YEAR(G175), 2)</f>
    </oc>
    <nc r="C173" t="inlineStr">
      <is>
        <t>8.2.24</t>
      </is>
    </nc>
  </rcc>
  <rcc rId="11843" sId="2">
    <oc r="C174">
      <f>B176 &amp; "." &amp;  A176 &amp; "." &amp; RIGHT(YEAR(G176), 2)</f>
    </oc>
    <nc r="C174" t="inlineStr">
      <is>
        <t>8.2.24</t>
      </is>
    </nc>
  </rcc>
  <rcc rId="11844" sId="2">
    <oc r="C177">
      <f>B177 &amp; "." &amp;  A177 &amp; "." &amp; RIGHT(YEAR(G177), 2)</f>
    </oc>
    <nc r="C177" t="inlineStr">
      <is>
        <t>8.2.24</t>
      </is>
    </nc>
  </rcc>
  <rcc rId="11845" sId="2">
    <oc r="C180">
      <f>B178 &amp; "." &amp;  A178 &amp; "." &amp; RIGHT(YEAR(G178), 2)</f>
    </oc>
    <nc r="C180" t="inlineStr">
      <is>
        <t>8.2.24</t>
      </is>
    </nc>
  </rcc>
  <rcc rId="11846" sId="2">
    <oc r="C181">
      <f>B179 &amp; "." &amp;  A179 &amp; "." &amp; RIGHT(YEAR(G179), 2)</f>
    </oc>
    <nc r="C181" t="inlineStr">
      <is>
        <t>9.2.24</t>
      </is>
    </nc>
  </rcc>
  <rcc rId="11847" sId="2">
    <oc r="C183">
      <f>B180 &amp; "." &amp;  A180 &amp; "." &amp; RIGHT(YEAR(G180), 2)</f>
    </oc>
    <nc r="C183" t="inlineStr">
      <is>
        <t>9.2.24</t>
      </is>
    </nc>
  </rcc>
  <rcc rId="11848" sId="2">
    <oc r="C185">
      <f>B181 &amp; "." &amp;  A181 &amp; "." &amp; RIGHT(YEAR(G181), 2)</f>
    </oc>
    <nc r="C185" t="inlineStr">
      <is>
        <t>9.2.24</t>
      </is>
    </nc>
  </rcc>
  <rcc rId="11849" sId="2">
    <oc r="C187">
      <f>B182 &amp; "." &amp;  A182 &amp; "." &amp; RIGHT(YEAR(G182), 2)</f>
    </oc>
    <nc r="C187" t="inlineStr">
      <is>
        <t>9.2.24</t>
      </is>
    </nc>
  </rcc>
  <rcc rId="11850" sId="2">
    <oc r="C188">
      <f>B183 &amp; "." &amp;  A183 &amp; "." &amp; RIGHT(YEAR(G183), 2)</f>
    </oc>
    <nc r="C188" t="inlineStr">
      <is>
        <t>9.2.24</t>
      </is>
    </nc>
  </rcc>
  <rcc rId="11851" sId="2">
    <oc r="C191">
      <f>B184 &amp; "." &amp;  A184 &amp; "." &amp; RIGHT(YEAR(G184), 2)</f>
    </oc>
    <nc r="C191" t="inlineStr">
      <is>
        <t>9.2.24</t>
      </is>
    </nc>
  </rcc>
  <rcc rId="11852" sId="2">
    <oc r="C193">
      <f>B185 &amp; "." &amp;  A185 &amp; "." &amp; RIGHT(YEAR(G185), 2)</f>
    </oc>
    <nc r="C193" t="inlineStr">
      <is>
        <t>9.2.24</t>
      </is>
    </nc>
  </rcc>
  <rcc rId="11853" sId="2">
    <oc r="C195">
      <f>B186 &amp; "." &amp;  A186 &amp; "." &amp; RIGHT(YEAR(G186), 2)</f>
    </oc>
    <nc r="C195" t="inlineStr">
      <is>
        <t>9.2.24</t>
      </is>
    </nc>
  </rcc>
  <rcc rId="11854" sId="2">
    <oc r="C197">
      <f>B187 &amp; "." &amp;  A187 &amp; "." &amp; RIGHT(YEAR(G187), 2)</f>
    </oc>
    <nc r="C197" t="inlineStr">
      <is>
        <t>9.2.24</t>
      </is>
    </nc>
  </rcc>
  <rcc rId="11855" sId="2">
    <oc r="C199">
      <f>B188 &amp; "." &amp;  A188 &amp; "." &amp; RIGHT(YEAR(G188), 2)</f>
    </oc>
    <nc r="C199" t="inlineStr">
      <is>
        <t>9.2.24</t>
      </is>
    </nc>
  </rcc>
  <rcc rId="11856" sId="2">
    <oc r="C203">
      <f>B189 &amp; "." &amp;  A189 &amp; "." &amp; RIGHT(YEAR(G189), 2)</f>
    </oc>
    <nc r="C203" t="inlineStr">
      <is>
        <t>9.2.24</t>
      </is>
    </nc>
  </rcc>
  <rcc rId="11857" sId="2">
    <oc r="C206">
      <f>B190 &amp; "." &amp;  A190 &amp; "." &amp; RIGHT(YEAR(G190), 2)</f>
    </oc>
    <nc r="C206" t="inlineStr">
      <is>
        <t>9.2.24</t>
      </is>
    </nc>
  </rcc>
  <rcc rId="11858" sId="2">
    <oc r="C207">
      <f>B191 &amp; "." &amp;  A191 &amp; "." &amp; RIGHT(YEAR(G191), 2)</f>
    </oc>
    <nc r="C207" t="inlineStr">
      <is>
        <t>9.2.24</t>
      </is>
    </nc>
  </rcc>
  <rcc rId="11859" sId="2">
    <oc r="C208">
      <f>B192 &amp; "." &amp;  A192 &amp; "." &amp; RIGHT(YEAR(G192), 2)</f>
    </oc>
    <nc r="C208" t="inlineStr">
      <is>
        <t>9.2.24</t>
      </is>
    </nc>
  </rcc>
  <rcc rId="11860" sId="2">
    <oc r="C209">
      <f>B193 &amp; "." &amp;  A193 &amp; "." &amp; RIGHT(YEAR(G193), 2)</f>
    </oc>
    <nc r="C209" t="inlineStr">
      <is>
        <t>9.2.24</t>
      </is>
    </nc>
  </rcc>
  <rcc rId="11861" sId="2">
    <oc r="C212">
      <f>B194 &amp; "." &amp;  A194 &amp; "." &amp; RIGHT(YEAR(G194), 2)</f>
    </oc>
    <nc r="C212" t="inlineStr">
      <is>
        <t>9.2.24</t>
      </is>
    </nc>
  </rcc>
  <rcc rId="11862" sId="2">
    <oc r="C219">
      <f>B195 &amp; "." &amp;  A195 &amp; "." &amp; RIGHT(YEAR(G195), 2)</f>
    </oc>
    <nc r="C219" t="inlineStr">
      <is>
        <t>9.2.24</t>
      </is>
    </nc>
  </rcc>
  <rcc rId="11863" sId="2">
    <oc r="C223">
      <f>B196 &amp; "." &amp;  A196 &amp; "." &amp; RIGHT(YEAR(G196), 2)</f>
    </oc>
    <nc r="C223" t="inlineStr">
      <is>
        <t>9.2.24</t>
      </is>
    </nc>
  </rcc>
  <rcc rId="11864" sId="2">
    <oc r="C226">
      <f>B197 &amp; "." &amp;  A197 &amp; "." &amp; RIGHT(YEAR(G197), 2)</f>
    </oc>
    <nc r="C226" t="inlineStr">
      <is>
        <t>9.2.24</t>
      </is>
    </nc>
  </rcc>
  <rcc rId="11865" sId="2">
    <oc r="C227">
      <f>B198 &amp; "." &amp;  A198 &amp; "." &amp; RIGHT(YEAR(G198), 2)</f>
    </oc>
    <nc r="C227" t="inlineStr">
      <is>
        <t>9.2.24</t>
      </is>
    </nc>
  </rcc>
  <rcc rId="11866" sId="2">
    <oc r="C228">
      <f>B199 &amp; "." &amp;  A199 &amp; "." &amp; RIGHT(YEAR(G199), 2)</f>
    </oc>
    <nc r="C228" t="inlineStr">
      <is>
        <t>9.2.24</t>
      </is>
    </nc>
  </rcc>
  <rcc rId="11867" sId="2">
    <oc r="C229">
      <f>B200 &amp; "." &amp;  A200 &amp; "." &amp; RIGHT(YEAR(G200), 2)</f>
    </oc>
    <nc r="C229" t="inlineStr">
      <is>
        <t>9.2.24</t>
      </is>
    </nc>
  </rcc>
  <rcc rId="11868" sId="2">
    <oc r="C235">
      <f>B201 &amp; "." &amp;  A201 &amp; "." &amp; RIGHT(YEAR(G201), 2)</f>
    </oc>
    <nc r="C235" t="inlineStr">
      <is>
        <t>9.2.24</t>
      </is>
    </nc>
  </rcc>
  <rcc rId="11869" sId="2">
    <oc r="C236">
      <f>B202 &amp; "." &amp;  A202 &amp; "." &amp; RIGHT(YEAR(G202), 2)</f>
    </oc>
    <nc r="C236" t="inlineStr">
      <is>
        <t>9.2.24</t>
      </is>
    </nc>
  </rcc>
  <rcc rId="11870" sId="2">
    <oc r="C237">
      <f>B203 &amp; "." &amp;  A203 &amp; "." &amp; RIGHT(YEAR(G203), 2)</f>
    </oc>
    <nc r="C237" t="inlineStr">
      <is>
        <t>9.2.24</t>
      </is>
    </nc>
  </rcc>
  <rcc rId="11871" sId="2">
    <oc r="C239">
      <f>B204 &amp; "." &amp;  A204 &amp; "." &amp; RIGHT(YEAR(G204), 2)</f>
    </oc>
    <nc r="C239" t="inlineStr">
      <is>
        <t>9.2.24</t>
      </is>
    </nc>
  </rcc>
  <rcc rId="11872" sId="2">
    <oc r="C241">
      <f>B205 &amp; "." &amp;  A205 &amp; "." &amp; RIGHT(YEAR(G205), 2)</f>
    </oc>
    <nc r="C241" t="inlineStr">
      <is>
        <t>9.2.24</t>
      </is>
    </nc>
  </rcc>
  <rcc rId="11873" sId="2">
    <oc r="C242">
      <f>B206 &amp; "." &amp;  A206 &amp; "." &amp; RIGHT(YEAR(G206), 2)</f>
    </oc>
    <nc r="C242" t="inlineStr">
      <is>
        <t>9.2.24</t>
      </is>
    </nc>
  </rcc>
  <rcc rId="11874" sId="2">
    <oc r="C243">
      <f>B207 &amp; "." &amp;  A207 &amp; "." &amp; RIGHT(YEAR(G207), 2)</f>
    </oc>
    <nc r="C243" t="inlineStr">
      <is>
        <t>9.2.24</t>
      </is>
    </nc>
  </rcc>
  <rcc rId="11875" sId="2">
    <oc r="C244">
      <f>B208 &amp; "." &amp;  A208 &amp; "." &amp; RIGHT(YEAR(G208), 2)</f>
    </oc>
    <nc r="C244" t="inlineStr">
      <is>
        <t>9.2.24</t>
      </is>
    </nc>
  </rcc>
  <rcc rId="11876" sId="2">
    <oc r="C246">
      <f>B209 &amp; "." &amp;  A209 &amp; "." &amp; RIGHT(YEAR(G209), 2)</f>
    </oc>
    <nc r="C246" t="inlineStr">
      <is>
        <t>9.2.24</t>
      </is>
    </nc>
  </rcc>
  <rcc rId="11877" sId="2">
    <oc r="C247">
      <f>B210 &amp; "." &amp;  A210 &amp; "." &amp; RIGHT(YEAR(G210), 2)</f>
    </oc>
    <nc r="C247" t="inlineStr">
      <is>
        <t>9.2.24</t>
      </is>
    </nc>
  </rcc>
  <rcc rId="11878" sId="2">
    <oc r="C248">
      <f>B211 &amp; "." &amp;  A211 &amp; "." &amp; RIGHT(YEAR(G211), 2)</f>
    </oc>
    <nc r="C248" t="inlineStr">
      <is>
        <t>9.2.24</t>
      </is>
    </nc>
  </rcc>
  <rcc rId="11879" sId="2">
    <oc r="C249">
      <f>B212 &amp; "." &amp;  A212 &amp; "." &amp; RIGHT(YEAR(G212), 2)</f>
    </oc>
    <nc r="C249" t="inlineStr">
      <is>
        <t>9.2.24</t>
      </is>
    </nc>
  </rcc>
  <rcc rId="11880" sId="2">
    <oc r="C250">
      <f>B213 &amp; "." &amp;  A213 &amp; "." &amp; RIGHT(YEAR(G213), 2)</f>
    </oc>
    <nc r="C250" t="inlineStr">
      <is>
        <t>9.2.24</t>
      </is>
    </nc>
  </rcc>
  <rcc rId="11881" sId="2">
    <oc r="C251">
      <f>B214 &amp; "." &amp;  A214 &amp; "." &amp; RIGHT(YEAR(G214), 2)</f>
    </oc>
    <nc r="C251" t="inlineStr">
      <is>
        <t>9.2.24</t>
      </is>
    </nc>
  </rcc>
  <rcc rId="11882" sId="2">
    <oc r="C252">
      <f>B215 &amp; "." &amp;  A215 &amp; "." &amp; RIGHT(YEAR(G215), 2)</f>
    </oc>
    <nc r="C252" t="inlineStr">
      <is>
        <t>9.2.24</t>
      </is>
    </nc>
  </rcc>
  <rcc rId="11883" sId="2">
    <oc r="C253">
      <f>B216 &amp; "." &amp;  A216 &amp; "." &amp; RIGHT(YEAR(G216), 2)</f>
    </oc>
    <nc r="C253" t="inlineStr">
      <is>
        <t>9.2.24</t>
      </is>
    </nc>
  </rcc>
  <rcc rId="11884" sId="2">
    <oc r="C254">
      <f>B217 &amp; "." &amp;  A217 &amp; "." &amp; RIGHT(YEAR(G217), 2)</f>
    </oc>
    <nc r="C254" t="inlineStr">
      <is>
        <t>9.2.24</t>
      </is>
    </nc>
  </rcc>
  <rcc rId="11885" sId="2">
    <oc r="C255">
      <f>B218 &amp; "." &amp;  A218 &amp; "." &amp; RIGHT(YEAR(G218), 2)</f>
    </oc>
    <nc r="C255" t="inlineStr">
      <is>
        <t>9.2.24</t>
      </is>
    </nc>
  </rcc>
  <rcc rId="11886" sId="2">
    <oc r="C256">
      <f>B219 &amp; "." &amp;  A219 &amp; "." &amp; RIGHT(YEAR(G219), 2)</f>
    </oc>
    <nc r="C256" t="inlineStr">
      <is>
        <t>9.2.24</t>
      </is>
    </nc>
  </rcc>
  <rcc rId="11887" sId="2">
    <oc r="C257">
      <f>B220 &amp; "." &amp;  A220 &amp; "." &amp; RIGHT(YEAR(G220), 2)</f>
    </oc>
    <nc r="C257" t="inlineStr">
      <is>
        <t>9.2.24</t>
      </is>
    </nc>
  </rcc>
  <rcc rId="11888" sId="2">
    <oc r="C258">
      <f>B221 &amp; "." &amp;  A221 &amp; "." &amp; RIGHT(YEAR(G221), 2)</f>
    </oc>
    <nc r="C258" t="inlineStr">
      <is>
        <t>9.2.24</t>
      </is>
    </nc>
  </rcc>
  <rcc rId="11889" sId="2">
    <oc r="C259">
      <f>B222 &amp; "." &amp;  A222 &amp; "." &amp; RIGHT(YEAR(G222), 2)</f>
    </oc>
    <nc r="C259" t="inlineStr">
      <is>
        <t>9.2.24</t>
      </is>
    </nc>
  </rcc>
  <rcc rId="11890" sId="2">
    <oc r="C143">
      <f>B223 &amp; "." &amp;  A223 &amp; "." &amp; RIGHT(YEAR(G223), 2)</f>
    </oc>
    <nc r="C143" t="inlineStr">
      <is>
        <t>10.2.24</t>
      </is>
    </nc>
  </rcc>
  <rcc rId="11891" sId="2">
    <oc r="C145">
      <f>B224 &amp; "." &amp;  A224 &amp; "." &amp; RIGHT(YEAR(G224), 2)</f>
    </oc>
    <nc r="C145" t="inlineStr">
      <is>
        <t>10.2.24</t>
      </is>
    </nc>
  </rcc>
  <rcc rId="11892" sId="2">
    <oc r="C182">
      <f>B225 &amp; "." &amp;  A225 &amp; "." &amp; RIGHT(YEAR(G225), 2)</f>
    </oc>
    <nc r="C182" t="inlineStr">
      <is>
        <t>11.2.24</t>
      </is>
    </nc>
  </rcc>
  <rcc rId="11893" sId="2">
    <oc r="C184">
      <f>B226 &amp; "." &amp;  A226 &amp; "." &amp; RIGHT(YEAR(G226), 2)</f>
    </oc>
    <nc r="C184" t="inlineStr">
      <is>
        <t>11.2.24</t>
      </is>
    </nc>
  </rcc>
  <rcc rId="11894" sId="2">
    <oc r="C186">
      <f>B227 &amp; "." &amp;  A227 &amp; "." &amp; RIGHT(YEAR(G227), 2)</f>
    </oc>
    <nc r="C186" t="inlineStr">
      <is>
        <t>11.2.24</t>
      </is>
    </nc>
  </rcc>
  <rcc rId="11895" sId="2">
    <oc r="C189">
      <f>B228 &amp; "." &amp;  A228 &amp; "." &amp; RIGHT(YEAR(G228), 2)</f>
    </oc>
    <nc r="C189" t="inlineStr">
      <is>
        <t>11.2.24</t>
      </is>
    </nc>
  </rcc>
  <rcc rId="11896" sId="2">
    <oc r="C190">
      <f>B229 &amp; "." &amp;  A229 &amp; "." &amp; RIGHT(YEAR(G229), 2)</f>
    </oc>
    <nc r="C190" t="inlineStr">
      <is>
        <t>11.2.24</t>
      </is>
    </nc>
  </rcc>
  <rcc rId="11897" sId="2">
    <oc r="C192">
      <f>B230 &amp; "." &amp;  A230 &amp; "." &amp; RIGHT(YEAR(G230), 2)</f>
    </oc>
    <nc r="C192" t="inlineStr">
      <is>
        <t>11.2.24</t>
      </is>
    </nc>
  </rcc>
  <rcc rId="11898" sId="2">
    <oc r="C194">
      <f>B231 &amp; "." &amp;  A231 &amp; "." &amp; RIGHT(YEAR(G231), 2)</f>
    </oc>
    <nc r="C194" t="inlineStr">
      <is>
        <t>11.2.24</t>
      </is>
    </nc>
  </rcc>
  <rcc rId="11899" sId="2">
    <oc r="C196">
      <f>B232 &amp; "." &amp;  A232 &amp; "." &amp; RIGHT(YEAR(G232), 2)</f>
    </oc>
    <nc r="C196" t="inlineStr">
      <is>
        <t>11.2.24</t>
      </is>
    </nc>
  </rcc>
  <rcc rId="11900" sId="2">
    <oc r="C198">
      <f>B233 &amp; "." &amp;  A233 &amp; "." &amp; RIGHT(YEAR(G233), 2)</f>
    </oc>
    <nc r="C198" t="inlineStr">
      <is>
        <t>11.2.24</t>
      </is>
    </nc>
  </rcc>
  <rcc rId="11901" sId="2">
    <oc r="C201">
      <f>B234 &amp; "." &amp;  A234 &amp; "." &amp; RIGHT(YEAR(G234), 2)</f>
    </oc>
    <nc r="C201" t="inlineStr">
      <is>
        <t>11.2.24</t>
      </is>
    </nc>
  </rcc>
  <rcc rId="11902" sId="2">
    <oc r="C202">
      <f>B235 &amp; "." &amp;  A235 &amp; "." &amp; RIGHT(YEAR(G235), 2)</f>
    </oc>
    <nc r="C202" t="inlineStr">
      <is>
        <t>11.2.24</t>
      </is>
    </nc>
  </rcc>
  <rcc rId="11903" sId="2">
    <oc r="C204">
      <f>B236 &amp; "." &amp;  A236 &amp; "." &amp; RIGHT(YEAR(G236), 2)</f>
    </oc>
    <nc r="C204" t="inlineStr">
      <is>
        <t>11.2.24</t>
      </is>
    </nc>
  </rcc>
  <rcc rId="11904" sId="2">
    <oc r="C205">
      <f>B237 &amp; "." &amp;  A237 &amp; "." &amp; RIGHT(YEAR(G237), 2)</f>
    </oc>
    <nc r="C205" t="inlineStr">
      <is>
        <t>11.2.24</t>
      </is>
    </nc>
  </rcc>
  <rcc rId="11905" sId="2">
    <oc r="C210">
      <f>B238 &amp; "." &amp;  A238 &amp; "." &amp; RIGHT(YEAR(G238), 2)</f>
    </oc>
    <nc r="C210" t="inlineStr">
      <is>
        <t>11.2.24</t>
      </is>
    </nc>
  </rcc>
  <rcc rId="11906" sId="2">
    <oc r="C211">
      <f>B239 &amp; "." &amp;  A239 &amp; "." &amp; RIGHT(YEAR(G239), 2)</f>
    </oc>
    <nc r="C211" t="inlineStr">
      <is>
        <t>11.2.24</t>
      </is>
    </nc>
  </rcc>
  <rcc rId="11907" sId="2">
    <oc r="C213">
      <f>B240 &amp; "." &amp;  A240 &amp; "." &amp; RIGHT(YEAR(G240), 2)</f>
    </oc>
    <nc r="C213" t="inlineStr">
      <is>
        <t>11.2.24</t>
      </is>
    </nc>
  </rcc>
  <rcc rId="11908" sId="2">
    <oc r="C214">
      <f>B241 &amp; "." &amp;  A241 &amp; "." &amp; RIGHT(YEAR(G241), 2)</f>
    </oc>
    <nc r="C214" t="inlineStr">
      <is>
        <t>11.2.24</t>
      </is>
    </nc>
  </rcc>
  <rcc rId="11909" sId="2">
    <oc r="C215">
      <f>B242 &amp; "." &amp;  A242 &amp; "." &amp; RIGHT(YEAR(G242), 2)</f>
    </oc>
    <nc r="C215" t="inlineStr">
      <is>
        <t>11.2.24</t>
      </is>
    </nc>
  </rcc>
  <rcc rId="11910" sId="2">
    <oc r="C216">
      <f>B243 &amp; "." &amp;  A243 &amp; "." &amp; RIGHT(YEAR(G243), 2)</f>
    </oc>
    <nc r="C216" t="inlineStr">
      <is>
        <t>11.2.24</t>
      </is>
    </nc>
  </rcc>
  <rcc rId="11911" sId="2">
    <oc r="C217">
      <f>B244 &amp; "." &amp;  A244 &amp; "." &amp; RIGHT(YEAR(G244), 2)</f>
    </oc>
    <nc r="C217" t="inlineStr">
      <is>
        <t>11.2.24</t>
      </is>
    </nc>
  </rcc>
  <rcc rId="11912" sId="2">
    <oc r="C218">
      <f>B245 &amp; "." &amp;  A245 &amp; "." &amp; RIGHT(YEAR(G245), 2)</f>
    </oc>
    <nc r="C218" t="inlineStr">
      <is>
        <t>11.2.24</t>
      </is>
    </nc>
  </rcc>
  <rcc rId="11913" sId="2">
    <oc r="C220">
      <f>B246 &amp; "." &amp;  A246 &amp; "." &amp; RIGHT(YEAR(G246), 2)</f>
    </oc>
    <nc r="C220" t="inlineStr">
      <is>
        <t>11.2.24</t>
      </is>
    </nc>
  </rcc>
  <rcc rId="11914" sId="2">
    <oc r="C221">
      <f>B247 &amp; "." &amp;  A247 &amp; "." &amp; RIGHT(YEAR(G247), 2)</f>
    </oc>
    <nc r="C221" t="inlineStr">
      <is>
        <t>11.2.24</t>
      </is>
    </nc>
  </rcc>
  <rcc rId="11915" sId="2">
    <oc r="C222">
      <f>B248 &amp; "." &amp;  A248 &amp; "." &amp; RIGHT(YEAR(G248), 2)</f>
    </oc>
    <nc r="C222" t="inlineStr">
      <is>
        <t>11.2.24</t>
      </is>
    </nc>
  </rcc>
  <rcc rId="11916" sId="2">
    <oc r="C224">
      <f>B249 &amp; "." &amp;  A249 &amp; "." &amp; RIGHT(YEAR(G249), 2)</f>
    </oc>
    <nc r="C224" t="inlineStr">
      <is>
        <t>11.2.24</t>
      </is>
    </nc>
  </rcc>
  <rcc rId="11917" sId="2">
    <oc r="C225">
      <f>B250 &amp; "." &amp;  A250 &amp; "." &amp; RIGHT(YEAR(G250), 2)</f>
    </oc>
    <nc r="C225" t="inlineStr">
      <is>
        <t>11.2.24</t>
      </is>
    </nc>
  </rcc>
  <rcc rId="11918" sId="2">
    <oc r="C230">
      <f>B251 &amp; "." &amp;  A251 &amp; "." &amp; RIGHT(YEAR(G251), 2)</f>
    </oc>
    <nc r="C230" t="inlineStr">
      <is>
        <t>11.2.24</t>
      </is>
    </nc>
  </rcc>
  <rcc rId="11919" sId="2">
    <oc r="C231">
      <f>B252 &amp; "." &amp;  A252 &amp; "." &amp; RIGHT(YEAR(G252), 2)</f>
    </oc>
    <nc r="C231" t="inlineStr">
      <is>
        <t>11.2.24</t>
      </is>
    </nc>
  </rcc>
  <rcc rId="11920" sId="2">
    <oc r="C232">
      <f>B253 &amp; "." &amp;  A253 &amp; "." &amp; RIGHT(YEAR(G253), 2)</f>
    </oc>
    <nc r="C232" t="inlineStr">
      <is>
        <t>11.2.24</t>
      </is>
    </nc>
  </rcc>
  <rcc rId="11921" sId="2">
    <oc r="C233">
      <f>B254 &amp; "." &amp;  A254 &amp; "." &amp; RIGHT(YEAR(G254), 2)</f>
    </oc>
    <nc r="C233" t="inlineStr">
      <is>
        <t>11.2.24</t>
      </is>
    </nc>
  </rcc>
  <rcc rId="11922" sId="2">
    <oc r="C234">
      <f>B255 &amp; "." &amp;  A255 &amp; "." &amp; RIGHT(YEAR(G255), 2)</f>
    </oc>
    <nc r="C234" t="inlineStr">
      <is>
        <t>11.2.24</t>
      </is>
    </nc>
  </rcc>
  <rcc rId="11923" sId="2">
    <oc r="C238">
      <f>B256 &amp; "." &amp;  A256 &amp; "." &amp; RIGHT(YEAR(G256), 2)</f>
    </oc>
    <nc r="C238" t="inlineStr">
      <is>
        <t>11.2.24</t>
      </is>
    </nc>
  </rcc>
  <rcc rId="11924" sId="2">
    <oc r="C240">
      <f>B257 &amp; "." &amp;  A257 &amp; "." &amp; RIGHT(YEAR(G257), 2)</f>
    </oc>
    <nc r="C240" t="inlineStr">
      <is>
        <t>11.2.24</t>
      </is>
    </nc>
  </rcc>
  <rcc rId="11925" sId="2">
    <oc r="C245">
      <f>B258 &amp; "." &amp;  A258 &amp; "." &amp; RIGHT(YEAR(G258), 2)</f>
    </oc>
    <nc r="C245" t="inlineStr">
      <is>
        <t>11.2.24</t>
      </is>
    </nc>
  </rcc>
  <rrc rId="11926" sId="2" ref="B1:B1048576" action="deleteCol" edge="1">
    <rfmt sheetId="2" xfDxf="1" sqref="B1:B1048576" start="0" length="0">
      <dxf>
        <alignment horizontal="left"/>
      </dxf>
    </rfmt>
    <rcc rId="0" sId="2">
      <nc r="B1" t="inlineStr">
        <is>
          <t>nest</t>
        </is>
      </nc>
    </rcc>
    <rcc rId="0" sId="2">
      <nc r="B3">
        <v>1</v>
      </nc>
    </rcc>
    <rcc rId="0" sId="2">
      <nc r="B4">
        <v>1</v>
      </nc>
    </rcc>
    <rcc rId="0" sId="2">
      <nc r="B5">
        <v>1</v>
      </nc>
    </rcc>
    <rcc rId="0" sId="2">
      <nc r="B6">
        <v>1</v>
      </nc>
    </rcc>
    <rcc rId="0" sId="2">
      <nc r="B7">
        <v>1</v>
      </nc>
    </rcc>
    <rcc rId="0" sId="2">
      <nc r="B12">
        <v>1</v>
      </nc>
    </rcc>
    <rcc rId="0" sId="2">
      <nc r="B13">
        <v>1</v>
      </nc>
    </rcc>
    <rcc rId="0" sId="2">
      <nc r="B14">
        <v>1</v>
      </nc>
    </rcc>
    <rcc rId="0" sId="2">
      <nc r="B15">
        <v>1</v>
      </nc>
    </rcc>
    <rcc rId="0" sId="2">
      <nc r="B16">
        <v>1</v>
      </nc>
    </rcc>
    <rcc rId="0" sId="2">
      <nc r="B17">
        <v>1</v>
      </nc>
    </rcc>
    <rcc rId="0" sId="2">
      <nc r="B18">
        <v>1</v>
      </nc>
    </rcc>
    <rcc rId="0" sId="2">
      <nc r="B19">
        <v>1</v>
      </nc>
    </rcc>
    <rcc rId="0" sId="2">
      <nc r="B20">
        <v>1</v>
      </nc>
    </rcc>
    <rcc rId="0" sId="2">
      <nc r="B21">
        <v>1</v>
      </nc>
    </rcc>
    <rcc rId="0" sId="2">
      <nc r="B71">
        <v>1</v>
      </nc>
    </rcc>
    <rcc rId="0" sId="2">
      <nc r="B72">
        <v>1</v>
      </nc>
    </rcc>
    <rcc rId="0" sId="2">
      <nc r="B73">
        <v>1</v>
      </nc>
    </rcc>
    <rcc rId="0" sId="2">
      <nc r="B74">
        <v>1</v>
      </nc>
    </rcc>
    <rcc rId="0" sId="2">
      <nc r="B75">
        <v>1</v>
      </nc>
    </rcc>
    <rcc rId="0" sId="2">
      <nc r="B76">
        <v>1</v>
      </nc>
    </rcc>
    <rcc rId="0" sId="2">
      <nc r="B8">
        <v>2</v>
      </nc>
    </rcc>
    <rcc rId="0" sId="2">
      <nc r="B9">
        <v>2</v>
      </nc>
    </rcc>
    <rcc rId="0" sId="2">
      <nc r="B10">
        <v>2</v>
      </nc>
    </rcc>
    <rcc rId="0" sId="2">
      <nc r="B11">
        <v>2</v>
      </nc>
    </rcc>
    <rcc rId="0" sId="2">
      <nc r="B22">
        <v>2</v>
      </nc>
    </rcc>
    <rcc rId="0" sId="2">
      <nc r="B24">
        <v>2</v>
      </nc>
    </rcc>
    <rcc rId="0" sId="2">
      <nc r="B25">
        <v>2</v>
      </nc>
    </rcc>
    <rcc rId="0" sId="2">
      <nc r="B23">
        <v>3</v>
      </nc>
    </rcc>
    <rcc rId="0" sId="2">
      <nc r="B26">
        <v>3</v>
      </nc>
    </rcc>
    <rcc rId="0" sId="2">
      <nc r="B27">
        <v>3</v>
      </nc>
    </rcc>
    <rcc rId="0" sId="2">
      <nc r="B28">
        <v>4</v>
      </nc>
    </rcc>
    <rcc rId="0" sId="2">
      <nc r="B29">
        <v>5</v>
      </nc>
    </rcc>
    <rcc rId="0" sId="2">
      <nc r="B2">
        <v>6</v>
      </nc>
    </rcc>
    <rcc rId="0" sId="2">
      <nc r="B30">
        <v>6</v>
      </nc>
    </rcc>
    <rcc rId="0" sId="2">
      <nc r="B31">
        <v>6</v>
      </nc>
    </rcc>
    <rcc rId="0" sId="2">
      <nc r="B32">
        <v>6</v>
      </nc>
    </rcc>
    <rcc rId="0" sId="2">
      <nc r="B33">
        <v>6</v>
      </nc>
    </rcc>
    <rcc rId="0" sId="2">
      <nc r="B34">
        <v>6</v>
      </nc>
    </rcc>
    <rcc rId="0" sId="2">
      <nc r="B35">
        <v>6</v>
      </nc>
    </rcc>
    <rcc rId="0" sId="2">
      <nc r="B36">
        <v>6</v>
      </nc>
    </rcc>
    <rcc rId="0" sId="2">
      <nc r="B37">
        <v>6</v>
      </nc>
    </rcc>
    <rcc rId="0" sId="2">
      <nc r="B38">
        <v>6</v>
      </nc>
    </rcc>
    <rcc rId="0" sId="2">
      <nc r="B39">
        <v>6</v>
      </nc>
    </rcc>
    <rcc rId="0" sId="2">
      <nc r="B40">
        <v>6</v>
      </nc>
    </rcc>
    <rcc rId="0" sId="2">
      <nc r="B41">
        <v>6</v>
      </nc>
    </rcc>
    <rcc rId="0" sId="2">
      <nc r="B42">
        <v>6</v>
      </nc>
    </rcc>
    <rcc rId="0" sId="2">
      <nc r="B43">
        <v>6</v>
      </nc>
    </rcc>
    <rcc rId="0" sId="2">
      <nc r="B44">
        <v>6</v>
      </nc>
    </rcc>
    <rcc rId="0" sId="2">
      <nc r="B45">
        <v>6</v>
      </nc>
    </rcc>
    <rcc rId="0" sId="2">
      <nc r="B46">
        <v>6</v>
      </nc>
    </rcc>
    <rcc rId="0" sId="2">
      <nc r="B47">
        <v>6</v>
      </nc>
    </rcc>
    <rcc rId="0" sId="2">
      <nc r="B48">
        <v>6</v>
      </nc>
    </rcc>
    <rcc rId="0" sId="2">
      <nc r="B49">
        <v>6</v>
      </nc>
    </rcc>
    <rcc rId="0" sId="2">
      <nc r="B50">
        <v>6</v>
      </nc>
    </rcc>
    <rcc rId="0" sId="2">
      <nc r="B51">
        <v>6</v>
      </nc>
    </rcc>
    <rcc rId="0" sId="2">
      <nc r="B52">
        <v>6</v>
      </nc>
    </rcc>
    <rcc rId="0" sId="2">
      <nc r="B53">
        <v>6</v>
      </nc>
    </rcc>
    <rcc rId="0" sId="2">
      <nc r="B54">
        <v>6</v>
      </nc>
    </rcc>
    <rcc rId="0" sId="2">
      <nc r="B55">
        <v>6</v>
      </nc>
    </rcc>
    <rcc rId="0" sId="2">
      <nc r="B56">
        <v>6</v>
      </nc>
    </rcc>
    <rcc rId="0" sId="2">
      <nc r="B57">
        <v>6</v>
      </nc>
    </rcc>
    <rcc rId="0" sId="2">
      <nc r="B58">
        <v>6</v>
      </nc>
    </rcc>
    <rcc rId="0" sId="2">
      <nc r="B59">
        <v>6</v>
      </nc>
    </rcc>
    <rcc rId="0" sId="2">
      <nc r="B60">
        <v>6</v>
      </nc>
    </rcc>
    <rcc rId="0" sId="2">
      <nc r="B61">
        <v>6</v>
      </nc>
    </rcc>
    <rcc rId="0" sId="2">
      <nc r="B62">
        <v>6</v>
      </nc>
    </rcc>
    <rcc rId="0" sId="2">
      <nc r="B63">
        <v>6</v>
      </nc>
    </rcc>
    <rcc rId="0" sId="2">
      <nc r="B64">
        <v>6</v>
      </nc>
    </rcc>
    <rcc rId="0" sId="2">
      <nc r="B65">
        <v>6</v>
      </nc>
    </rcc>
    <rcc rId="0" sId="2">
      <nc r="B66">
        <v>6</v>
      </nc>
    </rcc>
    <rcc rId="0" sId="2">
      <nc r="B67">
        <v>6</v>
      </nc>
    </rcc>
    <rcc rId="0" sId="2">
      <nc r="B68">
        <v>6</v>
      </nc>
    </rcc>
    <rcc rId="0" sId="2">
      <nc r="B69">
        <v>6</v>
      </nc>
    </rcc>
    <rcc rId="0" sId="2">
      <nc r="B70">
        <v>6</v>
      </nc>
    </rcc>
    <rcc rId="0" sId="2">
      <nc r="B77">
        <v>6</v>
      </nc>
    </rcc>
    <rcc rId="0" sId="2">
      <nc r="B78">
        <v>6</v>
      </nc>
    </rcc>
    <rcc rId="0" sId="2">
      <nc r="B79">
        <v>6</v>
      </nc>
    </rcc>
    <rcc rId="0" sId="2">
      <nc r="B80">
        <v>6</v>
      </nc>
    </rcc>
    <rcc rId="0" sId="2">
      <nc r="B81">
        <v>6</v>
      </nc>
    </rcc>
    <rcc rId="0" sId="2">
      <nc r="B82">
        <v>6</v>
      </nc>
    </rcc>
    <rcc rId="0" sId="2">
      <nc r="B83">
        <v>6</v>
      </nc>
    </rcc>
    <rcc rId="0" sId="2">
      <nc r="B84">
        <v>6</v>
      </nc>
    </rcc>
    <rcc rId="0" sId="2">
      <nc r="B85">
        <v>6</v>
      </nc>
    </rcc>
    <rcc rId="0" sId="2">
      <nc r="B86">
        <v>6</v>
      </nc>
    </rcc>
    <rcc rId="0" sId="2">
      <nc r="B87">
        <v>6</v>
      </nc>
    </rcc>
    <rcc rId="0" sId="2">
      <nc r="B88">
        <v>6</v>
      </nc>
    </rcc>
    <rcc rId="0" sId="2">
      <nc r="B89">
        <v>6</v>
      </nc>
    </rcc>
    <rcc rId="0" sId="2">
      <nc r="B90">
        <v>6</v>
      </nc>
    </rcc>
    <rcc rId="0" sId="2">
      <nc r="B91">
        <v>6</v>
      </nc>
    </rcc>
    <rcc rId="0" sId="2">
      <nc r="B92">
        <v>6</v>
      </nc>
    </rcc>
    <rcc rId="0" sId="2">
      <nc r="B93">
        <v>6</v>
      </nc>
    </rcc>
    <rcc rId="0" sId="2">
      <nc r="B94">
        <v>6</v>
      </nc>
    </rcc>
    <rcc rId="0" sId="2">
      <nc r="B95">
        <v>6</v>
      </nc>
    </rcc>
    <rcc rId="0" sId="2">
      <nc r="B96">
        <v>6</v>
      </nc>
    </rcc>
    <rcc rId="0" sId="2">
      <nc r="B97">
        <v>6</v>
      </nc>
    </rcc>
    <rcc rId="0" sId="2">
      <nc r="B98">
        <v>6</v>
      </nc>
    </rcc>
    <rcc rId="0" sId="2">
      <nc r="B99">
        <v>6</v>
      </nc>
    </rcc>
    <rcc rId="0" sId="2">
      <nc r="B100">
        <v>6</v>
      </nc>
    </rcc>
    <rcc rId="0" sId="2">
      <nc r="B101">
        <v>6</v>
      </nc>
    </rcc>
    <rcc rId="0" sId="2">
      <nc r="B102">
        <v>6</v>
      </nc>
    </rcc>
    <rcc rId="0" sId="2">
      <nc r="B103">
        <v>6</v>
      </nc>
    </rcc>
    <rcc rId="0" sId="2">
      <nc r="B104">
        <v>6</v>
      </nc>
    </rcc>
    <rcc rId="0" sId="2">
      <nc r="B105">
        <v>6</v>
      </nc>
    </rcc>
    <rcc rId="0" sId="2">
      <nc r="B106">
        <v>6</v>
      </nc>
    </rcc>
    <rcc rId="0" sId="2">
      <nc r="B107">
        <v>6</v>
      </nc>
    </rcc>
    <rcc rId="0" sId="2">
      <nc r="B108">
        <v>6</v>
      </nc>
    </rcc>
    <rcc rId="0" sId="2">
      <nc r="B109">
        <v>6</v>
      </nc>
    </rcc>
    <rcc rId="0" sId="2">
      <nc r="B110">
        <v>6</v>
      </nc>
    </rcc>
    <rcc rId="0" sId="2">
      <nc r="B111">
        <v>6</v>
      </nc>
    </rcc>
    <rcc rId="0" sId="2">
      <nc r="B112">
        <v>6</v>
      </nc>
    </rcc>
    <rcc rId="0" sId="2">
      <nc r="B113">
        <v>6</v>
      </nc>
    </rcc>
    <rcc rId="0" sId="2">
      <nc r="B114">
        <v>6</v>
      </nc>
    </rcc>
    <rcc rId="0" sId="2">
      <nc r="B115">
        <v>6</v>
      </nc>
    </rcc>
    <rcc rId="0" sId="2">
      <nc r="B116">
        <v>6</v>
      </nc>
    </rcc>
    <rcc rId="0" sId="2">
      <nc r="B117">
        <v>6</v>
      </nc>
    </rcc>
    <rcc rId="0" sId="2">
      <nc r="B118">
        <v>6</v>
      </nc>
    </rcc>
    <rcc rId="0" sId="2">
      <nc r="B119">
        <v>6</v>
      </nc>
    </rcc>
    <rcc rId="0" sId="2">
      <nc r="B120">
        <v>6</v>
      </nc>
    </rcc>
    <rcc rId="0" sId="2">
      <nc r="B121">
        <v>6</v>
      </nc>
    </rcc>
    <rcc rId="0" sId="2">
      <nc r="B122">
        <v>6</v>
      </nc>
    </rcc>
    <rcc rId="0" sId="2">
      <nc r="B123">
        <v>6</v>
      </nc>
    </rcc>
    <rcc rId="0" sId="2">
      <nc r="B124">
        <v>6</v>
      </nc>
    </rcc>
    <rcc rId="0" sId="2">
      <nc r="B125">
        <v>6</v>
      </nc>
    </rcc>
    <rcc rId="0" sId="2">
      <nc r="B126">
        <v>6</v>
      </nc>
    </rcc>
    <rcc rId="0" sId="2">
      <nc r="B127">
        <v>6</v>
      </nc>
    </rcc>
    <rcc rId="0" sId="2">
      <nc r="B128">
        <v>6</v>
      </nc>
    </rcc>
    <rcc rId="0" sId="2">
      <nc r="B129">
        <v>6</v>
      </nc>
    </rcc>
    <rcc rId="0" sId="2">
      <nc r="B130">
        <v>6</v>
      </nc>
    </rcc>
    <rcc rId="0" sId="2">
      <nc r="B132">
        <v>6</v>
      </nc>
    </rcc>
    <rcc rId="0" sId="2">
      <nc r="B134">
        <v>6</v>
      </nc>
    </rcc>
    <rcc rId="0" sId="2">
      <nc r="B135">
        <v>6</v>
      </nc>
    </rcc>
    <rcc rId="0" sId="2">
      <nc r="B136">
        <v>6</v>
      </nc>
    </rcc>
    <rcc rId="0" sId="2">
      <nc r="B139">
        <v>6</v>
      </nc>
    </rcc>
    <rcc rId="0" sId="2">
      <nc r="B141">
        <v>6</v>
      </nc>
    </rcc>
    <rcc rId="0" sId="2">
      <nc r="B146">
        <v>6</v>
      </nc>
    </rcc>
    <rcc rId="0" sId="2">
      <nc r="B147">
        <v>6</v>
      </nc>
    </rcc>
    <rcc rId="0" sId="2">
      <nc r="B151">
        <v>6</v>
      </nc>
    </rcc>
    <rcc rId="0" sId="2">
      <nc r="B153">
        <v>6</v>
      </nc>
    </rcc>
    <rcc rId="0" sId="2">
      <nc r="B154">
        <v>6</v>
      </nc>
    </rcc>
    <rcc rId="0" sId="2">
      <nc r="B160">
        <v>6</v>
      </nc>
    </rcc>
    <rcc rId="0" sId="2">
      <nc r="B161">
        <v>6</v>
      </nc>
    </rcc>
    <rcc rId="0" sId="2">
      <nc r="B164">
        <v>6</v>
      </nc>
    </rcc>
    <rcc rId="0" sId="2">
      <nc r="B165">
        <v>6</v>
      </nc>
    </rcc>
    <rcc rId="0" sId="2">
      <nc r="B167">
        <v>6</v>
      </nc>
    </rcc>
    <rcc rId="0" sId="2">
      <nc r="B169">
        <v>6</v>
      </nc>
    </rcc>
    <rcc rId="0" sId="2">
      <nc r="B171">
        <v>6</v>
      </nc>
    </rcc>
    <rcc rId="0" sId="2">
      <nc r="B175">
        <v>6</v>
      </nc>
    </rcc>
    <rcc rId="0" sId="2">
      <nc r="B176">
        <v>6</v>
      </nc>
    </rcc>
    <rcc rId="0" sId="2">
      <nc r="B178">
        <v>6</v>
      </nc>
    </rcc>
    <rcc rId="0" sId="2">
      <nc r="B179">
        <v>6</v>
      </nc>
    </rcc>
    <rcc rId="0" sId="2">
      <nc r="B131">
        <v>7</v>
      </nc>
    </rcc>
    <rcc rId="0" sId="2">
      <nc r="B133">
        <v>7</v>
      </nc>
    </rcc>
    <rcc rId="0" sId="2">
      <nc r="B137">
        <v>7</v>
      </nc>
    </rcc>
    <rcc rId="0" sId="2">
      <nc r="B138">
        <v>7</v>
      </nc>
    </rcc>
    <rcc rId="0" sId="2">
      <nc r="B140">
        <v>7</v>
      </nc>
    </rcc>
    <rcc rId="0" sId="2">
      <nc r="B142">
        <v>8</v>
      </nc>
    </rcc>
    <rcc rId="0" sId="2">
      <nc r="B144">
        <v>8</v>
      </nc>
    </rcc>
    <rcc rId="0" sId="2">
      <nc r="B148">
        <v>8</v>
      </nc>
    </rcc>
    <rcc rId="0" sId="2">
      <nc r="B149">
        <v>8</v>
      </nc>
    </rcc>
    <rcc rId="0" sId="2">
      <nc r="B150">
        <v>8</v>
      </nc>
    </rcc>
    <rcc rId="0" sId="2">
      <nc r="B152">
        <v>8</v>
      </nc>
    </rcc>
    <rcc rId="0" sId="2">
      <nc r="B155">
        <v>8</v>
      </nc>
    </rcc>
    <rcc rId="0" sId="2">
      <nc r="B156">
        <v>8</v>
      </nc>
    </rcc>
    <rcc rId="0" sId="2">
      <nc r="B157">
        <v>8</v>
      </nc>
    </rcc>
    <rcc rId="0" sId="2">
      <nc r="B158">
        <v>8</v>
      </nc>
    </rcc>
    <rcc rId="0" sId="2">
      <nc r="B159">
        <v>8</v>
      </nc>
    </rcc>
    <rcc rId="0" sId="2">
      <nc r="B162">
        <v>8</v>
      </nc>
    </rcc>
    <rcc rId="0" sId="2">
      <nc r="B163">
        <v>8</v>
      </nc>
    </rcc>
    <rcc rId="0" sId="2">
      <nc r="B166">
        <v>8</v>
      </nc>
    </rcc>
    <rcc rId="0" sId="2">
      <nc r="B168">
        <v>8</v>
      </nc>
    </rcc>
    <rcc rId="0" sId="2">
      <nc r="B170">
        <v>8</v>
      </nc>
    </rcc>
    <rcc rId="0" sId="2">
      <nc r="B172">
        <v>8</v>
      </nc>
    </rcc>
    <rcc rId="0" sId="2">
      <nc r="B173">
        <v>8</v>
      </nc>
    </rcc>
    <rcc rId="0" sId="2">
      <nc r="B174">
        <v>8</v>
      </nc>
    </rcc>
    <rcc rId="0" sId="2">
      <nc r="B177">
        <v>8</v>
      </nc>
    </rcc>
    <rcc rId="0" sId="2">
      <nc r="B180">
        <v>8</v>
      </nc>
    </rcc>
    <rcc rId="0" sId="2">
      <nc r="B181">
        <v>9</v>
      </nc>
    </rcc>
    <rcc rId="0" sId="2">
      <nc r="B183">
        <v>9</v>
      </nc>
    </rcc>
    <rcc rId="0" sId="2">
      <nc r="B185">
        <v>9</v>
      </nc>
    </rcc>
    <rcc rId="0" sId="2">
      <nc r="B187">
        <v>9</v>
      </nc>
    </rcc>
    <rcc rId="0" sId="2">
      <nc r="B188">
        <v>9</v>
      </nc>
    </rcc>
    <rcc rId="0" sId="2">
      <nc r="B191">
        <v>9</v>
      </nc>
    </rcc>
    <rcc rId="0" sId="2">
      <nc r="B193">
        <v>9</v>
      </nc>
    </rcc>
    <rcc rId="0" sId="2">
      <nc r="B195">
        <v>9</v>
      </nc>
    </rcc>
    <rcc rId="0" sId="2">
      <nc r="B197">
        <v>9</v>
      </nc>
    </rcc>
    <rcc rId="0" sId="2">
      <nc r="B199">
        <v>9</v>
      </nc>
    </rcc>
    <rcc rId="0" sId="2">
      <nc r="B203">
        <v>9</v>
      </nc>
    </rcc>
    <rcc rId="0" sId="2">
      <nc r="B206">
        <v>9</v>
      </nc>
    </rcc>
    <rcc rId="0" sId="2">
      <nc r="B207">
        <v>9</v>
      </nc>
    </rcc>
    <rcc rId="0" sId="2">
      <nc r="B208">
        <v>9</v>
      </nc>
    </rcc>
    <rcc rId="0" sId="2">
      <nc r="B209">
        <v>9</v>
      </nc>
    </rcc>
    <rcc rId="0" sId="2">
      <nc r="B212">
        <v>9</v>
      </nc>
    </rcc>
    <rcc rId="0" sId="2">
      <nc r="B219">
        <v>9</v>
      </nc>
    </rcc>
    <rcc rId="0" sId="2">
      <nc r="B223">
        <v>9</v>
      </nc>
    </rcc>
    <rcc rId="0" sId="2">
      <nc r="B226">
        <v>9</v>
      </nc>
    </rcc>
    <rcc rId="0" sId="2">
      <nc r="B227">
        <v>9</v>
      </nc>
    </rcc>
    <rcc rId="0" sId="2">
      <nc r="B228">
        <v>9</v>
      </nc>
    </rcc>
    <rcc rId="0" sId="2">
      <nc r="B229">
        <v>9</v>
      </nc>
    </rcc>
    <rcc rId="0" sId="2">
      <nc r="B235">
        <v>9</v>
      </nc>
    </rcc>
    <rcc rId="0" sId="2">
      <nc r="B236">
        <v>9</v>
      </nc>
    </rcc>
    <rcc rId="0" sId="2">
      <nc r="B237">
        <v>9</v>
      </nc>
    </rcc>
    <rcc rId="0" sId="2">
      <nc r="B239">
        <v>9</v>
      </nc>
    </rcc>
    <rcc rId="0" sId="2">
      <nc r="B241">
        <v>9</v>
      </nc>
    </rcc>
    <rcc rId="0" sId="2">
      <nc r="B242">
        <v>9</v>
      </nc>
    </rcc>
    <rcc rId="0" sId="2">
      <nc r="B243">
        <v>9</v>
      </nc>
    </rcc>
    <rcc rId="0" sId="2">
      <nc r="B244">
        <v>9</v>
      </nc>
    </rcc>
    <rcc rId="0" sId="2">
      <nc r="B246">
        <v>9</v>
      </nc>
    </rcc>
    <rcc rId="0" sId="2">
      <nc r="B247">
        <v>9</v>
      </nc>
    </rcc>
    <rcc rId="0" sId="2">
      <nc r="B248">
        <v>9</v>
      </nc>
    </rcc>
    <rcc rId="0" sId="2">
      <nc r="B249">
        <v>9</v>
      </nc>
    </rcc>
    <rcc rId="0" sId="2">
      <nc r="B250">
        <v>9</v>
      </nc>
    </rcc>
    <rcc rId="0" sId="2">
      <nc r="B251">
        <v>9</v>
      </nc>
    </rcc>
    <rcc rId="0" sId="2">
      <nc r="B252">
        <v>9</v>
      </nc>
    </rcc>
    <rcc rId="0" sId="2">
      <nc r="B253">
        <v>9</v>
      </nc>
    </rcc>
    <rcc rId="0" sId="2">
      <nc r="B254">
        <v>9</v>
      </nc>
    </rcc>
    <rcc rId="0" sId="2">
      <nc r="B255">
        <v>9</v>
      </nc>
    </rcc>
    <rcc rId="0" sId="2">
      <nc r="B256">
        <v>9</v>
      </nc>
    </rcc>
    <rcc rId="0" sId="2">
      <nc r="B257">
        <v>9</v>
      </nc>
    </rcc>
    <rcc rId="0" sId="2">
      <nc r="B258">
        <v>9</v>
      </nc>
    </rcc>
    <rcc rId="0" sId="2">
      <nc r="B259">
        <v>9</v>
      </nc>
    </rcc>
    <rcc rId="0" sId="2">
      <nc r="B143">
        <v>10</v>
      </nc>
    </rcc>
    <rcc rId="0" sId="2">
      <nc r="B145">
        <v>10</v>
      </nc>
    </rcc>
    <rcc rId="0" sId="2">
      <nc r="B182">
        <v>11</v>
      </nc>
    </rcc>
    <rcc rId="0" sId="2">
      <nc r="B184">
        <v>11</v>
      </nc>
    </rcc>
    <rcc rId="0" sId="2">
      <nc r="B186">
        <v>11</v>
      </nc>
    </rcc>
    <rcc rId="0" sId="2">
      <nc r="B189">
        <v>11</v>
      </nc>
    </rcc>
    <rcc rId="0" sId="2">
      <nc r="B190">
        <v>11</v>
      </nc>
    </rcc>
    <rcc rId="0" sId="2">
      <nc r="B192">
        <v>11</v>
      </nc>
    </rcc>
    <rcc rId="0" sId="2">
      <nc r="B194">
        <v>11</v>
      </nc>
    </rcc>
    <rcc rId="0" sId="2">
      <nc r="B196">
        <v>11</v>
      </nc>
    </rcc>
    <rcc rId="0" sId="2">
      <nc r="B198">
        <v>11</v>
      </nc>
    </rcc>
    <rcc rId="0" sId="2">
      <nc r="B201">
        <v>11</v>
      </nc>
    </rcc>
    <rcc rId="0" sId="2">
      <nc r="B202">
        <v>11</v>
      </nc>
    </rcc>
    <rcc rId="0" sId="2">
      <nc r="B204">
        <v>11</v>
      </nc>
    </rcc>
    <rcc rId="0" sId="2">
      <nc r="B205">
        <v>11</v>
      </nc>
    </rcc>
    <rcc rId="0" sId="2">
      <nc r="B210">
        <v>11</v>
      </nc>
    </rcc>
    <rcc rId="0" sId="2">
      <nc r="B211">
        <v>11</v>
      </nc>
    </rcc>
    <rcc rId="0" sId="2">
      <nc r="B213">
        <v>11</v>
      </nc>
    </rcc>
    <rcc rId="0" sId="2">
      <nc r="B214">
        <v>11</v>
      </nc>
    </rcc>
    <rcc rId="0" sId="2">
      <nc r="B215">
        <v>11</v>
      </nc>
    </rcc>
    <rcc rId="0" sId="2">
      <nc r="B216">
        <v>11</v>
      </nc>
    </rcc>
    <rcc rId="0" sId="2">
      <nc r="B217">
        <v>11</v>
      </nc>
    </rcc>
    <rcc rId="0" sId="2">
      <nc r="B218">
        <v>11</v>
      </nc>
    </rcc>
    <rcc rId="0" sId="2">
      <nc r="B220">
        <v>11</v>
      </nc>
    </rcc>
    <rcc rId="0" sId="2">
      <nc r="B221">
        <v>11</v>
      </nc>
    </rcc>
    <rcc rId="0" sId="2">
      <nc r="B222">
        <v>11</v>
      </nc>
    </rcc>
    <rcc rId="0" sId="2">
      <nc r="B224">
        <v>11</v>
      </nc>
    </rcc>
    <rcc rId="0" sId="2">
      <nc r="B225">
        <v>11</v>
      </nc>
    </rcc>
    <rcc rId="0" sId="2">
      <nc r="B230">
        <v>11</v>
      </nc>
    </rcc>
    <rcc rId="0" sId="2">
      <nc r="B231">
        <v>11</v>
      </nc>
    </rcc>
    <rcc rId="0" sId="2">
      <nc r="B232">
        <v>11</v>
      </nc>
    </rcc>
    <rcc rId="0" sId="2">
      <nc r="B233">
        <v>11</v>
      </nc>
    </rcc>
    <rcc rId="0" sId="2">
      <nc r="B234">
        <v>11</v>
      </nc>
    </rcc>
    <rcc rId="0" sId="2">
      <nc r="B238">
        <v>11</v>
      </nc>
    </rcc>
    <rcc rId="0" sId="2">
      <nc r="B240">
        <v>11</v>
      </nc>
    </rcc>
    <rcc rId="0" sId="2">
      <nc r="B245">
        <v>11</v>
      </nc>
    </rcc>
    <rcc rId="0" sId="2">
      <nc r="B261" t="inlineStr">
        <is>
          <t/>
        </is>
      </nc>
    </rcc>
    <rcc rId="0" sId="2">
      <nc r="B262" t="inlineStr">
        <is>
          <t/>
        </is>
      </nc>
    </rcc>
    <rcc rId="0" sId="2">
      <nc r="B200" t="inlineStr">
        <is>
          <t>NA</t>
        </is>
      </nc>
    </rcc>
    <rcc rId="0" sId="2">
      <nc r="B260" t="inlineStr">
        <is>
          <t>NA</t>
        </is>
      </nc>
    </rcc>
  </rrc>
</revisions>
</file>

<file path=xl/revisions/revisionLog10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27" sId="2">
    <oc r="B1" t="inlineStr">
      <is>
        <t>nest2</t>
      </is>
    </oc>
    <nc r="B1" t="inlineStr">
      <is>
        <t>nest</t>
      </is>
    </nc>
  </rcc>
</revisions>
</file>

<file path=xl/revisions/revisionLog10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rc rId="11928" sId="2" ref="V1:V1048576" action="insertCol" edge="1"/>
  <rcc rId="11929" sId="2">
    <nc r="V1" t="inlineStr">
      <is>
        <t xml:space="preserve">analysis complete? </t>
      </is>
    </nc>
  </rcc>
</revisions>
</file>

<file path=xl/revisions/revisionLog10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30" sId="2" numFmtId="19">
    <oc r="F2">
      <v>44995</v>
    </oc>
    <nc r="F2">
      <v>45361</v>
    </nc>
  </rcc>
</revisions>
</file>

<file path=xl/revisions/revisionLog10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931" sId="2">
    <oc r="B2" t="inlineStr">
      <is>
        <t>6.2.23</t>
      </is>
    </oc>
    <nc r="B2" t="inlineStr">
      <is>
        <t>6.2.24</t>
      </is>
    </nc>
  </rcc>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9">
  <userInfo guid="{CA1DC199-90D0-B44B-A584-B7049611C0AB}" name="Andre Scheepers" id="-922286283" dateTime="2024-10-06T17:56:53"/>
  <userInfo guid="{CA1DC199-90D0-B44B-A584-B7049611C0AB}" name="Andre Scheepers" id="-922287409" dateTime="2025-02-24T17:20:09"/>
  <userInfo guid="{39621D2D-CD13-4B43-B179-6F3F4790881F}" name="Andre Scheepers" id="-922258916" dateTime="2025-03-13T16:39:40"/>
  <userInfo guid="{9AA92E24-C9BD-734B-A564-9966E12B2431}" name="Andre Scheepers" id="-922249875" dateTime="2025-05-05T14:16:44"/>
  <userInfo guid="{4CC9DF0B-96F7-EF4B-B949-46EED8BDE8AF}" name="Andre Scheepers" id="-922253428" dateTime="2025-06-06T09:58:27"/>
  <userInfo guid="{B3BDDCB3-D6FF-D149-A655-177E607C3CFC}" name="Andre Scheepers" id="-922259768" dateTime="2026-09-26T17:31:09"/>
  <userInfo guid="{66D8678A-6D12-A449-801F-2D59F59525F5}" name="Andre Scheepers" id="-922268105" dateTime="2026-09-28T14:20:15"/>
  <userInfo guid="{B47CABE0-EF07-FE42-9DA0-E8F7BFBE8C36}" name="Andre Scheepers" id="-922230544" dateTime="2026-09-28T18:52:25"/>
  <userInfo guid="{BDD3C7D9-DAFD-FC40-B458-980F807E664F}" name="Andre Scheepers" id="-922239558" dateTime="2026-10-06T17:19:26"/>
</us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microsoft.com/office/2006/relationships/wsSortMap" Target="wsSortMap1.xml"/></Relationships>
</file>

<file path=xl/worksheets/_rels/sheet2.xml.rels><?xml version="1.0" encoding="UTF-8" standalone="yes"?>
<Relationships xmlns="http://schemas.openxmlformats.org/package/2006/relationships"><Relationship Id="rId1" Type="http://schemas.microsoft.com/office/2006/relationships/wsSortMap" Target="wsSortMap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5A4D8A-3837-C04D-9096-B7E58473E238}">
  <dimension ref="A1:X338"/>
  <sheetViews>
    <sheetView zoomScaleNormal="90" workbookViewId="0">
      <pane ySplit="1" topLeftCell="A2" activePane="bottomLeft" state="frozen"/>
      <selection activeCell="J1" sqref="J1"/>
      <selection pane="bottomLeft" activeCell="T1" sqref="T1:T1048576"/>
    </sheetView>
  </sheetViews>
  <sheetFormatPr baseColWidth="10" defaultRowHeight="16" x14ac:dyDescent="0.2"/>
  <cols>
    <col min="1" max="2" width="10.83203125" style="1"/>
    <col min="3" max="3" width="10.33203125" style="1" customWidth="1"/>
    <col min="4" max="5" width="10.83203125" style="1"/>
    <col min="6" max="6" width="14.6640625" style="4" customWidth="1"/>
    <col min="7" max="7" width="10.83203125" style="1"/>
    <col min="8" max="8" width="10.83203125" style="6"/>
    <col min="9" max="9" width="16.5" style="1" customWidth="1"/>
    <col min="10" max="10" width="13.1640625" style="6" customWidth="1"/>
    <col min="11" max="11" width="14.1640625" style="1" customWidth="1"/>
    <col min="12" max="12" width="18.33203125" style="1" customWidth="1"/>
    <col min="13" max="13" width="18.5" style="1" customWidth="1"/>
    <col min="14" max="14" width="15.1640625" style="1" customWidth="1"/>
    <col min="15" max="17" width="13.6640625" style="1" customWidth="1"/>
    <col min="18" max="18" width="15.5" style="2" customWidth="1"/>
    <col min="19" max="20" width="18.1640625" style="2" customWidth="1"/>
    <col min="21" max="21" width="14.5" style="1" customWidth="1"/>
    <col min="22" max="22" width="39.6640625" style="1" customWidth="1"/>
    <col min="23" max="23" width="17.83203125" style="2" customWidth="1"/>
    <col min="24" max="24" width="13.5" style="4" customWidth="1"/>
    <col min="25" max="16384" width="10.83203125" style="1"/>
  </cols>
  <sheetData>
    <row r="1" spans="1:24" x14ac:dyDescent="0.2">
      <c r="A1" s="1" t="s">
        <v>0</v>
      </c>
      <c r="B1" s="1" t="s">
        <v>1</v>
      </c>
      <c r="C1" s="1" t="s">
        <v>784</v>
      </c>
      <c r="D1" s="1" t="s">
        <v>772</v>
      </c>
      <c r="E1" s="1" t="s">
        <v>2</v>
      </c>
      <c r="F1" s="4" t="s">
        <v>30</v>
      </c>
      <c r="G1" s="1" t="s">
        <v>4</v>
      </c>
      <c r="H1" s="6" t="s">
        <v>5</v>
      </c>
      <c r="I1" s="1" t="s">
        <v>776</v>
      </c>
      <c r="J1" s="6" t="s">
        <v>777</v>
      </c>
      <c r="K1" s="1" t="s">
        <v>6</v>
      </c>
      <c r="L1" s="1" t="s">
        <v>781</v>
      </c>
      <c r="M1" s="1" t="s">
        <v>780</v>
      </c>
      <c r="N1" s="1" t="s">
        <v>783</v>
      </c>
      <c r="O1" s="1" t="s">
        <v>782</v>
      </c>
      <c r="P1" s="1" t="s">
        <v>786</v>
      </c>
      <c r="Q1" s="1" t="s">
        <v>785</v>
      </c>
      <c r="R1" s="2" t="s">
        <v>778</v>
      </c>
      <c r="S1" s="2" t="s">
        <v>779</v>
      </c>
      <c r="T1" s="2" t="s">
        <v>791</v>
      </c>
      <c r="U1" s="1" t="s">
        <v>327</v>
      </c>
      <c r="V1" s="1" t="s">
        <v>15</v>
      </c>
      <c r="W1" s="2" t="s">
        <v>656</v>
      </c>
      <c r="X1" s="4" t="s">
        <v>788</v>
      </c>
    </row>
    <row r="2" spans="1:24" x14ac:dyDescent="0.2">
      <c r="A2" s="1">
        <v>1</v>
      </c>
      <c r="B2" s="1" t="s">
        <v>792</v>
      </c>
      <c r="C2" s="1" t="s">
        <v>773</v>
      </c>
      <c r="D2" s="1">
        <v>1</v>
      </c>
      <c r="E2" s="1" t="s">
        <v>17</v>
      </c>
      <c r="F2" s="4">
        <v>45342</v>
      </c>
      <c r="K2" s="3">
        <v>0.22586805555555556</v>
      </c>
      <c r="P2" s="1">
        <v>90</v>
      </c>
      <c r="Q2" s="1">
        <v>90</v>
      </c>
      <c r="R2" s="1">
        <v>57.4</v>
      </c>
      <c r="U2" s="1">
        <v>0</v>
      </c>
      <c r="V2" s="1" t="s">
        <v>18</v>
      </c>
    </row>
    <row r="3" spans="1:24" x14ac:dyDescent="0.2">
      <c r="A3" s="1">
        <v>1</v>
      </c>
      <c r="B3" s="1" t="s">
        <v>793</v>
      </c>
      <c r="C3" s="1" t="s">
        <v>773</v>
      </c>
      <c r="E3" s="1" t="s">
        <v>19</v>
      </c>
      <c r="F3" s="4">
        <v>45340</v>
      </c>
      <c r="P3" s="1">
        <v>90</v>
      </c>
      <c r="Q3" s="1">
        <v>90</v>
      </c>
      <c r="R3" s="1">
        <v>57.4</v>
      </c>
      <c r="V3" s="1" t="s">
        <v>20</v>
      </c>
    </row>
    <row r="4" spans="1:24" x14ac:dyDescent="0.2">
      <c r="A4" s="1">
        <v>1</v>
      </c>
      <c r="B4" s="1" t="s">
        <v>793</v>
      </c>
      <c r="C4" s="1" t="s">
        <v>773</v>
      </c>
      <c r="D4" s="1">
        <v>1</v>
      </c>
      <c r="E4" s="1" t="s">
        <v>24</v>
      </c>
      <c r="F4" s="4">
        <v>45346</v>
      </c>
      <c r="I4" s="3">
        <v>8.4722222222222213E-3</v>
      </c>
      <c r="K4" s="3">
        <v>0.75783564814814808</v>
      </c>
      <c r="P4" s="1">
        <v>90</v>
      </c>
      <c r="Q4" s="1">
        <v>90</v>
      </c>
      <c r="V4" s="1" t="s">
        <v>25</v>
      </c>
    </row>
    <row r="5" spans="1:24" x14ac:dyDescent="0.2">
      <c r="A5" s="1">
        <v>1</v>
      </c>
      <c r="B5" s="1" t="s">
        <v>793</v>
      </c>
      <c r="C5" s="1" t="s">
        <v>773</v>
      </c>
      <c r="D5" s="1">
        <v>2</v>
      </c>
      <c r="E5" s="1" t="s">
        <v>24</v>
      </c>
      <c r="F5" s="4">
        <v>45346</v>
      </c>
      <c r="I5" s="3">
        <v>1.5740740740740743E-2</v>
      </c>
      <c r="J5" s="6">
        <v>1.7187499999999998E-2</v>
      </c>
      <c r="K5" s="3">
        <v>0.75783564814814808</v>
      </c>
      <c r="P5" s="1">
        <v>90</v>
      </c>
      <c r="Q5" s="1">
        <v>90</v>
      </c>
      <c r="V5" s="1" t="s">
        <v>26</v>
      </c>
    </row>
    <row r="6" spans="1:24" x14ac:dyDescent="0.2">
      <c r="A6" s="1">
        <v>1</v>
      </c>
      <c r="B6" s="1" t="s">
        <v>793</v>
      </c>
      <c r="C6" s="1" t="s">
        <v>773</v>
      </c>
      <c r="D6" s="1">
        <v>1</v>
      </c>
      <c r="E6" s="1" t="s">
        <v>13</v>
      </c>
      <c r="F6" s="4">
        <v>45347</v>
      </c>
      <c r="G6" s="3">
        <f>I6+K6</f>
        <v>0.77780092592592587</v>
      </c>
      <c r="H6" s="6">
        <f>J6+K6</f>
        <v>0.78136574074074072</v>
      </c>
      <c r="I6" s="3">
        <v>2.4583333333333332E-2</v>
      </c>
      <c r="J6" s="6">
        <v>2.8148148148148148E-2</v>
      </c>
      <c r="K6" s="3">
        <v>0.75321759259259258</v>
      </c>
      <c r="L6" s="1" t="s">
        <v>8</v>
      </c>
      <c r="M6" s="1" t="s">
        <v>8</v>
      </c>
      <c r="N6" s="1">
        <v>1</v>
      </c>
      <c r="O6" s="1">
        <v>1</v>
      </c>
      <c r="P6" s="1">
        <v>90</v>
      </c>
      <c r="Q6" s="1">
        <v>90</v>
      </c>
      <c r="U6" s="1">
        <v>0</v>
      </c>
      <c r="V6" s="1" t="s">
        <v>34</v>
      </c>
    </row>
    <row r="7" spans="1:24" x14ac:dyDescent="0.2">
      <c r="A7" s="1">
        <v>1</v>
      </c>
      <c r="B7" s="1" t="s">
        <v>793</v>
      </c>
      <c r="C7" s="1" t="s">
        <v>773</v>
      </c>
      <c r="D7" s="1" t="s">
        <v>21</v>
      </c>
      <c r="E7" s="1" t="s">
        <v>21</v>
      </c>
      <c r="F7" s="4">
        <v>45347</v>
      </c>
      <c r="G7" s="1" t="s">
        <v>21</v>
      </c>
      <c r="H7" s="6" t="s">
        <v>21</v>
      </c>
      <c r="I7" s="1" t="s">
        <v>21</v>
      </c>
      <c r="J7" s="6" t="s">
        <v>21</v>
      </c>
      <c r="K7" s="1" t="s">
        <v>21</v>
      </c>
      <c r="L7" s="1" t="s">
        <v>21</v>
      </c>
      <c r="M7" s="1" t="s">
        <v>21</v>
      </c>
      <c r="N7" s="1" t="s">
        <v>21</v>
      </c>
      <c r="O7" s="1" t="s">
        <v>21</v>
      </c>
      <c r="P7" s="1">
        <v>90</v>
      </c>
      <c r="Q7" s="1">
        <v>90</v>
      </c>
      <c r="R7" s="1">
        <v>57.4</v>
      </c>
      <c r="U7" s="1" t="s">
        <v>21</v>
      </c>
      <c r="V7" s="1" t="s">
        <v>35</v>
      </c>
    </row>
    <row r="8" spans="1:24" x14ac:dyDescent="0.2">
      <c r="A8" s="1">
        <v>1</v>
      </c>
      <c r="B8" s="1" t="s">
        <v>793</v>
      </c>
      <c r="C8" s="1" t="s">
        <v>773</v>
      </c>
      <c r="D8" s="1">
        <v>1</v>
      </c>
      <c r="E8" s="1" t="s">
        <v>32</v>
      </c>
      <c r="F8" s="4">
        <v>45348</v>
      </c>
      <c r="G8" s="3">
        <f>I8+K8</f>
        <v>0.25459490740740742</v>
      </c>
      <c r="H8" s="6">
        <f>J8+K8</f>
        <v>0.26777777777777778</v>
      </c>
      <c r="I8" s="3">
        <v>3.0000000000000002E-2</v>
      </c>
      <c r="J8" s="6">
        <v>4.3182870370370365E-2</v>
      </c>
      <c r="K8" s="3">
        <v>0.2245949074074074</v>
      </c>
      <c r="L8" s="1" t="s">
        <v>8</v>
      </c>
      <c r="M8" s="1" t="s">
        <v>8</v>
      </c>
      <c r="N8" s="1">
        <v>1</v>
      </c>
      <c r="O8" s="1">
        <v>1</v>
      </c>
      <c r="P8" s="1">
        <v>90</v>
      </c>
      <c r="Q8" s="1">
        <v>90</v>
      </c>
      <c r="U8" s="1">
        <v>0</v>
      </c>
      <c r="V8" s="1" t="s">
        <v>33</v>
      </c>
    </row>
    <row r="9" spans="1:24" x14ac:dyDescent="0.2">
      <c r="A9" s="1">
        <v>1</v>
      </c>
      <c r="B9" s="1" t="s">
        <v>793</v>
      </c>
      <c r="C9" s="1" t="s">
        <v>773</v>
      </c>
      <c r="D9" s="1">
        <v>1</v>
      </c>
      <c r="E9" s="1" t="s">
        <v>44</v>
      </c>
      <c r="F9" s="4">
        <v>45348</v>
      </c>
      <c r="G9" s="3">
        <f>I9+K9</f>
        <v>0.77690972222222221</v>
      </c>
      <c r="H9" s="6" t="s">
        <v>21</v>
      </c>
      <c r="I9" s="3">
        <v>2.1898148148148149E-2</v>
      </c>
      <c r="J9" s="6" t="s">
        <v>21</v>
      </c>
      <c r="K9" s="3">
        <v>0.75501157407407404</v>
      </c>
      <c r="L9" s="1" t="s">
        <v>8</v>
      </c>
      <c r="M9" s="1" t="s">
        <v>21</v>
      </c>
      <c r="N9" s="1">
        <v>1</v>
      </c>
      <c r="O9" s="1" t="s">
        <v>21</v>
      </c>
      <c r="P9" s="1">
        <v>90</v>
      </c>
      <c r="Q9" s="1">
        <v>90</v>
      </c>
      <c r="R9" s="1">
        <v>57.4</v>
      </c>
      <c r="U9" s="1" t="s">
        <v>21</v>
      </c>
      <c r="V9" s="1" t="s">
        <v>45</v>
      </c>
    </row>
    <row r="10" spans="1:24" x14ac:dyDescent="0.2">
      <c r="A10" s="1">
        <v>1</v>
      </c>
      <c r="B10" s="1" t="s">
        <v>793</v>
      </c>
      <c r="C10" s="1" t="s">
        <v>773</v>
      </c>
      <c r="D10" s="1">
        <v>1</v>
      </c>
      <c r="E10" s="1" t="s">
        <v>38</v>
      </c>
      <c r="F10" s="4">
        <v>45349</v>
      </c>
      <c r="G10" s="3">
        <f>I10+K10</f>
        <v>0.77561342592592586</v>
      </c>
      <c r="H10" s="6" t="s">
        <v>21</v>
      </c>
      <c r="I10" s="3">
        <v>1.9212962962962963E-2</v>
      </c>
      <c r="J10" s="6" t="s">
        <v>21</v>
      </c>
      <c r="K10" s="3">
        <v>0.75640046296296293</v>
      </c>
      <c r="L10" s="1" t="s">
        <v>7</v>
      </c>
      <c r="M10" s="1" t="s">
        <v>21</v>
      </c>
      <c r="N10" s="1">
        <v>1</v>
      </c>
      <c r="O10" s="1" t="s">
        <v>21</v>
      </c>
      <c r="P10" s="1">
        <v>90</v>
      </c>
      <c r="Q10" s="1">
        <v>90</v>
      </c>
      <c r="R10" s="1">
        <v>57.4</v>
      </c>
      <c r="U10" s="1" t="s">
        <v>21</v>
      </c>
      <c r="V10" s="1" t="s">
        <v>39</v>
      </c>
    </row>
    <row r="11" spans="1:24" x14ac:dyDescent="0.2">
      <c r="A11" s="1">
        <v>1</v>
      </c>
      <c r="B11" s="1" t="s">
        <v>793</v>
      </c>
      <c r="C11" s="1" t="s">
        <v>773</v>
      </c>
      <c r="D11" s="1">
        <v>1</v>
      </c>
      <c r="E11" s="1" t="s">
        <v>42</v>
      </c>
      <c r="F11" s="4">
        <v>45349</v>
      </c>
      <c r="G11" s="3">
        <f>I11+K11</f>
        <v>0.25958333333333333</v>
      </c>
      <c r="H11" s="6">
        <f>J11+K11</f>
        <v>0.2727546296296296</v>
      </c>
      <c r="I11" s="3">
        <v>3.4212962962962966E-2</v>
      </c>
      <c r="J11" s="6">
        <v>4.7384259259259258E-2</v>
      </c>
      <c r="K11" s="3">
        <v>0.22537037037037036</v>
      </c>
      <c r="L11" s="1" t="s">
        <v>7</v>
      </c>
      <c r="M11" s="1" t="s">
        <v>7</v>
      </c>
      <c r="N11" s="1">
        <v>1</v>
      </c>
      <c r="O11" s="1">
        <v>1</v>
      </c>
      <c r="P11" s="1">
        <v>90</v>
      </c>
      <c r="Q11" s="1">
        <v>90</v>
      </c>
      <c r="R11" s="1">
        <v>57.4</v>
      </c>
      <c r="U11" s="1">
        <v>1</v>
      </c>
      <c r="V11" s="1" t="s">
        <v>43</v>
      </c>
    </row>
    <row r="12" spans="1:24" x14ac:dyDescent="0.2">
      <c r="A12" s="1">
        <v>1</v>
      </c>
      <c r="B12" s="1" t="s">
        <v>793</v>
      </c>
      <c r="C12" s="1" t="s">
        <v>773</v>
      </c>
      <c r="D12" s="1">
        <v>1</v>
      </c>
      <c r="E12" s="1" t="s">
        <v>40</v>
      </c>
      <c r="F12" s="4">
        <v>45350</v>
      </c>
      <c r="G12" s="3">
        <f>I12+K12</f>
        <v>0.25112268518518521</v>
      </c>
      <c r="H12" s="6">
        <f>J12+K12</f>
        <v>0.26076388888888891</v>
      </c>
      <c r="I12" s="3">
        <v>1.5069444444444443E-2</v>
      </c>
      <c r="J12" s="6">
        <v>2.4710648148148148E-2</v>
      </c>
      <c r="K12" s="3">
        <v>0.23605324074074074</v>
      </c>
      <c r="L12" s="1" t="s">
        <v>7</v>
      </c>
      <c r="M12" s="1" t="s">
        <v>8</v>
      </c>
      <c r="N12" s="1">
        <v>1</v>
      </c>
      <c r="O12" s="1">
        <v>1</v>
      </c>
      <c r="P12" s="1">
        <v>90</v>
      </c>
      <c r="Q12" s="1">
        <v>90</v>
      </c>
      <c r="R12" s="1">
        <v>57.4</v>
      </c>
      <c r="U12" s="1">
        <v>1</v>
      </c>
      <c r="V12" s="1" t="s">
        <v>41</v>
      </c>
    </row>
    <row r="13" spans="1:24" x14ac:dyDescent="0.2">
      <c r="A13" s="1">
        <v>1</v>
      </c>
      <c r="B13" s="1" t="s">
        <v>793</v>
      </c>
      <c r="C13" s="1" t="s">
        <v>773</v>
      </c>
      <c r="D13" s="1">
        <v>1</v>
      </c>
      <c r="E13" s="1" t="s">
        <v>54</v>
      </c>
      <c r="F13" s="4">
        <v>45350</v>
      </c>
      <c r="G13" s="3">
        <f>I13+K13</f>
        <v>0.77673611111111096</v>
      </c>
      <c r="H13" s="6">
        <f>J13+K13</f>
        <v>0.77898148148148139</v>
      </c>
      <c r="I13" s="3">
        <v>1.2719907407407407E-2</v>
      </c>
      <c r="J13" s="6">
        <v>1.4965277777777779E-2</v>
      </c>
      <c r="K13" s="3">
        <v>0.7640162037037036</v>
      </c>
      <c r="L13" s="1" t="s">
        <v>7</v>
      </c>
      <c r="M13" s="1" t="s">
        <v>7</v>
      </c>
      <c r="N13" s="1">
        <v>3</v>
      </c>
      <c r="O13" s="1">
        <v>3</v>
      </c>
      <c r="P13" s="1">
        <v>90</v>
      </c>
      <c r="Q13" s="1">
        <v>90</v>
      </c>
      <c r="R13" s="1">
        <v>57.4</v>
      </c>
      <c r="U13" s="1">
        <v>1</v>
      </c>
      <c r="V13" s="1" t="s">
        <v>55</v>
      </c>
    </row>
    <row r="14" spans="1:24" x14ac:dyDescent="0.2">
      <c r="A14" s="1">
        <v>1</v>
      </c>
      <c r="B14" s="1" t="s">
        <v>793</v>
      </c>
      <c r="C14" s="1" t="s">
        <v>773</v>
      </c>
      <c r="D14" s="1">
        <v>1</v>
      </c>
      <c r="E14" s="1" t="s">
        <v>52</v>
      </c>
      <c r="F14" s="4">
        <v>45351</v>
      </c>
      <c r="G14" s="3">
        <f>I14+K14</f>
        <v>0.77805555555555561</v>
      </c>
      <c r="H14" s="6">
        <f>J14+K14</f>
        <v>0.78778935185185184</v>
      </c>
      <c r="I14" s="3">
        <v>2.7071759259259257E-2</v>
      </c>
      <c r="J14" s="6">
        <v>3.6805555555555557E-2</v>
      </c>
      <c r="K14" s="3">
        <v>0.7509837962962963</v>
      </c>
      <c r="L14" s="1" t="s">
        <v>8</v>
      </c>
      <c r="M14" s="1" t="s">
        <v>8</v>
      </c>
      <c r="N14" s="1">
        <v>3</v>
      </c>
      <c r="O14" s="1">
        <v>3</v>
      </c>
      <c r="P14" s="1">
        <v>90</v>
      </c>
      <c r="Q14" s="1">
        <v>90</v>
      </c>
      <c r="R14" s="1">
        <v>57.4</v>
      </c>
      <c r="U14" s="1">
        <v>1</v>
      </c>
    </row>
    <row r="15" spans="1:24" x14ac:dyDescent="0.2">
      <c r="A15" s="1">
        <v>1</v>
      </c>
      <c r="B15" s="1" t="s">
        <v>793</v>
      </c>
      <c r="C15" s="1" t="s">
        <v>773</v>
      </c>
      <c r="D15" s="1" t="s">
        <v>21</v>
      </c>
      <c r="E15" s="1" t="s">
        <v>21</v>
      </c>
      <c r="F15" s="4">
        <v>45351</v>
      </c>
      <c r="G15" s="1" t="s">
        <v>21</v>
      </c>
      <c r="H15" s="6" t="s">
        <v>21</v>
      </c>
      <c r="I15" s="1" t="s">
        <v>21</v>
      </c>
      <c r="J15" s="6" t="s">
        <v>21</v>
      </c>
      <c r="K15" s="1" t="s">
        <v>21</v>
      </c>
      <c r="L15" s="1" t="s">
        <v>21</v>
      </c>
      <c r="M15" s="1" t="s">
        <v>21</v>
      </c>
      <c r="N15" s="1" t="s">
        <v>21</v>
      </c>
      <c r="O15" s="1" t="s">
        <v>21</v>
      </c>
      <c r="P15" s="1">
        <v>90</v>
      </c>
      <c r="Q15" s="1">
        <v>90</v>
      </c>
      <c r="R15" s="1">
        <v>57.4</v>
      </c>
      <c r="S15" s="1">
        <v>57.4</v>
      </c>
      <c r="T15" s="1"/>
      <c r="U15" s="1" t="s">
        <v>21</v>
      </c>
      <c r="V15" s="1" t="s">
        <v>201</v>
      </c>
    </row>
    <row r="16" spans="1:24" x14ac:dyDescent="0.2">
      <c r="A16" s="1">
        <v>1</v>
      </c>
      <c r="B16" s="1" t="s">
        <v>793</v>
      </c>
      <c r="C16" s="1" t="s">
        <v>773</v>
      </c>
      <c r="D16" s="1">
        <v>1</v>
      </c>
      <c r="E16" s="1" t="s">
        <v>56</v>
      </c>
      <c r="F16" s="4">
        <v>45352</v>
      </c>
      <c r="G16" s="3">
        <f>I16+K16</f>
        <v>0.22674768518518518</v>
      </c>
      <c r="H16" s="6">
        <f>J16+K16</f>
        <v>0.24906249999999999</v>
      </c>
      <c r="I16" s="3">
        <v>6.6782407407407415E-3</v>
      </c>
      <c r="J16" s="6">
        <v>2.8993055555555553E-2</v>
      </c>
      <c r="K16" s="3">
        <v>0.22006944444444443</v>
      </c>
      <c r="L16" s="1" t="s">
        <v>7</v>
      </c>
      <c r="M16" s="1" t="s">
        <v>8</v>
      </c>
      <c r="N16" s="1">
        <v>3</v>
      </c>
      <c r="O16" s="1">
        <v>3</v>
      </c>
      <c r="P16" s="1">
        <v>90</v>
      </c>
      <c r="Q16" s="1">
        <v>90</v>
      </c>
      <c r="R16" s="1">
        <v>57.4</v>
      </c>
      <c r="U16" s="1">
        <v>0</v>
      </c>
    </row>
    <row r="17" spans="1:24" x14ac:dyDescent="0.2">
      <c r="A17" s="1">
        <v>1</v>
      </c>
      <c r="B17" s="1" t="s">
        <v>793</v>
      </c>
      <c r="C17" s="1" t="s">
        <v>773</v>
      </c>
      <c r="D17" s="1">
        <v>2</v>
      </c>
      <c r="E17" s="1" t="s">
        <v>56</v>
      </c>
      <c r="F17" s="4">
        <v>45352</v>
      </c>
      <c r="G17" s="3">
        <f>I17+K17</f>
        <v>0.2519675925925926</v>
      </c>
      <c r="H17" s="6">
        <f>J17+K17</f>
        <v>0.27140046296296294</v>
      </c>
      <c r="I17" s="3">
        <v>3.1898148148148148E-2</v>
      </c>
      <c r="J17" s="6">
        <v>5.1331018518518519E-2</v>
      </c>
      <c r="K17" s="3">
        <v>0.22006944444444443</v>
      </c>
      <c r="L17" s="1" t="s">
        <v>8</v>
      </c>
      <c r="M17" s="1" t="s">
        <v>8</v>
      </c>
      <c r="N17" s="1">
        <v>3</v>
      </c>
      <c r="O17" s="1">
        <v>3</v>
      </c>
      <c r="P17" s="1">
        <v>90</v>
      </c>
      <c r="Q17" s="1">
        <v>90</v>
      </c>
      <c r="R17" s="1">
        <v>57.4</v>
      </c>
      <c r="U17" s="1">
        <v>0</v>
      </c>
      <c r="V17" s="1" t="s">
        <v>57</v>
      </c>
    </row>
    <row r="18" spans="1:24" x14ac:dyDescent="0.2">
      <c r="A18" s="1">
        <v>1</v>
      </c>
      <c r="B18" s="1" t="s">
        <v>793</v>
      </c>
      <c r="C18" s="1" t="s">
        <v>773</v>
      </c>
      <c r="D18" s="1">
        <v>1</v>
      </c>
      <c r="E18" s="1" t="s">
        <v>67</v>
      </c>
      <c r="F18" s="4">
        <v>45352</v>
      </c>
      <c r="G18" s="3">
        <f>I18+K18</f>
        <v>0.77428240740740728</v>
      </c>
      <c r="H18" s="6" t="s">
        <v>21</v>
      </c>
      <c r="I18" s="3">
        <v>2.4259259259259258E-2</v>
      </c>
      <c r="J18" s="6" t="s">
        <v>21</v>
      </c>
      <c r="K18" s="3">
        <v>0.75002314814814808</v>
      </c>
      <c r="L18" s="1" t="s">
        <v>8</v>
      </c>
      <c r="M18" s="1" t="s">
        <v>21</v>
      </c>
      <c r="N18" s="1">
        <v>3</v>
      </c>
      <c r="O18" s="1" t="s">
        <v>21</v>
      </c>
      <c r="P18" s="1">
        <v>90</v>
      </c>
      <c r="Q18" s="1">
        <v>90</v>
      </c>
      <c r="R18" s="1">
        <v>57.4</v>
      </c>
      <c r="S18" s="2" t="s">
        <v>21</v>
      </c>
      <c r="U18" s="1" t="s">
        <v>21</v>
      </c>
      <c r="V18" s="1" t="s">
        <v>68</v>
      </c>
    </row>
    <row r="19" spans="1:24" x14ac:dyDescent="0.2">
      <c r="A19" s="1">
        <v>1</v>
      </c>
      <c r="B19" s="1" t="s">
        <v>793</v>
      </c>
      <c r="C19" s="1" t="s">
        <v>773</v>
      </c>
      <c r="D19" s="1">
        <v>1</v>
      </c>
      <c r="E19" s="1" t="s">
        <v>102</v>
      </c>
      <c r="F19" s="4">
        <v>45353</v>
      </c>
      <c r="G19" s="3">
        <f>I19+K19</f>
        <v>0.24302083333333335</v>
      </c>
      <c r="H19" s="6">
        <f>J19+K19</f>
        <v>0.25237268518518519</v>
      </c>
      <c r="I19" s="3">
        <v>2.3009259259259257E-2</v>
      </c>
      <c r="J19" s="6">
        <v>3.2361111111111111E-2</v>
      </c>
      <c r="K19" s="3">
        <v>0.2200115740740741</v>
      </c>
      <c r="L19" s="1" t="s">
        <v>8</v>
      </c>
      <c r="M19" s="1" t="s">
        <v>7</v>
      </c>
      <c r="N19" s="1">
        <v>3</v>
      </c>
      <c r="O19" s="1">
        <v>3</v>
      </c>
      <c r="P19" s="1">
        <v>90</v>
      </c>
      <c r="Q19" s="1">
        <v>90</v>
      </c>
      <c r="R19" s="1">
        <v>57.4</v>
      </c>
      <c r="S19" s="1">
        <v>115.17</v>
      </c>
      <c r="T19" s="1"/>
      <c r="U19" s="1">
        <v>1</v>
      </c>
      <c r="W19" s="1"/>
    </row>
    <row r="20" spans="1:24" x14ac:dyDescent="0.2">
      <c r="A20" s="1">
        <v>1</v>
      </c>
      <c r="B20" s="1" t="s">
        <v>793</v>
      </c>
      <c r="C20" s="1" t="s">
        <v>773</v>
      </c>
      <c r="D20" s="1" t="s">
        <v>21</v>
      </c>
      <c r="E20" s="1" t="s">
        <v>74</v>
      </c>
      <c r="F20" s="4">
        <v>45353</v>
      </c>
      <c r="G20" s="1" t="s">
        <v>21</v>
      </c>
      <c r="H20" s="6" t="s">
        <v>21</v>
      </c>
      <c r="I20" s="1" t="s">
        <v>21</v>
      </c>
      <c r="J20" s="6" t="s">
        <v>21</v>
      </c>
      <c r="K20" s="3">
        <v>0.74763888888888896</v>
      </c>
      <c r="L20" s="1" t="s">
        <v>7</v>
      </c>
      <c r="M20" s="1" t="s">
        <v>21</v>
      </c>
      <c r="N20" s="1">
        <v>3</v>
      </c>
      <c r="O20" s="1" t="s">
        <v>21</v>
      </c>
      <c r="P20" s="1">
        <v>90</v>
      </c>
      <c r="Q20" s="1">
        <v>90</v>
      </c>
      <c r="R20" s="1">
        <v>57.4</v>
      </c>
      <c r="S20" s="2" t="s">
        <v>21</v>
      </c>
      <c r="U20" s="1" t="s">
        <v>21</v>
      </c>
      <c r="V20" s="1" t="s">
        <v>58</v>
      </c>
    </row>
    <row r="21" spans="1:24" x14ac:dyDescent="0.2">
      <c r="A21" s="1">
        <v>1</v>
      </c>
      <c r="B21" s="1" t="s">
        <v>793</v>
      </c>
      <c r="C21" s="1" t="s">
        <v>773</v>
      </c>
      <c r="D21" s="1">
        <v>1</v>
      </c>
      <c r="E21" s="1" t="s">
        <v>104</v>
      </c>
      <c r="F21" s="4">
        <v>45354</v>
      </c>
      <c r="G21" s="3">
        <f>I21+K21</f>
        <v>0.24957175925925926</v>
      </c>
      <c r="H21" s="6">
        <f>J21+K21</f>
        <v>0.25850694444444444</v>
      </c>
      <c r="I21" s="3">
        <v>2.3912037037037034E-2</v>
      </c>
      <c r="J21" s="6">
        <v>3.2847222222222222E-2</v>
      </c>
      <c r="K21" s="3">
        <v>0.22565972222222222</v>
      </c>
      <c r="L21" s="1" t="s">
        <v>7</v>
      </c>
      <c r="M21" s="1" t="s">
        <v>8</v>
      </c>
      <c r="N21" s="1">
        <v>3</v>
      </c>
      <c r="O21" s="1">
        <v>3</v>
      </c>
      <c r="P21" s="1">
        <v>90</v>
      </c>
      <c r="Q21" s="1">
        <v>90</v>
      </c>
      <c r="R21" s="1">
        <v>57.4</v>
      </c>
      <c r="S21" s="1">
        <v>38.4</v>
      </c>
      <c r="T21" s="1"/>
      <c r="U21" s="1">
        <v>0</v>
      </c>
      <c r="V21" s="1" t="s">
        <v>73</v>
      </c>
      <c r="W21" s="1"/>
    </row>
    <row r="22" spans="1:24" x14ac:dyDescent="0.2">
      <c r="A22" s="1">
        <v>1</v>
      </c>
      <c r="B22" s="1" t="s">
        <v>793</v>
      </c>
      <c r="C22" s="1" t="s">
        <v>773</v>
      </c>
      <c r="D22" s="1" t="s">
        <v>21</v>
      </c>
      <c r="E22" s="1" t="s">
        <v>81</v>
      </c>
      <c r="F22" s="4">
        <v>45354</v>
      </c>
      <c r="G22" s="3">
        <f>I22+K22</f>
        <v>0.77482638888888888</v>
      </c>
      <c r="H22" s="6" t="s">
        <v>21</v>
      </c>
      <c r="I22" s="3">
        <v>2.3090277777777779E-2</v>
      </c>
      <c r="J22" s="6" t="s">
        <v>21</v>
      </c>
      <c r="K22" s="3">
        <v>0.75173611111111116</v>
      </c>
      <c r="L22" s="1" t="s">
        <v>8</v>
      </c>
      <c r="M22" s="1" t="s">
        <v>21</v>
      </c>
      <c r="N22" s="1">
        <v>3</v>
      </c>
      <c r="O22" s="1" t="s">
        <v>21</v>
      </c>
      <c r="P22" s="1">
        <v>90</v>
      </c>
      <c r="Q22" s="1">
        <v>90</v>
      </c>
      <c r="R22" s="1">
        <v>57.4</v>
      </c>
      <c r="S22" s="2" t="s">
        <v>21</v>
      </c>
      <c r="U22" s="1" t="s">
        <v>21</v>
      </c>
      <c r="V22" s="1" t="s">
        <v>82</v>
      </c>
    </row>
    <row r="23" spans="1:24" x14ac:dyDescent="0.2">
      <c r="A23" s="1">
        <v>1</v>
      </c>
      <c r="B23" s="1" t="s">
        <v>793</v>
      </c>
      <c r="C23" s="1" t="s">
        <v>773</v>
      </c>
      <c r="D23" s="1">
        <v>1</v>
      </c>
      <c r="E23" s="1" t="s">
        <v>80</v>
      </c>
      <c r="F23" s="4">
        <v>45355</v>
      </c>
      <c r="G23" s="3">
        <f>I23+K23</f>
        <v>0.24915509259259261</v>
      </c>
      <c r="H23" s="6">
        <f>J23+K23</f>
        <v>0.25762731481481482</v>
      </c>
      <c r="I23" s="3">
        <v>2.3506944444444445E-2</v>
      </c>
      <c r="J23" s="6">
        <v>3.1979166666666663E-2</v>
      </c>
      <c r="K23" s="3">
        <v>0.22564814814814815</v>
      </c>
      <c r="L23" s="1" t="s">
        <v>8</v>
      </c>
      <c r="M23" s="1" t="s">
        <v>7</v>
      </c>
      <c r="N23" s="1">
        <v>3</v>
      </c>
      <c r="O23" s="1">
        <v>3</v>
      </c>
      <c r="P23" s="1">
        <v>90</v>
      </c>
      <c r="Q23" s="1">
        <v>90</v>
      </c>
      <c r="R23" s="1">
        <v>57.4</v>
      </c>
      <c r="S23" s="1">
        <v>115.17</v>
      </c>
      <c r="T23" s="1"/>
      <c r="U23" s="1">
        <v>1</v>
      </c>
      <c r="W23" s="1"/>
    </row>
    <row r="24" spans="1:24" x14ac:dyDescent="0.2">
      <c r="A24" s="1">
        <v>1</v>
      </c>
      <c r="B24" s="1" t="s">
        <v>793</v>
      </c>
      <c r="C24" s="1" t="s">
        <v>773</v>
      </c>
      <c r="D24" s="1">
        <v>1</v>
      </c>
      <c r="E24" s="1" t="s">
        <v>92</v>
      </c>
      <c r="F24" s="4">
        <v>45355</v>
      </c>
      <c r="G24" s="3">
        <f>I24+K24</f>
        <v>0.77473379629629624</v>
      </c>
      <c r="H24" s="6">
        <f>J24+K24</f>
        <v>0.78077546296296285</v>
      </c>
      <c r="I24" s="3">
        <v>2.9641203703703701E-2</v>
      </c>
      <c r="J24" s="6">
        <v>3.5682870370370372E-2</v>
      </c>
      <c r="K24" s="3">
        <v>0.74509259259259253</v>
      </c>
      <c r="L24" s="1" t="s">
        <v>8</v>
      </c>
      <c r="M24" s="1" t="s">
        <v>7</v>
      </c>
      <c r="N24" s="1">
        <v>1</v>
      </c>
      <c r="O24" s="1">
        <v>3</v>
      </c>
      <c r="P24" s="1">
        <v>90</v>
      </c>
      <c r="Q24" s="1">
        <v>90</v>
      </c>
      <c r="R24" s="1">
        <v>57.4</v>
      </c>
      <c r="S24" s="1">
        <v>57.4</v>
      </c>
      <c r="T24" s="1"/>
      <c r="U24" s="1" t="s">
        <v>21</v>
      </c>
      <c r="V24" s="1" t="s">
        <v>93</v>
      </c>
      <c r="W24" s="1"/>
    </row>
    <row r="25" spans="1:24" x14ac:dyDescent="0.2">
      <c r="A25" s="1">
        <v>1</v>
      </c>
      <c r="B25" s="1" t="s">
        <v>793</v>
      </c>
      <c r="C25" s="1" t="s">
        <v>773</v>
      </c>
      <c r="D25" s="1">
        <v>1</v>
      </c>
      <c r="E25" s="1" t="s">
        <v>89</v>
      </c>
      <c r="F25" s="4">
        <v>45356</v>
      </c>
      <c r="G25" s="3">
        <f>I25+K25</f>
        <v>0.2457523148148148</v>
      </c>
      <c r="H25" s="6">
        <f>J25+K25</f>
        <v>0.25917824074074075</v>
      </c>
      <c r="I25" s="3">
        <v>2.0208333333333335E-2</v>
      </c>
      <c r="J25" s="6">
        <v>3.363425925925926E-2</v>
      </c>
      <c r="K25" s="3">
        <v>0.22554398148148147</v>
      </c>
      <c r="L25" s="1" t="s">
        <v>7</v>
      </c>
      <c r="M25" s="1" t="s">
        <v>8</v>
      </c>
      <c r="N25" s="1">
        <v>3</v>
      </c>
      <c r="O25" s="1">
        <v>3</v>
      </c>
      <c r="P25" s="1">
        <v>90</v>
      </c>
      <c r="Q25" s="1">
        <v>90</v>
      </c>
      <c r="R25" s="1">
        <v>57.4</v>
      </c>
      <c r="S25" s="1">
        <v>38.4</v>
      </c>
      <c r="T25" s="1"/>
      <c r="U25" s="1">
        <v>0</v>
      </c>
      <c r="V25" s="1" t="s">
        <v>90</v>
      </c>
      <c r="W25" s="1"/>
    </row>
    <row r="26" spans="1:24" x14ac:dyDescent="0.2">
      <c r="A26" s="1">
        <v>1</v>
      </c>
      <c r="B26" s="1" t="s">
        <v>793</v>
      </c>
      <c r="C26" s="1" t="s">
        <v>773</v>
      </c>
      <c r="D26" s="1" t="s">
        <v>21</v>
      </c>
      <c r="E26" s="1" t="s">
        <v>95</v>
      </c>
      <c r="F26" s="4">
        <v>45356</v>
      </c>
      <c r="G26" s="3">
        <f>I26+K26</f>
        <v>0.77171296296296288</v>
      </c>
      <c r="H26" s="6" t="s">
        <v>21</v>
      </c>
      <c r="I26" s="3">
        <v>1.6296296296296295E-2</v>
      </c>
      <c r="J26" s="6" t="s">
        <v>21</v>
      </c>
      <c r="K26" s="3">
        <v>0.75541666666666663</v>
      </c>
      <c r="L26" s="1" t="s">
        <v>8</v>
      </c>
      <c r="M26" s="1" t="s">
        <v>21</v>
      </c>
      <c r="N26" s="1">
        <v>3</v>
      </c>
      <c r="O26" s="1" t="s">
        <v>21</v>
      </c>
      <c r="P26" s="1">
        <v>90</v>
      </c>
      <c r="Q26" s="1">
        <v>90</v>
      </c>
      <c r="R26" s="1">
        <v>57.4</v>
      </c>
      <c r="S26" s="2" t="s">
        <v>21</v>
      </c>
      <c r="U26" s="1" t="s">
        <v>21</v>
      </c>
      <c r="V26" s="1" t="s">
        <v>97</v>
      </c>
    </row>
    <row r="27" spans="1:24" x14ac:dyDescent="0.2">
      <c r="A27" s="1">
        <v>1</v>
      </c>
      <c r="B27" s="1" t="s">
        <v>793</v>
      </c>
      <c r="C27" s="1" t="s">
        <v>773</v>
      </c>
      <c r="D27" s="1" t="s">
        <v>21</v>
      </c>
      <c r="E27" s="1" t="s">
        <v>98</v>
      </c>
      <c r="F27" s="4">
        <v>45357</v>
      </c>
      <c r="G27" s="1" t="s">
        <v>21</v>
      </c>
      <c r="H27" s="6" t="s">
        <v>21</v>
      </c>
      <c r="I27" s="1" t="s">
        <v>21</v>
      </c>
      <c r="J27" s="6" t="s">
        <v>21</v>
      </c>
      <c r="K27" s="3">
        <v>0.22777777777777777</v>
      </c>
      <c r="L27" s="1" t="s">
        <v>7</v>
      </c>
      <c r="M27" s="1" t="s">
        <v>21</v>
      </c>
      <c r="N27" s="1">
        <v>3</v>
      </c>
      <c r="O27" s="1" t="s">
        <v>21</v>
      </c>
      <c r="P27" s="1">
        <v>90</v>
      </c>
      <c r="Q27" s="1">
        <v>90</v>
      </c>
      <c r="R27" s="1">
        <v>57.4</v>
      </c>
      <c r="S27" s="2" t="s">
        <v>21</v>
      </c>
      <c r="U27" s="1" t="s">
        <v>21</v>
      </c>
      <c r="V27" s="16" t="s">
        <v>200</v>
      </c>
    </row>
    <row r="28" spans="1:24" s="7" customFormat="1" x14ac:dyDescent="0.2">
      <c r="A28" s="1">
        <v>1</v>
      </c>
      <c r="B28" s="1" t="s">
        <v>793</v>
      </c>
      <c r="C28" s="1" t="s">
        <v>773</v>
      </c>
      <c r="D28" s="1" t="s">
        <v>21</v>
      </c>
      <c r="E28" s="1" t="s">
        <v>106</v>
      </c>
      <c r="F28" s="4">
        <v>45357</v>
      </c>
      <c r="G28" s="1" t="s">
        <v>21</v>
      </c>
      <c r="H28" s="6" t="s">
        <v>21</v>
      </c>
      <c r="I28" s="1" t="s">
        <v>21</v>
      </c>
      <c r="J28" s="6" t="s">
        <v>21</v>
      </c>
      <c r="K28" s="3">
        <v>0.74667824074074074</v>
      </c>
      <c r="L28" s="1" t="s">
        <v>8</v>
      </c>
      <c r="M28" s="1" t="s">
        <v>21</v>
      </c>
      <c r="N28" s="1">
        <v>3</v>
      </c>
      <c r="O28" s="1" t="s">
        <v>21</v>
      </c>
      <c r="P28" s="1">
        <v>90</v>
      </c>
      <c r="Q28" s="1">
        <v>90</v>
      </c>
      <c r="R28" s="1">
        <v>57.4</v>
      </c>
      <c r="S28" s="2" t="s">
        <v>21</v>
      </c>
      <c r="T28" s="2"/>
      <c r="U28" s="1" t="s">
        <v>21</v>
      </c>
      <c r="V28" s="1" t="s">
        <v>107</v>
      </c>
      <c r="W28" s="2"/>
      <c r="X28" s="4"/>
    </row>
    <row r="29" spans="1:24" x14ac:dyDescent="0.2">
      <c r="A29" s="1">
        <v>1</v>
      </c>
      <c r="B29" s="1" t="s">
        <v>793</v>
      </c>
      <c r="C29" s="1" t="s">
        <v>773</v>
      </c>
      <c r="D29" s="1">
        <v>1</v>
      </c>
      <c r="E29" s="1" t="s">
        <v>105</v>
      </c>
      <c r="F29" s="4">
        <v>45358</v>
      </c>
      <c r="G29" s="3">
        <f>I29+K29</f>
        <v>0.24783564814814815</v>
      </c>
      <c r="H29" s="6" t="s">
        <v>21</v>
      </c>
      <c r="I29" s="3">
        <v>2.476851851851852E-2</v>
      </c>
      <c r="J29" s="6" t="s">
        <v>21</v>
      </c>
      <c r="K29" s="3">
        <v>0.22306712962962963</v>
      </c>
      <c r="L29" s="1" t="s">
        <v>8</v>
      </c>
      <c r="M29" s="1" t="s">
        <v>7</v>
      </c>
      <c r="N29" s="1">
        <v>3</v>
      </c>
      <c r="O29" s="1">
        <v>3</v>
      </c>
      <c r="P29" s="1">
        <v>90</v>
      </c>
      <c r="Q29" s="1">
        <v>90</v>
      </c>
      <c r="R29" s="1">
        <v>57.4</v>
      </c>
      <c r="S29" s="1">
        <v>38.4</v>
      </c>
      <c r="T29" s="1"/>
      <c r="U29" s="1" t="s">
        <v>21</v>
      </c>
      <c r="V29" s="1" t="s">
        <v>202</v>
      </c>
      <c r="W29" s="1"/>
    </row>
    <row r="30" spans="1:24" x14ac:dyDescent="0.2">
      <c r="A30" s="1">
        <v>1</v>
      </c>
      <c r="B30" s="1" t="s">
        <v>793</v>
      </c>
      <c r="C30" s="1" t="s">
        <v>773</v>
      </c>
      <c r="D30" s="1">
        <v>1</v>
      </c>
      <c r="E30" s="1" t="s">
        <v>115</v>
      </c>
      <c r="F30" s="4">
        <v>45358</v>
      </c>
      <c r="G30" s="3">
        <f>I30+K30</f>
        <v>0.77120370370370372</v>
      </c>
      <c r="H30" s="6">
        <f>J30+K30</f>
        <v>0.78069444444444447</v>
      </c>
      <c r="I30" s="3">
        <v>1.554398148148148E-2</v>
      </c>
      <c r="J30" s="6">
        <v>2.5034722222222222E-2</v>
      </c>
      <c r="K30" s="3">
        <v>0.75565972222222222</v>
      </c>
      <c r="L30" s="1" t="s">
        <v>7</v>
      </c>
      <c r="M30" s="1" t="s">
        <v>8</v>
      </c>
      <c r="N30" s="1">
        <v>1</v>
      </c>
      <c r="O30" s="1">
        <v>3</v>
      </c>
      <c r="P30" s="1">
        <v>90</v>
      </c>
      <c r="Q30" s="1">
        <v>90</v>
      </c>
      <c r="R30" s="1">
        <v>57.4</v>
      </c>
      <c r="S30" s="1">
        <v>57.4</v>
      </c>
      <c r="T30" s="1"/>
      <c r="U30" s="1">
        <v>1</v>
      </c>
      <c r="V30" s="1" t="s">
        <v>116</v>
      </c>
      <c r="W30" s="1"/>
    </row>
    <row r="31" spans="1:24" x14ac:dyDescent="0.2">
      <c r="A31" s="1">
        <v>1</v>
      </c>
      <c r="B31" s="1" t="s">
        <v>793</v>
      </c>
      <c r="C31" s="1" t="s">
        <v>773</v>
      </c>
      <c r="D31" s="1">
        <v>1</v>
      </c>
      <c r="E31" s="1" t="s">
        <v>113</v>
      </c>
      <c r="F31" s="4">
        <v>45359</v>
      </c>
      <c r="G31" s="3">
        <f>I31+K31</f>
        <v>0.24938657407407405</v>
      </c>
      <c r="H31" s="6" t="s">
        <v>21</v>
      </c>
      <c r="I31" s="3">
        <v>2.2847222222222224E-2</v>
      </c>
      <c r="J31" s="6" t="s">
        <v>21</v>
      </c>
      <c r="K31" s="3">
        <v>0.22653935185185184</v>
      </c>
      <c r="L31" s="1" t="s">
        <v>8</v>
      </c>
      <c r="M31" s="1" t="s">
        <v>21</v>
      </c>
      <c r="N31" s="1">
        <v>3</v>
      </c>
      <c r="O31" s="1" t="s">
        <v>21</v>
      </c>
      <c r="P31" s="1">
        <v>90</v>
      </c>
      <c r="Q31" s="1">
        <v>90</v>
      </c>
      <c r="R31" s="1">
        <v>57.4</v>
      </c>
      <c r="S31" s="2" t="s">
        <v>21</v>
      </c>
      <c r="U31" s="1" t="s">
        <v>21</v>
      </c>
      <c r="V31" s="1" t="s">
        <v>114</v>
      </c>
    </row>
    <row r="32" spans="1:24" x14ac:dyDescent="0.2">
      <c r="A32" s="1">
        <v>1</v>
      </c>
      <c r="B32" s="1" t="s">
        <v>793</v>
      </c>
      <c r="C32" s="1" t="s">
        <v>773</v>
      </c>
      <c r="D32" s="1">
        <v>2</v>
      </c>
      <c r="E32" s="1" t="s">
        <v>113</v>
      </c>
      <c r="F32" s="4">
        <v>45359</v>
      </c>
      <c r="G32" s="3">
        <f>I32+K32</f>
        <v>0.25890046296296293</v>
      </c>
      <c r="H32" s="6">
        <f>J32+K32</f>
        <v>0.27071759259259259</v>
      </c>
      <c r="I32" s="3">
        <v>3.2361111111111111E-2</v>
      </c>
      <c r="J32" s="6">
        <v>4.4178240740740747E-2</v>
      </c>
      <c r="K32" s="3">
        <v>0.22653935185185184</v>
      </c>
      <c r="L32" s="1" t="s">
        <v>7</v>
      </c>
      <c r="M32" s="1" t="s">
        <v>7</v>
      </c>
      <c r="N32" s="1">
        <v>3</v>
      </c>
      <c r="O32" s="1">
        <v>3</v>
      </c>
      <c r="P32" s="1">
        <v>90</v>
      </c>
      <c r="Q32" s="1">
        <v>90</v>
      </c>
      <c r="R32" s="1">
        <v>115.17</v>
      </c>
      <c r="S32" s="1">
        <v>115.17</v>
      </c>
      <c r="T32" s="1"/>
      <c r="U32" s="1">
        <v>0</v>
      </c>
      <c r="V32" s="1" t="s">
        <v>787</v>
      </c>
      <c r="W32" s="1"/>
    </row>
    <row r="33" spans="1:24" x14ac:dyDescent="0.2">
      <c r="A33" s="1">
        <v>1</v>
      </c>
      <c r="B33" s="1" t="s">
        <v>793</v>
      </c>
      <c r="C33" s="1" t="s">
        <v>773</v>
      </c>
      <c r="D33" s="1">
        <v>1</v>
      </c>
      <c r="E33" s="1" t="s">
        <v>132</v>
      </c>
      <c r="F33" s="4">
        <v>45359</v>
      </c>
      <c r="G33" s="3">
        <f>I33+K33</f>
        <v>0.77031250000000007</v>
      </c>
      <c r="H33" s="6">
        <f>J33+K33</f>
        <v>0.78964120370370372</v>
      </c>
      <c r="I33" s="3">
        <v>3.2881944444444443E-2</v>
      </c>
      <c r="J33" s="6">
        <v>5.2210648148148152E-2</v>
      </c>
      <c r="K33" s="3">
        <v>0.73743055555555559</v>
      </c>
      <c r="L33" s="1" t="s">
        <v>7</v>
      </c>
      <c r="M33" s="1" t="s">
        <v>8</v>
      </c>
      <c r="N33" s="1">
        <v>1</v>
      </c>
      <c r="O33" s="1">
        <v>3</v>
      </c>
      <c r="P33" s="1">
        <v>90</v>
      </c>
      <c r="Q33" s="1">
        <v>90</v>
      </c>
      <c r="R33" s="1">
        <v>57.4</v>
      </c>
      <c r="S33" s="1">
        <v>57.4</v>
      </c>
      <c r="T33" s="1"/>
      <c r="U33" s="1">
        <v>1</v>
      </c>
      <c r="W33" s="1"/>
    </row>
    <row r="34" spans="1:24" x14ac:dyDescent="0.2">
      <c r="A34" s="1">
        <v>1</v>
      </c>
      <c r="B34" s="1" t="s">
        <v>793</v>
      </c>
      <c r="C34" s="1" t="s">
        <v>773</v>
      </c>
      <c r="D34" s="1" t="s">
        <v>21</v>
      </c>
      <c r="E34" s="1" t="s">
        <v>21</v>
      </c>
      <c r="F34" s="4">
        <v>45360</v>
      </c>
      <c r="G34" s="1" t="s">
        <v>21</v>
      </c>
      <c r="H34" s="6" t="s">
        <v>21</v>
      </c>
      <c r="I34" s="1" t="s">
        <v>21</v>
      </c>
      <c r="J34" s="6" t="s">
        <v>21</v>
      </c>
      <c r="K34" s="1" t="s">
        <v>21</v>
      </c>
      <c r="N34" s="1" t="s">
        <v>21</v>
      </c>
      <c r="P34" s="1">
        <v>90</v>
      </c>
      <c r="Q34" s="1">
        <v>90</v>
      </c>
      <c r="U34" s="1" t="s">
        <v>21</v>
      </c>
      <c r="V34" s="1" t="s">
        <v>130</v>
      </c>
    </row>
    <row r="35" spans="1:24" x14ac:dyDescent="0.2">
      <c r="A35" s="1">
        <v>1</v>
      </c>
      <c r="B35" s="1" t="s">
        <v>793</v>
      </c>
      <c r="C35" s="1" t="s">
        <v>773</v>
      </c>
      <c r="D35" s="1" t="s">
        <v>21</v>
      </c>
      <c r="E35" s="1" t="s">
        <v>21</v>
      </c>
      <c r="F35" s="4">
        <v>45361</v>
      </c>
      <c r="G35" s="1" t="s">
        <v>21</v>
      </c>
      <c r="H35" s="6" t="s">
        <v>21</v>
      </c>
      <c r="I35" s="1" t="s">
        <v>21</v>
      </c>
      <c r="J35" s="6" t="s">
        <v>21</v>
      </c>
      <c r="K35" s="1" t="s">
        <v>21</v>
      </c>
      <c r="N35" s="1" t="s">
        <v>21</v>
      </c>
      <c r="P35" s="1">
        <v>90</v>
      </c>
      <c r="Q35" s="1">
        <v>90</v>
      </c>
      <c r="U35" s="1" t="s">
        <v>21</v>
      </c>
      <c r="V35" s="1" t="s">
        <v>130</v>
      </c>
    </row>
    <row r="36" spans="1:24" x14ac:dyDescent="0.2">
      <c r="A36" s="1">
        <v>1</v>
      </c>
      <c r="B36" s="1" t="s">
        <v>793</v>
      </c>
      <c r="C36" s="1" t="s">
        <v>773</v>
      </c>
      <c r="D36" s="1">
        <v>1</v>
      </c>
      <c r="E36" s="1" t="s">
        <v>128</v>
      </c>
      <c r="F36" s="4">
        <v>45362</v>
      </c>
      <c r="G36" s="3">
        <f>I36+K36</f>
        <v>0.76717592592592587</v>
      </c>
      <c r="H36" s="6">
        <f>J36+K36</f>
        <v>0.78787037037037033</v>
      </c>
      <c r="I36" s="3">
        <v>1.8587962962962962E-2</v>
      </c>
      <c r="J36" s="6">
        <v>3.9282407407407412E-2</v>
      </c>
      <c r="K36" s="3">
        <v>0.74858796296296293</v>
      </c>
      <c r="L36" s="1" t="s">
        <v>7</v>
      </c>
      <c r="M36" s="1" t="s">
        <v>8</v>
      </c>
      <c r="N36" s="1">
        <v>3</v>
      </c>
      <c r="O36" s="1">
        <v>3</v>
      </c>
      <c r="P36" s="1">
        <v>90</v>
      </c>
      <c r="Q36" s="1">
        <v>90</v>
      </c>
      <c r="R36" s="1">
        <v>57.4</v>
      </c>
      <c r="S36" s="1">
        <v>115.17</v>
      </c>
      <c r="T36" s="1"/>
      <c r="U36" s="1">
        <v>1</v>
      </c>
      <c r="W36" s="1"/>
    </row>
    <row r="37" spans="1:24" x14ac:dyDescent="0.2">
      <c r="A37" s="1">
        <v>1</v>
      </c>
      <c r="B37" s="1" t="s">
        <v>793</v>
      </c>
      <c r="C37" s="1" t="s">
        <v>773</v>
      </c>
      <c r="D37" s="1">
        <v>1</v>
      </c>
      <c r="E37" s="1" t="s">
        <v>129</v>
      </c>
      <c r="F37" s="4">
        <v>45362</v>
      </c>
      <c r="G37" s="1" t="s">
        <v>21</v>
      </c>
      <c r="H37" s="6">
        <f>J37+K37</f>
        <v>0.25252314814814814</v>
      </c>
      <c r="I37" s="1" t="s">
        <v>21</v>
      </c>
      <c r="J37" s="6">
        <v>2.5150462962962961E-2</v>
      </c>
      <c r="K37" s="3">
        <v>0.22737268518518519</v>
      </c>
      <c r="L37" s="1" t="s">
        <v>8</v>
      </c>
      <c r="M37" s="1" t="s">
        <v>8</v>
      </c>
      <c r="N37" s="1">
        <v>3</v>
      </c>
      <c r="O37" s="1">
        <v>3</v>
      </c>
      <c r="P37" s="1">
        <v>90</v>
      </c>
      <c r="Q37" s="1">
        <v>90</v>
      </c>
      <c r="R37" s="1">
        <v>57.4</v>
      </c>
      <c r="S37" s="1">
        <v>57.4</v>
      </c>
      <c r="T37" s="1"/>
      <c r="U37" s="1">
        <v>1</v>
      </c>
      <c r="V37" s="1" t="s">
        <v>131</v>
      </c>
      <c r="W37" s="1"/>
    </row>
    <row r="38" spans="1:24" x14ac:dyDescent="0.2">
      <c r="A38" s="1">
        <v>1</v>
      </c>
      <c r="B38" s="1" t="s">
        <v>793</v>
      </c>
      <c r="C38" s="1" t="s">
        <v>773</v>
      </c>
      <c r="D38" s="1">
        <v>2</v>
      </c>
      <c r="E38" s="1" t="s">
        <v>129</v>
      </c>
      <c r="F38" s="4">
        <v>45362</v>
      </c>
      <c r="G38" s="3">
        <f>I38+K38</f>
        <v>0.25458333333333333</v>
      </c>
      <c r="H38" s="6">
        <f>J38+K38</f>
        <v>0.26149305555555558</v>
      </c>
      <c r="I38" s="3">
        <v>2.7210648148148147E-2</v>
      </c>
      <c r="J38" s="6">
        <v>3.412037037037037E-2</v>
      </c>
      <c r="K38" s="3">
        <v>0.22737268518518519</v>
      </c>
      <c r="L38" s="1" t="s">
        <v>8</v>
      </c>
      <c r="M38" s="1" t="s">
        <v>7</v>
      </c>
      <c r="N38" s="1">
        <v>3</v>
      </c>
      <c r="O38" s="1">
        <v>3</v>
      </c>
      <c r="P38" s="1">
        <v>90</v>
      </c>
      <c r="Q38" s="1">
        <v>90</v>
      </c>
      <c r="R38" s="1">
        <v>57.4</v>
      </c>
      <c r="S38" s="1">
        <v>38.4</v>
      </c>
      <c r="T38" s="1"/>
      <c r="U38" s="1">
        <v>0</v>
      </c>
      <c r="W38" s="1"/>
    </row>
    <row r="39" spans="1:24" x14ac:dyDescent="0.2">
      <c r="A39" s="1">
        <v>1</v>
      </c>
      <c r="B39" s="1" t="s">
        <v>793</v>
      </c>
      <c r="C39" s="1" t="s">
        <v>773</v>
      </c>
      <c r="D39" s="1">
        <v>1</v>
      </c>
      <c r="E39" s="1" t="s">
        <v>120</v>
      </c>
      <c r="F39" s="4">
        <v>45363</v>
      </c>
      <c r="G39" s="3">
        <f>I39+K39</f>
        <v>0.24520833333333333</v>
      </c>
      <c r="H39" s="6">
        <f>J39+K39</f>
        <v>0.25710648148148146</v>
      </c>
      <c r="I39" s="3">
        <v>2.4004629629629629E-2</v>
      </c>
      <c r="J39" s="6">
        <v>3.5902777777777777E-2</v>
      </c>
      <c r="K39" s="3">
        <v>0.22120370370370371</v>
      </c>
      <c r="L39" s="1" t="s">
        <v>8</v>
      </c>
      <c r="M39" s="1" t="s">
        <v>7</v>
      </c>
      <c r="N39" s="1">
        <v>3</v>
      </c>
      <c r="O39" s="1">
        <v>3</v>
      </c>
      <c r="P39" s="1">
        <v>90</v>
      </c>
      <c r="Q39" s="1">
        <v>90</v>
      </c>
      <c r="R39" s="1">
        <v>57.4</v>
      </c>
      <c r="S39" s="1">
        <v>57.4</v>
      </c>
      <c r="T39" s="1"/>
      <c r="U39" s="1">
        <v>0</v>
      </c>
      <c r="W39" s="1"/>
    </row>
    <row r="40" spans="1:24" x14ac:dyDescent="0.2">
      <c r="A40" s="1">
        <v>1</v>
      </c>
      <c r="B40" s="1" t="s">
        <v>793</v>
      </c>
      <c r="C40" s="1" t="s">
        <v>773</v>
      </c>
      <c r="D40" s="1">
        <v>2</v>
      </c>
      <c r="E40" s="1" t="s">
        <v>120</v>
      </c>
      <c r="F40" s="4">
        <v>45363</v>
      </c>
      <c r="G40" s="3">
        <f>I40+K40</f>
        <v>0.25848379629629631</v>
      </c>
      <c r="H40" s="6">
        <f>J40+K40</f>
        <v>0.2658449074074074</v>
      </c>
      <c r="I40" s="3">
        <v>3.7280092592592594E-2</v>
      </c>
      <c r="J40" s="6">
        <v>4.4641203703703704E-2</v>
      </c>
      <c r="K40" s="3">
        <v>0.22120370370370371</v>
      </c>
      <c r="L40" s="1" t="s">
        <v>7</v>
      </c>
      <c r="M40" s="1" t="s">
        <v>7</v>
      </c>
      <c r="N40" s="1">
        <v>3</v>
      </c>
      <c r="O40" s="1">
        <v>3</v>
      </c>
      <c r="P40" s="1">
        <v>90</v>
      </c>
      <c r="Q40" s="1">
        <v>90</v>
      </c>
      <c r="R40" s="1">
        <v>57.4</v>
      </c>
      <c r="S40" s="1">
        <v>57.4</v>
      </c>
      <c r="T40" s="1"/>
      <c r="U40" s="1">
        <v>0</v>
      </c>
      <c r="V40" s="1" t="s">
        <v>121</v>
      </c>
      <c r="W40" s="1"/>
    </row>
    <row r="41" spans="1:24" x14ac:dyDescent="0.2">
      <c r="A41" s="1">
        <v>1</v>
      </c>
      <c r="B41" s="1" t="s">
        <v>793</v>
      </c>
      <c r="C41" s="1" t="s">
        <v>773</v>
      </c>
      <c r="D41" s="1">
        <v>1</v>
      </c>
      <c r="E41" s="1" t="s">
        <v>126</v>
      </c>
      <c r="F41" s="4">
        <v>45363</v>
      </c>
      <c r="G41" s="3">
        <f>I41+K41</f>
        <v>0.77039351851851856</v>
      </c>
      <c r="H41" s="6">
        <f>J41+K41</f>
        <v>0.77847222222222223</v>
      </c>
      <c r="I41" s="3">
        <v>1.9594907407407405E-2</v>
      </c>
      <c r="J41" s="6">
        <v>2.7673611111111111E-2</v>
      </c>
      <c r="K41" s="3">
        <v>0.75079861111111112</v>
      </c>
      <c r="L41" s="1" t="s">
        <v>7</v>
      </c>
      <c r="M41" s="1" t="s">
        <v>8</v>
      </c>
      <c r="N41" s="1">
        <v>3</v>
      </c>
      <c r="O41" s="1">
        <v>3</v>
      </c>
      <c r="P41" s="1">
        <v>90</v>
      </c>
      <c r="Q41" s="1">
        <v>90</v>
      </c>
      <c r="R41" s="1">
        <v>57.4</v>
      </c>
      <c r="S41" s="1">
        <v>57.4</v>
      </c>
      <c r="T41" s="1"/>
      <c r="U41" s="1">
        <v>1</v>
      </c>
      <c r="W41" s="1"/>
    </row>
    <row r="42" spans="1:24" x14ac:dyDescent="0.2">
      <c r="A42" s="1">
        <v>1</v>
      </c>
      <c r="B42" s="1" t="s">
        <v>793</v>
      </c>
      <c r="C42" s="1" t="s">
        <v>773</v>
      </c>
      <c r="D42" s="1">
        <v>2</v>
      </c>
      <c r="E42" s="1" t="s">
        <v>126</v>
      </c>
      <c r="F42" s="4">
        <v>45363</v>
      </c>
      <c r="G42" s="3">
        <f>I42+K42</f>
        <v>0.77925925925925932</v>
      </c>
      <c r="H42" s="6">
        <f>J42+K42</f>
        <v>0.7882986111111111</v>
      </c>
      <c r="I42" s="3">
        <v>2.8460648148148148E-2</v>
      </c>
      <c r="J42" s="6">
        <v>3.7499999999999999E-2</v>
      </c>
      <c r="K42" s="3">
        <v>0.75079861111111112</v>
      </c>
      <c r="L42" s="1" t="s">
        <v>8</v>
      </c>
      <c r="M42" s="1" t="s">
        <v>7</v>
      </c>
      <c r="N42" s="1">
        <v>3</v>
      </c>
      <c r="O42" s="1">
        <v>3</v>
      </c>
      <c r="P42" s="1">
        <v>90</v>
      </c>
      <c r="Q42" s="1">
        <v>90</v>
      </c>
      <c r="R42" s="1">
        <v>57.4</v>
      </c>
      <c r="S42" s="1">
        <v>115.17</v>
      </c>
      <c r="T42" s="1"/>
      <c r="U42" s="1">
        <v>0</v>
      </c>
      <c r="V42" s="1" t="s">
        <v>127</v>
      </c>
      <c r="W42" s="1"/>
    </row>
    <row r="43" spans="1:24" s="7" customFormat="1" x14ac:dyDescent="0.2">
      <c r="A43" s="1">
        <v>1</v>
      </c>
      <c r="B43" s="1" t="s">
        <v>793</v>
      </c>
      <c r="C43" s="1" t="s">
        <v>773</v>
      </c>
      <c r="D43" s="1">
        <v>1</v>
      </c>
      <c r="E43" s="1" t="s">
        <v>137</v>
      </c>
      <c r="F43" s="4">
        <v>45364</v>
      </c>
      <c r="G43" s="1" t="s">
        <v>21</v>
      </c>
      <c r="H43" s="6">
        <f>J43+K43</f>
        <v>0.25965277777777779</v>
      </c>
      <c r="I43" s="1" t="s">
        <v>21</v>
      </c>
      <c r="J43" s="6">
        <v>3.0324074074074073E-2</v>
      </c>
      <c r="K43" s="3">
        <v>0.2293287037037037</v>
      </c>
      <c r="L43" s="1" t="s">
        <v>7</v>
      </c>
      <c r="M43" s="1" t="s">
        <v>8</v>
      </c>
      <c r="N43" s="1">
        <v>3</v>
      </c>
      <c r="O43" s="1">
        <v>3</v>
      </c>
      <c r="P43" s="1">
        <v>90</v>
      </c>
      <c r="Q43" s="1">
        <v>90</v>
      </c>
      <c r="R43" s="1">
        <v>115.17</v>
      </c>
      <c r="S43" s="1">
        <v>115.17</v>
      </c>
      <c r="T43" s="1"/>
      <c r="U43" s="1">
        <v>1</v>
      </c>
      <c r="V43" s="1" t="s">
        <v>138</v>
      </c>
      <c r="W43" s="1"/>
      <c r="X43" s="4"/>
    </row>
    <row r="44" spans="1:24" x14ac:dyDescent="0.2">
      <c r="A44" s="1">
        <v>1</v>
      </c>
      <c r="B44" s="1" t="s">
        <v>793</v>
      </c>
      <c r="C44" s="1" t="s">
        <v>773</v>
      </c>
      <c r="D44" s="1">
        <v>1</v>
      </c>
      <c r="E44" s="1" t="s">
        <v>142</v>
      </c>
      <c r="F44" s="4">
        <v>45364</v>
      </c>
      <c r="G44" s="1" t="s">
        <v>21</v>
      </c>
      <c r="H44" s="6">
        <f>J44+K44</f>
        <v>0.75667824074074075</v>
      </c>
      <c r="I44" s="1" t="s">
        <v>21</v>
      </c>
      <c r="J44" s="6">
        <v>8.1597222222222227E-3</v>
      </c>
      <c r="K44" s="3">
        <v>0.74851851851851847</v>
      </c>
      <c r="L44" s="1" t="s">
        <v>8</v>
      </c>
      <c r="M44" s="1" t="s">
        <v>8</v>
      </c>
      <c r="N44" s="1">
        <v>3</v>
      </c>
      <c r="O44" s="1">
        <v>3</v>
      </c>
      <c r="P44" s="1">
        <v>90</v>
      </c>
      <c r="Q44" s="1">
        <v>90</v>
      </c>
      <c r="R44" s="1">
        <v>115.17</v>
      </c>
      <c r="S44" s="1">
        <v>115.17</v>
      </c>
      <c r="T44" s="1"/>
      <c r="U44" s="1">
        <v>1</v>
      </c>
      <c r="V44" s="1" t="s">
        <v>143</v>
      </c>
      <c r="W44" s="1"/>
    </row>
    <row r="45" spans="1:24" x14ac:dyDescent="0.2">
      <c r="A45" s="1">
        <v>1</v>
      </c>
      <c r="B45" s="1" t="s">
        <v>793</v>
      </c>
      <c r="C45" s="1" t="s">
        <v>773</v>
      </c>
      <c r="D45" s="1">
        <v>2</v>
      </c>
      <c r="E45" s="1" t="s">
        <v>142</v>
      </c>
      <c r="F45" s="4">
        <v>45364</v>
      </c>
      <c r="G45" s="3">
        <f>I45+K45</f>
        <v>0.75831018518518511</v>
      </c>
      <c r="H45" s="6">
        <f>J45+K45</f>
        <v>0.7806249999999999</v>
      </c>
      <c r="I45" s="3">
        <v>9.7916666666666673E-3</v>
      </c>
      <c r="J45" s="6">
        <v>3.2106481481481479E-2</v>
      </c>
      <c r="K45" s="3">
        <v>0.74851851851851847</v>
      </c>
      <c r="L45" s="1" t="s">
        <v>8</v>
      </c>
      <c r="M45" s="1" t="s">
        <v>7</v>
      </c>
      <c r="N45" s="1">
        <v>3</v>
      </c>
      <c r="O45" s="1">
        <v>3</v>
      </c>
      <c r="P45" s="1">
        <v>90</v>
      </c>
      <c r="Q45" s="1">
        <v>90</v>
      </c>
      <c r="R45" s="1">
        <v>115.17</v>
      </c>
      <c r="S45" s="1">
        <v>115.17</v>
      </c>
      <c r="T45" s="1"/>
      <c r="U45" s="1">
        <v>0</v>
      </c>
      <c r="W45" s="1"/>
    </row>
    <row r="46" spans="1:24" x14ac:dyDescent="0.2">
      <c r="A46" s="1">
        <v>1</v>
      </c>
      <c r="B46" s="1" t="s">
        <v>793</v>
      </c>
      <c r="C46" s="1" t="s">
        <v>773</v>
      </c>
      <c r="D46" s="1">
        <v>1</v>
      </c>
      <c r="E46" s="1" t="s">
        <v>139</v>
      </c>
      <c r="F46" s="4">
        <v>45365</v>
      </c>
      <c r="G46" s="3">
        <f>I46+K46</f>
        <v>0.77101851851851855</v>
      </c>
      <c r="H46" s="6">
        <f>J46+K46</f>
        <v>0.78318287037037038</v>
      </c>
      <c r="I46" s="3">
        <v>1.9027777777777779E-2</v>
      </c>
      <c r="J46" s="6">
        <v>3.1192129629629629E-2</v>
      </c>
      <c r="K46" s="3">
        <v>0.75199074074074079</v>
      </c>
      <c r="L46" s="1" t="s">
        <v>7</v>
      </c>
      <c r="M46" s="1" t="s">
        <v>8</v>
      </c>
      <c r="N46" s="1">
        <v>3</v>
      </c>
      <c r="O46" s="1">
        <v>3</v>
      </c>
      <c r="P46" s="1">
        <v>90</v>
      </c>
      <c r="Q46" s="1">
        <v>90</v>
      </c>
      <c r="R46" s="1">
        <v>115.17</v>
      </c>
      <c r="S46" s="1">
        <v>115.17</v>
      </c>
      <c r="T46" s="1"/>
      <c r="U46" s="1">
        <v>1</v>
      </c>
      <c r="W46" s="1"/>
    </row>
    <row r="47" spans="1:24" x14ac:dyDescent="0.2">
      <c r="A47" s="1">
        <v>1</v>
      </c>
      <c r="B47" s="1" t="s">
        <v>793</v>
      </c>
      <c r="C47" s="1" t="s">
        <v>773</v>
      </c>
      <c r="D47" s="1">
        <v>2</v>
      </c>
      <c r="E47" s="1" t="s">
        <v>139</v>
      </c>
      <c r="F47" s="4">
        <v>45365</v>
      </c>
      <c r="G47" s="3">
        <f>I47+K47</f>
        <v>0.78480324074074082</v>
      </c>
      <c r="H47" s="6">
        <f>J47+K47</f>
        <v>0.79114583333333344</v>
      </c>
      <c r="I47" s="3">
        <v>3.2812500000000001E-2</v>
      </c>
      <c r="J47" s="6">
        <v>3.9155092592592596E-2</v>
      </c>
      <c r="K47" s="3">
        <v>0.75199074074074079</v>
      </c>
      <c r="L47" s="1" t="s">
        <v>8</v>
      </c>
      <c r="M47" s="1" t="s">
        <v>7</v>
      </c>
      <c r="N47" s="1">
        <v>3</v>
      </c>
      <c r="O47" s="1">
        <v>3</v>
      </c>
      <c r="P47" s="1">
        <v>90</v>
      </c>
      <c r="Q47" s="1">
        <v>90</v>
      </c>
      <c r="R47" s="1">
        <v>115.17</v>
      </c>
      <c r="S47" s="1">
        <v>115.17</v>
      </c>
      <c r="T47" s="1"/>
      <c r="U47" s="1">
        <v>0</v>
      </c>
      <c r="V47" s="7" t="s">
        <v>140</v>
      </c>
      <c r="W47" s="1"/>
    </row>
    <row r="48" spans="1:24" x14ac:dyDescent="0.2">
      <c r="A48" s="1">
        <v>1</v>
      </c>
      <c r="B48" s="1" t="s">
        <v>793</v>
      </c>
      <c r="C48" s="1" t="s">
        <v>773</v>
      </c>
      <c r="D48" s="1">
        <v>1</v>
      </c>
      <c r="E48" s="1" t="s">
        <v>141</v>
      </c>
      <c r="F48" s="4">
        <v>45365</v>
      </c>
      <c r="G48" s="3">
        <f>I48+K48</f>
        <v>0.24687500000000001</v>
      </c>
      <c r="H48" s="6">
        <f>J48+K48</f>
        <v>0.25800925925925927</v>
      </c>
      <c r="I48" s="3">
        <v>1.5520833333333333E-2</v>
      </c>
      <c r="J48" s="6">
        <v>2.6655092592592591E-2</v>
      </c>
      <c r="K48" s="3">
        <v>0.23135416666666667</v>
      </c>
      <c r="L48" s="1" t="s">
        <v>8</v>
      </c>
      <c r="M48" s="1" t="s">
        <v>7</v>
      </c>
      <c r="N48" s="1">
        <v>3</v>
      </c>
      <c r="O48" s="1">
        <v>3</v>
      </c>
      <c r="P48" s="1">
        <v>90</v>
      </c>
      <c r="Q48" s="1">
        <v>90</v>
      </c>
      <c r="R48" s="1">
        <v>115.17</v>
      </c>
      <c r="S48" s="1">
        <v>115.17</v>
      </c>
      <c r="T48" s="1"/>
      <c r="U48" s="1">
        <v>0</v>
      </c>
      <c r="W48" s="1"/>
    </row>
    <row r="49" spans="1:23" x14ac:dyDescent="0.2">
      <c r="A49" s="1">
        <v>1</v>
      </c>
      <c r="B49" s="1" t="s">
        <v>793</v>
      </c>
      <c r="C49" s="1" t="s">
        <v>773</v>
      </c>
      <c r="D49" s="1">
        <v>1</v>
      </c>
      <c r="E49" s="1" t="s">
        <v>145</v>
      </c>
      <c r="F49" s="4">
        <v>45366</v>
      </c>
      <c r="G49" s="3">
        <f>I49+K49</f>
        <v>0.25078703703703703</v>
      </c>
      <c r="H49" s="6">
        <f>J49+K49</f>
        <v>0.25900462962962967</v>
      </c>
      <c r="I49" s="3">
        <v>2.3553240740740739E-2</v>
      </c>
      <c r="J49" s="6">
        <v>3.1770833333333331E-2</v>
      </c>
      <c r="K49" s="3">
        <v>0.22723379629629631</v>
      </c>
      <c r="L49" s="1" t="s">
        <v>8</v>
      </c>
      <c r="M49" s="1" t="s">
        <v>7</v>
      </c>
      <c r="N49" s="1">
        <v>3</v>
      </c>
      <c r="O49" s="1">
        <v>3</v>
      </c>
      <c r="P49" s="1">
        <v>90</v>
      </c>
      <c r="Q49" s="1">
        <v>90</v>
      </c>
      <c r="R49" s="1">
        <v>115.17</v>
      </c>
      <c r="S49" s="1">
        <v>115.17</v>
      </c>
      <c r="T49" s="1"/>
      <c r="U49" s="1">
        <v>0</v>
      </c>
      <c r="W49" s="1"/>
    </row>
    <row r="50" spans="1:23" x14ac:dyDescent="0.2">
      <c r="A50" s="1">
        <v>1</v>
      </c>
      <c r="B50" s="1" t="s">
        <v>793</v>
      </c>
      <c r="C50" s="1" t="s">
        <v>773</v>
      </c>
      <c r="D50" s="1">
        <v>2</v>
      </c>
      <c r="E50" s="1" t="s">
        <v>145</v>
      </c>
      <c r="F50" s="4">
        <v>45366</v>
      </c>
      <c r="G50" s="3">
        <f>I50+K50</f>
        <v>0.26041666666666669</v>
      </c>
      <c r="H50" s="6">
        <f>J50+K50</f>
        <v>0.26502314814814815</v>
      </c>
      <c r="I50" s="3">
        <v>3.318287037037037E-2</v>
      </c>
      <c r="J50" s="6">
        <v>3.7789351851851852E-2</v>
      </c>
      <c r="K50" s="3">
        <v>0.22723379629629631</v>
      </c>
      <c r="L50" s="1" t="s">
        <v>7</v>
      </c>
      <c r="M50" s="1" t="s">
        <v>8</v>
      </c>
      <c r="N50" s="1">
        <v>3</v>
      </c>
      <c r="O50" s="1">
        <v>3</v>
      </c>
      <c r="P50" s="1">
        <v>90</v>
      </c>
      <c r="Q50" s="1">
        <v>90</v>
      </c>
      <c r="R50" s="1">
        <v>115.17</v>
      </c>
      <c r="S50" s="1">
        <v>115.17</v>
      </c>
      <c r="T50" s="1"/>
      <c r="U50" s="1">
        <v>1</v>
      </c>
      <c r="W50" s="1"/>
    </row>
    <row r="51" spans="1:23" x14ac:dyDescent="0.2">
      <c r="A51" s="1">
        <v>1</v>
      </c>
      <c r="B51" s="1" t="s">
        <v>793</v>
      </c>
      <c r="C51" s="1" t="s">
        <v>773</v>
      </c>
      <c r="D51" s="1">
        <v>1</v>
      </c>
      <c r="E51" s="1" t="s">
        <v>146</v>
      </c>
      <c r="F51" s="4">
        <v>45366</v>
      </c>
      <c r="G51" s="3">
        <f>I51+K51</f>
        <v>0.76878472222222216</v>
      </c>
      <c r="H51" s="6">
        <f>J51+K51</f>
        <v>0.7882986111111111</v>
      </c>
      <c r="I51" s="3">
        <v>1.5706018518518518E-2</v>
      </c>
      <c r="J51" s="6">
        <v>3.5219907407407408E-2</v>
      </c>
      <c r="K51" s="3">
        <v>0.75307870370370367</v>
      </c>
      <c r="L51" s="1" t="s">
        <v>8</v>
      </c>
      <c r="M51" s="1" t="s">
        <v>7</v>
      </c>
      <c r="N51" s="1">
        <v>3</v>
      </c>
      <c r="O51" s="1">
        <v>3</v>
      </c>
      <c r="P51" s="1">
        <v>90</v>
      </c>
      <c r="Q51" s="1">
        <v>90</v>
      </c>
      <c r="R51" s="1">
        <v>115.17</v>
      </c>
      <c r="S51" s="1">
        <v>115.17</v>
      </c>
      <c r="T51" s="1"/>
      <c r="U51" s="1">
        <v>0</v>
      </c>
      <c r="W51" s="1"/>
    </row>
    <row r="52" spans="1:23" x14ac:dyDescent="0.2">
      <c r="A52" s="1">
        <v>1</v>
      </c>
      <c r="B52" s="1" t="s">
        <v>793</v>
      </c>
      <c r="C52" s="1" t="s">
        <v>773</v>
      </c>
      <c r="D52" s="1">
        <v>1</v>
      </c>
      <c r="E52" s="1" t="s">
        <v>148</v>
      </c>
      <c r="F52" s="4">
        <v>45367</v>
      </c>
      <c r="G52" s="1" t="s">
        <v>21</v>
      </c>
      <c r="H52" s="6" t="s">
        <v>21</v>
      </c>
      <c r="I52" s="3" t="s">
        <v>21</v>
      </c>
      <c r="J52" s="6" t="s">
        <v>21</v>
      </c>
      <c r="K52" s="3">
        <v>0.24211805555555554</v>
      </c>
      <c r="L52" s="1" t="s">
        <v>7</v>
      </c>
      <c r="M52" s="1" t="s">
        <v>7</v>
      </c>
      <c r="N52" s="1">
        <v>3</v>
      </c>
      <c r="O52" s="1">
        <v>3</v>
      </c>
      <c r="P52" s="1">
        <v>90</v>
      </c>
      <c r="Q52" s="1">
        <v>90</v>
      </c>
      <c r="R52" s="1">
        <v>115.17</v>
      </c>
      <c r="S52" s="1">
        <v>115.17</v>
      </c>
      <c r="T52" s="1"/>
      <c r="U52" s="1" t="s">
        <v>21</v>
      </c>
      <c r="V52" s="1" t="s">
        <v>203</v>
      </c>
      <c r="W52" s="1"/>
    </row>
    <row r="53" spans="1:23" x14ac:dyDescent="0.2">
      <c r="A53" s="1">
        <v>1</v>
      </c>
      <c r="B53" s="1" t="s">
        <v>793</v>
      </c>
      <c r="C53" s="1" t="s">
        <v>773</v>
      </c>
      <c r="D53" s="1">
        <v>2</v>
      </c>
      <c r="E53" s="1" t="s">
        <v>148</v>
      </c>
      <c r="F53" s="4">
        <v>45367</v>
      </c>
      <c r="G53" s="3">
        <f>I53+K53</f>
        <v>0.24408564814814815</v>
      </c>
      <c r="H53" s="6">
        <f>J53+K53</f>
        <v>0.25092592592592594</v>
      </c>
      <c r="I53" s="3">
        <v>1.9675925925925924E-3</v>
      </c>
      <c r="J53" s="6">
        <v>8.8078703703703704E-3</v>
      </c>
      <c r="K53" s="3">
        <v>0.24211805555555554</v>
      </c>
      <c r="L53" s="1" t="s">
        <v>7</v>
      </c>
      <c r="M53" s="1" t="s">
        <v>8</v>
      </c>
      <c r="N53" s="1">
        <v>3</v>
      </c>
      <c r="O53" s="1">
        <v>3</v>
      </c>
      <c r="P53" s="1">
        <v>90</v>
      </c>
      <c r="Q53" s="1">
        <v>90</v>
      </c>
      <c r="R53" s="1">
        <v>115.17</v>
      </c>
      <c r="S53" s="1">
        <v>115.17</v>
      </c>
      <c r="T53" s="1"/>
      <c r="U53" s="1">
        <v>1</v>
      </c>
      <c r="V53" s="1" t="s">
        <v>149</v>
      </c>
      <c r="W53" s="1"/>
    </row>
    <row r="54" spans="1:23" x14ac:dyDescent="0.2">
      <c r="A54" s="1">
        <v>1</v>
      </c>
      <c r="B54" s="1" t="s">
        <v>793</v>
      </c>
      <c r="C54" s="1" t="s">
        <v>773</v>
      </c>
      <c r="D54" s="1">
        <v>3</v>
      </c>
      <c r="E54" s="1" t="s">
        <v>148</v>
      </c>
      <c r="F54" s="4">
        <v>45367</v>
      </c>
      <c r="G54" s="3">
        <f>I54+K54</f>
        <v>0.25238425925925922</v>
      </c>
      <c r="H54" s="6" t="s">
        <v>21</v>
      </c>
      <c r="I54" s="6">
        <v>1.0266203703703704E-2</v>
      </c>
      <c r="J54" s="6" t="s">
        <v>21</v>
      </c>
      <c r="K54" s="3">
        <v>0.24211805555555554</v>
      </c>
      <c r="L54" s="1" t="s">
        <v>8</v>
      </c>
      <c r="M54" s="1" t="s">
        <v>7</v>
      </c>
      <c r="N54" s="1">
        <v>3</v>
      </c>
      <c r="O54" s="1">
        <v>3</v>
      </c>
      <c r="P54" s="1">
        <v>90</v>
      </c>
      <c r="Q54" s="1">
        <v>90</v>
      </c>
      <c r="R54" s="1">
        <v>115.17</v>
      </c>
      <c r="S54" s="1">
        <v>115.17</v>
      </c>
      <c r="T54" s="1"/>
      <c r="U54" s="1" t="s">
        <v>21</v>
      </c>
      <c r="V54" s="1" t="s">
        <v>205</v>
      </c>
      <c r="W54" s="1"/>
    </row>
    <row r="55" spans="1:23" x14ac:dyDescent="0.2">
      <c r="A55" s="1">
        <v>1</v>
      </c>
      <c r="B55" s="1" t="s">
        <v>793</v>
      </c>
      <c r="C55" s="1" t="s">
        <v>773</v>
      </c>
      <c r="D55" s="1">
        <v>1</v>
      </c>
      <c r="E55" s="1" t="s">
        <v>150</v>
      </c>
      <c r="F55" s="4">
        <v>45367</v>
      </c>
      <c r="G55" s="3">
        <f>I55+K55</f>
        <v>0.77487268518518515</v>
      </c>
      <c r="H55" s="6">
        <f>J55+K55</f>
        <v>0.78707175925925921</v>
      </c>
      <c r="I55" s="3">
        <v>2.3587962962962963E-2</v>
      </c>
      <c r="J55" s="6">
        <v>3.5787037037037034E-2</v>
      </c>
      <c r="K55" s="3">
        <v>0.7512847222222222</v>
      </c>
      <c r="L55" s="1" t="s">
        <v>7</v>
      </c>
      <c r="M55" s="1" t="s">
        <v>8</v>
      </c>
      <c r="N55" s="1">
        <v>2</v>
      </c>
      <c r="O55" s="1">
        <v>2</v>
      </c>
      <c r="P55" s="1">
        <v>90</v>
      </c>
      <c r="Q55" s="1">
        <v>90</v>
      </c>
      <c r="R55" s="1">
        <v>115.17</v>
      </c>
      <c r="S55" s="1">
        <v>115.17</v>
      </c>
      <c r="T55" s="1"/>
      <c r="U55" s="1">
        <v>1</v>
      </c>
      <c r="W55" s="1"/>
    </row>
    <row r="56" spans="1:23" x14ac:dyDescent="0.2">
      <c r="A56" s="1">
        <v>1</v>
      </c>
      <c r="B56" s="1" t="s">
        <v>793</v>
      </c>
      <c r="C56" s="1" t="s">
        <v>773</v>
      </c>
      <c r="D56" s="1">
        <v>1</v>
      </c>
      <c r="E56" s="1" t="s">
        <v>155</v>
      </c>
      <c r="F56" s="4">
        <v>45368</v>
      </c>
      <c r="G56" s="1" t="s">
        <v>21</v>
      </c>
      <c r="H56" s="6">
        <f>J56+K56</f>
        <v>0.25017361111111114</v>
      </c>
      <c r="I56" s="3" t="s">
        <v>21</v>
      </c>
      <c r="J56" s="6">
        <v>1.982638888888889E-2</v>
      </c>
      <c r="K56" s="3">
        <v>0.23034722222222223</v>
      </c>
      <c r="L56" s="1" t="s">
        <v>8</v>
      </c>
      <c r="M56" s="1" t="s">
        <v>8</v>
      </c>
      <c r="N56" s="1">
        <v>3</v>
      </c>
      <c r="O56" s="1">
        <v>3</v>
      </c>
      <c r="P56" s="1">
        <v>90</v>
      </c>
      <c r="Q56" s="1">
        <v>90</v>
      </c>
      <c r="R56" s="1">
        <v>115.17</v>
      </c>
      <c r="S56" s="1">
        <v>115.17</v>
      </c>
      <c r="T56" s="1"/>
      <c r="U56" s="1">
        <v>1</v>
      </c>
      <c r="V56" s="1" t="s">
        <v>204</v>
      </c>
      <c r="W56" s="1"/>
    </row>
    <row r="57" spans="1:23" x14ac:dyDescent="0.2">
      <c r="A57" s="1">
        <v>1</v>
      </c>
      <c r="B57" s="1" t="s">
        <v>793</v>
      </c>
      <c r="C57" s="1" t="s">
        <v>773</v>
      </c>
      <c r="D57" s="1">
        <v>2</v>
      </c>
      <c r="E57" s="1" t="s">
        <v>155</v>
      </c>
      <c r="F57" s="4">
        <v>45368</v>
      </c>
      <c r="G57" s="3">
        <f>I57+K57</f>
        <v>0.25342592592592594</v>
      </c>
      <c r="H57" s="6">
        <f>J57+K57</f>
        <v>0.26189814814814816</v>
      </c>
      <c r="I57" s="3">
        <v>2.3078703703703702E-2</v>
      </c>
      <c r="J57" s="6">
        <v>3.1550925925925927E-2</v>
      </c>
      <c r="K57" s="3">
        <v>0.23034722222222223</v>
      </c>
      <c r="L57" s="1" t="s">
        <v>7</v>
      </c>
      <c r="M57" s="1" t="s">
        <v>7</v>
      </c>
      <c r="N57" s="1">
        <v>3</v>
      </c>
      <c r="O57" s="1">
        <v>3</v>
      </c>
      <c r="P57" s="1">
        <v>90</v>
      </c>
      <c r="Q57" s="1">
        <v>90</v>
      </c>
      <c r="R57" s="1">
        <v>115.17</v>
      </c>
      <c r="S57" s="1">
        <v>115.17</v>
      </c>
      <c r="T57" s="1"/>
      <c r="U57" s="1">
        <v>0</v>
      </c>
      <c r="V57" s="1" t="s">
        <v>163</v>
      </c>
      <c r="W57" s="1"/>
    </row>
    <row r="58" spans="1:23" x14ac:dyDescent="0.2">
      <c r="A58" s="1">
        <v>1</v>
      </c>
      <c r="B58" s="1" t="s">
        <v>793</v>
      </c>
      <c r="C58" s="1" t="s">
        <v>773</v>
      </c>
      <c r="D58" s="1">
        <v>1</v>
      </c>
      <c r="E58" s="1" t="s">
        <v>161</v>
      </c>
      <c r="F58" s="4">
        <v>45368</v>
      </c>
      <c r="G58" s="3">
        <f>I58+K58</f>
        <v>0.77219907407407407</v>
      </c>
      <c r="H58" s="6">
        <f>J58+K58</f>
        <v>0.78758101851851858</v>
      </c>
      <c r="I58" s="3">
        <v>2.5277777777777777E-2</v>
      </c>
      <c r="J58" s="6">
        <v>4.0659722222222222E-2</v>
      </c>
      <c r="K58" s="3">
        <v>0.74692129629629633</v>
      </c>
      <c r="L58" s="1" t="s">
        <v>7</v>
      </c>
      <c r="M58" s="1" t="s">
        <v>8</v>
      </c>
      <c r="N58" s="1">
        <v>3</v>
      </c>
      <c r="O58" s="1">
        <v>3</v>
      </c>
      <c r="P58" s="1">
        <v>90</v>
      </c>
      <c r="Q58" s="1">
        <v>90</v>
      </c>
      <c r="R58" s="1">
        <v>115.17</v>
      </c>
      <c r="S58" s="1">
        <v>115.17</v>
      </c>
      <c r="T58" s="1"/>
      <c r="U58" s="1">
        <v>1</v>
      </c>
      <c r="W58" s="1"/>
    </row>
    <row r="59" spans="1:23" x14ac:dyDescent="0.2">
      <c r="A59" s="1">
        <v>1</v>
      </c>
      <c r="B59" s="1" t="s">
        <v>793</v>
      </c>
      <c r="C59" s="1" t="s">
        <v>773</v>
      </c>
      <c r="D59" s="1">
        <v>1</v>
      </c>
      <c r="E59" s="1" t="s">
        <v>158</v>
      </c>
      <c r="F59" s="4">
        <v>45369</v>
      </c>
      <c r="G59" s="3">
        <f>I59+K59</f>
        <v>0.77559027777777778</v>
      </c>
      <c r="H59" s="6">
        <f>J59+K59</f>
        <v>0.78405092592592596</v>
      </c>
      <c r="I59" s="3">
        <v>1.5069444444444444E-2</v>
      </c>
      <c r="J59" s="6">
        <v>2.3530092592592592E-2</v>
      </c>
      <c r="K59" s="3">
        <v>0.76052083333333331</v>
      </c>
      <c r="L59" s="1" t="s">
        <v>7</v>
      </c>
      <c r="M59" s="1" t="s">
        <v>7</v>
      </c>
      <c r="N59" s="1">
        <v>3</v>
      </c>
      <c r="O59" s="1">
        <v>3</v>
      </c>
      <c r="P59" s="1">
        <v>90</v>
      </c>
      <c r="Q59" s="1">
        <v>90</v>
      </c>
      <c r="R59" s="1">
        <v>115.17</v>
      </c>
      <c r="S59" s="1">
        <v>115.17</v>
      </c>
      <c r="T59" s="1"/>
      <c r="U59" s="1">
        <v>0</v>
      </c>
      <c r="V59" s="1" t="s">
        <v>159</v>
      </c>
      <c r="W59" s="1"/>
    </row>
    <row r="60" spans="1:23" x14ac:dyDescent="0.2">
      <c r="A60" s="1">
        <v>1</v>
      </c>
      <c r="B60" s="1" t="s">
        <v>793</v>
      </c>
      <c r="C60" s="1" t="s">
        <v>773</v>
      </c>
      <c r="D60" s="1">
        <v>1</v>
      </c>
      <c r="E60" s="1" t="s">
        <v>160</v>
      </c>
      <c r="F60" s="4">
        <v>45369</v>
      </c>
      <c r="G60" s="3">
        <f>I60+K60</f>
        <v>0.24137731481481481</v>
      </c>
      <c r="H60" s="6">
        <f>J60+K60</f>
        <v>0.24724537037037037</v>
      </c>
      <c r="I60" s="3">
        <v>1.15625E-2</v>
      </c>
      <c r="J60" s="6">
        <v>1.7430555555555557E-2</v>
      </c>
      <c r="K60" s="3">
        <v>0.22981481481481481</v>
      </c>
      <c r="L60" s="1" t="s">
        <v>8</v>
      </c>
      <c r="M60" s="1" t="s">
        <v>7</v>
      </c>
      <c r="N60" s="1">
        <v>3</v>
      </c>
      <c r="O60" s="1">
        <v>3</v>
      </c>
      <c r="P60" s="1">
        <v>90</v>
      </c>
      <c r="Q60" s="1">
        <v>90</v>
      </c>
      <c r="R60" s="1">
        <v>115.17</v>
      </c>
      <c r="S60" s="1">
        <v>115.17</v>
      </c>
      <c r="T60" s="1"/>
      <c r="U60" s="1">
        <v>0</v>
      </c>
      <c r="W60" s="1"/>
    </row>
    <row r="61" spans="1:23" x14ac:dyDescent="0.2">
      <c r="A61" s="1">
        <v>1</v>
      </c>
      <c r="B61" s="1" t="s">
        <v>793</v>
      </c>
      <c r="C61" s="1" t="s">
        <v>773</v>
      </c>
      <c r="D61" s="1">
        <v>2</v>
      </c>
      <c r="E61" s="1" t="s">
        <v>160</v>
      </c>
      <c r="F61" s="4">
        <v>45369</v>
      </c>
      <c r="G61" s="3">
        <f>I61+K61</f>
        <v>0.24887731481481482</v>
      </c>
      <c r="H61" s="6">
        <f>J61+K61</f>
        <v>0.25831018518518517</v>
      </c>
      <c r="I61" s="3">
        <v>1.90625E-2</v>
      </c>
      <c r="J61" s="6">
        <v>2.8495370370370369E-2</v>
      </c>
      <c r="K61" s="3">
        <v>0.22981481481481481</v>
      </c>
      <c r="L61" s="1" t="s">
        <v>7</v>
      </c>
      <c r="M61" s="1" t="s">
        <v>7</v>
      </c>
      <c r="N61" s="1">
        <v>3</v>
      </c>
      <c r="O61" s="1">
        <v>3</v>
      </c>
      <c r="P61" s="1">
        <v>90</v>
      </c>
      <c r="Q61" s="1">
        <v>90</v>
      </c>
      <c r="R61" s="1">
        <v>115.17</v>
      </c>
      <c r="S61" s="1">
        <v>115.17</v>
      </c>
      <c r="T61" s="1"/>
      <c r="U61" s="1">
        <v>0</v>
      </c>
      <c r="W61" s="1"/>
    </row>
    <row r="62" spans="1:23" x14ac:dyDescent="0.2">
      <c r="A62" s="1">
        <v>1</v>
      </c>
      <c r="B62" s="1" t="s">
        <v>793</v>
      </c>
      <c r="C62" s="1" t="s">
        <v>773</v>
      </c>
      <c r="D62" s="1">
        <v>1</v>
      </c>
      <c r="E62" s="1" t="s">
        <v>156</v>
      </c>
      <c r="F62" s="4">
        <v>45370</v>
      </c>
      <c r="G62" s="3">
        <f>I62+K62</f>
        <v>0.24751157407407406</v>
      </c>
      <c r="H62" s="6">
        <f>J62+K62</f>
        <v>0.26055555555555554</v>
      </c>
      <c r="I62" s="3">
        <v>2.3483796296296298E-2</v>
      </c>
      <c r="J62" s="6">
        <v>3.6527777777777777E-2</v>
      </c>
      <c r="K62" s="3">
        <v>0.22402777777777777</v>
      </c>
      <c r="L62" s="1" t="s">
        <v>7</v>
      </c>
      <c r="M62" s="1" t="s">
        <v>7</v>
      </c>
      <c r="N62" s="1">
        <v>3</v>
      </c>
      <c r="O62" s="1">
        <v>3</v>
      </c>
      <c r="P62" s="1">
        <v>90</v>
      </c>
      <c r="Q62" s="1">
        <v>90</v>
      </c>
      <c r="R62" s="1">
        <v>115.17</v>
      </c>
      <c r="S62" s="1">
        <v>115.17</v>
      </c>
      <c r="T62" s="1"/>
      <c r="U62" s="1">
        <v>1</v>
      </c>
      <c r="V62" s="1" t="s">
        <v>157</v>
      </c>
      <c r="W62" s="1"/>
    </row>
    <row r="63" spans="1:23" x14ac:dyDescent="0.2">
      <c r="A63" s="1">
        <v>1</v>
      </c>
      <c r="B63" s="1" t="s">
        <v>793</v>
      </c>
      <c r="C63" s="1" t="s">
        <v>773</v>
      </c>
      <c r="D63" s="1">
        <v>1</v>
      </c>
      <c r="E63" s="1" t="s">
        <v>187</v>
      </c>
      <c r="F63" s="4">
        <v>45370</v>
      </c>
      <c r="G63" s="3">
        <f>I63+K63</f>
        <v>0.77493055555555557</v>
      </c>
      <c r="H63" s="6" t="s">
        <v>21</v>
      </c>
      <c r="I63" s="3">
        <v>1.457175925925926E-2</v>
      </c>
      <c r="J63" s="6" t="s">
        <v>21</v>
      </c>
      <c r="K63" s="3">
        <v>0.76035879629629632</v>
      </c>
      <c r="L63" s="1" t="s">
        <v>7</v>
      </c>
      <c r="M63" s="1" t="s">
        <v>7</v>
      </c>
      <c r="N63" s="1">
        <v>3</v>
      </c>
      <c r="O63" s="1">
        <v>3</v>
      </c>
      <c r="P63" s="1">
        <v>90</v>
      </c>
      <c r="Q63" s="1">
        <v>90</v>
      </c>
      <c r="R63" s="1">
        <v>115.17</v>
      </c>
      <c r="S63" s="1">
        <v>115.17</v>
      </c>
      <c r="T63" s="1"/>
      <c r="U63" s="1" t="s">
        <v>21</v>
      </c>
      <c r="V63" s="1" t="s">
        <v>188</v>
      </c>
      <c r="W63" s="1"/>
    </row>
    <row r="64" spans="1:23" x14ac:dyDescent="0.2">
      <c r="A64" s="1">
        <v>1</v>
      </c>
      <c r="B64" s="1" t="s">
        <v>793</v>
      </c>
      <c r="C64" s="1" t="s">
        <v>773</v>
      </c>
      <c r="D64" s="1" t="s">
        <v>21</v>
      </c>
      <c r="E64" s="1" t="s">
        <v>21</v>
      </c>
      <c r="F64" s="4">
        <v>45371</v>
      </c>
      <c r="G64" s="1" t="s">
        <v>21</v>
      </c>
      <c r="H64" s="6" t="s">
        <v>21</v>
      </c>
      <c r="I64" s="1" t="s">
        <v>21</v>
      </c>
      <c r="J64" s="6" t="s">
        <v>21</v>
      </c>
      <c r="K64" s="1" t="s">
        <v>21</v>
      </c>
      <c r="P64" s="1">
        <v>90</v>
      </c>
      <c r="Q64" s="1">
        <v>90</v>
      </c>
      <c r="V64" s="1" t="s">
        <v>194</v>
      </c>
    </row>
    <row r="65" spans="1:23" x14ac:dyDescent="0.2">
      <c r="A65" s="1">
        <v>1</v>
      </c>
      <c r="B65" s="1" t="s">
        <v>793</v>
      </c>
      <c r="C65" s="1" t="s">
        <v>773</v>
      </c>
      <c r="D65" s="1" t="s">
        <v>21</v>
      </c>
      <c r="E65" s="1" t="s">
        <v>21</v>
      </c>
      <c r="F65" s="4">
        <v>45371</v>
      </c>
      <c r="G65" s="1" t="s">
        <v>21</v>
      </c>
      <c r="H65" s="6" t="s">
        <v>21</v>
      </c>
      <c r="I65" s="1" t="s">
        <v>21</v>
      </c>
      <c r="J65" s="6" t="s">
        <v>21</v>
      </c>
      <c r="K65" s="1" t="s">
        <v>21</v>
      </c>
      <c r="P65" s="1">
        <v>90</v>
      </c>
      <c r="Q65" s="1">
        <v>90</v>
      </c>
      <c r="V65" s="1" t="s">
        <v>197</v>
      </c>
    </row>
    <row r="66" spans="1:23" x14ac:dyDescent="0.2">
      <c r="A66" s="1">
        <v>1</v>
      </c>
      <c r="B66" s="1" t="s">
        <v>793</v>
      </c>
      <c r="C66" s="1" t="s">
        <v>773</v>
      </c>
      <c r="D66" s="1">
        <v>1</v>
      </c>
      <c r="E66" s="1" t="s">
        <v>199</v>
      </c>
      <c r="F66" s="4">
        <v>45372</v>
      </c>
      <c r="G66" s="1" t="s">
        <v>21</v>
      </c>
      <c r="H66" s="6">
        <f>J66+K66</f>
        <v>0.26060185185185186</v>
      </c>
      <c r="I66" s="1" t="s">
        <v>21</v>
      </c>
      <c r="J66" s="6">
        <v>3.425925925925926E-2</v>
      </c>
      <c r="K66" s="3">
        <v>0.2263425925925926</v>
      </c>
      <c r="L66" s="1" t="s">
        <v>7</v>
      </c>
      <c r="M66" s="1" t="s">
        <v>8</v>
      </c>
      <c r="N66" s="1">
        <v>3</v>
      </c>
      <c r="O66" s="1">
        <v>3</v>
      </c>
      <c r="P66" s="1">
        <v>90</v>
      </c>
      <c r="Q66" s="1">
        <v>90</v>
      </c>
      <c r="R66" s="1">
        <v>115.17</v>
      </c>
      <c r="S66" s="1">
        <v>57.4</v>
      </c>
      <c r="T66" s="1"/>
      <c r="U66" s="1" t="s">
        <v>21</v>
      </c>
      <c r="V66" s="1" t="s">
        <v>228</v>
      </c>
      <c r="W66" s="1"/>
    </row>
    <row r="67" spans="1:23" x14ac:dyDescent="0.2">
      <c r="A67" s="1">
        <v>1</v>
      </c>
      <c r="B67" s="1" t="s">
        <v>793</v>
      </c>
      <c r="C67" s="1" t="s">
        <v>773</v>
      </c>
      <c r="D67" s="1">
        <v>1</v>
      </c>
      <c r="E67" s="1" t="s">
        <v>213</v>
      </c>
      <c r="F67" s="4">
        <v>45372</v>
      </c>
      <c r="G67" s="3">
        <f>I67+K67</f>
        <v>0.770625</v>
      </c>
      <c r="H67" s="6">
        <f>J67+K67</f>
        <v>0.77483796296296303</v>
      </c>
      <c r="I67" s="3">
        <v>6.030092592592593E-3</v>
      </c>
      <c r="J67" s="6">
        <v>1.0243055555555556E-2</v>
      </c>
      <c r="K67" s="3">
        <v>0.76459490740740743</v>
      </c>
      <c r="L67" s="1" t="s">
        <v>7</v>
      </c>
      <c r="M67" s="1" t="s">
        <v>7</v>
      </c>
      <c r="N67" s="1">
        <v>3</v>
      </c>
      <c r="O67" s="1">
        <v>3</v>
      </c>
      <c r="P67" s="1">
        <v>90</v>
      </c>
      <c r="Q67" s="1">
        <v>90</v>
      </c>
      <c r="R67" s="1">
        <v>115.17</v>
      </c>
      <c r="S67" s="1">
        <v>115.17</v>
      </c>
      <c r="T67" s="1"/>
      <c r="U67" s="1">
        <v>0</v>
      </c>
      <c r="V67" s="1" t="s">
        <v>214</v>
      </c>
      <c r="W67" s="1"/>
    </row>
    <row r="68" spans="1:23" x14ac:dyDescent="0.2">
      <c r="A68" s="1">
        <v>1</v>
      </c>
      <c r="B68" s="1" t="s">
        <v>793</v>
      </c>
      <c r="C68" s="1" t="s">
        <v>773</v>
      </c>
      <c r="D68" s="1">
        <v>2</v>
      </c>
      <c r="E68" s="1" t="s">
        <v>213</v>
      </c>
      <c r="F68" s="4">
        <v>45372</v>
      </c>
      <c r="G68" s="3">
        <f>I68+K68</f>
        <v>0.77567129629629628</v>
      </c>
      <c r="H68" s="6" t="s">
        <v>21</v>
      </c>
      <c r="I68" s="3">
        <v>1.1076388888888889E-2</v>
      </c>
      <c r="J68" s="6" t="s">
        <v>21</v>
      </c>
      <c r="K68" s="3">
        <v>0.76459490740740743</v>
      </c>
      <c r="L68" s="1" t="s">
        <v>7</v>
      </c>
      <c r="M68" s="1" t="s">
        <v>7</v>
      </c>
      <c r="N68" s="1">
        <v>3</v>
      </c>
      <c r="O68" s="1">
        <v>3</v>
      </c>
      <c r="P68" s="1">
        <v>90</v>
      </c>
      <c r="Q68" s="1">
        <v>90</v>
      </c>
      <c r="R68" s="1">
        <v>115.17</v>
      </c>
      <c r="S68" s="1">
        <v>115.17</v>
      </c>
      <c r="T68" s="1"/>
      <c r="U68" s="1" t="s">
        <v>21</v>
      </c>
      <c r="V68" s="1" t="s">
        <v>215</v>
      </c>
      <c r="W68" s="1"/>
    </row>
    <row r="69" spans="1:23" x14ac:dyDescent="0.2">
      <c r="A69" s="1">
        <v>1</v>
      </c>
      <c r="B69" s="1" t="s">
        <v>793</v>
      </c>
      <c r="C69" s="1" t="s">
        <v>773</v>
      </c>
      <c r="D69" s="1">
        <v>1</v>
      </c>
      <c r="E69" s="1" t="s">
        <v>216</v>
      </c>
      <c r="F69" s="4">
        <v>45373</v>
      </c>
      <c r="G69" s="3">
        <f>I69+K69</f>
        <v>0.2449189814814815</v>
      </c>
      <c r="H69" s="6">
        <f>J69+K69</f>
        <v>0.25677083333333334</v>
      </c>
      <c r="I69" s="3">
        <v>1.0347222222222223E-2</v>
      </c>
      <c r="J69" s="6">
        <v>2.2199074074074072E-2</v>
      </c>
      <c r="K69" s="3">
        <v>0.23457175925925927</v>
      </c>
      <c r="L69" s="1" t="s">
        <v>7</v>
      </c>
      <c r="M69" s="1" t="s">
        <v>8</v>
      </c>
      <c r="N69" s="1">
        <v>3</v>
      </c>
      <c r="O69" s="1">
        <v>3</v>
      </c>
      <c r="P69" s="1">
        <v>90</v>
      </c>
      <c r="Q69" s="1">
        <v>90</v>
      </c>
      <c r="R69" s="1">
        <v>115.17</v>
      </c>
      <c r="S69" s="1">
        <v>38.4</v>
      </c>
      <c r="T69" s="1"/>
      <c r="U69" s="1">
        <v>1</v>
      </c>
      <c r="W69" s="1"/>
    </row>
    <row r="70" spans="1:23" x14ac:dyDescent="0.2">
      <c r="A70" s="1">
        <v>1</v>
      </c>
      <c r="B70" s="1" t="s">
        <v>793</v>
      </c>
      <c r="C70" s="1" t="s">
        <v>773</v>
      </c>
      <c r="D70" s="1">
        <v>1</v>
      </c>
      <c r="E70" s="1" t="s">
        <v>217</v>
      </c>
      <c r="F70" s="4">
        <v>45373</v>
      </c>
      <c r="G70" s="3">
        <f>I70+K70</f>
        <v>0.77028935185185188</v>
      </c>
      <c r="H70" s="6">
        <f>J70+K70</f>
        <v>0.77311342592592591</v>
      </c>
      <c r="I70" s="3">
        <v>2.6215277777777778E-2</v>
      </c>
      <c r="J70" s="6">
        <v>2.9039351851851851E-2</v>
      </c>
      <c r="K70" s="3">
        <v>0.74407407407407411</v>
      </c>
      <c r="L70" s="1" t="s">
        <v>8</v>
      </c>
      <c r="M70" s="1" t="s">
        <v>8</v>
      </c>
      <c r="N70" s="1">
        <v>3</v>
      </c>
      <c r="O70" s="1">
        <v>3</v>
      </c>
      <c r="P70" s="1">
        <v>90</v>
      </c>
      <c r="Q70" s="1">
        <v>90</v>
      </c>
      <c r="R70" s="1">
        <v>115.17</v>
      </c>
      <c r="S70" s="1">
        <v>115.17</v>
      </c>
      <c r="T70" s="1"/>
      <c r="U70" s="1">
        <v>1</v>
      </c>
      <c r="V70" s="1" t="s">
        <v>218</v>
      </c>
      <c r="W70" s="1"/>
    </row>
    <row r="71" spans="1:23" x14ac:dyDescent="0.2">
      <c r="A71" s="1">
        <v>1</v>
      </c>
      <c r="B71" s="1" t="s">
        <v>793</v>
      </c>
      <c r="C71" s="1" t="s">
        <v>773</v>
      </c>
      <c r="D71" s="1">
        <v>1</v>
      </c>
      <c r="E71" s="1" t="s">
        <v>219</v>
      </c>
      <c r="F71" s="4">
        <v>45374</v>
      </c>
      <c r="G71" s="3">
        <f>I71+K71</f>
        <v>0.24864583333333332</v>
      </c>
      <c r="H71" s="6">
        <f>J71+K71</f>
        <v>0.25959490740740743</v>
      </c>
      <c r="I71" s="3">
        <v>6.1921296296296299E-3</v>
      </c>
      <c r="J71" s="6">
        <v>1.7141203703703704E-2</v>
      </c>
      <c r="K71" s="3">
        <v>0.2424537037037037</v>
      </c>
      <c r="L71" s="1" t="s">
        <v>8</v>
      </c>
      <c r="M71" s="1" t="s">
        <v>7</v>
      </c>
      <c r="N71" s="1">
        <v>3</v>
      </c>
      <c r="O71" s="1">
        <v>3</v>
      </c>
      <c r="P71" s="1">
        <v>90</v>
      </c>
      <c r="Q71" s="1">
        <v>90</v>
      </c>
      <c r="R71" s="1">
        <v>115.17</v>
      </c>
      <c r="S71" s="1">
        <v>38.4</v>
      </c>
      <c r="T71" s="1"/>
      <c r="U71" s="1">
        <v>0</v>
      </c>
      <c r="V71" s="1" t="s">
        <v>220</v>
      </c>
      <c r="W71" s="1"/>
    </row>
    <row r="72" spans="1:23" x14ac:dyDescent="0.2">
      <c r="A72" s="1">
        <v>1</v>
      </c>
      <c r="B72" s="1" t="s">
        <v>793</v>
      </c>
      <c r="C72" s="1" t="s">
        <v>773</v>
      </c>
      <c r="D72" s="1">
        <v>2</v>
      </c>
      <c r="E72" s="1" t="s">
        <v>219</v>
      </c>
      <c r="F72" s="4">
        <v>45374</v>
      </c>
      <c r="G72" s="3">
        <f>I72+K72</f>
        <v>0.26033564814814814</v>
      </c>
      <c r="H72" s="6">
        <f>J72+K72</f>
        <v>0.26443287037037039</v>
      </c>
      <c r="I72" s="6">
        <v>1.7881944444444443E-2</v>
      </c>
      <c r="J72" s="6">
        <v>2.1979166666666668E-2</v>
      </c>
      <c r="K72" s="3">
        <v>0.2424537037037037</v>
      </c>
      <c r="L72" s="1" t="s">
        <v>7</v>
      </c>
      <c r="M72" s="1" t="s">
        <v>7</v>
      </c>
      <c r="N72" s="1">
        <v>3</v>
      </c>
      <c r="O72" s="1">
        <v>3</v>
      </c>
      <c r="P72" s="1">
        <v>90</v>
      </c>
      <c r="Q72" s="1">
        <v>90</v>
      </c>
      <c r="R72" s="1">
        <v>38.4</v>
      </c>
      <c r="S72" s="1">
        <v>38.4</v>
      </c>
      <c r="T72" s="1"/>
      <c r="U72" s="1">
        <v>0</v>
      </c>
      <c r="V72" s="1" t="s">
        <v>221</v>
      </c>
      <c r="W72" s="1"/>
    </row>
    <row r="73" spans="1:23" x14ac:dyDescent="0.2">
      <c r="A73" s="1">
        <v>1</v>
      </c>
      <c r="B73" s="1" t="s">
        <v>793</v>
      </c>
      <c r="C73" s="1" t="s">
        <v>773</v>
      </c>
      <c r="D73" s="1">
        <v>1</v>
      </c>
      <c r="E73" s="1" t="s">
        <v>222</v>
      </c>
      <c r="F73" s="4">
        <v>45374</v>
      </c>
      <c r="G73" s="3">
        <f>I73+K73</f>
        <v>0.76651620370370377</v>
      </c>
      <c r="H73" s="6">
        <f>J73+K73</f>
        <v>0.77297453703703711</v>
      </c>
      <c r="I73" s="3">
        <v>7.5462962962962966E-3</v>
      </c>
      <c r="J73" s="6">
        <v>1.4004629629629629E-2</v>
      </c>
      <c r="K73" s="3">
        <v>0.75896990740740744</v>
      </c>
      <c r="L73" s="1" t="s">
        <v>7</v>
      </c>
      <c r="M73" s="1" t="s">
        <v>8</v>
      </c>
      <c r="N73" s="1">
        <v>3</v>
      </c>
      <c r="O73" s="1">
        <v>3</v>
      </c>
      <c r="P73" s="1">
        <v>90</v>
      </c>
      <c r="Q73" s="1">
        <v>90</v>
      </c>
      <c r="R73" s="1">
        <v>115.17</v>
      </c>
      <c r="S73" s="1">
        <v>115.17</v>
      </c>
      <c r="T73" s="1"/>
      <c r="U73" s="1">
        <v>1</v>
      </c>
      <c r="V73" s="1" t="s">
        <v>223</v>
      </c>
      <c r="W73" s="1"/>
    </row>
    <row r="74" spans="1:23" x14ac:dyDescent="0.2">
      <c r="A74" s="1">
        <v>1</v>
      </c>
      <c r="B74" s="1" t="s">
        <v>793</v>
      </c>
      <c r="C74" s="1" t="s">
        <v>773</v>
      </c>
      <c r="D74" s="1">
        <v>2</v>
      </c>
      <c r="E74" s="1" t="s">
        <v>222</v>
      </c>
      <c r="F74" s="4">
        <v>45374</v>
      </c>
      <c r="G74" s="3">
        <f>I74+K74</f>
        <v>0.77447916666666672</v>
      </c>
      <c r="H74" s="6">
        <f>J74+K74</f>
        <v>0.78350694444444446</v>
      </c>
      <c r="I74" s="3">
        <v>1.5509259259259259E-2</v>
      </c>
      <c r="J74" s="6">
        <v>2.4537037037037038E-2</v>
      </c>
      <c r="K74" s="3">
        <v>0.75896990740740744</v>
      </c>
      <c r="L74" s="1" t="s">
        <v>8</v>
      </c>
      <c r="M74" s="1" t="s">
        <v>8</v>
      </c>
      <c r="N74" s="1">
        <v>3</v>
      </c>
      <c r="O74" s="1">
        <v>3</v>
      </c>
      <c r="P74" s="1">
        <v>90</v>
      </c>
      <c r="Q74" s="1">
        <v>90</v>
      </c>
      <c r="R74" s="1">
        <v>115.17</v>
      </c>
      <c r="S74" s="7">
        <v>115.17</v>
      </c>
      <c r="T74" s="7"/>
      <c r="U74" s="1">
        <v>1</v>
      </c>
      <c r="V74" s="1" t="s">
        <v>224</v>
      </c>
      <c r="W74" s="7"/>
    </row>
    <row r="75" spans="1:23" x14ac:dyDescent="0.2">
      <c r="A75" s="1">
        <v>1</v>
      </c>
      <c r="B75" s="1" t="s">
        <v>793</v>
      </c>
      <c r="C75" s="1" t="s">
        <v>773</v>
      </c>
      <c r="D75" s="1">
        <v>1</v>
      </c>
      <c r="E75" s="1" t="s">
        <v>225</v>
      </c>
      <c r="F75" s="4">
        <v>45375</v>
      </c>
      <c r="G75" s="1" t="s">
        <v>21</v>
      </c>
      <c r="H75" s="6">
        <f>J75+K75</f>
        <v>0.26059027777777777</v>
      </c>
      <c r="I75" s="1" t="s">
        <v>21</v>
      </c>
      <c r="J75" s="6">
        <v>3.1377314814814816E-2</v>
      </c>
      <c r="K75" s="3">
        <v>0.22921296296296295</v>
      </c>
      <c r="L75" s="1" t="s">
        <v>8</v>
      </c>
      <c r="M75" s="1" t="s">
        <v>7</v>
      </c>
      <c r="N75" s="1">
        <v>3</v>
      </c>
      <c r="O75" s="1">
        <v>3</v>
      </c>
      <c r="P75" s="1">
        <v>90</v>
      </c>
      <c r="Q75" s="1">
        <v>90</v>
      </c>
      <c r="R75" s="1">
        <v>115.17</v>
      </c>
      <c r="S75" s="7">
        <v>115.17</v>
      </c>
      <c r="T75" s="7"/>
      <c r="U75" s="1">
        <v>0</v>
      </c>
      <c r="V75" s="1" t="s">
        <v>226</v>
      </c>
      <c r="W75" s="7"/>
    </row>
    <row r="76" spans="1:23" x14ac:dyDescent="0.2">
      <c r="A76" s="1">
        <v>1</v>
      </c>
      <c r="B76" s="1" t="s">
        <v>793</v>
      </c>
      <c r="C76" s="1" t="s">
        <v>773</v>
      </c>
      <c r="D76" s="1">
        <v>2</v>
      </c>
      <c r="E76" s="1" t="s">
        <v>225</v>
      </c>
      <c r="F76" s="4">
        <v>45375</v>
      </c>
      <c r="G76" s="3">
        <f>I76+K76</f>
        <v>0.2612962962962963</v>
      </c>
      <c r="H76" s="6" t="s">
        <v>21</v>
      </c>
      <c r="I76" s="3">
        <v>3.2083333333333332E-2</v>
      </c>
      <c r="J76" s="6" t="s">
        <v>21</v>
      </c>
      <c r="K76" s="3">
        <v>0.22921296296296295</v>
      </c>
      <c r="L76" s="1" t="s">
        <v>7</v>
      </c>
      <c r="M76" s="1" t="s">
        <v>7</v>
      </c>
      <c r="N76" s="1">
        <v>3</v>
      </c>
      <c r="O76" s="1">
        <v>3</v>
      </c>
      <c r="P76" s="1">
        <v>90</v>
      </c>
      <c r="Q76" s="1">
        <v>90</v>
      </c>
      <c r="R76" s="1">
        <v>115.17</v>
      </c>
      <c r="S76" s="7">
        <v>115.17</v>
      </c>
      <c r="T76" s="7"/>
      <c r="U76" s="1" t="s">
        <v>21</v>
      </c>
      <c r="V76" s="1" t="s">
        <v>227</v>
      </c>
      <c r="W76" s="7"/>
    </row>
    <row r="77" spans="1:23" x14ac:dyDescent="0.2">
      <c r="A77" s="1">
        <v>1</v>
      </c>
      <c r="B77" s="1" t="s">
        <v>793</v>
      </c>
      <c r="C77" s="1" t="s">
        <v>773</v>
      </c>
      <c r="D77" s="1">
        <v>1</v>
      </c>
      <c r="E77" s="1" t="s">
        <v>236</v>
      </c>
      <c r="F77" s="4">
        <v>45375</v>
      </c>
      <c r="G77" s="3">
        <f>I77+K77</f>
        <v>0.77292824074074074</v>
      </c>
      <c r="H77" s="6">
        <f>J77+K77</f>
        <v>0.7900462962962963</v>
      </c>
      <c r="I77" s="3">
        <v>1.4409722222222223E-2</v>
      </c>
      <c r="J77" s="6">
        <v>3.152777777777778E-2</v>
      </c>
      <c r="K77" s="3">
        <v>0.75851851851851848</v>
      </c>
      <c r="L77" s="1" t="s">
        <v>7</v>
      </c>
      <c r="M77" s="1" t="s">
        <v>8</v>
      </c>
      <c r="N77" s="1">
        <v>3</v>
      </c>
      <c r="O77" s="1">
        <v>3</v>
      </c>
      <c r="P77" s="1">
        <v>90</v>
      </c>
      <c r="Q77" s="1">
        <v>90</v>
      </c>
      <c r="R77" s="1">
        <v>115.17</v>
      </c>
      <c r="S77" s="1">
        <v>57.4</v>
      </c>
      <c r="T77" s="1"/>
      <c r="U77" s="1">
        <v>1</v>
      </c>
      <c r="W77" s="1"/>
    </row>
    <row r="78" spans="1:23" x14ac:dyDescent="0.2">
      <c r="A78" s="1">
        <v>1</v>
      </c>
      <c r="B78" s="1" t="s">
        <v>793</v>
      </c>
      <c r="C78" s="1" t="s">
        <v>773</v>
      </c>
      <c r="D78" s="1">
        <v>1</v>
      </c>
      <c r="E78" s="1" t="s">
        <v>343</v>
      </c>
      <c r="F78" s="4">
        <v>45376</v>
      </c>
      <c r="G78" s="3">
        <f>I78+K78</f>
        <v>0.76637731481481475</v>
      </c>
      <c r="H78" s="6">
        <f>J78+K78</f>
        <v>0.78878472222222218</v>
      </c>
      <c r="I78" s="3">
        <v>1.1284722222222222E-2</v>
      </c>
      <c r="J78" s="6">
        <v>3.3692129629629627E-2</v>
      </c>
      <c r="K78" s="3">
        <v>0.75509259259259254</v>
      </c>
      <c r="L78" s="1" t="s">
        <v>7</v>
      </c>
      <c r="M78" s="1" t="s">
        <v>7</v>
      </c>
      <c r="N78" s="1">
        <v>3</v>
      </c>
      <c r="O78" s="1">
        <v>3</v>
      </c>
      <c r="P78" s="1">
        <v>90</v>
      </c>
      <c r="Q78" s="1">
        <v>90</v>
      </c>
      <c r="R78" s="1">
        <v>115.17</v>
      </c>
      <c r="S78" s="7">
        <v>115.17</v>
      </c>
      <c r="T78" s="7"/>
      <c r="U78" s="1">
        <v>1</v>
      </c>
      <c r="W78" s="7"/>
    </row>
    <row r="79" spans="1:23" x14ac:dyDescent="0.2">
      <c r="A79" s="1">
        <v>1</v>
      </c>
      <c r="B79" s="1" t="s">
        <v>793</v>
      </c>
      <c r="C79" s="1" t="s">
        <v>773</v>
      </c>
      <c r="D79" s="1">
        <v>1</v>
      </c>
      <c r="E79" s="1" t="s">
        <v>237</v>
      </c>
      <c r="F79" s="4">
        <v>45376</v>
      </c>
      <c r="G79" s="3">
        <f>I79+K79</f>
        <v>0.24019675925925926</v>
      </c>
      <c r="H79" s="6">
        <f>J79+K79</f>
        <v>0.2697222222222222</v>
      </c>
      <c r="I79" s="3">
        <v>1.724537037037037E-3</v>
      </c>
      <c r="J79" s="6">
        <v>3.125E-2</v>
      </c>
      <c r="K79" s="3">
        <v>0.23847222222222222</v>
      </c>
      <c r="L79" s="1" t="s">
        <v>8</v>
      </c>
      <c r="M79" s="1" t="s">
        <v>7</v>
      </c>
      <c r="N79" s="1">
        <v>3</v>
      </c>
      <c r="O79" s="1">
        <v>3</v>
      </c>
      <c r="P79" s="1">
        <v>90</v>
      </c>
      <c r="Q79" s="1">
        <v>90</v>
      </c>
      <c r="R79" s="1">
        <v>115.17</v>
      </c>
      <c r="S79" s="1">
        <v>38.4</v>
      </c>
      <c r="T79" s="1"/>
      <c r="U79" s="1">
        <v>0</v>
      </c>
      <c r="W79" s="1"/>
    </row>
    <row r="80" spans="1:23" x14ac:dyDescent="0.2">
      <c r="A80" s="1">
        <v>1</v>
      </c>
      <c r="B80" s="1" t="s">
        <v>793</v>
      </c>
      <c r="C80" s="1" t="s">
        <v>773</v>
      </c>
      <c r="D80" s="1" t="s">
        <v>21</v>
      </c>
      <c r="E80" s="1" t="s">
        <v>21</v>
      </c>
      <c r="F80" s="4">
        <v>45377</v>
      </c>
      <c r="G80" s="1" t="s">
        <v>21</v>
      </c>
      <c r="H80" s="6" t="s">
        <v>21</v>
      </c>
      <c r="I80" s="1" t="s">
        <v>21</v>
      </c>
      <c r="J80" s="6" t="s">
        <v>21</v>
      </c>
      <c r="K80" s="1" t="s">
        <v>21</v>
      </c>
      <c r="L80" s="1" t="s">
        <v>7</v>
      </c>
      <c r="M80" s="1" t="s">
        <v>7</v>
      </c>
      <c r="N80" s="1">
        <v>3</v>
      </c>
      <c r="O80" s="1">
        <v>3</v>
      </c>
      <c r="P80" s="1">
        <v>90</v>
      </c>
      <c r="Q80" s="1">
        <v>90</v>
      </c>
      <c r="R80" s="1">
        <v>115.17</v>
      </c>
      <c r="S80" s="1">
        <v>115.17</v>
      </c>
      <c r="T80" s="1"/>
      <c r="U80" s="1" t="s">
        <v>21</v>
      </c>
      <c r="V80" s="1" t="s">
        <v>238</v>
      </c>
      <c r="W80" s="1"/>
    </row>
    <row r="81" spans="1:23" x14ac:dyDescent="0.2">
      <c r="A81" s="1">
        <v>1</v>
      </c>
      <c r="B81" s="1" t="s">
        <v>793</v>
      </c>
      <c r="C81" s="1" t="s">
        <v>773</v>
      </c>
      <c r="D81" s="1">
        <v>1</v>
      </c>
      <c r="E81" s="1" t="s">
        <v>241</v>
      </c>
      <c r="F81" s="4">
        <v>45377</v>
      </c>
      <c r="G81" s="1" t="s">
        <v>21</v>
      </c>
      <c r="H81" s="6">
        <f>J81+K81</f>
        <v>0.25787037037037036</v>
      </c>
      <c r="I81" s="1" t="s">
        <v>21</v>
      </c>
      <c r="J81" s="6">
        <v>2.0104166666666666E-2</v>
      </c>
      <c r="K81" s="3">
        <v>0.23776620370370372</v>
      </c>
      <c r="L81" s="1" t="s">
        <v>8</v>
      </c>
      <c r="M81" s="1" t="s">
        <v>7</v>
      </c>
      <c r="N81" s="1">
        <v>3</v>
      </c>
      <c r="O81" s="1">
        <v>3</v>
      </c>
      <c r="P81" s="1">
        <v>90</v>
      </c>
      <c r="Q81" s="1">
        <v>90</v>
      </c>
      <c r="R81" s="1">
        <v>115.17</v>
      </c>
      <c r="S81" s="1">
        <v>57.4</v>
      </c>
      <c r="T81" s="1"/>
      <c r="U81" s="1">
        <v>1</v>
      </c>
      <c r="V81" s="1" t="s">
        <v>242</v>
      </c>
      <c r="W81" s="1"/>
    </row>
    <row r="82" spans="1:23" x14ac:dyDescent="0.2">
      <c r="A82" s="1">
        <v>1</v>
      </c>
      <c r="B82" s="1" t="s">
        <v>793</v>
      </c>
      <c r="C82" s="1" t="s">
        <v>773</v>
      </c>
      <c r="D82" s="1">
        <v>2</v>
      </c>
      <c r="E82" s="1" t="s">
        <v>241</v>
      </c>
      <c r="F82" s="4">
        <v>45377</v>
      </c>
      <c r="G82" s="3">
        <f>I82+K82</f>
        <v>0.25854166666666667</v>
      </c>
      <c r="H82" s="6">
        <f>J82+K82</f>
        <v>0.27064814814814814</v>
      </c>
      <c r="I82" s="3">
        <v>2.0775462962962964E-2</v>
      </c>
      <c r="J82" s="6">
        <v>3.2881944444444443E-2</v>
      </c>
      <c r="K82" s="3">
        <v>0.23776620370370372</v>
      </c>
      <c r="L82" s="1" t="s">
        <v>7</v>
      </c>
      <c r="M82" s="1" t="s">
        <v>7</v>
      </c>
      <c r="N82" s="1">
        <v>3</v>
      </c>
      <c r="O82" s="1">
        <v>3</v>
      </c>
      <c r="P82" s="1">
        <v>90</v>
      </c>
      <c r="Q82" s="1">
        <v>90</v>
      </c>
      <c r="R82" s="1">
        <v>57.4</v>
      </c>
      <c r="S82" s="1">
        <v>57.4</v>
      </c>
      <c r="T82" s="1"/>
      <c r="U82" s="1">
        <v>0</v>
      </c>
      <c r="V82" s="1" t="s">
        <v>243</v>
      </c>
      <c r="W82" s="1"/>
    </row>
    <row r="83" spans="1:23" x14ac:dyDescent="0.2">
      <c r="A83" s="1">
        <v>1</v>
      </c>
      <c r="B83" s="1" t="s">
        <v>793</v>
      </c>
      <c r="C83" s="1" t="s">
        <v>773</v>
      </c>
      <c r="D83" s="1">
        <v>1</v>
      </c>
      <c r="E83" s="1" t="s">
        <v>244</v>
      </c>
      <c r="F83" s="4">
        <v>45378</v>
      </c>
      <c r="G83" s="3">
        <f>I83+K83</f>
        <v>0.24265046296296297</v>
      </c>
      <c r="H83" s="6">
        <f>J83+K83</f>
        <v>0.25310185185185186</v>
      </c>
      <c r="I83" s="3">
        <v>1.0231481481481482E-2</v>
      </c>
      <c r="J83" s="6">
        <v>2.0682870370370369E-2</v>
      </c>
      <c r="K83" s="3">
        <v>0.23241898148148149</v>
      </c>
      <c r="L83" s="1" t="s">
        <v>7</v>
      </c>
      <c r="M83" s="1" t="s">
        <v>8</v>
      </c>
      <c r="N83" s="1">
        <v>3</v>
      </c>
      <c r="O83" s="1">
        <v>3</v>
      </c>
      <c r="P83" s="1">
        <v>90</v>
      </c>
      <c r="Q83" s="1">
        <v>90</v>
      </c>
      <c r="R83" s="1">
        <v>115.17</v>
      </c>
      <c r="S83" s="1">
        <v>38.4</v>
      </c>
      <c r="T83" s="1"/>
      <c r="U83" s="1">
        <v>1</v>
      </c>
      <c r="W83" s="1"/>
    </row>
    <row r="84" spans="1:23" x14ac:dyDescent="0.2">
      <c r="A84" s="1">
        <v>1</v>
      </c>
      <c r="B84" s="1" t="s">
        <v>793</v>
      </c>
      <c r="C84" s="1" t="s">
        <v>773</v>
      </c>
      <c r="D84" s="1">
        <v>1</v>
      </c>
      <c r="E84" s="1" t="s">
        <v>286</v>
      </c>
      <c r="F84" s="4">
        <v>45378</v>
      </c>
      <c r="G84" s="3">
        <f>I84+K84</f>
        <v>0.76278935185185193</v>
      </c>
      <c r="H84" s="6">
        <f>J84+K84</f>
        <v>0.78462962962962968</v>
      </c>
      <c r="I84" s="3">
        <v>2.4305555555555556E-3</v>
      </c>
      <c r="J84" s="6">
        <v>2.4270833333333332E-2</v>
      </c>
      <c r="K84" s="3">
        <v>0.76035879629629632</v>
      </c>
      <c r="L84" s="1" t="s">
        <v>8</v>
      </c>
      <c r="M84" s="1" t="s">
        <v>7</v>
      </c>
      <c r="N84" s="1">
        <v>3</v>
      </c>
      <c r="O84" s="1">
        <v>3</v>
      </c>
      <c r="P84" s="1">
        <v>90</v>
      </c>
      <c r="Q84" s="1">
        <v>90</v>
      </c>
      <c r="R84" s="1">
        <v>115.17</v>
      </c>
      <c r="S84" s="1">
        <v>115.17</v>
      </c>
      <c r="T84" s="1"/>
      <c r="U84" s="1">
        <v>0</v>
      </c>
      <c r="W84" s="1"/>
    </row>
    <row r="85" spans="1:23" x14ac:dyDescent="0.2">
      <c r="A85" s="1">
        <v>1</v>
      </c>
      <c r="B85" s="1" t="s">
        <v>793</v>
      </c>
      <c r="C85" s="1" t="s">
        <v>773</v>
      </c>
      <c r="D85" s="1">
        <v>1</v>
      </c>
      <c r="E85" s="1" t="s">
        <v>270</v>
      </c>
      <c r="F85" s="4">
        <v>45379</v>
      </c>
      <c r="G85" s="1" t="s">
        <v>21</v>
      </c>
      <c r="H85" s="6">
        <f>J85+K85</f>
        <v>0.24640046296296297</v>
      </c>
      <c r="I85" s="1" t="s">
        <v>21</v>
      </c>
      <c r="J85" s="6">
        <v>1.238425925925926E-2</v>
      </c>
      <c r="K85" s="3">
        <v>0.23401620370370371</v>
      </c>
      <c r="L85" s="1" t="s">
        <v>7</v>
      </c>
      <c r="M85" s="1" t="s">
        <v>7</v>
      </c>
      <c r="N85" s="1">
        <v>3</v>
      </c>
      <c r="O85" s="1">
        <v>3</v>
      </c>
      <c r="P85" s="1">
        <v>90</v>
      </c>
      <c r="Q85" s="1">
        <v>90</v>
      </c>
      <c r="R85" s="1">
        <v>115.17</v>
      </c>
      <c r="S85" s="1">
        <v>115.17</v>
      </c>
      <c r="T85" s="1"/>
      <c r="U85" s="1">
        <v>0</v>
      </c>
      <c r="V85" s="1" t="s">
        <v>271</v>
      </c>
      <c r="W85" s="1"/>
    </row>
    <row r="86" spans="1:23" x14ac:dyDescent="0.2">
      <c r="A86" s="1">
        <v>1</v>
      </c>
      <c r="B86" s="1" t="s">
        <v>793</v>
      </c>
      <c r="C86" s="1" t="s">
        <v>773</v>
      </c>
      <c r="D86" s="1">
        <v>2</v>
      </c>
      <c r="E86" s="1" t="s">
        <v>270</v>
      </c>
      <c r="F86" s="4">
        <v>45379</v>
      </c>
      <c r="G86" s="3">
        <f>I86+K86</f>
        <v>0.24777777777777779</v>
      </c>
      <c r="H86" s="6">
        <f>J86+K86</f>
        <v>0.25540509259259259</v>
      </c>
      <c r="I86" s="3">
        <v>1.3761574074074074E-2</v>
      </c>
      <c r="J86" s="6">
        <v>2.1388888888888888E-2</v>
      </c>
      <c r="K86" s="3">
        <v>0.23401620370370371</v>
      </c>
      <c r="L86" s="1" t="s">
        <v>7</v>
      </c>
      <c r="M86" s="1" t="s">
        <v>8</v>
      </c>
      <c r="N86" s="1">
        <v>3</v>
      </c>
      <c r="O86" s="1">
        <v>3</v>
      </c>
      <c r="P86" s="1">
        <v>90</v>
      </c>
      <c r="Q86" s="1">
        <v>90</v>
      </c>
      <c r="R86" s="1">
        <v>115.17</v>
      </c>
      <c r="S86" s="2">
        <v>57.4</v>
      </c>
      <c r="U86" s="1">
        <v>1</v>
      </c>
      <c r="V86" s="1" t="s">
        <v>278</v>
      </c>
    </row>
    <row r="87" spans="1:23" x14ac:dyDescent="0.2">
      <c r="A87" s="1">
        <v>1</v>
      </c>
      <c r="B87" s="1" t="s">
        <v>793</v>
      </c>
      <c r="C87" s="1" t="s">
        <v>773</v>
      </c>
      <c r="D87" s="1">
        <v>3</v>
      </c>
      <c r="E87" s="1" t="s">
        <v>270</v>
      </c>
      <c r="F87" s="4">
        <v>45379</v>
      </c>
      <c r="G87" s="3">
        <f>I87+K87</f>
        <v>0.25762731481481482</v>
      </c>
      <c r="H87" s="6">
        <f>J87+K87</f>
        <v>0.26923611111111112</v>
      </c>
      <c r="I87" s="3">
        <v>2.361111111111111E-2</v>
      </c>
      <c r="J87" s="6">
        <v>3.5219907407407408E-2</v>
      </c>
      <c r="K87" s="3">
        <v>0.23401620370370371</v>
      </c>
      <c r="L87" s="1" t="s">
        <v>8</v>
      </c>
      <c r="M87" s="1" t="s">
        <v>8</v>
      </c>
      <c r="N87" s="1">
        <v>3</v>
      </c>
      <c r="O87" s="1">
        <v>3</v>
      </c>
      <c r="P87" s="1">
        <v>90</v>
      </c>
      <c r="Q87" s="1">
        <v>90</v>
      </c>
      <c r="R87" s="1">
        <v>115.17</v>
      </c>
      <c r="S87" s="2">
        <v>57.4</v>
      </c>
      <c r="U87" s="1">
        <v>1</v>
      </c>
    </row>
    <row r="88" spans="1:23" x14ac:dyDescent="0.2">
      <c r="A88" s="1">
        <v>1</v>
      </c>
      <c r="B88" s="1" t="s">
        <v>793</v>
      </c>
      <c r="C88" s="1" t="s">
        <v>773</v>
      </c>
      <c r="D88" s="1">
        <v>1</v>
      </c>
      <c r="E88" s="1" t="s">
        <v>281</v>
      </c>
      <c r="F88" s="4">
        <v>45379</v>
      </c>
      <c r="G88" s="3">
        <f>I88+K88</f>
        <v>0.76156250000000003</v>
      </c>
      <c r="H88" s="6">
        <f>J88+K88</f>
        <v>0.78693287037037041</v>
      </c>
      <c r="I88" s="3">
        <v>6.5393518518518517E-3</v>
      </c>
      <c r="J88" s="6">
        <v>3.1909722222222221E-2</v>
      </c>
      <c r="K88" s="3">
        <v>0.75502314814814819</v>
      </c>
      <c r="L88" s="1" t="s">
        <v>8</v>
      </c>
      <c r="M88" s="1" t="s">
        <v>7</v>
      </c>
      <c r="N88" s="1">
        <v>3</v>
      </c>
      <c r="O88" s="1">
        <v>3</v>
      </c>
      <c r="P88" s="1">
        <v>90</v>
      </c>
      <c r="Q88" s="1">
        <v>90</v>
      </c>
      <c r="R88" s="1">
        <v>115.17</v>
      </c>
      <c r="S88" s="1">
        <v>38.4</v>
      </c>
      <c r="T88" s="1"/>
      <c r="U88" s="1">
        <v>0</v>
      </c>
    </row>
    <row r="89" spans="1:23" x14ac:dyDescent="0.2">
      <c r="A89" s="1">
        <v>1</v>
      </c>
      <c r="B89" s="1" t="s">
        <v>793</v>
      </c>
      <c r="C89" s="1" t="s">
        <v>773</v>
      </c>
      <c r="D89" s="1">
        <v>1</v>
      </c>
      <c r="E89" s="1" t="s">
        <v>285</v>
      </c>
      <c r="F89" s="4">
        <v>45380</v>
      </c>
      <c r="G89" s="3">
        <f>I89+K89</f>
        <v>0.23951388888888889</v>
      </c>
      <c r="H89" s="6">
        <f>J89+K89</f>
        <v>0.25002314814814813</v>
      </c>
      <c r="I89" s="3">
        <v>9.5949074074074079E-3</v>
      </c>
      <c r="J89" s="6">
        <v>2.0104166666666666E-2</v>
      </c>
      <c r="K89" s="3">
        <v>0.22991898148148149</v>
      </c>
      <c r="L89" s="1" t="s">
        <v>7</v>
      </c>
      <c r="M89" s="1" t="s">
        <v>7</v>
      </c>
      <c r="N89" s="1">
        <v>3</v>
      </c>
      <c r="O89" s="1">
        <v>3</v>
      </c>
      <c r="P89" s="1">
        <v>90</v>
      </c>
      <c r="Q89" s="1">
        <v>90</v>
      </c>
      <c r="R89" s="1">
        <v>115.17</v>
      </c>
      <c r="S89" s="1">
        <v>115.17</v>
      </c>
      <c r="T89" s="1"/>
      <c r="U89" s="1">
        <v>0</v>
      </c>
      <c r="W89" s="1"/>
    </row>
    <row r="90" spans="1:23" x14ac:dyDescent="0.2">
      <c r="A90" s="1">
        <v>1</v>
      </c>
      <c r="B90" s="1" t="s">
        <v>793</v>
      </c>
      <c r="C90" s="1" t="s">
        <v>773</v>
      </c>
      <c r="D90" s="1">
        <v>2</v>
      </c>
      <c r="E90" s="1" t="s">
        <v>285</v>
      </c>
      <c r="F90" s="4">
        <v>45380</v>
      </c>
      <c r="G90" s="3">
        <f>I90+K90</f>
        <v>0.25115740740740744</v>
      </c>
      <c r="H90" s="6">
        <f>J90+K90</f>
        <v>0.26598379629629632</v>
      </c>
      <c r="I90" s="3">
        <v>2.1238425925925924E-2</v>
      </c>
      <c r="J90" s="6">
        <v>3.6064814814814813E-2</v>
      </c>
      <c r="K90" s="3">
        <v>0.22991898148148149</v>
      </c>
      <c r="L90" s="1" t="s">
        <v>7</v>
      </c>
      <c r="M90" s="1" t="s">
        <v>8</v>
      </c>
      <c r="N90" s="1">
        <v>3</v>
      </c>
      <c r="O90" s="1">
        <v>3</v>
      </c>
      <c r="P90" s="1">
        <v>90</v>
      </c>
      <c r="Q90" s="1">
        <v>90</v>
      </c>
      <c r="R90" s="1">
        <v>115.17</v>
      </c>
      <c r="S90" s="1">
        <v>115.17</v>
      </c>
      <c r="T90" s="1"/>
      <c r="U90" s="1">
        <v>1</v>
      </c>
      <c r="V90" s="1" t="s">
        <v>290</v>
      </c>
      <c r="W90" s="1"/>
    </row>
    <row r="91" spans="1:23" x14ac:dyDescent="0.2">
      <c r="A91" s="1">
        <v>1</v>
      </c>
      <c r="B91" s="1" t="s">
        <v>793</v>
      </c>
      <c r="C91" s="1" t="s">
        <v>773</v>
      </c>
      <c r="D91" s="1">
        <v>1</v>
      </c>
      <c r="E91" s="1" t="s">
        <v>293</v>
      </c>
      <c r="F91" s="4">
        <v>45380</v>
      </c>
      <c r="G91" s="3">
        <f>I91+K91</f>
        <v>0.76711805555555557</v>
      </c>
      <c r="H91" s="6">
        <f>J91+K91</f>
        <v>0.78753472222222221</v>
      </c>
      <c r="I91" s="3">
        <v>2.7199074074074074E-3</v>
      </c>
      <c r="J91" s="6">
        <v>2.3136574074074073E-2</v>
      </c>
      <c r="K91" s="3">
        <v>0.7643981481481481</v>
      </c>
      <c r="L91" s="1" t="s">
        <v>7</v>
      </c>
      <c r="M91" s="1" t="s">
        <v>8</v>
      </c>
      <c r="N91" s="1">
        <v>3</v>
      </c>
      <c r="O91" s="1">
        <v>3</v>
      </c>
      <c r="P91" s="1">
        <v>90</v>
      </c>
      <c r="Q91" s="1">
        <v>90</v>
      </c>
      <c r="R91" s="1">
        <v>115.17</v>
      </c>
      <c r="S91" s="2">
        <v>57.4</v>
      </c>
      <c r="U91" s="1">
        <v>0</v>
      </c>
    </row>
    <row r="92" spans="1:23" x14ac:dyDescent="0.2">
      <c r="A92" s="1">
        <v>1</v>
      </c>
      <c r="B92" s="1" t="s">
        <v>793</v>
      </c>
      <c r="C92" s="1" t="s">
        <v>773</v>
      </c>
      <c r="D92" s="1">
        <v>1</v>
      </c>
      <c r="E92" s="1" t="s">
        <v>295</v>
      </c>
      <c r="F92" s="4">
        <v>45381</v>
      </c>
      <c r="G92" s="3">
        <f>I92+K92</f>
        <v>0.24266203703703704</v>
      </c>
      <c r="H92" s="6">
        <f>J92+K92</f>
        <v>0.26030092592592591</v>
      </c>
      <c r="I92" s="3">
        <v>9.9421296296296289E-3</v>
      </c>
      <c r="J92" s="6">
        <v>2.7581018518518519E-2</v>
      </c>
      <c r="K92" s="3">
        <v>0.23271990740740742</v>
      </c>
      <c r="L92" s="1" t="s">
        <v>8</v>
      </c>
      <c r="M92" s="1" t="s">
        <v>7</v>
      </c>
      <c r="N92" s="1">
        <v>3</v>
      </c>
      <c r="O92" s="1">
        <v>3</v>
      </c>
      <c r="P92" s="1">
        <v>90</v>
      </c>
      <c r="Q92" s="1">
        <v>90</v>
      </c>
      <c r="R92" s="1">
        <v>115.17</v>
      </c>
      <c r="S92" s="1">
        <v>38.4</v>
      </c>
      <c r="T92" s="1"/>
      <c r="U92" s="1">
        <v>0</v>
      </c>
    </row>
    <row r="93" spans="1:23" ht="17" customHeight="1" x14ac:dyDescent="0.2">
      <c r="A93" s="1">
        <v>1</v>
      </c>
      <c r="B93" s="1" t="s">
        <v>793</v>
      </c>
      <c r="C93" s="1" t="s">
        <v>773</v>
      </c>
      <c r="D93" s="1">
        <v>1</v>
      </c>
      <c r="E93" s="1" t="s">
        <v>296</v>
      </c>
      <c r="F93" s="4">
        <v>45381</v>
      </c>
      <c r="G93" s="3">
        <f>I93+K93</f>
        <v>0.77193287037037039</v>
      </c>
      <c r="H93" s="6">
        <f>J93+K93</f>
        <v>0.78467592592592594</v>
      </c>
      <c r="I93" s="3">
        <v>1.4305555555555556E-2</v>
      </c>
      <c r="J93" s="6">
        <v>2.704861111111111E-2</v>
      </c>
      <c r="K93" s="3">
        <v>0.75762731481481482</v>
      </c>
      <c r="L93" s="1" t="s">
        <v>7</v>
      </c>
      <c r="M93" s="1" t="s">
        <v>8</v>
      </c>
      <c r="N93" s="1">
        <v>3</v>
      </c>
      <c r="O93" s="1">
        <v>3</v>
      </c>
      <c r="P93" s="1">
        <v>90</v>
      </c>
      <c r="Q93" s="1">
        <v>90</v>
      </c>
      <c r="R93" s="1">
        <v>115.17</v>
      </c>
      <c r="S93" s="1">
        <v>115.17</v>
      </c>
      <c r="T93" s="1"/>
      <c r="U93" s="1">
        <v>1</v>
      </c>
      <c r="W93" s="1"/>
    </row>
    <row r="94" spans="1:23" x14ac:dyDescent="0.2">
      <c r="A94" s="1">
        <v>1</v>
      </c>
      <c r="B94" s="1" t="s">
        <v>793</v>
      </c>
      <c r="C94" s="1" t="s">
        <v>773</v>
      </c>
      <c r="D94" s="1" t="s">
        <v>21</v>
      </c>
      <c r="E94" s="1" t="s">
        <v>21</v>
      </c>
      <c r="F94" s="4">
        <v>45382</v>
      </c>
      <c r="G94" s="1" t="s">
        <v>21</v>
      </c>
      <c r="H94" s="6" t="s">
        <v>21</v>
      </c>
      <c r="I94" s="1" t="s">
        <v>21</v>
      </c>
      <c r="J94" s="6" t="s">
        <v>21</v>
      </c>
      <c r="K94" s="1" t="s">
        <v>21</v>
      </c>
      <c r="L94" s="1" t="s">
        <v>8</v>
      </c>
      <c r="M94" s="1" t="s">
        <v>8</v>
      </c>
      <c r="N94" s="1">
        <v>3</v>
      </c>
      <c r="O94" s="1">
        <v>3</v>
      </c>
      <c r="P94" s="1">
        <v>90</v>
      </c>
      <c r="Q94" s="1">
        <v>90</v>
      </c>
      <c r="R94" s="1">
        <v>115.17</v>
      </c>
      <c r="S94" s="1">
        <v>115.17</v>
      </c>
      <c r="T94" s="1"/>
      <c r="U94" s="1" t="s">
        <v>21</v>
      </c>
      <c r="V94" s="1" t="s">
        <v>292</v>
      </c>
      <c r="W94" s="1"/>
    </row>
    <row r="95" spans="1:23" x14ac:dyDescent="0.2">
      <c r="A95" s="1">
        <v>1</v>
      </c>
      <c r="B95" s="1" t="s">
        <v>793</v>
      </c>
      <c r="C95" s="1" t="s">
        <v>773</v>
      </c>
      <c r="D95" s="1">
        <v>1</v>
      </c>
      <c r="E95" s="1" t="s">
        <v>315</v>
      </c>
      <c r="F95" s="4">
        <v>45382</v>
      </c>
      <c r="G95" s="3">
        <f>I95+K95</f>
        <v>0.77482638888888888</v>
      </c>
      <c r="H95" s="6">
        <f>J95+K95</f>
        <v>0.79083333333333328</v>
      </c>
      <c r="I95" s="3">
        <v>1.8761574074074073E-2</v>
      </c>
      <c r="J95" s="6">
        <v>3.4768518518518518E-2</v>
      </c>
      <c r="K95" s="3">
        <v>0.7560648148148148</v>
      </c>
      <c r="L95" s="1" t="s">
        <v>8</v>
      </c>
      <c r="M95" s="1" t="s">
        <v>7</v>
      </c>
      <c r="N95" s="1">
        <v>3</v>
      </c>
      <c r="O95" s="1">
        <v>3</v>
      </c>
      <c r="P95" s="1">
        <v>90</v>
      </c>
      <c r="Q95" s="1">
        <v>90</v>
      </c>
      <c r="R95" s="2">
        <v>115.17</v>
      </c>
      <c r="S95" s="2">
        <v>57.4</v>
      </c>
      <c r="U95" s="1">
        <v>0</v>
      </c>
    </row>
    <row r="96" spans="1:23" x14ac:dyDescent="0.2">
      <c r="A96" s="1">
        <v>1</v>
      </c>
      <c r="B96" s="1" t="s">
        <v>793</v>
      </c>
      <c r="C96" s="1" t="s">
        <v>773</v>
      </c>
      <c r="D96" s="1">
        <v>1</v>
      </c>
      <c r="E96" s="1" t="s">
        <v>314</v>
      </c>
      <c r="F96" s="4">
        <v>45383</v>
      </c>
      <c r="G96" s="3">
        <f>I96+K96</f>
        <v>0.2379398148148148</v>
      </c>
      <c r="H96" s="6" t="s">
        <v>21</v>
      </c>
      <c r="I96" s="3">
        <v>9.6874999999999999E-3</v>
      </c>
      <c r="J96" s="6" t="s">
        <v>21</v>
      </c>
      <c r="K96" s="3">
        <v>0.22825231481481481</v>
      </c>
      <c r="L96" s="1" t="s">
        <v>7</v>
      </c>
      <c r="M96" s="1" t="s">
        <v>7</v>
      </c>
      <c r="N96" s="1">
        <v>3</v>
      </c>
      <c r="O96" s="1">
        <v>3</v>
      </c>
      <c r="P96" s="1">
        <v>90</v>
      </c>
      <c r="Q96" s="1">
        <v>90</v>
      </c>
      <c r="R96" s="1">
        <v>115.17</v>
      </c>
      <c r="S96" s="1">
        <v>115.17</v>
      </c>
      <c r="T96" s="1"/>
      <c r="U96" s="1" t="s">
        <v>21</v>
      </c>
      <c r="V96" s="1" t="s">
        <v>316</v>
      </c>
      <c r="W96" s="1"/>
    </row>
    <row r="97" spans="1:23" x14ac:dyDescent="0.2">
      <c r="A97" s="1">
        <v>1</v>
      </c>
      <c r="B97" s="1" t="s">
        <v>793</v>
      </c>
      <c r="C97" s="1" t="s">
        <v>773</v>
      </c>
      <c r="D97" s="1">
        <v>2</v>
      </c>
      <c r="E97" s="1" t="s">
        <v>314</v>
      </c>
      <c r="F97" s="4">
        <v>45383</v>
      </c>
      <c r="G97" s="3">
        <f>I97+K97</f>
        <v>0.2459837962962963</v>
      </c>
      <c r="H97" s="6">
        <f>J97+K97</f>
        <v>0.26740740740740743</v>
      </c>
      <c r="I97" s="3">
        <v>1.773148148148148E-2</v>
      </c>
      <c r="J97" s="6">
        <v>3.9155092592592596E-2</v>
      </c>
      <c r="K97" s="3">
        <v>0.22825231481481481</v>
      </c>
      <c r="L97" s="1" t="s">
        <v>7</v>
      </c>
      <c r="M97" s="1" t="s">
        <v>8</v>
      </c>
      <c r="N97" s="1">
        <v>3</v>
      </c>
      <c r="O97" s="1">
        <v>3</v>
      </c>
      <c r="P97" s="1">
        <v>90</v>
      </c>
      <c r="Q97" s="1">
        <v>90</v>
      </c>
      <c r="R97" s="2">
        <v>115.17</v>
      </c>
      <c r="S97" s="1">
        <v>38.4</v>
      </c>
      <c r="T97" s="1"/>
      <c r="U97" s="1">
        <v>1</v>
      </c>
    </row>
    <row r="98" spans="1:23" x14ac:dyDescent="0.2">
      <c r="A98" s="1">
        <v>1</v>
      </c>
      <c r="B98" s="1" t="s">
        <v>793</v>
      </c>
      <c r="C98" s="1" t="s">
        <v>773</v>
      </c>
      <c r="D98" s="1" t="s">
        <v>21</v>
      </c>
      <c r="E98" s="1" t="s">
        <v>21</v>
      </c>
      <c r="F98" s="4">
        <v>45383</v>
      </c>
      <c r="G98" s="1" t="s">
        <v>21</v>
      </c>
      <c r="H98" s="6" t="s">
        <v>21</v>
      </c>
      <c r="I98" s="1" t="s">
        <v>21</v>
      </c>
      <c r="J98" s="6" t="s">
        <v>21</v>
      </c>
      <c r="K98" s="1" t="s">
        <v>21</v>
      </c>
      <c r="P98" s="1">
        <v>90</v>
      </c>
      <c r="Q98" s="1">
        <v>90</v>
      </c>
      <c r="U98" s="1" t="s">
        <v>21</v>
      </c>
      <c r="V98" s="1" t="s">
        <v>329</v>
      </c>
    </row>
    <row r="99" spans="1:23" x14ac:dyDescent="0.2">
      <c r="A99" s="1">
        <v>1</v>
      </c>
      <c r="B99" s="1" t="s">
        <v>793</v>
      </c>
      <c r="C99" s="1" t="s">
        <v>773</v>
      </c>
      <c r="D99" s="1" t="s">
        <v>21</v>
      </c>
      <c r="E99" s="1" t="s">
        <v>21</v>
      </c>
      <c r="F99" s="4">
        <v>45384</v>
      </c>
      <c r="G99" s="1" t="s">
        <v>21</v>
      </c>
      <c r="H99" s="6" t="s">
        <v>21</v>
      </c>
      <c r="I99" s="1" t="s">
        <v>21</v>
      </c>
      <c r="J99" s="6" t="s">
        <v>21</v>
      </c>
      <c r="K99" s="1" t="s">
        <v>21</v>
      </c>
      <c r="P99" s="1">
        <v>90</v>
      </c>
      <c r="Q99" s="1">
        <v>90</v>
      </c>
      <c r="U99" s="1" t="s">
        <v>21</v>
      </c>
      <c r="V99" s="1" t="s">
        <v>328</v>
      </c>
    </row>
    <row r="100" spans="1:23" x14ac:dyDescent="0.2">
      <c r="A100" s="1">
        <v>1</v>
      </c>
      <c r="B100" s="1" t="s">
        <v>793</v>
      </c>
      <c r="C100" s="1" t="s">
        <v>773</v>
      </c>
      <c r="D100" s="1" t="s">
        <v>21</v>
      </c>
      <c r="E100" s="1" t="s">
        <v>21</v>
      </c>
      <c r="F100" s="4">
        <v>45384</v>
      </c>
      <c r="G100" s="1" t="s">
        <v>21</v>
      </c>
      <c r="H100" s="1" t="s">
        <v>21</v>
      </c>
      <c r="I100" s="1" t="s">
        <v>21</v>
      </c>
      <c r="K100" s="1" t="s">
        <v>21</v>
      </c>
      <c r="P100" s="1">
        <v>90</v>
      </c>
      <c r="Q100" s="1">
        <v>90</v>
      </c>
      <c r="U100" s="1" t="s">
        <v>21</v>
      </c>
    </row>
    <row r="101" spans="1:23" x14ac:dyDescent="0.2">
      <c r="A101" s="1">
        <v>1</v>
      </c>
      <c r="B101" s="1" t="s">
        <v>793</v>
      </c>
      <c r="C101" s="1" t="s">
        <v>773</v>
      </c>
      <c r="D101" s="1" t="s">
        <v>21</v>
      </c>
      <c r="E101" s="1" t="s">
        <v>21</v>
      </c>
      <c r="F101" s="4">
        <v>45385</v>
      </c>
      <c r="G101" s="1" t="s">
        <v>21</v>
      </c>
      <c r="H101" s="1" t="s">
        <v>21</v>
      </c>
      <c r="I101" s="1" t="s">
        <v>21</v>
      </c>
      <c r="K101" s="1" t="s">
        <v>21</v>
      </c>
      <c r="P101" s="1">
        <v>90</v>
      </c>
      <c r="Q101" s="1">
        <v>90</v>
      </c>
      <c r="U101" s="1" t="s">
        <v>21</v>
      </c>
    </row>
    <row r="102" spans="1:23" x14ac:dyDescent="0.2">
      <c r="A102" s="1">
        <v>1</v>
      </c>
      <c r="B102" s="1" t="s">
        <v>793</v>
      </c>
      <c r="C102" s="1" t="s">
        <v>773</v>
      </c>
      <c r="D102" s="1">
        <v>1</v>
      </c>
      <c r="E102" s="1" t="s">
        <v>353</v>
      </c>
      <c r="F102" s="4">
        <v>45385</v>
      </c>
      <c r="G102" s="3">
        <f>I102+K102</f>
        <v>0.77856481481481477</v>
      </c>
      <c r="H102" s="6">
        <f>J102+K102</f>
        <v>0.79365740740740742</v>
      </c>
      <c r="I102" s="3">
        <v>1.6689814814814814E-2</v>
      </c>
      <c r="J102" s="6">
        <v>3.1782407407407405E-2</v>
      </c>
      <c r="K102" s="3">
        <v>0.76187499999999997</v>
      </c>
      <c r="L102" s="1" t="s">
        <v>8</v>
      </c>
      <c r="M102" s="1" t="s">
        <v>8</v>
      </c>
      <c r="N102" s="1">
        <v>3</v>
      </c>
      <c r="O102" s="1">
        <v>3</v>
      </c>
      <c r="P102" s="1">
        <v>90</v>
      </c>
      <c r="Q102" s="1">
        <v>90</v>
      </c>
      <c r="R102" s="1">
        <v>115.17</v>
      </c>
      <c r="S102" s="1">
        <v>115.17</v>
      </c>
      <c r="T102" s="1"/>
      <c r="U102" s="1">
        <v>1</v>
      </c>
      <c r="W102" s="1"/>
    </row>
    <row r="103" spans="1:23" x14ac:dyDescent="0.2">
      <c r="A103" s="1">
        <v>1</v>
      </c>
      <c r="B103" s="1" t="s">
        <v>793</v>
      </c>
      <c r="C103" s="1" t="s">
        <v>773</v>
      </c>
      <c r="D103" s="1" t="s">
        <v>21</v>
      </c>
      <c r="E103" s="1" t="s">
        <v>21</v>
      </c>
      <c r="F103" s="4">
        <v>45386</v>
      </c>
      <c r="G103" s="3" t="s">
        <v>21</v>
      </c>
      <c r="H103" s="6" t="s">
        <v>21</v>
      </c>
      <c r="I103" s="3" t="s">
        <v>21</v>
      </c>
      <c r="J103" s="6" t="s">
        <v>21</v>
      </c>
      <c r="K103" s="3" t="s">
        <v>21</v>
      </c>
      <c r="N103" s="1">
        <v>3</v>
      </c>
      <c r="O103" s="1">
        <v>3</v>
      </c>
      <c r="P103" s="1">
        <v>90</v>
      </c>
      <c r="Q103" s="1">
        <v>90</v>
      </c>
      <c r="R103" s="1"/>
      <c r="S103" s="1"/>
      <c r="T103" s="1"/>
      <c r="U103" s="1" t="s">
        <v>21</v>
      </c>
      <c r="V103" s="1" t="s">
        <v>375</v>
      </c>
      <c r="W103" s="1"/>
    </row>
    <row r="104" spans="1:23" x14ac:dyDescent="0.2">
      <c r="A104" s="1">
        <v>1</v>
      </c>
      <c r="B104" s="1" t="s">
        <v>793</v>
      </c>
      <c r="C104" s="1" t="s">
        <v>773</v>
      </c>
      <c r="D104" s="1">
        <v>1</v>
      </c>
      <c r="E104" s="1" t="s">
        <v>380</v>
      </c>
      <c r="F104" s="4">
        <v>45386</v>
      </c>
      <c r="G104" s="3">
        <f>I104+K104</f>
        <v>0.77487268518518515</v>
      </c>
      <c r="H104" s="6">
        <f>J104+K104</f>
        <v>0.79339120370370364</v>
      </c>
      <c r="I104" s="3">
        <v>1.5925925925925927E-2</v>
      </c>
      <c r="J104" s="6">
        <v>3.4444444444444444E-2</v>
      </c>
      <c r="K104" s="3">
        <v>0.75894675925925925</v>
      </c>
      <c r="L104" s="6" t="s">
        <v>8</v>
      </c>
      <c r="M104" s="1" t="s">
        <v>7</v>
      </c>
      <c r="N104" s="1">
        <v>3</v>
      </c>
      <c r="O104" s="1">
        <v>3</v>
      </c>
      <c r="P104" s="1">
        <v>90</v>
      </c>
      <c r="Q104" s="1">
        <v>90</v>
      </c>
      <c r="R104" s="1">
        <v>115.17</v>
      </c>
      <c r="S104" s="1">
        <v>115.17</v>
      </c>
      <c r="T104" s="1"/>
      <c r="U104" s="2">
        <v>0</v>
      </c>
      <c r="V104" s="1" t="s">
        <v>381</v>
      </c>
      <c r="W104" s="1"/>
    </row>
    <row r="105" spans="1:23" x14ac:dyDescent="0.2">
      <c r="A105" s="1">
        <v>1</v>
      </c>
      <c r="B105" s="1" t="s">
        <v>793</v>
      </c>
      <c r="C105" s="1" t="s">
        <v>773</v>
      </c>
      <c r="D105" s="1" t="s">
        <v>21</v>
      </c>
      <c r="E105" s="1" t="s">
        <v>21</v>
      </c>
      <c r="F105" s="4">
        <v>45387</v>
      </c>
      <c r="G105" s="1" t="s">
        <v>21</v>
      </c>
      <c r="H105" s="6" t="s">
        <v>21</v>
      </c>
      <c r="I105" s="1" t="s">
        <v>21</v>
      </c>
      <c r="J105" s="6" t="s">
        <v>21</v>
      </c>
      <c r="K105" s="1" t="s">
        <v>21</v>
      </c>
      <c r="N105" s="1">
        <v>3</v>
      </c>
      <c r="O105" s="1">
        <v>3</v>
      </c>
      <c r="P105" s="1">
        <v>90</v>
      </c>
      <c r="Q105" s="1">
        <v>90</v>
      </c>
      <c r="U105" s="1" t="s">
        <v>21</v>
      </c>
    </row>
    <row r="106" spans="1:23" x14ac:dyDescent="0.2">
      <c r="A106" s="1">
        <v>1</v>
      </c>
      <c r="B106" s="1" t="s">
        <v>793</v>
      </c>
      <c r="C106" s="1" t="s">
        <v>773</v>
      </c>
      <c r="D106" s="1">
        <v>1</v>
      </c>
      <c r="E106" s="1" t="s">
        <v>466</v>
      </c>
      <c r="F106" s="4">
        <v>45387</v>
      </c>
      <c r="G106" s="3">
        <f>I106+K106</f>
        <v>0.77365740740740752</v>
      </c>
      <c r="H106" s="6">
        <f>J106+K106</f>
        <v>0.79177083333333342</v>
      </c>
      <c r="I106" s="3">
        <v>7.6851851851851855E-3</v>
      </c>
      <c r="J106" s="6">
        <v>2.5798611111111112E-2</v>
      </c>
      <c r="K106" s="3">
        <v>0.76597222222222228</v>
      </c>
      <c r="L106" s="1" t="s">
        <v>7</v>
      </c>
      <c r="M106" s="1" t="s">
        <v>8</v>
      </c>
      <c r="N106" s="1">
        <v>3</v>
      </c>
      <c r="O106" s="1">
        <v>3</v>
      </c>
      <c r="P106" s="1">
        <v>90</v>
      </c>
      <c r="Q106" s="1">
        <v>90</v>
      </c>
      <c r="R106" s="1">
        <v>115.17</v>
      </c>
      <c r="S106" s="2">
        <v>57.4</v>
      </c>
      <c r="U106" s="1">
        <v>1</v>
      </c>
    </row>
    <row r="107" spans="1:23" x14ac:dyDescent="0.2">
      <c r="A107" s="1">
        <v>1</v>
      </c>
      <c r="B107" s="1" t="s">
        <v>793</v>
      </c>
      <c r="C107" s="1" t="s">
        <v>773</v>
      </c>
      <c r="D107" s="1">
        <v>1</v>
      </c>
      <c r="E107" s="1" t="s">
        <v>465</v>
      </c>
      <c r="F107" s="4">
        <v>45388</v>
      </c>
      <c r="G107" s="1" t="s">
        <v>21</v>
      </c>
      <c r="H107" s="6">
        <f>J107+K107</f>
        <v>0.78626157407407415</v>
      </c>
      <c r="I107" s="1" t="s">
        <v>21</v>
      </c>
      <c r="J107" s="6">
        <v>1.9814814814814816E-2</v>
      </c>
      <c r="K107" s="3">
        <v>0.76644675925925931</v>
      </c>
      <c r="L107" s="1" t="s">
        <v>8</v>
      </c>
      <c r="M107" s="1" t="s">
        <v>8</v>
      </c>
      <c r="N107" s="1">
        <v>3</v>
      </c>
      <c r="O107" s="1">
        <v>3</v>
      </c>
      <c r="P107" s="1">
        <v>90</v>
      </c>
      <c r="Q107" s="1">
        <v>90</v>
      </c>
      <c r="R107" s="1">
        <v>115.17</v>
      </c>
      <c r="S107" s="1">
        <v>115.17</v>
      </c>
      <c r="T107" s="1"/>
      <c r="U107" s="1">
        <v>1</v>
      </c>
      <c r="V107" s="1" t="s">
        <v>143</v>
      </c>
      <c r="W107" s="1"/>
    </row>
    <row r="108" spans="1:23" x14ac:dyDescent="0.2">
      <c r="A108" s="1">
        <v>1</v>
      </c>
      <c r="B108" s="1" t="s">
        <v>793</v>
      </c>
      <c r="C108" s="1" t="s">
        <v>773</v>
      </c>
      <c r="D108" s="1" t="s">
        <v>21</v>
      </c>
      <c r="E108" s="1" t="s">
        <v>21</v>
      </c>
      <c r="F108" s="4">
        <v>45388</v>
      </c>
      <c r="G108" s="1" t="s">
        <v>21</v>
      </c>
      <c r="H108" s="6" t="s">
        <v>21</v>
      </c>
      <c r="I108" s="1" t="s">
        <v>21</v>
      </c>
      <c r="J108" s="6" t="s">
        <v>21</v>
      </c>
      <c r="K108" s="1" t="s">
        <v>21</v>
      </c>
      <c r="P108" s="1">
        <v>90</v>
      </c>
      <c r="Q108" s="1">
        <v>90</v>
      </c>
      <c r="U108" s="1" t="s">
        <v>21</v>
      </c>
    </row>
    <row r="109" spans="1:23" x14ac:dyDescent="0.2">
      <c r="A109" s="1">
        <v>1</v>
      </c>
      <c r="B109" s="1" t="s">
        <v>793</v>
      </c>
      <c r="C109" s="1" t="s">
        <v>773</v>
      </c>
      <c r="D109" s="1">
        <v>1</v>
      </c>
      <c r="E109" s="1" t="s">
        <v>464</v>
      </c>
      <c r="F109" s="4">
        <v>45389</v>
      </c>
      <c r="G109" s="3">
        <f>I109+K109</f>
        <v>0.77023148148148146</v>
      </c>
      <c r="H109" s="6">
        <f>J109+K109</f>
        <v>0.79043981481481473</v>
      </c>
      <c r="I109" s="3">
        <v>2.9513888888888888E-3</v>
      </c>
      <c r="J109" s="6">
        <v>2.3159722222222224E-2</v>
      </c>
      <c r="K109" s="3">
        <v>0.76728009259259256</v>
      </c>
      <c r="L109" s="1" t="s">
        <v>8</v>
      </c>
      <c r="M109" s="1" t="s">
        <v>7</v>
      </c>
      <c r="N109" s="1">
        <v>3</v>
      </c>
      <c r="O109" s="1">
        <v>3</v>
      </c>
      <c r="P109" s="1">
        <v>90</v>
      </c>
      <c r="Q109" s="1">
        <v>90</v>
      </c>
      <c r="R109" s="1">
        <v>115.17</v>
      </c>
      <c r="S109" s="1">
        <v>115.17</v>
      </c>
      <c r="T109" s="1"/>
      <c r="U109" s="1">
        <v>0</v>
      </c>
      <c r="V109" s="1" t="s">
        <v>472</v>
      </c>
      <c r="W109" s="1"/>
    </row>
    <row r="110" spans="1:23" x14ac:dyDescent="0.2">
      <c r="A110" s="1">
        <v>1</v>
      </c>
      <c r="B110" s="1" t="s">
        <v>793</v>
      </c>
      <c r="C110" s="1" t="s">
        <v>773</v>
      </c>
      <c r="D110" s="1">
        <v>1</v>
      </c>
      <c r="E110" s="1" t="s">
        <v>457</v>
      </c>
      <c r="F110" s="4">
        <v>45390</v>
      </c>
      <c r="G110" s="1" t="s">
        <v>21</v>
      </c>
      <c r="H110" s="6">
        <f>J110+K110</f>
        <v>0.79108796296296291</v>
      </c>
      <c r="I110" s="1" t="s">
        <v>21</v>
      </c>
      <c r="J110" s="6">
        <v>2.5300925925925925E-2</v>
      </c>
      <c r="K110" s="3">
        <v>0.76578703703703699</v>
      </c>
      <c r="L110" s="1" t="s">
        <v>8</v>
      </c>
      <c r="M110" s="1" t="s">
        <v>7</v>
      </c>
      <c r="N110" s="1">
        <v>3</v>
      </c>
      <c r="O110" s="1">
        <v>3</v>
      </c>
      <c r="P110" s="1">
        <v>90</v>
      </c>
      <c r="Q110" s="1">
        <v>90</v>
      </c>
      <c r="R110" s="1">
        <v>115.17</v>
      </c>
      <c r="S110" s="2">
        <v>57.4</v>
      </c>
      <c r="U110" s="1">
        <v>0</v>
      </c>
      <c r="V110" s="1" t="s">
        <v>459</v>
      </c>
    </row>
    <row r="111" spans="1:23" x14ac:dyDescent="0.2">
      <c r="A111" s="1">
        <v>1</v>
      </c>
      <c r="B111" s="1" t="s">
        <v>793</v>
      </c>
      <c r="C111" s="1" t="s">
        <v>773</v>
      </c>
      <c r="D111" s="1">
        <v>1</v>
      </c>
      <c r="E111" s="1" t="s">
        <v>463</v>
      </c>
      <c r="F111" s="4">
        <v>45390</v>
      </c>
      <c r="G111" s="1" t="s">
        <v>21</v>
      </c>
      <c r="H111" s="6">
        <f>J111+K111</f>
        <v>0.24300925925925926</v>
      </c>
      <c r="I111" s="1" t="s">
        <v>21</v>
      </c>
      <c r="J111" s="6">
        <v>1.0937499999999999E-2</v>
      </c>
      <c r="K111" s="3">
        <v>0.23207175925925927</v>
      </c>
      <c r="L111" s="1" t="s">
        <v>7</v>
      </c>
      <c r="M111" s="1" t="s">
        <v>7</v>
      </c>
      <c r="N111" s="1">
        <v>3</v>
      </c>
      <c r="O111" s="1">
        <v>3</v>
      </c>
      <c r="P111" s="1">
        <v>90</v>
      </c>
      <c r="Q111" s="1">
        <v>90</v>
      </c>
      <c r="R111" s="1">
        <v>115.17</v>
      </c>
      <c r="S111" s="1">
        <v>115.17</v>
      </c>
      <c r="T111" s="1"/>
      <c r="U111" s="1">
        <v>0</v>
      </c>
      <c r="V111" s="1" t="s">
        <v>271</v>
      </c>
      <c r="W111" s="1"/>
    </row>
    <row r="112" spans="1:23" x14ac:dyDescent="0.2">
      <c r="A112" s="1">
        <v>1</v>
      </c>
      <c r="B112" s="1" t="s">
        <v>793</v>
      </c>
      <c r="C112" s="1" t="s">
        <v>773</v>
      </c>
      <c r="D112" s="1">
        <v>2</v>
      </c>
      <c r="E112" s="1" t="s">
        <v>463</v>
      </c>
      <c r="F112" s="4">
        <v>45390</v>
      </c>
      <c r="G112" s="3">
        <f>I112+K112</f>
        <v>0.24679398148148149</v>
      </c>
      <c r="H112" s="6">
        <f>J112+K112</f>
        <v>0.25400462962962966</v>
      </c>
      <c r="I112" s="3">
        <v>1.4722222222222222E-2</v>
      </c>
      <c r="J112" s="6">
        <v>2.193287037037037E-2</v>
      </c>
      <c r="K112" s="3">
        <v>0.23207175925925927</v>
      </c>
      <c r="L112" s="1" t="s">
        <v>7</v>
      </c>
      <c r="M112" s="1" t="s">
        <v>8</v>
      </c>
      <c r="N112" s="1">
        <v>3</v>
      </c>
      <c r="O112" s="1">
        <v>3</v>
      </c>
      <c r="P112" s="1">
        <v>90</v>
      </c>
      <c r="Q112" s="1">
        <v>90</v>
      </c>
      <c r="R112" s="1">
        <v>115.17</v>
      </c>
      <c r="S112" s="2">
        <v>57.4</v>
      </c>
      <c r="U112" s="1">
        <v>1</v>
      </c>
    </row>
    <row r="113" spans="1:24" x14ac:dyDescent="0.2">
      <c r="A113" s="1">
        <v>1</v>
      </c>
      <c r="B113" s="1" t="s">
        <v>793</v>
      </c>
      <c r="C113" s="1" t="s">
        <v>773</v>
      </c>
      <c r="D113" s="1">
        <v>1</v>
      </c>
      <c r="E113" s="1" t="s">
        <v>454</v>
      </c>
      <c r="F113" s="4">
        <v>45391</v>
      </c>
      <c r="G113" s="3">
        <f>I113+K113</f>
        <v>0.23508101851851851</v>
      </c>
      <c r="H113" s="6">
        <f>J113+K113</f>
        <v>0.25509259259259259</v>
      </c>
      <c r="I113" s="3">
        <v>3.7152777777777778E-3</v>
      </c>
      <c r="J113" s="6">
        <v>2.3726851851851853E-2</v>
      </c>
      <c r="K113" s="3">
        <v>0.23136574074074073</v>
      </c>
      <c r="L113" s="1" t="s">
        <v>7</v>
      </c>
      <c r="M113" s="1" t="s">
        <v>7</v>
      </c>
      <c r="N113" s="1">
        <v>3</v>
      </c>
      <c r="O113" s="1">
        <v>3</v>
      </c>
      <c r="P113" s="1">
        <v>90</v>
      </c>
      <c r="Q113" s="1">
        <v>90</v>
      </c>
      <c r="R113" s="1">
        <v>115.17</v>
      </c>
      <c r="S113" s="1">
        <v>38.4</v>
      </c>
      <c r="T113" s="1"/>
      <c r="U113" s="1">
        <v>0</v>
      </c>
    </row>
    <row r="114" spans="1:24" x14ac:dyDescent="0.2">
      <c r="A114" s="1">
        <v>1</v>
      </c>
      <c r="B114" s="1" t="s">
        <v>793</v>
      </c>
      <c r="C114" s="1" t="s">
        <v>773</v>
      </c>
      <c r="D114" s="1">
        <v>1</v>
      </c>
      <c r="E114" s="1" t="s">
        <v>478</v>
      </c>
      <c r="F114" s="4">
        <v>45391</v>
      </c>
      <c r="G114" s="3">
        <f>I114+K114</f>
        <v>0.7697222222222222</v>
      </c>
      <c r="H114" s="6">
        <f>J114+K114</f>
        <v>0.78599537037037037</v>
      </c>
      <c r="I114" s="3">
        <v>6.7129629629629631E-3</v>
      </c>
      <c r="J114" s="6">
        <v>2.298611111111111E-2</v>
      </c>
      <c r="K114" s="3">
        <v>0.76300925925925922</v>
      </c>
      <c r="L114" s="1" t="s">
        <v>7</v>
      </c>
      <c r="M114" s="1" t="s">
        <v>8</v>
      </c>
      <c r="N114" s="1">
        <v>3</v>
      </c>
      <c r="O114" s="1">
        <v>3</v>
      </c>
      <c r="P114" s="1">
        <v>90</v>
      </c>
      <c r="Q114" s="1">
        <v>90</v>
      </c>
      <c r="R114" s="2">
        <v>115.17</v>
      </c>
      <c r="S114" s="1">
        <v>38.4</v>
      </c>
      <c r="T114" s="1"/>
      <c r="U114" s="1">
        <v>1</v>
      </c>
    </row>
    <row r="115" spans="1:24" x14ac:dyDescent="0.2">
      <c r="A115" s="1">
        <v>1</v>
      </c>
      <c r="B115" s="1" t="s">
        <v>793</v>
      </c>
      <c r="C115" s="1" t="s">
        <v>773</v>
      </c>
      <c r="D115" s="1">
        <v>1</v>
      </c>
      <c r="E115" s="1" t="s">
        <v>65</v>
      </c>
      <c r="F115" s="4">
        <v>45392</v>
      </c>
      <c r="G115" s="1" t="s">
        <v>21</v>
      </c>
      <c r="H115" s="6">
        <f>J115+K115</f>
        <v>0.23944444444444443</v>
      </c>
      <c r="I115" s="1" t="s">
        <v>21</v>
      </c>
      <c r="J115" s="6">
        <v>8.564814814814815E-3</v>
      </c>
      <c r="K115" s="3">
        <v>0.23087962962962963</v>
      </c>
      <c r="L115" s="1" t="s">
        <v>8</v>
      </c>
      <c r="M115" s="1" t="s">
        <v>7</v>
      </c>
      <c r="N115" s="1">
        <v>3</v>
      </c>
      <c r="O115" s="1">
        <v>3</v>
      </c>
      <c r="P115" s="1">
        <v>90</v>
      </c>
      <c r="Q115" s="1">
        <v>90</v>
      </c>
      <c r="R115" s="1">
        <v>38.4</v>
      </c>
      <c r="S115" s="1">
        <v>38.4</v>
      </c>
      <c r="T115" s="1"/>
      <c r="U115" s="1">
        <v>0</v>
      </c>
      <c r="V115" s="1" t="s">
        <v>480</v>
      </c>
    </row>
    <row r="116" spans="1:24" x14ac:dyDescent="0.2">
      <c r="A116" s="1">
        <v>1</v>
      </c>
      <c r="B116" s="1" t="s">
        <v>793</v>
      </c>
      <c r="C116" s="1" t="s">
        <v>773</v>
      </c>
      <c r="D116" s="1">
        <v>2</v>
      </c>
      <c r="E116" s="1" t="s">
        <v>65</v>
      </c>
      <c r="F116" s="4">
        <v>45392</v>
      </c>
      <c r="G116" s="3">
        <f>I116+K116</f>
        <v>0.24076388888888889</v>
      </c>
      <c r="H116" s="6" t="s">
        <v>21</v>
      </c>
      <c r="I116" s="3">
        <v>9.8842592592592593E-3</v>
      </c>
      <c r="J116" s="6" t="s">
        <v>21</v>
      </c>
      <c r="K116" s="3">
        <v>0.23087962962962963</v>
      </c>
      <c r="L116" s="1" t="s">
        <v>7</v>
      </c>
      <c r="M116" s="1" t="s">
        <v>7</v>
      </c>
      <c r="N116" s="1">
        <v>3</v>
      </c>
      <c r="O116" s="1">
        <v>3</v>
      </c>
      <c r="P116" s="1">
        <v>90</v>
      </c>
      <c r="Q116" s="1">
        <v>90</v>
      </c>
      <c r="R116" s="1">
        <v>38.4</v>
      </c>
      <c r="S116" s="1">
        <v>38.4</v>
      </c>
      <c r="T116" s="1"/>
      <c r="U116" s="1" t="s">
        <v>21</v>
      </c>
      <c r="V116" s="1" t="s">
        <v>481</v>
      </c>
    </row>
    <row r="117" spans="1:24" x14ac:dyDescent="0.2">
      <c r="A117" s="1">
        <v>1</v>
      </c>
      <c r="B117" s="1" t="s">
        <v>793</v>
      </c>
      <c r="C117" s="1" t="s">
        <v>773</v>
      </c>
      <c r="D117" s="1">
        <v>5</v>
      </c>
      <c r="E117" s="1" t="s">
        <v>64</v>
      </c>
      <c r="F117" s="4">
        <v>45393</v>
      </c>
      <c r="H117" s="6">
        <f>J117+K117</f>
        <v>0.27635416666666668</v>
      </c>
      <c r="J117" s="3">
        <v>5.3101851851851851E-2</v>
      </c>
      <c r="K117" s="3">
        <v>0.22325231481481481</v>
      </c>
      <c r="L117" s="1" t="s">
        <v>7</v>
      </c>
      <c r="M117" s="1" t="s">
        <v>7</v>
      </c>
      <c r="N117" s="1">
        <v>3</v>
      </c>
      <c r="O117" s="1">
        <v>3</v>
      </c>
      <c r="P117" s="1">
        <v>90</v>
      </c>
      <c r="Q117" s="1">
        <v>90</v>
      </c>
      <c r="R117" s="1">
        <v>19.2</v>
      </c>
      <c r="S117" s="1">
        <v>19.2</v>
      </c>
      <c r="T117" s="1"/>
      <c r="W117" s="1"/>
    </row>
    <row r="118" spans="1:24" x14ac:dyDescent="0.2">
      <c r="A118" s="1">
        <v>1</v>
      </c>
      <c r="B118" s="1" t="s">
        <v>793</v>
      </c>
      <c r="C118" s="1" t="s">
        <v>773</v>
      </c>
      <c r="D118" s="1">
        <v>4</v>
      </c>
      <c r="E118" s="1" t="s">
        <v>64</v>
      </c>
      <c r="F118" s="4">
        <v>45393</v>
      </c>
      <c r="H118" s="6">
        <f>J118+K118</f>
        <v>0.24847222222222221</v>
      </c>
      <c r="J118" s="3">
        <v>2.5219907407407406E-2</v>
      </c>
      <c r="K118" s="3">
        <v>0.22325231481481481</v>
      </c>
      <c r="L118" s="1" t="s">
        <v>7</v>
      </c>
      <c r="M118" s="1" t="s">
        <v>7</v>
      </c>
      <c r="N118" s="1">
        <v>3</v>
      </c>
      <c r="O118" s="1">
        <v>3</v>
      </c>
      <c r="P118" s="1">
        <v>90</v>
      </c>
      <c r="Q118" s="1">
        <v>90</v>
      </c>
      <c r="R118" s="1">
        <v>19.2</v>
      </c>
      <c r="S118" s="1">
        <v>19.2</v>
      </c>
      <c r="T118" s="1"/>
      <c r="W118" s="1"/>
    </row>
    <row r="119" spans="1:24" x14ac:dyDescent="0.2">
      <c r="A119" s="1">
        <v>1</v>
      </c>
      <c r="B119" s="1" t="s">
        <v>793</v>
      </c>
      <c r="C119" s="1" t="s">
        <v>773</v>
      </c>
      <c r="D119" s="1">
        <v>3</v>
      </c>
      <c r="E119" s="1" t="s">
        <v>64</v>
      </c>
      <c r="F119" s="4">
        <v>45393</v>
      </c>
      <c r="H119" s="6">
        <f>J119+K119</f>
        <v>0.24243055555555554</v>
      </c>
      <c r="J119" s="3">
        <v>1.9178240740740742E-2</v>
      </c>
      <c r="K119" s="3">
        <v>0.22325231481481481</v>
      </c>
      <c r="L119" s="1" t="s">
        <v>7</v>
      </c>
      <c r="M119" s="1" t="s">
        <v>7</v>
      </c>
      <c r="N119" s="1">
        <v>3</v>
      </c>
      <c r="O119" s="1">
        <v>3</v>
      </c>
      <c r="P119" s="1">
        <v>90</v>
      </c>
      <c r="Q119" s="1">
        <v>90</v>
      </c>
      <c r="R119" s="1">
        <v>19.2</v>
      </c>
      <c r="S119" s="1">
        <v>19.2</v>
      </c>
      <c r="T119" s="1"/>
      <c r="U119" s="1">
        <v>0</v>
      </c>
      <c r="V119" s="1" t="s">
        <v>515</v>
      </c>
      <c r="W119" s="1"/>
    </row>
    <row r="120" spans="1:24" x14ac:dyDescent="0.2">
      <c r="A120" s="1">
        <v>1</v>
      </c>
      <c r="B120" s="1" t="s">
        <v>793</v>
      </c>
      <c r="C120" s="1" t="s">
        <v>773</v>
      </c>
      <c r="D120" s="1">
        <v>2</v>
      </c>
      <c r="E120" s="1" t="s">
        <v>64</v>
      </c>
      <c r="F120" s="4">
        <v>45393</v>
      </c>
      <c r="H120" s="6">
        <f>J120+K120</f>
        <v>0.2383912037037037</v>
      </c>
      <c r="J120" s="3">
        <v>1.5138888888888889E-2</v>
      </c>
      <c r="K120" s="3">
        <v>0.22325231481481481</v>
      </c>
      <c r="L120" s="1" t="s">
        <v>7</v>
      </c>
      <c r="M120" s="1" t="s">
        <v>7</v>
      </c>
      <c r="N120" s="1">
        <v>3</v>
      </c>
      <c r="O120" s="1">
        <v>3</v>
      </c>
      <c r="P120" s="1">
        <v>90</v>
      </c>
      <c r="Q120" s="1">
        <v>90</v>
      </c>
      <c r="R120" s="1">
        <v>19.2</v>
      </c>
      <c r="S120" s="1">
        <v>19.2</v>
      </c>
      <c r="T120" s="1"/>
      <c r="U120" s="1">
        <v>0</v>
      </c>
      <c r="W120" s="1"/>
    </row>
    <row r="121" spans="1:24" x14ac:dyDescent="0.2">
      <c r="A121" s="1">
        <v>1</v>
      </c>
      <c r="B121" s="1" t="s">
        <v>793</v>
      </c>
      <c r="C121" s="1" t="s">
        <v>773</v>
      </c>
      <c r="D121" s="1">
        <v>1</v>
      </c>
      <c r="E121" s="1" t="s">
        <v>64</v>
      </c>
      <c r="F121" s="4">
        <v>45393</v>
      </c>
      <c r="H121" s="6">
        <f>J121+K121</f>
        <v>0.23265046296296296</v>
      </c>
      <c r="I121" s="3">
        <v>3.8194444444444443E-3</v>
      </c>
      <c r="J121" s="6">
        <v>9.3981481481481485E-3</v>
      </c>
      <c r="K121" s="3">
        <v>0.22325231481481481</v>
      </c>
      <c r="L121" s="1" t="s">
        <v>7</v>
      </c>
      <c r="M121" s="1" t="s">
        <v>7</v>
      </c>
      <c r="N121" s="1">
        <v>3</v>
      </c>
      <c r="O121" s="1">
        <v>3</v>
      </c>
      <c r="P121" s="1">
        <v>90</v>
      </c>
      <c r="Q121" s="1">
        <v>90</v>
      </c>
      <c r="R121" s="1">
        <v>38.4</v>
      </c>
      <c r="S121" s="1">
        <v>38.4</v>
      </c>
      <c r="T121" s="1"/>
      <c r="U121" s="1">
        <v>0</v>
      </c>
      <c r="V121" s="1" t="s">
        <v>514</v>
      </c>
    </row>
    <row r="122" spans="1:24" ht="153" x14ac:dyDescent="0.2">
      <c r="A122" s="1">
        <v>1</v>
      </c>
      <c r="B122" s="1" t="s">
        <v>793</v>
      </c>
      <c r="C122" s="1" t="s">
        <v>773</v>
      </c>
      <c r="D122" s="1">
        <v>1</v>
      </c>
      <c r="E122" s="1" t="s">
        <v>72</v>
      </c>
      <c r="F122" s="4">
        <v>45393</v>
      </c>
      <c r="G122" s="3">
        <f>J122+K122</f>
        <v>0.7855671296296296</v>
      </c>
      <c r="H122" s="6">
        <f>J122+K122</f>
        <v>0.7855671296296296</v>
      </c>
      <c r="I122" s="3">
        <v>8.3449074074074068E-3</v>
      </c>
      <c r="J122" s="3">
        <v>2.3831018518518519E-2</v>
      </c>
      <c r="K122" s="3">
        <v>0.76173611111111106</v>
      </c>
      <c r="L122" s="1" t="s">
        <v>7</v>
      </c>
      <c r="M122" s="1" t="s">
        <v>8</v>
      </c>
      <c r="N122" s="1">
        <v>3</v>
      </c>
      <c r="O122" s="1">
        <v>3</v>
      </c>
      <c r="P122" s="1">
        <v>90</v>
      </c>
      <c r="Q122" s="1">
        <v>90</v>
      </c>
      <c r="R122" s="2">
        <v>19.2</v>
      </c>
      <c r="S122" s="2">
        <v>19.2</v>
      </c>
      <c r="U122" s="1" t="s">
        <v>21</v>
      </c>
      <c r="V122" s="24" t="s">
        <v>511</v>
      </c>
    </row>
    <row r="123" spans="1:24" x14ac:dyDescent="0.2">
      <c r="A123" s="1">
        <v>1</v>
      </c>
      <c r="B123" s="1" t="s">
        <v>793</v>
      </c>
      <c r="C123" s="1" t="s">
        <v>773</v>
      </c>
      <c r="D123" s="1">
        <v>3</v>
      </c>
      <c r="E123" s="1" t="s">
        <v>71</v>
      </c>
      <c r="F123" s="23">
        <v>45394</v>
      </c>
      <c r="G123" s="3">
        <f>I123+K123</f>
        <v>0.2540162037037037</v>
      </c>
      <c r="H123" s="6">
        <f>J123+K123</f>
        <v>0.27350694444444446</v>
      </c>
      <c r="I123" s="3">
        <v>2.4722222222222222E-2</v>
      </c>
      <c r="J123" s="6">
        <v>4.4212962962962961E-2</v>
      </c>
      <c r="K123" s="3">
        <v>0.22929398148148147</v>
      </c>
      <c r="L123" s="1" t="s">
        <v>8</v>
      </c>
      <c r="M123" s="1" t="s">
        <v>8</v>
      </c>
      <c r="N123" s="1">
        <v>3</v>
      </c>
      <c r="O123" s="1">
        <v>3</v>
      </c>
      <c r="P123" s="1">
        <v>90</v>
      </c>
      <c r="Q123" s="1">
        <v>90</v>
      </c>
      <c r="R123" s="2">
        <v>19.2</v>
      </c>
      <c r="S123" s="2">
        <v>19.2</v>
      </c>
      <c r="U123" s="1">
        <v>1</v>
      </c>
      <c r="X123" s="23"/>
    </row>
    <row r="124" spans="1:24" x14ac:dyDescent="0.2">
      <c r="A124" s="1">
        <v>1</v>
      </c>
      <c r="B124" s="1" t="s">
        <v>793</v>
      </c>
      <c r="C124" s="1" t="s">
        <v>773</v>
      </c>
      <c r="D124" s="1">
        <v>2</v>
      </c>
      <c r="E124" s="1" t="s">
        <v>71</v>
      </c>
      <c r="F124" s="23">
        <v>45394</v>
      </c>
      <c r="G124" s="3">
        <f>I124+K124</f>
        <v>0.24361111111111111</v>
      </c>
      <c r="H124" s="6">
        <f>J124+K124</f>
        <v>0.25049768518518517</v>
      </c>
      <c r="I124" s="3">
        <v>1.4317129629629629E-2</v>
      </c>
      <c r="J124" s="6">
        <v>2.1203703703703704E-2</v>
      </c>
      <c r="K124" s="3">
        <v>0.22929398148148147</v>
      </c>
      <c r="L124" s="1" t="s">
        <v>8</v>
      </c>
      <c r="M124" s="1" t="s">
        <v>8</v>
      </c>
      <c r="N124" s="1">
        <v>3</v>
      </c>
      <c r="O124" s="1">
        <v>3</v>
      </c>
      <c r="P124" s="1">
        <v>90</v>
      </c>
      <c r="Q124" s="1">
        <v>90</v>
      </c>
      <c r="R124" s="2">
        <v>19.2</v>
      </c>
      <c r="S124" s="2">
        <v>19.2</v>
      </c>
      <c r="U124" s="1">
        <v>1</v>
      </c>
      <c r="X124" s="23"/>
    </row>
    <row r="125" spans="1:24" x14ac:dyDescent="0.2">
      <c r="A125" s="1">
        <v>1</v>
      </c>
      <c r="B125" s="1" t="s">
        <v>793</v>
      </c>
      <c r="C125" s="1" t="s">
        <v>773</v>
      </c>
      <c r="D125" s="1">
        <v>1</v>
      </c>
      <c r="E125" s="1" t="s">
        <v>71</v>
      </c>
      <c r="F125" s="23">
        <v>45394</v>
      </c>
      <c r="G125" s="3">
        <f>I125+K125</f>
        <v>0.23037037037037036</v>
      </c>
      <c r="H125" s="6">
        <f>J125+K125</f>
        <v>0.23868055555555553</v>
      </c>
      <c r="I125" s="3">
        <v>1.0763888888888889E-3</v>
      </c>
      <c r="J125" s="6">
        <v>9.3865740740740732E-3</v>
      </c>
      <c r="K125" s="3">
        <v>0.22929398148148147</v>
      </c>
      <c r="L125" s="1" t="s">
        <v>8</v>
      </c>
      <c r="M125" s="1" t="s">
        <v>8</v>
      </c>
      <c r="N125" s="1">
        <v>3</v>
      </c>
      <c r="O125" s="1">
        <v>3</v>
      </c>
      <c r="P125" s="1">
        <v>90</v>
      </c>
      <c r="Q125" s="1">
        <v>90</v>
      </c>
      <c r="R125" s="2">
        <v>19.2</v>
      </c>
      <c r="S125" s="2">
        <v>19.2</v>
      </c>
      <c r="U125" s="1">
        <v>1</v>
      </c>
      <c r="V125" s="1" t="s">
        <v>510</v>
      </c>
      <c r="X125" s="23"/>
    </row>
    <row r="126" spans="1:24" x14ac:dyDescent="0.2">
      <c r="A126" s="1">
        <v>1</v>
      </c>
      <c r="B126" s="1" t="s">
        <v>793</v>
      </c>
      <c r="C126" s="1" t="s">
        <v>773</v>
      </c>
      <c r="D126" s="1">
        <v>1</v>
      </c>
      <c r="E126" s="1" t="s">
        <v>78</v>
      </c>
      <c r="F126" s="23">
        <v>45394</v>
      </c>
      <c r="G126" s="3">
        <f>I126+K126</f>
        <v>0.7637152777777777</v>
      </c>
      <c r="H126" s="6">
        <f>J126+K126</f>
        <v>0.78399305555555554</v>
      </c>
      <c r="I126" s="3">
        <v>3.1134259259259257E-3</v>
      </c>
      <c r="J126" s="6">
        <v>2.3391203703703702E-2</v>
      </c>
      <c r="K126" s="3">
        <v>0.76060185185185181</v>
      </c>
      <c r="L126" s="1" t="s">
        <v>8</v>
      </c>
      <c r="M126" s="1" t="s">
        <v>7</v>
      </c>
      <c r="N126" s="1">
        <v>3</v>
      </c>
      <c r="O126" s="1">
        <v>2</v>
      </c>
      <c r="P126" s="1">
        <v>90</v>
      </c>
      <c r="Q126" s="1">
        <v>90</v>
      </c>
      <c r="R126" s="2">
        <v>19.2</v>
      </c>
      <c r="S126" s="2">
        <v>57.4</v>
      </c>
      <c r="U126" s="1">
        <v>0</v>
      </c>
      <c r="X126" s="23"/>
    </row>
    <row r="127" spans="1:24" x14ac:dyDescent="0.2">
      <c r="A127" s="1">
        <v>1</v>
      </c>
      <c r="B127" s="1" t="s">
        <v>793</v>
      </c>
      <c r="C127" s="1" t="s">
        <v>773</v>
      </c>
      <c r="D127" s="1" t="s">
        <v>21</v>
      </c>
      <c r="E127" s="1" t="s">
        <v>21</v>
      </c>
      <c r="F127" s="4">
        <v>45395</v>
      </c>
      <c r="G127" s="1" t="s">
        <v>21</v>
      </c>
      <c r="H127" s="1" t="s">
        <v>21</v>
      </c>
      <c r="I127" s="1" t="s">
        <v>21</v>
      </c>
      <c r="J127" s="1" t="s">
        <v>21</v>
      </c>
      <c r="K127" s="1" t="s">
        <v>21</v>
      </c>
      <c r="P127" s="1">
        <v>90</v>
      </c>
      <c r="Q127" s="1">
        <v>90</v>
      </c>
      <c r="R127" s="1">
        <v>38.4</v>
      </c>
      <c r="S127" s="1">
        <v>38.4</v>
      </c>
      <c r="T127" s="1"/>
      <c r="U127" s="1" t="s">
        <v>21</v>
      </c>
      <c r="V127" s="1" t="s">
        <v>491</v>
      </c>
      <c r="W127" s="1"/>
    </row>
    <row r="128" spans="1:24" x14ac:dyDescent="0.2">
      <c r="A128" s="1">
        <v>1</v>
      </c>
      <c r="B128" s="1" t="s">
        <v>793</v>
      </c>
      <c r="C128" s="1" t="s">
        <v>773</v>
      </c>
      <c r="D128" s="1" t="s">
        <v>21</v>
      </c>
      <c r="E128" s="1" t="s">
        <v>21</v>
      </c>
      <c r="F128" s="4">
        <v>45396</v>
      </c>
      <c r="G128" s="1" t="s">
        <v>21</v>
      </c>
      <c r="H128" s="1" t="s">
        <v>21</v>
      </c>
      <c r="I128" s="1" t="s">
        <v>21</v>
      </c>
      <c r="J128" s="1" t="s">
        <v>21</v>
      </c>
      <c r="K128" s="1" t="s">
        <v>21</v>
      </c>
      <c r="P128" s="1">
        <v>90</v>
      </c>
      <c r="Q128" s="1">
        <v>90</v>
      </c>
      <c r="R128" s="1">
        <v>38.4</v>
      </c>
      <c r="S128" s="1">
        <v>38.4</v>
      </c>
      <c r="T128" s="1"/>
      <c r="U128" s="1" t="s">
        <v>21</v>
      </c>
      <c r="V128" s="1" t="s">
        <v>492</v>
      </c>
      <c r="W128" s="1"/>
    </row>
    <row r="129" spans="1:24" x14ac:dyDescent="0.2">
      <c r="A129" s="1">
        <v>1</v>
      </c>
      <c r="B129" s="1" t="s">
        <v>793</v>
      </c>
      <c r="C129" s="1" t="s">
        <v>773</v>
      </c>
      <c r="D129" s="1" t="s">
        <v>21</v>
      </c>
      <c r="E129" s="1" t="s">
        <v>154</v>
      </c>
      <c r="F129" s="23">
        <v>45396</v>
      </c>
      <c r="G129" s="1" t="s">
        <v>21</v>
      </c>
      <c r="H129" s="6" t="s">
        <v>21</v>
      </c>
      <c r="I129" s="1" t="s">
        <v>21</v>
      </c>
      <c r="J129" s="6" t="s">
        <v>21</v>
      </c>
      <c r="K129" s="1" t="s">
        <v>21</v>
      </c>
      <c r="L129" s="1" t="s">
        <v>8</v>
      </c>
      <c r="M129" s="1" t="s">
        <v>7</v>
      </c>
      <c r="N129" s="1">
        <v>3</v>
      </c>
      <c r="O129" s="1">
        <v>3</v>
      </c>
      <c r="P129" s="1">
        <v>90</v>
      </c>
      <c r="Q129" s="1">
        <v>90</v>
      </c>
      <c r="R129" s="2">
        <v>57.4</v>
      </c>
      <c r="S129" s="2">
        <v>19.2</v>
      </c>
      <c r="U129" s="1" t="s">
        <v>21</v>
      </c>
      <c r="V129" s="1" t="s">
        <v>506</v>
      </c>
      <c r="X129" s="23"/>
    </row>
    <row r="130" spans="1:24" x14ac:dyDescent="0.2">
      <c r="A130" s="1">
        <v>1</v>
      </c>
      <c r="B130" s="1" t="s">
        <v>793</v>
      </c>
      <c r="C130" s="1" t="s">
        <v>773</v>
      </c>
      <c r="D130" s="1" t="s">
        <v>21</v>
      </c>
      <c r="E130" s="1" t="s">
        <v>79</v>
      </c>
      <c r="F130" s="23">
        <v>45397</v>
      </c>
      <c r="G130" s="1" t="s">
        <v>21</v>
      </c>
      <c r="H130" s="6" t="s">
        <v>21</v>
      </c>
      <c r="I130" s="1" t="s">
        <v>21</v>
      </c>
      <c r="J130" s="6" t="s">
        <v>21</v>
      </c>
      <c r="K130" s="1" t="s">
        <v>21</v>
      </c>
      <c r="L130" s="1" t="s">
        <v>7</v>
      </c>
      <c r="M130" s="1" t="s">
        <v>7</v>
      </c>
      <c r="N130" s="1">
        <v>3</v>
      </c>
      <c r="O130" s="1">
        <v>3</v>
      </c>
      <c r="P130" s="1">
        <v>90</v>
      </c>
      <c r="Q130" s="1">
        <v>90</v>
      </c>
      <c r="R130" s="2">
        <v>19.2</v>
      </c>
      <c r="S130" s="2">
        <v>19.2</v>
      </c>
      <c r="U130" s="1" t="s">
        <v>21</v>
      </c>
      <c r="V130" s="1" t="s">
        <v>507</v>
      </c>
      <c r="X130" s="23"/>
    </row>
    <row r="131" spans="1:24" x14ac:dyDescent="0.2">
      <c r="A131" s="1">
        <v>1</v>
      </c>
      <c r="B131" s="1" t="s">
        <v>794</v>
      </c>
      <c r="C131" s="1" t="s">
        <v>773</v>
      </c>
      <c r="D131" s="1" t="s">
        <v>21</v>
      </c>
      <c r="E131" s="1" t="s">
        <v>83</v>
      </c>
      <c r="F131" s="4">
        <v>45397</v>
      </c>
      <c r="G131" s="1" t="s">
        <v>21</v>
      </c>
      <c r="H131" s="6" t="s">
        <v>21</v>
      </c>
      <c r="I131" s="6" t="s">
        <v>21</v>
      </c>
      <c r="J131" s="15" t="s">
        <v>21</v>
      </c>
      <c r="K131" s="3">
        <v>0.76298611111111114</v>
      </c>
      <c r="L131" s="15" t="s">
        <v>7</v>
      </c>
      <c r="M131" s="15" t="s">
        <v>7</v>
      </c>
      <c r="N131" s="15">
        <v>1</v>
      </c>
      <c r="O131" s="15">
        <v>1</v>
      </c>
      <c r="P131" s="1">
        <v>90</v>
      </c>
      <c r="Q131" s="1">
        <v>90</v>
      </c>
      <c r="R131" s="2">
        <v>19.2</v>
      </c>
      <c r="S131" s="2">
        <v>19.2</v>
      </c>
      <c r="U131" s="15" t="s">
        <v>21</v>
      </c>
      <c r="V131" s="1" t="s">
        <v>526</v>
      </c>
    </row>
    <row r="132" spans="1:24" x14ac:dyDescent="0.2">
      <c r="A132" s="1">
        <v>1</v>
      </c>
      <c r="B132" s="1" t="s">
        <v>794</v>
      </c>
      <c r="C132" s="1" t="s">
        <v>773</v>
      </c>
      <c r="D132" s="1" t="s">
        <v>21</v>
      </c>
      <c r="E132" s="1" t="s">
        <v>84</v>
      </c>
      <c r="F132" s="4">
        <v>45398</v>
      </c>
      <c r="G132" s="1" t="s">
        <v>21</v>
      </c>
      <c r="H132" s="6" t="s">
        <v>21</v>
      </c>
      <c r="I132" s="6" t="s">
        <v>21</v>
      </c>
      <c r="J132" s="1" t="s">
        <v>21</v>
      </c>
      <c r="K132" s="3">
        <v>0.22712962962962963</v>
      </c>
      <c r="L132" s="1" t="s">
        <v>7</v>
      </c>
      <c r="M132" s="1" t="s">
        <v>7</v>
      </c>
      <c r="N132" s="1">
        <v>1</v>
      </c>
      <c r="O132" s="1">
        <v>1</v>
      </c>
      <c r="P132" s="1">
        <v>90</v>
      </c>
      <c r="Q132" s="1">
        <v>90</v>
      </c>
      <c r="R132" s="2">
        <v>19.2</v>
      </c>
      <c r="S132" s="2">
        <v>19.2</v>
      </c>
      <c r="U132" s="1" t="s">
        <v>21</v>
      </c>
      <c r="V132" s="1" t="s">
        <v>58</v>
      </c>
    </row>
    <row r="133" spans="1:24" x14ac:dyDescent="0.2">
      <c r="A133" s="1">
        <v>1</v>
      </c>
      <c r="B133" s="1" t="s">
        <v>794</v>
      </c>
      <c r="C133" s="1" t="s">
        <v>773</v>
      </c>
      <c r="D133" s="1" t="s">
        <v>21</v>
      </c>
      <c r="E133" s="1" t="s">
        <v>88</v>
      </c>
      <c r="F133" s="4">
        <v>45398</v>
      </c>
      <c r="G133" s="1" t="s">
        <v>21</v>
      </c>
      <c r="H133" s="6" t="s">
        <v>21</v>
      </c>
      <c r="I133" s="6" t="s">
        <v>21</v>
      </c>
      <c r="J133" s="15" t="s">
        <v>21</v>
      </c>
      <c r="K133" s="3">
        <v>0.75630787037037039</v>
      </c>
      <c r="L133" s="15" t="s">
        <v>7</v>
      </c>
      <c r="M133" s="15" t="s">
        <v>7</v>
      </c>
      <c r="N133" s="15">
        <v>1</v>
      </c>
      <c r="O133" s="15">
        <v>1</v>
      </c>
      <c r="P133" s="1">
        <v>90</v>
      </c>
      <c r="Q133" s="1">
        <v>90</v>
      </c>
      <c r="R133" s="2">
        <v>19.2</v>
      </c>
      <c r="S133" s="2">
        <v>19.2</v>
      </c>
      <c r="U133" s="15" t="s">
        <v>21</v>
      </c>
      <c r="V133" s="1" t="s">
        <v>527</v>
      </c>
    </row>
    <row r="134" spans="1:24" x14ac:dyDescent="0.2">
      <c r="A134" s="1">
        <v>1</v>
      </c>
      <c r="B134" s="1" t="s">
        <v>794</v>
      </c>
      <c r="C134" s="1" t="s">
        <v>773</v>
      </c>
      <c r="D134" s="1" t="s">
        <v>21</v>
      </c>
      <c r="E134" s="1" t="s">
        <v>524</v>
      </c>
      <c r="F134" s="4">
        <v>45399</v>
      </c>
      <c r="G134" s="1" t="s">
        <v>21</v>
      </c>
      <c r="H134" s="6" t="s">
        <v>21</v>
      </c>
      <c r="I134" s="6" t="s">
        <v>21</v>
      </c>
      <c r="J134" s="1" t="s">
        <v>21</v>
      </c>
      <c r="K134" s="6">
        <v>0.22869212962962962</v>
      </c>
      <c r="L134" s="1" t="s">
        <v>7</v>
      </c>
      <c r="M134" s="1" t="s">
        <v>7</v>
      </c>
      <c r="N134" s="1">
        <v>1</v>
      </c>
      <c r="O134" s="1">
        <v>1</v>
      </c>
      <c r="P134" s="1">
        <v>90</v>
      </c>
      <c r="Q134" s="1">
        <v>90</v>
      </c>
      <c r="R134" s="2">
        <v>19.2</v>
      </c>
      <c r="S134" s="2">
        <v>19.2</v>
      </c>
      <c r="U134" s="1" t="s">
        <v>21</v>
      </c>
      <c r="V134" s="1" t="s">
        <v>525</v>
      </c>
    </row>
    <row r="135" spans="1:24" x14ac:dyDescent="0.2">
      <c r="A135" s="1">
        <v>1</v>
      </c>
      <c r="B135" s="1" t="s">
        <v>795</v>
      </c>
      <c r="C135" t="s">
        <v>773</v>
      </c>
      <c r="D135" s="1">
        <v>1</v>
      </c>
      <c r="E135" s="1" t="s">
        <v>528</v>
      </c>
      <c r="F135" s="4">
        <v>45399</v>
      </c>
      <c r="G135" s="3">
        <f>I135+K135</f>
        <v>0.78340277777777778</v>
      </c>
      <c r="H135" s="6">
        <f>J135+K135</f>
        <v>0.78700231481481486</v>
      </c>
      <c r="I135" s="25">
        <v>2.9502314814814815E-2</v>
      </c>
      <c r="J135" s="6">
        <v>3.3101851851851855E-2</v>
      </c>
      <c r="K135" s="3">
        <v>0.75390046296296298</v>
      </c>
      <c r="L135" s="1" t="s">
        <v>7</v>
      </c>
      <c r="M135" s="1" t="s">
        <v>7</v>
      </c>
      <c r="N135" s="1">
        <v>1</v>
      </c>
      <c r="O135" s="1">
        <v>1</v>
      </c>
      <c r="P135" s="1">
        <v>90</v>
      </c>
      <c r="Q135" s="1">
        <v>90</v>
      </c>
      <c r="R135" s="2">
        <v>19.2</v>
      </c>
      <c r="S135" s="2">
        <v>19.2</v>
      </c>
      <c r="U135" s="1">
        <v>1</v>
      </c>
      <c r="V135" s="1" t="s">
        <v>529</v>
      </c>
      <c r="X135" s="4" t="s">
        <v>638</v>
      </c>
    </row>
    <row r="136" spans="1:24" x14ac:dyDescent="0.2">
      <c r="A136" s="1">
        <v>1</v>
      </c>
      <c r="B136" s="1" t="s">
        <v>795</v>
      </c>
      <c r="C136" t="s">
        <v>773</v>
      </c>
      <c r="D136" s="1">
        <v>1</v>
      </c>
      <c r="E136" s="1" t="s">
        <v>111</v>
      </c>
      <c r="F136" s="4">
        <v>45400</v>
      </c>
      <c r="G136" s="3">
        <f>I136+K136</f>
        <v>0.22967592592592592</v>
      </c>
      <c r="H136" s="6">
        <f>J136+K136</f>
        <v>0.24857638888888889</v>
      </c>
      <c r="I136" s="3">
        <v>6.9444444444444441E-3</v>
      </c>
      <c r="J136" s="6">
        <v>2.5844907407407407E-2</v>
      </c>
      <c r="K136" s="3">
        <v>0.22273148148148147</v>
      </c>
      <c r="L136" s="1" t="s">
        <v>7</v>
      </c>
      <c r="M136" s="1" t="s">
        <v>7</v>
      </c>
      <c r="N136" s="1">
        <v>1</v>
      </c>
      <c r="O136" s="1">
        <v>1</v>
      </c>
      <c r="P136" s="1">
        <v>90</v>
      </c>
      <c r="Q136" s="1">
        <v>90</v>
      </c>
      <c r="R136" s="2">
        <v>57.4</v>
      </c>
      <c r="S136" s="2">
        <v>57.4</v>
      </c>
      <c r="U136" s="1">
        <v>1</v>
      </c>
      <c r="X136" s="4" t="s">
        <v>638</v>
      </c>
    </row>
    <row r="137" spans="1:24" x14ac:dyDescent="0.2">
      <c r="A137" s="1">
        <v>1</v>
      </c>
      <c r="B137" s="1" t="s">
        <v>795</v>
      </c>
      <c r="C137" t="s">
        <v>773</v>
      </c>
      <c r="D137" s="1">
        <v>1</v>
      </c>
      <c r="E137" s="1" t="s">
        <v>250</v>
      </c>
      <c r="F137" s="4">
        <v>45400</v>
      </c>
      <c r="G137" s="3">
        <f>I137+K137</f>
        <v>0.78203703703703709</v>
      </c>
      <c r="H137" s="6">
        <f>J137+K137</f>
        <v>0.78427083333333336</v>
      </c>
      <c r="I137" s="3">
        <v>1.9479166666666665E-2</v>
      </c>
      <c r="J137" s="6">
        <v>2.1712962962962962E-2</v>
      </c>
      <c r="K137" s="3">
        <v>0.76255787037037037</v>
      </c>
      <c r="L137" s="1" t="s">
        <v>8</v>
      </c>
      <c r="M137" s="1" t="s">
        <v>8</v>
      </c>
      <c r="N137" s="1">
        <v>1</v>
      </c>
      <c r="O137" s="1">
        <v>1</v>
      </c>
      <c r="P137" s="1">
        <v>90</v>
      </c>
      <c r="Q137" s="1">
        <v>90</v>
      </c>
      <c r="R137" s="2">
        <v>115.17</v>
      </c>
      <c r="S137" s="2">
        <v>115.17</v>
      </c>
      <c r="U137" s="1">
        <v>1</v>
      </c>
      <c r="X137" s="4" t="s">
        <v>638</v>
      </c>
    </row>
    <row r="138" spans="1:24" x14ac:dyDescent="0.2">
      <c r="A138" s="1">
        <v>1</v>
      </c>
      <c r="B138" s="1" t="s">
        <v>795</v>
      </c>
      <c r="C138" t="s">
        <v>773</v>
      </c>
      <c r="D138" s="1">
        <v>1</v>
      </c>
      <c r="E138" s="1" t="s">
        <v>533</v>
      </c>
      <c r="F138" s="4">
        <v>45401</v>
      </c>
      <c r="G138" s="1" t="s">
        <v>21</v>
      </c>
      <c r="H138" s="6">
        <f>J138+K138</f>
        <v>0.23703703703703705</v>
      </c>
      <c r="I138" s="1" t="s">
        <v>21</v>
      </c>
      <c r="J138" s="6">
        <v>1.4849537037037038E-2</v>
      </c>
      <c r="K138" s="3">
        <v>0.22218750000000001</v>
      </c>
      <c r="L138" s="1" t="s">
        <v>8</v>
      </c>
      <c r="M138" s="1" t="s">
        <v>8</v>
      </c>
      <c r="N138" s="1">
        <v>1</v>
      </c>
      <c r="O138" s="1">
        <v>1</v>
      </c>
      <c r="P138" s="1">
        <v>90</v>
      </c>
      <c r="Q138" s="1">
        <v>90</v>
      </c>
      <c r="R138" s="2">
        <v>115.17</v>
      </c>
      <c r="S138" s="2">
        <v>115.17</v>
      </c>
      <c r="U138" s="1">
        <v>1</v>
      </c>
      <c r="V138" s="1" t="s">
        <v>480</v>
      </c>
      <c r="X138" s="4" t="s">
        <v>638</v>
      </c>
    </row>
    <row r="139" spans="1:24" x14ac:dyDescent="0.2">
      <c r="A139" s="1">
        <v>1</v>
      </c>
      <c r="B139" s="1" t="s">
        <v>795</v>
      </c>
      <c r="C139" t="s">
        <v>773</v>
      </c>
      <c r="D139" s="1">
        <v>2</v>
      </c>
      <c r="E139" s="1" t="s">
        <v>533</v>
      </c>
      <c r="F139" s="4">
        <v>45401</v>
      </c>
      <c r="G139" s="3">
        <f>I139+K139</f>
        <v>0.23883101851851854</v>
      </c>
      <c r="H139" s="6">
        <f>J139+K139</f>
        <v>0.24986111111111112</v>
      </c>
      <c r="I139" s="3">
        <v>1.6643518518518519E-2</v>
      </c>
      <c r="J139" s="6">
        <v>2.7673611111111111E-2</v>
      </c>
      <c r="K139" s="3">
        <v>0.22218750000000001</v>
      </c>
      <c r="L139" s="1" t="s">
        <v>8</v>
      </c>
      <c r="M139" s="1" t="s">
        <v>8</v>
      </c>
      <c r="N139" s="27">
        <v>1</v>
      </c>
      <c r="O139" s="27">
        <v>1</v>
      </c>
      <c r="P139" s="1">
        <v>90</v>
      </c>
      <c r="Q139" s="1">
        <v>90</v>
      </c>
      <c r="R139" s="2">
        <v>115.17</v>
      </c>
      <c r="S139" s="2">
        <v>115.17</v>
      </c>
      <c r="U139" s="1">
        <v>1</v>
      </c>
      <c r="X139" s="4" t="s">
        <v>638</v>
      </c>
    </row>
    <row r="140" spans="1:24" x14ac:dyDescent="0.2">
      <c r="A140" s="1">
        <v>1</v>
      </c>
      <c r="B140" s="1" t="s">
        <v>795</v>
      </c>
      <c r="C140" t="s">
        <v>773</v>
      </c>
      <c r="D140" s="1">
        <v>1</v>
      </c>
      <c r="E140" s="1" t="s">
        <v>251</v>
      </c>
      <c r="F140" s="4">
        <v>45401</v>
      </c>
      <c r="G140" s="3">
        <f>I140+K140</f>
        <v>0.77938657407407408</v>
      </c>
      <c r="H140" s="6">
        <f>J140+K140</f>
        <v>0.78755787037037028</v>
      </c>
      <c r="I140" s="3">
        <v>1.0173611111111111E-2</v>
      </c>
      <c r="J140" s="6">
        <v>1.8344907407407407E-2</v>
      </c>
      <c r="K140" s="3">
        <v>0.76921296296296293</v>
      </c>
      <c r="L140" s="1" t="s">
        <v>8</v>
      </c>
      <c r="M140" s="1" t="s">
        <v>7</v>
      </c>
      <c r="N140" s="1">
        <v>2</v>
      </c>
      <c r="O140" s="1">
        <v>2</v>
      </c>
      <c r="P140" s="1">
        <v>90</v>
      </c>
      <c r="Q140" s="1">
        <v>90</v>
      </c>
      <c r="R140" s="2">
        <v>115.17</v>
      </c>
      <c r="S140" s="2">
        <v>115.17</v>
      </c>
      <c r="U140" s="1">
        <v>0</v>
      </c>
      <c r="V140" s="1" t="s">
        <v>535</v>
      </c>
      <c r="X140" s="29" t="s">
        <v>640</v>
      </c>
    </row>
    <row r="141" spans="1:24" x14ac:dyDescent="0.2">
      <c r="A141" s="1">
        <v>1</v>
      </c>
      <c r="B141" s="1" t="s">
        <v>795</v>
      </c>
      <c r="C141" t="s">
        <v>773</v>
      </c>
      <c r="D141" s="1">
        <v>1</v>
      </c>
      <c r="E141" s="1" t="s">
        <v>110</v>
      </c>
      <c r="F141" s="4">
        <v>45402</v>
      </c>
      <c r="G141" s="1" t="s">
        <v>21</v>
      </c>
      <c r="H141" s="6">
        <f>J141+K141</f>
        <v>0.24439814814814814</v>
      </c>
      <c r="I141" s="1" t="s">
        <v>21</v>
      </c>
      <c r="J141" s="6">
        <v>2.4699074074074075E-2</v>
      </c>
      <c r="K141" s="3">
        <v>0.21969907407407407</v>
      </c>
      <c r="L141" s="1" t="s">
        <v>7</v>
      </c>
      <c r="M141" s="1" t="s">
        <v>7</v>
      </c>
      <c r="N141" s="1">
        <v>2</v>
      </c>
      <c r="O141" s="1">
        <v>2</v>
      </c>
      <c r="P141" s="1">
        <v>90</v>
      </c>
      <c r="Q141" s="1">
        <v>90</v>
      </c>
      <c r="R141" s="2">
        <v>115.17</v>
      </c>
      <c r="S141" s="2">
        <v>115.17</v>
      </c>
      <c r="U141" s="1">
        <v>1</v>
      </c>
      <c r="V141" s="1" t="s">
        <v>480</v>
      </c>
      <c r="X141" s="29" t="s">
        <v>640</v>
      </c>
    </row>
    <row r="142" spans="1:24" x14ac:dyDescent="0.2">
      <c r="A142" s="1">
        <v>1</v>
      </c>
      <c r="B142" s="1" t="s">
        <v>795</v>
      </c>
      <c r="C142" t="s">
        <v>773</v>
      </c>
      <c r="D142" s="1">
        <v>1</v>
      </c>
      <c r="E142" s="1" t="s">
        <v>252</v>
      </c>
      <c r="F142" s="4">
        <v>45402</v>
      </c>
      <c r="G142" s="1" t="s">
        <v>21</v>
      </c>
      <c r="H142" s="6" t="s">
        <v>21</v>
      </c>
      <c r="I142" s="1" t="s">
        <v>21</v>
      </c>
      <c r="J142" s="6" t="s">
        <v>21</v>
      </c>
      <c r="K142" s="3">
        <v>0.75356481481481485</v>
      </c>
      <c r="L142" s="1" t="s">
        <v>8</v>
      </c>
      <c r="M142" s="1" t="s">
        <v>7</v>
      </c>
      <c r="N142" s="1">
        <v>2</v>
      </c>
      <c r="O142" s="1">
        <v>2</v>
      </c>
      <c r="P142" s="1">
        <v>90</v>
      </c>
      <c r="Q142" s="1">
        <v>90</v>
      </c>
      <c r="R142" s="2">
        <v>115.17</v>
      </c>
      <c r="S142" s="2">
        <v>115.17</v>
      </c>
      <c r="U142" s="1" t="s">
        <v>21</v>
      </c>
      <c r="V142" s="1" t="s">
        <v>540</v>
      </c>
      <c r="X142" s="29" t="s">
        <v>640</v>
      </c>
    </row>
    <row r="143" spans="1:24" x14ac:dyDescent="0.2">
      <c r="A143" s="1">
        <v>1</v>
      </c>
      <c r="B143" s="1" t="s">
        <v>795</v>
      </c>
      <c r="C143" t="s">
        <v>773</v>
      </c>
      <c r="D143" s="1">
        <v>1</v>
      </c>
      <c r="E143" s="1" t="s">
        <v>253</v>
      </c>
      <c r="F143" s="4">
        <v>45403</v>
      </c>
      <c r="G143" s="1" t="s">
        <v>21</v>
      </c>
      <c r="H143" s="6">
        <f>J143+K143</f>
        <v>0.24523148148148147</v>
      </c>
      <c r="I143" s="1" t="s">
        <v>21</v>
      </c>
      <c r="J143" s="6">
        <v>2.3055555555555555E-2</v>
      </c>
      <c r="K143" s="3">
        <v>0.22217592592592592</v>
      </c>
      <c r="L143" s="1" t="s">
        <v>7</v>
      </c>
      <c r="M143" s="1" t="s">
        <v>8</v>
      </c>
      <c r="N143" s="1">
        <v>2</v>
      </c>
      <c r="O143" s="1">
        <v>2</v>
      </c>
      <c r="P143" s="1">
        <v>90</v>
      </c>
      <c r="Q143" s="1">
        <v>90</v>
      </c>
      <c r="R143" s="2">
        <v>115.17</v>
      </c>
      <c r="S143" s="2">
        <v>115.17</v>
      </c>
      <c r="U143" s="1">
        <v>1</v>
      </c>
      <c r="V143" s="1" t="s">
        <v>480</v>
      </c>
      <c r="X143" s="29" t="s">
        <v>640</v>
      </c>
    </row>
    <row r="144" spans="1:24" x14ac:dyDescent="0.2">
      <c r="A144" s="1">
        <v>1</v>
      </c>
      <c r="B144" s="1" t="s">
        <v>795</v>
      </c>
      <c r="C144" t="s">
        <v>773</v>
      </c>
      <c r="D144" s="1">
        <v>1</v>
      </c>
      <c r="E144" s="1" t="s">
        <v>118</v>
      </c>
      <c r="F144" s="4">
        <v>45404</v>
      </c>
      <c r="G144" s="1" t="s">
        <v>21</v>
      </c>
      <c r="H144" s="6">
        <f>J144+K144</f>
        <v>0.24150462962962962</v>
      </c>
      <c r="I144" s="1" t="s">
        <v>21</v>
      </c>
      <c r="J144" s="6">
        <v>2.5949074074074076E-2</v>
      </c>
      <c r="K144" s="3">
        <v>0.21555555555555556</v>
      </c>
      <c r="L144" s="1" t="s">
        <v>7</v>
      </c>
      <c r="M144" s="1" t="s">
        <v>7</v>
      </c>
      <c r="N144" s="1">
        <v>2</v>
      </c>
      <c r="O144" s="1">
        <v>2</v>
      </c>
      <c r="P144" s="1">
        <v>90</v>
      </c>
      <c r="Q144" s="1">
        <v>90</v>
      </c>
      <c r="R144" s="2">
        <v>115.17</v>
      </c>
      <c r="S144" s="2">
        <v>115.17</v>
      </c>
      <c r="U144" s="1">
        <v>0</v>
      </c>
      <c r="X144" s="29" t="s">
        <v>640</v>
      </c>
    </row>
    <row r="145" spans="1:24" x14ac:dyDescent="0.2">
      <c r="A145" s="1">
        <v>1</v>
      </c>
      <c r="B145" s="1" t="s">
        <v>795</v>
      </c>
      <c r="C145" t="s">
        <v>773</v>
      </c>
      <c r="D145" s="1" t="s">
        <v>21</v>
      </c>
      <c r="E145" s="1" t="s">
        <v>170</v>
      </c>
      <c r="F145" s="4">
        <v>45405</v>
      </c>
      <c r="G145" s="1" t="s">
        <v>21</v>
      </c>
      <c r="H145" s="6" t="s">
        <v>21</v>
      </c>
      <c r="I145" s="1" t="s">
        <v>21</v>
      </c>
      <c r="J145" s="1" t="s">
        <v>21</v>
      </c>
      <c r="K145" s="3">
        <v>0.76297453703703699</v>
      </c>
      <c r="L145" s="1" t="s">
        <v>8</v>
      </c>
      <c r="M145" s="1" t="s">
        <v>8</v>
      </c>
      <c r="N145" s="1">
        <v>2</v>
      </c>
      <c r="O145" s="1">
        <v>2</v>
      </c>
      <c r="P145" s="1">
        <v>90</v>
      </c>
      <c r="Q145" s="1">
        <v>90</v>
      </c>
      <c r="R145" s="2">
        <v>115.17</v>
      </c>
      <c r="S145" s="2">
        <v>115.17</v>
      </c>
      <c r="U145" s="1" t="s">
        <v>21</v>
      </c>
      <c r="V145" s="1" t="s">
        <v>544</v>
      </c>
      <c r="X145" s="29" t="s">
        <v>640</v>
      </c>
    </row>
    <row r="146" spans="1:24" x14ac:dyDescent="0.2">
      <c r="A146" s="1">
        <v>1</v>
      </c>
      <c r="B146" s="1" t="s">
        <v>795</v>
      </c>
      <c r="C146" t="s">
        <v>773</v>
      </c>
      <c r="D146" s="1">
        <v>1</v>
      </c>
      <c r="E146" s="1" t="s">
        <v>304</v>
      </c>
      <c r="F146" s="4">
        <v>45405</v>
      </c>
      <c r="G146" s="1" t="s">
        <v>21</v>
      </c>
      <c r="H146" s="6">
        <f>J146+K146</f>
        <v>0.24447916666666666</v>
      </c>
      <c r="I146" s="1" t="s">
        <v>21</v>
      </c>
      <c r="J146" s="6">
        <v>2.1770833333333333E-2</v>
      </c>
      <c r="K146" s="3">
        <v>0.22270833333333334</v>
      </c>
      <c r="L146" s="1" t="s">
        <v>8</v>
      </c>
      <c r="M146" s="1" t="s">
        <v>8</v>
      </c>
      <c r="N146" s="1">
        <v>2</v>
      </c>
      <c r="O146" s="1">
        <v>2</v>
      </c>
      <c r="P146" s="1">
        <v>90</v>
      </c>
      <c r="Q146" s="1">
        <v>90</v>
      </c>
      <c r="R146" s="2">
        <v>115.17</v>
      </c>
      <c r="S146" s="2">
        <v>115.17</v>
      </c>
      <c r="U146" s="1">
        <v>1</v>
      </c>
      <c r="V146" s="1" t="s">
        <v>545</v>
      </c>
      <c r="X146" s="29" t="s">
        <v>640</v>
      </c>
    </row>
    <row r="147" spans="1:24" x14ac:dyDescent="0.2">
      <c r="A147" s="1">
        <v>1</v>
      </c>
      <c r="B147" s="1" t="s">
        <v>795</v>
      </c>
      <c r="C147" t="s">
        <v>773</v>
      </c>
      <c r="D147" s="1">
        <v>1</v>
      </c>
      <c r="E147" s="1" t="s">
        <v>287</v>
      </c>
      <c r="F147" s="4">
        <v>45406</v>
      </c>
      <c r="G147" s="1" t="s">
        <v>21</v>
      </c>
      <c r="H147" s="6">
        <f>J147+K147</f>
        <v>0.24840277777777778</v>
      </c>
      <c r="I147" s="1" t="s">
        <v>21</v>
      </c>
      <c r="J147" s="6">
        <v>2.7442129629629629E-2</v>
      </c>
      <c r="K147" s="3">
        <v>0.22096064814814814</v>
      </c>
      <c r="L147" s="1" t="s">
        <v>8</v>
      </c>
      <c r="M147" s="1" t="s">
        <v>7</v>
      </c>
      <c r="N147" s="1">
        <v>2</v>
      </c>
      <c r="O147" s="1">
        <v>2</v>
      </c>
      <c r="P147" s="1">
        <v>90</v>
      </c>
      <c r="Q147" s="1">
        <v>90</v>
      </c>
      <c r="R147" s="2">
        <v>115.17</v>
      </c>
      <c r="S147" s="2">
        <v>115.17</v>
      </c>
      <c r="U147" s="1">
        <v>0</v>
      </c>
      <c r="V147" s="1" t="s">
        <v>480</v>
      </c>
      <c r="X147" s="29" t="s">
        <v>640</v>
      </c>
    </row>
    <row r="148" spans="1:24" x14ac:dyDescent="0.2">
      <c r="A148" s="1">
        <v>1</v>
      </c>
      <c r="B148" s="1" t="s">
        <v>795</v>
      </c>
      <c r="C148" t="s">
        <v>773</v>
      </c>
      <c r="D148" s="1" t="s">
        <v>21</v>
      </c>
      <c r="E148" s="1" t="s">
        <v>280</v>
      </c>
      <c r="F148" s="4">
        <v>45406</v>
      </c>
      <c r="G148" s="1" t="s">
        <v>21</v>
      </c>
      <c r="H148" s="6" t="s">
        <v>21</v>
      </c>
      <c r="I148" s="1" t="s">
        <v>21</v>
      </c>
      <c r="J148" s="6" t="s">
        <v>21</v>
      </c>
      <c r="K148" s="3">
        <v>0.76820601851851855</v>
      </c>
      <c r="L148" s="1" t="s">
        <v>7</v>
      </c>
      <c r="M148" s="1" t="s">
        <v>8</v>
      </c>
      <c r="N148" s="1">
        <v>2</v>
      </c>
      <c r="O148" s="1">
        <v>3</v>
      </c>
      <c r="P148" s="1">
        <v>90</v>
      </c>
      <c r="Q148" s="1">
        <v>90</v>
      </c>
      <c r="R148" s="2">
        <v>115.17</v>
      </c>
      <c r="S148" s="2">
        <v>57.4</v>
      </c>
      <c r="U148" s="1" t="s">
        <v>21</v>
      </c>
      <c r="X148" s="4" t="s">
        <v>640</v>
      </c>
    </row>
    <row r="149" spans="1:24" x14ac:dyDescent="0.2">
      <c r="A149" s="1">
        <v>1</v>
      </c>
      <c r="B149" s="1" t="s">
        <v>795</v>
      </c>
      <c r="C149" t="s">
        <v>773</v>
      </c>
      <c r="D149" s="1">
        <v>1</v>
      </c>
      <c r="E149" s="1" t="s">
        <v>279</v>
      </c>
      <c r="F149" s="4">
        <v>45407</v>
      </c>
      <c r="G149" s="1" t="s">
        <v>21</v>
      </c>
      <c r="H149" s="6" t="s">
        <v>21</v>
      </c>
      <c r="I149" s="1" t="s">
        <v>21</v>
      </c>
      <c r="J149" s="6" t="s">
        <v>21</v>
      </c>
      <c r="K149" s="3">
        <v>0.75351851851851848</v>
      </c>
      <c r="L149" s="1" t="s">
        <v>8</v>
      </c>
      <c r="M149" s="1" t="s">
        <v>8</v>
      </c>
      <c r="N149" s="1">
        <v>3</v>
      </c>
      <c r="O149" s="1">
        <v>3</v>
      </c>
      <c r="P149" s="1">
        <v>90</v>
      </c>
      <c r="Q149" s="1">
        <v>90</v>
      </c>
      <c r="R149" s="2">
        <v>57.4</v>
      </c>
      <c r="S149" s="2">
        <v>57.4</v>
      </c>
      <c r="U149" s="1" t="s">
        <v>21</v>
      </c>
      <c r="V149" s="1" t="s">
        <v>559</v>
      </c>
      <c r="X149" s="4" t="s">
        <v>640</v>
      </c>
    </row>
    <row r="150" spans="1:24" x14ac:dyDescent="0.2">
      <c r="A150" s="1">
        <v>1</v>
      </c>
      <c r="B150" s="1" t="s">
        <v>795</v>
      </c>
      <c r="C150" t="s">
        <v>773</v>
      </c>
      <c r="D150" s="1">
        <v>1</v>
      </c>
      <c r="E150" s="1" t="s">
        <v>557</v>
      </c>
      <c r="F150" s="4">
        <v>45408</v>
      </c>
      <c r="G150" s="3">
        <f>I150+K150</f>
        <v>0.78090277777777783</v>
      </c>
      <c r="H150" s="6">
        <f>J150+K150</f>
        <v>0.78583333333333338</v>
      </c>
      <c r="I150" s="3">
        <v>2.2743055555555555E-2</v>
      </c>
      <c r="J150" s="6">
        <v>2.7673611111111111E-2</v>
      </c>
      <c r="K150" s="3">
        <v>0.75815972222222228</v>
      </c>
      <c r="L150" s="1" t="s">
        <v>8</v>
      </c>
      <c r="M150" s="1" t="s">
        <v>8</v>
      </c>
      <c r="N150" s="1">
        <v>3</v>
      </c>
      <c r="O150" s="1">
        <v>3</v>
      </c>
      <c r="P150" s="1">
        <v>90</v>
      </c>
      <c r="Q150" s="1">
        <v>90</v>
      </c>
      <c r="R150" s="2">
        <v>57.4</v>
      </c>
      <c r="S150" s="2">
        <v>57.4</v>
      </c>
      <c r="U150" s="1">
        <v>1</v>
      </c>
      <c r="X150" s="4" t="s">
        <v>640</v>
      </c>
    </row>
    <row r="151" spans="1:24" x14ac:dyDescent="0.2">
      <c r="A151" s="1">
        <v>1</v>
      </c>
      <c r="B151" s="1" t="s">
        <v>795</v>
      </c>
      <c r="C151" t="s">
        <v>773</v>
      </c>
      <c r="D151" s="1" t="s">
        <v>21</v>
      </c>
      <c r="E151" s="1" t="s">
        <v>560</v>
      </c>
      <c r="F151" s="4">
        <v>45409</v>
      </c>
      <c r="G151" s="1" t="s">
        <v>21</v>
      </c>
      <c r="H151" s="6" t="s">
        <v>21</v>
      </c>
      <c r="I151" s="1" t="s">
        <v>21</v>
      </c>
      <c r="J151" s="6" t="s">
        <v>21</v>
      </c>
      <c r="K151" s="3">
        <v>0.77422453703703709</v>
      </c>
      <c r="L151" s="1" t="s">
        <v>7</v>
      </c>
      <c r="M151" s="1" t="s">
        <v>7</v>
      </c>
      <c r="N151" s="1">
        <v>2</v>
      </c>
      <c r="O151" s="1">
        <v>2</v>
      </c>
      <c r="P151" s="1">
        <v>90</v>
      </c>
      <c r="Q151" s="1">
        <v>90</v>
      </c>
      <c r="R151" s="2">
        <v>57.4</v>
      </c>
      <c r="S151" s="2">
        <v>57.4</v>
      </c>
      <c r="U151" s="1" t="s">
        <v>21</v>
      </c>
      <c r="V151" s="1" t="s">
        <v>540</v>
      </c>
      <c r="X151" s="4" t="s">
        <v>640</v>
      </c>
    </row>
    <row r="152" spans="1:24" x14ac:dyDescent="0.2">
      <c r="A152" s="1">
        <v>1</v>
      </c>
      <c r="B152" s="1" t="s">
        <v>795</v>
      </c>
      <c r="C152" t="s">
        <v>773</v>
      </c>
      <c r="D152" s="1">
        <v>1</v>
      </c>
      <c r="E152" s="1" t="s">
        <v>561</v>
      </c>
      <c r="F152" s="4">
        <v>45410</v>
      </c>
      <c r="G152" s="1" t="s">
        <v>21</v>
      </c>
      <c r="H152" s="6">
        <f>J152+K152</f>
        <v>0.24263888888888888</v>
      </c>
      <c r="I152" s="1" t="s">
        <v>21</v>
      </c>
      <c r="J152" s="6">
        <v>9.4560185185185181E-3</v>
      </c>
      <c r="K152" s="3">
        <v>0.23318287037037036</v>
      </c>
      <c r="L152" s="1" t="s">
        <v>7</v>
      </c>
      <c r="M152" s="1" t="s">
        <v>7</v>
      </c>
      <c r="N152" s="1">
        <v>2</v>
      </c>
      <c r="O152" s="1">
        <v>2</v>
      </c>
      <c r="P152" s="1">
        <v>90</v>
      </c>
      <c r="Q152" s="1">
        <v>90</v>
      </c>
      <c r="R152" s="2">
        <v>57.4</v>
      </c>
      <c r="S152" s="2">
        <v>57.4</v>
      </c>
      <c r="U152" s="1">
        <v>0</v>
      </c>
      <c r="V152" s="1" t="s">
        <v>564</v>
      </c>
      <c r="X152" s="4" t="s">
        <v>640</v>
      </c>
    </row>
    <row r="153" spans="1:24" x14ac:dyDescent="0.2">
      <c r="A153" s="1">
        <v>1</v>
      </c>
      <c r="B153" s="1" t="s">
        <v>795</v>
      </c>
      <c r="C153" t="s">
        <v>773</v>
      </c>
      <c r="D153" s="1">
        <v>1</v>
      </c>
      <c r="E153" s="1" t="s">
        <v>551</v>
      </c>
      <c r="F153" s="4">
        <v>45411</v>
      </c>
      <c r="G153" s="1" t="s">
        <v>21</v>
      </c>
      <c r="H153" s="6">
        <f>J153+K153</f>
        <v>0.24275462962962963</v>
      </c>
      <c r="I153" s="1" t="s">
        <v>21</v>
      </c>
      <c r="J153" s="6">
        <v>6.6087962962962966E-3</v>
      </c>
      <c r="K153" s="6">
        <v>0.23614583333333333</v>
      </c>
      <c r="L153" s="1" t="s">
        <v>8</v>
      </c>
      <c r="M153" s="1" t="s">
        <v>7</v>
      </c>
      <c r="N153" s="1">
        <v>2</v>
      </c>
      <c r="O153" s="1">
        <v>2</v>
      </c>
      <c r="P153" s="1">
        <v>90</v>
      </c>
      <c r="Q153" s="1">
        <v>90</v>
      </c>
      <c r="R153" s="2">
        <v>57.4</v>
      </c>
      <c r="S153" s="2">
        <v>57.4</v>
      </c>
      <c r="U153" s="1" t="s">
        <v>21</v>
      </c>
      <c r="V153" s="1" t="s">
        <v>552</v>
      </c>
      <c r="X153" s="4" t="s">
        <v>640</v>
      </c>
    </row>
    <row r="154" spans="1:24" x14ac:dyDescent="0.2">
      <c r="A154" s="1">
        <v>1</v>
      </c>
      <c r="B154" s="1" t="s">
        <v>795</v>
      </c>
      <c r="C154" t="s">
        <v>773</v>
      </c>
      <c r="D154" s="1" t="s">
        <v>21</v>
      </c>
      <c r="E154" s="1" t="s">
        <v>294</v>
      </c>
      <c r="F154" s="4">
        <v>45411</v>
      </c>
      <c r="G154" s="1" t="s">
        <v>21</v>
      </c>
      <c r="H154" s="6" t="s">
        <v>21</v>
      </c>
      <c r="I154" s="1" t="s">
        <v>21</v>
      </c>
      <c r="J154" s="6" t="s">
        <v>21</v>
      </c>
      <c r="K154" s="3">
        <v>0.76478009259259261</v>
      </c>
      <c r="L154" s="1" t="s">
        <v>7</v>
      </c>
      <c r="M154" s="1" t="s">
        <v>8</v>
      </c>
      <c r="N154" s="1">
        <v>2</v>
      </c>
      <c r="O154" s="1">
        <v>2</v>
      </c>
      <c r="P154" s="1">
        <v>90</v>
      </c>
      <c r="Q154" s="1">
        <v>90</v>
      </c>
      <c r="R154" s="2">
        <v>57.4</v>
      </c>
      <c r="S154" s="2">
        <v>57.4</v>
      </c>
      <c r="U154" s="1" t="s">
        <v>21</v>
      </c>
      <c r="X154" s="4" t="s">
        <v>640</v>
      </c>
    </row>
    <row r="155" spans="1:24" x14ac:dyDescent="0.2">
      <c r="A155" s="1">
        <v>1</v>
      </c>
      <c r="B155" s="1" t="s">
        <v>795</v>
      </c>
      <c r="C155" t="s">
        <v>773</v>
      </c>
      <c r="E155" s="1" t="s">
        <v>567</v>
      </c>
      <c r="F155" s="4">
        <v>45412</v>
      </c>
      <c r="G155" s="1" t="s">
        <v>21</v>
      </c>
      <c r="H155" s="6">
        <f>J155+K155</f>
        <v>0.24458333333333335</v>
      </c>
      <c r="I155" s="1" t="s">
        <v>21</v>
      </c>
      <c r="J155" s="3">
        <v>2.3472222222222221E-2</v>
      </c>
      <c r="K155" s="3">
        <v>0.22111111111111112</v>
      </c>
      <c r="L155" s="1" t="s">
        <v>8</v>
      </c>
      <c r="M155" s="1" t="s">
        <v>8</v>
      </c>
      <c r="N155" s="1">
        <v>2</v>
      </c>
      <c r="O155" s="1">
        <v>2</v>
      </c>
      <c r="P155" s="1">
        <v>90</v>
      </c>
      <c r="Q155" s="1">
        <v>90</v>
      </c>
      <c r="R155" s="2">
        <v>57.4</v>
      </c>
      <c r="S155" s="2">
        <v>57.4</v>
      </c>
      <c r="U155" s="1">
        <v>1</v>
      </c>
      <c r="X155" s="4" t="s">
        <v>640</v>
      </c>
    </row>
    <row r="156" spans="1:24" x14ac:dyDescent="0.2">
      <c r="A156" s="1">
        <v>1</v>
      </c>
      <c r="B156" s="1" t="s">
        <v>795</v>
      </c>
      <c r="C156" t="s">
        <v>773</v>
      </c>
      <c r="D156" s="1">
        <v>1</v>
      </c>
      <c r="E156" s="1" t="s">
        <v>297</v>
      </c>
      <c r="F156" s="4">
        <v>45412</v>
      </c>
      <c r="G156" s="3">
        <f>I156+K156</f>
        <v>0.78136574074074072</v>
      </c>
      <c r="H156" s="6">
        <f>J156+K156</f>
        <v>0.78949074074074077</v>
      </c>
      <c r="I156" s="3">
        <v>1.9583333333333335E-2</v>
      </c>
      <c r="J156" s="6">
        <v>2.7708333333333335E-2</v>
      </c>
      <c r="K156" s="3">
        <v>0.76178240740740744</v>
      </c>
      <c r="L156" s="1" t="s">
        <v>8</v>
      </c>
      <c r="M156" s="1" t="s">
        <v>7</v>
      </c>
      <c r="N156" s="1">
        <v>2</v>
      </c>
      <c r="O156" s="1">
        <v>2</v>
      </c>
      <c r="P156" s="1">
        <v>90</v>
      </c>
      <c r="Q156" s="1">
        <v>90</v>
      </c>
      <c r="R156" s="2">
        <v>57.4</v>
      </c>
      <c r="S156" s="2">
        <v>57.4</v>
      </c>
      <c r="U156" s="1">
        <v>1</v>
      </c>
      <c r="X156" s="4" t="s">
        <v>640</v>
      </c>
    </row>
    <row r="157" spans="1:24" x14ac:dyDescent="0.2">
      <c r="A157" s="1">
        <v>1</v>
      </c>
      <c r="B157" s="1" t="s">
        <v>795</v>
      </c>
      <c r="C157" t="s">
        <v>773</v>
      </c>
      <c r="D157" s="1">
        <v>1</v>
      </c>
      <c r="E157" s="1" t="s">
        <v>568</v>
      </c>
      <c r="F157" s="4">
        <v>45413</v>
      </c>
      <c r="G157" s="1" t="s">
        <v>21</v>
      </c>
      <c r="H157" s="6">
        <f>J157+K157</f>
        <v>0.24356481481481482</v>
      </c>
      <c r="I157" s="1" t="s">
        <v>21</v>
      </c>
      <c r="J157" s="6">
        <v>2.4074074074074074E-2</v>
      </c>
      <c r="K157" s="3">
        <v>0.21949074074074074</v>
      </c>
      <c r="L157" s="1" t="s">
        <v>7</v>
      </c>
      <c r="M157" s="1" t="s">
        <v>8</v>
      </c>
      <c r="N157" s="1">
        <v>2</v>
      </c>
      <c r="O157" s="1">
        <v>2</v>
      </c>
      <c r="P157" s="1">
        <v>90</v>
      </c>
      <c r="Q157" s="1">
        <v>90</v>
      </c>
      <c r="R157" s="2">
        <v>57.4</v>
      </c>
      <c r="S157" s="2">
        <v>57.4</v>
      </c>
      <c r="U157" s="1">
        <v>1</v>
      </c>
      <c r="V157" s="1" t="s">
        <v>578</v>
      </c>
      <c r="X157" s="4" t="s">
        <v>640</v>
      </c>
    </row>
    <row r="158" spans="1:24" x14ac:dyDescent="0.2">
      <c r="A158" s="1">
        <v>1</v>
      </c>
      <c r="B158" s="1" t="s">
        <v>795</v>
      </c>
      <c r="C158" t="s">
        <v>773</v>
      </c>
      <c r="D158" s="1">
        <v>1</v>
      </c>
      <c r="E158" s="1" t="s">
        <v>476</v>
      </c>
      <c r="F158" s="4">
        <v>45414</v>
      </c>
      <c r="G158" s="1" t="s">
        <v>21</v>
      </c>
      <c r="H158" s="6">
        <f>J158+K158</f>
        <v>0.25842592592592595</v>
      </c>
      <c r="I158" s="1" t="s">
        <v>21</v>
      </c>
      <c r="J158" s="6">
        <v>3.9884259259259258E-2</v>
      </c>
      <c r="K158" s="3">
        <v>0.21854166666666666</v>
      </c>
      <c r="L158" s="1" t="s">
        <v>8</v>
      </c>
      <c r="M158" s="1" t="s">
        <v>7</v>
      </c>
      <c r="N158" s="1">
        <v>3</v>
      </c>
      <c r="O158" s="1">
        <v>2</v>
      </c>
      <c r="P158" s="1">
        <v>90</v>
      </c>
      <c r="Q158" s="1">
        <v>90</v>
      </c>
      <c r="R158" s="2">
        <v>57.4</v>
      </c>
      <c r="S158" s="2">
        <v>57.4</v>
      </c>
      <c r="U158" s="1">
        <v>0</v>
      </c>
      <c r="V158" s="1" t="s">
        <v>579</v>
      </c>
      <c r="X158" s="4" t="s">
        <v>640</v>
      </c>
    </row>
    <row r="159" spans="1:24" x14ac:dyDescent="0.2">
      <c r="A159" s="1">
        <v>1</v>
      </c>
      <c r="B159" s="1" t="s">
        <v>795</v>
      </c>
      <c r="C159" t="s">
        <v>773</v>
      </c>
      <c r="D159" s="1">
        <v>1</v>
      </c>
      <c r="E159" s="1" t="s">
        <v>475</v>
      </c>
      <c r="F159" s="4">
        <v>45414</v>
      </c>
      <c r="G159" s="3">
        <f>I159+K159</f>
        <v>0.77627314814814807</v>
      </c>
      <c r="H159" s="6">
        <f>J159+K159</f>
        <v>0.78454861111111107</v>
      </c>
      <c r="I159" s="3">
        <v>1.4247685185185184E-2</v>
      </c>
      <c r="J159" s="6">
        <v>2.252314814814815E-2</v>
      </c>
      <c r="K159" s="3">
        <v>0.76202546296296292</v>
      </c>
      <c r="L159" s="1" t="s">
        <v>7</v>
      </c>
      <c r="M159" s="1" t="s">
        <v>8</v>
      </c>
      <c r="N159" s="1">
        <v>2</v>
      </c>
      <c r="O159" s="1">
        <v>2</v>
      </c>
      <c r="P159" s="1">
        <v>90</v>
      </c>
      <c r="Q159" s="1">
        <v>90</v>
      </c>
      <c r="R159" s="2">
        <v>57.4</v>
      </c>
      <c r="S159" s="2">
        <v>57.4</v>
      </c>
      <c r="U159" s="1">
        <v>1</v>
      </c>
      <c r="X159" s="4" t="s">
        <v>640</v>
      </c>
    </row>
    <row r="160" spans="1:24" x14ac:dyDescent="0.2">
      <c r="A160" s="1">
        <v>1</v>
      </c>
      <c r="B160" s="1" t="s">
        <v>795</v>
      </c>
      <c r="C160" t="s">
        <v>773</v>
      </c>
      <c r="D160" s="1">
        <v>1</v>
      </c>
      <c r="E160" s="1" t="s">
        <v>248</v>
      </c>
      <c r="F160" s="4">
        <v>45410</v>
      </c>
      <c r="H160" s="6">
        <f>J160+K160</f>
        <v>0.78259259259259262</v>
      </c>
      <c r="J160" s="6">
        <v>1.9224537037037037E-2</v>
      </c>
      <c r="K160" s="3">
        <v>0.76336805555555554</v>
      </c>
      <c r="L160" s="1" t="s">
        <v>7</v>
      </c>
      <c r="M160" s="1" t="s">
        <v>8</v>
      </c>
      <c r="N160" s="1">
        <v>2</v>
      </c>
      <c r="O160" s="1">
        <v>2</v>
      </c>
      <c r="P160" s="1">
        <v>90</v>
      </c>
      <c r="Q160" s="1">
        <v>90</v>
      </c>
      <c r="R160" s="2">
        <v>57.4</v>
      </c>
      <c r="S160" s="2">
        <v>57.4</v>
      </c>
      <c r="U160" s="1">
        <v>0</v>
      </c>
      <c r="V160" s="1" t="s">
        <v>143</v>
      </c>
      <c r="X160" s="4" t="s">
        <v>640</v>
      </c>
    </row>
    <row r="161" spans="1:24" x14ac:dyDescent="0.2">
      <c r="A161" s="1">
        <v>1</v>
      </c>
      <c r="B161" s="1" t="s">
        <v>795</v>
      </c>
      <c r="C161" t="s">
        <v>773</v>
      </c>
      <c r="D161" s="1">
        <v>1</v>
      </c>
      <c r="E161" s="1" t="s">
        <v>569</v>
      </c>
      <c r="F161" s="4">
        <v>45413</v>
      </c>
      <c r="G161" s="3">
        <f>I161+K161</f>
        <v>0.77680555555555553</v>
      </c>
      <c r="H161" s="6">
        <f>J161+K161</f>
        <v>0.77811342592592592</v>
      </c>
      <c r="I161" s="3">
        <v>7.7546296296296293E-4</v>
      </c>
      <c r="J161" s="6">
        <v>2.0833333333333333E-3</v>
      </c>
      <c r="K161" s="3">
        <v>0.77603009259259259</v>
      </c>
      <c r="L161" s="1" t="s">
        <v>8</v>
      </c>
      <c r="M161" s="1" t="s">
        <v>8</v>
      </c>
      <c r="N161" s="1">
        <v>2</v>
      </c>
      <c r="O161" s="1">
        <v>2</v>
      </c>
      <c r="P161" s="1">
        <v>90</v>
      </c>
      <c r="Q161" s="1">
        <v>90</v>
      </c>
      <c r="R161" s="2">
        <v>57.4</v>
      </c>
      <c r="S161" s="2">
        <v>57.4</v>
      </c>
      <c r="U161" s="1">
        <v>1</v>
      </c>
      <c r="X161" s="4" t="s">
        <v>640</v>
      </c>
    </row>
    <row r="162" spans="1:24" x14ac:dyDescent="0.2">
      <c r="A162" s="1">
        <v>1</v>
      </c>
      <c r="B162" s="1" t="s">
        <v>795</v>
      </c>
      <c r="C162" t="s">
        <v>773</v>
      </c>
      <c r="D162" s="1">
        <v>1</v>
      </c>
      <c r="E162" s="1" t="s">
        <v>474</v>
      </c>
      <c r="F162" s="4">
        <v>45415</v>
      </c>
      <c r="G162" s="3">
        <f>I162+K162</f>
        <v>0.23341435185185186</v>
      </c>
      <c r="H162" s="6">
        <f>J162+K162</f>
        <v>0.24337962962962964</v>
      </c>
      <c r="I162" s="3">
        <v>1.0752314814814815E-2</v>
      </c>
      <c r="J162" s="6">
        <v>2.0717592592592593E-2</v>
      </c>
      <c r="K162" s="3">
        <v>0.22266203703703705</v>
      </c>
      <c r="L162" s="1" t="s">
        <v>8</v>
      </c>
      <c r="M162" s="1" t="s">
        <v>7</v>
      </c>
      <c r="N162" s="1">
        <v>2</v>
      </c>
      <c r="O162" s="1">
        <v>2</v>
      </c>
      <c r="P162" s="1">
        <v>90</v>
      </c>
      <c r="Q162" s="1">
        <v>90</v>
      </c>
      <c r="R162" s="2">
        <v>57.4</v>
      </c>
      <c r="S162" s="2">
        <v>57.4</v>
      </c>
      <c r="U162" s="1">
        <v>1</v>
      </c>
      <c r="X162" s="4" t="s">
        <v>640</v>
      </c>
    </row>
    <row r="163" spans="1:24" x14ac:dyDescent="0.2">
      <c r="A163" s="1">
        <v>1</v>
      </c>
      <c r="B163" s="1" t="s">
        <v>795</v>
      </c>
      <c r="C163" t="s">
        <v>773</v>
      </c>
      <c r="D163" s="1">
        <v>1</v>
      </c>
      <c r="E163" s="1" t="s">
        <v>467</v>
      </c>
      <c r="F163" s="4">
        <v>45415</v>
      </c>
      <c r="G163" s="3">
        <f>I163+K163</f>
        <v>0.78115740740740747</v>
      </c>
      <c r="H163" s="6">
        <f>J163+K163</f>
        <v>0.78275462962962961</v>
      </c>
      <c r="I163" s="3">
        <v>2.3969907407407409E-2</v>
      </c>
      <c r="J163" s="6">
        <v>2.5567129629629631E-2</v>
      </c>
      <c r="K163" s="3">
        <v>0.75718750000000001</v>
      </c>
      <c r="L163" s="1" t="s">
        <v>7</v>
      </c>
      <c r="M163" s="1" t="s">
        <v>7</v>
      </c>
      <c r="N163" s="1">
        <v>2</v>
      </c>
      <c r="O163" s="1">
        <v>2</v>
      </c>
      <c r="P163" s="1">
        <v>90</v>
      </c>
      <c r="Q163" s="1">
        <v>90</v>
      </c>
      <c r="R163" s="2">
        <v>57.4</v>
      </c>
      <c r="S163" s="2">
        <v>57.4</v>
      </c>
      <c r="U163" s="1">
        <v>1</v>
      </c>
      <c r="X163" s="4" t="s">
        <v>640</v>
      </c>
    </row>
    <row r="164" spans="1:24" x14ac:dyDescent="0.2">
      <c r="A164" s="1">
        <v>1</v>
      </c>
      <c r="B164" s="1" t="s">
        <v>795</v>
      </c>
      <c r="C164" t="s">
        <v>773</v>
      </c>
      <c r="D164" s="1">
        <v>1</v>
      </c>
      <c r="E164" s="1" t="s">
        <v>458</v>
      </c>
      <c r="F164" s="4">
        <v>45416</v>
      </c>
      <c r="G164" s="3">
        <f>I164+K164</f>
        <v>0.23142361111111112</v>
      </c>
      <c r="H164" s="6">
        <f>J164+K164</f>
        <v>0.24674768518518519</v>
      </c>
      <c r="I164" s="3">
        <v>9.1782407407407403E-3</v>
      </c>
      <c r="J164" s="6">
        <v>2.4502314814814814E-2</v>
      </c>
      <c r="K164" s="3">
        <v>0.22224537037037037</v>
      </c>
      <c r="L164" s="1" t="s">
        <v>8</v>
      </c>
      <c r="M164" s="1" t="s">
        <v>8</v>
      </c>
      <c r="N164" s="1">
        <v>2</v>
      </c>
      <c r="O164" s="1">
        <v>2</v>
      </c>
      <c r="P164" s="1">
        <v>90</v>
      </c>
      <c r="Q164" s="1">
        <v>90</v>
      </c>
      <c r="R164" s="2">
        <v>19.2</v>
      </c>
      <c r="S164" s="2">
        <v>19.2</v>
      </c>
      <c r="U164" s="1">
        <v>0</v>
      </c>
      <c r="X164" s="4" t="s">
        <v>640</v>
      </c>
    </row>
    <row r="165" spans="1:24" x14ac:dyDescent="0.2">
      <c r="A165" s="1">
        <v>1</v>
      </c>
      <c r="B165" s="1" t="s">
        <v>795</v>
      </c>
      <c r="C165" t="s">
        <v>773</v>
      </c>
      <c r="D165" s="1">
        <v>1</v>
      </c>
      <c r="E165" s="1" t="s">
        <v>479</v>
      </c>
      <c r="F165" s="4">
        <v>45417</v>
      </c>
      <c r="G165" s="3">
        <f>I165+K165</f>
        <v>0.78152777777777782</v>
      </c>
      <c r="H165" s="6">
        <f>J165+K165</f>
        <v>0.78546296296296292</v>
      </c>
      <c r="I165" s="3">
        <v>2.6631944444444444E-2</v>
      </c>
      <c r="J165" s="3">
        <v>3.0567129629629628E-2</v>
      </c>
      <c r="K165" s="3">
        <v>0.75489583333333332</v>
      </c>
      <c r="L165" s="1" t="s">
        <v>7</v>
      </c>
      <c r="M165" s="1" t="s">
        <v>8</v>
      </c>
      <c r="N165" s="1">
        <v>2</v>
      </c>
      <c r="O165" s="1">
        <v>2</v>
      </c>
      <c r="P165" s="1">
        <v>90</v>
      </c>
      <c r="Q165" s="1">
        <v>90</v>
      </c>
      <c r="R165" s="2">
        <v>19.2</v>
      </c>
      <c r="S165" s="2">
        <v>19.2</v>
      </c>
      <c r="U165" s="1">
        <v>0</v>
      </c>
      <c r="X165" s="4" t="s">
        <v>640</v>
      </c>
    </row>
    <row r="166" spans="1:24" x14ac:dyDescent="0.2">
      <c r="A166" s="1">
        <v>1</v>
      </c>
      <c r="B166" s="1" t="s">
        <v>795</v>
      </c>
      <c r="C166" t="s">
        <v>773</v>
      </c>
      <c r="D166" s="1">
        <v>1</v>
      </c>
      <c r="E166" s="1" t="s">
        <v>482</v>
      </c>
      <c r="F166" s="4">
        <v>45418</v>
      </c>
      <c r="G166" s="3">
        <f>I166+K166</f>
        <v>0.23509259259259258</v>
      </c>
      <c r="H166" s="6">
        <f>J166+K166</f>
        <v>0.24012731481481481</v>
      </c>
      <c r="I166" s="3">
        <v>1.2615740740740742E-2</v>
      </c>
      <c r="J166" s="6">
        <v>1.7650462962962962E-2</v>
      </c>
      <c r="K166" s="3">
        <v>0.22247685185185184</v>
      </c>
      <c r="L166" s="1" t="s">
        <v>8</v>
      </c>
      <c r="M166" s="1" t="s">
        <v>7</v>
      </c>
      <c r="N166" s="1">
        <v>2</v>
      </c>
      <c r="O166" s="1">
        <v>2</v>
      </c>
      <c r="P166" s="1">
        <v>90</v>
      </c>
      <c r="Q166" s="1">
        <v>90</v>
      </c>
      <c r="R166" s="2">
        <v>57.4</v>
      </c>
      <c r="S166" s="2">
        <v>57.4</v>
      </c>
      <c r="U166" s="1">
        <v>1</v>
      </c>
      <c r="X166" s="4" t="s">
        <v>640</v>
      </c>
    </row>
    <row r="167" spans="1:24" x14ac:dyDescent="0.2">
      <c r="A167" s="1">
        <v>1</v>
      </c>
      <c r="B167" s="1" t="s">
        <v>795</v>
      </c>
      <c r="C167" t="s">
        <v>773</v>
      </c>
      <c r="D167" s="1">
        <v>1</v>
      </c>
      <c r="E167" s="1" t="s">
        <v>499</v>
      </c>
      <c r="F167" s="4">
        <v>45418</v>
      </c>
      <c r="G167" s="3">
        <f>I167+K167</f>
        <v>0.78012731481481479</v>
      </c>
      <c r="H167" s="6">
        <f>J167+K167</f>
        <v>0.78592592592592592</v>
      </c>
      <c r="I167" s="3">
        <v>1.3078703703703703E-2</v>
      </c>
      <c r="J167" s="6">
        <v>1.8877314814814816E-2</v>
      </c>
      <c r="K167" s="3">
        <v>0.76704861111111111</v>
      </c>
      <c r="L167" s="1" t="s">
        <v>8</v>
      </c>
      <c r="M167" s="1" t="s">
        <v>8</v>
      </c>
      <c r="N167" s="1">
        <v>2</v>
      </c>
      <c r="O167" s="1">
        <v>2</v>
      </c>
      <c r="P167" s="1">
        <v>90</v>
      </c>
      <c r="Q167" s="1">
        <v>90</v>
      </c>
      <c r="R167" s="2">
        <v>57.4</v>
      </c>
      <c r="S167" s="2">
        <v>57.4</v>
      </c>
      <c r="U167" s="1">
        <v>0</v>
      </c>
      <c r="X167" s="4" t="s">
        <v>640</v>
      </c>
    </row>
    <row r="168" spans="1:24" x14ac:dyDescent="0.2">
      <c r="A168" s="1">
        <v>1</v>
      </c>
      <c r="B168" s="1" t="s">
        <v>795</v>
      </c>
      <c r="C168" t="s">
        <v>773</v>
      </c>
      <c r="D168" s="1" t="s">
        <v>21</v>
      </c>
      <c r="E168" s="1" t="s">
        <v>500</v>
      </c>
      <c r="F168" s="4">
        <v>45419</v>
      </c>
      <c r="G168" s="1" t="s">
        <v>21</v>
      </c>
      <c r="H168" s="6" t="s">
        <v>21</v>
      </c>
      <c r="I168" s="1" t="s">
        <v>21</v>
      </c>
      <c r="J168" s="1" t="s">
        <v>21</v>
      </c>
      <c r="K168" s="3">
        <v>0.22409722222222223</v>
      </c>
      <c r="L168" s="1" t="s">
        <v>8</v>
      </c>
      <c r="M168" s="1" t="s">
        <v>8</v>
      </c>
      <c r="N168" s="1">
        <v>2</v>
      </c>
      <c r="O168" s="1">
        <v>2</v>
      </c>
      <c r="P168" s="1">
        <v>90</v>
      </c>
      <c r="Q168" s="1">
        <v>90</v>
      </c>
      <c r="R168" s="2">
        <v>57.4</v>
      </c>
      <c r="S168" s="2">
        <v>57.4</v>
      </c>
      <c r="U168" s="1" t="s">
        <v>21</v>
      </c>
      <c r="V168" s="1" t="s">
        <v>540</v>
      </c>
      <c r="X168" s="4" t="s">
        <v>640</v>
      </c>
    </row>
    <row r="169" spans="1:24" x14ac:dyDescent="0.2">
      <c r="A169" s="1">
        <v>1</v>
      </c>
      <c r="B169" s="1" t="s">
        <v>795</v>
      </c>
      <c r="C169" t="s">
        <v>773</v>
      </c>
      <c r="D169" s="1">
        <v>1</v>
      </c>
      <c r="E169" s="1" t="s">
        <v>608</v>
      </c>
      <c r="F169" s="4">
        <v>45420</v>
      </c>
      <c r="G169" s="3">
        <f>I169+K169</f>
        <v>0.78739583333333329</v>
      </c>
      <c r="H169" s="6">
        <f>J169+K169</f>
        <v>0.78938657407407409</v>
      </c>
      <c r="I169" s="3">
        <v>2.9618055555555557E-2</v>
      </c>
      <c r="J169" s="6">
        <v>3.1608796296296295E-2</v>
      </c>
      <c r="K169" s="3">
        <v>0.75777777777777777</v>
      </c>
      <c r="L169" s="1" t="s">
        <v>8</v>
      </c>
      <c r="M169" s="1" t="s">
        <v>7</v>
      </c>
      <c r="N169" s="1">
        <v>2</v>
      </c>
      <c r="O169" s="1">
        <v>2</v>
      </c>
      <c r="P169" s="1">
        <v>90</v>
      </c>
      <c r="Q169" s="1">
        <v>90</v>
      </c>
      <c r="R169" s="2">
        <v>57.4</v>
      </c>
      <c r="S169" s="2">
        <v>57.4</v>
      </c>
      <c r="U169" s="1">
        <v>1</v>
      </c>
      <c r="V169" s="1" t="s">
        <v>610</v>
      </c>
      <c r="X169" s="4" t="s">
        <v>640</v>
      </c>
    </row>
    <row r="170" spans="1:24" x14ac:dyDescent="0.2">
      <c r="A170" s="1">
        <v>1</v>
      </c>
      <c r="B170" s="1" t="s">
        <v>795</v>
      </c>
      <c r="C170" t="s">
        <v>773</v>
      </c>
      <c r="D170" s="1">
        <v>1</v>
      </c>
      <c r="E170" s="1" t="s">
        <v>498</v>
      </c>
      <c r="F170" s="4">
        <v>45420</v>
      </c>
      <c r="G170" s="3">
        <f>I170+K170</f>
        <v>0.23935185185185184</v>
      </c>
      <c r="H170" s="6">
        <f>J170+K170</f>
        <v>0.2462847222222222</v>
      </c>
      <c r="I170" s="3">
        <v>1.462962962962963E-2</v>
      </c>
      <c r="J170" s="6">
        <v>2.1562499999999998E-2</v>
      </c>
      <c r="K170" s="3">
        <v>0.22472222222222221</v>
      </c>
      <c r="L170" s="1" t="s">
        <v>7</v>
      </c>
      <c r="M170" s="1" t="s">
        <v>7</v>
      </c>
      <c r="N170" s="1">
        <v>2</v>
      </c>
      <c r="O170" s="1">
        <v>1</v>
      </c>
      <c r="P170" s="1">
        <v>90</v>
      </c>
      <c r="Q170" s="1">
        <v>90</v>
      </c>
      <c r="R170" s="2">
        <v>57.4</v>
      </c>
      <c r="S170" s="2">
        <v>57.4</v>
      </c>
      <c r="U170" s="1">
        <v>1</v>
      </c>
      <c r="X170" s="4" t="s">
        <v>638</v>
      </c>
    </row>
    <row r="171" spans="1:24" x14ac:dyDescent="0.2">
      <c r="A171" s="1">
        <v>1</v>
      </c>
      <c r="B171" s="1" t="s">
        <v>795</v>
      </c>
      <c r="C171" t="s">
        <v>773</v>
      </c>
      <c r="D171" s="1">
        <v>1</v>
      </c>
      <c r="E171" s="1" t="s">
        <v>517</v>
      </c>
      <c r="F171" s="4">
        <v>45419</v>
      </c>
      <c r="G171" s="3">
        <f>I171+K171</f>
        <v>0.77978009259259262</v>
      </c>
      <c r="H171" s="6">
        <f>J171+K171</f>
        <v>0.79108796296296291</v>
      </c>
      <c r="I171" s="3">
        <v>1.3460648148148149E-2</v>
      </c>
      <c r="J171" s="6">
        <v>2.476851851851852E-2</v>
      </c>
      <c r="K171" s="3">
        <v>0.76631944444444444</v>
      </c>
      <c r="L171" s="1" t="s">
        <v>8</v>
      </c>
      <c r="M171" s="1" t="s">
        <v>7</v>
      </c>
      <c r="N171" s="1">
        <v>2</v>
      </c>
      <c r="P171" s="1">
        <v>90</v>
      </c>
      <c r="Q171" s="1">
        <v>90</v>
      </c>
      <c r="R171" s="2">
        <v>57.4</v>
      </c>
      <c r="S171" s="2">
        <v>19.2</v>
      </c>
      <c r="U171" s="1">
        <v>1</v>
      </c>
      <c r="V171" s="1" t="s">
        <v>679</v>
      </c>
      <c r="W171" s="2" t="s">
        <v>680</v>
      </c>
      <c r="X171" s="4" t="s">
        <v>640</v>
      </c>
    </row>
    <row r="172" spans="1:24" x14ac:dyDescent="0.2">
      <c r="A172" s="1">
        <v>1</v>
      </c>
      <c r="B172" s="1" t="s">
        <v>795</v>
      </c>
      <c r="C172" t="s">
        <v>773</v>
      </c>
      <c r="D172" s="1">
        <v>1</v>
      </c>
      <c r="E172" s="1" t="s">
        <v>501</v>
      </c>
      <c r="F172" s="4">
        <v>45421</v>
      </c>
      <c r="G172" s="3">
        <f>I172+K172</f>
        <v>0.23833333333333334</v>
      </c>
      <c r="H172" s="6">
        <f>J172+K172</f>
        <v>0.24347222222222223</v>
      </c>
      <c r="I172" s="3">
        <v>1.3761574074074074E-2</v>
      </c>
      <c r="J172" s="6">
        <v>1.8900462962962963E-2</v>
      </c>
      <c r="K172" s="3">
        <v>0.22457175925925926</v>
      </c>
      <c r="L172" s="1" t="s">
        <v>7</v>
      </c>
      <c r="M172" s="1" t="s">
        <v>7</v>
      </c>
      <c r="N172" s="1">
        <v>2</v>
      </c>
      <c r="O172" s="1">
        <v>2</v>
      </c>
      <c r="P172" s="1">
        <v>90</v>
      </c>
      <c r="Q172" s="1">
        <v>90</v>
      </c>
      <c r="R172" s="2">
        <v>19.2</v>
      </c>
      <c r="S172" s="2">
        <v>19.2</v>
      </c>
      <c r="U172" s="1">
        <v>1</v>
      </c>
      <c r="V172" s="1" t="s">
        <v>674</v>
      </c>
      <c r="X172" s="4" t="s">
        <v>640</v>
      </c>
    </row>
    <row r="173" spans="1:24" x14ac:dyDescent="0.2">
      <c r="A173" s="1">
        <v>1</v>
      </c>
      <c r="B173" s="1" t="s">
        <v>795</v>
      </c>
      <c r="C173" t="s">
        <v>773</v>
      </c>
      <c r="D173" s="1">
        <v>1</v>
      </c>
      <c r="E173" s="1" t="s">
        <v>614</v>
      </c>
      <c r="F173" s="4">
        <v>45421</v>
      </c>
      <c r="G173" s="3">
        <f>I173+K173</f>
        <v>0.78240740740740733</v>
      </c>
      <c r="H173" s="6">
        <f>J173+K173</f>
        <v>0.78520833333333329</v>
      </c>
      <c r="I173" s="3">
        <v>8.8888888888888889E-3</v>
      </c>
      <c r="J173" s="6">
        <v>1.1689814814814814E-2</v>
      </c>
      <c r="K173" s="3">
        <v>0.77351851851851849</v>
      </c>
      <c r="L173" s="1" t="s">
        <v>7</v>
      </c>
      <c r="M173" s="1" t="s">
        <v>7</v>
      </c>
      <c r="N173" s="1">
        <v>2</v>
      </c>
      <c r="O173" s="1">
        <v>2</v>
      </c>
      <c r="P173" s="1">
        <v>90</v>
      </c>
      <c r="Q173" s="1">
        <v>90</v>
      </c>
      <c r="R173" s="2">
        <v>19.2</v>
      </c>
      <c r="S173" s="2">
        <v>19.2</v>
      </c>
      <c r="U173" s="1">
        <v>1</v>
      </c>
      <c r="X173" s="4" t="s">
        <v>640</v>
      </c>
    </row>
    <row r="174" spans="1:24" x14ac:dyDescent="0.2">
      <c r="A174" s="1">
        <v>1</v>
      </c>
      <c r="B174" s="1" t="s">
        <v>795</v>
      </c>
      <c r="C174" t="s">
        <v>773</v>
      </c>
      <c r="D174" s="1">
        <v>1</v>
      </c>
      <c r="E174" s="1" t="s">
        <v>614</v>
      </c>
      <c r="F174" s="4">
        <v>45422</v>
      </c>
      <c r="G174" s="1" t="s">
        <v>21</v>
      </c>
      <c r="H174" s="6" t="s">
        <v>21</v>
      </c>
      <c r="I174" s="1" t="s">
        <v>21</v>
      </c>
      <c r="J174" s="1" t="s">
        <v>21</v>
      </c>
      <c r="K174" s="6">
        <v>0.22093750000000001</v>
      </c>
      <c r="L174" s="1" t="s">
        <v>7</v>
      </c>
      <c r="M174" s="1" t="s">
        <v>8</v>
      </c>
      <c r="N174" s="1">
        <v>2</v>
      </c>
      <c r="O174" s="1">
        <v>2</v>
      </c>
      <c r="P174" s="1">
        <v>90</v>
      </c>
      <c r="Q174" s="1">
        <v>90</v>
      </c>
      <c r="R174" s="2">
        <v>57.4</v>
      </c>
      <c r="S174" s="2">
        <v>57.4</v>
      </c>
      <c r="U174" s="1" t="s">
        <v>21</v>
      </c>
      <c r="X174" s="4" t="s">
        <v>640</v>
      </c>
    </row>
    <row r="175" spans="1:24" x14ac:dyDescent="0.2">
      <c r="A175" s="1">
        <v>1</v>
      </c>
      <c r="B175" s="1" t="s">
        <v>795</v>
      </c>
      <c r="C175" t="s">
        <v>773</v>
      </c>
      <c r="D175" s="1">
        <v>1</v>
      </c>
      <c r="E175" s="1" t="s">
        <v>620</v>
      </c>
      <c r="F175" s="4">
        <v>45422</v>
      </c>
      <c r="G175" s="3">
        <f>I175+K175</f>
        <v>0.78182870370370361</v>
      </c>
      <c r="H175" s="6" t="s">
        <v>21</v>
      </c>
      <c r="I175" s="3">
        <v>2.4363425925925927E-2</v>
      </c>
      <c r="K175" s="3">
        <v>0.75746527777777772</v>
      </c>
      <c r="L175" s="1" t="s">
        <v>7</v>
      </c>
      <c r="M175" s="1" t="s">
        <v>7</v>
      </c>
      <c r="N175" s="1">
        <v>2</v>
      </c>
      <c r="O175" s="1">
        <v>2</v>
      </c>
      <c r="P175" s="1">
        <v>90</v>
      </c>
      <c r="Q175" s="1">
        <v>90</v>
      </c>
      <c r="R175" s="2">
        <v>57.4</v>
      </c>
      <c r="S175" s="2">
        <v>57.4</v>
      </c>
      <c r="U175" s="1" t="s">
        <v>21</v>
      </c>
      <c r="V175" s="1" t="s">
        <v>188</v>
      </c>
      <c r="X175" s="4" t="s">
        <v>640</v>
      </c>
    </row>
    <row r="176" spans="1:24" x14ac:dyDescent="0.2">
      <c r="A176" s="1">
        <v>1</v>
      </c>
      <c r="B176" s="1" t="s">
        <v>795</v>
      </c>
      <c r="C176" t="s">
        <v>773</v>
      </c>
      <c r="D176" s="1">
        <v>1</v>
      </c>
      <c r="E176" s="1" t="s">
        <v>621</v>
      </c>
      <c r="F176" s="4">
        <v>45423</v>
      </c>
      <c r="G176" s="3">
        <f>I176+K176</f>
        <v>0.23296296296296296</v>
      </c>
      <c r="H176" s="6">
        <f>J176+K176</f>
        <v>0.23802083333333335</v>
      </c>
      <c r="I176" s="3">
        <v>1.1886574074074074E-2</v>
      </c>
      <c r="J176" s="6">
        <v>1.6944444444444446E-2</v>
      </c>
      <c r="K176" s="3">
        <v>0.22107638888888889</v>
      </c>
      <c r="L176" s="1" t="s">
        <v>7</v>
      </c>
      <c r="M176" s="1" t="s">
        <v>7</v>
      </c>
      <c r="N176" s="1">
        <v>2</v>
      </c>
      <c r="O176" s="1">
        <v>2</v>
      </c>
      <c r="P176" s="1">
        <v>90</v>
      </c>
      <c r="Q176" s="1">
        <v>90</v>
      </c>
      <c r="R176" s="2">
        <v>19.2</v>
      </c>
      <c r="S176" s="2">
        <v>19.2</v>
      </c>
      <c r="U176" s="1">
        <v>0</v>
      </c>
      <c r="V176" s="1" t="s">
        <v>622</v>
      </c>
      <c r="X176" s="4" t="s">
        <v>640</v>
      </c>
    </row>
    <row r="177" spans="1:24" x14ac:dyDescent="0.2">
      <c r="A177" s="1">
        <v>1</v>
      </c>
      <c r="B177" s="1" t="s">
        <v>795</v>
      </c>
      <c r="C177" t="s">
        <v>773</v>
      </c>
      <c r="D177" s="1">
        <v>1</v>
      </c>
      <c r="E177" s="1" t="s">
        <v>673</v>
      </c>
      <c r="F177" s="4">
        <v>45424</v>
      </c>
      <c r="G177" s="3">
        <f>I177+K177</f>
        <v>0.22714120370370369</v>
      </c>
      <c r="H177" s="6">
        <f>J177+K177</f>
        <v>0.24171296296296296</v>
      </c>
      <c r="I177" s="3">
        <v>8.0902777777777778E-3</v>
      </c>
      <c r="J177" s="6">
        <v>2.2662037037037036E-2</v>
      </c>
      <c r="K177" s="3">
        <v>0.21905092592592593</v>
      </c>
      <c r="L177" s="1" t="s">
        <v>8</v>
      </c>
      <c r="M177" s="1" t="s">
        <v>8</v>
      </c>
      <c r="N177" s="1">
        <v>2</v>
      </c>
      <c r="O177" s="1">
        <v>2</v>
      </c>
      <c r="P177" s="1">
        <v>90</v>
      </c>
      <c r="Q177" s="1">
        <v>90</v>
      </c>
      <c r="R177" s="2">
        <v>57.4</v>
      </c>
      <c r="S177" s="2">
        <v>57.4</v>
      </c>
      <c r="U177" s="1">
        <v>1</v>
      </c>
      <c r="X177" s="4" t="s">
        <v>640</v>
      </c>
    </row>
    <row r="178" spans="1:24" x14ac:dyDescent="0.2">
      <c r="A178" s="1">
        <v>1</v>
      </c>
      <c r="B178" s="1" t="s">
        <v>795</v>
      </c>
      <c r="C178" t="s">
        <v>773</v>
      </c>
      <c r="D178" s="1">
        <v>1</v>
      </c>
      <c r="E178" s="1" t="s">
        <v>631</v>
      </c>
      <c r="F178" s="4">
        <v>45424</v>
      </c>
      <c r="G178" s="3">
        <f>I178+K178</f>
        <v>0.77733796296296298</v>
      </c>
      <c r="H178" s="6">
        <f>J178+K178</f>
        <v>0.79142361111111104</v>
      </c>
      <c r="I178" s="3">
        <v>1.375E-2</v>
      </c>
      <c r="J178" s="6">
        <v>2.7835648148148148E-2</v>
      </c>
      <c r="K178" s="3">
        <v>0.76358796296296294</v>
      </c>
      <c r="L178" s="1" t="s">
        <v>8</v>
      </c>
      <c r="M178" s="1" t="s">
        <v>7</v>
      </c>
      <c r="N178" s="1">
        <v>2</v>
      </c>
      <c r="O178" s="1">
        <v>2</v>
      </c>
      <c r="P178" s="1">
        <v>90</v>
      </c>
      <c r="Q178" s="1">
        <v>90</v>
      </c>
      <c r="R178" s="2">
        <v>57.4</v>
      </c>
      <c r="S178" s="2">
        <v>19.2</v>
      </c>
      <c r="U178" s="1">
        <v>0</v>
      </c>
      <c r="V178" s="1" t="s">
        <v>632</v>
      </c>
      <c r="X178" s="4" t="s">
        <v>640</v>
      </c>
    </row>
    <row r="179" spans="1:24" x14ac:dyDescent="0.2">
      <c r="A179" s="1">
        <v>1</v>
      </c>
      <c r="B179" s="1" t="s">
        <v>795</v>
      </c>
      <c r="C179" t="s">
        <v>773</v>
      </c>
      <c r="D179" s="1">
        <v>1</v>
      </c>
      <c r="E179" s="1" t="s">
        <v>635</v>
      </c>
      <c r="F179" s="4">
        <v>45425</v>
      </c>
      <c r="G179" s="3">
        <f>I179+K179</f>
        <v>0.22273148148148147</v>
      </c>
      <c r="H179" s="6">
        <f>J179+K179</f>
        <v>0.24053240740740739</v>
      </c>
      <c r="I179" s="3">
        <v>7.0254629629629634E-3</v>
      </c>
      <c r="J179" s="6">
        <v>2.4826388888888887E-2</v>
      </c>
      <c r="K179" s="3">
        <v>0.21570601851851851</v>
      </c>
      <c r="L179" s="1" t="s">
        <v>7</v>
      </c>
      <c r="M179" s="1" t="s">
        <v>8</v>
      </c>
      <c r="N179" s="1">
        <v>2</v>
      </c>
      <c r="O179" s="1">
        <v>2</v>
      </c>
      <c r="P179" s="1">
        <v>90</v>
      </c>
      <c r="Q179" s="1">
        <v>90</v>
      </c>
      <c r="R179" s="2">
        <v>57.4</v>
      </c>
      <c r="S179" s="2">
        <v>57.4</v>
      </c>
      <c r="U179" s="1">
        <v>1</v>
      </c>
      <c r="X179" s="4" t="s">
        <v>640</v>
      </c>
    </row>
    <row r="180" spans="1:24" x14ac:dyDescent="0.2">
      <c r="A180" s="1">
        <v>1</v>
      </c>
      <c r="B180" s="1" t="s">
        <v>795</v>
      </c>
      <c r="C180" t="s">
        <v>773</v>
      </c>
      <c r="D180" s="1">
        <v>1</v>
      </c>
      <c r="E180" s="1" t="s">
        <v>641</v>
      </c>
      <c r="F180" s="4">
        <v>45425</v>
      </c>
      <c r="G180" s="3">
        <f>I180+K180</f>
        <v>0.77937500000000004</v>
      </c>
      <c r="H180" s="6">
        <f>J180+K180</f>
        <v>0.78479166666666667</v>
      </c>
      <c r="I180" s="3">
        <v>1.324074074074074E-2</v>
      </c>
      <c r="J180" s="6">
        <v>1.8657407407407407E-2</v>
      </c>
      <c r="K180" s="3">
        <v>0.76613425925925926</v>
      </c>
      <c r="L180" s="1" t="s">
        <v>8</v>
      </c>
      <c r="M180" s="1" t="s">
        <v>7</v>
      </c>
      <c r="N180" s="1">
        <v>2</v>
      </c>
      <c r="O180" s="1">
        <v>2</v>
      </c>
      <c r="P180" s="1">
        <v>90</v>
      </c>
      <c r="Q180" s="1">
        <v>90</v>
      </c>
      <c r="R180" s="2">
        <v>57.4</v>
      </c>
      <c r="S180" s="2">
        <v>19.2</v>
      </c>
      <c r="U180" s="1">
        <v>1</v>
      </c>
      <c r="X180" s="23" t="s">
        <v>640</v>
      </c>
    </row>
    <row r="181" spans="1:24" x14ac:dyDescent="0.2">
      <c r="A181" s="1">
        <v>1</v>
      </c>
      <c r="B181" s="1" t="s">
        <v>795</v>
      </c>
      <c r="C181" t="s">
        <v>773</v>
      </c>
      <c r="D181" s="1">
        <v>1</v>
      </c>
      <c r="E181" s="1" t="s">
        <v>644</v>
      </c>
      <c r="F181" s="4">
        <v>45426</v>
      </c>
      <c r="G181" s="1" t="s">
        <v>21</v>
      </c>
      <c r="H181" s="6">
        <f>J181+K181</f>
        <v>0.24432870370370371</v>
      </c>
      <c r="I181" s="1" t="s">
        <v>21</v>
      </c>
      <c r="J181" s="3">
        <v>2.3171296296296297E-2</v>
      </c>
      <c r="K181" s="3">
        <v>0.22115740740740741</v>
      </c>
      <c r="L181" s="1" t="s">
        <v>7</v>
      </c>
      <c r="M181" s="1" t="s">
        <v>8</v>
      </c>
      <c r="N181" s="1">
        <v>2</v>
      </c>
      <c r="O181" s="1">
        <v>2</v>
      </c>
      <c r="P181" s="1">
        <v>90</v>
      </c>
      <c r="Q181" s="1">
        <v>90</v>
      </c>
      <c r="R181" s="2">
        <v>57.4</v>
      </c>
      <c r="S181" s="2">
        <v>57.4</v>
      </c>
      <c r="U181" s="1">
        <v>1</v>
      </c>
      <c r="V181" s="1" t="s">
        <v>480</v>
      </c>
      <c r="X181" s="23" t="s">
        <v>640</v>
      </c>
    </row>
    <row r="182" spans="1:24" x14ac:dyDescent="0.2">
      <c r="A182" s="1">
        <v>1</v>
      </c>
      <c r="B182" s="1" t="s">
        <v>795</v>
      </c>
      <c r="C182" t="s">
        <v>773</v>
      </c>
      <c r="D182" s="1">
        <v>2</v>
      </c>
      <c r="E182" s="1" t="s">
        <v>644</v>
      </c>
      <c r="F182" s="4">
        <v>45426</v>
      </c>
      <c r="G182" s="3">
        <f>I182+K182</f>
        <v>0.24572916666666667</v>
      </c>
      <c r="H182" s="6">
        <f>J182+K182</f>
        <v>0.24689814814814814</v>
      </c>
      <c r="I182" s="3">
        <v>2.4571759259259258E-2</v>
      </c>
      <c r="J182" s="6">
        <v>2.5740740740740741E-2</v>
      </c>
      <c r="K182" s="3">
        <v>0.22115740740740741</v>
      </c>
      <c r="L182" s="1" t="s">
        <v>8</v>
      </c>
      <c r="M182" s="1" t="s">
        <v>8</v>
      </c>
      <c r="N182" s="1">
        <v>2</v>
      </c>
      <c r="O182" s="1">
        <v>2</v>
      </c>
      <c r="P182" s="1">
        <v>90</v>
      </c>
      <c r="Q182" s="1">
        <v>90</v>
      </c>
      <c r="R182" s="2">
        <v>57.4</v>
      </c>
      <c r="S182" s="2">
        <v>57.4</v>
      </c>
      <c r="U182" s="1">
        <v>1</v>
      </c>
      <c r="X182" s="23" t="s">
        <v>640</v>
      </c>
    </row>
    <row r="183" spans="1:24" x14ac:dyDescent="0.2">
      <c r="A183" s="1">
        <v>1</v>
      </c>
      <c r="B183" s="1" t="s">
        <v>795</v>
      </c>
      <c r="C183" t="s">
        <v>773</v>
      </c>
      <c r="D183" s="1">
        <v>1</v>
      </c>
      <c r="E183" s="1" t="s">
        <v>648</v>
      </c>
      <c r="F183" s="4">
        <v>45426</v>
      </c>
      <c r="G183" s="1" t="s">
        <v>21</v>
      </c>
      <c r="H183" s="6" t="s">
        <v>21</v>
      </c>
      <c r="I183" s="3">
        <v>1.6435185185185185E-3</v>
      </c>
      <c r="J183" s="6" t="s">
        <v>21</v>
      </c>
      <c r="K183" s="3">
        <v>0.76687499999999997</v>
      </c>
      <c r="L183" s="1" t="s">
        <v>8</v>
      </c>
      <c r="M183" s="1" t="s">
        <v>8</v>
      </c>
      <c r="N183" s="1">
        <v>2</v>
      </c>
      <c r="O183" s="1">
        <v>2</v>
      </c>
      <c r="P183" s="1">
        <v>90</v>
      </c>
      <c r="Q183" s="1">
        <v>90</v>
      </c>
      <c r="R183" s="2">
        <v>57.4</v>
      </c>
      <c r="S183" s="2">
        <v>57.4</v>
      </c>
      <c r="U183" s="1" t="s">
        <v>21</v>
      </c>
      <c r="V183" s="1" t="s">
        <v>649</v>
      </c>
      <c r="X183" s="23" t="s">
        <v>640</v>
      </c>
    </row>
    <row r="184" spans="1:24" x14ac:dyDescent="0.2">
      <c r="A184" s="1">
        <v>1</v>
      </c>
      <c r="B184" s="1" t="s">
        <v>795</v>
      </c>
      <c r="C184" t="s">
        <v>773</v>
      </c>
      <c r="D184" s="1">
        <v>1</v>
      </c>
      <c r="E184" s="1" t="s">
        <v>652</v>
      </c>
      <c r="F184" s="4">
        <v>45427</v>
      </c>
      <c r="G184" s="3">
        <f>I184+K184</f>
        <v>0.21715277777777778</v>
      </c>
      <c r="H184" s="6">
        <f>J184+K184</f>
        <v>0.2421527777777778</v>
      </c>
      <c r="I184" s="3">
        <v>1.3541666666666667E-3</v>
      </c>
      <c r="J184" s="6">
        <v>2.6354166666666668E-2</v>
      </c>
      <c r="K184" s="3">
        <v>0.21579861111111112</v>
      </c>
      <c r="L184" s="1" t="s">
        <v>8</v>
      </c>
      <c r="M184" s="1" t="s">
        <v>7</v>
      </c>
      <c r="N184" s="1">
        <v>2</v>
      </c>
      <c r="O184" s="1">
        <v>2</v>
      </c>
      <c r="P184" s="1">
        <v>90</v>
      </c>
      <c r="Q184" s="1">
        <v>90</v>
      </c>
      <c r="R184" s="2">
        <v>57.4</v>
      </c>
      <c r="S184" s="2">
        <v>28.8</v>
      </c>
      <c r="U184" s="1">
        <v>1</v>
      </c>
      <c r="X184" s="23" t="s">
        <v>640</v>
      </c>
    </row>
    <row r="185" spans="1:24" x14ac:dyDescent="0.2">
      <c r="A185" s="1">
        <v>1</v>
      </c>
      <c r="B185" s="1" t="s">
        <v>795</v>
      </c>
      <c r="C185" t="s">
        <v>773</v>
      </c>
      <c r="D185" s="1">
        <v>2</v>
      </c>
      <c r="E185" s="1" t="s">
        <v>652</v>
      </c>
      <c r="F185" s="4">
        <v>45427</v>
      </c>
      <c r="G185" s="3">
        <f>I185+K185</f>
        <v>0.24362268518518521</v>
      </c>
      <c r="H185" s="6">
        <f>J185+K185</f>
        <v>0.24755787037037039</v>
      </c>
      <c r="I185" s="3">
        <v>2.7824074074074074E-2</v>
      </c>
      <c r="J185" s="6">
        <v>3.1759259259259258E-2</v>
      </c>
      <c r="K185" s="3">
        <v>0.21579861111111112</v>
      </c>
      <c r="L185" s="1" t="s">
        <v>7</v>
      </c>
      <c r="M185" s="1" t="s">
        <v>7</v>
      </c>
      <c r="N185" s="1">
        <v>2</v>
      </c>
      <c r="O185" s="1">
        <v>2</v>
      </c>
      <c r="P185" s="1">
        <v>90</v>
      </c>
      <c r="Q185" s="1">
        <v>90</v>
      </c>
      <c r="R185" s="2">
        <v>28.8</v>
      </c>
      <c r="S185" s="2">
        <v>28.8</v>
      </c>
      <c r="U185" s="1">
        <v>1</v>
      </c>
      <c r="X185" s="23" t="s">
        <v>640</v>
      </c>
    </row>
    <row r="186" spans="1:24" x14ac:dyDescent="0.2">
      <c r="A186" s="1">
        <v>1</v>
      </c>
      <c r="B186" s="1" t="s">
        <v>795</v>
      </c>
      <c r="C186" t="s">
        <v>773</v>
      </c>
      <c r="D186" s="1">
        <v>1</v>
      </c>
      <c r="E186" s="1" t="s">
        <v>664</v>
      </c>
      <c r="F186" s="4">
        <v>45427</v>
      </c>
      <c r="G186" s="3">
        <f>I186+K186</f>
        <v>0.77892361111111119</v>
      </c>
      <c r="H186" s="6">
        <f>J186+K186</f>
        <v>0.7894444444444445</v>
      </c>
      <c r="I186" s="3">
        <v>2.1631944444444443E-2</v>
      </c>
      <c r="J186" s="6">
        <v>3.215277777777778E-2</v>
      </c>
      <c r="K186" s="3">
        <v>0.7572916666666667</v>
      </c>
      <c r="L186" s="1" t="s">
        <v>7</v>
      </c>
      <c r="M186" s="1" t="s">
        <v>8</v>
      </c>
      <c r="N186" s="1">
        <v>2</v>
      </c>
      <c r="O186" s="1">
        <v>2</v>
      </c>
      <c r="P186" s="1">
        <v>90</v>
      </c>
      <c r="Q186" s="1">
        <v>90</v>
      </c>
      <c r="R186" s="2">
        <v>57.4</v>
      </c>
      <c r="S186" s="2">
        <v>57.4</v>
      </c>
      <c r="U186" s="1">
        <v>0</v>
      </c>
      <c r="V186" s="1" t="s">
        <v>668</v>
      </c>
      <c r="X186" s="29" t="s">
        <v>638</v>
      </c>
    </row>
    <row r="187" spans="1:24" x14ac:dyDescent="0.2">
      <c r="A187" s="1">
        <v>1</v>
      </c>
      <c r="B187" s="1" t="s">
        <v>795</v>
      </c>
      <c r="C187" t="s">
        <v>773</v>
      </c>
      <c r="D187" s="1">
        <v>2</v>
      </c>
      <c r="E187" s="1" t="s">
        <v>664</v>
      </c>
      <c r="F187" s="4">
        <v>45427</v>
      </c>
      <c r="G187" s="3">
        <f>I187+K187</f>
        <v>0.78030092592592593</v>
      </c>
      <c r="H187" s="6" t="s">
        <v>21</v>
      </c>
      <c r="I187" s="3">
        <v>2.3009259259259261E-2</v>
      </c>
      <c r="J187" s="6" t="s">
        <v>21</v>
      </c>
      <c r="K187" s="3">
        <v>0.7572916666666667</v>
      </c>
      <c r="L187" s="1" t="s">
        <v>7</v>
      </c>
      <c r="M187" s="1" t="s">
        <v>8</v>
      </c>
      <c r="N187" s="1">
        <v>2</v>
      </c>
      <c r="O187" s="1">
        <v>2</v>
      </c>
      <c r="P187" s="1">
        <v>90</v>
      </c>
      <c r="Q187" s="1">
        <v>90</v>
      </c>
      <c r="R187" s="2">
        <v>57.4</v>
      </c>
      <c r="S187" s="2">
        <v>57.4</v>
      </c>
      <c r="U187" s="1" t="s">
        <v>21</v>
      </c>
      <c r="X187" s="29" t="s">
        <v>638</v>
      </c>
    </row>
    <row r="188" spans="1:24" x14ac:dyDescent="0.2">
      <c r="A188" s="15">
        <v>1</v>
      </c>
      <c r="B188" s="1" t="s">
        <v>795</v>
      </c>
      <c r="C188" t="s">
        <v>773</v>
      </c>
      <c r="D188" s="15">
        <v>1</v>
      </c>
      <c r="E188" s="1" t="s">
        <v>666</v>
      </c>
      <c r="F188" s="4">
        <v>45428</v>
      </c>
      <c r="G188" s="1" t="s">
        <v>21</v>
      </c>
      <c r="H188" s="6">
        <f>J188+K188</f>
        <v>0.23916666666666664</v>
      </c>
      <c r="I188" s="1" t="s">
        <v>21</v>
      </c>
      <c r="J188" s="6">
        <v>1.8368055555555554E-2</v>
      </c>
      <c r="K188" s="3">
        <v>0.2207986111111111</v>
      </c>
      <c r="L188" s="1" t="s">
        <v>8</v>
      </c>
      <c r="M188" s="1" t="s">
        <v>8</v>
      </c>
      <c r="N188" s="1">
        <v>2</v>
      </c>
      <c r="O188" s="1">
        <v>2</v>
      </c>
      <c r="P188" s="1">
        <v>90</v>
      </c>
      <c r="Q188" s="1">
        <v>90</v>
      </c>
      <c r="R188" s="2">
        <v>57.4</v>
      </c>
      <c r="S188" s="2">
        <v>28.8</v>
      </c>
      <c r="U188" s="1">
        <v>0</v>
      </c>
      <c r="X188" s="29" t="s">
        <v>638</v>
      </c>
    </row>
    <row r="189" spans="1:24" x14ac:dyDescent="0.2">
      <c r="A189" s="15">
        <v>1</v>
      </c>
      <c r="B189" s="1" t="s">
        <v>795</v>
      </c>
      <c r="C189" t="s">
        <v>773</v>
      </c>
      <c r="D189" s="15">
        <v>2</v>
      </c>
      <c r="E189" s="1" t="s">
        <v>666</v>
      </c>
      <c r="F189" s="4">
        <v>45428</v>
      </c>
      <c r="G189" s="1" t="s">
        <v>21</v>
      </c>
      <c r="H189" s="6">
        <f>J189+K189</f>
        <v>0.23951388888888889</v>
      </c>
      <c r="I189" s="1" t="s">
        <v>21</v>
      </c>
      <c r="J189" s="6">
        <v>1.8715277777777779E-2</v>
      </c>
      <c r="K189" s="3">
        <v>0.2207986111111111</v>
      </c>
      <c r="L189" s="1" t="s">
        <v>8</v>
      </c>
      <c r="M189" s="1" t="s">
        <v>8</v>
      </c>
      <c r="N189" s="1">
        <v>2</v>
      </c>
      <c r="O189" s="1">
        <v>2</v>
      </c>
      <c r="P189" s="1">
        <v>90</v>
      </c>
      <c r="Q189" s="1">
        <v>90</v>
      </c>
      <c r="R189" s="2">
        <v>57.4</v>
      </c>
      <c r="S189" s="2">
        <v>28.8</v>
      </c>
      <c r="U189" s="1">
        <v>1</v>
      </c>
      <c r="X189" s="29" t="s">
        <v>638</v>
      </c>
    </row>
    <row r="190" spans="1:24" x14ac:dyDescent="0.2">
      <c r="A190" s="15">
        <v>1</v>
      </c>
      <c r="B190" s="1" t="s">
        <v>795</v>
      </c>
      <c r="C190" t="s">
        <v>773</v>
      </c>
      <c r="D190" s="1">
        <v>3</v>
      </c>
      <c r="E190" s="1" t="s">
        <v>666</v>
      </c>
      <c r="F190" s="4">
        <v>45428</v>
      </c>
      <c r="G190" s="3">
        <f>I190+K190</f>
        <v>0.23943287037037037</v>
      </c>
      <c r="H190" s="6">
        <f>J190+K190</f>
        <v>0.26446759259259256</v>
      </c>
      <c r="I190" s="3">
        <v>1.863425925925926E-2</v>
      </c>
      <c r="J190" s="6">
        <v>4.3668981481481482E-2</v>
      </c>
      <c r="K190" s="3">
        <v>0.2207986111111111</v>
      </c>
      <c r="L190" s="1" t="s">
        <v>8</v>
      </c>
      <c r="M190" s="1" t="s">
        <v>8</v>
      </c>
      <c r="N190" s="1">
        <v>2</v>
      </c>
      <c r="O190" s="1">
        <v>2</v>
      </c>
      <c r="P190" s="1">
        <v>90</v>
      </c>
      <c r="Q190" s="1">
        <v>90</v>
      </c>
      <c r="R190" s="2">
        <v>28.8</v>
      </c>
      <c r="S190" s="2">
        <v>57.4</v>
      </c>
      <c r="U190" s="1">
        <v>0</v>
      </c>
      <c r="V190" s="1" t="s">
        <v>667</v>
      </c>
      <c r="X190" s="29" t="s">
        <v>638</v>
      </c>
    </row>
    <row r="191" spans="1:24" x14ac:dyDescent="0.2">
      <c r="A191" s="15">
        <v>1</v>
      </c>
      <c r="B191" s="1" t="s">
        <v>795</v>
      </c>
      <c r="C191" t="s">
        <v>773</v>
      </c>
      <c r="D191" s="15">
        <v>1</v>
      </c>
      <c r="E191" s="1" t="s">
        <v>675</v>
      </c>
      <c r="F191" s="4">
        <v>45428</v>
      </c>
      <c r="G191" s="3">
        <f>I191+K191</f>
        <v>0.77493055555555557</v>
      </c>
      <c r="H191" s="6">
        <f>J191+K191</f>
        <v>0.78464120370370372</v>
      </c>
      <c r="I191" s="3">
        <v>1.9178240740740742E-2</v>
      </c>
      <c r="J191" s="6">
        <v>2.8888888888888888E-2</v>
      </c>
      <c r="K191" s="3">
        <v>0.75575231481481486</v>
      </c>
      <c r="L191" s="1" t="s">
        <v>8</v>
      </c>
      <c r="M191" s="1" t="s">
        <v>7</v>
      </c>
      <c r="N191" s="1">
        <v>2</v>
      </c>
      <c r="O191" s="1">
        <v>2</v>
      </c>
      <c r="P191" s="1">
        <v>90</v>
      </c>
      <c r="Q191" s="1">
        <v>90</v>
      </c>
      <c r="R191" s="2">
        <v>57.4</v>
      </c>
      <c r="S191" s="2">
        <v>57.4</v>
      </c>
      <c r="U191" s="1">
        <v>1</v>
      </c>
      <c r="X191" s="29" t="s">
        <v>638</v>
      </c>
    </row>
    <row r="192" spans="1:24" x14ac:dyDescent="0.2">
      <c r="A192" s="15">
        <v>1</v>
      </c>
      <c r="B192" s="1" t="s">
        <v>795</v>
      </c>
      <c r="C192" t="s">
        <v>773</v>
      </c>
      <c r="D192" s="1">
        <v>2</v>
      </c>
      <c r="E192" s="1" t="s">
        <v>675</v>
      </c>
      <c r="F192" s="4">
        <v>45428</v>
      </c>
      <c r="G192" s="3">
        <f>I192+K192</f>
        <v>0.77842592592592597</v>
      </c>
      <c r="H192" s="6">
        <f>J192+K192</f>
        <v>0.78565972222222225</v>
      </c>
      <c r="I192" s="3">
        <v>2.267361111111111E-2</v>
      </c>
      <c r="J192" s="6">
        <v>2.9907407407407407E-2</v>
      </c>
      <c r="K192" s="3">
        <v>0.75575231481481486</v>
      </c>
      <c r="L192" s="1" t="s">
        <v>8</v>
      </c>
      <c r="M192" s="1" t="s">
        <v>7</v>
      </c>
      <c r="N192" s="1">
        <v>2</v>
      </c>
      <c r="O192" s="1">
        <v>2</v>
      </c>
      <c r="P192" s="1">
        <v>90</v>
      </c>
      <c r="Q192" s="1">
        <v>90</v>
      </c>
      <c r="R192" s="2">
        <v>57.4</v>
      </c>
      <c r="S192" s="2">
        <v>57.4</v>
      </c>
      <c r="U192" s="1">
        <v>0</v>
      </c>
      <c r="V192" s="1" t="s">
        <v>676</v>
      </c>
      <c r="W192" s="2" t="s">
        <v>665</v>
      </c>
      <c r="X192" s="29" t="s">
        <v>638</v>
      </c>
    </row>
    <row r="193" spans="1:24" x14ac:dyDescent="0.2">
      <c r="A193" s="15">
        <v>1</v>
      </c>
      <c r="B193" s="1" t="s">
        <v>795</v>
      </c>
      <c r="C193" t="s">
        <v>773</v>
      </c>
      <c r="D193" s="15">
        <v>1</v>
      </c>
      <c r="E193" s="1" t="s">
        <v>677</v>
      </c>
      <c r="F193" s="4">
        <v>45429</v>
      </c>
      <c r="G193" s="1" t="s">
        <v>21</v>
      </c>
      <c r="H193" s="6">
        <f>J193+K193</f>
        <v>0.24296296296296296</v>
      </c>
      <c r="I193" s="1" t="s">
        <v>21</v>
      </c>
      <c r="J193" s="6">
        <v>2.4282407407407409E-2</v>
      </c>
      <c r="K193" s="3">
        <v>0.21868055555555554</v>
      </c>
      <c r="L193" s="1" t="s">
        <v>7</v>
      </c>
      <c r="M193" s="1" t="s">
        <v>7</v>
      </c>
      <c r="N193" s="1">
        <v>2</v>
      </c>
      <c r="O193" s="1">
        <v>2</v>
      </c>
      <c r="P193" s="1">
        <v>90</v>
      </c>
      <c r="Q193" s="1">
        <v>90</v>
      </c>
      <c r="R193" s="2">
        <v>57.4</v>
      </c>
      <c r="S193" s="2">
        <v>28.8</v>
      </c>
      <c r="U193" s="1">
        <v>1</v>
      </c>
      <c r="X193" s="29" t="s">
        <v>638</v>
      </c>
    </row>
    <row r="194" spans="1:24" x14ac:dyDescent="0.2">
      <c r="A194" s="15">
        <v>1</v>
      </c>
      <c r="B194" s="1" t="s">
        <v>795</v>
      </c>
      <c r="C194" t="s">
        <v>773</v>
      </c>
      <c r="D194" s="1">
        <v>2</v>
      </c>
      <c r="E194" s="1" t="s">
        <v>677</v>
      </c>
      <c r="F194" s="4">
        <v>45429</v>
      </c>
      <c r="G194" s="3">
        <f>I194+K194</f>
        <v>0.22960648148148147</v>
      </c>
      <c r="H194" s="6">
        <f>J194+K194</f>
        <v>0.24686342592592592</v>
      </c>
      <c r="I194" s="3">
        <v>1.0925925925925926E-2</v>
      </c>
      <c r="J194" s="6">
        <v>2.8182870370370372E-2</v>
      </c>
      <c r="K194" s="3">
        <v>0.21868055555555554</v>
      </c>
      <c r="L194" s="1" t="s">
        <v>7</v>
      </c>
      <c r="M194" s="1" t="s">
        <v>7</v>
      </c>
      <c r="N194" s="1">
        <v>2</v>
      </c>
      <c r="O194" s="1">
        <v>2</v>
      </c>
      <c r="P194" s="1">
        <v>90</v>
      </c>
      <c r="Q194" s="1">
        <v>90</v>
      </c>
      <c r="R194" s="2">
        <v>57.4</v>
      </c>
      <c r="S194" s="2">
        <v>28.8</v>
      </c>
      <c r="U194" s="1">
        <v>1</v>
      </c>
      <c r="V194" s="1" t="s">
        <v>678</v>
      </c>
      <c r="X194" s="29" t="s">
        <v>638</v>
      </c>
    </row>
    <row r="195" spans="1:24" x14ac:dyDescent="0.2">
      <c r="A195" s="15">
        <v>1</v>
      </c>
      <c r="B195" s="1" t="s">
        <v>795</v>
      </c>
      <c r="C195" t="s">
        <v>773</v>
      </c>
      <c r="D195" s="15">
        <v>1</v>
      </c>
      <c r="E195" s="1" t="s">
        <v>681</v>
      </c>
      <c r="F195" s="4">
        <v>45429</v>
      </c>
      <c r="G195" s="3">
        <f>I195+K195</f>
        <v>0.77342592592592596</v>
      </c>
      <c r="H195" s="6">
        <f>J195+K195</f>
        <v>0.77601851851851855</v>
      </c>
      <c r="I195" s="3">
        <v>1.2800925925925926E-2</v>
      </c>
      <c r="J195" s="6">
        <v>1.5393518518518518E-2</v>
      </c>
      <c r="K195" s="3">
        <v>0.760625</v>
      </c>
      <c r="L195" s="1" t="s">
        <v>7</v>
      </c>
      <c r="M195" s="1" t="s">
        <v>7</v>
      </c>
      <c r="N195" s="1">
        <v>2</v>
      </c>
      <c r="O195" s="1">
        <v>2</v>
      </c>
      <c r="P195" s="1">
        <v>90</v>
      </c>
      <c r="Q195" s="1">
        <v>90</v>
      </c>
      <c r="R195" s="2">
        <v>28.8</v>
      </c>
      <c r="S195" s="2">
        <v>28.8</v>
      </c>
      <c r="U195" s="1">
        <v>1</v>
      </c>
      <c r="X195" s="29" t="s">
        <v>638</v>
      </c>
    </row>
    <row r="196" spans="1:24" x14ac:dyDescent="0.2">
      <c r="A196" s="15">
        <v>1</v>
      </c>
      <c r="B196" s="1" t="s">
        <v>795</v>
      </c>
      <c r="C196" t="s">
        <v>773</v>
      </c>
      <c r="D196" s="15">
        <v>1</v>
      </c>
      <c r="E196" s="1" t="s">
        <v>685</v>
      </c>
      <c r="F196" s="4">
        <v>45430</v>
      </c>
      <c r="H196" s="6">
        <f>J196+K196</f>
        <v>0.22422453703703704</v>
      </c>
      <c r="J196" s="6">
        <v>2.6041666666666665E-3</v>
      </c>
      <c r="K196" s="3">
        <v>0.22162037037037038</v>
      </c>
      <c r="L196" s="1" t="s">
        <v>8</v>
      </c>
      <c r="M196" s="1" t="s">
        <v>8</v>
      </c>
      <c r="N196" s="1">
        <v>2</v>
      </c>
      <c r="O196" s="1">
        <v>2</v>
      </c>
      <c r="P196" s="1">
        <v>90</v>
      </c>
      <c r="Q196" s="1">
        <v>90</v>
      </c>
      <c r="R196" s="2">
        <v>57.4</v>
      </c>
      <c r="S196" s="2">
        <v>57.4</v>
      </c>
      <c r="U196" s="1">
        <v>0</v>
      </c>
      <c r="V196" s="1" t="s">
        <v>683</v>
      </c>
      <c r="W196" s="2">
        <v>1</v>
      </c>
      <c r="X196" s="29" t="s">
        <v>638</v>
      </c>
    </row>
    <row r="197" spans="1:24" x14ac:dyDescent="0.2">
      <c r="A197" s="15">
        <v>1</v>
      </c>
      <c r="B197" s="1" t="s">
        <v>795</v>
      </c>
      <c r="C197" t="s">
        <v>773</v>
      </c>
      <c r="D197" s="1">
        <v>2</v>
      </c>
      <c r="E197" s="1" t="s">
        <v>685</v>
      </c>
      <c r="F197" s="4">
        <v>45430</v>
      </c>
      <c r="H197" s="6">
        <f>J197+K197</f>
        <v>0.23569444444444446</v>
      </c>
      <c r="J197" s="6">
        <v>1.4074074074074074E-2</v>
      </c>
      <c r="K197" s="3">
        <v>0.22162037037037038</v>
      </c>
      <c r="L197" s="1" t="s">
        <v>8</v>
      </c>
      <c r="M197" s="1" t="s">
        <v>7</v>
      </c>
      <c r="N197" s="1">
        <v>2</v>
      </c>
      <c r="O197" s="1">
        <v>2</v>
      </c>
      <c r="P197" s="1">
        <v>90</v>
      </c>
      <c r="Q197" s="1">
        <v>90</v>
      </c>
      <c r="R197" s="2">
        <v>57.4</v>
      </c>
      <c r="S197" s="2">
        <v>28.8</v>
      </c>
      <c r="U197" s="1">
        <v>1</v>
      </c>
      <c r="X197" s="29" t="s">
        <v>638</v>
      </c>
    </row>
    <row r="198" spans="1:24" x14ac:dyDescent="0.2">
      <c r="A198" s="15">
        <v>1</v>
      </c>
      <c r="B198" s="1" t="s">
        <v>795</v>
      </c>
      <c r="C198" t="s">
        <v>773</v>
      </c>
      <c r="D198" s="1">
        <v>3</v>
      </c>
      <c r="E198" s="1" t="s">
        <v>685</v>
      </c>
      <c r="F198" s="4">
        <v>45430</v>
      </c>
      <c r="G198" s="3">
        <f>I198+K198</f>
        <v>0.22590277777777779</v>
      </c>
      <c r="H198" s="6">
        <f>J198+K198</f>
        <v>0.24337962962962964</v>
      </c>
      <c r="I198" s="3">
        <v>4.2824074074074075E-3</v>
      </c>
      <c r="J198" s="6">
        <v>2.1759259259259259E-2</v>
      </c>
      <c r="K198" s="3">
        <v>0.22162037037037038</v>
      </c>
      <c r="L198" s="1" t="s">
        <v>7</v>
      </c>
      <c r="M198" s="1" t="s">
        <v>7</v>
      </c>
      <c r="N198" s="1">
        <v>2</v>
      </c>
      <c r="O198" s="1">
        <v>2</v>
      </c>
      <c r="P198" s="1">
        <v>90</v>
      </c>
      <c r="Q198" s="1">
        <v>90</v>
      </c>
      <c r="R198" s="2">
        <v>28.8</v>
      </c>
      <c r="S198" s="2">
        <v>28.8</v>
      </c>
      <c r="U198" s="1">
        <v>1</v>
      </c>
      <c r="X198" s="29" t="s">
        <v>638</v>
      </c>
    </row>
    <row r="199" spans="1:24" x14ac:dyDescent="0.2">
      <c r="A199" s="15">
        <v>1</v>
      </c>
      <c r="B199" s="1" t="s">
        <v>795</v>
      </c>
      <c r="C199" t="s">
        <v>773</v>
      </c>
      <c r="D199" s="1">
        <v>4</v>
      </c>
      <c r="E199" s="1" t="s">
        <v>685</v>
      </c>
      <c r="F199" s="4">
        <v>45430</v>
      </c>
      <c r="G199" s="3">
        <f>I199+K199</f>
        <v>0.23893518518518519</v>
      </c>
      <c r="H199" s="6">
        <f>J199+K199</f>
        <v>0.24533564814814815</v>
      </c>
      <c r="I199" s="3">
        <v>1.7314814814814814E-2</v>
      </c>
      <c r="J199" s="6">
        <v>2.3715277777777776E-2</v>
      </c>
      <c r="K199" s="3">
        <v>0.22162037037037038</v>
      </c>
      <c r="L199" s="1" t="s">
        <v>298</v>
      </c>
      <c r="M199" s="1" t="s">
        <v>7</v>
      </c>
      <c r="N199" s="1">
        <v>2</v>
      </c>
      <c r="O199" s="1">
        <v>2</v>
      </c>
      <c r="P199" s="1">
        <v>90</v>
      </c>
      <c r="Q199" s="1">
        <v>90</v>
      </c>
      <c r="R199" s="2">
        <v>28.8</v>
      </c>
      <c r="S199" s="2">
        <v>28.8</v>
      </c>
      <c r="U199" s="1">
        <v>1</v>
      </c>
      <c r="X199" s="29" t="s">
        <v>638</v>
      </c>
    </row>
    <row r="200" spans="1:24" x14ac:dyDescent="0.2">
      <c r="A200" s="15">
        <v>1</v>
      </c>
      <c r="B200" s="1" t="s">
        <v>795</v>
      </c>
      <c r="C200" t="s">
        <v>773</v>
      </c>
      <c r="D200" s="1">
        <v>1</v>
      </c>
      <c r="E200" s="1" t="s">
        <v>687</v>
      </c>
      <c r="F200" s="4">
        <v>45436</v>
      </c>
      <c r="G200" s="1" t="s">
        <v>21</v>
      </c>
      <c r="H200" s="6">
        <f>J200+K200</f>
        <v>0.24412037037037038</v>
      </c>
      <c r="I200" s="1" t="s">
        <v>21</v>
      </c>
      <c r="J200" s="6">
        <v>1.7048611111111112E-2</v>
      </c>
      <c r="K200" s="3">
        <v>0.22707175925925926</v>
      </c>
      <c r="L200" s="1" t="s">
        <v>8</v>
      </c>
      <c r="M200" s="1" t="s">
        <v>7</v>
      </c>
      <c r="N200" s="1">
        <v>2</v>
      </c>
      <c r="O200" s="1">
        <v>2</v>
      </c>
      <c r="P200" s="1">
        <v>90</v>
      </c>
      <c r="Q200" s="1">
        <v>90</v>
      </c>
      <c r="R200" s="2">
        <v>57.4</v>
      </c>
      <c r="S200" s="2">
        <v>28.8</v>
      </c>
      <c r="U200" s="1">
        <v>1</v>
      </c>
      <c r="X200" s="29" t="s">
        <v>640</v>
      </c>
    </row>
    <row r="201" spans="1:24" x14ac:dyDescent="0.2">
      <c r="A201" s="15">
        <v>1</v>
      </c>
      <c r="B201" s="1" t="s">
        <v>795</v>
      </c>
      <c r="C201" t="s">
        <v>773</v>
      </c>
      <c r="D201" s="1">
        <v>2</v>
      </c>
      <c r="E201" s="1" t="s">
        <v>687</v>
      </c>
      <c r="F201" s="4">
        <v>45436</v>
      </c>
      <c r="G201" s="1" t="s">
        <v>21</v>
      </c>
      <c r="H201" s="6">
        <f>J201+K201</f>
        <v>0.24869212962962964</v>
      </c>
      <c r="I201" s="1" t="s">
        <v>21</v>
      </c>
      <c r="J201" s="6">
        <v>2.162037037037037E-2</v>
      </c>
      <c r="K201" s="3">
        <v>0.22707175925925926</v>
      </c>
      <c r="L201" s="1" t="s">
        <v>8</v>
      </c>
      <c r="M201" s="1" t="s">
        <v>7</v>
      </c>
      <c r="N201" s="1">
        <v>2</v>
      </c>
      <c r="O201" s="1">
        <v>2</v>
      </c>
      <c r="P201" s="1">
        <v>90</v>
      </c>
      <c r="Q201" s="1">
        <v>90</v>
      </c>
      <c r="R201" s="2">
        <v>57.4</v>
      </c>
      <c r="S201" s="2">
        <v>28.8</v>
      </c>
      <c r="U201" s="1">
        <v>1</v>
      </c>
      <c r="X201" s="29" t="s">
        <v>640</v>
      </c>
    </row>
    <row r="202" spans="1:24" x14ac:dyDescent="0.2">
      <c r="A202" s="15">
        <v>1</v>
      </c>
      <c r="B202" s="1" t="s">
        <v>795</v>
      </c>
      <c r="C202" t="s">
        <v>773</v>
      </c>
      <c r="D202" s="1">
        <v>1</v>
      </c>
      <c r="E202" s="1" t="s">
        <v>688</v>
      </c>
      <c r="F202" s="4">
        <v>45435</v>
      </c>
      <c r="H202" s="6">
        <f>J202+K202</f>
        <v>0.24349537037037039</v>
      </c>
      <c r="J202" s="6">
        <v>2.5196759259259259E-2</v>
      </c>
      <c r="K202" s="3">
        <v>0.21829861111111112</v>
      </c>
      <c r="L202" s="1" t="s">
        <v>8</v>
      </c>
      <c r="M202" s="1" t="s">
        <v>8</v>
      </c>
      <c r="N202" s="1">
        <v>2</v>
      </c>
      <c r="O202" s="1">
        <v>2</v>
      </c>
      <c r="P202" s="1">
        <v>90</v>
      </c>
      <c r="Q202" s="1">
        <v>90</v>
      </c>
      <c r="R202" s="2">
        <v>57.4</v>
      </c>
      <c r="S202" s="2">
        <v>28.8</v>
      </c>
      <c r="U202" s="1" t="s">
        <v>21</v>
      </c>
      <c r="V202" s="1" t="s">
        <v>690</v>
      </c>
      <c r="X202" s="29" t="s">
        <v>640</v>
      </c>
    </row>
    <row r="203" spans="1:24" x14ac:dyDescent="0.2">
      <c r="A203" s="15">
        <v>1</v>
      </c>
      <c r="B203" s="1" t="s">
        <v>795</v>
      </c>
      <c r="C203" t="s">
        <v>773</v>
      </c>
      <c r="D203" s="1">
        <v>2</v>
      </c>
      <c r="E203" s="1" t="s">
        <v>688</v>
      </c>
      <c r="F203" s="4">
        <v>45435</v>
      </c>
      <c r="G203" s="3">
        <f>I203+K203</f>
        <v>0.22385416666666669</v>
      </c>
      <c r="H203" s="6">
        <f>J203+K203</f>
        <v>0.24608796296296298</v>
      </c>
      <c r="I203" s="3">
        <v>5.5555555555555558E-3</v>
      </c>
      <c r="J203" s="6">
        <v>2.7789351851851853E-2</v>
      </c>
      <c r="K203" s="3">
        <v>0.21829861111111112</v>
      </c>
      <c r="L203" s="1" t="s">
        <v>8</v>
      </c>
      <c r="M203" s="1" t="s">
        <v>8</v>
      </c>
      <c r="N203" s="1">
        <v>2</v>
      </c>
      <c r="O203" s="1">
        <v>2</v>
      </c>
      <c r="P203" s="1">
        <v>90</v>
      </c>
      <c r="Q203" s="1">
        <v>90</v>
      </c>
      <c r="R203" s="2">
        <v>57.4</v>
      </c>
      <c r="S203" s="2">
        <v>28.8</v>
      </c>
      <c r="U203" s="1" t="s">
        <v>21</v>
      </c>
      <c r="V203" s="1" t="s">
        <v>691</v>
      </c>
      <c r="X203" s="29" t="s">
        <v>640</v>
      </c>
    </row>
    <row r="204" spans="1:24" x14ac:dyDescent="0.2">
      <c r="A204" s="15">
        <v>1</v>
      </c>
      <c r="B204" s="1" t="s">
        <v>795</v>
      </c>
      <c r="C204" t="s">
        <v>773</v>
      </c>
      <c r="D204" s="1">
        <v>1</v>
      </c>
      <c r="E204" s="1" t="s">
        <v>689</v>
      </c>
      <c r="F204" s="4">
        <v>45434</v>
      </c>
      <c r="G204" s="3">
        <f>I204+K204</f>
        <v>0.78276620370370364</v>
      </c>
      <c r="H204" s="6">
        <f>J204+K204</f>
        <v>0.79083333333333328</v>
      </c>
      <c r="I204" s="3">
        <v>1.7465277777777777E-2</v>
      </c>
      <c r="J204" s="6">
        <v>2.5532407407407406E-2</v>
      </c>
      <c r="K204" s="3">
        <v>0.76530092592592591</v>
      </c>
      <c r="L204" s="1" t="s">
        <v>7</v>
      </c>
      <c r="M204" s="1" t="s">
        <v>8</v>
      </c>
      <c r="N204" s="1">
        <v>2</v>
      </c>
      <c r="O204" s="1">
        <v>2</v>
      </c>
      <c r="P204" s="1">
        <v>90</v>
      </c>
      <c r="Q204" s="1">
        <v>90</v>
      </c>
      <c r="R204" s="2">
        <v>28.8</v>
      </c>
      <c r="S204" s="2">
        <v>57.4</v>
      </c>
      <c r="U204" s="1">
        <v>1</v>
      </c>
      <c r="W204" s="2" t="s">
        <v>692</v>
      </c>
      <c r="X204" s="29" t="s">
        <v>640</v>
      </c>
    </row>
    <row r="205" spans="1:24" x14ac:dyDescent="0.2">
      <c r="A205" s="15">
        <v>1</v>
      </c>
      <c r="B205" s="1" t="s">
        <v>795</v>
      </c>
      <c r="C205" t="s">
        <v>773</v>
      </c>
      <c r="D205" s="1">
        <v>1</v>
      </c>
      <c r="E205" s="1" t="s">
        <v>626</v>
      </c>
      <c r="F205" s="4">
        <v>45434</v>
      </c>
      <c r="H205" s="6">
        <f>J205+K205</f>
        <v>0.24187500000000001</v>
      </c>
      <c r="J205" s="6">
        <v>2.2476851851851852E-2</v>
      </c>
      <c r="K205" s="3">
        <v>0.21939814814814815</v>
      </c>
      <c r="L205" s="1" t="s">
        <v>8</v>
      </c>
      <c r="M205" s="1" t="s">
        <v>7</v>
      </c>
      <c r="N205" s="1">
        <v>2</v>
      </c>
      <c r="O205" s="1">
        <v>2</v>
      </c>
      <c r="P205" s="1">
        <v>90</v>
      </c>
      <c r="Q205" s="1">
        <v>90</v>
      </c>
      <c r="R205" s="2">
        <v>57.4</v>
      </c>
      <c r="S205" s="2">
        <v>28.8</v>
      </c>
      <c r="U205" s="1">
        <v>1</v>
      </c>
      <c r="X205" s="29" t="s">
        <v>640</v>
      </c>
    </row>
    <row r="206" spans="1:24" x14ac:dyDescent="0.2">
      <c r="A206" s="15">
        <v>1</v>
      </c>
      <c r="B206" s="1" t="s">
        <v>795</v>
      </c>
      <c r="C206" t="s">
        <v>773</v>
      </c>
      <c r="D206" s="1">
        <v>2</v>
      </c>
      <c r="E206" s="1" t="s">
        <v>626</v>
      </c>
      <c r="F206" s="4">
        <v>45434</v>
      </c>
      <c r="G206" s="3">
        <f>I206+K206</f>
        <v>0.22575231481481481</v>
      </c>
      <c r="H206" s="6">
        <f>J206+K206</f>
        <v>0.24656249999999999</v>
      </c>
      <c r="I206" s="3">
        <v>6.3541666666666668E-3</v>
      </c>
      <c r="J206" s="6">
        <v>2.7164351851851853E-2</v>
      </c>
      <c r="K206" s="3">
        <v>0.21939814814814815</v>
      </c>
      <c r="L206" s="1" t="s">
        <v>8</v>
      </c>
      <c r="M206" s="1" t="s">
        <v>7</v>
      </c>
      <c r="N206" s="1">
        <v>2</v>
      </c>
      <c r="O206" s="1">
        <v>2</v>
      </c>
      <c r="P206" s="1">
        <v>90</v>
      </c>
      <c r="Q206" s="1">
        <v>90</v>
      </c>
      <c r="R206" s="2">
        <v>57.4</v>
      </c>
      <c r="S206" s="2">
        <v>28.8</v>
      </c>
      <c r="U206" s="1">
        <v>0</v>
      </c>
      <c r="W206" s="2">
        <v>1</v>
      </c>
      <c r="X206" s="29" t="s">
        <v>640</v>
      </c>
    </row>
    <row r="207" spans="1:24" x14ac:dyDescent="0.2">
      <c r="A207" s="15">
        <v>1</v>
      </c>
      <c r="B207" s="1" t="s">
        <v>795</v>
      </c>
      <c r="C207" t="s">
        <v>773</v>
      </c>
      <c r="D207" s="1">
        <v>1</v>
      </c>
      <c r="E207" s="1" t="s">
        <v>693</v>
      </c>
      <c r="F207" s="4">
        <v>45433</v>
      </c>
      <c r="G207" s="3">
        <f>I207+K207</f>
        <v>0.77711805555555558</v>
      </c>
      <c r="H207" s="6">
        <f>J207+K207</f>
        <v>0.78964120370370372</v>
      </c>
      <c r="I207" s="3">
        <v>1.3287037037037036E-2</v>
      </c>
      <c r="J207" s="6">
        <v>2.5810185185185186E-2</v>
      </c>
      <c r="K207" s="3">
        <v>0.76383101851851853</v>
      </c>
      <c r="L207" s="1" t="s">
        <v>8</v>
      </c>
      <c r="M207" s="1" t="s">
        <v>8</v>
      </c>
      <c r="N207" s="1">
        <v>2</v>
      </c>
      <c r="O207" s="1">
        <v>2</v>
      </c>
      <c r="P207" s="1">
        <v>90</v>
      </c>
      <c r="Q207" s="1">
        <v>90</v>
      </c>
      <c r="R207" s="2">
        <v>57.4</v>
      </c>
      <c r="S207" s="2">
        <v>57.4</v>
      </c>
      <c r="U207" s="1">
        <v>1</v>
      </c>
      <c r="X207" s="29" t="s">
        <v>640</v>
      </c>
    </row>
    <row r="208" spans="1:24" x14ac:dyDescent="0.2">
      <c r="A208" s="15">
        <v>1</v>
      </c>
      <c r="B208" s="1" t="s">
        <v>795</v>
      </c>
      <c r="C208" t="s">
        <v>773</v>
      </c>
      <c r="D208" s="1">
        <v>1</v>
      </c>
      <c r="E208" s="1" t="s">
        <v>232</v>
      </c>
      <c r="F208" s="4">
        <v>45433</v>
      </c>
      <c r="G208" s="3">
        <f>I208+K208</f>
        <v>0.22003472222222223</v>
      </c>
      <c r="H208" s="6">
        <f>J208+K208</f>
        <v>0.24197916666666666</v>
      </c>
      <c r="I208" s="3">
        <v>5.8564814814814816E-3</v>
      </c>
      <c r="J208" s="6">
        <v>2.7800925925925927E-2</v>
      </c>
      <c r="K208" s="3">
        <v>0.21417824074074074</v>
      </c>
      <c r="L208" s="1" t="s">
        <v>8</v>
      </c>
      <c r="M208" s="1" t="s">
        <v>8</v>
      </c>
      <c r="N208" s="1">
        <v>3</v>
      </c>
      <c r="O208" s="1">
        <v>2</v>
      </c>
      <c r="P208" s="1">
        <v>90</v>
      </c>
      <c r="Q208" s="1">
        <v>90</v>
      </c>
      <c r="R208" s="2">
        <v>57.4</v>
      </c>
      <c r="S208" s="2">
        <v>28.8</v>
      </c>
      <c r="U208" s="1">
        <v>0</v>
      </c>
      <c r="W208" s="2">
        <v>1</v>
      </c>
      <c r="X208" s="29" t="s">
        <v>640</v>
      </c>
    </row>
    <row r="209" spans="1:24" x14ac:dyDescent="0.2">
      <c r="A209" s="15">
        <v>1</v>
      </c>
      <c r="B209" s="1" t="s">
        <v>795</v>
      </c>
      <c r="C209" t="s">
        <v>773</v>
      </c>
      <c r="D209" s="1">
        <v>2</v>
      </c>
      <c r="E209" s="1" t="s">
        <v>232</v>
      </c>
      <c r="F209" s="4">
        <v>45433</v>
      </c>
      <c r="G209" s="3">
        <f>I209+K209</f>
        <v>0.22408564814814816</v>
      </c>
      <c r="H209" s="6">
        <f>J209+K209</f>
        <v>0.24895833333333334</v>
      </c>
      <c r="I209" s="3">
        <v>9.9074074074074082E-3</v>
      </c>
      <c r="J209" s="6">
        <v>3.4780092592592592E-2</v>
      </c>
      <c r="K209" s="3">
        <v>0.21417824074074074</v>
      </c>
      <c r="L209" s="1" t="s">
        <v>8</v>
      </c>
      <c r="M209" s="1" t="s">
        <v>8</v>
      </c>
      <c r="N209" s="1">
        <v>3</v>
      </c>
      <c r="O209" s="1">
        <v>2</v>
      </c>
      <c r="P209" s="1">
        <v>90</v>
      </c>
      <c r="Q209" s="1">
        <v>90</v>
      </c>
      <c r="R209" s="2">
        <v>57.4</v>
      </c>
      <c r="S209" s="2">
        <v>28.8</v>
      </c>
      <c r="U209" s="1">
        <v>0</v>
      </c>
      <c r="X209" s="29" t="s">
        <v>640</v>
      </c>
    </row>
    <row r="210" spans="1:24" x14ac:dyDescent="0.2">
      <c r="A210" s="15">
        <v>1</v>
      </c>
      <c r="B210" s="1" t="s">
        <v>795</v>
      </c>
      <c r="C210" t="s">
        <v>773</v>
      </c>
      <c r="D210" s="1">
        <v>1</v>
      </c>
      <c r="E210" s="1" t="s">
        <v>230</v>
      </c>
      <c r="F210" s="4">
        <v>45432</v>
      </c>
      <c r="H210" s="6">
        <f>J210+K210</f>
        <v>0.24289351851851851</v>
      </c>
      <c r="J210" s="6">
        <v>2.1886574074074076E-2</v>
      </c>
      <c r="K210" s="3">
        <v>0.22100694444444444</v>
      </c>
      <c r="L210" s="1" t="s">
        <v>8</v>
      </c>
      <c r="M210" s="1" t="s">
        <v>8</v>
      </c>
      <c r="N210" s="1">
        <v>2</v>
      </c>
      <c r="O210" s="1">
        <v>2</v>
      </c>
      <c r="P210" s="1">
        <v>90</v>
      </c>
      <c r="Q210" s="1">
        <v>90</v>
      </c>
      <c r="R210" s="2">
        <v>28.8</v>
      </c>
      <c r="S210" s="2">
        <v>28.8</v>
      </c>
      <c r="U210" s="1">
        <v>0</v>
      </c>
      <c r="V210" s="1" t="s">
        <v>717</v>
      </c>
      <c r="W210" s="2" t="s">
        <v>694</v>
      </c>
      <c r="X210" s="29" t="s">
        <v>638</v>
      </c>
    </row>
    <row r="211" spans="1:24" x14ac:dyDescent="0.2">
      <c r="A211" s="15">
        <v>1</v>
      </c>
      <c r="B211" s="1" t="s">
        <v>795</v>
      </c>
      <c r="C211" t="s">
        <v>773</v>
      </c>
      <c r="D211" s="1">
        <v>2</v>
      </c>
      <c r="E211" s="1" t="s">
        <v>230</v>
      </c>
      <c r="F211" s="4">
        <v>45432</v>
      </c>
      <c r="G211" s="3">
        <f>I211+K211</f>
        <v>0.2223148148148148</v>
      </c>
      <c r="H211" s="6">
        <f>J211+K211</f>
        <v>0.24484953703703702</v>
      </c>
      <c r="I211" s="3">
        <v>1.3078703703703703E-3</v>
      </c>
      <c r="J211" s="6">
        <v>2.3842592592592592E-2</v>
      </c>
      <c r="K211" s="3">
        <v>0.22100694444444444</v>
      </c>
      <c r="L211" s="1" t="s">
        <v>8</v>
      </c>
      <c r="M211" s="1" t="s">
        <v>8</v>
      </c>
      <c r="N211" s="1">
        <v>2</v>
      </c>
      <c r="O211" s="1">
        <v>2</v>
      </c>
      <c r="P211" s="1">
        <v>90</v>
      </c>
      <c r="Q211" s="1">
        <v>90</v>
      </c>
      <c r="R211" s="2">
        <v>28.8</v>
      </c>
      <c r="S211" s="2">
        <v>28.8</v>
      </c>
      <c r="U211" s="1">
        <v>0</v>
      </c>
      <c r="V211" s="2" t="s">
        <v>695</v>
      </c>
      <c r="X211" s="29" t="s">
        <v>638</v>
      </c>
    </row>
    <row r="212" spans="1:24" x14ac:dyDescent="0.2">
      <c r="A212" s="15">
        <v>1</v>
      </c>
      <c r="B212" s="1" t="s">
        <v>795</v>
      </c>
      <c r="C212" t="s">
        <v>773</v>
      </c>
      <c r="D212" s="1">
        <v>1</v>
      </c>
      <c r="E212" s="1" t="s">
        <v>696</v>
      </c>
      <c r="F212" s="4">
        <v>45431</v>
      </c>
      <c r="G212" s="3"/>
      <c r="H212" s="6">
        <f>J212+K212</f>
        <v>0.24283564814814815</v>
      </c>
      <c r="J212" s="6">
        <v>2.2488425925925926E-2</v>
      </c>
      <c r="K212" s="3">
        <v>0.22034722222222222</v>
      </c>
      <c r="L212" s="1" t="s">
        <v>8</v>
      </c>
      <c r="M212" s="1" t="s">
        <v>8</v>
      </c>
      <c r="N212" s="1">
        <v>2</v>
      </c>
      <c r="O212" s="1">
        <v>2</v>
      </c>
      <c r="P212" s="1">
        <v>90</v>
      </c>
      <c r="Q212" s="1">
        <v>90</v>
      </c>
      <c r="R212" s="2">
        <v>28.8</v>
      </c>
      <c r="S212" s="2">
        <v>28.8</v>
      </c>
      <c r="U212" s="1">
        <v>0</v>
      </c>
      <c r="V212" s="2" t="s">
        <v>695</v>
      </c>
      <c r="X212" s="29" t="s">
        <v>638</v>
      </c>
    </row>
    <row r="213" spans="1:24" x14ac:dyDescent="0.2">
      <c r="A213" s="15">
        <v>1</v>
      </c>
      <c r="B213" s="1" t="s">
        <v>795</v>
      </c>
      <c r="C213" t="s">
        <v>773</v>
      </c>
      <c r="D213" s="1">
        <v>2</v>
      </c>
      <c r="E213" s="1" t="s">
        <v>696</v>
      </c>
      <c r="F213" s="4">
        <v>45431</v>
      </c>
      <c r="H213" s="6">
        <f>J213+K213</f>
        <v>0.26648148148148149</v>
      </c>
      <c r="I213" s="3">
        <v>1.40625E-2</v>
      </c>
      <c r="J213" s="6">
        <v>4.6134259259259257E-2</v>
      </c>
      <c r="K213" s="3">
        <v>0.22034722222222222</v>
      </c>
      <c r="L213" s="1" t="s">
        <v>8</v>
      </c>
      <c r="M213" s="1" t="s">
        <v>8</v>
      </c>
      <c r="N213" s="1">
        <v>2</v>
      </c>
      <c r="O213" s="1">
        <v>2</v>
      </c>
      <c r="P213" s="1">
        <v>90</v>
      </c>
      <c r="Q213" s="1">
        <v>90</v>
      </c>
      <c r="R213" s="2">
        <v>28.8</v>
      </c>
      <c r="S213" s="2">
        <v>28.8</v>
      </c>
      <c r="U213" s="1">
        <v>0</v>
      </c>
      <c r="V213" s="2" t="s">
        <v>697</v>
      </c>
      <c r="X213" s="29" t="s">
        <v>638</v>
      </c>
    </row>
    <row r="214" spans="1:24" x14ac:dyDescent="0.2">
      <c r="A214" s="15">
        <v>1</v>
      </c>
      <c r="B214" s="1" t="s">
        <v>795</v>
      </c>
      <c r="C214" t="s">
        <v>773</v>
      </c>
      <c r="D214" s="1">
        <v>1</v>
      </c>
      <c r="E214" s="1" t="s">
        <v>725</v>
      </c>
      <c r="F214" s="4">
        <v>45430</v>
      </c>
      <c r="G214" s="1" t="s">
        <v>21</v>
      </c>
      <c r="H214" s="6" t="s">
        <v>21</v>
      </c>
      <c r="I214" s="1" t="s">
        <v>21</v>
      </c>
      <c r="J214" s="1" t="s">
        <v>21</v>
      </c>
      <c r="K214" s="1" t="s">
        <v>21</v>
      </c>
      <c r="L214" s="1" t="s">
        <v>7</v>
      </c>
      <c r="M214" s="1" t="s">
        <v>8</v>
      </c>
      <c r="N214" s="1">
        <v>2</v>
      </c>
      <c r="O214" s="1">
        <v>2</v>
      </c>
      <c r="P214" s="1">
        <v>90</v>
      </c>
      <c r="Q214" s="1">
        <v>90</v>
      </c>
      <c r="R214" s="2">
        <v>28.8</v>
      </c>
      <c r="S214" s="2">
        <v>57.4</v>
      </c>
      <c r="U214" s="1" t="s">
        <v>21</v>
      </c>
      <c r="V214" s="2" t="s">
        <v>544</v>
      </c>
      <c r="X214" s="4" t="s">
        <v>21</v>
      </c>
    </row>
    <row r="215" spans="1:24" x14ac:dyDescent="0.2">
      <c r="A215" s="15">
        <v>1</v>
      </c>
      <c r="B215" s="1" t="s">
        <v>795</v>
      </c>
      <c r="C215" t="s">
        <v>773</v>
      </c>
      <c r="D215" s="1">
        <v>1</v>
      </c>
      <c r="E215" s="1" t="s">
        <v>710</v>
      </c>
      <c r="F215" s="4">
        <v>45437</v>
      </c>
      <c r="G215" s="1" t="s">
        <v>21</v>
      </c>
      <c r="H215" s="6">
        <f>J215+K215</f>
        <v>0.78964120370370372</v>
      </c>
      <c r="I215" s="1" t="s">
        <v>21</v>
      </c>
      <c r="J215" s="6">
        <v>3.833333333333333E-2</v>
      </c>
      <c r="K215" s="3">
        <v>0.75130787037037039</v>
      </c>
      <c r="L215" s="1" t="s">
        <v>7</v>
      </c>
      <c r="M215" s="1" t="s">
        <v>7</v>
      </c>
      <c r="N215" s="1">
        <v>2</v>
      </c>
      <c r="O215" s="1">
        <v>2</v>
      </c>
      <c r="P215" s="1">
        <v>90</v>
      </c>
      <c r="Q215" s="1">
        <v>90</v>
      </c>
      <c r="R215" s="2">
        <v>28.8</v>
      </c>
      <c r="S215" s="2">
        <v>28.8</v>
      </c>
      <c r="U215" s="1">
        <v>0</v>
      </c>
      <c r="W215" s="2" t="s">
        <v>711</v>
      </c>
      <c r="X215" s="4" t="s">
        <v>640</v>
      </c>
    </row>
    <row r="216" spans="1:24" x14ac:dyDescent="0.2">
      <c r="A216" s="15">
        <v>1</v>
      </c>
      <c r="B216" s="1" t="s">
        <v>795</v>
      </c>
      <c r="C216" t="s">
        <v>773</v>
      </c>
      <c r="D216" s="1">
        <v>1</v>
      </c>
      <c r="E216" s="1" t="s">
        <v>647</v>
      </c>
      <c r="F216" s="4">
        <v>45438</v>
      </c>
      <c r="G216" s="1" t="s">
        <v>21</v>
      </c>
      <c r="H216" s="6">
        <f>J216+K216</f>
        <v>0.2408912037037037</v>
      </c>
      <c r="I216" s="1" t="s">
        <v>21</v>
      </c>
      <c r="J216" s="6">
        <v>1.8831018518518518E-2</v>
      </c>
      <c r="K216" s="3">
        <v>0.22206018518518519</v>
      </c>
      <c r="L216" s="1" t="s">
        <v>7</v>
      </c>
      <c r="M216" s="1" t="s">
        <v>8</v>
      </c>
      <c r="N216" s="1">
        <v>2</v>
      </c>
      <c r="O216" s="1">
        <v>2</v>
      </c>
      <c r="P216" s="1">
        <v>90</v>
      </c>
      <c r="Q216" s="1">
        <v>90</v>
      </c>
      <c r="R216" s="2">
        <v>28.8</v>
      </c>
      <c r="S216" s="2">
        <v>28.8</v>
      </c>
      <c r="U216" s="1">
        <v>0</v>
      </c>
      <c r="W216" s="2">
        <v>1</v>
      </c>
      <c r="X216" s="4" t="s">
        <v>640</v>
      </c>
    </row>
    <row r="217" spans="1:24" x14ac:dyDescent="0.2">
      <c r="A217" s="15">
        <v>1</v>
      </c>
      <c r="B217" s="1" t="s">
        <v>795</v>
      </c>
      <c r="C217" t="s">
        <v>773</v>
      </c>
      <c r="D217" s="1">
        <v>2</v>
      </c>
      <c r="E217" s="1" t="s">
        <v>647</v>
      </c>
      <c r="F217" s="4">
        <v>45438</v>
      </c>
      <c r="G217" s="1" t="s">
        <v>21</v>
      </c>
      <c r="H217" s="6">
        <f>J217+K217</f>
        <v>0.24142361111111113</v>
      </c>
      <c r="I217" s="1" t="s">
        <v>21</v>
      </c>
      <c r="J217" s="6">
        <v>1.9363425925925926E-2</v>
      </c>
      <c r="K217" s="3">
        <v>0.22206018518518519</v>
      </c>
      <c r="L217" s="1" t="s">
        <v>7</v>
      </c>
      <c r="M217" s="1" t="s">
        <v>8</v>
      </c>
      <c r="N217" s="1">
        <v>2</v>
      </c>
      <c r="O217" s="1">
        <v>2</v>
      </c>
      <c r="P217" s="1">
        <v>90</v>
      </c>
      <c r="Q217" s="1">
        <v>90</v>
      </c>
      <c r="R217" s="2">
        <v>28.8</v>
      </c>
      <c r="S217" s="2">
        <v>28.8</v>
      </c>
      <c r="U217" s="1">
        <v>0</v>
      </c>
      <c r="W217" s="2">
        <v>1</v>
      </c>
      <c r="X217" s="4" t="s">
        <v>640</v>
      </c>
    </row>
    <row r="218" spans="1:24" x14ac:dyDescent="0.2">
      <c r="A218" s="15">
        <v>1</v>
      </c>
      <c r="B218" s="1" t="s">
        <v>795</v>
      </c>
      <c r="C218" t="s">
        <v>773</v>
      </c>
      <c r="D218" s="1" t="s">
        <v>21</v>
      </c>
      <c r="E218" s="1" t="s">
        <v>718</v>
      </c>
      <c r="F218" s="4">
        <v>45438</v>
      </c>
      <c r="G218" s="1" t="s">
        <v>21</v>
      </c>
      <c r="H218" s="6" t="s">
        <v>21</v>
      </c>
      <c r="I218" s="1" t="s">
        <v>21</v>
      </c>
      <c r="J218" s="6" t="s">
        <v>21</v>
      </c>
      <c r="K218" s="3">
        <v>0.75784722222222223</v>
      </c>
      <c r="N218" s="1">
        <v>2</v>
      </c>
      <c r="O218" s="1">
        <v>2</v>
      </c>
      <c r="P218" s="1">
        <v>90</v>
      </c>
      <c r="Q218" s="1">
        <v>90</v>
      </c>
      <c r="R218" s="2">
        <v>57.4</v>
      </c>
      <c r="S218" s="2">
        <v>57.4</v>
      </c>
      <c r="U218" s="1" t="s">
        <v>21</v>
      </c>
      <c r="V218" s="1" t="s">
        <v>58</v>
      </c>
      <c r="X218" s="4" t="s">
        <v>640</v>
      </c>
    </row>
    <row r="219" spans="1:24" x14ac:dyDescent="0.2">
      <c r="A219" s="15">
        <v>1</v>
      </c>
      <c r="B219" s="1" t="s">
        <v>795</v>
      </c>
      <c r="C219" t="s">
        <v>773</v>
      </c>
      <c r="D219" s="1">
        <v>1</v>
      </c>
      <c r="E219" s="1" t="s">
        <v>719</v>
      </c>
      <c r="F219" s="4">
        <v>45439</v>
      </c>
      <c r="G219" s="1" t="s">
        <v>21</v>
      </c>
      <c r="H219" s="6">
        <f>J219+K219</f>
        <v>0.23730324074074075</v>
      </c>
      <c r="I219" s="1" t="s">
        <v>21</v>
      </c>
      <c r="J219" s="6">
        <v>2.2280092592592591E-2</v>
      </c>
      <c r="K219" s="3">
        <v>0.21502314814814816</v>
      </c>
      <c r="L219" s="1" t="s">
        <v>7</v>
      </c>
      <c r="M219" s="1" t="s">
        <v>7</v>
      </c>
      <c r="N219" s="1">
        <v>2</v>
      </c>
      <c r="O219" s="1">
        <v>2</v>
      </c>
      <c r="P219" s="1">
        <v>90</v>
      </c>
      <c r="Q219" s="1">
        <v>90</v>
      </c>
      <c r="R219" s="2">
        <v>28.8</v>
      </c>
      <c r="S219" s="2">
        <v>28.8</v>
      </c>
      <c r="U219" s="1">
        <v>1</v>
      </c>
      <c r="X219" s="4" t="s">
        <v>640</v>
      </c>
    </row>
    <row r="220" spans="1:24" x14ac:dyDescent="0.2">
      <c r="A220" s="15">
        <v>1</v>
      </c>
      <c r="B220" s="1" t="s">
        <v>795</v>
      </c>
      <c r="C220" t="s">
        <v>773</v>
      </c>
      <c r="D220" s="1">
        <v>2</v>
      </c>
      <c r="E220" s="1" t="s">
        <v>719</v>
      </c>
      <c r="F220" s="4">
        <v>45439</v>
      </c>
      <c r="G220" s="1" t="s">
        <v>21</v>
      </c>
      <c r="H220" s="6">
        <f>J220+K220</f>
        <v>0.23995370370370372</v>
      </c>
      <c r="I220" s="1" t="s">
        <v>21</v>
      </c>
      <c r="J220" s="6">
        <v>2.4930555555555556E-2</v>
      </c>
      <c r="K220" s="3">
        <v>0.21502314814814816</v>
      </c>
      <c r="L220" s="1" t="s">
        <v>7</v>
      </c>
      <c r="M220" s="1" t="s">
        <v>7</v>
      </c>
      <c r="N220" s="1">
        <v>2</v>
      </c>
      <c r="O220" s="1">
        <v>2</v>
      </c>
      <c r="P220" s="1">
        <v>90</v>
      </c>
      <c r="Q220" s="1">
        <v>90</v>
      </c>
      <c r="R220" s="2">
        <v>28.8</v>
      </c>
      <c r="S220" s="2">
        <v>28.8</v>
      </c>
      <c r="U220" s="1">
        <v>1</v>
      </c>
      <c r="X220" s="4" t="s">
        <v>640</v>
      </c>
    </row>
    <row r="221" spans="1:24" x14ac:dyDescent="0.2">
      <c r="A221" s="15">
        <v>1</v>
      </c>
      <c r="B221" s="1" t="s">
        <v>795</v>
      </c>
      <c r="C221" t="s">
        <v>773</v>
      </c>
      <c r="D221" s="1">
        <v>1</v>
      </c>
      <c r="E221" s="1" t="s">
        <v>720</v>
      </c>
      <c r="F221" s="4">
        <v>45443</v>
      </c>
      <c r="G221" s="3">
        <f>I221+K221</f>
        <v>0.78163194444444439</v>
      </c>
      <c r="H221" s="6">
        <f>J221+K221</f>
        <v>0.79515046296296299</v>
      </c>
      <c r="I221" s="3">
        <v>1.8738425925925926E-2</v>
      </c>
      <c r="J221" s="6">
        <v>3.2256944444444442E-2</v>
      </c>
      <c r="K221" s="3">
        <v>0.7628935185185185</v>
      </c>
      <c r="L221" s="1" t="s">
        <v>7</v>
      </c>
      <c r="M221" s="1" t="s">
        <v>8</v>
      </c>
      <c r="N221" s="1">
        <v>2</v>
      </c>
      <c r="O221" s="1">
        <v>2</v>
      </c>
      <c r="P221" s="1">
        <v>90</v>
      </c>
      <c r="Q221" s="1">
        <v>90</v>
      </c>
      <c r="R221" s="2">
        <v>57.4</v>
      </c>
      <c r="S221" s="1">
        <v>38.4</v>
      </c>
      <c r="T221" s="1"/>
      <c r="U221" s="1">
        <v>0</v>
      </c>
      <c r="X221" s="4" t="s">
        <v>640</v>
      </c>
    </row>
    <row r="222" spans="1:24" x14ac:dyDescent="0.2">
      <c r="A222" s="15">
        <v>1</v>
      </c>
      <c r="B222" s="1" t="s">
        <v>795</v>
      </c>
      <c r="C222" t="s">
        <v>773</v>
      </c>
      <c r="D222" s="1">
        <v>1</v>
      </c>
      <c r="E222" s="1" t="s">
        <v>726</v>
      </c>
      <c r="F222" s="4">
        <v>45447</v>
      </c>
      <c r="H222" s="6">
        <f>J222+K222</f>
        <v>0.23099537037037038</v>
      </c>
      <c r="I222" s="1" t="s">
        <v>21</v>
      </c>
      <c r="J222" s="6">
        <v>1.2337962962962964E-2</v>
      </c>
      <c r="K222" s="3">
        <v>0.21865740740740741</v>
      </c>
      <c r="L222" s="1" t="s">
        <v>8</v>
      </c>
      <c r="M222" s="1" t="s">
        <v>7</v>
      </c>
      <c r="N222" s="1">
        <v>2</v>
      </c>
      <c r="O222" s="1">
        <v>2</v>
      </c>
      <c r="P222" s="1">
        <v>90</v>
      </c>
      <c r="Q222" s="1">
        <v>90</v>
      </c>
      <c r="R222" s="1">
        <v>38.4</v>
      </c>
      <c r="S222" s="1">
        <v>38.4</v>
      </c>
      <c r="T222" s="1"/>
      <c r="U222" s="1">
        <v>1</v>
      </c>
      <c r="X222" s="4" t="s">
        <v>640</v>
      </c>
    </row>
    <row r="223" spans="1:24" x14ac:dyDescent="0.2">
      <c r="A223" s="15">
        <v>1</v>
      </c>
      <c r="B223" s="1" t="s">
        <v>795</v>
      </c>
      <c r="C223" t="s">
        <v>773</v>
      </c>
      <c r="D223" s="1">
        <v>2</v>
      </c>
      <c r="E223" s="1" t="s">
        <v>726</v>
      </c>
      <c r="F223" s="4">
        <v>45447</v>
      </c>
      <c r="G223" s="3">
        <f>I223+K223</f>
        <v>0.23168981481481482</v>
      </c>
      <c r="H223" s="6">
        <f>J223+K223</f>
        <v>0.24619212962962964</v>
      </c>
      <c r="I223" s="3">
        <v>1.3032407407407407E-2</v>
      </c>
      <c r="J223" s="6">
        <v>2.7534722222222221E-2</v>
      </c>
      <c r="K223" s="3">
        <v>0.21865740740740741</v>
      </c>
      <c r="L223" s="1" t="s">
        <v>7</v>
      </c>
      <c r="M223" s="1" t="s">
        <v>7</v>
      </c>
      <c r="N223" s="1">
        <v>2</v>
      </c>
      <c r="O223" s="1">
        <v>2</v>
      </c>
      <c r="P223" s="1">
        <v>90</v>
      </c>
      <c r="Q223" s="1">
        <v>90</v>
      </c>
      <c r="R223" s="1">
        <v>38.4</v>
      </c>
      <c r="S223" s="1">
        <v>38.4</v>
      </c>
      <c r="T223" s="1"/>
      <c r="U223" s="1">
        <v>1</v>
      </c>
      <c r="X223" s="4" t="s">
        <v>640</v>
      </c>
    </row>
    <row r="224" spans="1:24" x14ac:dyDescent="0.2">
      <c r="A224" s="15">
        <v>1</v>
      </c>
      <c r="B224" s="1" t="s">
        <v>795</v>
      </c>
      <c r="C224" t="s">
        <v>773</v>
      </c>
      <c r="D224" s="1">
        <v>1</v>
      </c>
      <c r="E224" s="1" t="s">
        <v>727</v>
      </c>
      <c r="F224" s="4">
        <v>45446</v>
      </c>
      <c r="G224" s="3">
        <f>I224+K224</f>
        <v>0.77504629629629629</v>
      </c>
      <c r="H224" s="6">
        <f>J224+K224</f>
        <v>0.79351851851851851</v>
      </c>
      <c r="I224" s="3">
        <v>5.6712962962962967E-3</v>
      </c>
      <c r="J224" s="6">
        <v>2.4143518518518519E-2</v>
      </c>
      <c r="K224" s="3">
        <v>0.76937500000000003</v>
      </c>
      <c r="L224" s="1" t="s">
        <v>8</v>
      </c>
      <c r="M224" s="1" t="s">
        <v>8</v>
      </c>
      <c r="N224" s="1">
        <v>2</v>
      </c>
      <c r="O224" s="1">
        <v>2</v>
      </c>
      <c r="P224" s="1">
        <v>90</v>
      </c>
      <c r="Q224" s="1">
        <v>90</v>
      </c>
      <c r="R224" s="1">
        <v>38.4</v>
      </c>
      <c r="S224" s="1">
        <v>38.4</v>
      </c>
      <c r="T224" s="1"/>
      <c r="U224" s="1">
        <v>0</v>
      </c>
      <c r="X224" s="4" t="s">
        <v>640</v>
      </c>
    </row>
    <row r="225" spans="1:24" x14ac:dyDescent="0.2">
      <c r="A225" s="15">
        <v>1</v>
      </c>
      <c r="B225" s="1" t="s">
        <v>795</v>
      </c>
      <c r="C225" t="s">
        <v>773</v>
      </c>
      <c r="D225" s="1">
        <v>1</v>
      </c>
      <c r="E225" s="1" t="s">
        <v>721</v>
      </c>
      <c r="F225" s="4">
        <v>45446</v>
      </c>
      <c r="H225" s="6">
        <f>J225+K225</f>
        <v>0.23542824074074073</v>
      </c>
      <c r="J225" s="6">
        <v>1.6851851851851851E-2</v>
      </c>
      <c r="K225" s="3">
        <v>0.21857638888888889</v>
      </c>
      <c r="L225" s="1" t="s">
        <v>7</v>
      </c>
      <c r="M225" s="1" t="s">
        <v>8</v>
      </c>
      <c r="N225" s="1">
        <v>2</v>
      </c>
      <c r="O225" s="1">
        <v>2</v>
      </c>
      <c r="P225" s="1">
        <v>90</v>
      </c>
      <c r="Q225" s="1">
        <v>90</v>
      </c>
      <c r="R225" s="1">
        <v>38.4</v>
      </c>
      <c r="S225" s="1">
        <v>38.4</v>
      </c>
      <c r="T225" s="1"/>
      <c r="U225" s="1">
        <v>0</v>
      </c>
      <c r="X225" s="4" t="s">
        <v>640</v>
      </c>
    </row>
    <row r="226" spans="1:24" x14ac:dyDescent="0.2">
      <c r="A226" s="15">
        <v>1</v>
      </c>
      <c r="B226" s="1" t="s">
        <v>795</v>
      </c>
      <c r="C226" t="s">
        <v>773</v>
      </c>
      <c r="D226" s="1">
        <v>2</v>
      </c>
      <c r="E226" s="1" t="s">
        <v>721</v>
      </c>
      <c r="F226" s="4">
        <v>45446</v>
      </c>
      <c r="H226" s="6">
        <f>J226+K226</f>
        <v>0.24730324074074073</v>
      </c>
      <c r="J226" s="6">
        <v>2.8726851851851851E-2</v>
      </c>
      <c r="K226" s="3">
        <v>0.21857638888888889</v>
      </c>
      <c r="L226" s="1" t="s">
        <v>7</v>
      </c>
      <c r="M226" s="1" t="s">
        <v>8</v>
      </c>
      <c r="N226" s="1">
        <v>2</v>
      </c>
      <c r="O226" s="1">
        <v>2</v>
      </c>
      <c r="P226" s="1">
        <v>90</v>
      </c>
      <c r="Q226" s="1">
        <v>90</v>
      </c>
      <c r="R226" s="1">
        <v>38.4</v>
      </c>
      <c r="S226" s="1">
        <v>38.4</v>
      </c>
      <c r="T226" s="1"/>
      <c r="U226" s="1">
        <v>0</v>
      </c>
      <c r="X226" s="4" t="s">
        <v>640</v>
      </c>
    </row>
    <row r="227" spans="1:24" x14ac:dyDescent="0.2">
      <c r="A227" s="15">
        <v>1</v>
      </c>
      <c r="B227" s="1" t="s">
        <v>795</v>
      </c>
      <c r="C227" t="s">
        <v>773</v>
      </c>
      <c r="D227" s="1">
        <v>1</v>
      </c>
      <c r="E227" s="1" t="s">
        <v>722</v>
      </c>
      <c r="F227" s="4">
        <v>45445</v>
      </c>
      <c r="G227" s="3">
        <f>I227+K227</f>
        <v>0.77312500000000006</v>
      </c>
      <c r="H227" s="6">
        <f>J227+K227</f>
        <v>0.78672453703703704</v>
      </c>
      <c r="I227" s="3">
        <v>7.2106481481481483E-3</v>
      </c>
      <c r="J227" s="6">
        <v>2.0810185185185185E-2</v>
      </c>
      <c r="K227" s="3">
        <v>0.76591435185185186</v>
      </c>
      <c r="L227" s="1" t="s">
        <v>7</v>
      </c>
      <c r="M227" s="1" t="s">
        <v>7</v>
      </c>
      <c r="N227" s="1">
        <v>2</v>
      </c>
      <c r="O227" s="1">
        <v>2</v>
      </c>
      <c r="P227" s="1">
        <v>90</v>
      </c>
      <c r="Q227" s="1">
        <v>90</v>
      </c>
      <c r="R227" s="1">
        <v>38.4</v>
      </c>
      <c r="S227" s="1">
        <v>38.4</v>
      </c>
      <c r="T227" s="1"/>
      <c r="U227" s="1">
        <v>1</v>
      </c>
      <c r="X227" s="4" t="s">
        <v>640</v>
      </c>
    </row>
    <row r="228" spans="1:24" x14ac:dyDescent="0.2">
      <c r="A228" s="15">
        <v>1</v>
      </c>
      <c r="B228" s="1" t="s">
        <v>795</v>
      </c>
      <c r="C228" t="s">
        <v>773</v>
      </c>
      <c r="D228" s="1">
        <v>2</v>
      </c>
      <c r="E228" s="1" t="s">
        <v>722</v>
      </c>
      <c r="F228" s="4">
        <v>45445</v>
      </c>
      <c r="G228" s="3">
        <f>I228+K228</f>
        <v>0.7836805555555556</v>
      </c>
      <c r="H228" s="6">
        <f>J228+K228</f>
        <v>0.79743055555555553</v>
      </c>
      <c r="I228" s="3">
        <v>1.7766203703703704E-2</v>
      </c>
      <c r="J228" s="6">
        <v>3.1516203703703706E-2</v>
      </c>
      <c r="K228" s="3">
        <v>0.76591435185185186</v>
      </c>
      <c r="L228" s="1" t="s">
        <v>7</v>
      </c>
      <c r="M228" s="1" t="s">
        <v>7</v>
      </c>
      <c r="N228" s="1">
        <v>2</v>
      </c>
      <c r="O228" s="1">
        <v>2</v>
      </c>
      <c r="P228" s="1">
        <v>90</v>
      </c>
      <c r="Q228" s="1">
        <v>90</v>
      </c>
      <c r="R228" s="1">
        <v>38.4</v>
      </c>
      <c r="S228" s="1">
        <v>38.4</v>
      </c>
      <c r="T228" s="1"/>
      <c r="U228" s="1">
        <v>1</v>
      </c>
      <c r="X228" s="4" t="s">
        <v>640</v>
      </c>
    </row>
    <row r="229" spans="1:24" x14ac:dyDescent="0.2">
      <c r="A229" s="15">
        <v>1</v>
      </c>
      <c r="B229" s="1" t="s">
        <v>795</v>
      </c>
      <c r="C229" t="s">
        <v>773</v>
      </c>
      <c r="D229" s="1">
        <v>1</v>
      </c>
      <c r="E229" s="1" t="s">
        <v>723</v>
      </c>
      <c r="F229" s="4">
        <v>45445</v>
      </c>
      <c r="H229" s="6">
        <f>J229+K229</f>
        <v>0.23479166666666668</v>
      </c>
      <c r="J229" s="6">
        <v>5.1736111111111115E-3</v>
      </c>
      <c r="K229" s="3">
        <v>0.22961805555555556</v>
      </c>
      <c r="L229" s="1" t="s">
        <v>8</v>
      </c>
      <c r="M229" s="1" t="s">
        <v>7</v>
      </c>
      <c r="N229" s="1">
        <v>2</v>
      </c>
      <c r="O229" s="1">
        <v>2</v>
      </c>
      <c r="P229" s="1">
        <v>90</v>
      </c>
      <c r="Q229" s="1">
        <v>90</v>
      </c>
      <c r="R229" s="1">
        <v>38.4</v>
      </c>
      <c r="S229" s="1">
        <v>38.4</v>
      </c>
      <c r="T229" s="1"/>
      <c r="U229" s="1">
        <v>1</v>
      </c>
      <c r="X229" s="4" t="s">
        <v>640</v>
      </c>
    </row>
    <row r="230" spans="1:24" x14ac:dyDescent="0.2">
      <c r="A230" s="15">
        <v>1</v>
      </c>
      <c r="B230" s="1" t="s">
        <v>795</v>
      </c>
      <c r="C230" t="s">
        <v>773</v>
      </c>
      <c r="D230" s="1">
        <v>2</v>
      </c>
      <c r="E230" s="1" t="s">
        <v>723</v>
      </c>
      <c r="F230" s="4">
        <v>45445</v>
      </c>
      <c r="G230" s="3">
        <f>I230+K230</f>
        <v>0.23546296296296296</v>
      </c>
      <c r="H230" s="6">
        <f>J230+K230</f>
        <v>0.24001157407407409</v>
      </c>
      <c r="I230" s="3">
        <v>5.8449074074074072E-3</v>
      </c>
      <c r="J230" s="6">
        <v>1.0393518518518519E-2</v>
      </c>
      <c r="K230" s="3">
        <v>0.22961805555555556</v>
      </c>
      <c r="L230" s="1" t="s">
        <v>7</v>
      </c>
      <c r="M230" s="1" t="s">
        <v>7</v>
      </c>
      <c r="N230" s="1">
        <v>2</v>
      </c>
      <c r="O230" s="1">
        <v>2</v>
      </c>
      <c r="P230" s="1">
        <v>90</v>
      </c>
      <c r="Q230" s="1">
        <v>90</v>
      </c>
      <c r="R230" s="1">
        <v>38.4</v>
      </c>
      <c r="S230" s="1">
        <v>38.4</v>
      </c>
      <c r="T230" s="1"/>
      <c r="U230" s="1">
        <v>1</v>
      </c>
      <c r="X230" s="4" t="s">
        <v>640</v>
      </c>
    </row>
    <row r="231" spans="1:24" x14ac:dyDescent="0.2">
      <c r="A231" s="15">
        <v>1</v>
      </c>
      <c r="B231" s="1" t="s">
        <v>795</v>
      </c>
      <c r="C231" t="s">
        <v>773</v>
      </c>
      <c r="D231" s="1">
        <v>3</v>
      </c>
      <c r="E231" s="1" t="s">
        <v>723</v>
      </c>
      <c r="F231" s="4">
        <v>45445</v>
      </c>
      <c r="G231" s="3">
        <f>I231+K231</f>
        <v>0.24076388888888889</v>
      </c>
      <c r="H231" s="6">
        <f>J231+K231</f>
        <v>0.24662037037037038</v>
      </c>
      <c r="I231" s="3">
        <v>1.1145833333333334E-2</v>
      </c>
      <c r="J231" s="6">
        <v>1.7002314814814814E-2</v>
      </c>
      <c r="K231" s="3">
        <v>0.22961805555555556</v>
      </c>
      <c r="L231" s="1" t="s">
        <v>7</v>
      </c>
      <c r="M231" s="1" t="s">
        <v>7</v>
      </c>
      <c r="N231" s="1">
        <v>2</v>
      </c>
      <c r="O231" s="1">
        <v>2</v>
      </c>
      <c r="P231" s="1">
        <v>90</v>
      </c>
      <c r="Q231" s="1">
        <v>90</v>
      </c>
      <c r="R231" s="1">
        <v>38.4</v>
      </c>
      <c r="S231" s="1">
        <v>38.4</v>
      </c>
      <c r="T231" s="1"/>
      <c r="U231" s="1">
        <v>1</v>
      </c>
      <c r="X231" s="4" t="s">
        <v>640</v>
      </c>
    </row>
    <row r="232" spans="1:24" x14ac:dyDescent="0.2">
      <c r="A232" s="15">
        <v>1</v>
      </c>
      <c r="B232" s="1" t="s">
        <v>795</v>
      </c>
      <c r="C232" t="s">
        <v>773</v>
      </c>
      <c r="D232" s="1">
        <v>1</v>
      </c>
      <c r="E232" s="4" t="s">
        <v>724</v>
      </c>
      <c r="F232" s="4">
        <v>45444</v>
      </c>
      <c r="H232" s="6">
        <f>J232+K232</f>
        <v>0.22990740740740739</v>
      </c>
      <c r="J232" s="6">
        <v>7.1296296296296299E-3</v>
      </c>
      <c r="K232" s="6">
        <v>0.22277777777777777</v>
      </c>
      <c r="L232" s="1" t="s">
        <v>8</v>
      </c>
      <c r="M232" s="1" t="s">
        <v>8</v>
      </c>
      <c r="N232" s="1">
        <v>2</v>
      </c>
      <c r="O232" s="1">
        <v>2</v>
      </c>
      <c r="P232" s="1">
        <v>90</v>
      </c>
      <c r="Q232" s="1">
        <v>90</v>
      </c>
      <c r="R232" s="1">
        <v>38.4</v>
      </c>
      <c r="S232" s="1">
        <v>38.4</v>
      </c>
      <c r="T232" s="1"/>
      <c r="U232" s="1">
        <v>0</v>
      </c>
      <c r="X232" s="4" t="s">
        <v>640</v>
      </c>
    </row>
    <row r="233" spans="1:24" x14ac:dyDescent="0.2">
      <c r="A233" s="15">
        <v>1</v>
      </c>
      <c r="B233" s="1" t="s">
        <v>795</v>
      </c>
      <c r="C233" t="s">
        <v>773</v>
      </c>
      <c r="D233" s="1">
        <v>2</v>
      </c>
      <c r="E233" s="4" t="s">
        <v>724</v>
      </c>
      <c r="F233" s="4">
        <v>45444</v>
      </c>
      <c r="G233" s="3">
        <f>I233+K233</f>
        <v>0.2308449074074074</v>
      </c>
      <c r="H233" s="6">
        <f>J233+K233</f>
        <v>0.2381597222222222</v>
      </c>
      <c r="I233" s="3">
        <v>8.067129629629629E-3</v>
      </c>
      <c r="J233" s="6">
        <v>1.5381944444444445E-2</v>
      </c>
      <c r="K233" s="6">
        <v>0.22277777777777777</v>
      </c>
      <c r="L233" s="1" t="s">
        <v>8</v>
      </c>
      <c r="M233" s="1" t="s">
        <v>8</v>
      </c>
      <c r="N233" s="1">
        <v>2</v>
      </c>
      <c r="O233" s="1">
        <v>2</v>
      </c>
      <c r="P233" s="1">
        <v>90</v>
      </c>
      <c r="Q233" s="1">
        <v>90</v>
      </c>
      <c r="R233" s="1">
        <v>38.4</v>
      </c>
      <c r="S233" s="1">
        <v>38.4</v>
      </c>
      <c r="T233" s="1"/>
      <c r="U233" s="1">
        <v>0</v>
      </c>
      <c r="X233" s="4" t="s">
        <v>640</v>
      </c>
    </row>
    <row r="234" spans="1:24" x14ac:dyDescent="0.2">
      <c r="A234" s="15">
        <v>1</v>
      </c>
      <c r="B234" s="1" t="s">
        <v>795</v>
      </c>
      <c r="C234" t="s">
        <v>773</v>
      </c>
      <c r="D234" s="1">
        <v>1</v>
      </c>
      <c r="E234" s="1" t="s">
        <v>728</v>
      </c>
      <c r="F234" s="4">
        <v>45448</v>
      </c>
      <c r="H234" s="6">
        <f>J234+K234</f>
        <v>0.23193287037037039</v>
      </c>
      <c r="J234" s="6">
        <v>1.4317129629629629E-2</v>
      </c>
      <c r="K234" s="6">
        <v>0.21761574074074075</v>
      </c>
      <c r="L234" s="1" t="s">
        <v>7</v>
      </c>
      <c r="M234" s="1" t="s">
        <v>8</v>
      </c>
      <c r="N234" s="1">
        <v>2</v>
      </c>
      <c r="O234" s="1">
        <v>2</v>
      </c>
      <c r="P234" s="1">
        <v>90</v>
      </c>
      <c r="Q234" s="1">
        <v>90</v>
      </c>
      <c r="R234" s="1">
        <v>38.4</v>
      </c>
      <c r="S234" s="1">
        <v>38.4</v>
      </c>
      <c r="T234" s="1"/>
      <c r="U234" s="1">
        <v>0</v>
      </c>
      <c r="X234" s="4" t="s">
        <v>640</v>
      </c>
    </row>
    <row r="235" spans="1:24" x14ac:dyDescent="0.2">
      <c r="A235" s="15">
        <v>1</v>
      </c>
      <c r="B235" s="1" t="s">
        <v>795</v>
      </c>
      <c r="C235" t="s">
        <v>773</v>
      </c>
      <c r="D235" s="1">
        <v>2</v>
      </c>
      <c r="E235" s="1" t="s">
        <v>728</v>
      </c>
      <c r="F235" s="4">
        <v>45448</v>
      </c>
      <c r="G235" s="3">
        <f>I235+K235</f>
        <v>0.23283564814814817</v>
      </c>
      <c r="H235" s="6">
        <f>J235+K235</f>
        <v>0.25498842592592591</v>
      </c>
      <c r="I235" s="3">
        <v>1.5219907407407408E-2</v>
      </c>
      <c r="J235" s="6">
        <v>3.7372685185185182E-2</v>
      </c>
      <c r="K235" s="6">
        <v>0.21761574074074075</v>
      </c>
      <c r="L235" s="1" t="s">
        <v>8</v>
      </c>
      <c r="M235" s="1" t="s">
        <v>8</v>
      </c>
      <c r="N235" s="1">
        <v>2</v>
      </c>
      <c r="O235" s="1">
        <v>2</v>
      </c>
      <c r="P235" s="1">
        <v>90</v>
      </c>
      <c r="Q235" s="1">
        <v>90</v>
      </c>
      <c r="R235" s="1">
        <v>38.4</v>
      </c>
      <c r="S235" s="1">
        <v>38.4</v>
      </c>
      <c r="T235" s="1"/>
      <c r="U235" s="1">
        <v>0</v>
      </c>
      <c r="X235" s="4" t="s">
        <v>640</v>
      </c>
    </row>
    <row r="236" spans="1:24" x14ac:dyDescent="0.2">
      <c r="A236" s="15">
        <v>1</v>
      </c>
      <c r="B236" s="1" t="s">
        <v>795</v>
      </c>
      <c r="C236" t="s">
        <v>773</v>
      </c>
      <c r="D236" s="1">
        <v>1</v>
      </c>
      <c r="E236" s="1" t="s">
        <v>729</v>
      </c>
      <c r="F236" s="4">
        <v>45449</v>
      </c>
      <c r="H236" s="6">
        <f>J236+K236</f>
        <v>0.22938657407407409</v>
      </c>
      <c r="J236" s="6">
        <v>8.2291666666666659E-3</v>
      </c>
      <c r="K236" s="3">
        <v>0.22115740740740741</v>
      </c>
      <c r="L236" s="1" t="s">
        <v>8</v>
      </c>
      <c r="M236" s="1" t="s">
        <v>8</v>
      </c>
      <c r="N236" s="1">
        <v>2</v>
      </c>
      <c r="O236" s="1">
        <v>2</v>
      </c>
      <c r="P236" s="1">
        <v>90</v>
      </c>
      <c r="Q236" s="1">
        <v>90</v>
      </c>
      <c r="R236" s="1">
        <v>38.4</v>
      </c>
      <c r="S236" s="1">
        <v>38.4</v>
      </c>
      <c r="T236" s="1"/>
      <c r="U236" s="1">
        <v>0</v>
      </c>
      <c r="X236" s="4" t="s">
        <v>640</v>
      </c>
    </row>
    <row r="237" spans="1:24" x14ac:dyDescent="0.2">
      <c r="A237" s="15">
        <v>1</v>
      </c>
      <c r="B237" s="1" t="s">
        <v>795</v>
      </c>
      <c r="C237" t="s">
        <v>773</v>
      </c>
      <c r="D237" s="1">
        <v>2</v>
      </c>
      <c r="E237" s="1" t="s">
        <v>729</v>
      </c>
      <c r="F237" s="4">
        <v>45449</v>
      </c>
      <c r="H237" s="6">
        <f>J237+K237</f>
        <v>0.24318287037037037</v>
      </c>
      <c r="J237" s="6">
        <v>2.2025462962962962E-2</v>
      </c>
      <c r="K237" s="3">
        <v>0.22115740740740741</v>
      </c>
      <c r="L237" s="1" t="s">
        <v>8</v>
      </c>
      <c r="M237" s="1" t="s">
        <v>8</v>
      </c>
      <c r="N237" s="1">
        <v>2</v>
      </c>
      <c r="O237" s="1">
        <v>2</v>
      </c>
      <c r="P237" s="1">
        <v>90</v>
      </c>
      <c r="Q237" s="1">
        <v>90</v>
      </c>
      <c r="R237" s="1">
        <v>38.4</v>
      </c>
      <c r="S237" s="1">
        <v>38.4</v>
      </c>
      <c r="T237" s="1"/>
      <c r="U237" s="1">
        <v>0</v>
      </c>
      <c r="X237" s="4" t="s">
        <v>640</v>
      </c>
    </row>
    <row r="238" spans="1:24" x14ac:dyDescent="0.2">
      <c r="A238" s="15">
        <v>1</v>
      </c>
      <c r="B238" s="1" t="s">
        <v>795</v>
      </c>
      <c r="C238" t="s">
        <v>773</v>
      </c>
      <c r="D238" s="1">
        <v>3</v>
      </c>
      <c r="E238" s="1" t="s">
        <v>729</v>
      </c>
      <c r="F238" s="4">
        <v>45449</v>
      </c>
      <c r="G238" s="3">
        <f>I238+K238</f>
        <v>0.24403935185185185</v>
      </c>
      <c r="H238" s="6">
        <f>J238+K238</f>
        <v>0.24925925925925926</v>
      </c>
      <c r="I238" s="3">
        <v>2.2881944444444444E-2</v>
      </c>
      <c r="J238" s="6">
        <v>2.8101851851851854E-2</v>
      </c>
      <c r="K238" s="3">
        <v>0.22115740740740741</v>
      </c>
      <c r="L238" s="1" t="s">
        <v>8</v>
      </c>
      <c r="M238" s="1" t="s">
        <v>8</v>
      </c>
      <c r="N238" s="1">
        <v>2</v>
      </c>
      <c r="O238" s="1">
        <v>2</v>
      </c>
      <c r="P238" s="1">
        <v>90</v>
      </c>
      <c r="Q238" s="1">
        <v>90</v>
      </c>
      <c r="R238" s="1">
        <v>38.4</v>
      </c>
      <c r="S238" s="1">
        <v>38.4</v>
      </c>
      <c r="T238" s="1"/>
      <c r="U238" s="1">
        <v>0</v>
      </c>
      <c r="X238" s="4" t="s">
        <v>640</v>
      </c>
    </row>
    <row r="239" spans="1:24" x14ac:dyDescent="0.2">
      <c r="A239" s="15">
        <v>1</v>
      </c>
      <c r="B239" s="1" t="s">
        <v>795</v>
      </c>
      <c r="C239" t="s">
        <v>773</v>
      </c>
      <c r="D239" s="1">
        <v>4</v>
      </c>
      <c r="E239" s="1" t="s">
        <v>729</v>
      </c>
      <c r="F239" s="4">
        <v>45449</v>
      </c>
      <c r="G239" s="3">
        <f>I239+K239</f>
        <v>0.25015046296296295</v>
      </c>
      <c r="H239" s="6">
        <f>J239+K239</f>
        <v>0.2553125</v>
      </c>
      <c r="I239" s="3">
        <v>2.8993055555555557E-2</v>
      </c>
      <c r="J239" s="6">
        <v>3.4155092592592591E-2</v>
      </c>
      <c r="K239" s="3">
        <v>0.22115740740740741</v>
      </c>
      <c r="L239" s="1" t="s">
        <v>8</v>
      </c>
      <c r="M239" s="1" t="s">
        <v>8</v>
      </c>
      <c r="N239" s="1">
        <v>2</v>
      </c>
      <c r="O239" s="1">
        <v>2</v>
      </c>
      <c r="P239" s="1">
        <v>90</v>
      </c>
      <c r="Q239" s="1">
        <v>90</v>
      </c>
      <c r="R239" s="1">
        <v>38.4</v>
      </c>
      <c r="S239" s="1">
        <v>38.4</v>
      </c>
      <c r="T239" s="1"/>
      <c r="U239" s="1">
        <v>1</v>
      </c>
      <c r="X239" s="4" t="s">
        <v>640</v>
      </c>
    </row>
    <row r="240" spans="1:24" x14ac:dyDescent="0.2">
      <c r="A240" s="15">
        <v>1</v>
      </c>
      <c r="B240" s="1" t="s">
        <v>795</v>
      </c>
      <c r="C240" t="s">
        <v>773</v>
      </c>
      <c r="D240" s="1">
        <v>1</v>
      </c>
      <c r="E240" s="1" t="s">
        <v>730</v>
      </c>
      <c r="F240" s="4">
        <v>45448</v>
      </c>
      <c r="G240" s="3"/>
      <c r="H240" s="6" t="s">
        <v>21</v>
      </c>
      <c r="I240" s="3">
        <v>0.22115740740740741</v>
      </c>
      <c r="J240" s="6" t="s">
        <v>21</v>
      </c>
      <c r="K240" s="3">
        <v>0.76388888888888884</v>
      </c>
      <c r="L240" s="1" t="s">
        <v>8</v>
      </c>
      <c r="M240" s="1" t="s">
        <v>8</v>
      </c>
      <c r="N240" s="1">
        <v>2</v>
      </c>
      <c r="O240" s="1">
        <v>2</v>
      </c>
      <c r="P240" s="1">
        <v>90</v>
      </c>
      <c r="Q240" s="1">
        <v>90</v>
      </c>
      <c r="R240" s="1">
        <v>38.4</v>
      </c>
      <c r="S240" s="1">
        <v>38.4</v>
      </c>
      <c r="T240" s="1"/>
      <c r="U240" s="1" t="s">
        <v>21</v>
      </c>
      <c r="V240" s="1" t="s">
        <v>731</v>
      </c>
      <c r="X240" s="4" t="s">
        <v>640</v>
      </c>
    </row>
    <row r="241" spans="1:24" x14ac:dyDescent="0.2">
      <c r="A241" s="15">
        <v>1</v>
      </c>
      <c r="B241" s="1" t="s">
        <v>795</v>
      </c>
      <c r="C241" t="s">
        <v>773</v>
      </c>
      <c r="D241" s="1">
        <v>2</v>
      </c>
      <c r="E241" s="1" t="s">
        <v>730</v>
      </c>
      <c r="F241" s="4">
        <v>45448</v>
      </c>
      <c r="G241" s="3">
        <f>I241+K241</f>
        <v>0.78267361111111111</v>
      </c>
      <c r="H241" s="6" t="s">
        <v>21</v>
      </c>
      <c r="I241" s="3">
        <v>1.8784722222222223E-2</v>
      </c>
      <c r="J241" s="6" t="s">
        <v>21</v>
      </c>
      <c r="K241" s="3">
        <v>0.76388888888888884</v>
      </c>
      <c r="L241" s="1" t="s">
        <v>8</v>
      </c>
      <c r="M241" s="1" t="s">
        <v>8</v>
      </c>
      <c r="N241" s="1">
        <v>2</v>
      </c>
      <c r="O241" s="1">
        <v>2</v>
      </c>
      <c r="P241" s="1">
        <v>90</v>
      </c>
      <c r="Q241" s="1">
        <v>90</v>
      </c>
      <c r="R241" s="1">
        <v>38.4</v>
      </c>
      <c r="S241" s="1">
        <v>38.4</v>
      </c>
      <c r="T241" s="1"/>
      <c r="U241" s="1" t="s">
        <v>21</v>
      </c>
      <c r="X241" s="4" t="s">
        <v>640</v>
      </c>
    </row>
    <row r="242" spans="1:24" x14ac:dyDescent="0.2">
      <c r="A242" s="15">
        <v>1</v>
      </c>
      <c r="B242" s="1" t="s">
        <v>795</v>
      </c>
      <c r="C242" t="s">
        <v>773</v>
      </c>
      <c r="D242" s="1">
        <v>1</v>
      </c>
      <c r="E242" s="1" t="s">
        <v>732</v>
      </c>
      <c r="F242" s="4">
        <v>45450</v>
      </c>
      <c r="H242" s="6">
        <f>J242+K242</f>
        <v>0.23401620370370371</v>
      </c>
      <c r="J242" s="6">
        <v>1.2685185185185185E-2</v>
      </c>
      <c r="K242" s="3">
        <v>0.22133101851851852</v>
      </c>
      <c r="L242" s="1" t="s">
        <v>7</v>
      </c>
      <c r="M242" s="1" t="s">
        <v>7</v>
      </c>
      <c r="N242" s="1">
        <v>2</v>
      </c>
      <c r="O242" s="1">
        <v>2</v>
      </c>
      <c r="P242" s="1">
        <v>90</v>
      </c>
      <c r="Q242" s="1">
        <v>90</v>
      </c>
      <c r="R242" s="1">
        <v>38.4</v>
      </c>
      <c r="S242" s="1">
        <v>38.4</v>
      </c>
      <c r="T242" s="1"/>
      <c r="U242" s="1">
        <v>1</v>
      </c>
      <c r="W242" s="2" t="s">
        <v>665</v>
      </c>
      <c r="X242" s="4" t="s">
        <v>640</v>
      </c>
    </row>
    <row r="243" spans="1:24" x14ac:dyDescent="0.2">
      <c r="A243" s="15">
        <v>1</v>
      </c>
      <c r="B243" s="1" t="s">
        <v>795</v>
      </c>
      <c r="C243" t="s">
        <v>773</v>
      </c>
      <c r="D243" s="1">
        <v>2</v>
      </c>
      <c r="E243" s="1" t="s">
        <v>732</v>
      </c>
      <c r="F243" s="4">
        <v>45450</v>
      </c>
      <c r="G243" s="3">
        <f>I243+K243</f>
        <v>0.23457175925925927</v>
      </c>
      <c r="H243" s="6">
        <f>J243+K243</f>
        <v>0.25451388888888887</v>
      </c>
      <c r="I243" s="3">
        <v>1.324074074074074E-2</v>
      </c>
      <c r="J243" s="6">
        <v>3.318287037037037E-2</v>
      </c>
      <c r="K243" s="3">
        <v>0.22133101851851852</v>
      </c>
      <c r="L243" s="1" t="s">
        <v>7</v>
      </c>
      <c r="M243" s="1" t="s">
        <v>7</v>
      </c>
      <c r="N243" s="1">
        <v>2</v>
      </c>
      <c r="O243" s="1">
        <v>2</v>
      </c>
      <c r="P243" s="1">
        <v>90</v>
      </c>
      <c r="Q243" s="1">
        <v>90</v>
      </c>
      <c r="R243" s="1">
        <v>38.4</v>
      </c>
      <c r="S243" s="1">
        <v>38.4</v>
      </c>
      <c r="T243" s="1"/>
      <c r="U243" s="1">
        <v>1</v>
      </c>
      <c r="X243" s="4" t="s">
        <v>640</v>
      </c>
    </row>
    <row r="244" spans="1:24" x14ac:dyDescent="0.2">
      <c r="A244" s="15">
        <v>1</v>
      </c>
      <c r="B244" s="1" t="s">
        <v>795</v>
      </c>
      <c r="C244" t="s">
        <v>773</v>
      </c>
      <c r="D244" s="1">
        <v>1</v>
      </c>
      <c r="E244" s="1" t="s">
        <v>733</v>
      </c>
      <c r="F244" s="4">
        <v>45449</v>
      </c>
      <c r="G244" s="3">
        <f>I244+K244</f>
        <v>0.77876157407407409</v>
      </c>
      <c r="H244" s="6">
        <f>J244+K244</f>
        <v>0.78518518518518521</v>
      </c>
      <c r="I244" s="6">
        <v>1.2094907407407407E-2</v>
      </c>
      <c r="J244" s="6">
        <v>1.8518518518518517E-2</v>
      </c>
      <c r="K244" s="3">
        <v>0.76666666666666672</v>
      </c>
      <c r="L244" s="1" t="s">
        <v>8</v>
      </c>
      <c r="M244" s="1" t="s">
        <v>7</v>
      </c>
      <c r="N244" s="1">
        <v>2</v>
      </c>
      <c r="O244" s="1">
        <v>2</v>
      </c>
      <c r="P244" s="1">
        <v>90</v>
      </c>
      <c r="Q244" s="1">
        <v>90</v>
      </c>
      <c r="R244" s="1">
        <v>38.4</v>
      </c>
      <c r="S244" s="1">
        <v>38.4</v>
      </c>
      <c r="T244" s="1"/>
      <c r="U244" s="1">
        <v>1</v>
      </c>
      <c r="X244" s="4" t="s">
        <v>640</v>
      </c>
    </row>
    <row r="245" spans="1:24" x14ac:dyDescent="0.2">
      <c r="A245" s="15">
        <v>1</v>
      </c>
      <c r="B245" s="1" t="s">
        <v>795</v>
      </c>
      <c r="C245" t="s">
        <v>773</v>
      </c>
      <c r="D245" s="1">
        <v>2</v>
      </c>
      <c r="E245" s="1" t="s">
        <v>733</v>
      </c>
      <c r="F245" s="4">
        <v>45449</v>
      </c>
      <c r="G245" s="3">
        <f>I245+K245</f>
        <v>0.78362268518518519</v>
      </c>
      <c r="H245" s="6">
        <f>J245+K245</f>
        <v>0.79519675925925926</v>
      </c>
      <c r="I245" s="3">
        <v>1.695601851851852E-2</v>
      </c>
      <c r="J245" s="6">
        <v>2.8530092592592593E-2</v>
      </c>
      <c r="K245" s="3">
        <v>0.76666666666666672</v>
      </c>
      <c r="L245" s="1" t="s">
        <v>8</v>
      </c>
      <c r="M245" s="1" t="s">
        <v>7</v>
      </c>
      <c r="N245" s="1">
        <v>2</v>
      </c>
      <c r="O245" s="1">
        <v>2</v>
      </c>
      <c r="P245" s="1">
        <v>90</v>
      </c>
      <c r="Q245" s="1">
        <v>90</v>
      </c>
      <c r="R245" s="1">
        <v>38.4</v>
      </c>
      <c r="S245" s="1">
        <v>38.4</v>
      </c>
      <c r="T245" s="1"/>
      <c r="U245" s="1">
        <v>1</v>
      </c>
      <c r="W245" s="2" t="s">
        <v>734</v>
      </c>
      <c r="X245" s="4" t="s">
        <v>640</v>
      </c>
    </row>
    <row r="246" spans="1:24" x14ac:dyDescent="0.2">
      <c r="A246" s="15">
        <v>1</v>
      </c>
      <c r="B246" s="1" t="s">
        <v>795</v>
      </c>
      <c r="C246" t="s">
        <v>773</v>
      </c>
      <c r="D246" s="1">
        <v>1</v>
      </c>
      <c r="E246" s="1" t="s">
        <v>735</v>
      </c>
      <c r="F246" s="4">
        <v>45450</v>
      </c>
      <c r="G246" s="3">
        <f>I246+K246</f>
        <v>0.77171296296296299</v>
      </c>
      <c r="H246" s="6">
        <f>J246+K246</f>
        <v>0.79762731481481486</v>
      </c>
      <c r="I246" s="3">
        <v>6.3541666666666668E-3</v>
      </c>
      <c r="J246" s="6">
        <v>3.2268518518518516E-2</v>
      </c>
      <c r="K246" s="3">
        <v>0.76535879629629633</v>
      </c>
      <c r="L246" s="1" t="s">
        <v>7</v>
      </c>
      <c r="M246" s="1" t="s">
        <v>8</v>
      </c>
      <c r="N246" s="1">
        <v>2</v>
      </c>
      <c r="O246" s="1">
        <v>2</v>
      </c>
      <c r="P246" s="1">
        <v>90</v>
      </c>
      <c r="Q246" s="1">
        <v>90</v>
      </c>
      <c r="R246" s="1">
        <v>38.4</v>
      </c>
      <c r="S246" s="1">
        <v>38.4</v>
      </c>
      <c r="T246" s="1"/>
      <c r="U246" s="1">
        <v>0</v>
      </c>
      <c r="X246" s="4" t="s">
        <v>640</v>
      </c>
    </row>
    <row r="247" spans="1:24" x14ac:dyDescent="0.2">
      <c r="A247" s="15">
        <v>1</v>
      </c>
      <c r="B247" s="1" t="s">
        <v>795</v>
      </c>
      <c r="C247" t="s">
        <v>773</v>
      </c>
      <c r="D247" s="1">
        <v>1</v>
      </c>
      <c r="E247" s="1" t="s">
        <v>736</v>
      </c>
      <c r="F247" s="4">
        <v>45451</v>
      </c>
      <c r="G247" s="1" t="s">
        <v>21</v>
      </c>
      <c r="H247" s="6">
        <f>J247+K247</f>
        <v>0.229375</v>
      </c>
      <c r="I247" s="1" t="s">
        <v>21</v>
      </c>
      <c r="J247" s="6">
        <v>1.1793981481481482E-2</v>
      </c>
      <c r="K247" s="3">
        <v>0.21758101851851852</v>
      </c>
      <c r="L247" s="1" t="s">
        <v>8</v>
      </c>
      <c r="M247" s="1" t="s">
        <v>8</v>
      </c>
      <c r="N247" s="1">
        <v>2</v>
      </c>
      <c r="O247" s="1">
        <v>2</v>
      </c>
      <c r="P247" s="1">
        <v>90</v>
      </c>
      <c r="Q247" s="1">
        <v>90</v>
      </c>
      <c r="R247" s="1">
        <v>38.4</v>
      </c>
      <c r="S247" s="1">
        <v>38.4</v>
      </c>
      <c r="T247" s="1"/>
      <c r="U247" s="1">
        <v>0</v>
      </c>
      <c r="W247" s="2" t="s">
        <v>737</v>
      </c>
      <c r="X247" s="4" t="s">
        <v>640</v>
      </c>
    </row>
    <row r="248" spans="1:24" x14ac:dyDescent="0.2">
      <c r="A248" s="15">
        <v>1</v>
      </c>
      <c r="B248" s="1" t="s">
        <v>795</v>
      </c>
      <c r="C248" t="s">
        <v>773</v>
      </c>
      <c r="D248" s="1">
        <v>2</v>
      </c>
      <c r="E248" s="1" t="s">
        <v>736</v>
      </c>
      <c r="F248" s="4">
        <v>45451</v>
      </c>
      <c r="G248" s="3">
        <f>I248+K248</f>
        <v>0.22998842592592592</v>
      </c>
      <c r="H248" s="6">
        <f>J248+K248</f>
        <v>0.24319444444444444</v>
      </c>
      <c r="I248" s="3">
        <v>1.2407407407407407E-2</v>
      </c>
      <c r="J248" s="6">
        <v>2.5613425925925925E-2</v>
      </c>
      <c r="K248" s="3">
        <v>0.21758101851851852</v>
      </c>
      <c r="L248" s="1" t="s">
        <v>8</v>
      </c>
      <c r="M248" s="1" t="s">
        <v>8</v>
      </c>
      <c r="N248" s="1">
        <v>2</v>
      </c>
      <c r="O248" s="1">
        <v>2</v>
      </c>
      <c r="P248" s="1">
        <v>90</v>
      </c>
      <c r="Q248" s="1">
        <v>90</v>
      </c>
      <c r="R248" s="1">
        <v>38.4</v>
      </c>
      <c r="S248" s="1">
        <v>38.4</v>
      </c>
      <c r="T248" s="1"/>
      <c r="U248" s="1">
        <v>0</v>
      </c>
      <c r="X248" s="4" t="s">
        <v>640</v>
      </c>
    </row>
    <row r="249" spans="1:24" x14ac:dyDescent="0.2">
      <c r="A249" s="15">
        <v>1</v>
      </c>
      <c r="B249" s="1" t="s">
        <v>795</v>
      </c>
      <c r="C249" t="s">
        <v>773</v>
      </c>
      <c r="D249" s="1">
        <v>3</v>
      </c>
      <c r="E249" s="1" t="s">
        <v>736</v>
      </c>
      <c r="F249" s="4">
        <v>45451</v>
      </c>
      <c r="G249" s="3">
        <f>I249+K249</f>
        <v>0.24376157407407406</v>
      </c>
      <c r="H249" s="6">
        <f>J249+K249</f>
        <v>0.25528935185185186</v>
      </c>
      <c r="I249" s="3">
        <v>2.6180555555555554E-2</v>
      </c>
      <c r="J249" s="6">
        <v>3.7708333333333337E-2</v>
      </c>
      <c r="K249" s="3">
        <v>0.21758101851851852</v>
      </c>
      <c r="L249" s="1" t="s">
        <v>8</v>
      </c>
      <c r="M249" s="1" t="s">
        <v>8</v>
      </c>
      <c r="N249" s="1">
        <v>2</v>
      </c>
      <c r="O249" s="1">
        <v>2</v>
      </c>
      <c r="P249" s="1">
        <v>90</v>
      </c>
      <c r="Q249" s="1">
        <v>90</v>
      </c>
      <c r="R249" s="1">
        <v>38.4</v>
      </c>
      <c r="S249" s="1">
        <v>38.4</v>
      </c>
      <c r="T249" s="1"/>
      <c r="U249" s="1">
        <v>1</v>
      </c>
      <c r="X249" s="4" t="s">
        <v>640</v>
      </c>
    </row>
    <row r="250" spans="1:24" x14ac:dyDescent="0.2">
      <c r="A250" s="15">
        <v>1</v>
      </c>
      <c r="B250" s="1" t="s">
        <v>795</v>
      </c>
      <c r="C250" t="s">
        <v>773</v>
      </c>
      <c r="D250" s="1">
        <v>1</v>
      </c>
      <c r="E250" s="1" t="s">
        <v>738</v>
      </c>
      <c r="F250" s="4">
        <v>45451</v>
      </c>
      <c r="G250" s="3">
        <f>I250+K250</f>
        <v>0.77681712962962957</v>
      </c>
      <c r="H250" s="6">
        <f>J250+K250</f>
        <v>0.79278935185185184</v>
      </c>
      <c r="I250" s="3">
        <v>3.9120370370370368E-3</v>
      </c>
      <c r="J250" s="6">
        <v>1.9884259259259258E-2</v>
      </c>
      <c r="K250" s="3">
        <v>0.77290509259259255</v>
      </c>
      <c r="L250" s="1" t="s">
        <v>8</v>
      </c>
      <c r="M250" s="1" t="s">
        <v>8</v>
      </c>
      <c r="N250" s="1">
        <v>2</v>
      </c>
      <c r="O250" s="1">
        <v>2</v>
      </c>
      <c r="P250" s="1">
        <v>90</v>
      </c>
      <c r="Q250" s="1">
        <v>90</v>
      </c>
      <c r="R250" s="1">
        <v>38.4</v>
      </c>
      <c r="S250" s="2">
        <v>115.17</v>
      </c>
      <c r="U250" s="1">
        <v>1</v>
      </c>
      <c r="X250" s="4" t="s">
        <v>640</v>
      </c>
    </row>
    <row r="251" spans="1:24" x14ac:dyDescent="0.2">
      <c r="A251" s="15">
        <v>1</v>
      </c>
      <c r="B251" s="1" t="s">
        <v>795</v>
      </c>
      <c r="C251" t="s">
        <v>773</v>
      </c>
      <c r="D251" s="1">
        <v>1</v>
      </c>
      <c r="E251" s="1" t="s">
        <v>740</v>
      </c>
      <c r="F251" s="4">
        <v>45452</v>
      </c>
      <c r="H251" s="6">
        <f>J251+K251</f>
        <v>0.22699074074074074</v>
      </c>
      <c r="J251" s="6">
        <v>1.0949074074074075E-2</v>
      </c>
      <c r="K251" s="3">
        <v>0.21604166666666666</v>
      </c>
      <c r="L251" s="1" t="s">
        <v>8</v>
      </c>
      <c r="M251" s="1" t="s">
        <v>8</v>
      </c>
      <c r="N251" s="1">
        <v>2</v>
      </c>
      <c r="O251" s="1">
        <v>2</v>
      </c>
      <c r="P251" s="1">
        <v>90</v>
      </c>
      <c r="Q251" s="1">
        <v>90</v>
      </c>
      <c r="R251" s="2">
        <v>115.17</v>
      </c>
      <c r="S251" s="2">
        <v>115.17</v>
      </c>
      <c r="U251" s="1">
        <v>1</v>
      </c>
      <c r="V251" s="1" t="s">
        <v>739</v>
      </c>
      <c r="X251" s="4" t="s">
        <v>640</v>
      </c>
    </row>
    <row r="252" spans="1:24" x14ac:dyDescent="0.2">
      <c r="A252" s="15">
        <v>1</v>
      </c>
      <c r="B252" s="1" t="s">
        <v>795</v>
      </c>
      <c r="C252" t="s">
        <v>773</v>
      </c>
      <c r="D252" s="1">
        <v>2</v>
      </c>
      <c r="E252" s="1" t="s">
        <v>740</v>
      </c>
      <c r="F252" s="4">
        <v>45452</v>
      </c>
      <c r="G252" s="3">
        <f>I252+K252</f>
        <v>0.2275925925925926</v>
      </c>
      <c r="H252" s="6">
        <f>J252+K252</f>
        <v>0.25600694444444444</v>
      </c>
      <c r="I252" s="3">
        <v>1.1550925925925926E-2</v>
      </c>
      <c r="J252" s="6">
        <v>3.996527777777778E-2</v>
      </c>
      <c r="K252" s="3">
        <v>0.21604166666666666</v>
      </c>
      <c r="L252" s="1" t="s">
        <v>8</v>
      </c>
      <c r="M252" s="1" t="s">
        <v>7</v>
      </c>
      <c r="N252" s="1">
        <v>2</v>
      </c>
      <c r="O252" s="1">
        <v>2</v>
      </c>
      <c r="P252" s="1">
        <v>90</v>
      </c>
      <c r="Q252" s="1">
        <v>90</v>
      </c>
      <c r="R252" s="2">
        <v>115.17</v>
      </c>
      <c r="S252" s="2">
        <v>115.17</v>
      </c>
      <c r="U252" s="1">
        <v>1</v>
      </c>
      <c r="X252" s="4" t="s">
        <v>640</v>
      </c>
    </row>
    <row r="253" spans="1:24" x14ac:dyDescent="0.2">
      <c r="A253" s="15">
        <v>1</v>
      </c>
      <c r="B253" s="1" t="s">
        <v>795</v>
      </c>
      <c r="C253" t="s">
        <v>773</v>
      </c>
      <c r="D253" s="1">
        <v>1</v>
      </c>
      <c r="E253" s="1" t="s">
        <v>741</v>
      </c>
      <c r="F253" s="4">
        <v>45454</v>
      </c>
      <c r="H253" s="6">
        <f>J253+K253</f>
        <v>0.79517361111111118</v>
      </c>
      <c r="J253" s="6">
        <v>1.8576388888888889E-2</v>
      </c>
      <c r="K253" s="3">
        <v>0.77659722222222227</v>
      </c>
      <c r="L253" s="1" t="s">
        <v>8</v>
      </c>
      <c r="M253" s="1" t="s">
        <v>7</v>
      </c>
      <c r="N253" s="1">
        <v>2</v>
      </c>
      <c r="O253" s="1">
        <v>2</v>
      </c>
      <c r="P253" s="1">
        <v>90</v>
      </c>
      <c r="Q253" s="1">
        <v>90</v>
      </c>
      <c r="R253" s="2">
        <v>115.17</v>
      </c>
      <c r="S253" s="2">
        <v>115.17</v>
      </c>
      <c r="U253" s="1">
        <v>1</v>
      </c>
      <c r="X253" s="4" t="s">
        <v>640</v>
      </c>
    </row>
    <row r="254" spans="1:24" x14ac:dyDescent="0.2">
      <c r="A254" s="15">
        <v>1</v>
      </c>
      <c r="B254" s="1" t="s">
        <v>795</v>
      </c>
      <c r="C254" t="s">
        <v>773</v>
      </c>
      <c r="D254" s="1">
        <v>1</v>
      </c>
      <c r="E254" s="1" t="s">
        <v>742</v>
      </c>
      <c r="F254" s="4">
        <v>45453</v>
      </c>
      <c r="H254" s="6">
        <f>J254+K254</f>
        <v>0.77613425925925927</v>
      </c>
      <c r="J254" s="6">
        <v>1.7592592592592592E-3</v>
      </c>
      <c r="K254" s="3">
        <v>0.77437500000000004</v>
      </c>
      <c r="L254" s="1" t="s">
        <v>8</v>
      </c>
      <c r="M254" s="1" t="s">
        <v>8</v>
      </c>
      <c r="N254" s="1">
        <v>2</v>
      </c>
      <c r="O254" s="1">
        <v>2</v>
      </c>
      <c r="P254" s="1">
        <v>90</v>
      </c>
      <c r="Q254" s="1">
        <v>90</v>
      </c>
      <c r="R254" s="2">
        <v>115.17</v>
      </c>
      <c r="S254" s="2">
        <v>115.17</v>
      </c>
      <c r="U254" s="1">
        <v>1</v>
      </c>
      <c r="X254" s="4" t="s">
        <v>640</v>
      </c>
    </row>
    <row r="255" spans="1:24" x14ac:dyDescent="0.2">
      <c r="A255" s="15">
        <v>1</v>
      </c>
      <c r="B255" s="1" t="s">
        <v>795</v>
      </c>
      <c r="C255" t="s">
        <v>773</v>
      </c>
      <c r="D255" s="1">
        <v>1</v>
      </c>
      <c r="E255" s="1" t="s">
        <v>743</v>
      </c>
      <c r="F255" s="4">
        <v>45455</v>
      </c>
      <c r="H255" s="6">
        <f>J255+K255</f>
        <v>0.22692129629629629</v>
      </c>
      <c r="J255" s="6">
        <v>6.1342592592592594E-3</v>
      </c>
      <c r="K255" s="3">
        <v>0.22078703703703703</v>
      </c>
      <c r="L255" s="1" t="s">
        <v>7</v>
      </c>
      <c r="M255" s="1" t="s">
        <v>8</v>
      </c>
      <c r="N255" s="1">
        <v>2</v>
      </c>
      <c r="O255" s="1">
        <v>2</v>
      </c>
      <c r="P255" s="1">
        <v>90</v>
      </c>
      <c r="Q255" s="1">
        <v>90</v>
      </c>
      <c r="R255" s="2">
        <v>115.17</v>
      </c>
      <c r="S255" s="2">
        <v>115.17</v>
      </c>
      <c r="U255" s="1">
        <v>1</v>
      </c>
      <c r="X255" s="4" t="s">
        <v>640</v>
      </c>
    </row>
    <row r="256" spans="1:24" x14ac:dyDescent="0.2">
      <c r="A256" s="15">
        <v>1</v>
      </c>
      <c r="B256" s="1" t="s">
        <v>795</v>
      </c>
      <c r="C256" t="s">
        <v>773</v>
      </c>
      <c r="D256" s="1">
        <v>2</v>
      </c>
      <c r="E256" s="1" t="s">
        <v>743</v>
      </c>
      <c r="F256" s="4">
        <v>45455</v>
      </c>
      <c r="G256" s="3">
        <f>I256+K256</f>
        <v>0.22810185185185183</v>
      </c>
      <c r="H256" s="6">
        <f>J256+K256</f>
        <v>0.24199074074074073</v>
      </c>
      <c r="I256" s="3">
        <v>7.3148148148148148E-3</v>
      </c>
      <c r="J256" s="6">
        <v>2.1203703703703704E-2</v>
      </c>
      <c r="K256" s="3">
        <v>0.22078703703703703</v>
      </c>
      <c r="L256" s="1" t="s">
        <v>8</v>
      </c>
      <c r="M256" s="1" t="s">
        <v>8</v>
      </c>
      <c r="N256" s="1">
        <v>2</v>
      </c>
      <c r="O256" s="1">
        <v>2</v>
      </c>
      <c r="P256" s="1">
        <v>90</v>
      </c>
      <c r="Q256" s="1">
        <v>90</v>
      </c>
      <c r="R256" s="2">
        <v>115.17</v>
      </c>
      <c r="S256" s="2">
        <v>115.17</v>
      </c>
      <c r="U256" s="1">
        <v>1</v>
      </c>
      <c r="X256" s="4" t="s">
        <v>640</v>
      </c>
    </row>
    <row r="257" spans="1:24" x14ac:dyDescent="0.2">
      <c r="A257" s="15">
        <v>1</v>
      </c>
      <c r="B257" s="1" t="s">
        <v>795</v>
      </c>
      <c r="C257" t="s">
        <v>773</v>
      </c>
      <c r="D257" s="1">
        <v>1</v>
      </c>
      <c r="E257" s="1" t="s">
        <v>744</v>
      </c>
      <c r="F257" s="4">
        <v>45455</v>
      </c>
      <c r="H257" s="6">
        <f>J257+K257</f>
        <v>0.79962962962962958</v>
      </c>
      <c r="J257" s="6">
        <v>1.818287037037037E-2</v>
      </c>
      <c r="K257" s="3">
        <v>0.78144675925925922</v>
      </c>
      <c r="L257" s="1" t="s">
        <v>8</v>
      </c>
      <c r="M257" s="1" t="s">
        <v>7</v>
      </c>
      <c r="N257" s="1">
        <v>2</v>
      </c>
      <c r="O257" s="1">
        <v>2</v>
      </c>
      <c r="P257" s="1">
        <v>90</v>
      </c>
      <c r="Q257" s="1">
        <v>90</v>
      </c>
      <c r="R257" s="2">
        <v>115.17</v>
      </c>
      <c r="S257" s="2">
        <v>115.17</v>
      </c>
      <c r="U257" s="1">
        <v>0</v>
      </c>
      <c r="X257" s="4" t="s">
        <v>640</v>
      </c>
    </row>
    <row r="258" spans="1:24" x14ac:dyDescent="0.2">
      <c r="A258" s="15">
        <v>1</v>
      </c>
      <c r="B258" s="1" t="s">
        <v>795</v>
      </c>
      <c r="C258" t="s">
        <v>773</v>
      </c>
      <c r="D258" s="1">
        <v>1</v>
      </c>
      <c r="E258" s="1" t="s">
        <v>745</v>
      </c>
      <c r="F258" s="4">
        <v>45456</v>
      </c>
      <c r="H258" s="6">
        <f>J258+K258</f>
        <v>0.23859953703703704</v>
      </c>
      <c r="J258" s="6">
        <v>1.7037037037037038E-2</v>
      </c>
      <c r="K258" s="3">
        <v>0.2215625</v>
      </c>
      <c r="L258" s="1" t="s">
        <v>7</v>
      </c>
      <c r="M258" s="1" t="s">
        <v>7</v>
      </c>
      <c r="N258" s="1">
        <v>2</v>
      </c>
      <c r="O258" s="1">
        <v>2</v>
      </c>
      <c r="P258" s="1">
        <v>90</v>
      </c>
      <c r="Q258" s="1">
        <v>90</v>
      </c>
      <c r="R258" s="2">
        <v>115.17</v>
      </c>
      <c r="S258" s="2">
        <v>115.17</v>
      </c>
      <c r="U258" s="1">
        <v>1</v>
      </c>
      <c r="X258" s="4" t="s">
        <v>640</v>
      </c>
    </row>
    <row r="259" spans="1:24" x14ac:dyDescent="0.2">
      <c r="A259" s="15">
        <v>1</v>
      </c>
      <c r="B259" s="1" t="s">
        <v>795</v>
      </c>
      <c r="C259" t="s">
        <v>773</v>
      </c>
      <c r="D259" s="1">
        <v>2</v>
      </c>
      <c r="E259" s="1" t="s">
        <v>745</v>
      </c>
      <c r="F259" s="4">
        <v>45456</v>
      </c>
      <c r="G259" s="3">
        <f>I259+K259</f>
        <v>0.23773148148148149</v>
      </c>
      <c r="H259" s="6">
        <f>J259+K259</f>
        <v>0.24581018518518519</v>
      </c>
      <c r="I259" s="3">
        <v>1.6168981481481482E-2</v>
      </c>
      <c r="J259" s="6">
        <v>2.4247685185185185E-2</v>
      </c>
      <c r="K259" s="3">
        <v>0.2215625</v>
      </c>
      <c r="L259" s="1" t="s">
        <v>7</v>
      </c>
      <c r="M259" s="1" t="s">
        <v>7</v>
      </c>
      <c r="N259" s="1">
        <v>2</v>
      </c>
      <c r="O259" s="1">
        <v>2</v>
      </c>
      <c r="P259" s="1">
        <v>90</v>
      </c>
      <c r="Q259" s="1">
        <v>90</v>
      </c>
      <c r="R259" s="2">
        <v>115.17</v>
      </c>
      <c r="S259" s="2">
        <v>115.17</v>
      </c>
      <c r="U259" s="1">
        <v>1</v>
      </c>
      <c r="X259" s="4" t="s">
        <v>640</v>
      </c>
    </row>
    <row r="260" spans="1:24" x14ac:dyDescent="0.2">
      <c r="A260" s="15">
        <v>1</v>
      </c>
      <c r="B260" s="1" t="s">
        <v>795</v>
      </c>
      <c r="C260" t="s">
        <v>773</v>
      </c>
      <c r="D260" s="1">
        <v>3</v>
      </c>
      <c r="E260" s="1" t="s">
        <v>745</v>
      </c>
      <c r="F260" s="4">
        <v>45456</v>
      </c>
      <c r="G260" s="3">
        <f>I260+K260</f>
        <v>0.2399074074074074</v>
      </c>
      <c r="H260" s="6">
        <f>J260+K260</f>
        <v>0.25364583333333335</v>
      </c>
      <c r="I260" s="3">
        <v>1.8344907407407407E-2</v>
      </c>
      <c r="J260" s="6">
        <v>3.2083333333333332E-2</v>
      </c>
      <c r="K260" s="3">
        <v>0.2215625</v>
      </c>
      <c r="L260" s="1" t="s">
        <v>7</v>
      </c>
      <c r="M260" s="1" t="s">
        <v>7</v>
      </c>
      <c r="N260" s="1">
        <v>2</v>
      </c>
      <c r="O260" s="1">
        <v>2</v>
      </c>
      <c r="P260" s="1">
        <v>90</v>
      </c>
      <c r="Q260" s="1">
        <v>90</v>
      </c>
      <c r="R260" s="2">
        <v>115.17</v>
      </c>
      <c r="S260" s="2">
        <v>115.17</v>
      </c>
      <c r="U260" s="1">
        <v>1</v>
      </c>
      <c r="X260" s="4" t="s">
        <v>640</v>
      </c>
    </row>
    <row r="261" spans="1:24" x14ac:dyDescent="0.2">
      <c r="A261" s="15">
        <v>1</v>
      </c>
      <c r="B261" s="1" t="s">
        <v>795</v>
      </c>
      <c r="C261" t="s">
        <v>773</v>
      </c>
      <c r="D261" s="1">
        <v>1</v>
      </c>
      <c r="E261" s="1" t="s">
        <v>746</v>
      </c>
      <c r="F261" s="4">
        <v>45456</v>
      </c>
      <c r="H261" s="6">
        <f>J261+K261</f>
        <v>0.77089120370370379</v>
      </c>
      <c r="J261" s="6">
        <v>2.0833333333333335E-4</v>
      </c>
      <c r="K261" s="3">
        <v>0.77068287037037042</v>
      </c>
      <c r="L261" s="1" t="s">
        <v>7</v>
      </c>
      <c r="M261" s="1" t="s">
        <v>7</v>
      </c>
      <c r="N261" s="1">
        <v>2</v>
      </c>
      <c r="O261" s="1">
        <v>2</v>
      </c>
      <c r="P261" s="1">
        <v>90</v>
      </c>
      <c r="Q261" s="1">
        <v>90</v>
      </c>
      <c r="R261" s="2">
        <v>115.17</v>
      </c>
      <c r="S261" s="2">
        <v>115.17</v>
      </c>
      <c r="U261" s="1">
        <v>1</v>
      </c>
      <c r="X261" s="4" t="s">
        <v>640</v>
      </c>
    </row>
    <row r="262" spans="1:24" x14ac:dyDescent="0.2">
      <c r="A262" s="15">
        <v>1</v>
      </c>
      <c r="B262" s="1" t="s">
        <v>795</v>
      </c>
      <c r="C262" t="s">
        <v>773</v>
      </c>
      <c r="D262" s="1">
        <v>2</v>
      </c>
      <c r="E262" s="1" t="s">
        <v>746</v>
      </c>
      <c r="F262" s="4">
        <v>45456</v>
      </c>
      <c r="G262" s="3">
        <f>I262+K262</f>
        <v>0.77150462962962973</v>
      </c>
      <c r="H262" s="6">
        <f>J262+K262</f>
        <v>0.78609953703703705</v>
      </c>
      <c r="I262" s="3">
        <v>8.2175925925925927E-4</v>
      </c>
      <c r="J262" s="6">
        <v>1.5416666666666667E-2</v>
      </c>
      <c r="K262" s="3">
        <v>0.77068287037037042</v>
      </c>
      <c r="L262" s="1" t="s">
        <v>7</v>
      </c>
      <c r="M262" s="1" t="s">
        <v>8</v>
      </c>
      <c r="N262" s="1">
        <v>2</v>
      </c>
      <c r="O262" s="1">
        <v>2</v>
      </c>
      <c r="P262" s="1">
        <v>90</v>
      </c>
      <c r="Q262" s="1">
        <v>90</v>
      </c>
      <c r="R262" s="2">
        <v>115.17</v>
      </c>
      <c r="S262" s="2">
        <v>115.17</v>
      </c>
      <c r="U262" s="1">
        <v>1</v>
      </c>
      <c r="X262" s="4" t="s">
        <v>640</v>
      </c>
    </row>
    <row r="263" spans="1:24" x14ac:dyDescent="0.2">
      <c r="A263" s="15">
        <v>1</v>
      </c>
      <c r="B263" s="1" t="s">
        <v>795</v>
      </c>
      <c r="C263" t="s">
        <v>773</v>
      </c>
      <c r="D263" s="1">
        <v>3</v>
      </c>
      <c r="E263" s="1" t="s">
        <v>746</v>
      </c>
      <c r="F263" s="4">
        <v>45456</v>
      </c>
      <c r="G263" s="3">
        <f>I263+K263</f>
        <v>0.78690972222222233</v>
      </c>
      <c r="H263" s="6">
        <f>J263+K263</f>
        <v>0.79278935185185195</v>
      </c>
      <c r="I263" s="3">
        <v>1.6226851851851853E-2</v>
      </c>
      <c r="J263" s="6">
        <v>2.210648148148148E-2</v>
      </c>
      <c r="K263" s="3">
        <v>0.77068287037037042</v>
      </c>
      <c r="L263" s="1" t="s">
        <v>8</v>
      </c>
      <c r="M263" s="1" t="s">
        <v>8</v>
      </c>
      <c r="N263" s="1">
        <v>2</v>
      </c>
      <c r="O263" s="1">
        <v>2</v>
      </c>
      <c r="P263" s="1">
        <v>90</v>
      </c>
      <c r="Q263" s="1">
        <v>90</v>
      </c>
      <c r="R263" s="2">
        <v>115.17</v>
      </c>
      <c r="S263" s="2">
        <v>115.17</v>
      </c>
      <c r="U263" s="1">
        <v>1</v>
      </c>
      <c r="X263" s="4" t="s">
        <v>640</v>
      </c>
    </row>
    <row r="264" spans="1:24" x14ac:dyDescent="0.2">
      <c r="A264" s="15">
        <v>1</v>
      </c>
      <c r="B264" s="1" t="s">
        <v>795</v>
      </c>
      <c r="C264" t="s">
        <v>773</v>
      </c>
      <c r="D264" s="1">
        <v>1</v>
      </c>
      <c r="E264" s="1" t="s">
        <v>747</v>
      </c>
      <c r="F264" s="4">
        <v>45457</v>
      </c>
      <c r="H264" s="6">
        <f>J264+K264</f>
        <v>0.23956018518518518</v>
      </c>
      <c r="J264" s="6">
        <v>2.0081018518518519E-2</v>
      </c>
      <c r="K264" s="3">
        <v>0.21947916666666667</v>
      </c>
      <c r="L264" s="1" t="s">
        <v>8</v>
      </c>
      <c r="M264" s="1" t="s">
        <v>8</v>
      </c>
      <c r="N264" s="1">
        <v>2</v>
      </c>
      <c r="O264" s="1">
        <v>2</v>
      </c>
      <c r="P264" s="1">
        <v>90</v>
      </c>
      <c r="Q264" s="1">
        <v>90</v>
      </c>
      <c r="R264" s="2">
        <v>115.17</v>
      </c>
      <c r="S264" s="2">
        <v>115.17</v>
      </c>
      <c r="U264" s="1">
        <v>1</v>
      </c>
      <c r="X264" s="4" t="s">
        <v>640</v>
      </c>
    </row>
    <row r="265" spans="1:24" x14ac:dyDescent="0.2">
      <c r="A265" s="15">
        <v>1</v>
      </c>
      <c r="B265" s="1" t="s">
        <v>795</v>
      </c>
      <c r="C265" t="s">
        <v>773</v>
      </c>
      <c r="D265" s="1">
        <v>2</v>
      </c>
      <c r="E265" s="1" t="s">
        <v>747</v>
      </c>
      <c r="F265" s="4">
        <v>45457</v>
      </c>
      <c r="G265" s="3">
        <f>I265+K265</f>
        <v>0.24106481481481482</v>
      </c>
      <c r="H265" s="6">
        <f>J265+K265</f>
        <v>0.25372685185185184</v>
      </c>
      <c r="I265" s="3">
        <v>2.1585648148148149E-2</v>
      </c>
      <c r="J265" s="3">
        <v>3.4247685185185187E-2</v>
      </c>
      <c r="K265" s="3">
        <v>0.21947916666666667</v>
      </c>
      <c r="L265" s="1" t="s">
        <v>8</v>
      </c>
      <c r="M265" s="1" t="s">
        <v>8</v>
      </c>
      <c r="N265" s="1">
        <v>2</v>
      </c>
      <c r="O265" s="1">
        <v>2</v>
      </c>
      <c r="P265" s="1">
        <v>90</v>
      </c>
      <c r="Q265" s="1">
        <v>90</v>
      </c>
      <c r="R265" s="2">
        <v>115.17</v>
      </c>
      <c r="S265" s="2">
        <v>115.17</v>
      </c>
      <c r="U265" s="1">
        <v>1</v>
      </c>
      <c r="X265" s="4" t="s">
        <v>640</v>
      </c>
    </row>
    <row r="266" spans="1:24" x14ac:dyDescent="0.2">
      <c r="A266" s="15">
        <v>1</v>
      </c>
      <c r="B266" s="1" t="s">
        <v>795</v>
      </c>
      <c r="C266" t="s">
        <v>773</v>
      </c>
      <c r="D266" s="1">
        <v>1</v>
      </c>
      <c r="E266" s="1" t="s">
        <v>718</v>
      </c>
      <c r="F266" s="4">
        <v>45457</v>
      </c>
      <c r="H266" s="6">
        <f>J266+K266</f>
        <v>0.79148148148148156</v>
      </c>
      <c r="J266" s="6">
        <v>2.4849537037037038E-2</v>
      </c>
      <c r="K266" s="6">
        <v>0.76663194444444449</v>
      </c>
      <c r="L266" s="1" t="s">
        <v>8</v>
      </c>
      <c r="M266" s="1" t="s">
        <v>7</v>
      </c>
      <c r="N266" s="1">
        <v>2</v>
      </c>
      <c r="O266" s="1">
        <v>2</v>
      </c>
      <c r="P266" s="1">
        <v>90</v>
      </c>
      <c r="Q266" s="1">
        <v>90</v>
      </c>
      <c r="R266" s="2">
        <v>115.17</v>
      </c>
      <c r="S266" s="2">
        <v>115.17</v>
      </c>
      <c r="U266" s="1">
        <v>0</v>
      </c>
      <c r="X266" s="4" t="s">
        <v>640</v>
      </c>
    </row>
    <row r="267" spans="1:24" x14ac:dyDescent="0.2">
      <c r="A267" s="15">
        <v>1</v>
      </c>
      <c r="B267" s="35" t="s">
        <v>795</v>
      </c>
      <c r="C267" t="s">
        <v>773</v>
      </c>
      <c r="D267" s="1">
        <v>1</v>
      </c>
      <c r="E267" t="s">
        <v>719</v>
      </c>
      <c r="F267" s="4">
        <v>45439</v>
      </c>
      <c r="K267" s="3">
        <v>0.21502314814814816</v>
      </c>
      <c r="P267" s="1">
        <v>90</v>
      </c>
      <c r="Q267" s="1">
        <v>90</v>
      </c>
      <c r="T267" s="2" t="s">
        <v>790</v>
      </c>
      <c r="U267" s="1" t="s">
        <v>21</v>
      </c>
      <c r="V267" s="1" t="s">
        <v>166</v>
      </c>
    </row>
    <row r="268" spans="1:24" x14ac:dyDescent="0.2">
      <c r="A268" s="15">
        <v>1</v>
      </c>
      <c r="B268" s="1" t="s">
        <v>795</v>
      </c>
      <c r="C268" t="s">
        <v>773</v>
      </c>
      <c r="D268" s="1">
        <v>1</v>
      </c>
      <c r="E268" s="1" t="s">
        <v>748</v>
      </c>
      <c r="F268" s="4">
        <v>45459</v>
      </c>
      <c r="G268" s="3">
        <f>I268+K268</f>
        <v>0.77638888888888891</v>
      </c>
      <c r="H268" s="6">
        <f>J268+K268</f>
        <v>0.79706018518518518</v>
      </c>
      <c r="I268" s="3">
        <v>1.2592592592592593E-2</v>
      </c>
      <c r="J268" s="6">
        <v>3.3263888888888891E-2</v>
      </c>
      <c r="K268" s="3">
        <v>0.76379629629629631</v>
      </c>
      <c r="L268" s="1" t="s">
        <v>8</v>
      </c>
      <c r="M268" s="1" t="s">
        <v>7</v>
      </c>
      <c r="N268" s="1">
        <v>2</v>
      </c>
      <c r="O268" s="1">
        <v>2</v>
      </c>
      <c r="P268" s="1">
        <v>90</v>
      </c>
      <c r="Q268" s="1">
        <v>90</v>
      </c>
      <c r="R268" s="2">
        <v>115.17</v>
      </c>
      <c r="S268" s="2">
        <v>115.17</v>
      </c>
      <c r="U268" s="1">
        <v>1</v>
      </c>
      <c r="X268" s="4" t="s">
        <v>640</v>
      </c>
    </row>
    <row r="269" spans="1:24" x14ac:dyDescent="0.2">
      <c r="A269" s="15">
        <v>1</v>
      </c>
      <c r="B269" s="1" t="s">
        <v>795</v>
      </c>
      <c r="C269" t="s">
        <v>773</v>
      </c>
      <c r="D269" s="1">
        <v>1</v>
      </c>
      <c r="E269" s="1" t="s">
        <v>750</v>
      </c>
      <c r="F269" s="4">
        <v>45464</v>
      </c>
      <c r="G269" s="3">
        <f>I269+K269</f>
        <v>0.77871527777777783</v>
      </c>
      <c r="H269" s="6">
        <f>J269+K269</f>
        <v>0.78896990740740747</v>
      </c>
      <c r="I269" s="3">
        <v>1.4965277777777777E-2</v>
      </c>
      <c r="J269" s="6">
        <v>2.5219907407407406E-2</v>
      </c>
      <c r="K269" s="3">
        <v>0.76375000000000004</v>
      </c>
      <c r="L269" s="1" t="s">
        <v>7</v>
      </c>
      <c r="M269" s="1" t="s">
        <v>8</v>
      </c>
      <c r="N269" s="1">
        <v>2</v>
      </c>
      <c r="O269" s="1">
        <v>2</v>
      </c>
      <c r="P269" s="1">
        <v>90</v>
      </c>
      <c r="Q269" s="1">
        <v>90</v>
      </c>
      <c r="R269" s="2">
        <v>115.17</v>
      </c>
      <c r="S269" s="2">
        <v>115.17</v>
      </c>
      <c r="U269" s="1">
        <v>1</v>
      </c>
    </row>
    <row r="270" spans="1:24" x14ac:dyDescent="0.2">
      <c r="A270" s="15">
        <v>1</v>
      </c>
      <c r="B270" s="1" t="s">
        <v>795</v>
      </c>
      <c r="C270" t="s">
        <v>773</v>
      </c>
      <c r="D270" s="1">
        <v>1</v>
      </c>
      <c r="E270" s="1" t="s">
        <v>751</v>
      </c>
      <c r="F270" s="4">
        <v>45465</v>
      </c>
      <c r="H270" s="6">
        <f>J270+K270</f>
        <v>0.2260763888888889</v>
      </c>
      <c r="J270" s="6">
        <v>7.2106481481481483E-3</v>
      </c>
      <c r="K270" s="6">
        <v>0.21886574074074075</v>
      </c>
      <c r="L270" s="1" t="s">
        <v>8</v>
      </c>
      <c r="M270" s="1" t="s">
        <v>7</v>
      </c>
      <c r="N270" s="1">
        <v>2</v>
      </c>
      <c r="O270" s="1">
        <v>2</v>
      </c>
      <c r="P270" s="1">
        <v>90</v>
      </c>
      <c r="Q270" s="1">
        <v>90</v>
      </c>
      <c r="R270" s="2">
        <v>115.17</v>
      </c>
      <c r="S270" s="2">
        <v>115.17</v>
      </c>
      <c r="U270" s="1">
        <v>1</v>
      </c>
    </row>
    <row r="271" spans="1:24" x14ac:dyDescent="0.2">
      <c r="A271" s="15">
        <v>1</v>
      </c>
      <c r="B271" s="1" t="s">
        <v>795</v>
      </c>
      <c r="C271" t="s">
        <v>773</v>
      </c>
      <c r="D271" s="1">
        <v>2</v>
      </c>
      <c r="E271" s="1" t="s">
        <v>751</v>
      </c>
      <c r="F271" s="4">
        <v>45465</v>
      </c>
      <c r="G271" s="3">
        <f>I271+K271</f>
        <v>0.22787037037037039</v>
      </c>
      <c r="H271" s="6">
        <f>J271+K271</f>
        <v>0.2353587962962963</v>
      </c>
      <c r="I271" s="3">
        <v>9.0046296296296298E-3</v>
      </c>
      <c r="J271" s="6">
        <v>1.6493055555555556E-2</v>
      </c>
      <c r="K271" s="6">
        <v>0.21886574074074075</v>
      </c>
      <c r="L271" s="1" t="s">
        <v>7</v>
      </c>
      <c r="M271" s="1" t="s">
        <v>7</v>
      </c>
      <c r="N271" s="1">
        <v>2</v>
      </c>
      <c r="O271" s="1">
        <v>3</v>
      </c>
      <c r="P271" s="1">
        <v>90</v>
      </c>
      <c r="Q271" s="1">
        <v>90</v>
      </c>
      <c r="R271" s="2">
        <v>115.17</v>
      </c>
      <c r="S271" s="2">
        <v>115.17</v>
      </c>
      <c r="U271" s="1">
        <v>0</v>
      </c>
    </row>
    <row r="272" spans="1:24" x14ac:dyDescent="0.2">
      <c r="A272" s="15">
        <v>1</v>
      </c>
      <c r="B272" s="1" t="s">
        <v>795</v>
      </c>
      <c r="C272" t="s">
        <v>773</v>
      </c>
      <c r="D272" s="1">
        <v>3</v>
      </c>
      <c r="E272" s="1" t="s">
        <v>751</v>
      </c>
      <c r="F272" s="4">
        <v>45465</v>
      </c>
      <c r="G272" s="3">
        <f>I272+K272</f>
        <v>0.23778935185185185</v>
      </c>
      <c r="H272" s="6">
        <f>J272+K272</f>
        <v>0.24954861111111112</v>
      </c>
      <c r="I272" s="3">
        <v>1.892361111111111E-2</v>
      </c>
      <c r="J272" s="6">
        <v>3.0682870370370371E-2</v>
      </c>
      <c r="K272" s="6">
        <v>0.21886574074074075</v>
      </c>
      <c r="L272" s="1" t="s">
        <v>7</v>
      </c>
      <c r="M272" s="1" t="s">
        <v>7</v>
      </c>
      <c r="N272" s="1">
        <v>2</v>
      </c>
      <c r="O272" s="1">
        <v>3</v>
      </c>
      <c r="P272" s="1">
        <v>90</v>
      </c>
      <c r="Q272" s="1">
        <v>90</v>
      </c>
      <c r="R272" s="2">
        <v>115.17</v>
      </c>
      <c r="S272" s="2">
        <v>115.17</v>
      </c>
      <c r="U272" s="1">
        <v>1</v>
      </c>
    </row>
    <row r="273" spans="1:24" x14ac:dyDescent="0.2">
      <c r="A273" s="15">
        <v>1</v>
      </c>
      <c r="B273" s="1" t="s">
        <v>795</v>
      </c>
      <c r="C273" t="s">
        <v>773</v>
      </c>
      <c r="D273" s="1">
        <v>1</v>
      </c>
      <c r="E273" s="1" t="s">
        <v>752</v>
      </c>
      <c r="F273" s="4">
        <v>45466</v>
      </c>
      <c r="G273" s="3">
        <f>I273+K273</f>
        <v>0.78768518518518515</v>
      </c>
      <c r="H273" s="6">
        <f>J273+K273</f>
        <v>0.79353009259259255</v>
      </c>
      <c r="I273" s="3">
        <v>1.2997685185185185E-2</v>
      </c>
      <c r="J273" s="6">
        <v>1.8842592592592591E-2</v>
      </c>
      <c r="K273" s="3">
        <v>0.77468749999999997</v>
      </c>
      <c r="L273" s="1" t="s">
        <v>7</v>
      </c>
      <c r="M273" s="1" t="s">
        <v>7</v>
      </c>
      <c r="N273" s="1">
        <v>3</v>
      </c>
      <c r="O273" s="1">
        <v>2</v>
      </c>
      <c r="P273" s="1">
        <v>90</v>
      </c>
      <c r="Q273" s="1">
        <v>90</v>
      </c>
      <c r="R273" s="2">
        <v>115.17</v>
      </c>
      <c r="S273" s="2">
        <v>115.17</v>
      </c>
      <c r="U273" s="1">
        <v>1</v>
      </c>
    </row>
    <row r="274" spans="1:24" x14ac:dyDescent="0.2">
      <c r="A274" s="15">
        <v>1</v>
      </c>
      <c r="B274" s="1" t="s">
        <v>795</v>
      </c>
      <c r="C274" t="s">
        <v>773</v>
      </c>
      <c r="D274" s="1">
        <v>1</v>
      </c>
      <c r="E274" s="1" t="s">
        <v>753</v>
      </c>
      <c r="F274" s="4">
        <v>45467</v>
      </c>
      <c r="H274" s="6">
        <f>J274+K274</f>
        <v>0.79091435185185188</v>
      </c>
      <c r="J274" s="6">
        <v>3.9814814814814817E-3</v>
      </c>
      <c r="K274" s="3">
        <v>0.78693287037037041</v>
      </c>
      <c r="L274" s="1" t="s">
        <v>7</v>
      </c>
      <c r="M274" s="1" t="s">
        <v>8</v>
      </c>
      <c r="N274" s="1">
        <v>2</v>
      </c>
      <c r="O274" s="1">
        <v>2</v>
      </c>
      <c r="P274" s="1">
        <v>90</v>
      </c>
      <c r="Q274" s="1">
        <v>90</v>
      </c>
      <c r="R274" s="2">
        <v>115.17</v>
      </c>
      <c r="S274" s="2">
        <v>115.17</v>
      </c>
      <c r="U274" s="1">
        <v>0</v>
      </c>
    </row>
    <row r="275" spans="1:24" x14ac:dyDescent="0.2">
      <c r="A275" s="15">
        <v>1</v>
      </c>
      <c r="B275" s="1" t="s">
        <v>795</v>
      </c>
      <c r="C275" t="s">
        <v>773</v>
      </c>
      <c r="D275" s="1">
        <v>1</v>
      </c>
      <c r="E275" s="1" t="s">
        <v>754</v>
      </c>
      <c r="F275" s="4">
        <v>45468</v>
      </c>
      <c r="G275" s="3">
        <f>I275+K275</f>
        <v>0.7801041666666666</v>
      </c>
      <c r="H275" s="6">
        <f>J275+K275</f>
        <v>0.79616898148148141</v>
      </c>
      <c r="I275" s="3">
        <v>3.2986111111111111E-3</v>
      </c>
      <c r="J275" s="6">
        <v>1.9363425925925926E-2</v>
      </c>
      <c r="K275" s="3">
        <v>0.77680555555555553</v>
      </c>
      <c r="L275" s="1" t="s">
        <v>8</v>
      </c>
      <c r="M275" s="1" t="s">
        <v>7</v>
      </c>
      <c r="N275" s="1">
        <v>2</v>
      </c>
      <c r="O275" s="1">
        <v>2</v>
      </c>
      <c r="P275" s="1">
        <v>90</v>
      </c>
      <c r="Q275" s="1">
        <v>90</v>
      </c>
      <c r="R275" s="2">
        <v>115.17</v>
      </c>
      <c r="S275" s="2">
        <v>115.17</v>
      </c>
      <c r="U275" s="1">
        <v>1</v>
      </c>
    </row>
    <row r="276" spans="1:24" x14ac:dyDescent="0.2">
      <c r="A276" s="15">
        <v>1</v>
      </c>
      <c r="B276" s="1" t="s">
        <v>795</v>
      </c>
      <c r="C276" t="s">
        <v>773</v>
      </c>
      <c r="D276" s="1">
        <v>1</v>
      </c>
      <c r="E276" s="1" t="s">
        <v>755</v>
      </c>
      <c r="F276" s="4">
        <v>45469</v>
      </c>
      <c r="G276" s="3">
        <f>I276+K276</f>
        <v>0.77858796296296295</v>
      </c>
      <c r="H276" s="6">
        <f>J276+K276</f>
        <v>0.79226851851851854</v>
      </c>
      <c r="I276" s="3">
        <v>1.7824074074074075E-3</v>
      </c>
      <c r="J276" s="6">
        <v>1.5462962962962963E-2</v>
      </c>
      <c r="K276" s="6">
        <v>0.77680555555555553</v>
      </c>
      <c r="L276" s="1" t="s">
        <v>7</v>
      </c>
      <c r="M276" s="1" t="s">
        <v>7</v>
      </c>
      <c r="N276" s="1">
        <v>2</v>
      </c>
      <c r="O276" s="1">
        <v>2</v>
      </c>
      <c r="P276" s="1">
        <v>90</v>
      </c>
      <c r="Q276" s="1">
        <v>90</v>
      </c>
      <c r="R276" s="2">
        <v>115.17</v>
      </c>
      <c r="S276" s="2">
        <v>115.17</v>
      </c>
      <c r="U276" s="1">
        <v>1</v>
      </c>
    </row>
    <row r="277" spans="1:24" x14ac:dyDescent="0.2">
      <c r="A277" s="15">
        <v>1</v>
      </c>
      <c r="B277" s="1" t="s">
        <v>795</v>
      </c>
      <c r="C277" t="s">
        <v>773</v>
      </c>
      <c r="D277" s="1">
        <v>1</v>
      </c>
      <c r="E277" s="1" t="s">
        <v>756</v>
      </c>
      <c r="F277" s="4">
        <v>45470</v>
      </c>
      <c r="G277" s="3">
        <f>I277+K277</f>
        <v>0.78065972222222224</v>
      </c>
      <c r="H277" s="6">
        <f>J277+K277</f>
        <v>0.79344907407407417</v>
      </c>
      <c r="I277" s="3">
        <v>4.5370370370370373E-3</v>
      </c>
      <c r="J277" s="6">
        <v>1.7326388888888888E-2</v>
      </c>
      <c r="K277" s="6">
        <v>0.77612268518518523</v>
      </c>
      <c r="L277" s="1" t="s">
        <v>7</v>
      </c>
      <c r="M277" s="1" t="s">
        <v>8</v>
      </c>
      <c r="N277" s="1">
        <v>2</v>
      </c>
      <c r="O277" s="1">
        <v>2</v>
      </c>
      <c r="P277" s="1">
        <v>90</v>
      </c>
      <c r="Q277" s="1">
        <v>90</v>
      </c>
      <c r="R277" s="2">
        <v>115.17</v>
      </c>
      <c r="S277" s="2">
        <v>115.17</v>
      </c>
      <c r="U277" s="1">
        <v>0</v>
      </c>
    </row>
    <row r="278" spans="1:24" x14ac:dyDescent="0.2">
      <c r="A278" s="15">
        <v>1</v>
      </c>
      <c r="B278" s="1" t="s">
        <v>795</v>
      </c>
      <c r="C278" t="s">
        <v>773</v>
      </c>
      <c r="D278" s="1">
        <v>1</v>
      </c>
      <c r="E278" s="1" t="s">
        <v>757</v>
      </c>
      <c r="F278" s="4">
        <v>45471</v>
      </c>
      <c r="G278" s="3">
        <f>I278+K278</f>
        <v>0.78789351851851852</v>
      </c>
      <c r="H278" s="6">
        <f>J278+K278</f>
        <v>0.79782407407407407</v>
      </c>
      <c r="I278" s="3">
        <v>7.951388888888888E-3</v>
      </c>
      <c r="J278" s="6">
        <v>1.7881944444444443E-2</v>
      </c>
      <c r="K278" s="3">
        <v>0.77994212962962961</v>
      </c>
      <c r="L278" s="1" t="s">
        <v>8</v>
      </c>
      <c r="M278" s="1" t="s">
        <v>7</v>
      </c>
      <c r="N278" s="1">
        <v>2</v>
      </c>
      <c r="O278" s="1">
        <v>2</v>
      </c>
      <c r="P278" s="1">
        <v>90</v>
      </c>
      <c r="Q278" s="1">
        <v>90</v>
      </c>
      <c r="R278" s="2">
        <v>115.17</v>
      </c>
      <c r="S278" s="2">
        <v>115.17</v>
      </c>
      <c r="U278" s="1">
        <v>1</v>
      </c>
    </row>
    <row r="279" spans="1:24" x14ac:dyDescent="0.2">
      <c r="A279" s="15">
        <v>1</v>
      </c>
      <c r="B279" s="1" t="s">
        <v>795</v>
      </c>
      <c r="C279" t="s">
        <v>773</v>
      </c>
      <c r="D279" s="1">
        <v>1</v>
      </c>
      <c r="E279" s="1" t="s">
        <v>758</v>
      </c>
      <c r="F279" s="4">
        <v>45472</v>
      </c>
      <c r="K279" s="3">
        <v>0.77797453703703701</v>
      </c>
      <c r="P279" s="1">
        <v>90</v>
      </c>
      <c r="Q279" s="1">
        <v>90</v>
      </c>
      <c r="U279" s="1" t="s">
        <v>21</v>
      </c>
      <c r="V279" s="1" t="s">
        <v>759</v>
      </c>
    </row>
    <row r="280" spans="1:24" x14ac:dyDescent="0.2">
      <c r="A280" s="1">
        <v>1</v>
      </c>
      <c r="B280" s="1" t="s">
        <v>796</v>
      </c>
      <c r="C280" t="s">
        <v>775</v>
      </c>
      <c r="D280" s="1" t="s">
        <v>21</v>
      </c>
      <c r="E280" s="1" t="s">
        <v>528</v>
      </c>
      <c r="F280" s="4">
        <v>45399</v>
      </c>
      <c r="G280" s="15" t="s">
        <v>21</v>
      </c>
      <c r="H280" s="6" t="s">
        <v>21</v>
      </c>
      <c r="I280" s="15" t="s">
        <v>21</v>
      </c>
      <c r="J280" s="6" t="s">
        <v>21</v>
      </c>
      <c r="K280" s="15" t="s">
        <v>21</v>
      </c>
      <c r="L280" s="1" t="s">
        <v>8</v>
      </c>
      <c r="M280" s="1" t="s">
        <v>8</v>
      </c>
      <c r="N280" s="15">
        <v>1</v>
      </c>
      <c r="O280" s="1">
        <v>1</v>
      </c>
      <c r="P280" s="1">
        <v>90</v>
      </c>
      <c r="Q280" s="1">
        <v>90</v>
      </c>
      <c r="R280" s="22">
        <v>19.2</v>
      </c>
      <c r="S280" s="22">
        <v>19.2</v>
      </c>
      <c r="T280" s="22"/>
      <c r="U280" s="1" t="s">
        <v>21</v>
      </c>
      <c r="V280" s="1" t="s">
        <v>530</v>
      </c>
      <c r="W280" s="22"/>
      <c r="X280" s="4" t="s">
        <v>638</v>
      </c>
    </row>
    <row r="281" spans="1:24" x14ac:dyDescent="0.2">
      <c r="A281" s="1">
        <v>1</v>
      </c>
      <c r="B281" s="1" t="s">
        <v>796</v>
      </c>
      <c r="C281" t="s">
        <v>775</v>
      </c>
      <c r="D281" s="1">
        <v>1</v>
      </c>
      <c r="E281" s="1" t="s">
        <v>111</v>
      </c>
      <c r="F281" s="4">
        <v>45400</v>
      </c>
      <c r="G281" s="3">
        <f>I281+K281</f>
        <v>0.24725694444444443</v>
      </c>
      <c r="H281" s="6">
        <f>J281+K281</f>
        <v>0.26263888888888887</v>
      </c>
      <c r="I281" s="3">
        <v>2.4525462962962964E-2</v>
      </c>
      <c r="J281" s="6">
        <v>3.9907407407407405E-2</v>
      </c>
      <c r="K281" s="3">
        <v>0.22273148148148147</v>
      </c>
      <c r="L281" s="1" t="s">
        <v>8</v>
      </c>
      <c r="M281" s="1" t="s">
        <v>8</v>
      </c>
      <c r="N281" s="15">
        <v>1</v>
      </c>
      <c r="O281" s="1">
        <v>1</v>
      </c>
      <c r="P281" s="1">
        <v>90</v>
      </c>
      <c r="Q281" s="1">
        <v>90</v>
      </c>
      <c r="R281" s="2">
        <v>57.4</v>
      </c>
      <c r="S281" s="2">
        <v>57.4</v>
      </c>
      <c r="U281" s="1">
        <v>1</v>
      </c>
      <c r="X281" s="4" t="s">
        <v>638</v>
      </c>
    </row>
    <row r="282" spans="1:24" x14ac:dyDescent="0.2">
      <c r="A282" s="1">
        <v>1</v>
      </c>
      <c r="B282" s="1" t="s">
        <v>796</v>
      </c>
      <c r="C282" t="s">
        <v>775</v>
      </c>
      <c r="D282" s="1">
        <v>1</v>
      </c>
      <c r="E282" s="1" t="s">
        <v>250</v>
      </c>
      <c r="F282" s="4">
        <v>45400</v>
      </c>
      <c r="G282" s="3">
        <f>I282+K282</f>
        <v>0.78038194444444442</v>
      </c>
      <c r="H282" s="6">
        <f>J282+K282</f>
        <v>0.78964120370370372</v>
      </c>
      <c r="I282" s="3">
        <v>1.7824074074074076E-2</v>
      </c>
      <c r="J282" s="6">
        <v>2.7083333333333334E-2</v>
      </c>
      <c r="K282" s="3">
        <v>0.76255787037037037</v>
      </c>
      <c r="L282" s="1" t="s">
        <v>7</v>
      </c>
      <c r="M282" s="1" t="s">
        <v>7</v>
      </c>
      <c r="N282" s="1">
        <v>1</v>
      </c>
      <c r="O282" s="1">
        <v>1</v>
      </c>
      <c r="P282" s="1">
        <v>90</v>
      </c>
      <c r="Q282" s="1">
        <v>90</v>
      </c>
      <c r="R282" s="2">
        <v>115.17</v>
      </c>
      <c r="S282" s="2">
        <v>115.17</v>
      </c>
      <c r="U282" s="1">
        <v>1</v>
      </c>
      <c r="X282" s="4" t="s">
        <v>638</v>
      </c>
    </row>
    <row r="283" spans="1:24" x14ac:dyDescent="0.2">
      <c r="A283" s="1">
        <v>1</v>
      </c>
      <c r="B283" s="1" t="s">
        <v>796</v>
      </c>
      <c r="C283" t="s">
        <v>775</v>
      </c>
      <c r="D283" s="1">
        <v>1</v>
      </c>
      <c r="E283" s="1" t="s">
        <v>533</v>
      </c>
      <c r="F283" s="4">
        <v>45401</v>
      </c>
      <c r="G283" s="3">
        <f>I283+K283</f>
        <v>0.24135416666666668</v>
      </c>
      <c r="H283" s="6">
        <f>J283+K283</f>
        <v>0.25265046296296295</v>
      </c>
      <c r="I283" s="3">
        <v>1.9166666666666665E-2</v>
      </c>
      <c r="J283" s="6">
        <v>3.0462962962962963E-2</v>
      </c>
      <c r="K283" s="3">
        <v>0.22218750000000001</v>
      </c>
      <c r="L283" s="1" t="s">
        <v>7</v>
      </c>
      <c r="M283" s="1" t="s">
        <v>7</v>
      </c>
      <c r="N283" s="27">
        <v>1</v>
      </c>
      <c r="O283" s="27">
        <v>1</v>
      </c>
      <c r="P283" s="1">
        <v>90</v>
      </c>
      <c r="Q283" s="1">
        <v>90</v>
      </c>
      <c r="R283" s="2">
        <v>115.17</v>
      </c>
      <c r="S283" s="2">
        <v>115.17</v>
      </c>
      <c r="U283" s="1">
        <v>1</v>
      </c>
      <c r="X283" s="4" t="s">
        <v>638</v>
      </c>
    </row>
    <row r="284" spans="1:24" x14ac:dyDescent="0.2">
      <c r="A284" s="1">
        <v>1</v>
      </c>
      <c r="B284" s="1" t="s">
        <v>796</v>
      </c>
      <c r="C284" t="s">
        <v>775</v>
      </c>
      <c r="D284" s="1">
        <v>1</v>
      </c>
      <c r="E284" s="1" t="s">
        <v>251</v>
      </c>
      <c r="F284" s="4">
        <v>45401</v>
      </c>
      <c r="G284" s="3">
        <f>I284+K284</f>
        <v>0.77565972222222224</v>
      </c>
      <c r="H284" s="6">
        <f>J284+K284</f>
        <v>0.78535879629629624</v>
      </c>
      <c r="I284" s="3">
        <v>6.4467592592592588E-3</v>
      </c>
      <c r="J284" s="6">
        <v>1.6145833333333335E-2</v>
      </c>
      <c r="K284" s="3">
        <v>0.76921296296296293</v>
      </c>
      <c r="L284" s="1" t="s">
        <v>7</v>
      </c>
      <c r="M284" s="1" t="s">
        <v>8</v>
      </c>
      <c r="N284" s="1">
        <v>2</v>
      </c>
      <c r="O284" s="1">
        <v>2</v>
      </c>
      <c r="P284" s="1">
        <v>90</v>
      </c>
      <c r="Q284" s="1">
        <v>90</v>
      </c>
      <c r="R284" s="2">
        <v>115.17</v>
      </c>
      <c r="S284" s="2">
        <v>115.17</v>
      </c>
      <c r="U284" s="1">
        <v>1</v>
      </c>
      <c r="X284" s="29" t="s">
        <v>638</v>
      </c>
    </row>
    <row r="285" spans="1:24" x14ac:dyDescent="0.2">
      <c r="A285" s="1">
        <v>1</v>
      </c>
      <c r="B285" s="1" t="s">
        <v>796</v>
      </c>
      <c r="C285" t="s">
        <v>775</v>
      </c>
      <c r="D285" s="1">
        <v>1</v>
      </c>
      <c r="E285" s="1" t="s">
        <v>110</v>
      </c>
      <c r="F285" s="4">
        <v>45402</v>
      </c>
      <c r="G285" s="3">
        <f>I285+K285</f>
        <v>0.2330787037037037</v>
      </c>
      <c r="H285" s="6">
        <f>J285+K285</f>
        <v>0.24453703703703705</v>
      </c>
      <c r="I285" s="3">
        <v>1.337962962962963E-2</v>
      </c>
      <c r="J285" s="6">
        <v>2.4837962962962964E-2</v>
      </c>
      <c r="K285" s="3">
        <v>0.21969907407407407</v>
      </c>
      <c r="L285" s="1" t="s">
        <v>8</v>
      </c>
      <c r="M285" s="1" t="s">
        <v>8</v>
      </c>
      <c r="N285" s="1">
        <v>2</v>
      </c>
      <c r="O285" s="1">
        <v>2</v>
      </c>
      <c r="P285" s="1">
        <v>90</v>
      </c>
      <c r="Q285" s="1">
        <v>90</v>
      </c>
      <c r="R285" s="2">
        <v>115.17</v>
      </c>
      <c r="S285" s="2">
        <v>115.17</v>
      </c>
      <c r="U285" s="1">
        <v>1</v>
      </c>
      <c r="V285" s="1" t="s">
        <v>536</v>
      </c>
      <c r="X285" s="29" t="s">
        <v>638</v>
      </c>
    </row>
    <row r="286" spans="1:24" x14ac:dyDescent="0.2">
      <c r="A286" s="1">
        <v>1</v>
      </c>
      <c r="B286" s="1" t="s">
        <v>796</v>
      </c>
      <c r="C286" t="s">
        <v>775</v>
      </c>
      <c r="D286" s="1">
        <v>2</v>
      </c>
      <c r="E286" s="1" t="s">
        <v>110</v>
      </c>
      <c r="F286" s="23">
        <v>45402</v>
      </c>
      <c r="G286" s="3">
        <f>I286+K286</f>
        <v>0.24730324074074073</v>
      </c>
      <c r="H286" s="6" t="s">
        <v>21</v>
      </c>
      <c r="I286" s="3">
        <v>2.7604166666666666E-2</v>
      </c>
      <c r="J286" s="6" t="s">
        <v>21</v>
      </c>
      <c r="K286" s="3">
        <v>0.21969907407407407</v>
      </c>
      <c r="L286" s="1" t="s">
        <v>8</v>
      </c>
      <c r="M286" s="1" t="s">
        <v>7</v>
      </c>
      <c r="N286" s="1">
        <v>2</v>
      </c>
      <c r="O286" s="1">
        <v>2</v>
      </c>
      <c r="P286" s="1">
        <v>90</v>
      </c>
      <c r="Q286" s="1">
        <v>90</v>
      </c>
      <c r="R286" s="2">
        <v>115.17</v>
      </c>
      <c r="S286" s="2">
        <v>115.17</v>
      </c>
      <c r="U286" s="1" t="s">
        <v>21</v>
      </c>
      <c r="V286" s="1" t="s">
        <v>537</v>
      </c>
      <c r="X286" s="29" t="s">
        <v>638</v>
      </c>
    </row>
    <row r="287" spans="1:24" x14ac:dyDescent="0.2">
      <c r="A287" s="1">
        <v>1</v>
      </c>
      <c r="B287" s="1" t="s">
        <v>796</v>
      </c>
      <c r="C287" t="s">
        <v>775</v>
      </c>
      <c r="D287" s="1">
        <v>1</v>
      </c>
      <c r="E287" s="1" t="s">
        <v>252</v>
      </c>
      <c r="F287" s="4">
        <v>45402</v>
      </c>
      <c r="G287" s="3">
        <f>I287+K287</f>
        <v>0.77775462962962971</v>
      </c>
      <c r="H287" s="6">
        <f>J287+K287</f>
        <v>0.78506944444444449</v>
      </c>
      <c r="I287" s="3">
        <v>2.4189814814814813E-2</v>
      </c>
      <c r="J287" s="6">
        <v>3.1504629629629632E-2</v>
      </c>
      <c r="K287" s="3">
        <v>0.75356481481481485</v>
      </c>
      <c r="L287" s="1" t="s">
        <v>7</v>
      </c>
      <c r="M287" s="1" t="s">
        <v>8</v>
      </c>
      <c r="N287" s="1">
        <v>2</v>
      </c>
      <c r="O287" s="1">
        <v>2</v>
      </c>
      <c r="P287" s="1">
        <v>90</v>
      </c>
      <c r="Q287" s="1">
        <v>90</v>
      </c>
      <c r="R287" s="2">
        <v>115.17</v>
      </c>
      <c r="S287" s="2">
        <v>115.17</v>
      </c>
      <c r="U287" s="1">
        <v>0</v>
      </c>
      <c r="V287" s="1" t="s">
        <v>539</v>
      </c>
      <c r="X287" s="29" t="s">
        <v>638</v>
      </c>
    </row>
    <row r="288" spans="1:24" x14ac:dyDescent="0.2">
      <c r="A288" s="1">
        <v>1</v>
      </c>
      <c r="B288" s="1" t="s">
        <v>796</v>
      </c>
      <c r="C288" t="s">
        <v>775</v>
      </c>
      <c r="D288" s="1">
        <v>1</v>
      </c>
      <c r="E288" s="1" t="s">
        <v>253</v>
      </c>
      <c r="F288" s="4">
        <v>45403</v>
      </c>
      <c r="G288" s="3">
        <f>I288+K288</f>
        <v>0.23799768518518516</v>
      </c>
      <c r="H288" s="6">
        <f>J288+K288</f>
        <v>0.2575925925925926</v>
      </c>
      <c r="I288" s="3">
        <v>1.5821759259259258E-2</v>
      </c>
      <c r="J288" s="6">
        <v>3.5416666666666666E-2</v>
      </c>
      <c r="K288" s="3">
        <v>0.22217592592592592</v>
      </c>
      <c r="L288" s="1" t="s">
        <v>8</v>
      </c>
      <c r="M288" s="1" t="s">
        <v>7</v>
      </c>
      <c r="N288" s="1">
        <v>2</v>
      </c>
      <c r="O288" s="1">
        <v>2</v>
      </c>
      <c r="P288" s="1">
        <v>90</v>
      </c>
      <c r="Q288" s="1">
        <v>90</v>
      </c>
      <c r="R288" s="2">
        <v>115.17</v>
      </c>
      <c r="S288" s="2">
        <v>115.17</v>
      </c>
      <c r="U288" s="1">
        <v>1</v>
      </c>
      <c r="X288" s="29" t="s">
        <v>638</v>
      </c>
    </row>
    <row r="289" spans="1:24" x14ac:dyDescent="0.2">
      <c r="A289" s="1">
        <v>1</v>
      </c>
      <c r="B289" s="1" t="s">
        <v>796</v>
      </c>
      <c r="C289" t="s">
        <v>775</v>
      </c>
      <c r="D289" s="1">
        <v>1</v>
      </c>
      <c r="E289" s="1" t="s">
        <v>254</v>
      </c>
      <c r="F289" s="4">
        <v>45403</v>
      </c>
      <c r="G289" s="3">
        <f>I289+K289</f>
        <v>0.77241898148148147</v>
      </c>
      <c r="H289" s="6">
        <f>J289+K289</f>
        <v>0.79046296296296303</v>
      </c>
      <c r="I289" s="3">
        <v>1.4351851851851852E-3</v>
      </c>
      <c r="J289" s="6">
        <v>1.9479166666666665E-2</v>
      </c>
      <c r="K289" s="3">
        <v>0.77098379629629632</v>
      </c>
      <c r="L289" s="1" t="s">
        <v>7</v>
      </c>
      <c r="M289" s="1" t="s">
        <v>8</v>
      </c>
      <c r="N289" s="1">
        <v>2</v>
      </c>
      <c r="O289" s="1">
        <v>2</v>
      </c>
      <c r="P289" s="1">
        <v>90</v>
      </c>
      <c r="Q289" s="1">
        <v>90</v>
      </c>
      <c r="R289" s="2">
        <v>115.17</v>
      </c>
      <c r="S289" s="2">
        <v>115.17</v>
      </c>
      <c r="U289" s="1">
        <v>1</v>
      </c>
      <c r="X289" s="29" t="s">
        <v>638</v>
      </c>
    </row>
    <row r="290" spans="1:24" x14ac:dyDescent="0.2">
      <c r="A290" s="1">
        <v>1</v>
      </c>
      <c r="B290" s="1" t="s">
        <v>796</v>
      </c>
      <c r="C290" t="s">
        <v>775</v>
      </c>
      <c r="D290" s="1">
        <v>1</v>
      </c>
      <c r="E290" s="1" t="s">
        <v>118</v>
      </c>
      <c r="F290" s="4">
        <v>45404</v>
      </c>
      <c r="G290" s="1" t="s">
        <v>21</v>
      </c>
      <c r="H290" s="6">
        <f>J290+K290</f>
        <v>0.23616898148148149</v>
      </c>
      <c r="I290" s="1" t="s">
        <v>21</v>
      </c>
      <c r="J290" s="3">
        <v>2.0613425925925927E-2</v>
      </c>
      <c r="K290" s="3">
        <v>0.21555555555555556</v>
      </c>
      <c r="L290" s="1" t="s">
        <v>8</v>
      </c>
      <c r="M290" s="1" t="s">
        <v>8</v>
      </c>
      <c r="N290" s="1">
        <v>2</v>
      </c>
      <c r="O290" s="1">
        <v>2</v>
      </c>
      <c r="P290" s="1">
        <v>90</v>
      </c>
      <c r="Q290" s="1">
        <v>90</v>
      </c>
      <c r="R290" s="2">
        <v>115.17</v>
      </c>
      <c r="S290" s="2">
        <v>115.17</v>
      </c>
      <c r="U290" s="1">
        <v>0</v>
      </c>
      <c r="X290" s="29" t="s">
        <v>638</v>
      </c>
    </row>
    <row r="291" spans="1:24" x14ac:dyDescent="0.2">
      <c r="A291" s="1">
        <v>1</v>
      </c>
      <c r="B291" s="1" t="s">
        <v>796</v>
      </c>
      <c r="C291" t="s">
        <v>775</v>
      </c>
      <c r="D291" s="1">
        <v>2</v>
      </c>
      <c r="E291" s="1" t="s">
        <v>118</v>
      </c>
      <c r="F291" s="4">
        <v>45404</v>
      </c>
      <c r="G291" s="3">
        <f>I291+K291</f>
        <v>0.24</v>
      </c>
      <c r="H291" s="6">
        <f>J291+K291</f>
        <v>0.24469907407407407</v>
      </c>
      <c r="I291" s="3">
        <v>2.4444444444444446E-2</v>
      </c>
      <c r="J291" s="6">
        <v>2.914351851851852E-2</v>
      </c>
      <c r="K291" s="3">
        <v>0.21555555555555556</v>
      </c>
      <c r="L291" s="1" t="s">
        <v>8</v>
      </c>
      <c r="M291" s="1" t="s">
        <v>8</v>
      </c>
      <c r="N291" s="1">
        <v>2</v>
      </c>
      <c r="O291" s="1">
        <v>2</v>
      </c>
      <c r="P291" s="1">
        <v>90</v>
      </c>
      <c r="Q291" s="1">
        <v>90</v>
      </c>
      <c r="R291" s="2">
        <v>115.17</v>
      </c>
      <c r="S291" s="2">
        <v>115.17</v>
      </c>
      <c r="U291" s="1">
        <v>0</v>
      </c>
      <c r="V291" s="1" t="s">
        <v>541</v>
      </c>
      <c r="X291" s="29" t="s">
        <v>638</v>
      </c>
    </row>
    <row r="292" spans="1:24" x14ac:dyDescent="0.2">
      <c r="A292" s="1">
        <v>1</v>
      </c>
      <c r="B292" s="1" t="s">
        <v>796</v>
      </c>
      <c r="C292" t="s">
        <v>775</v>
      </c>
      <c r="D292" s="1">
        <v>1</v>
      </c>
      <c r="E292" s="1" t="s">
        <v>168</v>
      </c>
      <c r="F292" s="4">
        <v>45404</v>
      </c>
      <c r="G292" s="3">
        <f>I292+K292</f>
        <v>0.77371527777777771</v>
      </c>
      <c r="H292" s="6">
        <f>J292+K292</f>
        <v>0.78515046296296287</v>
      </c>
      <c r="I292" s="3">
        <v>8.8425925925925929E-3</v>
      </c>
      <c r="J292" s="6">
        <v>2.0277777777777777E-2</v>
      </c>
      <c r="K292" s="3">
        <v>0.76487268518518514</v>
      </c>
      <c r="L292" s="1" t="s">
        <v>8</v>
      </c>
      <c r="M292" s="1" t="s">
        <v>8</v>
      </c>
      <c r="N292" s="1">
        <v>2</v>
      </c>
      <c r="O292" s="1">
        <v>2</v>
      </c>
      <c r="P292" s="1">
        <v>90</v>
      </c>
      <c r="Q292" s="1">
        <v>90</v>
      </c>
      <c r="R292" s="2">
        <v>115.17</v>
      </c>
      <c r="S292" s="2">
        <v>115.17</v>
      </c>
      <c r="U292" s="1">
        <v>1</v>
      </c>
      <c r="X292" s="29" t="s">
        <v>638</v>
      </c>
    </row>
    <row r="293" spans="1:24" x14ac:dyDescent="0.2">
      <c r="A293" s="1">
        <v>1</v>
      </c>
      <c r="B293" s="1" t="s">
        <v>796</v>
      </c>
      <c r="C293" t="s">
        <v>775</v>
      </c>
      <c r="D293" s="1" t="s">
        <v>21</v>
      </c>
      <c r="E293" s="1" t="s">
        <v>170</v>
      </c>
      <c r="F293" s="4">
        <v>45405</v>
      </c>
      <c r="G293" s="1" t="s">
        <v>21</v>
      </c>
      <c r="H293" s="6" t="s">
        <v>21</v>
      </c>
      <c r="I293" s="1" t="s">
        <v>21</v>
      </c>
      <c r="J293" s="1" t="s">
        <v>21</v>
      </c>
      <c r="K293" s="3">
        <v>0.76297453703703699</v>
      </c>
      <c r="L293" s="1" t="s">
        <v>7</v>
      </c>
      <c r="M293" s="1" t="s">
        <v>7</v>
      </c>
      <c r="N293" s="1">
        <v>2</v>
      </c>
      <c r="O293" s="1">
        <v>2</v>
      </c>
      <c r="P293" s="1">
        <v>90</v>
      </c>
      <c r="Q293" s="1">
        <v>90</v>
      </c>
      <c r="R293" s="2">
        <v>115.17</v>
      </c>
      <c r="S293" s="2">
        <v>115.17</v>
      </c>
      <c r="U293" s="1" t="s">
        <v>21</v>
      </c>
      <c r="V293" s="1" t="s">
        <v>544</v>
      </c>
      <c r="X293" s="29" t="s">
        <v>638</v>
      </c>
    </row>
    <row r="294" spans="1:24" x14ac:dyDescent="0.2">
      <c r="A294" s="1">
        <v>1</v>
      </c>
      <c r="B294" s="1" t="s">
        <v>796</v>
      </c>
      <c r="C294" t="s">
        <v>775</v>
      </c>
      <c r="D294" s="1">
        <v>1</v>
      </c>
      <c r="E294" s="1" t="s">
        <v>304</v>
      </c>
      <c r="F294" s="4">
        <v>45405</v>
      </c>
      <c r="G294" s="3">
        <f>I294+K294</f>
        <v>0.2384027777777778</v>
      </c>
      <c r="H294" s="6">
        <f>J294+K294</f>
        <v>0.24346064814814816</v>
      </c>
      <c r="I294" s="3">
        <v>1.5694444444444445E-2</v>
      </c>
      <c r="J294" s="6">
        <v>2.0752314814814814E-2</v>
      </c>
      <c r="K294" s="3">
        <v>0.22270833333333334</v>
      </c>
      <c r="L294" s="1" t="s">
        <v>7</v>
      </c>
      <c r="M294" s="1" t="s">
        <v>7</v>
      </c>
      <c r="N294" s="1">
        <v>2</v>
      </c>
      <c r="O294" s="1">
        <v>2</v>
      </c>
      <c r="P294" s="1">
        <v>90</v>
      </c>
      <c r="Q294" s="1">
        <v>90</v>
      </c>
      <c r="R294" s="2">
        <v>115.17</v>
      </c>
      <c r="S294" s="2">
        <v>115.17</v>
      </c>
      <c r="U294" s="1">
        <v>1</v>
      </c>
      <c r="X294" s="29" t="s">
        <v>638</v>
      </c>
    </row>
    <row r="295" spans="1:24" x14ac:dyDescent="0.2">
      <c r="A295" s="1">
        <v>1</v>
      </c>
      <c r="B295" s="1" t="s">
        <v>796</v>
      </c>
      <c r="C295" t="s">
        <v>775</v>
      </c>
      <c r="D295" s="1">
        <v>2</v>
      </c>
      <c r="E295" s="1" t="s">
        <v>304</v>
      </c>
      <c r="F295" s="4">
        <v>45405</v>
      </c>
      <c r="G295" s="3">
        <f>I295+K295</f>
        <v>0.24596064814814816</v>
      </c>
      <c r="H295" s="6">
        <f>J295+K295</f>
        <v>0.24832175925925926</v>
      </c>
      <c r="I295" s="6">
        <v>2.3252314814814816E-2</v>
      </c>
      <c r="J295" s="6">
        <v>2.5613425925925925E-2</v>
      </c>
      <c r="K295" s="3">
        <v>0.22270833333333334</v>
      </c>
      <c r="L295" s="1" t="s">
        <v>7</v>
      </c>
      <c r="M295" s="1" t="s">
        <v>7</v>
      </c>
      <c r="N295" s="1">
        <v>2</v>
      </c>
      <c r="O295" s="1">
        <v>2</v>
      </c>
      <c r="P295" s="1">
        <v>90</v>
      </c>
      <c r="Q295" s="1">
        <v>90</v>
      </c>
      <c r="R295" s="2">
        <v>115.17</v>
      </c>
      <c r="S295" s="2">
        <v>115.17</v>
      </c>
      <c r="U295" s="1">
        <v>1</v>
      </c>
      <c r="X295" s="29" t="s">
        <v>638</v>
      </c>
    </row>
    <row r="296" spans="1:24" x14ac:dyDescent="0.2">
      <c r="A296" s="1">
        <v>1</v>
      </c>
      <c r="B296" s="1" t="s">
        <v>796</v>
      </c>
      <c r="C296" t="s">
        <v>775</v>
      </c>
      <c r="D296" s="1">
        <v>1</v>
      </c>
      <c r="E296" s="1" t="s">
        <v>287</v>
      </c>
      <c r="F296" s="4">
        <v>45406</v>
      </c>
      <c r="G296" s="1" t="s">
        <v>21</v>
      </c>
      <c r="H296" s="6">
        <f>J296+K296</f>
        <v>0.24834490740740739</v>
      </c>
      <c r="I296" s="1" t="s">
        <v>21</v>
      </c>
      <c r="J296" s="6">
        <v>2.7384259259259261E-2</v>
      </c>
      <c r="K296" s="3">
        <v>0.22096064814814814</v>
      </c>
      <c r="L296" s="1" t="s">
        <v>7</v>
      </c>
      <c r="M296" s="1" t="s">
        <v>8</v>
      </c>
      <c r="N296" s="1">
        <v>2</v>
      </c>
      <c r="O296" s="1">
        <v>2</v>
      </c>
      <c r="P296" s="1">
        <v>90</v>
      </c>
      <c r="Q296" s="1">
        <v>90</v>
      </c>
      <c r="R296" s="2">
        <v>115.17</v>
      </c>
      <c r="S296" s="2">
        <v>115.17</v>
      </c>
      <c r="U296" s="1">
        <v>0</v>
      </c>
      <c r="V296" s="1" t="s">
        <v>543</v>
      </c>
      <c r="X296" s="29" t="s">
        <v>638</v>
      </c>
    </row>
    <row r="297" spans="1:24" x14ac:dyDescent="0.2">
      <c r="A297" s="1">
        <v>1</v>
      </c>
      <c r="B297" s="1" t="s">
        <v>796</v>
      </c>
      <c r="C297" t="s">
        <v>775</v>
      </c>
      <c r="D297" s="1">
        <v>2</v>
      </c>
      <c r="E297" s="1" t="s">
        <v>287</v>
      </c>
      <c r="F297" s="4">
        <v>45406</v>
      </c>
      <c r="G297" s="3">
        <f>I297+K297</f>
        <v>0.24369212962962963</v>
      </c>
      <c r="H297" s="6">
        <f>J297+K297</f>
        <v>0.25394675925925925</v>
      </c>
      <c r="I297" s="3">
        <v>2.2731481481481481E-2</v>
      </c>
      <c r="J297" s="6">
        <v>3.2986111111111112E-2</v>
      </c>
      <c r="K297" s="3">
        <v>0.22096064814814814</v>
      </c>
      <c r="L297" s="1" t="s">
        <v>8</v>
      </c>
      <c r="M297" s="1" t="s">
        <v>8</v>
      </c>
      <c r="N297" s="1">
        <v>2</v>
      </c>
      <c r="O297" s="1">
        <v>2</v>
      </c>
      <c r="P297" s="1">
        <v>90</v>
      </c>
      <c r="Q297" s="1">
        <v>90</v>
      </c>
      <c r="R297" s="2">
        <v>115.17</v>
      </c>
      <c r="S297" s="2">
        <v>115.17</v>
      </c>
      <c r="U297" s="1">
        <v>0</v>
      </c>
      <c r="V297" s="1" t="s">
        <v>542</v>
      </c>
      <c r="X297" s="29" t="s">
        <v>638</v>
      </c>
    </row>
    <row r="298" spans="1:24" x14ac:dyDescent="0.2">
      <c r="A298" s="1">
        <v>1</v>
      </c>
      <c r="B298" s="1" t="s">
        <v>796</v>
      </c>
      <c r="C298" t="s">
        <v>775</v>
      </c>
      <c r="D298" s="1">
        <v>1</v>
      </c>
      <c r="E298" s="1" t="s">
        <v>280</v>
      </c>
      <c r="F298" s="4">
        <v>45406</v>
      </c>
      <c r="G298" s="3">
        <f>I298+K298</f>
        <v>0.7773148148148149</v>
      </c>
      <c r="H298" s="6">
        <f>J298+K298</f>
        <v>0.78427083333333336</v>
      </c>
      <c r="I298" s="3">
        <v>9.1087962962962971E-3</v>
      </c>
      <c r="J298" s="6">
        <v>1.6064814814814816E-2</v>
      </c>
      <c r="K298" s="3">
        <v>0.76820601851851855</v>
      </c>
      <c r="L298" s="1" t="s">
        <v>8</v>
      </c>
      <c r="M298" s="1" t="s">
        <v>7</v>
      </c>
      <c r="N298" s="1">
        <v>2</v>
      </c>
      <c r="O298" s="1">
        <v>3</v>
      </c>
      <c r="P298" s="1">
        <v>90</v>
      </c>
      <c r="Q298" s="1">
        <v>90</v>
      </c>
      <c r="R298" s="2">
        <v>115.17</v>
      </c>
      <c r="S298" s="2">
        <v>57.4</v>
      </c>
      <c r="U298" s="1">
        <v>1</v>
      </c>
      <c r="X298" s="4" t="s">
        <v>640</v>
      </c>
    </row>
    <row r="299" spans="1:24" x14ac:dyDescent="0.2">
      <c r="A299" s="1">
        <v>1</v>
      </c>
      <c r="B299" s="1" t="s">
        <v>796</v>
      </c>
      <c r="C299" t="s">
        <v>775</v>
      </c>
      <c r="D299" s="1">
        <v>1</v>
      </c>
      <c r="E299" s="1" t="s">
        <v>279</v>
      </c>
      <c r="F299" s="4">
        <v>45407</v>
      </c>
      <c r="G299" s="3">
        <f>I299+K299</f>
        <v>0.76533564814814814</v>
      </c>
      <c r="H299" s="6">
        <f>J299+K299</f>
        <v>0.76717592592592587</v>
      </c>
      <c r="I299" s="3">
        <v>1.1817129629629629E-2</v>
      </c>
      <c r="J299" s="6">
        <v>1.3657407407407408E-2</v>
      </c>
      <c r="K299" s="3">
        <v>0.75351851851851848</v>
      </c>
      <c r="L299" s="1" t="s">
        <v>7</v>
      </c>
      <c r="M299" s="1" t="s">
        <v>7</v>
      </c>
      <c r="N299" s="1">
        <v>3</v>
      </c>
      <c r="O299" s="1">
        <v>3</v>
      </c>
      <c r="P299" s="1">
        <v>90</v>
      </c>
      <c r="Q299" s="1">
        <v>90</v>
      </c>
      <c r="R299" s="2">
        <v>57.4</v>
      </c>
      <c r="S299" s="2">
        <v>57.4</v>
      </c>
      <c r="U299" s="1" t="s">
        <v>21</v>
      </c>
      <c r="V299" s="1" t="s">
        <v>558</v>
      </c>
      <c r="X299" s="4" t="s">
        <v>640</v>
      </c>
    </row>
    <row r="300" spans="1:24" x14ac:dyDescent="0.2">
      <c r="A300" s="1">
        <v>1</v>
      </c>
      <c r="B300" s="1" t="s">
        <v>796</v>
      </c>
      <c r="C300" t="s">
        <v>775</v>
      </c>
      <c r="D300" s="1" t="s">
        <v>21</v>
      </c>
      <c r="E300" s="1" t="s">
        <v>557</v>
      </c>
      <c r="F300" s="4">
        <v>45408</v>
      </c>
      <c r="G300" s="1" t="s">
        <v>21</v>
      </c>
      <c r="H300" s="6" t="s">
        <v>21</v>
      </c>
      <c r="I300" s="1" t="s">
        <v>21</v>
      </c>
      <c r="J300" s="6" t="s">
        <v>21</v>
      </c>
      <c r="K300" s="3">
        <v>0.75815972222222228</v>
      </c>
      <c r="L300" s="1" t="s">
        <v>7</v>
      </c>
      <c r="M300" s="1" t="s">
        <v>7</v>
      </c>
      <c r="N300" s="1">
        <v>3</v>
      </c>
      <c r="O300" s="1">
        <v>3</v>
      </c>
      <c r="P300" s="1">
        <v>90</v>
      </c>
      <c r="Q300" s="1">
        <v>90</v>
      </c>
      <c r="R300" s="2">
        <v>57.4</v>
      </c>
      <c r="S300" s="2">
        <v>57.4</v>
      </c>
      <c r="U300" s="1" t="s">
        <v>21</v>
      </c>
      <c r="X300" s="4" t="s">
        <v>640</v>
      </c>
    </row>
    <row r="301" spans="1:24" x14ac:dyDescent="0.2">
      <c r="A301" s="1">
        <v>1</v>
      </c>
      <c r="B301" s="1" t="s">
        <v>796</v>
      </c>
      <c r="C301" t="s">
        <v>775</v>
      </c>
      <c r="D301" s="1">
        <v>1</v>
      </c>
      <c r="E301" s="1" t="s">
        <v>560</v>
      </c>
      <c r="F301" s="4">
        <v>45409</v>
      </c>
      <c r="G301" s="1" t="s">
        <v>21</v>
      </c>
      <c r="H301" s="6">
        <f>J301+K301</f>
        <v>0.78149305555555559</v>
      </c>
      <c r="I301" s="1" t="s">
        <v>21</v>
      </c>
      <c r="J301" s="6">
        <v>7.2685185185185188E-3</v>
      </c>
      <c r="K301" s="3">
        <v>0.77422453703703709</v>
      </c>
      <c r="L301" s="1" t="s">
        <v>8</v>
      </c>
      <c r="M301" s="1" t="s">
        <v>8</v>
      </c>
      <c r="N301" s="1">
        <v>2</v>
      </c>
      <c r="O301" s="1">
        <v>2</v>
      </c>
      <c r="P301" s="1">
        <v>90</v>
      </c>
      <c r="Q301" s="1">
        <v>90</v>
      </c>
      <c r="R301" s="2">
        <v>57.4</v>
      </c>
      <c r="S301" s="2">
        <v>57.4</v>
      </c>
      <c r="U301" s="1">
        <v>0</v>
      </c>
      <c r="V301" s="1" t="s">
        <v>562</v>
      </c>
      <c r="X301" s="4" t="s">
        <v>640</v>
      </c>
    </row>
    <row r="302" spans="1:24" x14ac:dyDescent="0.2">
      <c r="A302" s="1">
        <v>1</v>
      </c>
      <c r="B302" s="1" t="s">
        <v>796</v>
      </c>
      <c r="C302" t="s">
        <v>775</v>
      </c>
      <c r="D302" s="1">
        <v>1</v>
      </c>
      <c r="E302" s="1" t="s">
        <v>561</v>
      </c>
      <c r="F302" s="4">
        <v>45410</v>
      </c>
      <c r="G302" s="3">
        <f>I302+K302</f>
        <v>0.2434375</v>
      </c>
      <c r="H302" s="6">
        <f>J302+K302</f>
        <v>0.25074074074074071</v>
      </c>
      <c r="I302" s="3">
        <v>1.0254629629629629E-2</v>
      </c>
      <c r="J302" s="6">
        <v>1.755787037037037E-2</v>
      </c>
      <c r="K302" s="3">
        <v>0.23318287037037036</v>
      </c>
      <c r="L302" s="1" t="s">
        <v>8</v>
      </c>
      <c r="M302" s="1" t="s">
        <v>8</v>
      </c>
      <c r="N302" s="1">
        <v>2</v>
      </c>
      <c r="O302" s="1">
        <v>2</v>
      </c>
      <c r="P302" s="1">
        <v>90</v>
      </c>
      <c r="Q302" s="1">
        <v>90</v>
      </c>
      <c r="R302" s="2">
        <v>57.4</v>
      </c>
      <c r="S302" s="2">
        <v>57.4</v>
      </c>
      <c r="U302" s="1" t="s">
        <v>21</v>
      </c>
      <c r="V302" s="1" t="s">
        <v>563</v>
      </c>
      <c r="X302" s="4" t="s">
        <v>640</v>
      </c>
    </row>
    <row r="303" spans="1:24" x14ac:dyDescent="0.2">
      <c r="A303" s="1">
        <v>1</v>
      </c>
      <c r="B303" s="1" t="s">
        <v>796</v>
      </c>
      <c r="C303" t="s">
        <v>775</v>
      </c>
      <c r="D303" s="1">
        <v>1</v>
      </c>
      <c r="E303" s="1" t="s">
        <v>551</v>
      </c>
      <c r="F303" s="4">
        <v>45411</v>
      </c>
      <c r="G303" s="3">
        <f>I303+K303</f>
        <v>0.23987268518518517</v>
      </c>
      <c r="H303" s="6">
        <f>J303+K303</f>
        <v>0.24672453703703703</v>
      </c>
      <c r="I303" s="3">
        <v>3.7268518518518519E-3</v>
      </c>
      <c r="J303" s="6">
        <v>1.0578703703703703E-2</v>
      </c>
      <c r="K303" s="6">
        <v>0.23614583333333333</v>
      </c>
      <c r="L303" s="1" t="s">
        <v>7</v>
      </c>
      <c r="M303" s="1" t="s">
        <v>8</v>
      </c>
      <c r="N303" s="1">
        <v>2</v>
      </c>
      <c r="O303" s="1">
        <v>2</v>
      </c>
      <c r="P303" s="1">
        <v>90</v>
      </c>
      <c r="Q303" s="1">
        <v>90</v>
      </c>
      <c r="R303" s="2">
        <v>57.4</v>
      </c>
      <c r="S303" s="2">
        <v>57.4</v>
      </c>
      <c r="U303" s="1">
        <v>1</v>
      </c>
      <c r="V303" s="1" t="s">
        <v>553</v>
      </c>
      <c r="X303" s="4" t="s">
        <v>640</v>
      </c>
    </row>
    <row r="304" spans="1:24" x14ac:dyDescent="0.2">
      <c r="A304" s="1">
        <v>1</v>
      </c>
      <c r="B304" s="1" t="s">
        <v>796</v>
      </c>
      <c r="C304" t="s">
        <v>775</v>
      </c>
      <c r="D304" s="1" t="s">
        <v>21</v>
      </c>
      <c r="E304" s="1" t="s">
        <v>294</v>
      </c>
      <c r="F304" s="4">
        <v>45411</v>
      </c>
      <c r="G304" s="1" t="s">
        <v>21</v>
      </c>
      <c r="H304" s="6" t="s">
        <v>21</v>
      </c>
      <c r="I304" s="1" t="s">
        <v>21</v>
      </c>
      <c r="J304" s="6" t="s">
        <v>21</v>
      </c>
      <c r="K304" s="3">
        <v>0.76478009259259261</v>
      </c>
      <c r="L304" s="1" t="s">
        <v>8</v>
      </c>
      <c r="M304" s="1" t="s">
        <v>7</v>
      </c>
      <c r="N304" s="1">
        <v>2</v>
      </c>
      <c r="O304" s="1">
        <v>2</v>
      </c>
      <c r="P304" s="1">
        <v>90</v>
      </c>
      <c r="Q304" s="1">
        <v>90</v>
      </c>
      <c r="R304" s="2">
        <v>57.4</v>
      </c>
      <c r="S304" s="2">
        <v>57.4</v>
      </c>
      <c r="U304" s="1" t="s">
        <v>21</v>
      </c>
      <c r="V304" s="1" t="s">
        <v>566</v>
      </c>
      <c r="X304" s="4" t="s">
        <v>640</v>
      </c>
    </row>
    <row r="305" spans="1:24" x14ac:dyDescent="0.2">
      <c r="A305" s="1">
        <v>1</v>
      </c>
      <c r="B305" s="1" t="s">
        <v>796</v>
      </c>
      <c r="C305" t="s">
        <v>775</v>
      </c>
      <c r="D305" s="1">
        <v>1</v>
      </c>
      <c r="E305" s="1" t="s">
        <v>567</v>
      </c>
      <c r="F305" s="4">
        <v>45412</v>
      </c>
      <c r="G305" s="3">
        <f>I305+K305</f>
        <v>0.24035879629629631</v>
      </c>
      <c r="H305" s="6">
        <f>J305+K305</f>
        <v>0.24892361111111111</v>
      </c>
      <c r="I305" s="3">
        <v>1.9247685185185184E-2</v>
      </c>
      <c r="J305" s="6">
        <v>2.78125E-2</v>
      </c>
      <c r="K305" s="3">
        <v>0.22111111111111112</v>
      </c>
      <c r="L305" s="1" t="s">
        <v>7</v>
      </c>
      <c r="M305" s="1" t="s">
        <v>7</v>
      </c>
      <c r="N305" s="1">
        <v>2</v>
      </c>
      <c r="O305" s="1">
        <v>2</v>
      </c>
      <c r="P305" s="1">
        <v>90</v>
      </c>
      <c r="Q305" s="1">
        <v>90</v>
      </c>
      <c r="R305" s="2">
        <v>57.4</v>
      </c>
      <c r="S305" s="2">
        <v>57.4</v>
      </c>
      <c r="U305" s="1">
        <v>1</v>
      </c>
      <c r="X305" s="4" t="s">
        <v>640</v>
      </c>
    </row>
    <row r="306" spans="1:24" x14ac:dyDescent="0.2">
      <c r="A306" s="1">
        <v>1</v>
      </c>
      <c r="B306" s="1" t="s">
        <v>796</v>
      </c>
      <c r="C306" t="s">
        <v>775</v>
      </c>
      <c r="D306" s="1">
        <v>1</v>
      </c>
      <c r="E306" s="1" t="s">
        <v>568</v>
      </c>
      <c r="F306" s="4">
        <v>45413</v>
      </c>
      <c r="G306" s="3">
        <f>I306+K306</f>
        <v>0.2378587962962963</v>
      </c>
      <c r="H306" s="6">
        <f>J306+K306</f>
        <v>0.24297453703703703</v>
      </c>
      <c r="I306" s="3">
        <v>1.8368055555555554E-2</v>
      </c>
      <c r="J306" s="6">
        <v>2.3483796296296298E-2</v>
      </c>
      <c r="K306" s="3">
        <v>0.21949074074074074</v>
      </c>
      <c r="L306" s="1" t="s">
        <v>8</v>
      </c>
      <c r="M306" s="1" t="s">
        <v>7</v>
      </c>
      <c r="N306" s="1">
        <v>2</v>
      </c>
      <c r="O306" s="1">
        <v>2</v>
      </c>
      <c r="P306" s="1">
        <v>90</v>
      </c>
      <c r="Q306" s="1">
        <v>90</v>
      </c>
      <c r="R306" s="2">
        <v>57.4</v>
      </c>
      <c r="S306" s="2">
        <v>57.4</v>
      </c>
      <c r="U306" s="1">
        <v>1</v>
      </c>
      <c r="X306" s="4" t="s">
        <v>640</v>
      </c>
    </row>
    <row r="307" spans="1:24" x14ac:dyDescent="0.2">
      <c r="A307" s="1">
        <v>1</v>
      </c>
      <c r="B307" s="1" t="s">
        <v>796</v>
      </c>
      <c r="C307" t="s">
        <v>775</v>
      </c>
      <c r="D307" s="1">
        <v>1</v>
      </c>
      <c r="E307" s="1" t="s">
        <v>476</v>
      </c>
      <c r="F307" s="4">
        <v>45414</v>
      </c>
      <c r="G307" s="3">
        <f>I307+K307</f>
        <v>0.24127314814814815</v>
      </c>
      <c r="H307" s="6">
        <f>J307+K307</f>
        <v>0.24671296296296297</v>
      </c>
      <c r="I307" s="3">
        <v>2.2731481481481481E-2</v>
      </c>
      <c r="J307" s="6">
        <v>2.8171296296296295E-2</v>
      </c>
      <c r="K307" s="3">
        <v>0.21854166666666666</v>
      </c>
      <c r="L307" s="1" t="s">
        <v>7</v>
      </c>
      <c r="M307" s="1" t="s">
        <v>8</v>
      </c>
      <c r="N307" s="1">
        <v>3</v>
      </c>
      <c r="O307" s="1">
        <v>2</v>
      </c>
      <c r="P307" s="1">
        <v>90</v>
      </c>
      <c r="Q307" s="1">
        <v>90</v>
      </c>
      <c r="R307" s="2">
        <v>57.4</v>
      </c>
      <c r="S307" s="2">
        <v>57.4</v>
      </c>
      <c r="U307" s="1">
        <v>0</v>
      </c>
      <c r="X307" s="4" t="s">
        <v>640</v>
      </c>
    </row>
    <row r="308" spans="1:24" x14ac:dyDescent="0.2">
      <c r="A308" s="1">
        <v>1</v>
      </c>
      <c r="B308" s="1" t="s">
        <v>796</v>
      </c>
      <c r="C308" t="s">
        <v>775</v>
      </c>
      <c r="D308" s="1">
        <v>2</v>
      </c>
      <c r="E308" s="1" t="s">
        <v>476</v>
      </c>
      <c r="F308" s="4">
        <v>45414</v>
      </c>
      <c r="G308" s="1" t="s">
        <v>21</v>
      </c>
      <c r="H308" s="6">
        <f>J308+K308</f>
        <v>0.25666666666666665</v>
      </c>
      <c r="I308" s="1" t="s">
        <v>21</v>
      </c>
      <c r="J308" s="6">
        <v>3.8124999999999999E-2</v>
      </c>
      <c r="K308" s="3">
        <v>0.21854166666666666</v>
      </c>
      <c r="L308" s="1" t="s">
        <v>7</v>
      </c>
      <c r="M308" s="1" t="s">
        <v>8</v>
      </c>
      <c r="N308" s="1">
        <v>3</v>
      </c>
      <c r="O308" s="1">
        <v>2</v>
      </c>
      <c r="P308" s="1">
        <v>90</v>
      </c>
      <c r="Q308" s="1">
        <v>90</v>
      </c>
      <c r="R308" s="2">
        <v>57.4</v>
      </c>
      <c r="S308" s="2">
        <v>57.4</v>
      </c>
      <c r="U308" s="1">
        <v>1</v>
      </c>
      <c r="V308" s="1" t="s">
        <v>579</v>
      </c>
      <c r="X308" s="4" t="s">
        <v>640</v>
      </c>
    </row>
    <row r="309" spans="1:24" x14ac:dyDescent="0.2">
      <c r="A309" s="1">
        <v>1</v>
      </c>
      <c r="B309" s="1" t="s">
        <v>796</v>
      </c>
      <c r="C309" t="s">
        <v>775</v>
      </c>
      <c r="D309" s="1">
        <v>1</v>
      </c>
      <c r="E309" s="1" t="s">
        <v>475</v>
      </c>
      <c r="F309" s="4">
        <v>45414</v>
      </c>
      <c r="G309" s="1" t="s">
        <v>21</v>
      </c>
      <c r="H309" s="6" t="s">
        <v>21</v>
      </c>
      <c r="I309" s="1" t="s">
        <v>21</v>
      </c>
      <c r="J309" s="6" t="s">
        <v>21</v>
      </c>
      <c r="K309" s="3">
        <v>0.76202546296296292</v>
      </c>
      <c r="L309" s="1" t="s">
        <v>8</v>
      </c>
      <c r="M309" s="1" t="s">
        <v>7</v>
      </c>
      <c r="N309" s="1">
        <v>2</v>
      </c>
      <c r="O309" s="1">
        <v>2</v>
      </c>
      <c r="P309" s="1">
        <v>90</v>
      </c>
      <c r="Q309" s="1">
        <v>90</v>
      </c>
      <c r="R309" s="2">
        <v>57.4</v>
      </c>
      <c r="S309" s="2">
        <v>57.4</v>
      </c>
      <c r="U309" s="1" t="s">
        <v>21</v>
      </c>
      <c r="V309" s="1" t="s">
        <v>166</v>
      </c>
      <c r="X309" s="4" t="s">
        <v>640</v>
      </c>
    </row>
    <row r="310" spans="1:24" x14ac:dyDescent="0.2">
      <c r="A310" s="1">
        <v>1</v>
      </c>
      <c r="B310" s="35" t="s">
        <v>796</v>
      </c>
      <c r="C310" t="s">
        <v>775</v>
      </c>
      <c r="D310" s="1">
        <v>1</v>
      </c>
      <c r="E310" s="1" t="s">
        <v>297</v>
      </c>
      <c r="F310" s="4">
        <v>45412</v>
      </c>
      <c r="G310" s="3" t="s">
        <v>21</v>
      </c>
      <c r="H310" s="6" t="s">
        <v>21</v>
      </c>
      <c r="I310" s="3" t="s">
        <v>21</v>
      </c>
      <c r="J310" s="6" t="s">
        <v>21</v>
      </c>
      <c r="K310" s="3">
        <v>0.76344907407407403</v>
      </c>
      <c r="L310" s="1" t="s">
        <v>8</v>
      </c>
      <c r="M310" s="1" t="s">
        <v>8</v>
      </c>
      <c r="N310" s="1">
        <v>2</v>
      </c>
      <c r="O310" s="1">
        <v>2</v>
      </c>
      <c r="P310" s="1">
        <v>90</v>
      </c>
      <c r="Q310" s="1">
        <v>90</v>
      </c>
      <c r="R310" s="2">
        <v>57.4</v>
      </c>
      <c r="S310" s="2">
        <v>57.4</v>
      </c>
      <c r="T310" s="2" t="s">
        <v>790</v>
      </c>
      <c r="U310" s="1" t="s">
        <v>21</v>
      </c>
      <c r="V310" s="1" t="s">
        <v>577</v>
      </c>
      <c r="X310" s="4" t="s">
        <v>640</v>
      </c>
    </row>
    <row r="311" spans="1:24" x14ac:dyDescent="0.2">
      <c r="A311" s="1">
        <v>1</v>
      </c>
      <c r="B311" s="1" t="s">
        <v>796</v>
      </c>
      <c r="C311" t="s">
        <v>775</v>
      </c>
      <c r="D311" s="1">
        <v>1</v>
      </c>
      <c r="E311" s="1" t="s">
        <v>248</v>
      </c>
      <c r="F311" s="4">
        <v>45410</v>
      </c>
      <c r="G311" s="3">
        <f>I311+K311</f>
        <v>0.77290509259259255</v>
      </c>
      <c r="H311" s="6">
        <f>J311+K311</f>
        <v>0.78246527777777775</v>
      </c>
      <c r="I311" s="3">
        <v>9.5370370370370366E-3</v>
      </c>
      <c r="J311" s="6">
        <v>1.9097222222222224E-2</v>
      </c>
      <c r="K311" s="3">
        <v>0.76336805555555554</v>
      </c>
      <c r="L311" s="1" t="s">
        <v>8</v>
      </c>
      <c r="M311" s="1" t="s">
        <v>7</v>
      </c>
      <c r="N311" s="1">
        <v>2</v>
      </c>
      <c r="O311" s="1">
        <v>2</v>
      </c>
      <c r="P311" s="1">
        <v>90</v>
      </c>
      <c r="Q311" s="1">
        <v>90</v>
      </c>
      <c r="R311" s="2">
        <v>57.4</v>
      </c>
      <c r="S311" s="2">
        <v>57.4</v>
      </c>
      <c r="U311" s="1">
        <v>1</v>
      </c>
      <c r="X311" s="4" t="s">
        <v>640</v>
      </c>
    </row>
    <row r="312" spans="1:24" x14ac:dyDescent="0.2">
      <c r="A312" s="1">
        <v>1</v>
      </c>
      <c r="B312" s="1" t="s">
        <v>796</v>
      </c>
      <c r="C312" t="s">
        <v>775</v>
      </c>
      <c r="D312" s="1" t="s">
        <v>21</v>
      </c>
      <c r="E312" s="1" t="s">
        <v>569</v>
      </c>
      <c r="F312" s="4">
        <v>45413</v>
      </c>
      <c r="G312" s="1" t="s">
        <v>21</v>
      </c>
      <c r="H312" s="6" t="s">
        <v>21</v>
      </c>
      <c r="I312" s="1" t="s">
        <v>21</v>
      </c>
      <c r="J312" s="6" t="s">
        <v>21</v>
      </c>
      <c r="K312" s="3">
        <v>0.77603009259259259</v>
      </c>
      <c r="L312" s="1" t="s">
        <v>7</v>
      </c>
      <c r="M312" s="1" t="s">
        <v>7</v>
      </c>
      <c r="N312" s="1">
        <v>2</v>
      </c>
      <c r="O312" s="1">
        <v>2</v>
      </c>
      <c r="P312" s="1">
        <v>90</v>
      </c>
      <c r="Q312" s="1">
        <v>90</v>
      </c>
      <c r="R312" s="2">
        <v>57.4</v>
      </c>
      <c r="S312" s="2">
        <v>57.4</v>
      </c>
      <c r="U312" s="1" t="s">
        <v>21</v>
      </c>
      <c r="V312" s="1" t="s">
        <v>166</v>
      </c>
      <c r="X312" s="4" t="s">
        <v>640</v>
      </c>
    </row>
    <row r="313" spans="1:24" x14ac:dyDescent="0.2">
      <c r="A313" s="1">
        <v>1</v>
      </c>
      <c r="B313" s="1" t="s">
        <v>796</v>
      </c>
      <c r="C313" t="s">
        <v>775</v>
      </c>
      <c r="D313" s="1">
        <v>1</v>
      </c>
      <c r="E313" s="1" t="s">
        <v>474</v>
      </c>
      <c r="F313" s="4">
        <v>45415</v>
      </c>
      <c r="G313" s="3">
        <f>I313+K313</f>
        <v>0.23871527777777779</v>
      </c>
      <c r="H313" s="6">
        <f>J313+K313</f>
        <v>0.24672453703703706</v>
      </c>
      <c r="I313" s="3">
        <v>1.6053240740740739E-2</v>
      </c>
      <c r="J313" s="6">
        <v>2.4062500000000001E-2</v>
      </c>
      <c r="K313" s="3">
        <v>0.22266203703703705</v>
      </c>
      <c r="L313" s="1" t="s">
        <v>8</v>
      </c>
      <c r="M313" s="1" t="s">
        <v>8</v>
      </c>
      <c r="N313" s="1">
        <v>2</v>
      </c>
      <c r="O313" s="1">
        <v>2</v>
      </c>
      <c r="P313" s="1">
        <v>90</v>
      </c>
      <c r="Q313" s="1">
        <v>90</v>
      </c>
      <c r="R313" s="2">
        <v>57.4</v>
      </c>
      <c r="S313" s="2">
        <v>57.4</v>
      </c>
      <c r="U313" s="1">
        <v>0</v>
      </c>
      <c r="V313" s="1" t="s">
        <v>585</v>
      </c>
      <c r="X313" s="4" t="s">
        <v>640</v>
      </c>
    </row>
    <row r="314" spans="1:24" x14ac:dyDescent="0.2">
      <c r="A314" s="1">
        <v>1</v>
      </c>
      <c r="B314" s="1" t="s">
        <v>796</v>
      </c>
      <c r="C314" t="s">
        <v>775</v>
      </c>
      <c r="D314" s="1">
        <v>1</v>
      </c>
      <c r="E314" s="1" t="s">
        <v>467</v>
      </c>
      <c r="F314" s="4">
        <v>45415</v>
      </c>
      <c r="G314" s="1" t="s">
        <v>21</v>
      </c>
      <c r="H314" s="6" t="s">
        <v>21</v>
      </c>
      <c r="I314" s="1" t="s">
        <v>21</v>
      </c>
      <c r="J314" s="6" t="s">
        <v>21</v>
      </c>
      <c r="K314" s="3">
        <v>0.75718750000000001</v>
      </c>
      <c r="L314" s="1" t="s">
        <v>8</v>
      </c>
      <c r="M314" s="1" t="s">
        <v>7</v>
      </c>
      <c r="N314" s="1">
        <v>2</v>
      </c>
      <c r="O314" s="1">
        <v>2</v>
      </c>
      <c r="P314" s="1">
        <v>90</v>
      </c>
      <c r="Q314" s="1">
        <v>90</v>
      </c>
      <c r="R314" s="2">
        <v>57.4</v>
      </c>
      <c r="S314" s="2">
        <v>57.4</v>
      </c>
      <c r="U314" s="1" t="s">
        <v>21</v>
      </c>
      <c r="V314" s="1" t="s">
        <v>566</v>
      </c>
      <c r="X314" s="4" t="s">
        <v>640</v>
      </c>
    </row>
    <row r="315" spans="1:24" x14ac:dyDescent="0.2">
      <c r="A315" s="1">
        <v>1</v>
      </c>
      <c r="B315" s="1" t="s">
        <v>796</v>
      </c>
      <c r="C315" t="s">
        <v>775</v>
      </c>
      <c r="D315" s="1">
        <v>1</v>
      </c>
      <c r="E315" s="1" t="s">
        <v>458</v>
      </c>
      <c r="F315" s="4">
        <v>45416</v>
      </c>
      <c r="G315" s="3">
        <f>I315+K315</f>
        <v>0.24223379629629629</v>
      </c>
      <c r="H315" s="6">
        <f>J315+K315</f>
        <v>0.24774305555555556</v>
      </c>
      <c r="I315" s="3">
        <v>1.9988425925925927E-2</v>
      </c>
      <c r="J315" s="3">
        <v>2.5497685185185186E-2</v>
      </c>
      <c r="K315" s="3">
        <v>0.22224537037037037</v>
      </c>
      <c r="L315" s="1" t="s">
        <v>7</v>
      </c>
      <c r="M315" s="1" t="s">
        <v>7</v>
      </c>
      <c r="N315" s="1">
        <v>2</v>
      </c>
      <c r="O315" s="1">
        <v>2</v>
      </c>
      <c r="P315" s="1">
        <v>90</v>
      </c>
      <c r="Q315" s="1">
        <v>90</v>
      </c>
      <c r="R315" s="2">
        <v>19.2</v>
      </c>
      <c r="S315" s="2">
        <v>19.2</v>
      </c>
      <c r="U315" s="1">
        <v>1</v>
      </c>
      <c r="X315" s="4" t="s">
        <v>640</v>
      </c>
    </row>
    <row r="316" spans="1:24" x14ac:dyDescent="0.2">
      <c r="A316" s="1">
        <v>1</v>
      </c>
      <c r="B316" s="1" t="s">
        <v>796</v>
      </c>
      <c r="C316" t="s">
        <v>775</v>
      </c>
      <c r="D316" s="1">
        <v>1</v>
      </c>
      <c r="E316" s="1" t="s">
        <v>482</v>
      </c>
      <c r="F316" s="4">
        <v>45418</v>
      </c>
      <c r="G316" s="3">
        <f>I316+K316</f>
        <v>0.24273148148148146</v>
      </c>
      <c r="H316" s="6">
        <f>J316+K316</f>
        <v>0.24710648148148148</v>
      </c>
      <c r="I316" s="3">
        <v>2.0254629629629629E-2</v>
      </c>
      <c r="J316" s="6">
        <v>2.462962962962963E-2</v>
      </c>
      <c r="K316" s="3">
        <v>0.22247685185185184</v>
      </c>
      <c r="L316" s="1" t="s">
        <v>7</v>
      </c>
      <c r="M316" s="1" t="s">
        <v>8</v>
      </c>
      <c r="N316" s="1">
        <v>2</v>
      </c>
      <c r="O316" s="1">
        <v>2</v>
      </c>
      <c r="P316" s="1">
        <v>90</v>
      </c>
      <c r="Q316" s="1">
        <v>90</v>
      </c>
      <c r="R316" s="2">
        <v>57.4</v>
      </c>
      <c r="S316" s="2">
        <v>57.4</v>
      </c>
      <c r="U316" s="1" t="s">
        <v>21</v>
      </c>
      <c r="V316" s="1" t="s">
        <v>598</v>
      </c>
      <c r="X316" s="4" t="s">
        <v>640</v>
      </c>
    </row>
    <row r="317" spans="1:24" x14ac:dyDescent="0.2">
      <c r="A317" s="1">
        <v>1</v>
      </c>
      <c r="B317" s="1" t="s">
        <v>796</v>
      </c>
      <c r="C317" t="s">
        <v>775</v>
      </c>
      <c r="D317" s="1">
        <v>1</v>
      </c>
      <c r="E317" s="1" t="s">
        <v>499</v>
      </c>
      <c r="F317" s="4">
        <v>45418</v>
      </c>
      <c r="G317" s="3">
        <f>I317+K317</f>
        <v>0.77509259259259256</v>
      </c>
      <c r="H317" s="6">
        <f>J317+K317</f>
        <v>0.79791666666666672</v>
      </c>
      <c r="I317" s="3">
        <v>8.0439814814814818E-3</v>
      </c>
      <c r="J317" s="6">
        <v>3.0868055555555555E-2</v>
      </c>
      <c r="K317" s="3">
        <v>0.76704861111111111</v>
      </c>
      <c r="L317" s="1" t="s">
        <v>8</v>
      </c>
      <c r="M317" s="1" t="s">
        <v>7</v>
      </c>
      <c r="N317" s="1">
        <v>2</v>
      </c>
      <c r="O317" s="1">
        <v>2</v>
      </c>
      <c r="P317" s="1">
        <v>90</v>
      </c>
      <c r="Q317" s="1">
        <v>90</v>
      </c>
      <c r="R317" s="2">
        <v>57.4</v>
      </c>
      <c r="S317" s="2">
        <v>57.4</v>
      </c>
      <c r="U317" s="1">
        <v>0</v>
      </c>
      <c r="V317" s="1" t="s">
        <v>601</v>
      </c>
      <c r="X317" s="4" t="s">
        <v>640</v>
      </c>
    </row>
    <row r="318" spans="1:24" x14ac:dyDescent="0.2">
      <c r="A318" s="1">
        <v>1</v>
      </c>
      <c r="B318" s="1" t="s">
        <v>796</v>
      </c>
      <c r="C318" t="s">
        <v>775</v>
      </c>
      <c r="D318" s="1">
        <v>1</v>
      </c>
      <c r="E318" s="1" t="s">
        <v>500</v>
      </c>
      <c r="F318" s="4">
        <v>45419</v>
      </c>
      <c r="G318" s="1" t="s">
        <v>21</v>
      </c>
      <c r="H318" s="6" t="s">
        <v>21</v>
      </c>
      <c r="I318" s="1" t="s">
        <v>21</v>
      </c>
      <c r="J318" s="1" t="s">
        <v>21</v>
      </c>
      <c r="K318" s="3">
        <v>0.22409722222222223</v>
      </c>
      <c r="L318" s="1" t="s">
        <v>7</v>
      </c>
      <c r="M318" s="1" t="s">
        <v>7</v>
      </c>
      <c r="N318" s="1">
        <v>2</v>
      </c>
      <c r="O318" s="1">
        <v>2</v>
      </c>
      <c r="P318" s="1">
        <v>90</v>
      </c>
      <c r="Q318" s="1">
        <v>90</v>
      </c>
      <c r="R318" s="2">
        <v>57.4</v>
      </c>
      <c r="S318" s="2">
        <v>57.4</v>
      </c>
      <c r="U318" s="1" t="s">
        <v>21</v>
      </c>
      <c r="V318" s="1" t="s">
        <v>602</v>
      </c>
      <c r="X318" s="4" t="s">
        <v>640</v>
      </c>
    </row>
    <row r="319" spans="1:24" x14ac:dyDescent="0.2">
      <c r="A319" s="1">
        <v>1</v>
      </c>
      <c r="B319" s="1" t="s">
        <v>796</v>
      </c>
      <c r="C319" t="s">
        <v>775</v>
      </c>
      <c r="D319" s="1">
        <v>1</v>
      </c>
      <c r="E319" s="1" t="s">
        <v>608</v>
      </c>
      <c r="F319" s="4">
        <v>45420</v>
      </c>
      <c r="G319" s="3">
        <f>I319+K319</f>
        <v>0.77614583333333331</v>
      </c>
      <c r="H319" s="6">
        <f>J319+K319</f>
        <v>0.78833333333333333</v>
      </c>
      <c r="I319" s="3">
        <v>1.8368055555555554E-2</v>
      </c>
      <c r="J319" s="6">
        <v>3.0555555555555555E-2</v>
      </c>
      <c r="K319" s="3">
        <v>0.75777777777777777</v>
      </c>
      <c r="L319" s="1" t="s">
        <v>8</v>
      </c>
      <c r="M319" s="1" t="s">
        <v>7</v>
      </c>
      <c r="N319" s="1">
        <v>1</v>
      </c>
      <c r="O319" s="1">
        <v>2</v>
      </c>
      <c r="P319" s="1">
        <v>90</v>
      </c>
      <c r="Q319" s="1">
        <v>90</v>
      </c>
      <c r="R319" s="2">
        <v>57.4</v>
      </c>
      <c r="S319" s="2">
        <v>57.4</v>
      </c>
      <c r="U319" s="1">
        <v>0</v>
      </c>
      <c r="V319" s="1" t="s">
        <v>609</v>
      </c>
      <c r="X319" s="4" t="s">
        <v>640</v>
      </c>
    </row>
    <row r="320" spans="1:24" x14ac:dyDescent="0.2">
      <c r="A320" s="1">
        <v>1</v>
      </c>
      <c r="B320" s="1" t="s">
        <v>796</v>
      </c>
      <c r="C320" t="s">
        <v>775</v>
      </c>
      <c r="D320" s="1">
        <v>1</v>
      </c>
      <c r="E320" s="1" t="s">
        <v>498</v>
      </c>
      <c r="F320" s="4">
        <v>45420</v>
      </c>
      <c r="G320" s="3">
        <f>I320+K320</f>
        <v>0.23935185185185184</v>
      </c>
      <c r="H320" s="6">
        <f>J320+K320</f>
        <v>0.2503009259259259</v>
      </c>
      <c r="I320" s="3">
        <v>1.462962962962963E-2</v>
      </c>
      <c r="J320" s="6">
        <v>2.5578703703703704E-2</v>
      </c>
      <c r="K320" s="3">
        <v>0.22472222222222221</v>
      </c>
      <c r="L320" s="1" t="s">
        <v>8</v>
      </c>
      <c r="M320" s="1" t="s">
        <v>8</v>
      </c>
      <c r="N320" s="1">
        <v>2</v>
      </c>
      <c r="O320" s="1">
        <v>1</v>
      </c>
      <c r="P320" s="1">
        <v>90</v>
      </c>
      <c r="Q320" s="1">
        <v>90</v>
      </c>
      <c r="R320" s="2">
        <v>57.4</v>
      </c>
      <c r="S320" s="2">
        <v>57.4</v>
      </c>
      <c r="U320" s="1">
        <v>1</v>
      </c>
      <c r="X320" s="4" t="s">
        <v>638</v>
      </c>
    </row>
    <row r="321" spans="1:24" x14ac:dyDescent="0.2">
      <c r="A321" s="1">
        <v>1</v>
      </c>
      <c r="B321" s="1" t="s">
        <v>796</v>
      </c>
      <c r="C321" t="s">
        <v>775</v>
      </c>
      <c r="D321" s="1">
        <v>1</v>
      </c>
      <c r="E321" s="1" t="s">
        <v>501</v>
      </c>
      <c r="F321" s="4">
        <v>45421</v>
      </c>
      <c r="G321" s="1" t="s">
        <v>21</v>
      </c>
      <c r="H321" s="6">
        <f>J321+K321</f>
        <v>0.25059027777777776</v>
      </c>
      <c r="I321" s="1" t="s">
        <v>21</v>
      </c>
      <c r="J321" s="6">
        <v>2.6018518518518517E-2</v>
      </c>
      <c r="K321" s="3">
        <v>0.22457175925925926</v>
      </c>
      <c r="L321" s="1" t="s">
        <v>8</v>
      </c>
      <c r="M321" s="1" t="s">
        <v>8</v>
      </c>
      <c r="N321" s="1">
        <v>2</v>
      </c>
      <c r="O321" s="1">
        <v>2</v>
      </c>
      <c r="P321" s="1">
        <v>90</v>
      </c>
      <c r="Q321" s="1">
        <v>90</v>
      </c>
      <c r="R321" s="2">
        <v>19.2</v>
      </c>
      <c r="S321" s="2">
        <v>19.2</v>
      </c>
      <c r="U321" s="1">
        <v>0</v>
      </c>
      <c r="V321" s="1" t="s">
        <v>612</v>
      </c>
      <c r="X321" s="4" t="s">
        <v>640</v>
      </c>
    </row>
    <row r="322" spans="1:24" x14ac:dyDescent="0.2">
      <c r="A322" s="1">
        <v>1</v>
      </c>
      <c r="B322" s="1" t="s">
        <v>796</v>
      </c>
      <c r="C322" t="s">
        <v>775</v>
      </c>
      <c r="D322" s="1">
        <v>1</v>
      </c>
      <c r="E322" s="1" t="s">
        <v>614</v>
      </c>
      <c r="F322" s="4">
        <v>45421</v>
      </c>
      <c r="G322" s="3" t="s">
        <v>21</v>
      </c>
      <c r="H322" s="6">
        <f>J322+K322</f>
        <v>0.77841435185185182</v>
      </c>
      <c r="I322" s="1" t="s">
        <v>21</v>
      </c>
      <c r="J322" s="6">
        <v>4.8958333333333336E-3</v>
      </c>
      <c r="K322" s="3">
        <v>0.77351851851851849</v>
      </c>
      <c r="L322" s="1" t="s">
        <v>8</v>
      </c>
      <c r="M322" s="1" t="s">
        <v>8</v>
      </c>
      <c r="N322" s="1">
        <v>2</v>
      </c>
      <c r="O322" s="1">
        <v>2</v>
      </c>
      <c r="P322" s="1">
        <v>90</v>
      </c>
      <c r="Q322" s="1">
        <v>90</v>
      </c>
      <c r="R322" s="2">
        <v>19.2</v>
      </c>
      <c r="S322" s="2">
        <v>19.2</v>
      </c>
      <c r="U322" s="1">
        <v>0</v>
      </c>
      <c r="V322" s="1" t="s">
        <v>480</v>
      </c>
      <c r="X322" s="4" t="s">
        <v>640</v>
      </c>
    </row>
    <row r="323" spans="1:24" x14ac:dyDescent="0.2">
      <c r="A323" s="1">
        <v>1</v>
      </c>
      <c r="B323" s="1" t="s">
        <v>796</v>
      </c>
      <c r="C323" t="s">
        <v>775</v>
      </c>
      <c r="D323" s="1">
        <v>2</v>
      </c>
      <c r="E323" s="1" t="s">
        <v>614</v>
      </c>
      <c r="F323" s="4">
        <v>45421</v>
      </c>
      <c r="G323" s="3">
        <f>I323+K323</f>
        <v>0.77956018518518511</v>
      </c>
      <c r="H323" s="6">
        <f>J323+K323</f>
        <v>0.78284722222222225</v>
      </c>
      <c r="I323" s="3">
        <v>6.0416666666666665E-3</v>
      </c>
      <c r="J323" s="6">
        <v>9.3287037037037036E-3</v>
      </c>
      <c r="K323" s="3">
        <v>0.77351851851851849</v>
      </c>
      <c r="L323" s="1" t="s">
        <v>8</v>
      </c>
      <c r="M323" s="1" t="s">
        <v>8</v>
      </c>
      <c r="N323" s="1">
        <v>2</v>
      </c>
      <c r="O323" s="1">
        <v>2</v>
      </c>
      <c r="P323" s="1">
        <v>90</v>
      </c>
      <c r="Q323" s="1">
        <v>90</v>
      </c>
      <c r="R323" s="2">
        <v>19.2</v>
      </c>
      <c r="S323" s="2">
        <v>19.2</v>
      </c>
      <c r="U323" s="1">
        <v>0</v>
      </c>
      <c r="X323" s="4" t="s">
        <v>640</v>
      </c>
    </row>
    <row r="324" spans="1:24" x14ac:dyDescent="0.2">
      <c r="A324" s="1">
        <v>1</v>
      </c>
      <c r="B324" s="1" t="s">
        <v>796</v>
      </c>
      <c r="C324" t="s">
        <v>775</v>
      </c>
      <c r="D324" s="1">
        <v>1</v>
      </c>
      <c r="E324" s="1" t="s">
        <v>616</v>
      </c>
      <c r="F324" s="4">
        <v>45422</v>
      </c>
      <c r="G324" s="1" t="s">
        <v>21</v>
      </c>
      <c r="H324" s="6">
        <f>J324+K324</f>
        <v>0.24454861111111112</v>
      </c>
      <c r="I324" s="1" t="s">
        <v>21</v>
      </c>
      <c r="J324" s="6">
        <v>2.361111111111111E-2</v>
      </c>
      <c r="K324" s="6">
        <v>0.22093750000000001</v>
      </c>
      <c r="L324" s="1" t="s">
        <v>8</v>
      </c>
      <c r="M324" s="1" t="s">
        <v>7</v>
      </c>
      <c r="N324" s="1">
        <v>2</v>
      </c>
      <c r="O324" s="1">
        <v>2</v>
      </c>
      <c r="P324" s="1">
        <v>90</v>
      </c>
      <c r="Q324" s="1">
        <v>90</v>
      </c>
      <c r="R324" s="2">
        <v>57.4</v>
      </c>
      <c r="S324" s="2">
        <v>57.4</v>
      </c>
      <c r="U324" s="1">
        <v>1</v>
      </c>
      <c r="V324" s="1" t="s">
        <v>480</v>
      </c>
      <c r="X324" s="4" t="s">
        <v>640</v>
      </c>
    </row>
    <row r="325" spans="1:24" x14ac:dyDescent="0.2">
      <c r="A325" s="1">
        <v>1</v>
      </c>
      <c r="B325" s="1" t="s">
        <v>796</v>
      </c>
      <c r="C325" t="s">
        <v>775</v>
      </c>
      <c r="D325" s="1">
        <v>1</v>
      </c>
      <c r="E325" s="1" t="s">
        <v>620</v>
      </c>
      <c r="F325" s="4">
        <v>45422</v>
      </c>
      <c r="G325" s="3">
        <f>I325+K325</f>
        <v>0.77021990740740731</v>
      </c>
      <c r="H325" s="6">
        <f>J325+K325</f>
        <v>0.78937499999999994</v>
      </c>
      <c r="I325" s="3">
        <v>1.275462962962963E-2</v>
      </c>
      <c r="J325" s="6">
        <v>3.1909722222222221E-2</v>
      </c>
      <c r="K325" s="3">
        <v>0.75746527777777772</v>
      </c>
      <c r="L325" s="1" t="s">
        <v>7</v>
      </c>
      <c r="M325" s="1" t="s">
        <v>8</v>
      </c>
      <c r="N325" s="1">
        <v>2</v>
      </c>
      <c r="O325" s="1">
        <v>2</v>
      </c>
      <c r="P325" s="1">
        <v>90</v>
      </c>
      <c r="Q325" s="1">
        <v>90</v>
      </c>
      <c r="R325" s="2">
        <v>57.4</v>
      </c>
      <c r="S325" s="2">
        <v>57.4</v>
      </c>
      <c r="U325" s="1">
        <v>0</v>
      </c>
      <c r="X325" s="4" t="s">
        <v>640</v>
      </c>
    </row>
    <row r="326" spans="1:24" x14ac:dyDescent="0.2">
      <c r="A326" s="1">
        <v>1</v>
      </c>
      <c r="B326" s="1" t="s">
        <v>796</v>
      </c>
      <c r="C326" t="s">
        <v>775</v>
      </c>
      <c r="D326" s="1">
        <v>1</v>
      </c>
      <c r="E326" s="1" t="s">
        <v>621</v>
      </c>
      <c r="F326" s="4">
        <v>45423</v>
      </c>
      <c r="G326" s="1" t="s">
        <v>21</v>
      </c>
      <c r="H326" s="6">
        <f>J326+K326</f>
        <v>0.23833333333333334</v>
      </c>
      <c r="I326" s="1" t="s">
        <v>21</v>
      </c>
      <c r="J326" s="6">
        <v>1.7256944444444443E-2</v>
      </c>
      <c r="K326" s="3">
        <v>0.22107638888888889</v>
      </c>
      <c r="L326" s="1" t="s">
        <v>8</v>
      </c>
      <c r="M326" s="1" t="s">
        <v>7</v>
      </c>
      <c r="N326" s="1">
        <v>2</v>
      </c>
      <c r="O326" s="1">
        <v>2</v>
      </c>
      <c r="P326" s="1">
        <v>90</v>
      </c>
      <c r="Q326" s="1">
        <v>90</v>
      </c>
      <c r="R326" s="2">
        <v>57.4</v>
      </c>
      <c r="S326" s="2">
        <v>19.2</v>
      </c>
      <c r="U326" s="1">
        <v>1</v>
      </c>
      <c r="V326" s="1" t="s">
        <v>480</v>
      </c>
      <c r="X326" s="4" t="s">
        <v>640</v>
      </c>
    </row>
    <row r="327" spans="1:24" x14ac:dyDescent="0.2">
      <c r="A327" s="1">
        <v>1</v>
      </c>
      <c r="B327" s="1" t="s">
        <v>796</v>
      </c>
      <c r="C327" t="s">
        <v>775</v>
      </c>
      <c r="D327" s="1">
        <v>2</v>
      </c>
      <c r="E327" s="1" t="s">
        <v>621</v>
      </c>
      <c r="F327" s="4">
        <v>45423</v>
      </c>
      <c r="G327" s="3">
        <f>I327+K327</f>
        <v>0.2432175925925926</v>
      </c>
      <c r="H327" s="6">
        <f>J327+K327</f>
        <v>0.24685185185185185</v>
      </c>
      <c r="I327" s="3">
        <v>2.2141203703703705E-2</v>
      </c>
      <c r="J327" s="6">
        <v>2.5775462962962962E-2</v>
      </c>
      <c r="K327" s="3">
        <v>0.22107638888888889</v>
      </c>
      <c r="L327" s="1" t="s">
        <v>7</v>
      </c>
      <c r="M327" s="1" t="s">
        <v>7</v>
      </c>
      <c r="N327" s="1">
        <v>2</v>
      </c>
      <c r="O327" s="1">
        <v>2</v>
      </c>
      <c r="P327" s="1">
        <v>90</v>
      </c>
      <c r="Q327" s="1">
        <v>90</v>
      </c>
      <c r="R327" s="2">
        <v>19.2</v>
      </c>
      <c r="S327" s="2">
        <v>19.2</v>
      </c>
      <c r="U327" s="1">
        <v>1</v>
      </c>
      <c r="X327" s="4" t="s">
        <v>640</v>
      </c>
    </row>
    <row r="328" spans="1:24" x14ac:dyDescent="0.2">
      <c r="A328" s="1">
        <v>1</v>
      </c>
      <c r="B328" s="1" t="s">
        <v>796</v>
      </c>
      <c r="C328" t="s">
        <v>775</v>
      </c>
      <c r="D328" s="1">
        <v>1</v>
      </c>
      <c r="E328" s="1" t="s">
        <v>673</v>
      </c>
      <c r="F328" s="4">
        <v>45424</v>
      </c>
      <c r="G328" s="3" t="s">
        <v>21</v>
      </c>
      <c r="H328" s="6" t="s">
        <v>21</v>
      </c>
      <c r="I328" s="3" t="s">
        <v>21</v>
      </c>
      <c r="J328" s="3" t="s">
        <v>21</v>
      </c>
      <c r="K328" s="3">
        <v>0.21905092592592593</v>
      </c>
      <c r="L328" s="1" t="s">
        <v>7</v>
      </c>
      <c r="M328" s="1" t="s">
        <v>7</v>
      </c>
      <c r="N328" s="1">
        <v>2</v>
      </c>
      <c r="O328" s="1">
        <v>2</v>
      </c>
      <c r="P328" s="1">
        <v>90</v>
      </c>
      <c r="Q328" s="1">
        <v>90</v>
      </c>
      <c r="R328" s="2">
        <v>57.4</v>
      </c>
      <c r="S328" s="2">
        <v>57.4</v>
      </c>
      <c r="U328" s="1" t="s">
        <v>21</v>
      </c>
      <c r="V328" s="1" t="s">
        <v>630</v>
      </c>
      <c r="X328" s="4" t="s">
        <v>640</v>
      </c>
    </row>
    <row r="329" spans="1:24" x14ac:dyDescent="0.2">
      <c r="A329" s="1">
        <v>1</v>
      </c>
      <c r="B329" s="1" t="s">
        <v>796</v>
      </c>
      <c r="C329" t="s">
        <v>775</v>
      </c>
      <c r="D329" s="1">
        <v>1</v>
      </c>
      <c r="E329" s="1" t="s">
        <v>631</v>
      </c>
      <c r="F329" s="4">
        <v>45424</v>
      </c>
      <c r="G329" s="3">
        <f>I329+K329</f>
        <v>0.76656249999999992</v>
      </c>
      <c r="H329" s="6">
        <f>J329+K329</f>
        <v>0.78322916666666664</v>
      </c>
      <c r="I329" s="3">
        <v>2.9745370370370373E-3</v>
      </c>
      <c r="J329" s="6">
        <v>1.9641203703703702E-2</v>
      </c>
      <c r="K329" s="3">
        <v>0.76358796296296294</v>
      </c>
      <c r="L329" s="1" t="s">
        <v>7</v>
      </c>
      <c r="M329" s="1" t="s">
        <v>8</v>
      </c>
      <c r="N329" s="1">
        <v>2</v>
      </c>
      <c r="O329" s="1">
        <v>2</v>
      </c>
      <c r="P329" s="1">
        <v>90</v>
      </c>
      <c r="Q329" s="1">
        <v>90</v>
      </c>
      <c r="R329" s="2">
        <v>57.4</v>
      </c>
      <c r="S329" s="2">
        <v>57.4</v>
      </c>
      <c r="U329" s="1" t="s">
        <v>21</v>
      </c>
      <c r="V329" s="1" t="s">
        <v>633</v>
      </c>
      <c r="X329" s="4" t="s">
        <v>640</v>
      </c>
    </row>
    <row r="330" spans="1:24" x14ac:dyDescent="0.2">
      <c r="A330" s="1">
        <v>1</v>
      </c>
      <c r="B330" s="1" t="s">
        <v>796</v>
      </c>
      <c r="C330" t="s">
        <v>775</v>
      </c>
      <c r="D330" s="1">
        <v>1</v>
      </c>
      <c r="E330" s="1" t="s">
        <v>635</v>
      </c>
      <c r="F330" s="4">
        <v>45425</v>
      </c>
      <c r="G330" s="3">
        <f>I330+K330</f>
        <v>0.23896990740740739</v>
      </c>
      <c r="H330" s="6">
        <f>J330+K330</f>
        <v>0.24660879629629628</v>
      </c>
      <c r="I330" s="3">
        <v>2.326388888888889E-2</v>
      </c>
      <c r="J330" s="6">
        <v>3.0902777777777779E-2</v>
      </c>
      <c r="K330" s="3">
        <v>0.21570601851851851</v>
      </c>
      <c r="L330" s="1" t="s">
        <v>7</v>
      </c>
      <c r="M330" s="1" t="s">
        <v>7</v>
      </c>
      <c r="N330" s="1">
        <v>2</v>
      </c>
      <c r="O330" s="1">
        <v>2</v>
      </c>
      <c r="P330" s="1">
        <v>90</v>
      </c>
      <c r="Q330" s="1">
        <v>90</v>
      </c>
      <c r="R330" s="2">
        <v>57.4</v>
      </c>
      <c r="S330" s="2">
        <v>57.4</v>
      </c>
      <c r="U330" s="1">
        <v>1</v>
      </c>
      <c r="X330" s="4" t="s">
        <v>640</v>
      </c>
    </row>
    <row r="331" spans="1:24" x14ac:dyDescent="0.2">
      <c r="A331" s="1">
        <v>1</v>
      </c>
      <c r="B331" s="1" t="s">
        <v>796</v>
      </c>
      <c r="C331" t="s">
        <v>775</v>
      </c>
      <c r="D331" s="1">
        <v>1</v>
      </c>
      <c r="E331" s="1" t="s">
        <v>641</v>
      </c>
      <c r="F331" s="4">
        <v>45425</v>
      </c>
      <c r="G331" s="3">
        <f>I331+K331</f>
        <v>0.77484953703703707</v>
      </c>
      <c r="H331" s="6">
        <f>J331+K331</f>
        <v>0.78916666666666668</v>
      </c>
      <c r="I331" s="3">
        <v>8.7152777777777784E-3</v>
      </c>
      <c r="J331" s="6">
        <v>2.3032407407407408E-2</v>
      </c>
      <c r="K331" s="3">
        <v>0.76613425925925926</v>
      </c>
      <c r="L331" s="1" t="s">
        <v>7</v>
      </c>
      <c r="M331" s="1" t="s">
        <v>8</v>
      </c>
      <c r="N331" s="1">
        <v>2</v>
      </c>
      <c r="O331" s="1">
        <v>2</v>
      </c>
      <c r="P331" s="1">
        <v>90</v>
      </c>
      <c r="Q331" s="1">
        <v>90</v>
      </c>
      <c r="R331" s="2">
        <v>57.4</v>
      </c>
      <c r="S331" s="2">
        <v>19.2</v>
      </c>
      <c r="U331" s="1">
        <v>0</v>
      </c>
      <c r="V331" s="1" t="s">
        <v>642</v>
      </c>
      <c r="X331" s="4" t="s">
        <v>640</v>
      </c>
    </row>
    <row r="332" spans="1:24" x14ac:dyDescent="0.2">
      <c r="A332" s="1">
        <v>1</v>
      </c>
      <c r="B332" s="1" t="s">
        <v>796</v>
      </c>
      <c r="C332" t="s">
        <v>775</v>
      </c>
      <c r="D332" s="1">
        <v>1</v>
      </c>
      <c r="E332" s="1" t="s">
        <v>644</v>
      </c>
      <c r="F332" s="4">
        <v>45426</v>
      </c>
      <c r="G332" s="1" t="s">
        <v>21</v>
      </c>
      <c r="H332" s="6">
        <f>J332+K332</f>
        <v>0.24738425925925928</v>
      </c>
      <c r="I332" s="1" t="s">
        <v>21</v>
      </c>
      <c r="J332" s="6">
        <v>2.6226851851851852E-2</v>
      </c>
      <c r="K332" s="3">
        <v>0.22115740740740741</v>
      </c>
      <c r="L332" s="1" t="s">
        <v>7</v>
      </c>
      <c r="M332" s="1" t="s">
        <v>7</v>
      </c>
      <c r="N332" s="1">
        <v>2</v>
      </c>
      <c r="O332" s="1">
        <v>2</v>
      </c>
      <c r="P332" s="1">
        <v>90</v>
      </c>
      <c r="Q332" s="1">
        <v>90</v>
      </c>
      <c r="R332" s="2">
        <v>57.4</v>
      </c>
      <c r="S332" s="2">
        <v>57.4</v>
      </c>
      <c r="U332" s="1">
        <v>1</v>
      </c>
      <c r="V332" s="1" t="s">
        <v>645</v>
      </c>
      <c r="X332" s="23" t="s">
        <v>640</v>
      </c>
    </row>
    <row r="333" spans="1:24" x14ac:dyDescent="0.2">
      <c r="A333" s="1">
        <v>1</v>
      </c>
      <c r="B333" s="1" t="s">
        <v>796</v>
      </c>
      <c r="C333" t="s">
        <v>775</v>
      </c>
      <c r="D333" s="1">
        <v>2</v>
      </c>
      <c r="E333" s="1" t="s">
        <v>644</v>
      </c>
      <c r="F333" s="4">
        <v>45426</v>
      </c>
      <c r="G333" s="3">
        <f>I333+K333</f>
        <v>0.24738425925925928</v>
      </c>
      <c r="H333" s="6">
        <f>J333+K333</f>
        <v>0.250462962962963</v>
      </c>
      <c r="I333" s="3">
        <v>2.6226851851851852E-2</v>
      </c>
      <c r="J333" s="6">
        <v>2.9305555555555557E-2</v>
      </c>
      <c r="K333" s="3">
        <v>0.22115740740740741</v>
      </c>
      <c r="L333" s="1" t="s">
        <v>7</v>
      </c>
      <c r="M333" s="1" t="s">
        <v>7</v>
      </c>
      <c r="N333" s="1">
        <v>2</v>
      </c>
      <c r="O333" s="1">
        <v>2</v>
      </c>
      <c r="P333" s="1">
        <v>90</v>
      </c>
      <c r="Q333" s="1">
        <v>90</v>
      </c>
      <c r="R333" s="2">
        <v>57.4</v>
      </c>
      <c r="S333" s="2">
        <v>57.4</v>
      </c>
      <c r="U333" s="1">
        <v>1</v>
      </c>
      <c r="X333" s="23" t="s">
        <v>640</v>
      </c>
    </row>
    <row r="334" spans="1:24" x14ac:dyDescent="0.2">
      <c r="A334" s="1">
        <v>1</v>
      </c>
      <c r="B334" s="1" t="s">
        <v>796</v>
      </c>
      <c r="C334" t="s">
        <v>775</v>
      </c>
      <c r="D334" s="1">
        <v>1</v>
      </c>
      <c r="E334" s="1" t="s">
        <v>648</v>
      </c>
      <c r="F334" s="4">
        <v>45426</v>
      </c>
      <c r="G334" s="1" t="s">
        <v>21</v>
      </c>
      <c r="H334" s="6" t="s">
        <v>21</v>
      </c>
      <c r="I334" s="1" t="s">
        <v>21</v>
      </c>
      <c r="J334" s="6" t="s">
        <v>21</v>
      </c>
      <c r="K334" s="3">
        <v>0.76687499999999997</v>
      </c>
      <c r="L334" s="1" t="s">
        <v>7</v>
      </c>
      <c r="M334" s="1" t="s">
        <v>7</v>
      </c>
      <c r="N334" s="1">
        <v>2</v>
      </c>
      <c r="O334" s="1">
        <v>2</v>
      </c>
      <c r="P334" s="1">
        <v>90</v>
      </c>
      <c r="Q334" s="1">
        <v>90</v>
      </c>
      <c r="R334" s="2">
        <v>57.4</v>
      </c>
      <c r="S334" s="2">
        <v>57.4</v>
      </c>
      <c r="U334" s="1" t="s">
        <v>21</v>
      </c>
      <c r="V334" s="1" t="s">
        <v>651</v>
      </c>
      <c r="X334" s="23" t="s">
        <v>640</v>
      </c>
    </row>
    <row r="335" spans="1:24" x14ac:dyDescent="0.2">
      <c r="A335" s="1">
        <v>1</v>
      </c>
      <c r="B335" s="1" t="s">
        <v>796</v>
      </c>
      <c r="C335" t="s">
        <v>775</v>
      </c>
      <c r="D335" s="1">
        <v>1</v>
      </c>
      <c r="E335" s="1" t="s">
        <v>652</v>
      </c>
      <c r="F335" s="4">
        <v>45427</v>
      </c>
      <c r="G335" s="1" t="s">
        <v>21</v>
      </c>
      <c r="H335" s="6" t="s">
        <v>21</v>
      </c>
      <c r="I335" s="1" t="s">
        <v>21</v>
      </c>
      <c r="J335" s="6" t="s">
        <v>21</v>
      </c>
      <c r="K335" s="3">
        <v>0.21579861111111112</v>
      </c>
      <c r="L335" s="1" t="s">
        <v>7</v>
      </c>
      <c r="M335" s="1" t="s">
        <v>8</v>
      </c>
      <c r="N335" s="1">
        <v>2</v>
      </c>
      <c r="O335" s="1">
        <v>2</v>
      </c>
      <c r="P335" s="1">
        <v>90</v>
      </c>
      <c r="Q335" s="1">
        <v>90</v>
      </c>
      <c r="R335" s="2">
        <v>57.4</v>
      </c>
      <c r="S335" s="2">
        <v>28.8</v>
      </c>
      <c r="U335" s="1" t="s">
        <v>21</v>
      </c>
      <c r="V335" s="1" t="s">
        <v>566</v>
      </c>
      <c r="X335" s="23" t="s">
        <v>640</v>
      </c>
    </row>
    <row r="336" spans="1:24" x14ac:dyDescent="0.2">
      <c r="C336" t="s">
        <v>774</v>
      </c>
      <c r="J336" s="6">
        <v>4.8379629629629632E-3</v>
      </c>
      <c r="L336" s="1" t="s">
        <v>8</v>
      </c>
      <c r="M336" s="1" t="s">
        <v>8</v>
      </c>
      <c r="N336" s="1">
        <v>2</v>
      </c>
      <c r="O336" s="1">
        <v>2</v>
      </c>
      <c r="P336" s="1">
        <v>90</v>
      </c>
      <c r="Q336" s="1">
        <v>90</v>
      </c>
      <c r="R336" s="2">
        <v>115.17</v>
      </c>
      <c r="S336" s="2">
        <v>115.17</v>
      </c>
      <c r="U336" s="1">
        <v>1</v>
      </c>
    </row>
    <row r="337" spans="1:24" x14ac:dyDescent="0.2">
      <c r="A337" s="1">
        <v>1</v>
      </c>
      <c r="C337" t="s">
        <v>21</v>
      </c>
      <c r="D337" s="1" t="s">
        <v>21</v>
      </c>
      <c r="E337" s="1" t="s">
        <v>21</v>
      </c>
      <c r="F337" s="4">
        <v>45416</v>
      </c>
      <c r="G337" s="1" t="s">
        <v>21</v>
      </c>
      <c r="H337" s="6" t="s">
        <v>21</v>
      </c>
      <c r="I337" s="1" t="s">
        <v>21</v>
      </c>
      <c r="J337" s="1" t="s">
        <v>21</v>
      </c>
      <c r="K337" s="1" t="s">
        <v>21</v>
      </c>
      <c r="L337" s="1" t="s">
        <v>21</v>
      </c>
      <c r="M337" s="1" t="s">
        <v>21</v>
      </c>
      <c r="N337" s="1" t="s">
        <v>21</v>
      </c>
      <c r="O337" s="1" t="s">
        <v>21</v>
      </c>
      <c r="P337" s="1">
        <v>90</v>
      </c>
      <c r="Q337" s="1">
        <v>90</v>
      </c>
      <c r="R337" s="1" t="s">
        <v>21</v>
      </c>
      <c r="S337" s="1" t="s">
        <v>21</v>
      </c>
      <c r="T337" s="1"/>
      <c r="U337" s="1" t="s">
        <v>21</v>
      </c>
      <c r="V337" s="1" t="s">
        <v>599</v>
      </c>
      <c r="W337" s="1"/>
      <c r="X337" s="6" t="s">
        <v>21</v>
      </c>
    </row>
    <row r="338" spans="1:24" x14ac:dyDescent="0.2">
      <c r="A338" s="1">
        <v>1</v>
      </c>
      <c r="C338" s="1" t="s">
        <v>21</v>
      </c>
      <c r="D338" s="1" t="s">
        <v>21</v>
      </c>
      <c r="E338" s="1" t="s">
        <v>21</v>
      </c>
      <c r="F338" s="4">
        <v>45423</v>
      </c>
      <c r="G338" s="3" t="s">
        <v>21</v>
      </c>
      <c r="H338" s="6" t="s">
        <v>21</v>
      </c>
      <c r="I338" s="3" t="s">
        <v>21</v>
      </c>
      <c r="J338" s="3" t="s">
        <v>21</v>
      </c>
      <c r="K338" s="3" t="s">
        <v>21</v>
      </c>
      <c r="L338" s="3" t="s">
        <v>21</v>
      </c>
      <c r="M338" s="3" t="s">
        <v>21</v>
      </c>
      <c r="N338" s="3" t="s">
        <v>21</v>
      </c>
      <c r="O338" s="1" t="s">
        <v>21</v>
      </c>
      <c r="P338" s="1">
        <v>90</v>
      </c>
      <c r="Q338" s="1">
        <v>90</v>
      </c>
      <c r="R338" s="3" t="s">
        <v>21</v>
      </c>
      <c r="S338" s="3" t="s">
        <v>21</v>
      </c>
      <c r="T338" s="3"/>
      <c r="U338" s="3" t="s">
        <v>21</v>
      </c>
      <c r="V338" s="1" t="s">
        <v>623</v>
      </c>
      <c r="W338" s="3"/>
      <c r="X338" s="4" t="s">
        <v>640</v>
      </c>
    </row>
  </sheetData>
  <customSheetViews>
    <customSheetView guid="{8A75D892-44B4-104C-BB94-8EB0D0E43396}">
      <pane ySplit="1" topLeftCell="A122" activePane="bottomLeft" state="frozen"/>
      <selection pane="bottomLeft" activeCell="V156" sqref="V156"/>
      <pageMargins left="0.7" right="0.7" top="0.75" bottom="0.75" header="0.3" footer="0.3"/>
      <pageSetup paperSize="9" orientation="portrait" horizontalDpi="0" verticalDpi="0"/>
    </customSheetView>
  </customSheetViews>
  <phoneticPr fontId="1"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91686-6B41-B647-8CCF-2A83B77E3CD9}">
  <dimension ref="A1:X262"/>
  <sheetViews>
    <sheetView tabSelected="1" zoomScaleNormal="90" workbookViewId="0">
      <pane ySplit="1" topLeftCell="A22" activePane="bottomLeft" state="frozen"/>
      <selection pane="bottomLeft" activeCell="B35" sqref="B35"/>
    </sheetView>
  </sheetViews>
  <sheetFormatPr baseColWidth="10" defaultRowHeight="16" x14ac:dyDescent="0.2"/>
  <cols>
    <col min="1" max="1" width="8.83203125" style="1" customWidth="1"/>
    <col min="2" max="2" width="10.5" style="1" customWidth="1"/>
    <col min="3" max="3" width="8.83203125" style="1" customWidth="1"/>
    <col min="4" max="4" width="10.33203125" style="1" customWidth="1"/>
    <col min="5" max="5" width="12.83203125" style="1" customWidth="1"/>
    <col min="6" max="6" width="12.83203125" style="4" customWidth="1"/>
    <col min="7" max="8" width="13.6640625" style="1" customWidth="1"/>
    <col min="9" max="9" width="13.1640625" style="1" customWidth="1"/>
    <col min="10" max="10" width="12.5" style="1" customWidth="1"/>
    <col min="11" max="11" width="13.6640625" style="1" customWidth="1"/>
    <col min="12" max="12" width="19.33203125" style="1" customWidth="1"/>
    <col min="13" max="13" width="13.6640625" style="1" customWidth="1"/>
    <col min="14" max="14" width="14.33203125" style="1" customWidth="1"/>
    <col min="15" max="15" width="12.83203125" style="1" customWidth="1"/>
    <col min="16" max="17" width="13.6640625" style="1" customWidth="1"/>
    <col min="18" max="18" width="10.83203125" style="1"/>
    <col min="19" max="19" width="11.33203125" style="1" customWidth="1"/>
    <col min="20" max="20" width="15" style="1" customWidth="1"/>
    <col min="21" max="22" width="16.5" style="1" customWidth="1"/>
    <col min="23" max="23" width="30.33203125" style="1" customWidth="1"/>
    <col min="24" max="24" width="12.83203125" style="1" customWidth="1"/>
    <col min="25" max="16384" width="10.83203125" style="1"/>
  </cols>
  <sheetData>
    <row r="1" spans="1:24" x14ac:dyDescent="0.2">
      <c r="A1" s="1" t="s">
        <v>0</v>
      </c>
      <c r="B1" s="1" t="s">
        <v>1</v>
      </c>
      <c r="C1" s="1" t="s">
        <v>784</v>
      </c>
      <c r="D1" s="1" t="s">
        <v>772</v>
      </c>
      <c r="E1" s="1" t="s">
        <v>2</v>
      </c>
      <c r="F1" s="4" t="s">
        <v>30</v>
      </c>
      <c r="G1" s="1" t="s">
        <v>4</v>
      </c>
      <c r="H1" s="1" t="s">
        <v>5</v>
      </c>
      <c r="I1" s="1" t="s">
        <v>776</v>
      </c>
      <c r="J1" s="1" t="s">
        <v>777</v>
      </c>
      <c r="K1" s="1" t="s">
        <v>6</v>
      </c>
      <c r="L1" s="1" t="s">
        <v>781</v>
      </c>
      <c r="M1" s="1" t="s">
        <v>780</v>
      </c>
      <c r="N1" s="1" t="s">
        <v>783</v>
      </c>
      <c r="O1" s="1" t="s">
        <v>782</v>
      </c>
      <c r="P1" s="1" t="s">
        <v>786</v>
      </c>
      <c r="Q1" s="1" t="s">
        <v>785</v>
      </c>
      <c r="R1" s="1" t="s">
        <v>778</v>
      </c>
      <c r="S1" s="1" t="s">
        <v>779</v>
      </c>
      <c r="T1" s="1" t="s">
        <v>327</v>
      </c>
      <c r="U1" s="1" t="s">
        <v>656</v>
      </c>
      <c r="V1" s="1" t="s">
        <v>789</v>
      </c>
      <c r="W1" s="1" t="s">
        <v>15</v>
      </c>
      <c r="X1" s="1" t="s">
        <v>788</v>
      </c>
    </row>
    <row r="2" spans="1:24" x14ac:dyDescent="0.2">
      <c r="A2" s="1">
        <v>2</v>
      </c>
      <c r="B2" s="1" t="s">
        <v>797</v>
      </c>
      <c r="C2" s="1" t="s">
        <v>773</v>
      </c>
      <c r="D2" s="1" t="s">
        <v>21</v>
      </c>
      <c r="E2" s="1" t="s">
        <v>14</v>
      </c>
      <c r="F2" s="4">
        <v>45343</v>
      </c>
      <c r="G2" s="1" t="s">
        <v>21</v>
      </c>
      <c r="H2" s="1" t="s">
        <v>21</v>
      </c>
      <c r="I2" s="1" t="s">
        <v>21</v>
      </c>
      <c r="J2" s="1" t="s">
        <v>21</v>
      </c>
      <c r="K2" s="1" t="s">
        <v>21</v>
      </c>
      <c r="L2" s="1" t="s">
        <v>21</v>
      </c>
      <c r="M2" s="1" t="s">
        <v>21</v>
      </c>
      <c r="N2" s="1" t="s">
        <v>21</v>
      </c>
      <c r="O2" s="1" t="s">
        <v>21</v>
      </c>
      <c r="P2" s="1">
        <v>90</v>
      </c>
      <c r="Q2" s="1">
        <v>90</v>
      </c>
      <c r="R2" s="1">
        <v>57.4</v>
      </c>
      <c r="T2" s="1" t="s">
        <v>21</v>
      </c>
      <c r="W2" s="1" t="s">
        <v>16</v>
      </c>
    </row>
    <row r="3" spans="1:24" x14ac:dyDescent="0.2">
      <c r="A3" s="1">
        <v>2</v>
      </c>
      <c r="B3" s="1" t="s">
        <v>797</v>
      </c>
      <c r="C3" s="1" t="s">
        <v>773</v>
      </c>
      <c r="D3" s="1">
        <v>1</v>
      </c>
      <c r="E3" s="1" t="s">
        <v>11</v>
      </c>
      <c r="F3" s="4">
        <v>45344</v>
      </c>
      <c r="G3" s="3">
        <f>$K3 + $I3</f>
        <v>0.7716898148148148</v>
      </c>
      <c r="H3" s="3">
        <f>K3 + J3</f>
        <v>0.79226851851851854</v>
      </c>
      <c r="I3" s="3">
        <v>2.0254629629629629E-2</v>
      </c>
      <c r="J3" s="3">
        <v>4.0833333333333333E-2</v>
      </c>
      <c r="K3" s="3">
        <v>0.75143518518518515</v>
      </c>
      <c r="L3" s="1" t="s">
        <v>8</v>
      </c>
      <c r="M3" s="1" t="s">
        <v>7</v>
      </c>
      <c r="N3" s="1">
        <v>1</v>
      </c>
      <c r="O3" s="1">
        <v>1</v>
      </c>
      <c r="P3" s="1">
        <v>90</v>
      </c>
      <c r="Q3" s="1">
        <v>90</v>
      </c>
      <c r="R3" s="1">
        <v>57.4</v>
      </c>
      <c r="T3" s="1">
        <v>1</v>
      </c>
    </row>
    <row r="4" spans="1:24" x14ac:dyDescent="0.2">
      <c r="A4" s="1">
        <v>2</v>
      </c>
      <c r="B4" s="1" t="s">
        <v>797</v>
      </c>
      <c r="C4" s="1" t="s">
        <v>773</v>
      </c>
      <c r="D4" s="1">
        <v>1</v>
      </c>
      <c r="E4" s="1" t="s">
        <v>12</v>
      </c>
      <c r="F4" s="4">
        <v>45344</v>
      </c>
      <c r="G4" s="3">
        <f>$K4 + $I4</f>
        <v>0.24612268518518518</v>
      </c>
      <c r="H4" s="3">
        <f>K4 + J4</f>
        <v>0.26064814814814813</v>
      </c>
      <c r="I4" s="3">
        <v>1.9988425925925927E-2</v>
      </c>
      <c r="J4" s="3">
        <v>3.4513888888888893E-2</v>
      </c>
      <c r="K4" s="3">
        <v>0.22613425925925926</v>
      </c>
      <c r="L4" s="1" t="s">
        <v>8</v>
      </c>
      <c r="M4" s="1" t="s">
        <v>8</v>
      </c>
      <c r="N4" s="1">
        <v>1</v>
      </c>
      <c r="O4" s="1">
        <v>1</v>
      </c>
      <c r="P4" s="1">
        <v>90</v>
      </c>
      <c r="Q4" s="1">
        <v>90</v>
      </c>
      <c r="R4" s="1">
        <v>57.4</v>
      </c>
      <c r="T4" s="1">
        <v>1</v>
      </c>
    </row>
    <row r="5" spans="1:24" x14ac:dyDescent="0.2">
      <c r="A5" s="1">
        <v>2</v>
      </c>
      <c r="B5" s="1" t="s">
        <v>797</v>
      </c>
      <c r="C5" s="1" t="s">
        <v>773</v>
      </c>
      <c r="D5" s="1">
        <v>2</v>
      </c>
      <c r="E5" s="1" t="s">
        <v>12</v>
      </c>
      <c r="F5" s="4">
        <v>45344</v>
      </c>
      <c r="G5" s="3">
        <f>$K5 + $I5</f>
        <v>0.25628472222222221</v>
      </c>
      <c r="H5" s="3">
        <f>K5 + J5</f>
        <v>0.26922453703703703</v>
      </c>
      <c r="I5" s="3">
        <v>3.0150462962962962E-2</v>
      </c>
      <c r="J5" s="3">
        <v>4.3090277777777776E-2</v>
      </c>
      <c r="K5" s="3">
        <v>0.22613425925925926</v>
      </c>
      <c r="L5" s="1" t="s">
        <v>8</v>
      </c>
      <c r="M5" s="1" t="s">
        <v>8</v>
      </c>
      <c r="N5" s="1">
        <v>1</v>
      </c>
      <c r="O5" s="1">
        <v>1</v>
      </c>
      <c r="P5" s="1">
        <v>90</v>
      </c>
      <c r="Q5" s="1">
        <v>90</v>
      </c>
      <c r="R5" s="1">
        <v>57.4</v>
      </c>
      <c r="T5" s="1">
        <v>0</v>
      </c>
    </row>
    <row r="6" spans="1:24" x14ac:dyDescent="0.2">
      <c r="A6" s="1">
        <v>2</v>
      </c>
      <c r="B6" s="1" t="s">
        <v>797</v>
      </c>
      <c r="C6" s="1" t="s">
        <v>773</v>
      </c>
      <c r="D6" s="1">
        <v>3</v>
      </c>
      <c r="E6" s="1" t="s">
        <v>12</v>
      </c>
      <c r="F6" s="4">
        <v>45344</v>
      </c>
      <c r="G6" s="3">
        <f>$K6 + $I6</f>
        <v>0.2628240740740741</v>
      </c>
      <c r="H6" s="3">
        <f>K6 + J6</f>
        <v>0.27217592592592593</v>
      </c>
      <c r="I6" s="3">
        <v>3.6689814814814821E-2</v>
      </c>
      <c r="J6" s="3">
        <v>4.6041666666666668E-2</v>
      </c>
      <c r="K6" s="3">
        <v>0.22613425925925926</v>
      </c>
      <c r="L6" s="1" t="s">
        <v>8</v>
      </c>
      <c r="M6" s="1" t="s">
        <v>8</v>
      </c>
      <c r="N6" s="1">
        <v>1</v>
      </c>
      <c r="O6" s="1">
        <v>1</v>
      </c>
      <c r="P6" s="1">
        <v>90</v>
      </c>
      <c r="Q6" s="1">
        <v>90</v>
      </c>
      <c r="R6" s="1">
        <v>57.4</v>
      </c>
      <c r="T6" s="1">
        <v>1</v>
      </c>
    </row>
    <row r="7" spans="1:24" x14ac:dyDescent="0.2">
      <c r="A7" s="7">
        <v>2</v>
      </c>
      <c r="B7" s="1" t="s">
        <v>797</v>
      </c>
      <c r="C7" s="1" t="s">
        <v>773</v>
      </c>
      <c r="D7" s="7">
        <v>1</v>
      </c>
      <c r="E7" s="7" t="s">
        <v>9</v>
      </c>
      <c r="F7" s="9">
        <v>45345</v>
      </c>
      <c r="G7" s="8">
        <f>$K7 + $I7</f>
        <v>0.24474537037037039</v>
      </c>
      <c r="H7" s="8">
        <f>K7 + J7</f>
        <v>0.25920138888888888</v>
      </c>
      <c r="I7" s="8">
        <v>2.1736111111111112E-2</v>
      </c>
      <c r="J7" s="8">
        <v>3.619212962962963E-2</v>
      </c>
      <c r="K7" s="8">
        <v>0.22300925925925927</v>
      </c>
      <c r="L7" s="7" t="s">
        <v>7</v>
      </c>
      <c r="M7" s="7" t="s">
        <v>8</v>
      </c>
      <c r="N7" s="7">
        <v>1</v>
      </c>
      <c r="O7" s="7">
        <v>2</v>
      </c>
      <c r="P7" s="1">
        <v>90</v>
      </c>
      <c r="Q7" s="1">
        <v>90</v>
      </c>
      <c r="R7" s="7">
        <v>57.4</v>
      </c>
      <c r="S7" s="7"/>
      <c r="T7" s="7">
        <v>1</v>
      </c>
      <c r="U7" s="7"/>
      <c r="V7" s="7"/>
      <c r="W7" s="7"/>
      <c r="X7" s="7"/>
    </row>
    <row r="8" spans="1:24" x14ac:dyDescent="0.2">
      <c r="A8" s="7">
        <v>2</v>
      </c>
      <c r="B8" s="1" t="s">
        <v>797</v>
      </c>
      <c r="C8" s="1" t="s">
        <v>773</v>
      </c>
      <c r="D8" s="7">
        <v>2</v>
      </c>
      <c r="E8" s="7" t="s">
        <v>9</v>
      </c>
      <c r="F8" s="9">
        <v>45345</v>
      </c>
      <c r="G8" s="8">
        <f>$K8 + $I8</f>
        <v>0.26063657407407409</v>
      </c>
      <c r="H8" s="8">
        <f>K8 + J8</f>
        <v>0.26922453703703703</v>
      </c>
      <c r="I8" s="8">
        <v>3.7627314814814815E-2</v>
      </c>
      <c r="J8" s="8">
        <v>4.6215277777777779E-2</v>
      </c>
      <c r="K8" s="8">
        <v>0.22300925925925927</v>
      </c>
      <c r="L8" s="7" t="s">
        <v>8</v>
      </c>
      <c r="M8" s="7" t="s">
        <v>8</v>
      </c>
      <c r="N8" s="7">
        <v>2</v>
      </c>
      <c r="O8" s="7">
        <v>2</v>
      </c>
      <c r="P8" s="1">
        <v>90</v>
      </c>
      <c r="Q8" s="1">
        <v>90</v>
      </c>
      <c r="R8" s="7">
        <v>57.4</v>
      </c>
      <c r="S8" s="7"/>
      <c r="T8" s="7">
        <v>1</v>
      </c>
      <c r="U8" s="7"/>
      <c r="V8" s="7"/>
      <c r="W8" s="7"/>
      <c r="X8" s="7"/>
    </row>
    <row r="9" spans="1:24" x14ac:dyDescent="0.2">
      <c r="A9" s="1">
        <v>2</v>
      </c>
      <c r="B9" s="1" t="s">
        <v>797</v>
      </c>
      <c r="C9" s="1" t="s">
        <v>773</v>
      </c>
      <c r="D9" s="1">
        <v>1</v>
      </c>
      <c r="E9" s="1" t="s">
        <v>46</v>
      </c>
      <c r="F9" s="4">
        <v>45346</v>
      </c>
      <c r="G9" s="3">
        <f>$K9 + $I9</f>
        <v>0.7836805555555556</v>
      </c>
      <c r="H9" s="3">
        <f>K9 + J9</f>
        <v>0.78956018518518523</v>
      </c>
      <c r="I9" s="3">
        <v>2.7627314814814813E-2</v>
      </c>
      <c r="J9" s="3">
        <v>3.3506944444444443E-2</v>
      </c>
      <c r="K9" s="3">
        <v>0.75605324074074076</v>
      </c>
      <c r="L9" s="1" t="s">
        <v>8</v>
      </c>
      <c r="M9" s="1" t="s">
        <v>7</v>
      </c>
      <c r="N9" s="1">
        <v>1</v>
      </c>
      <c r="O9" s="1">
        <v>3</v>
      </c>
      <c r="P9" s="1">
        <v>90</v>
      </c>
      <c r="Q9" s="1">
        <v>90</v>
      </c>
      <c r="R9" s="1">
        <v>57.4</v>
      </c>
      <c r="T9" s="1">
        <v>0</v>
      </c>
      <c r="W9" s="1" t="s">
        <v>23</v>
      </c>
    </row>
    <row r="10" spans="1:24" x14ac:dyDescent="0.2">
      <c r="A10" s="1">
        <v>2</v>
      </c>
      <c r="B10" s="1" t="s">
        <v>797</v>
      </c>
      <c r="C10" s="1" t="s">
        <v>773</v>
      </c>
      <c r="D10" s="1">
        <v>2</v>
      </c>
      <c r="E10" s="1" t="s">
        <v>46</v>
      </c>
      <c r="F10" s="4">
        <v>45346</v>
      </c>
      <c r="G10" s="3">
        <f>$K10 + $I10</f>
        <v>0.7839814814814815</v>
      </c>
      <c r="H10" s="3">
        <f>K10 + J10</f>
        <v>0.78997685185185185</v>
      </c>
      <c r="I10" s="3">
        <v>2.7928240740740743E-2</v>
      </c>
      <c r="J10" s="3">
        <v>3.3923611111111113E-2</v>
      </c>
      <c r="K10" s="3">
        <v>0.75605324074074076</v>
      </c>
      <c r="L10" s="1" t="s">
        <v>8</v>
      </c>
      <c r="M10" s="1" t="s">
        <v>7</v>
      </c>
      <c r="N10" s="1">
        <v>1</v>
      </c>
      <c r="O10" s="1">
        <v>3</v>
      </c>
      <c r="P10" s="1">
        <v>90</v>
      </c>
      <c r="Q10" s="1">
        <v>90</v>
      </c>
      <c r="R10" s="1">
        <v>57.4</v>
      </c>
      <c r="T10" s="1">
        <v>0</v>
      </c>
    </row>
    <row r="11" spans="1:24" x14ac:dyDescent="0.2">
      <c r="A11" s="1">
        <v>2</v>
      </c>
      <c r="B11" s="1" t="s">
        <v>797</v>
      </c>
      <c r="C11" s="1" t="s">
        <v>773</v>
      </c>
      <c r="D11" s="1" t="s">
        <v>21</v>
      </c>
      <c r="E11" s="1" t="s">
        <v>21</v>
      </c>
      <c r="F11" s="4">
        <v>45346</v>
      </c>
      <c r="G11" s="1" t="s">
        <v>21</v>
      </c>
      <c r="H11" s="1" t="s">
        <v>21</v>
      </c>
      <c r="I11" s="1" t="s">
        <v>21</v>
      </c>
      <c r="J11" s="1" t="s">
        <v>21</v>
      </c>
      <c r="K11" s="1" t="s">
        <v>21</v>
      </c>
      <c r="L11" s="1" t="s">
        <v>21</v>
      </c>
      <c r="M11" s="1" t="s">
        <v>21</v>
      </c>
      <c r="N11" s="1" t="s">
        <v>21</v>
      </c>
      <c r="O11" s="1" t="s">
        <v>21</v>
      </c>
      <c r="P11" s="1">
        <v>90</v>
      </c>
      <c r="Q11" s="1">
        <v>90</v>
      </c>
      <c r="T11" s="1" t="s">
        <v>21</v>
      </c>
      <c r="W11" s="1" t="s">
        <v>22</v>
      </c>
    </row>
    <row r="12" spans="1:24" x14ac:dyDescent="0.2">
      <c r="A12" s="1">
        <v>2</v>
      </c>
      <c r="B12" s="1" t="s">
        <v>797</v>
      </c>
      <c r="C12" s="1" t="s">
        <v>773</v>
      </c>
      <c r="D12" s="1">
        <v>1</v>
      </c>
      <c r="E12" s="1" t="s">
        <v>31</v>
      </c>
      <c r="F12" s="4">
        <v>45347</v>
      </c>
      <c r="G12" s="3">
        <f>$K12 + $I12</f>
        <v>0.77987268518518515</v>
      </c>
      <c r="H12" s="3">
        <f>K12 + J12</f>
        <v>0.78881944444444441</v>
      </c>
      <c r="I12" s="3">
        <v>2.2858796296296294E-2</v>
      </c>
      <c r="J12" s="3">
        <v>3.1805555555555552E-2</v>
      </c>
      <c r="K12" s="3">
        <v>0.75701388888888888</v>
      </c>
      <c r="L12" s="1" t="s">
        <v>7</v>
      </c>
      <c r="M12" s="1" t="s">
        <v>8</v>
      </c>
      <c r="N12" s="1">
        <v>1</v>
      </c>
      <c r="O12" s="1">
        <v>2</v>
      </c>
      <c r="P12" s="1">
        <v>90</v>
      </c>
      <c r="Q12" s="1">
        <v>90</v>
      </c>
      <c r="R12" s="1">
        <v>57.4</v>
      </c>
      <c r="T12" s="1">
        <v>0</v>
      </c>
      <c r="W12" s="1" t="s">
        <v>28</v>
      </c>
    </row>
    <row r="13" spans="1:24" x14ac:dyDescent="0.2">
      <c r="A13" s="1">
        <v>2</v>
      </c>
      <c r="B13" s="1" t="s">
        <v>797</v>
      </c>
      <c r="C13" s="1" t="s">
        <v>773</v>
      </c>
      <c r="D13" s="1" t="s">
        <v>21</v>
      </c>
      <c r="E13" s="1" t="s">
        <v>21</v>
      </c>
      <c r="F13" s="4">
        <v>45347</v>
      </c>
      <c r="G13" s="1" t="s">
        <v>21</v>
      </c>
      <c r="H13" s="1" t="s">
        <v>21</v>
      </c>
      <c r="I13" s="1" t="s">
        <v>21</v>
      </c>
      <c r="J13" s="1" t="s">
        <v>21</v>
      </c>
      <c r="K13" s="1" t="s">
        <v>21</v>
      </c>
      <c r="L13" s="1" t="s">
        <v>21</v>
      </c>
      <c r="M13" s="1" t="s">
        <v>21</v>
      </c>
      <c r="N13" s="1" t="s">
        <v>21</v>
      </c>
      <c r="O13" s="1" t="s">
        <v>21</v>
      </c>
      <c r="P13" s="1">
        <v>90</v>
      </c>
      <c r="Q13" s="1">
        <v>90</v>
      </c>
      <c r="R13" s="1">
        <v>57.4</v>
      </c>
      <c r="T13" s="1" t="s">
        <v>21</v>
      </c>
      <c r="W13" s="1" t="s">
        <v>209</v>
      </c>
    </row>
    <row r="14" spans="1:24" x14ac:dyDescent="0.2">
      <c r="A14" s="1">
        <v>2</v>
      </c>
      <c r="B14" s="1" t="s">
        <v>797</v>
      </c>
      <c r="C14" s="1" t="s">
        <v>773</v>
      </c>
      <c r="D14" s="1">
        <v>1</v>
      </c>
      <c r="E14" s="1" t="s">
        <v>47</v>
      </c>
      <c r="F14" s="4">
        <v>45348</v>
      </c>
      <c r="G14" s="1" t="s">
        <v>21</v>
      </c>
      <c r="H14" s="3">
        <f>K14 + J14</f>
        <v>0.25278935185185186</v>
      </c>
      <c r="I14" s="1" t="s">
        <v>21</v>
      </c>
      <c r="J14" s="3">
        <v>2.3796296296296298E-2</v>
      </c>
      <c r="K14" s="3">
        <v>0.22899305555555557</v>
      </c>
      <c r="L14" s="1" t="s">
        <v>8</v>
      </c>
      <c r="M14" s="1" t="s">
        <v>7</v>
      </c>
      <c r="N14" s="1">
        <v>1</v>
      </c>
      <c r="O14" s="1">
        <v>3</v>
      </c>
      <c r="P14" s="1">
        <v>90</v>
      </c>
      <c r="Q14" s="1">
        <v>90</v>
      </c>
      <c r="R14" s="1">
        <v>57.4</v>
      </c>
      <c r="T14" s="1">
        <v>1</v>
      </c>
      <c r="W14" s="1" t="s">
        <v>27</v>
      </c>
    </row>
    <row r="15" spans="1:24" x14ac:dyDescent="0.2">
      <c r="A15" s="1">
        <v>2</v>
      </c>
      <c r="B15" s="1" t="s">
        <v>797</v>
      </c>
      <c r="C15" s="1" t="s">
        <v>773</v>
      </c>
      <c r="D15" s="1">
        <v>2</v>
      </c>
      <c r="E15" s="1" t="s">
        <v>47</v>
      </c>
      <c r="F15" s="4">
        <v>45348</v>
      </c>
      <c r="G15" s="3">
        <f>$K15 + $I15</f>
        <v>0.25950231481481484</v>
      </c>
      <c r="H15" s="3">
        <f>K15 + J15</f>
        <v>0.26979166666666671</v>
      </c>
      <c r="I15" s="3">
        <v>3.050925925925926E-2</v>
      </c>
      <c r="J15" s="3">
        <v>4.0798611111111112E-2</v>
      </c>
      <c r="K15" s="3">
        <v>0.22899305555555557</v>
      </c>
      <c r="L15" s="1" t="s">
        <v>7</v>
      </c>
      <c r="M15" s="1" t="s">
        <v>7</v>
      </c>
      <c r="N15" s="1">
        <v>3</v>
      </c>
      <c r="O15" s="1">
        <v>3</v>
      </c>
      <c r="P15" s="1">
        <v>90</v>
      </c>
      <c r="Q15" s="1">
        <v>90</v>
      </c>
      <c r="R15" s="1">
        <v>57.4</v>
      </c>
      <c r="T15" s="1">
        <v>0</v>
      </c>
      <c r="W15" s="1" t="s">
        <v>29</v>
      </c>
    </row>
    <row r="16" spans="1:24" x14ac:dyDescent="0.2">
      <c r="A16" s="1">
        <v>2</v>
      </c>
      <c r="B16" s="1" t="s">
        <v>797</v>
      </c>
      <c r="C16" s="1" t="s">
        <v>773</v>
      </c>
      <c r="D16" s="1">
        <v>3</v>
      </c>
      <c r="E16" s="1" t="s">
        <v>47</v>
      </c>
      <c r="F16" s="4">
        <v>45348</v>
      </c>
      <c r="G16" s="3">
        <f>$K16 + $I16</f>
        <v>0.27209490740740744</v>
      </c>
      <c r="H16" s="3"/>
      <c r="I16" s="3">
        <v>4.3101851851851856E-2</v>
      </c>
      <c r="K16" s="3">
        <v>0.22899305555555557</v>
      </c>
      <c r="L16" s="1" t="s">
        <v>7</v>
      </c>
      <c r="M16" s="1" t="s">
        <v>7</v>
      </c>
      <c r="N16" s="1">
        <v>3</v>
      </c>
      <c r="O16" s="1">
        <v>3</v>
      </c>
      <c r="P16" s="1">
        <v>90</v>
      </c>
      <c r="Q16" s="1">
        <v>90</v>
      </c>
      <c r="R16" s="1">
        <v>57.4</v>
      </c>
      <c r="T16" s="1">
        <v>0</v>
      </c>
      <c r="W16" s="1" t="s">
        <v>28</v>
      </c>
    </row>
    <row r="17" spans="1:23" x14ac:dyDescent="0.2">
      <c r="A17" s="1">
        <v>2</v>
      </c>
      <c r="B17" s="1" t="s">
        <v>797</v>
      </c>
      <c r="C17" s="1" t="s">
        <v>773</v>
      </c>
      <c r="D17" s="1">
        <v>1</v>
      </c>
      <c r="E17" s="1" t="s">
        <v>160</v>
      </c>
      <c r="F17" s="4">
        <v>45372</v>
      </c>
      <c r="G17" s="1" t="s">
        <v>21</v>
      </c>
      <c r="H17" s="3">
        <f>K17 + J17</f>
        <v>0.27496527777777779</v>
      </c>
      <c r="I17" s="1" t="s">
        <v>21</v>
      </c>
      <c r="J17" s="3">
        <v>4.6203703703703705E-2</v>
      </c>
      <c r="K17" s="3">
        <v>0.22876157407407408</v>
      </c>
      <c r="L17" s="1" t="s">
        <v>7</v>
      </c>
      <c r="M17" s="1" t="s">
        <v>8</v>
      </c>
      <c r="N17" s="1">
        <v>3</v>
      </c>
      <c r="O17" s="1">
        <v>3</v>
      </c>
      <c r="P17" s="1">
        <v>90</v>
      </c>
      <c r="Q17" s="1">
        <v>90</v>
      </c>
      <c r="R17" s="1">
        <v>115.17</v>
      </c>
      <c r="S17" s="1">
        <v>38.4</v>
      </c>
      <c r="T17" s="1">
        <v>1</v>
      </c>
      <c r="W17" s="1" t="s">
        <v>245</v>
      </c>
    </row>
    <row r="18" spans="1:23" x14ac:dyDescent="0.2">
      <c r="A18" s="1">
        <v>2</v>
      </c>
      <c r="B18" s="1" t="s">
        <v>797</v>
      </c>
      <c r="C18" s="1" t="s">
        <v>773</v>
      </c>
      <c r="D18" s="1">
        <v>1</v>
      </c>
      <c r="E18" s="1" t="s">
        <v>158</v>
      </c>
      <c r="F18" s="4">
        <v>45372</v>
      </c>
      <c r="G18" s="3">
        <f>$K18 + $I18</f>
        <v>0.76853009259259253</v>
      </c>
      <c r="H18" s="3">
        <f>K18 + J18</f>
        <v>0.77909722222222222</v>
      </c>
      <c r="I18" s="3">
        <v>3.4837962962962965E-3</v>
      </c>
      <c r="J18" s="3">
        <v>1.4050925925925927E-2</v>
      </c>
      <c r="K18" s="3">
        <v>0.76504629629629628</v>
      </c>
      <c r="L18" s="1" t="s">
        <v>7</v>
      </c>
      <c r="M18" s="1" t="s">
        <v>8</v>
      </c>
      <c r="N18" s="1">
        <v>3</v>
      </c>
      <c r="O18" s="1">
        <v>3</v>
      </c>
      <c r="P18" s="1">
        <v>90</v>
      </c>
      <c r="Q18" s="1">
        <v>90</v>
      </c>
      <c r="R18" s="1">
        <v>115.17</v>
      </c>
      <c r="S18" s="1">
        <v>115.17</v>
      </c>
      <c r="T18" s="1">
        <v>1</v>
      </c>
      <c r="W18" s="1" t="s">
        <v>364</v>
      </c>
    </row>
    <row r="19" spans="1:23" x14ac:dyDescent="0.2">
      <c r="A19" s="1">
        <v>2</v>
      </c>
      <c r="B19" s="1" t="s">
        <v>797</v>
      </c>
      <c r="C19" s="1" t="s">
        <v>773</v>
      </c>
      <c r="D19" s="1">
        <v>1</v>
      </c>
      <c r="E19" s="1" t="s">
        <v>156</v>
      </c>
      <c r="F19" s="4">
        <v>45373</v>
      </c>
      <c r="G19" s="3">
        <f>$K19 + $I19</f>
        <v>0.25270833333333331</v>
      </c>
      <c r="H19" s="3">
        <f>K19 + J19</f>
        <v>0.26319444444444445</v>
      </c>
      <c r="I19" s="3">
        <v>2.9131944444444443E-2</v>
      </c>
      <c r="J19" s="3">
        <v>3.9618055555555552E-2</v>
      </c>
      <c r="K19" s="3">
        <v>0.22357638888888889</v>
      </c>
      <c r="L19" s="1" t="s">
        <v>8</v>
      </c>
      <c r="M19" s="1" t="s">
        <v>7</v>
      </c>
      <c r="N19" s="1">
        <v>3</v>
      </c>
      <c r="O19" s="1">
        <v>3</v>
      </c>
      <c r="P19" s="1">
        <v>90</v>
      </c>
      <c r="Q19" s="1">
        <v>90</v>
      </c>
      <c r="R19" s="1">
        <v>115.17</v>
      </c>
      <c r="S19" s="1">
        <v>57.4</v>
      </c>
      <c r="T19" s="1">
        <v>0</v>
      </c>
      <c r="W19" s="1" t="s">
        <v>246</v>
      </c>
    </row>
    <row r="20" spans="1:23" x14ac:dyDescent="0.2">
      <c r="A20" s="1">
        <v>2</v>
      </c>
      <c r="B20" s="1" t="s">
        <v>797</v>
      </c>
      <c r="C20" s="1" t="s">
        <v>773</v>
      </c>
      <c r="D20" s="1">
        <v>1</v>
      </c>
      <c r="E20" s="1" t="s">
        <v>187</v>
      </c>
      <c r="F20" s="4">
        <v>45373</v>
      </c>
      <c r="G20" s="3">
        <f>$K20 + $I20</f>
        <v>0.77009259259259255</v>
      </c>
      <c r="H20" s="3">
        <f>K20 + J20</f>
        <v>0.77481481481481485</v>
      </c>
      <c r="I20" s="3">
        <v>1.4583333333333334E-2</v>
      </c>
      <c r="J20" s="3">
        <v>1.9305555555555555E-2</v>
      </c>
      <c r="K20" s="3">
        <v>0.75550925925925927</v>
      </c>
      <c r="L20" s="1" t="s">
        <v>7</v>
      </c>
      <c r="M20" s="1" t="s">
        <v>8</v>
      </c>
      <c r="N20" s="1">
        <v>3</v>
      </c>
      <c r="O20" s="1">
        <v>3</v>
      </c>
      <c r="P20" s="1">
        <v>90</v>
      </c>
      <c r="Q20" s="1">
        <v>90</v>
      </c>
      <c r="R20" s="1">
        <v>115.17</v>
      </c>
      <c r="S20" s="1">
        <v>57.4</v>
      </c>
      <c r="T20" s="1">
        <v>0</v>
      </c>
      <c r="W20" s="1" t="s">
        <v>247</v>
      </c>
    </row>
    <row r="21" spans="1:23" x14ac:dyDescent="0.2">
      <c r="A21" s="1">
        <v>2</v>
      </c>
      <c r="B21" s="1" t="s">
        <v>797</v>
      </c>
      <c r="C21" s="1" t="s">
        <v>773</v>
      </c>
      <c r="D21" s="1">
        <v>1</v>
      </c>
      <c r="E21" s="1" t="s">
        <v>248</v>
      </c>
      <c r="F21" s="4">
        <v>45374</v>
      </c>
      <c r="G21" s="3">
        <f>$K21 + $I21</f>
        <v>0.24747685185185186</v>
      </c>
      <c r="H21" s="3">
        <f>K21 + J21</f>
        <v>0.2701041666666667</v>
      </c>
      <c r="I21" s="3">
        <v>3.1018518518518517E-3</v>
      </c>
      <c r="J21" s="3">
        <v>2.5729166666666668E-2</v>
      </c>
      <c r="K21" s="3">
        <v>0.24437500000000001</v>
      </c>
      <c r="L21" s="1" t="s">
        <v>8</v>
      </c>
      <c r="M21" s="1" t="s">
        <v>7</v>
      </c>
      <c r="N21" s="1">
        <v>3</v>
      </c>
      <c r="O21" s="1">
        <v>3</v>
      </c>
      <c r="P21" s="1">
        <v>90</v>
      </c>
      <c r="Q21" s="1">
        <v>90</v>
      </c>
      <c r="R21" s="1">
        <v>115.17</v>
      </c>
      <c r="S21" s="1">
        <v>38.4</v>
      </c>
      <c r="T21" s="1">
        <v>1</v>
      </c>
    </row>
    <row r="22" spans="1:23" x14ac:dyDescent="0.2">
      <c r="A22" s="1">
        <v>2</v>
      </c>
      <c r="B22" s="1" t="s">
        <v>797</v>
      </c>
      <c r="C22" s="1" t="s">
        <v>773</v>
      </c>
      <c r="D22" s="1">
        <v>1</v>
      </c>
      <c r="E22" s="1" t="s">
        <v>213</v>
      </c>
      <c r="F22" s="4">
        <v>45374</v>
      </c>
      <c r="G22" s="1" t="s">
        <v>21</v>
      </c>
      <c r="H22" s="1" t="s">
        <v>21</v>
      </c>
      <c r="I22" s="1" t="s">
        <v>21</v>
      </c>
      <c r="J22" s="1" t="s">
        <v>21</v>
      </c>
      <c r="K22" s="3">
        <v>0.76011574074074073</v>
      </c>
      <c r="L22" s="1" t="s">
        <v>7</v>
      </c>
      <c r="M22" s="1" t="s">
        <v>7</v>
      </c>
      <c r="N22" s="1">
        <v>3</v>
      </c>
      <c r="O22" s="1">
        <v>3</v>
      </c>
      <c r="P22" s="1">
        <v>90</v>
      </c>
      <c r="Q22" s="1">
        <v>90</v>
      </c>
      <c r="R22" s="1">
        <v>115.17</v>
      </c>
      <c r="S22" s="1">
        <v>115.17</v>
      </c>
      <c r="T22" s="1" t="s">
        <v>21</v>
      </c>
      <c r="W22" s="1" t="s">
        <v>58</v>
      </c>
    </row>
    <row r="23" spans="1:23" x14ac:dyDescent="0.2">
      <c r="A23" s="1">
        <v>2</v>
      </c>
      <c r="B23" s="1" t="s">
        <v>798</v>
      </c>
      <c r="C23" s="1" t="s">
        <v>773</v>
      </c>
      <c r="D23" s="1">
        <v>1</v>
      </c>
      <c r="E23" s="1" t="s">
        <v>42</v>
      </c>
      <c r="F23" s="4">
        <v>45345</v>
      </c>
      <c r="G23" s="3">
        <f>$K23 + $I23</f>
        <v>0.77940972222222216</v>
      </c>
      <c r="H23" s="3">
        <f>K23 + J23</f>
        <v>0.78445601851851843</v>
      </c>
      <c r="I23" s="3">
        <v>2.6331018518518517E-2</v>
      </c>
      <c r="J23" s="3">
        <v>3.1377314814814809E-2</v>
      </c>
      <c r="K23" s="3">
        <v>0.75307870370370367</v>
      </c>
      <c r="L23" s="1" t="s">
        <v>7</v>
      </c>
      <c r="M23" s="1" t="s">
        <v>7</v>
      </c>
      <c r="N23" s="1">
        <v>1</v>
      </c>
      <c r="O23" s="1">
        <v>1</v>
      </c>
      <c r="P23" s="1">
        <v>90</v>
      </c>
      <c r="Q23" s="1">
        <v>90</v>
      </c>
      <c r="R23" s="1">
        <v>57.4</v>
      </c>
      <c r="T23" s="1">
        <v>1</v>
      </c>
    </row>
    <row r="24" spans="1:23" x14ac:dyDescent="0.2">
      <c r="A24" s="1">
        <v>2</v>
      </c>
      <c r="B24" s="1" t="s">
        <v>798</v>
      </c>
      <c r="C24" s="1" t="s">
        <v>773</v>
      </c>
      <c r="D24" s="1">
        <v>1</v>
      </c>
      <c r="E24" s="1" t="s">
        <v>9</v>
      </c>
      <c r="F24" s="4">
        <v>45345</v>
      </c>
      <c r="G24" s="3">
        <f>$K24 + $I24</f>
        <v>0.24466435185185187</v>
      </c>
      <c r="H24" s="3">
        <f>K24 + J24</f>
        <v>0.25920138888888888</v>
      </c>
      <c r="I24" s="3">
        <v>2.165509259259259E-2</v>
      </c>
      <c r="J24" s="3">
        <v>3.619212962962963E-2</v>
      </c>
      <c r="K24" s="3">
        <v>0.22300925925925927</v>
      </c>
      <c r="L24" s="1" t="s">
        <v>8</v>
      </c>
      <c r="M24" s="1" t="s">
        <v>7</v>
      </c>
      <c r="N24" s="1">
        <v>1</v>
      </c>
      <c r="O24" s="1">
        <v>2</v>
      </c>
      <c r="P24" s="1">
        <v>90</v>
      </c>
      <c r="Q24" s="1">
        <v>90</v>
      </c>
      <c r="R24" s="1">
        <v>57.4</v>
      </c>
      <c r="T24" s="1">
        <v>1</v>
      </c>
    </row>
    <row r="25" spans="1:23" x14ac:dyDescent="0.2">
      <c r="A25" s="1">
        <v>2</v>
      </c>
      <c r="B25" s="1" t="s">
        <v>798</v>
      </c>
      <c r="C25" s="1" t="s">
        <v>773</v>
      </c>
      <c r="D25" s="1">
        <v>2</v>
      </c>
      <c r="E25" s="1" t="s">
        <v>9</v>
      </c>
      <c r="F25" s="4">
        <v>45345</v>
      </c>
      <c r="G25" s="3">
        <f>$K25 + $I25</f>
        <v>0.25004629629629632</v>
      </c>
      <c r="H25" s="3">
        <f>K25 + J25</f>
        <v>0.26920138888888889</v>
      </c>
      <c r="I25" s="3">
        <v>2.7037037037037037E-2</v>
      </c>
      <c r="J25" s="3">
        <v>4.6192129629629632E-2</v>
      </c>
      <c r="K25" s="3">
        <v>0.22300925925925927</v>
      </c>
      <c r="L25" s="1" t="s">
        <v>8</v>
      </c>
      <c r="M25" s="1" t="s">
        <v>7</v>
      </c>
      <c r="N25" s="1">
        <v>1</v>
      </c>
      <c r="O25" s="1">
        <v>2</v>
      </c>
      <c r="P25" s="1">
        <v>90</v>
      </c>
      <c r="Q25" s="1">
        <v>90</v>
      </c>
      <c r="R25" s="1">
        <v>57.4</v>
      </c>
      <c r="T25" s="1">
        <v>1</v>
      </c>
    </row>
    <row r="26" spans="1:23" x14ac:dyDescent="0.2">
      <c r="A26" s="1">
        <v>2</v>
      </c>
      <c r="B26" s="1" t="s">
        <v>798</v>
      </c>
      <c r="C26" s="1" t="s">
        <v>773</v>
      </c>
      <c r="D26" s="1">
        <v>3</v>
      </c>
      <c r="E26" s="1" t="s">
        <v>9</v>
      </c>
      <c r="F26" s="4">
        <v>45345</v>
      </c>
      <c r="G26" s="3">
        <f>$K26 + $I26</f>
        <v>0.26063657407407409</v>
      </c>
      <c r="H26" s="3" t="s">
        <v>21</v>
      </c>
      <c r="I26" s="3">
        <v>3.7627314814814815E-2</v>
      </c>
      <c r="J26" s="3" t="s">
        <v>21</v>
      </c>
      <c r="K26" s="3">
        <v>0.22300925925925927</v>
      </c>
      <c r="L26" s="1" t="s">
        <v>7</v>
      </c>
      <c r="M26" s="1" t="s">
        <v>21</v>
      </c>
      <c r="N26" s="1">
        <v>2</v>
      </c>
      <c r="O26" s="1" t="s">
        <v>21</v>
      </c>
      <c r="P26" s="1">
        <v>90</v>
      </c>
      <c r="Q26" s="1">
        <v>90</v>
      </c>
      <c r="R26" s="1">
        <v>57.4</v>
      </c>
      <c r="T26" s="1" t="s">
        <v>21</v>
      </c>
      <c r="W26" s="1" t="s">
        <v>51</v>
      </c>
    </row>
    <row r="27" spans="1:23" x14ac:dyDescent="0.2">
      <c r="A27" s="1">
        <v>2</v>
      </c>
      <c r="B27" s="1" t="s">
        <v>798</v>
      </c>
      <c r="C27" s="1" t="s">
        <v>773</v>
      </c>
      <c r="D27" s="1">
        <v>1</v>
      </c>
      <c r="E27" s="1" t="s">
        <v>48</v>
      </c>
      <c r="F27" s="4">
        <v>45348</v>
      </c>
      <c r="G27" s="3">
        <f>$K27 + $I27</f>
        <v>0.77689814814814817</v>
      </c>
      <c r="H27" s="3">
        <f>K27 + J27</f>
        <v>0.7869560185185186</v>
      </c>
      <c r="I27" s="3">
        <v>1.9652777777777779E-2</v>
      </c>
      <c r="J27" s="3">
        <v>2.9710648148148149E-2</v>
      </c>
      <c r="K27" s="3">
        <v>0.75724537037037043</v>
      </c>
      <c r="L27" s="1" t="s">
        <v>7</v>
      </c>
      <c r="M27" s="1" t="s">
        <v>8</v>
      </c>
      <c r="N27" s="1">
        <v>1</v>
      </c>
      <c r="O27" s="1">
        <v>1</v>
      </c>
      <c r="P27" s="1">
        <v>90</v>
      </c>
      <c r="Q27" s="1">
        <v>90</v>
      </c>
      <c r="R27" s="1">
        <v>57.4</v>
      </c>
      <c r="T27" s="1">
        <v>1</v>
      </c>
    </row>
    <row r="28" spans="1:23" x14ac:dyDescent="0.2">
      <c r="A28" s="1">
        <v>2</v>
      </c>
      <c r="B28" s="1" t="s">
        <v>798</v>
      </c>
      <c r="C28" s="1" t="s">
        <v>773</v>
      </c>
      <c r="D28" s="1">
        <v>1</v>
      </c>
      <c r="E28" s="1" t="s">
        <v>50</v>
      </c>
      <c r="F28" s="4">
        <v>45349</v>
      </c>
      <c r="G28" s="3">
        <f>$K28 + $I28</f>
        <v>0.24712962962962962</v>
      </c>
      <c r="H28" s="3">
        <f>K28 + J28</f>
        <v>0.2646412037037037</v>
      </c>
      <c r="I28" s="3">
        <v>2.4398148148148145E-2</v>
      </c>
      <c r="J28" s="3">
        <v>4.1909722222222223E-2</v>
      </c>
      <c r="K28" s="3">
        <v>0.22273148148148147</v>
      </c>
      <c r="L28" s="1" t="s">
        <v>8</v>
      </c>
      <c r="M28" s="1" t="s">
        <v>7</v>
      </c>
      <c r="N28" s="1">
        <v>1</v>
      </c>
      <c r="O28" s="1">
        <v>2</v>
      </c>
      <c r="P28" s="1">
        <v>90</v>
      </c>
      <c r="Q28" s="1">
        <v>90</v>
      </c>
      <c r="R28" s="1">
        <v>57.4</v>
      </c>
      <c r="T28" s="1">
        <v>1</v>
      </c>
    </row>
    <row r="29" spans="1:23" x14ac:dyDescent="0.2">
      <c r="A29" s="1">
        <v>2</v>
      </c>
      <c r="B29" s="1" t="s">
        <v>798</v>
      </c>
      <c r="C29" s="1" t="s">
        <v>773</v>
      </c>
      <c r="D29" s="1">
        <v>2</v>
      </c>
      <c r="E29" s="1" t="s">
        <v>50</v>
      </c>
      <c r="F29" s="4">
        <v>45349</v>
      </c>
      <c r="G29" s="3">
        <f>$K29 + $I29</f>
        <v>0.26</v>
      </c>
      <c r="H29" s="3">
        <f>K29 + J29</f>
        <v>0.26913194444444444</v>
      </c>
      <c r="I29" s="3">
        <v>3.7268518518518513E-2</v>
      </c>
      <c r="J29" s="3">
        <v>4.6400462962962963E-2</v>
      </c>
      <c r="K29" s="3">
        <v>0.22273148148148147</v>
      </c>
      <c r="L29" s="1" t="s">
        <v>7</v>
      </c>
      <c r="M29" s="1" t="s">
        <v>8</v>
      </c>
      <c r="N29" s="1">
        <v>2</v>
      </c>
      <c r="O29" s="1">
        <v>2</v>
      </c>
      <c r="P29" s="1">
        <v>90</v>
      </c>
      <c r="Q29" s="1">
        <v>90</v>
      </c>
      <c r="R29" s="1">
        <v>57.4</v>
      </c>
      <c r="T29" s="1">
        <v>0</v>
      </c>
    </row>
    <row r="30" spans="1:23" x14ac:dyDescent="0.2">
      <c r="A30" s="1">
        <v>2</v>
      </c>
      <c r="B30" s="1" t="s">
        <v>799</v>
      </c>
      <c r="C30" s="1" t="s">
        <v>773</v>
      </c>
      <c r="D30" s="1">
        <v>1</v>
      </c>
      <c r="E30" s="1" t="s">
        <v>24</v>
      </c>
      <c r="F30" s="4">
        <v>45349</v>
      </c>
      <c r="G30" s="3">
        <f>$K30 + $I30</f>
        <v>0.78194444444444444</v>
      </c>
      <c r="H30" s="3">
        <f>K30 + J30</f>
        <v>0.78376157407407399</v>
      </c>
      <c r="I30" s="3">
        <v>2.3530092592592592E-2</v>
      </c>
      <c r="J30" s="3">
        <v>2.5347222222222219E-2</v>
      </c>
      <c r="K30" s="3">
        <v>0.7584143518518518</v>
      </c>
      <c r="L30" s="1" t="s">
        <v>8</v>
      </c>
      <c r="M30" s="1" t="s">
        <v>8</v>
      </c>
      <c r="N30" s="1">
        <v>1</v>
      </c>
      <c r="O30" s="1">
        <v>1</v>
      </c>
      <c r="P30" s="1">
        <v>90</v>
      </c>
      <c r="Q30" s="1">
        <v>90</v>
      </c>
      <c r="R30" s="1">
        <v>57.4</v>
      </c>
      <c r="T30" s="1">
        <v>1</v>
      </c>
      <c r="W30" s="1" t="s">
        <v>49</v>
      </c>
    </row>
    <row r="31" spans="1:23" x14ac:dyDescent="0.2">
      <c r="A31" s="1">
        <v>2</v>
      </c>
      <c r="B31" s="1" t="s">
        <v>799</v>
      </c>
      <c r="C31" s="1" t="s">
        <v>773</v>
      </c>
      <c r="D31" s="1">
        <v>1</v>
      </c>
      <c r="E31" s="1" t="s">
        <v>36</v>
      </c>
      <c r="F31" s="4">
        <v>45350</v>
      </c>
      <c r="G31" s="3">
        <f>$K31 + $I31</f>
        <v>0.24881944444444443</v>
      </c>
      <c r="H31" s="3">
        <f>K31 + J31</f>
        <v>0.25624999999999998</v>
      </c>
      <c r="I31" s="3">
        <v>1.3611111111111114E-2</v>
      </c>
      <c r="J31" s="3">
        <v>2.1041666666666667E-2</v>
      </c>
      <c r="K31" s="3">
        <v>0.23520833333333332</v>
      </c>
      <c r="L31" s="1" t="s">
        <v>8</v>
      </c>
      <c r="M31" s="1" t="s">
        <v>8</v>
      </c>
      <c r="N31" s="1">
        <v>1</v>
      </c>
      <c r="O31" s="1">
        <v>1</v>
      </c>
      <c r="P31" s="1">
        <v>90</v>
      </c>
      <c r="Q31" s="1">
        <v>90</v>
      </c>
      <c r="R31" s="1">
        <v>57.4</v>
      </c>
      <c r="T31" s="1">
        <v>1</v>
      </c>
      <c r="W31" s="1" t="s">
        <v>37</v>
      </c>
    </row>
    <row r="32" spans="1:23" x14ac:dyDescent="0.2">
      <c r="A32" s="1">
        <v>2</v>
      </c>
      <c r="B32" s="1" t="s">
        <v>799</v>
      </c>
      <c r="C32" s="1" t="s">
        <v>773</v>
      </c>
      <c r="D32" s="1" t="s">
        <v>21</v>
      </c>
      <c r="E32" s="1" t="s">
        <v>32</v>
      </c>
      <c r="F32" s="4">
        <v>45350</v>
      </c>
      <c r="G32" s="1" t="s">
        <v>21</v>
      </c>
      <c r="H32" s="1" t="s">
        <v>21</v>
      </c>
      <c r="I32" s="1" t="s">
        <v>21</v>
      </c>
      <c r="J32" s="1" t="s">
        <v>21</v>
      </c>
      <c r="K32" s="3">
        <v>0.76768518518518514</v>
      </c>
      <c r="L32" s="1" t="s">
        <v>21</v>
      </c>
      <c r="M32" s="1" t="s">
        <v>21</v>
      </c>
      <c r="N32" s="1" t="s">
        <v>21</v>
      </c>
      <c r="O32" s="1" t="s">
        <v>21</v>
      </c>
      <c r="P32" s="1">
        <v>90</v>
      </c>
      <c r="Q32" s="1">
        <v>90</v>
      </c>
      <c r="R32" s="1">
        <v>57.4</v>
      </c>
      <c r="T32" s="1" t="s">
        <v>21</v>
      </c>
      <c r="W32" s="1" t="s">
        <v>58</v>
      </c>
    </row>
    <row r="33" spans="1:24" x14ac:dyDescent="0.2">
      <c r="A33" s="1">
        <v>2</v>
      </c>
      <c r="B33" s="1" t="s">
        <v>800</v>
      </c>
      <c r="C33" s="1" t="s">
        <v>773</v>
      </c>
      <c r="D33" s="1" t="s">
        <v>21</v>
      </c>
      <c r="E33" s="1" t="s">
        <v>21</v>
      </c>
      <c r="F33" s="4">
        <v>45351</v>
      </c>
      <c r="G33" s="1" t="s">
        <v>21</v>
      </c>
      <c r="H33" s="1" t="s">
        <v>21</v>
      </c>
      <c r="I33" s="1" t="s">
        <v>208</v>
      </c>
      <c r="J33" s="1" t="s">
        <v>21</v>
      </c>
      <c r="K33" s="1" t="s">
        <v>21</v>
      </c>
      <c r="L33" s="1" t="s">
        <v>21</v>
      </c>
      <c r="M33" s="1" t="s">
        <v>21</v>
      </c>
      <c r="N33" s="1" t="s">
        <v>21</v>
      </c>
      <c r="O33" s="1" t="s">
        <v>21</v>
      </c>
      <c r="P33" s="1">
        <v>90</v>
      </c>
      <c r="Q33" s="1">
        <v>90</v>
      </c>
      <c r="R33" s="1">
        <v>57.4</v>
      </c>
      <c r="T33" s="1" t="s">
        <v>21</v>
      </c>
      <c r="W33" s="1" t="s">
        <v>207</v>
      </c>
    </row>
    <row r="34" spans="1:24" x14ac:dyDescent="0.2">
      <c r="A34" s="1">
        <v>2</v>
      </c>
      <c r="B34" s="1" t="s">
        <v>801</v>
      </c>
      <c r="C34" s="1" t="s">
        <v>773</v>
      </c>
      <c r="D34" s="1">
        <v>1</v>
      </c>
      <c r="E34" s="1" t="s">
        <v>44</v>
      </c>
      <c r="F34" s="4">
        <v>45351</v>
      </c>
      <c r="G34" s="3">
        <f>$K34 + $I34</f>
        <v>0.76180555555555551</v>
      </c>
      <c r="H34" s="1" t="s">
        <v>21</v>
      </c>
      <c r="I34" s="3">
        <v>9.8263888888888897E-3</v>
      </c>
      <c r="J34" s="1" t="s">
        <v>21</v>
      </c>
      <c r="K34" s="3">
        <v>0.75197916666666664</v>
      </c>
      <c r="L34" s="1" t="s">
        <v>53</v>
      </c>
      <c r="M34" s="1" t="s">
        <v>53</v>
      </c>
      <c r="N34" s="1">
        <v>1</v>
      </c>
      <c r="O34" s="1">
        <v>1</v>
      </c>
      <c r="P34" s="1">
        <v>90</v>
      </c>
      <c r="Q34" s="1">
        <v>90</v>
      </c>
      <c r="R34" s="1">
        <v>57.4</v>
      </c>
      <c r="T34" s="1" t="s">
        <v>21</v>
      </c>
      <c r="W34" s="1" t="s">
        <v>60</v>
      </c>
    </row>
    <row r="35" spans="1:24" x14ac:dyDescent="0.2">
      <c r="A35" s="7">
        <v>2</v>
      </c>
      <c r="B35" s="1" t="s">
        <v>802</v>
      </c>
      <c r="C35" s="1" t="s">
        <v>773</v>
      </c>
      <c r="D35" s="7" t="s">
        <v>21</v>
      </c>
      <c r="E35" s="7" t="s">
        <v>21</v>
      </c>
      <c r="F35" s="9">
        <v>45361</v>
      </c>
      <c r="G35" s="8" t="s">
        <v>21</v>
      </c>
      <c r="H35" s="8" t="s">
        <v>21</v>
      </c>
      <c r="I35" s="8" t="s">
        <v>21</v>
      </c>
      <c r="J35" s="8" t="s">
        <v>21</v>
      </c>
      <c r="K35" s="8" t="s">
        <v>21</v>
      </c>
      <c r="L35" s="7"/>
      <c r="M35" s="7"/>
      <c r="N35" s="7"/>
      <c r="O35" s="7"/>
      <c r="P35" s="1">
        <v>90</v>
      </c>
      <c r="Q35" s="1">
        <v>90</v>
      </c>
      <c r="R35" s="7"/>
      <c r="S35" s="7"/>
      <c r="T35" s="7" t="s">
        <v>21</v>
      </c>
      <c r="U35" s="7"/>
      <c r="V35" s="7"/>
      <c r="W35" s="7" t="s">
        <v>130</v>
      </c>
      <c r="X35" s="7"/>
    </row>
    <row r="36" spans="1:24" x14ac:dyDescent="0.2">
      <c r="A36" s="1">
        <v>2</v>
      </c>
      <c r="B36" s="1" t="s">
        <v>802</v>
      </c>
      <c r="C36" s="1" t="s">
        <v>773</v>
      </c>
      <c r="D36" s="1">
        <v>1</v>
      </c>
      <c r="E36" s="1" t="s">
        <v>59</v>
      </c>
      <c r="F36" s="4">
        <v>45352</v>
      </c>
      <c r="G36" s="1" t="s">
        <v>21</v>
      </c>
      <c r="H36" s="1" t="s">
        <v>21</v>
      </c>
      <c r="I36" s="3">
        <v>3.7627314814814815E-2</v>
      </c>
      <c r="J36" s="1" t="s">
        <v>21</v>
      </c>
      <c r="K36" s="3">
        <v>3.3032407407407406E-2</v>
      </c>
      <c r="L36" s="1" t="s">
        <v>53</v>
      </c>
      <c r="M36" s="1" t="s">
        <v>53</v>
      </c>
      <c r="N36" s="1">
        <v>1</v>
      </c>
      <c r="O36" s="1">
        <v>1</v>
      </c>
      <c r="P36" s="1">
        <v>90</v>
      </c>
      <c r="Q36" s="1">
        <v>90</v>
      </c>
      <c r="R36" s="1">
        <v>57.4</v>
      </c>
      <c r="T36" s="1" t="s">
        <v>21</v>
      </c>
      <c r="W36" s="1" t="s">
        <v>61</v>
      </c>
    </row>
    <row r="37" spans="1:24" x14ac:dyDescent="0.2">
      <c r="A37" s="1">
        <v>2</v>
      </c>
      <c r="B37" s="1" t="s">
        <v>802</v>
      </c>
      <c r="C37" s="1" t="s">
        <v>773</v>
      </c>
      <c r="D37" s="1">
        <v>1</v>
      </c>
      <c r="E37" s="1" t="s">
        <v>38</v>
      </c>
      <c r="F37" s="4">
        <v>45352</v>
      </c>
      <c r="G37" s="3">
        <f>$K37 + $I37</f>
        <v>0.77500000000000002</v>
      </c>
      <c r="H37" s="3">
        <f>K37 + J37</f>
        <v>0.78471064814814817</v>
      </c>
      <c r="I37" s="3">
        <v>2.6944444444444441E-2</v>
      </c>
      <c r="J37" s="3">
        <v>3.6655092592592593E-2</v>
      </c>
      <c r="K37" s="3">
        <v>0.74805555555555558</v>
      </c>
      <c r="L37" s="1" t="s">
        <v>7</v>
      </c>
      <c r="M37" s="1" t="s">
        <v>7</v>
      </c>
      <c r="N37" s="1">
        <v>1</v>
      </c>
      <c r="O37" s="1">
        <v>1</v>
      </c>
      <c r="P37" s="1">
        <v>90</v>
      </c>
      <c r="Q37" s="1">
        <v>90</v>
      </c>
      <c r="R37" s="1">
        <v>57.4</v>
      </c>
      <c r="S37" s="1">
        <v>57.4</v>
      </c>
      <c r="T37" s="1">
        <v>1</v>
      </c>
      <c r="W37" s="1" t="s">
        <v>66</v>
      </c>
    </row>
    <row r="38" spans="1:24" x14ac:dyDescent="0.2">
      <c r="A38" s="1">
        <v>2</v>
      </c>
      <c r="B38" s="1" t="s">
        <v>802</v>
      </c>
      <c r="C38" s="1" t="s">
        <v>773</v>
      </c>
      <c r="D38" s="1" t="s">
        <v>21</v>
      </c>
      <c r="E38" s="1" t="s">
        <v>21</v>
      </c>
      <c r="F38" s="4">
        <v>45352</v>
      </c>
      <c r="G38" s="3" t="s">
        <v>21</v>
      </c>
      <c r="H38" s="3" t="s">
        <v>21</v>
      </c>
      <c r="I38" s="3" t="s">
        <v>21</v>
      </c>
      <c r="J38" s="3" t="s">
        <v>21</v>
      </c>
      <c r="K38" s="3" t="s">
        <v>21</v>
      </c>
      <c r="L38" s="1" t="s">
        <v>21</v>
      </c>
      <c r="M38" s="1" t="s">
        <v>21</v>
      </c>
      <c r="N38" s="1" t="s">
        <v>21</v>
      </c>
      <c r="O38" s="1" t="s">
        <v>21</v>
      </c>
      <c r="P38" s="1">
        <v>90</v>
      </c>
      <c r="Q38" s="1">
        <v>90</v>
      </c>
      <c r="R38" s="1" t="s">
        <v>21</v>
      </c>
      <c r="S38" s="1" t="s">
        <v>21</v>
      </c>
      <c r="T38" s="1" t="s">
        <v>21</v>
      </c>
      <c r="W38" s="1" t="s">
        <v>361</v>
      </c>
    </row>
    <row r="39" spans="1:24" x14ac:dyDescent="0.2">
      <c r="A39" s="1">
        <v>2</v>
      </c>
      <c r="B39" s="1" t="s">
        <v>802</v>
      </c>
      <c r="C39" s="1" t="s">
        <v>773</v>
      </c>
      <c r="D39" s="1">
        <v>1</v>
      </c>
      <c r="E39" s="1" t="s">
        <v>103</v>
      </c>
      <c r="F39" s="4">
        <v>45353</v>
      </c>
      <c r="G39" s="3">
        <f>$K39 + $I39</f>
        <v>0.25483796296296296</v>
      </c>
      <c r="H39" s="1" t="s">
        <v>21</v>
      </c>
      <c r="I39" s="3">
        <v>3.425925925925926E-2</v>
      </c>
      <c r="J39" s="1" t="s">
        <v>21</v>
      </c>
      <c r="K39" s="3">
        <v>0.22057870370370369</v>
      </c>
      <c r="L39" s="1" t="s">
        <v>8</v>
      </c>
      <c r="M39" s="1" t="s">
        <v>8</v>
      </c>
      <c r="N39" s="1">
        <v>1</v>
      </c>
      <c r="O39" s="1">
        <v>1</v>
      </c>
      <c r="P39" s="1">
        <v>90</v>
      </c>
      <c r="Q39" s="1">
        <v>90</v>
      </c>
      <c r="R39" s="1">
        <v>57.4</v>
      </c>
      <c r="S39" s="1">
        <v>57.4</v>
      </c>
      <c r="T39" s="1" t="s">
        <v>21</v>
      </c>
      <c r="W39" s="1" t="s">
        <v>70</v>
      </c>
    </row>
    <row r="40" spans="1:24" x14ac:dyDescent="0.2">
      <c r="A40" s="1">
        <v>2</v>
      </c>
      <c r="B40" s="1" t="s">
        <v>802</v>
      </c>
      <c r="C40" s="1" t="s">
        <v>773</v>
      </c>
      <c r="D40" s="1">
        <v>1</v>
      </c>
      <c r="E40" s="1" t="s">
        <v>54</v>
      </c>
      <c r="F40" s="4">
        <v>45353</v>
      </c>
      <c r="G40" s="3">
        <f>$K40 + $I40</f>
        <v>0.7750462962962964</v>
      </c>
      <c r="H40" s="1" t="s">
        <v>21</v>
      </c>
      <c r="I40" s="3">
        <v>2.630787037037037E-2</v>
      </c>
      <c r="J40" s="1" t="s">
        <v>21</v>
      </c>
      <c r="K40" s="3">
        <v>0.74873842592592599</v>
      </c>
      <c r="L40" s="1" t="s">
        <v>7</v>
      </c>
      <c r="M40" s="1" t="s">
        <v>21</v>
      </c>
      <c r="N40" s="1">
        <v>3</v>
      </c>
      <c r="O40" s="1" t="s">
        <v>21</v>
      </c>
      <c r="P40" s="1">
        <v>90</v>
      </c>
      <c r="Q40" s="1">
        <v>90</v>
      </c>
      <c r="R40" s="1">
        <v>57.4</v>
      </c>
      <c r="S40" s="1" t="s">
        <v>21</v>
      </c>
      <c r="T40" s="1" t="s">
        <v>21</v>
      </c>
      <c r="W40" s="1" t="s">
        <v>356</v>
      </c>
    </row>
    <row r="41" spans="1:24" x14ac:dyDescent="0.2">
      <c r="A41" s="1">
        <v>2</v>
      </c>
      <c r="B41" s="1" t="s">
        <v>802</v>
      </c>
      <c r="C41" s="1" t="s">
        <v>773</v>
      </c>
      <c r="D41" s="1">
        <v>1</v>
      </c>
      <c r="E41" s="1" t="s">
        <v>56</v>
      </c>
      <c r="F41" s="4">
        <v>45354</v>
      </c>
      <c r="G41" s="3">
        <f>$K41 + $I41</f>
        <v>0.25199074074074074</v>
      </c>
      <c r="H41" s="1" t="s">
        <v>21</v>
      </c>
      <c r="I41" s="3">
        <v>3.0856481481481481E-2</v>
      </c>
      <c r="J41" s="1" t="s">
        <v>21</v>
      </c>
      <c r="K41" s="3">
        <v>0.22113425925925925</v>
      </c>
      <c r="L41" s="1" t="s">
        <v>7</v>
      </c>
      <c r="M41" s="1" t="s">
        <v>21</v>
      </c>
      <c r="N41" s="1">
        <v>3</v>
      </c>
      <c r="O41" s="1" t="s">
        <v>21</v>
      </c>
      <c r="P41" s="1">
        <v>90</v>
      </c>
      <c r="Q41" s="1">
        <v>90</v>
      </c>
      <c r="R41" s="1">
        <v>57.4</v>
      </c>
      <c r="S41" s="1" t="s">
        <v>21</v>
      </c>
      <c r="T41" s="1" t="s">
        <v>76</v>
      </c>
      <c r="W41" s="1" t="s">
        <v>75</v>
      </c>
    </row>
    <row r="42" spans="1:24" x14ac:dyDescent="0.2">
      <c r="A42" s="1">
        <v>2</v>
      </c>
      <c r="B42" s="1" t="s">
        <v>802</v>
      </c>
      <c r="C42" s="1" t="s">
        <v>773</v>
      </c>
      <c r="D42" s="1">
        <v>1</v>
      </c>
      <c r="E42" s="1" t="s">
        <v>21</v>
      </c>
      <c r="F42" s="4">
        <v>45354</v>
      </c>
      <c r="G42" s="1" t="s">
        <v>21</v>
      </c>
      <c r="H42" s="1" t="s">
        <v>21</v>
      </c>
      <c r="I42" s="1" t="s">
        <v>21</v>
      </c>
      <c r="J42" s="1" t="s">
        <v>21</v>
      </c>
      <c r="K42" s="3">
        <v>0.75247685185185187</v>
      </c>
      <c r="L42" s="1" t="s">
        <v>21</v>
      </c>
      <c r="M42" s="1" t="s">
        <v>21</v>
      </c>
      <c r="N42" s="1" t="s">
        <v>21</v>
      </c>
      <c r="O42" s="1" t="s">
        <v>21</v>
      </c>
      <c r="P42" s="1">
        <v>90</v>
      </c>
      <c r="Q42" s="1">
        <v>90</v>
      </c>
      <c r="R42" s="1" t="s">
        <v>21</v>
      </c>
      <c r="S42" s="1" t="s">
        <v>21</v>
      </c>
      <c r="T42" s="1" t="s">
        <v>21</v>
      </c>
      <c r="W42" s="1" t="s">
        <v>265</v>
      </c>
    </row>
    <row r="43" spans="1:24" x14ac:dyDescent="0.2">
      <c r="A43" s="1">
        <v>2</v>
      </c>
      <c r="B43" s="1" t="s">
        <v>802</v>
      </c>
      <c r="C43" s="1" t="s">
        <v>773</v>
      </c>
      <c r="D43" s="1">
        <v>1</v>
      </c>
      <c r="E43" s="1" t="s">
        <v>69</v>
      </c>
      <c r="F43" s="4">
        <v>45355</v>
      </c>
      <c r="G43" s="3">
        <f>$K43 + $I43</f>
        <v>0.25550925925925927</v>
      </c>
      <c r="H43" s="3">
        <f>K43 + J43</f>
        <v>0.2673726851851852</v>
      </c>
      <c r="I43" s="3">
        <v>2.7418981481481485E-2</v>
      </c>
      <c r="J43" s="3">
        <v>3.9282407407407412E-2</v>
      </c>
      <c r="K43" s="3">
        <v>0.22809027777777779</v>
      </c>
      <c r="L43" s="1" t="s">
        <v>53</v>
      </c>
      <c r="M43" s="1" t="s">
        <v>53</v>
      </c>
      <c r="N43" s="1">
        <v>1</v>
      </c>
      <c r="O43" s="1">
        <v>1</v>
      </c>
      <c r="P43" s="1">
        <v>90</v>
      </c>
      <c r="Q43" s="1">
        <v>90</v>
      </c>
      <c r="R43" s="1">
        <v>57.4</v>
      </c>
      <c r="S43" s="1">
        <v>57.4</v>
      </c>
      <c r="T43" s="1">
        <v>1</v>
      </c>
      <c r="W43" s="1" t="s">
        <v>58</v>
      </c>
    </row>
    <row r="44" spans="1:24" x14ac:dyDescent="0.2">
      <c r="A44" s="1">
        <v>2</v>
      </c>
      <c r="B44" s="1" t="s">
        <v>802</v>
      </c>
      <c r="C44" s="1" t="s">
        <v>773</v>
      </c>
      <c r="D44" s="1">
        <v>1</v>
      </c>
      <c r="E44" s="1" t="s">
        <v>74</v>
      </c>
      <c r="F44" s="4">
        <v>45355</v>
      </c>
      <c r="G44" s="3">
        <f>$K44 + $I44</f>
        <v>0.77776620370370364</v>
      </c>
      <c r="H44" s="3">
        <f>K44 + J44</f>
        <v>0.78221064814814811</v>
      </c>
      <c r="I44" s="3">
        <v>3.5173611111111107E-2</v>
      </c>
      <c r="J44" s="3">
        <v>3.9618055555555552E-2</v>
      </c>
      <c r="K44" s="3">
        <v>0.74259259259259258</v>
      </c>
      <c r="L44" s="1" t="s">
        <v>7</v>
      </c>
      <c r="M44" s="1" t="s">
        <v>7</v>
      </c>
      <c r="N44" s="1">
        <v>1</v>
      </c>
      <c r="O44" s="1">
        <v>1</v>
      </c>
      <c r="P44" s="1">
        <v>90</v>
      </c>
      <c r="Q44" s="1">
        <v>90</v>
      </c>
      <c r="R44" s="1">
        <v>57.4</v>
      </c>
      <c r="S44" s="1">
        <v>57.4</v>
      </c>
      <c r="T44" s="1">
        <v>1</v>
      </c>
      <c r="W44" s="1" t="s">
        <v>87</v>
      </c>
    </row>
    <row r="45" spans="1:24" x14ac:dyDescent="0.2">
      <c r="A45" s="1">
        <v>2</v>
      </c>
      <c r="B45" s="1" t="s">
        <v>802</v>
      </c>
      <c r="C45" s="1" t="s">
        <v>773</v>
      </c>
      <c r="D45" s="1">
        <v>1</v>
      </c>
      <c r="E45" s="1" t="s">
        <v>85</v>
      </c>
      <c r="F45" s="4">
        <v>45356</v>
      </c>
      <c r="G45" s="3">
        <f>$K45 + $I45</f>
        <v>0.25243055555555555</v>
      </c>
      <c r="H45" s="3">
        <f>K45 + J45</f>
        <v>0.27211805555555557</v>
      </c>
      <c r="I45" s="3">
        <v>2.5289351851851851E-2</v>
      </c>
      <c r="J45" s="3">
        <v>4.4976851851851851E-2</v>
      </c>
      <c r="K45" s="3">
        <v>0.22714120370370372</v>
      </c>
      <c r="L45" s="1" t="s">
        <v>7</v>
      </c>
      <c r="M45" s="1" t="s">
        <v>7</v>
      </c>
      <c r="N45" s="1">
        <v>3</v>
      </c>
      <c r="O45" s="1">
        <v>3</v>
      </c>
      <c r="P45" s="1">
        <v>90</v>
      </c>
      <c r="Q45" s="1">
        <v>90</v>
      </c>
      <c r="R45" s="1">
        <v>57.4</v>
      </c>
      <c r="S45" s="1">
        <v>57.4</v>
      </c>
      <c r="T45" s="1">
        <v>1</v>
      </c>
      <c r="W45" s="1" t="s">
        <v>86</v>
      </c>
    </row>
    <row r="46" spans="1:24" x14ac:dyDescent="0.2">
      <c r="A46" s="1">
        <v>2</v>
      </c>
      <c r="B46" s="1" t="s">
        <v>802</v>
      </c>
      <c r="C46" s="1" t="s">
        <v>773</v>
      </c>
      <c r="D46" s="1">
        <v>1</v>
      </c>
      <c r="E46" s="1" t="s">
        <v>101</v>
      </c>
      <c r="F46" s="4">
        <v>45356</v>
      </c>
      <c r="G46" s="3">
        <f>I46+K46</f>
        <v>0.77293981481481489</v>
      </c>
      <c r="H46" s="3">
        <f>K46 + J46</f>
        <v>0.77976851851851858</v>
      </c>
      <c r="I46" s="3">
        <v>1.5636574074074074E-2</v>
      </c>
      <c r="J46" s="3">
        <v>2.2465277777777778E-2</v>
      </c>
      <c r="K46" s="3">
        <v>0.75730324074074085</v>
      </c>
      <c r="L46" s="1" t="s">
        <v>8</v>
      </c>
      <c r="M46" s="1" t="s">
        <v>8</v>
      </c>
      <c r="N46" s="1">
        <v>3</v>
      </c>
      <c r="O46" s="1">
        <v>3</v>
      </c>
      <c r="P46" s="1">
        <v>90</v>
      </c>
      <c r="Q46" s="1">
        <v>90</v>
      </c>
      <c r="R46" s="1">
        <v>57.4</v>
      </c>
      <c r="S46" s="1">
        <v>57.4</v>
      </c>
      <c r="T46" s="1">
        <v>0</v>
      </c>
    </row>
    <row r="47" spans="1:24" x14ac:dyDescent="0.2">
      <c r="A47" s="1">
        <v>2</v>
      </c>
      <c r="B47" s="1" t="s">
        <v>802</v>
      </c>
      <c r="C47" s="1" t="s">
        <v>773</v>
      </c>
      <c r="D47" s="1">
        <v>1</v>
      </c>
      <c r="E47" s="1" t="s">
        <v>96</v>
      </c>
      <c r="F47" s="4">
        <v>45357</v>
      </c>
      <c r="G47" s="3">
        <f>I47+K47</f>
        <v>0.25534722222222223</v>
      </c>
      <c r="H47" s="3">
        <f>K47 + J47</f>
        <v>0.26189814814814816</v>
      </c>
      <c r="I47" s="3">
        <v>2.5740740740740745E-2</v>
      </c>
      <c r="J47" s="3">
        <v>3.229166666666667E-2</v>
      </c>
      <c r="K47" s="3">
        <v>0.22960648148148147</v>
      </c>
      <c r="L47" s="1" t="s">
        <v>8</v>
      </c>
      <c r="M47" s="1" t="s">
        <v>7</v>
      </c>
      <c r="N47" s="1">
        <v>3</v>
      </c>
      <c r="O47" s="1">
        <v>3</v>
      </c>
      <c r="P47" s="1">
        <v>90</v>
      </c>
      <c r="Q47" s="1">
        <v>90</v>
      </c>
      <c r="R47" s="1">
        <v>57.4</v>
      </c>
      <c r="S47" s="1">
        <v>57.4</v>
      </c>
      <c r="T47" s="1">
        <v>1</v>
      </c>
    </row>
    <row r="48" spans="1:24" x14ac:dyDescent="0.2">
      <c r="A48" s="1">
        <v>2</v>
      </c>
      <c r="B48" s="1" t="s">
        <v>802</v>
      </c>
      <c r="C48" s="1" t="s">
        <v>773</v>
      </c>
      <c r="D48" s="1" t="s">
        <v>21</v>
      </c>
      <c r="E48" s="1" t="s">
        <v>108</v>
      </c>
      <c r="F48" s="4">
        <v>45357</v>
      </c>
      <c r="G48" s="1" t="s">
        <v>21</v>
      </c>
      <c r="H48" s="1" t="s">
        <v>21</v>
      </c>
      <c r="I48" s="1" t="s">
        <v>21</v>
      </c>
      <c r="J48" s="1" t="s">
        <v>21</v>
      </c>
      <c r="K48" s="3">
        <v>0.74971064814814825</v>
      </c>
      <c r="L48" s="1" t="s">
        <v>7</v>
      </c>
      <c r="M48" s="1" t="s">
        <v>21</v>
      </c>
      <c r="N48" s="1">
        <v>3</v>
      </c>
      <c r="O48" s="1" t="s">
        <v>21</v>
      </c>
      <c r="P48" s="1">
        <v>90</v>
      </c>
      <c r="Q48" s="1">
        <v>90</v>
      </c>
      <c r="R48" s="1">
        <v>57.4</v>
      </c>
      <c r="S48" s="1" t="s">
        <v>21</v>
      </c>
      <c r="T48" s="1" t="s">
        <v>21</v>
      </c>
      <c r="W48" s="1" t="s">
        <v>109</v>
      </c>
    </row>
    <row r="49" spans="1:24" x14ac:dyDescent="0.2">
      <c r="A49" s="1">
        <v>2</v>
      </c>
      <c r="B49" s="1" t="s">
        <v>802</v>
      </c>
      <c r="C49" s="1" t="s">
        <v>773</v>
      </c>
      <c r="D49" s="1">
        <v>1</v>
      </c>
      <c r="E49" s="1" t="s">
        <v>81</v>
      </c>
      <c r="F49" s="4">
        <v>45358</v>
      </c>
      <c r="G49" s="3">
        <f>I49+K49</f>
        <v>0.26123842592592594</v>
      </c>
      <c r="H49" s="3">
        <f>K49 + J49</f>
        <v>0.26952546296296298</v>
      </c>
      <c r="I49" s="3">
        <v>4.2939814814814813E-2</v>
      </c>
      <c r="J49" s="3">
        <v>5.122685185185185E-2</v>
      </c>
      <c r="K49" s="3">
        <v>0.21829861111111112</v>
      </c>
      <c r="L49" s="1" t="s">
        <v>7</v>
      </c>
      <c r="M49" s="1" t="s">
        <v>8</v>
      </c>
      <c r="N49" s="1">
        <v>3</v>
      </c>
      <c r="O49" s="1">
        <v>3</v>
      </c>
      <c r="P49" s="1">
        <v>90</v>
      </c>
      <c r="Q49" s="1">
        <v>90</v>
      </c>
      <c r="R49" s="1">
        <v>57.4</v>
      </c>
      <c r="S49" s="1">
        <v>115.17</v>
      </c>
      <c r="T49" s="1">
        <v>0</v>
      </c>
    </row>
    <row r="50" spans="1:24" x14ac:dyDescent="0.2">
      <c r="A50" s="1">
        <v>2</v>
      </c>
      <c r="B50" s="1" t="s">
        <v>802</v>
      </c>
      <c r="C50" s="1" t="s">
        <v>773</v>
      </c>
      <c r="D50" s="1">
        <v>1</v>
      </c>
      <c r="E50" s="1" t="s">
        <v>92</v>
      </c>
      <c r="F50" s="4">
        <v>45358</v>
      </c>
      <c r="G50" s="3">
        <f>I50+K50</f>
        <v>0.77834490740740747</v>
      </c>
      <c r="H50" s="3">
        <f>K50 + J50</f>
        <v>0.78515046296296309</v>
      </c>
      <c r="I50" s="3">
        <v>2.4756944444444443E-2</v>
      </c>
      <c r="J50" s="3">
        <v>3.15625E-2</v>
      </c>
      <c r="K50" s="3">
        <v>0.75358796296296304</v>
      </c>
      <c r="L50" s="1" t="s">
        <v>8</v>
      </c>
      <c r="M50" s="1" t="s">
        <v>7</v>
      </c>
      <c r="N50" s="1">
        <v>3</v>
      </c>
      <c r="O50" s="1">
        <v>3</v>
      </c>
      <c r="P50" s="1">
        <v>90</v>
      </c>
      <c r="Q50" s="1">
        <v>90</v>
      </c>
      <c r="R50" s="1">
        <v>57.4</v>
      </c>
      <c r="S50" s="1">
        <v>57.4</v>
      </c>
      <c r="T50" s="1">
        <v>1</v>
      </c>
    </row>
    <row r="51" spans="1:24" x14ac:dyDescent="0.2">
      <c r="A51" s="1">
        <v>2</v>
      </c>
      <c r="B51" s="1" t="s">
        <v>802</v>
      </c>
      <c r="C51" s="1" t="s">
        <v>773</v>
      </c>
      <c r="D51" s="1">
        <v>1</v>
      </c>
      <c r="E51" s="1" t="s">
        <v>95</v>
      </c>
      <c r="F51" s="4">
        <v>45359</v>
      </c>
      <c r="G51" s="3">
        <f>I51+K51</f>
        <v>0.26239583333333333</v>
      </c>
      <c r="H51" s="3">
        <f>K51 + J51</f>
        <v>0.27240740740740743</v>
      </c>
      <c r="I51" s="3">
        <v>3.4699074074074077E-2</v>
      </c>
      <c r="J51" s="3">
        <v>4.4710648148148152E-2</v>
      </c>
      <c r="K51" s="3">
        <v>0.22769675925925925</v>
      </c>
      <c r="L51" s="1" t="s">
        <v>7</v>
      </c>
      <c r="M51" s="1" t="s">
        <v>8</v>
      </c>
      <c r="N51" s="1">
        <v>3</v>
      </c>
      <c r="O51" s="1">
        <v>3</v>
      </c>
      <c r="P51" s="1">
        <v>90</v>
      </c>
      <c r="Q51" s="1">
        <v>90</v>
      </c>
      <c r="R51" s="1">
        <v>57.4</v>
      </c>
      <c r="S51" s="1">
        <v>38.4</v>
      </c>
      <c r="T51" s="1">
        <v>0</v>
      </c>
    </row>
    <row r="52" spans="1:24" x14ac:dyDescent="0.2">
      <c r="A52" s="1">
        <v>2</v>
      </c>
      <c r="B52" s="1" t="s">
        <v>802</v>
      </c>
      <c r="C52" s="1" t="s">
        <v>773</v>
      </c>
      <c r="D52" s="1">
        <v>1</v>
      </c>
      <c r="E52" s="1" t="s">
        <v>106</v>
      </c>
      <c r="F52" s="4">
        <v>45359</v>
      </c>
      <c r="G52" s="3">
        <f>I52+K52</f>
        <v>0.76785879629629628</v>
      </c>
      <c r="H52" s="3">
        <f>K52 + J52</f>
        <v>0.78239583333333329</v>
      </c>
      <c r="I52" s="3">
        <v>1.5358796296296296E-2</v>
      </c>
      <c r="J52" s="3">
        <v>2.989583333333333E-2</v>
      </c>
      <c r="K52" s="3">
        <v>0.75249999999999995</v>
      </c>
      <c r="L52" s="1" t="s">
        <v>8</v>
      </c>
      <c r="M52" s="1" t="s">
        <v>7</v>
      </c>
      <c r="N52" s="1">
        <v>3</v>
      </c>
      <c r="O52" s="1">
        <v>3</v>
      </c>
      <c r="P52" s="1">
        <v>90</v>
      </c>
      <c r="Q52" s="1">
        <v>90</v>
      </c>
      <c r="R52" s="1">
        <v>57.4</v>
      </c>
      <c r="S52" s="1">
        <v>57.4</v>
      </c>
      <c r="T52" s="1">
        <v>0</v>
      </c>
      <c r="W52" s="1" t="s">
        <v>125</v>
      </c>
    </row>
    <row r="53" spans="1:24" x14ac:dyDescent="0.2">
      <c r="A53" s="1">
        <v>2</v>
      </c>
      <c r="B53" s="1" t="s">
        <v>802</v>
      </c>
      <c r="C53" s="1" t="s">
        <v>773</v>
      </c>
      <c r="D53" s="1" t="s">
        <v>21</v>
      </c>
      <c r="E53" s="1" t="s">
        <v>21</v>
      </c>
      <c r="F53" s="4">
        <v>45360</v>
      </c>
      <c r="G53" s="3" t="s">
        <v>21</v>
      </c>
      <c r="H53" s="3" t="s">
        <v>21</v>
      </c>
      <c r="I53" s="3" t="s">
        <v>21</v>
      </c>
      <c r="J53" s="3" t="s">
        <v>21</v>
      </c>
      <c r="K53" s="3" t="s">
        <v>21</v>
      </c>
      <c r="L53" s="1" t="s">
        <v>7</v>
      </c>
      <c r="M53" s="1" t="s">
        <v>7</v>
      </c>
      <c r="N53" s="1">
        <v>3</v>
      </c>
      <c r="O53" s="1">
        <v>3</v>
      </c>
      <c r="P53" s="1">
        <v>90</v>
      </c>
      <c r="Q53" s="1">
        <v>90</v>
      </c>
      <c r="R53" s="1">
        <v>57.4</v>
      </c>
      <c r="S53" s="1">
        <v>57.4</v>
      </c>
      <c r="T53" s="1" t="s">
        <v>21</v>
      </c>
      <c r="W53" s="1" t="s">
        <v>130</v>
      </c>
    </row>
    <row r="54" spans="1:24" x14ac:dyDescent="0.2">
      <c r="A54" s="1">
        <v>2</v>
      </c>
      <c r="B54" s="1" t="s">
        <v>802</v>
      </c>
      <c r="C54" s="1" t="s">
        <v>773</v>
      </c>
      <c r="D54" s="1">
        <v>1</v>
      </c>
      <c r="E54" s="1" t="s">
        <v>123</v>
      </c>
      <c r="F54" s="4">
        <v>45362</v>
      </c>
      <c r="G54" s="3">
        <f>I54+K54</f>
        <v>0.77228009259259256</v>
      </c>
      <c r="H54" s="3">
        <f>K54 + J54</f>
        <v>0.77763888888888888</v>
      </c>
      <c r="I54" s="3">
        <v>2.75E-2</v>
      </c>
      <c r="J54" s="3">
        <v>3.2858796296296296E-2</v>
      </c>
      <c r="K54" s="3">
        <v>0.74478009259259259</v>
      </c>
      <c r="L54" s="1" t="s">
        <v>8</v>
      </c>
      <c r="M54" s="1" t="s">
        <v>7</v>
      </c>
      <c r="N54" s="1">
        <v>3</v>
      </c>
      <c r="O54" s="1">
        <v>3</v>
      </c>
      <c r="P54" s="1">
        <v>90</v>
      </c>
      <c r="Q54" s="1">
        <v>90</v>
      </c>
      <c r="R54" s="1">
        <v>57.4</v>
      </c>
      <c r="S54" s="1">
        <v>38.4</v>
      </c>
      <c r="T54" s="1">
        <v>0</v>
      </c>
      <c r="W54" s="1" t="s">
        <v>124</v>
      </c>
    </row>
    <row r="55" spans="1:24" x14ac:dyDescent="0.2">
      <c r="A55" s="1">
        <v>2</v>
      </c>
      <c r="B55" s="1" t="s">
        <v>802</v>
      </c>
      <c r="C55" s="1" t="s">
        <v>773</v>
      </c>
      <c r="D55" s="1">
        <v>1</v>
      </c>
      <c r="E55" s="1" t="s">
        <v>105</v>
      </c>
      <c r="F55" s="4">
        <v>45362</v>
      </c>
      <c r="G55" s="3">
        <f>I55+K55</f>
        <v>0.26123842592592594</v>
      </c>
      <c r="H55" s="3">
        <f>K55 + J55</f>
        <v>0.27355324074074072</v>
      </c>
      <c r="I55" s="3">
        <v>2.9965277777777775E-2</v>
      </c>
      <c r="J55" s="3">
        <v>4.2280092592592591E-2</v>
      </c>
      <c r="K55" s="3">
        <v>0.23127314814814814</v>
      </c>
      <c r="L55" s="1" t="s">
        <v>8</v>
      </c>
      <c r="M55" s="1" t="s">
        <v>7</v>
      </c>
      <c r="N55" s="1">
        <v>3</v>
      </c>
      <c r="O55" s="1">
        <v>3</v>
      </c>
      <c r="P55" s="1">
        <v>90</v>
      </c>
      <c r="Q55" s="1">
        <v>90</v>
      </c>
      <c r="R55" s="1">
        <v>57.4</v>
      </c>
      <c r="S55" s="1">
        <v>115.17</v>
      </c>
      <c r="T55" s="1">
        <v>0</v>
      </c>
      <c r="W55" s="1" t="s">
        <v>133</v>
      </c>
    </row>
    <row r="56" spans="1:24" x14ac:dyDescent="0.2">
      <c r="A56" s="1">
        <v>2</v>
      </c>
      <c r="B56" s="1" t="s">
        <v>802</v>
      </c>
      <c r="C56" s="1" t="s">
        <v>773</v>
      </c>
      <c r="D56" s="1">
        <v>1</v>
      </c>
      <c r="E56" s="1" t="s">
        <v>113</v>
      </c>
      <c r="F56" s="4">
        <v>45363</v>
      </c>
      <c r="G56" s="3">
        <f>I56+K56</f>
        <v>0.76762731481481483</v>
      </c>
      <c r="H56" s="3">
        <f>K56 + J56</f>
        <v>0.77273148148148152</v>
      </c>
      <c r="I56" s="3">
        <v>2.3032407407407407E-3</v>
      </c>
      <c r="J56" s="3">
        <v>7.4074074074074068E-3</v>
      </c>
      <c r="K56" s="3">
        <v>0.7653240740740741</v>
      </c>
      <c r="L56" s="1" t="s">
        <v>8</v>
      </c>
      <c r="M56" s="1" t="s">
        <v>7</v>
      </c>
      <c r="N56" s="1">
        <v>3</v>
      </c>
      <c r="O56" s="1">
        <v>3</v>
      </c>
      <c r="P56" s="1">
        <v>90</v>
      </c>
      <c r="Q56" s="1">
        <v>90</v>
      </c>
      <c r="R56" s="1">
        <v>57.4</v>
      </c>
      <c r="S56" s="1">
        <v>115.17</v>
      </c>
      <c r="T56" s="1">
        <v>0</v>
      </c>
    </row>
    <row r="57" spans="1:24" x14ac:dyDescent="0.2">
      <c r="A57" s="1">
        <v>2</v>
      </c>
      <c r="B57" s="1" t="s">
        <v>802</v>
      </c>
      <c r="C57" s="1" t="s">
        <v>773</v>
      </c>
      <c r="D57" s="1">
        <v>1</v>
      </c>
      <c r="E57" s="1" t="s">
        <v>122</v>
      </c>
      <c r="F57" s="4">
        <v>45363</v>
      </c>
      <c r="G57" s="3">
        <f>I57+K57</f>
        <v>0.25883101851851853</v>
      </c>
      <c r="H57" s="3">
        <f>K57 + J57</f>
        <v>0.26667824074074076</v>
      </c>
      <c r="I57" s="3">
        <v>2.3402777777777783E-2</v>
      </c>
      <c r="J57" s="3">
        <v>3.125E-2</v>
      </c>
      <c r="K57" s="3">
        <v>0.23542824074074073</v>
      </c>
      <c r="L57" s="1" t="s">
        <v>7</v>
      </c>
      <c r="M57" s="1" t="s">
        <v>8</v>
      </c>
      <c r="N57" s="1">
        <v>3</v>
      </c>
      <c r="O57" s="1">
        <v>3</v>
      </c>
      <c r="P57" s="1">
        <v>90</v>
      </c>
      <c r="Q57" s="1">
        <v>90</v>
      </c>
      <c r="R57" s="1">
        <v>57.4</v>
      </c>
      <c r="S57" s="1">
        <v>38.4</v>
      </c>
      <c r="T57" s="1">
        <v>1</v>
      </c>
    </row>
    <row r="58" spans="1:24" s="7" customFormat="1" x14ac:dyDescent="0.2">
      <c r="A58" s="1">
        <v>2</v>
      </c>
      <c r="B58" s="1" t="s">
        <v>802</v>
      </c>
      <c r="C58" s="1" t="s">
        <v>773</v>
      </c>
      <c r="D58" s="1">
        <v>1</v>
      </c>
      <c r="E58" s="1" t="s">
        <v>136</v>
      </c>
      <c r="F58" s="4">
        <v>45364</v>
      </c>
      <c r="G58" s="3">
        <f>I58+K58</f>
        <v>0.7658449074074074</v>
      </c>
      <c r="H58" s="3">
        <f>K58 + J58</f>
        <v>0.77724537037037034</v>
      </c>
      <c r="I58" s="3">
        <v>1.7395833333333336E-2</v>
      </c>
      <c r="J58" s="3">
        <v>2.8796296296296296E-2</v>
      </c>
      <c r="K58" s="3">
        <v>0.74844907407407402</v>
      </c>
      <c r="L58" s="1" t="s">
        <v>8</v>
      </c>
      <c r="M58" s="1" t="s">
        <v>7</v>
      </c>
      <c r="N58" s="1">
        <v>3</v>
      </c>
      <c r="O58" s="1">
        <v>3</v>
      </c>
      <c r="P58" s="1">
        <v>90</v>
      </c>
      <c r="Q58" s="1">
        <v>90</v>
      </c>
      <c r="R58" s="1">
        <v>115.17</v>
      </c>
      <c r="S58" s="1">
        <v>115.17</v>
      </c>
      <c r="T58" s="1">
        <v>0</v>
      </c>
      <c r="U58" s="1"/>
      <c r="V58" s="1"/>
      <c r="W58" s="1"/>
      <c r="X58" s="1"/>
    </row>
    <row r="59" spans="1:24" x14ac:dyDescent="0.2">
      <c r="A59" s="1">
        <v>2</v>
      </c>
      <c r="B59" s="1" t="s">
        <v>802</v>
      </c>
      <c r="C59" s="1" t="s">
        <v>773</v>
      </c>
      <c r="D59" s="1">
        <v>1</v>
      </c>
      <c r="E59" s="1" t="s">
        <v>405</v>
      </c>
      <c r="F59" s="4">
        <v>45364</v>
      </c>
      <c r="G59" s="3">
        <f>I59+K59</f>
        <v>0.2530324074074074</v>
      </c>
      <c r="H59" s="3">
        <f>K59 + J59</f>
        <v>0.26287037037037037</v>
      </c>
      <c r="I59" s="3">
        <v>2.2407407407407407E-2</v>
      </c>
      <c r="J59" s="3">
        <v>3.2245370370370369E-2</v>
      </c>
      <c r="K59" s="3">
        <v>0.230625</v>
      </c>
      <c r="L59" s="1" t="s">
        <v>7</v>
      </c>
      <c r="M59" s="1" t="s">
        <v>8</v>
      </c>
      <c r="N59" s="1">
        <v>3</v>
      </c>
      <c r="O59" s="1">
        <v>3</v>
      </c>
      <c r="P59" s="1">
        <v>90</v>
      </c>
      <c r="Q59" s="1">
        <v>90</v>
      </c>
      <c r="R59" s="1">
        <v>115.17</v>
      </c>
      <c r="S59" s="1">
        <v>115.17</v>
      </c>
      <c r="T59" s="1">
        <v>1</v>
      </c>
    </row>
    <row r="60" spans="1:24" x14ac:dyDescent="0.2">
      <c r="A60" s="1">
        <v>2</v>
      </c>
      <c r="B60" s="1" t="s">
        <v>802</v>
      </c>
      <c r="C60" s="1" t="s">
        <v>773</v>
      </c>
      <c r="D60" s="1">
        <v>1</v>
      </c>
      <c r="E60" s="1" t="s">
        <v>134</v>
      </c>
      <c r="F60" s="4">
        <v>45365</v>
      </c>
      <c r="G60" s="3">
        <f>I60+K60</f>
        <v>0.76836805555555554</v>
      </c>
      <c r="H60" s="3">
        <f>K60 + J60</f>
        <v>0.78295138888888882</v>
      </c>
      <c r="I60" s="3">
        <v>1.6608796296296299E-2</v>
      </c>
      <c r="J60" s="3">
        <v>3.1192129629629629E-2</v>
      </c>
      <c r="K60" s="3">
        <v>0.75175925925925924</v>
      </c>
      <c r="L60" s="1" t="s">
        <v>8</v>
      </c>
      <c r="M60" s="1" t="s">
        <v>7</v>
      </c>
      <c r="N60" s="1">
        <v>3</v>
      </c>
      <c r="O60" s="1">
        <v>3</v>
      </c>
      <c r="P60" s="1">
        <v>90</v>
      </c>
      <c r="Q60" s="1">
        <v>90</v>
      </c>
      <c r="R60" s="1">
        <v>115.17</v>
      </c>
      <c r="S60" s="1">
        <v>115.17</v>
      </c>
      <c r="T60" s="1">
        <v>1</v>
      </c>
      <c r="W60" s="1" t="s">
        <v>406</v>
      </c>
    </row>
    <row r="61" spans="1:24" ht="19" customHeight="1" x14ac:dyDescent="0.2">
      <c r="A61" s="1">
        <v>2</v>
      </c>
      <c r="B61" s="1" t="s">
        <v>802</v>
      </c>
      <c r="C61" s="1" t="s">
        <v>773</v>
      </c>
      <c r="D61" s="1">
        <v>1</v>
      </c>
      <c r="E61" s="1" t="s">
        <v>129</v>
      </c>
      <c r="F61" s="4">
        <v>45365</v>
      </c>
      <c r="G61" s="3">
        <f>I61+K61</f>
        <v>0.25822916666666668</v>
      </c>
      <c r="H61" s="3">
        <f>K61 + J61</f>
        <v>0.26702546296296298</v>
      </c>
      <c r="I61" s="3">
        <v>3.1932870370370368E-2</v>
      </c>
      <c r="J61" s="3">
        <v>4.0729166666666664E-2</v>
      </c>
      <c r="K61" s="3">
        <v>0.2262962962962963</v>
      </c>
      <c r="L61" s="1" t="s">
        <v>7</v>
      </c>
      <c r="M61" s="1" t="s">
        <v>8</v>
      </c>
      <c r="N61" s="1">
        <v>3</v>
      </c>
      <c r="O61" s="1">
        <v>3</v>
      </c>
      <c r="P61" s="1">
        <v>90</v>
      </c>
      <c r="Q61" s="1">
        <v>90</v>
      </c>
      <c r="R61" s="1">
        <v>115.17</v>
      </c>
      <c r="S61" s="1">
        <v>115.17</v>
      </c>
      <c r="T61" s="1">
        <v>0</v>
      </c>
      <c r="W61" s="1" t="s">
        <v>135</v>
      </c>
    </row>
    <row r="62" spans="1:24" s="7" customFormat="1" x14ac:dyDescent="0.2">
      <c r="A62" s="1">
        <v>2</v>
      </c>
      <c r="B62" s="1" t="s">
        <v>802</v>
      </c>
      <c r="C62" s="1" t="s">
        <v>773</v>
      </c>
      <c r="D62" s="1">
        <v>1</v>
      </c>
      <c r="E62" s="1" t="s">
        <v>128</v>
      </c>
      <c r="F62" s="4">
        <v>45366</v>
      </c>
      <c r="G62" s="3">
        <f>I62+K62</f>
        <v>0.25409722222222225</v>
      </c>
      <c r="H62" s="3">
        <f>K62 + J62</f>
        <v>0.26596064814814813</v>
      </c>
      <c r="I62" s="3">
        <v>2.6944444444444444E-2</v>
      </c>
      <c r="J62" s="3">
        <v>3.8807870370370368E-2</v>
      </c>
      <c r="K62" s="3">
        <v>0.22715277777777779</v>
      </c>
      <c r="L62" s="1" t="s">
        <v>7</v>
      </c>
      <c r="M62" s="1" t="s">
        <v>8</v>
      </c>
      <c r="N62" s="1">
        <v>3</v>
      </c>
      <c r="O62" s="1">
        <v>3</v>
      </c>
      <c r="P62" s="1">
        <v>90</v>
      </c>
      <c r="Q62" s="1">
        <v>90</v>
      </c>
      <c r="R62" s="1">
        <v>115.17</v>
      </c>
      <c r="S62" s="1">
        <v>115.17</v>
      </c>
      <c r="T62" s="1">
        <v>1</v>
      </c>
      <c r="U62" s="1"/>
      <c r="V62" s="1"/>
      <c r="W62" s="1"/>
      <c r="X62" s="1"/>
    </row>
    <row r="63" spans="1:24" s="7" customFormat="1" x14ac:dyDescent="0.2">
      <c r="A63" s="1">
        <v>2</v>
      </c>
      <c r="B63" s="1" t="s">
        <v>802</v>
      </c>
      <c r="C63" s="1" t="s">
        <v>773</v>
      </c>
      <c r="D63" s="1">
        <v>1</v>
      </c>
      <c r="E63" s="1" t="s">
        <v>126</v>
      </c>
      <c r="F63" s="4">
        <v>45366</v>
      </c>
      <c r="G63" s="3">
        <f>I63+K63</f>
        <v>0.76741898148148147</v>
      </c>
      <c r="H63" s="3">
        <f>K63 + J63</f>
        <v>0.78123842592592596</v>
      </c>
      <c r="I63" s="3">
        <v>9.7569444444444448E-3</v>
      </c>
      <c r="J63" s="3">
        <v>2.357638888888889E-2</v>
      </c>
      <c r="K63" s="3">
        <v>0.75766203703703705</v>
      </c>
      <c r="L63" s="1" t="s">
        <v>8</v>
      </c>
      <c r="M63" s="1" t="s">
        <v>7</v>
      </c>
      <c r="N63" s="1">
        <v>3</v>
      </c>
      <c r="O63" s="1">
        <v>3</v>
      </c>
      <c r="P63" s="1">
        <v>90</v>
      </c>
      <c r="Q63" s="1">
        <v>90</v>
      </c>
      <c r="R63" s="1">
        <v>115.17</v>
      </c>
      <c r="S63" s="1">
        <v>115.17</v>
      </c>
      <c r="T63" s="1">
        <v>0</v>
      </c>
      <c r="U63" s="1"/>
      <c r="V63" s="1"/>
      <c r="W63" s="1" t="s">
        <v>147</v>
      </c>
      <c r="X63" s="1"/>
    </row>
    <row r="64" spans="1:24" x14ac:dyDescent="0.2">
      <c r="A64" s="1">
        <v>2</v>
      </c>
      <c r="B64" s="1" t="s">
        <v>802</v>
      </c>
      <c r="C64" s="1" t="s">
        <v>773</v>
      </c>
      <c r="D64" s="1">
        <v>1</v>
      </c>
      <c r="E64" s="1" t="s">
        <v>144</v>
      </c>
      <c r="F64" s="4">
        <v>45367</v>
      </c>
      <c r="G64" s="3">
        <f>I64+K64</f>
        <v>0.25164351851851852</v>
      </c>
      <c r="H64" s="3">
        <f>K64 + J64</f>
        <v>0.26401620370370371</v>
      </c>
      <c r="I64" s="3">
        <v>5.6134259259259262E-3</v>
      </c>
      <c r="J64" s="3">
        <v>1.7986111111111112E-2</v>
      </c>
      <c r="K64" s="3">
        <v>0.24603009259259259</v>
      </c>
      <c r="L64" s="1" t="s">
        <v>7</v>
      </c>
      <c r="M64" s="1" t="s">
        <v>8</v>
      </c>
      <c r="N64" s="1">
        <v>3</v>
      </c>
      <c r="O64" s="1">
        <v>3</v>
      </c>
      <c r="P64" s="1">
        <v>90</v>
      </c>
      <c r="Q64" s="1">
        <v>90</v>
      </c>
      <c r="R64" s="1">
        <v>115.17</v>
      </c>
      <c r="S64" s="1">
        <v>115.17</v>
      </c>
      <c r="T64" s="1">
        <v>1</v>
      </c>
    </row>
    <row r="65" spans="1:24" x14ac:dyDescent="0.2">
      <c r="A65" s="1">
        <v>2</v>
      </c>
      <c r="B65" s="1" t="s">
        <v>802</v>
      </c>
      <c r="C65" s="1" t="s">
        <v>773</v>
      </c>
      <c r="D65" s="1">
        <v>1</v>
      </c>
      <c r="E65" s="1" t="s">
        <v>141</v>
      </c>
      <c r="F65" s="4">
        <v>45367</v>
      </c>
      <c r="G65" s="1" t="s">
        <v>21</v>
      </c>
      <c r="H65" s="3">
        <f>K65 + J65</f>
        <v>0.78548611111111111</v>
      </c>
      <c r="I65" s="1" t="s">
        <v>21</v>
      </c>
      <c r="J65" s="3">
        <v>3.394675925925926E-2</v>
      </c>
      <c r="K65" s="3">
        <v>0.75153935185185183</v>
      </c>
      <c r="L65" s="1" t="s">
        <v>8</v>
      </c>
      <c r="M65" s="1" t="s">
        <v>7</v>
      </c>
      <c r="N65" s="1">
        <v>3</v>
      </c>
      <c r="O65" s="1">
        <v>3</v>
      </c>
      <c r="P65" s="1">
        <v>90</v>
      </c>
      <c r="Q65" s="1">
        <v>90</v>
      </c>
      <c r="R65" s="1">
        <v>115.17</v>
      </c>
      <c r="S65" s="1">
        <v>115.17</v>
      </c>
      <c r="T65" s="1">
        <v>0</v>
      </c>
      <c r="W65" s="1" t="s">
        <v>619</v>
      </c>
    </row>
    <row r="66" spans="1:24" x14ac:dyDescent="0.2">
      <c r="A66" s="1">
        <v>2</v>
      </c>
      <c r="B66" s="1" t="s">
        <v>802</v>
      </c>
      <c r="C66" s="1" t="s">
        <v>773</v>
      </c>
      <c r="D66" s="1">
        <v>1</v>
      </c>
      <c r="E66" s="1" t="s">
        <v>139</v>
      </c>
      <c r="F66" s="4">
        <v>45368</v>
      </c>
      <c r="G66" s="3">
        <f>I66+K66</f>
        <v>0.25063657407407408</v>
      </c>
      <c r="H66" s="3">
        <f>K66 + J66</f>
        <v>0.2610763888888889</v>
      </c>
      <c r="I66" s="3">
        <v>1.7083333333333332E-2</v>
      </c>
      <c r="J66" s="3">
        <v>2.7523148148148147E-2</v>
      </c>
      <c r="K66" s="3">
        <v>0.23355324074074074</v>
      </c>
      <c r="L66" s="1" t="s">
        <v>7</v>
      </c>
      <c r="M66" s="1" t="s">
        <v>8</v>
      </c>
      <c r="N66" s="1">
        <v>3</v>
      </c>
      <c r="O66" s="1">
        <v>2</v>
      </c>
      <c r="P66" s="1">
        <v>90</v>
      </c>
      <c r="Q66" s="1">
        <v>90</v>
      </c>
      <c r="R66" s="1">
        <v>115.17</v>
      </c>
      <c r="S66" s="1">
        <v>38.4</v>
      </c>
      <c r="T66" s="1">
        <v>1</v>
      </c>
    </row>
    <row r="67" spans="1:24" x14ac:dyDescent="0.2">
      <c r="A67" s="1">
        <v>2</v>
      </c>
      <c r="B67" s="1" t="s">
        <v>802</v>
      </c>
      <c r="C67" s="1" t="s">
        <v>773</v>
      </c>
      <c r="D67" s="1">
        <v>2</v>
      </c>
      <c r="E67" s="1" t="s">
        <v>139</v>
      </c>
      <c r="F67" s="4">
        <v>45368</v>
      </c>
      <c r="G67" s="3">
        <f>I67+K67</f>
        <v>0.26203703703703701</v>
      </c>
      <c r="H67" s="3">
        <f>K67 + J67</f>
        <v>0.26609953703703704</v>
      </c>
      <c r="I67" s="3">
        <v>2.8483796296296295E-2</v>
      </c>
      <c r="J67" s="3">
        <v>3.2546296296296295E-2</v>
      </c>
      <c r="K67" s="3">
        <v>0.23355324074074074</v>
      </c>
      <c r="L67" s="1" t="s">
        <v>8</v>
      </c>
      <c r="M67" s="1" t="s">
        <v>8</v>
      </c>
      <c r="N67" s="1">
        <v>2</v>
      </c>
      <c r="O67" s="1">
        <v>2</v>
      </c>
      <c r="P67" s="1">
        <v>90</v>
      </c>
      <c r="Q67" s="1">
        <v>90</v>
      </c>
      <c r="R67" s="1">
        <v>38.4</v>
      </c>
      <c r="S67" s="1">
        <v>38.4</v>
      </c>
      <c r="T67" s="1">
        <v>1</v>
      </c>
      <c r="W67" s="1" t="s">
        <v>189</v>
      </c>
    </row>
    <row r="68" spans="1:24" x14ac:dyDescent="0.2">
      <c r="A68" s="1">
        <v>2</v>
      </c>
      <c r="B68" s="1" t="s">
        <v>802</v>
      </c>
      <c r="C68" s="1" t="s">
        <v>773</v>
      </c>
      <c r="D68" s="1">
        <v>1</v>
      </c>
      <c r="E68" s="1" t="s">
        <v>145</v>
      </c>
      <c r="F68" s="4">
        <v>45368</v>
      </c>
      <c r="G68" s="1" t="s">
        <v>21</v>
      </c>
      <c r="H68" s="3">
        <v>0.77284722222222224</v>
      </c>
      <c r="I68" s="3">
        <v>2.060185185185185E-2</v>
      </c>
      <c r="J68" s="3">
        <v>2.5810185185185186E-2</v>
      </c>
      <c r="K68" s="1" t="s">
        <v>21</v>
      </c>
      <c r="L68" s="1" t="s">
        <v>8</v>
      </c>
      <c r="M68" s="1" t="s">
        <v>8</v>
      </c>
      <c r="N68" s="1">
        <v>3</v>
      </c>
      <c r="O68" s="1">
        <v>3</v>
      </c>
      <c r="P68" s="1">
        <v>90</v>
      </c>
      <c r="Q68" s="1">
        <v>90</v>
      </c>
      <c r="R68" s="1">
        <v>115.17</v>
      </c>
      <c r="S68" s="1">
        <v>115.17</v>
      </c>
      <c r="T68" s="1">
        <v>1</v>
      </c>
      <c r="W68" s="1" t="s">
        <v>210</v>
      </c>
    </row>
    <row r="69" spans="1:24" x14ac:dyDescent="0.2">
      <c r="A69" s="1">
        <v>2</v>
      </c>
      <c r="B69" s="1" t="s">
        <v>802</v>
      </c>
      <c r="C69" s="1" t="s">
        <v>773</v>
      </c>
      <c r="D69" s="1">
        <v>2</v>
      </c>
      <c r="E69" s="1" t="s">
        <v>145</v>
      </c>
      <c r="F69" s="4">
        <v>45368</v>
      </c>
      <c r="G69" s="1" t="s">
        <v>21</v>
      </c>
      <c r="H69" s="3">
        <v>0.78359953703703711</v>
      </c>
      <c r="I69" s="1" t="s">
        <v>21</v>
      </c>
      <c r="J69" s="3">
        <v>3.6539351851851851E-2</v>
      </c>
      <c r="K69" s="1" t="s">
        <v>21</v>
      </c>
      <c r="L69" s="1" t="s">
        <v>21</v>
      </c>
      <c r="M69" s="1" t="s">
        <v>7</v>
      </c>
      <c r="N69" s="1" t="s">
        <v>21</v>
      </c>
      <c r="O69" s="1">
        <v>2</v>
      </c>
      <c r="P69" s="1">
        <v>90</v>
      </c>
      <c r="Q69" s="1">
        <v>90</v>
      </c>
      <c r="R69" s="1" t="s">
        <v>21</v>
      </c>
      <c r="S69" s="1">
        <v>38.4</v>
      </c>
      <c r="T69" s="1">
        <v>0</v>
      </c>
      <c r="W69" s="1" t="s">
        <v>211</v>
      </c>
    </row>
    <row r="70" spans="1:24" x14ac:dyDescent="0.2">
      <c r="A70" s="1">
        <v>2</v>
      </c>
      <c r="B70" s="1" t="s">
        <v>802</v>
      </c>
      <c r="C70" s="1" t="s">
        <v>773</v>
      </c>
      <c r="D70" s="1" t="s">
        <v>21</v>
      </c>
      <c r="E70" s="1" t="s">
        <v>165</v>
      </c>
      <c r="F70" s="4">
        <v>45369</v>
      </c>
      <c r="G70" s="1" t="s">
        <v>21</v>
      </c>
      <c r="H70" s="1" t="s">
        <v>21</v>
      </c>
      <c r="I70" s="1" t="s">
        <v>21</v>
      </c>
      <c r="J70" s="1" t="s">
        <v>21</v>
      </c>
      <c r="K70" s="3">
        <v>0.7603240740740741</v>
      </c>
      <c r="L70" s="1" t="s">
        <v>7</v>
      </c>
      <c r="M70" s="1" t="s">
        <v>7</v>
      </c>
      <c r="N70" s="1">
        <v>3</v>
      </c>
      <c r="O70" s="1">
        <v>3</v>
      </c>
      <c r="P70" s="1">
        <v>90</v>
      </c>
      <c r="Q70" s="1">
        <v>90</v>
      </c>
      <c r="R70" s="1">
        <v>115.17</v>
      </c>
      <c r="S70" s="1">
        <v>115.17</v>
      </c>
      <c r="T70" s="1" t="s">
        <v>21</v>
      </c>
      <c r="W70" s="1" t="s">
        <v>338</v>
      </c>
    </row>
    <row r="71" spans="1:24" x14ac:dyDescent="0.2">
      <c r="A71" s="1">
        <v>2</v>
      </c>
      <c r="B71" s="1" t="s">
        <v>802</v>
      </c>
      <c r="C71" s="1" t="s">
        <v>773</v>
      </c>
      <c r="D71" s="1">
        <v>1</v>
      </c>
      <c r="E71" s="1" t="s">
        <v>150</v>
      </c>
      <c r="F71" s="4">
        <v>45369</v>
      </c>
      <c r="G71" s="3">
        <f>I71+K71</f>
        <v>0.23690972222222223</v>
      </c>
      <c r="H71" s="3">
        <f>K71 + J71</f>
        <v>0.25927083333333334</v>
      </c>
      <c r="I71" s="3">
        <v>5.7754629629629631E-3</v>
      </c>
      <c r="J71" s="3">
        <v>2.8136574074074074E-2</v>
      </c>
      <c r="K71" s="3">
        <v>0.23113425925925926</v>
      </c>
      <c r="L71" s="1" t="s">
        <v>7</v>
      </c>
      <c r="M71" s="1" t="s">
        <v>8</v>
      </c>
      <c r="N71" s="1">
        <v>3</v>
      </c>
      <c r="O71" s="1">
        <v>3</v>
      </c>
      <c r="P71" s="1">
        <v>90</v>
      </c>
      <c r="Q71" s="1">
        <v>90</v>
      </c>
      <c r="R71" s="1">
        <v>115.17</v>
      </c>
      <c r="S71" s="1">
        <v>115.17</v>
      </c>
      <c r="T71" s="1">
        <v>1</v>
      </c>
      <c r="W71" s="1" t="s">
        <v>167</v>
      </c>
    </row>
    <row r="72" spans="1:24" x14ac:dyDescent="0.2">
      <c r="A72" s="1">
        <v>2</v>
      </c>
      <c r="B72" s="1" t="s">
        <v>802</v>
      </c>
      <c r="C72" s="1" t="s">
        <v>773</v>
      </c>
      <c r="D72" s="1">
        <v>1</v>
      </c>
      <c r="E72" s="1" t="s">
        <v>155</v>
      </c>
      <c r="F72" s="4">
        <v>45370</v>
      </c>
      <c r="G72" s="3">
        <f>I72+K72</f>
        <v>0.25244212962962964</v>
      </c>
      <c r="H72" s="3">
        <f>K72 + J72</f>
        <v>0.2697222222222222</v>
      </c>
      <c r="I72" s="3">
        <v>2.8761574074074075E-2</v>
      </c>
      <c r="J72" s="3">
        <v>4.6041666666666668E-2</v>
      </c>
      <c r="K72" s="3">
        <v>0.22368055555555555</v>
      </c>
      <c r="L72" s="1" t="s">
        <v>7</v>
      </c>
      <c r="M72" s="1" t="s">
        <v>8</v>
      </c>
      <c r="N72" s="1">
        <v>3</v>
      </c>
      <c r="O72" s="1">
        <v>3</v>
      </c>
      <c r="P72" s="1">
        <v>90</v>
      </c>
      <c r="Q72" s="1">
        <v>90</v>
      </c>
      <c r="R72" s="1">
        <v>115.17</v>
      </c>
      <c r="S72" s="1">
        <v>57.4</v>
      </c>
      <c r="T72" s="1">
        <v>1</v>
      </c>
      <c r="W72" s="1" t="s">
        <v>164</v>
      </c>
    </row>
    <row r="73" spans="1:24" x14ac:dyDescent="0.2">
      <c r="A73" s="1">
        <v>2</v>
      </c>
      <c r="B73" s="1" t="s">
        <v>802</v>
      </c>
      <c r="C73" s="1" t="s">
        <v>773</v>
      </c>
      <c r="D73" s="1">
        <v>1</v>
      </c>
      <c r="E73" s="1" t="s">
        <v>161</v>
      </c>
      <c r="F73" s="4">
        <v>45370</v>
      </c>
      <c r="G73" s="1" t="s">
        <v>21</v>
      </c>
      <c r="H73" s="3">
        <f>K73 + J73</f>
        <v>0.77118055555555554</v>
      </c>
      <c r="I73" s="1" t="s">
        <v>21</v>
      </c>
      <c r="J73" s="3">
        <v>1.0960648148148148E-2</v>
      </c>
      <c r="K73" s="3">
        <v>0.76021990740740741</v>
      </c>
      <c r="L73" s="1" t="s">
        <v>8</v>
      </c>
      <c r="M73" s="1" t="s">
        <v>7</v>
      </c>
      <c r="N73" s="1">
        <v>3</v>
      </c>
      <c r="O73" s="1">
        <v>3</v>
      </c>
      <c r="P73" s="1">
        <v>90</v>
      </c>
      <c r="Q73" s="1">
        <v>90</v>
      </c>
      <c r="R73" s="1">
        <v>115.17</v>
      </c>
      <c r="S73" s="1">
        <v>57.4</v>
      </c>
      <c r="T73" s="1">
        <v>0</v>
      </c>
      <c r="W73" s="1" t="s">
        <v>162</v>
      </c>
    </row>
    <row r="74" spans="1:24" x14ac:dyDescent="0.2">
      <c r="A74" s="1">
        <v>2</v>
      </c>
      <c r="B74" s="1" t="s">
        <v>802</v>
      </c>
      <c r="C74" s="1" t="s">
        <v>773</v>
      </c>
      <c r="D74" s="1">
        <v>2</v>
      </c>
      <c r="E74" s="1" t="s">
        <v>161</v>
      </c>
      <c r="F74" s="4">
        <v>45370</v>
      </c>
      <c r="G74" s="3">
        <f>$K74 + $I74</f>
        <v>0.77386574074074077</v>
      </c>
      <c r="H74" s="3">
        <f>K73 + J74</f>
        <v>0.78053240740740737</v>
      </c>
      <c r="I74" s="3">
        <v>1.3645833333333333E-2</v>
      </c>
      <c r="J74" s="3">
        <v>2.0312500000000001E-2</v>
      </c>
      <c r="K74" s="3">
        <v>0.76021990740740741</v>
      </c>
      <c r="L74" s="1" t="s">
        <v>7</v>
      </c>
      <c r="M74" s="1" t="s">
        <v>7</v>
      </c>
      <c r="N74" s="1">
        <v>3</v>
      </c>
      <c r="O74" s="1">
        <v>3</v>
      </c>
      <c r="P74" s="1">
        <v>90</v>
      </c>
      <c r="Q74" s="1">
        <v>90</v>
      </c>
      <c r="R74" s="1">
        <v>57.4</v>
      </c>
      <c r="S74" s="1">
        <v>57.4</v>
      </c>
      <c r="T74" s="1">
        <v>0</v>
      </c>
      <c r="W74" s="1" t="s">
        <v>186</v>
      </c>
    </row>
    <row r="75" spans="1:24" x14ac:dyDescent="0.2">
      <c r="A75" s="1">
        <v>2</v>
      </c>
      <c r="B75" s="1" t="s">
        <v>802</v>
      </c>
      <c r="C75" s="1" t="s">
        <v>773</v>
      </c>
      <c r="D75" s="1" t="s">
        <v>21</v>
      </c>
      <c r="E75" s="1" t="s">
        <v>21</v>
      </c>
      <c r="F75" s="4">
        <v>45371</v>
      </c>
      <c r="G75" s="1" t="s">
        <v>21</v>
      </c>
      <c r="H75" s="1" t="s">
        <v>21</v>
      </c>
      <c r="I75" s="1" t="s">
        <v>21</v>
      </c>
      <c r="J75" s="1" t="s">
        <v>21</v>
      </c>
      <c r="K75" s="1" t="s">
        <v>21</v>
      </c>
      <c r="L75" s="1" t="s">
        <v>7</v>
      </c>
      <c r="M75" s="1" t="s">
        <v>7</v>
      </c>
      <c r="N75" s="1">
        <v>3</v>
      </c>
      <c r="O75" s="1">
        <v>3</v>
      </c>
      <c r="P75" s="1">
        <v>90</v>
      </c>
      <c r="Q75" s="1">
        <v>90</v>
      </c>
      <c r="T75" s="1" t="s">
        <v>21</v>
      </c>
      <c r="W75" s="1" t="s">
        <v>194</v>
      </c>
    </row>
    <row r="76" spans="1:24" s="7" customFormat="1" x14ac:dyDescent="0.2">
      <c r="A76" s="1">
        <v>2</v>
      </c>
      <c r="B76" s="1" t="s">
        <v>802</v>
      </c>
      <c r="C76" s="1" t="s">
        <v>773</v>
      </c>
      <c r="D76" s="1" t="s">
        <v>21</v>
      </c>
      <c r="E76" s="1" t="s">
        <v>21</v>
      </c>
      <c r="F76" s="4">
        <v>45371</v>
      </c>
      <c r="G76" s="1" t="s">
        <v>21</v>
      </c>
      <c r="H76" s="1" t="s">
        <v>21</v>
      </c>
      <c r="I76" s="1" t="s">
        <v>21</v>
      </c>
      <c r="J76" s="1" t="s">
        <v>21</v>
      </c>
      <c r="K76" s="1" t="s">
        <v>21</v>
      </c>
      <c r="L76" s="1" t="s">
        <v>7</v>
      </c>
      <c r="M76" s="1" t="s">
        <v>7</v>
      </c>
      <c r="N76" s="1">
        <v>3</v>
      </c>
      <c r="O76" s="1">
        <v>3</v>
      </c>
      <c r="P76" s="1">
        <v>90</v>
      </c>
      <c r="Q76" s="1">
        <v>90</v>
      </c>
      <c r="R76" s="1"/>
      <c r="S76" s="1"/>
      <c r="T76" s="1" t="s">
        <v>21</v>
      </c>
      <c r="U76" s="1"/>
      <c r="V76" s="1"/>
      <c r="W76" s="1" t="s">
        <v>197</v>
      </c>
      <c r="X76" s="1"/>
    </row>
    <row r="77" spans="1:24" s="7" customFormat="1" x14ac:dyDescent="0.2">
      <c r="A77" s="1">
        <v>2</v>
      </c>
      <c r="B77" s="1" t="s">
        <v>802</v>
      </c>
      <c r="C77" t="s">
        <v>773</v>
      </c>
      <c r="D77" s="1">
        <v>1</v>
      </c>
      <c r="E77" s="1" t="s">
        <v>230</v>
      </c>
      <c r="F77" s="4">
        <v>45375</v>
      </c>
      <c r="G77" s="3">
        <f>$K77 + $I77</f>
        <v>0.24465277777777777</v>
      </c>
      <c r="H77" s="3">
        <f>K77+J77</f>
        <v>0.25738425925925923</v>
      </c>
      <c r="I77" s="3">
        <v>7.3842592592592597E-3</v>
      </c>
      <c r="J77" s="3">
        <v>2.011574074074074E-2</v>
      </c>
      <c r="K77" s="3">
        <v>0.23726851851851852</v>
      </c>
      <c r="L77" s="1" t="s">
        <v>7</v>
      </c>
      <c r="M77" s="1" t="s">
        <v>8</v>
      </c>
      <c r="N77" s="1">
        <v>3</v>
      </c>
      <c r="O77" s="1">
        <v>3</v>
      </c>
      <c r="P77" s="1">
        <v>90</v>
      </c>
      <c r="Q77" s="1">
        <v>90</v>
      </c>
      <c r="R77" s="1">
        <v>115.17</v>
      </c>
      <c r="S77" s="1">
        <v>115.17</v>
      </c>
      <c r="T77" s="1">
        <v>0</v>
      </c>
      <c r="U77" s="1"/>
      <c r="V77" s="1"/>
      <c r="W77" s="1" t="s">
        <v>231</v>
      </c>
      <c r="X77" s="1"/>
    </row>
    <row r="78" spans="1:24" s="7" customFormat="1" x14ac:dyDescent="0.2">
      <c r="A78" s="1">
        <v>2</v>
      </c>
      <c r="B78" s="1" t="s">
        <v>802</v>
      </c>
      <c r="C78" t="s">
        <v>773</v>
      </c>
      <c r="D78" s="1">
        <v>2</v>
      </c>
      <c r="E78" s="1" t="s">
        <v>230</v>
      </c>
      <c r="F78" s="4">
        <v>45375</v>
      </c>
      <c r="G78" s="3">
        <f>$K78 + $I78</f>
        <v>0.25905092592592593</v>
      </c>
      <c r="H78" s="3">
        <f>K78+J78</f>
        <v>0.26746527777777779</v>
      </c>
      <c r="I78" s="3">
        <v>2.1782407407407407E-2</v>
      </c>
      <c r="J78" s="3">
        <v>3.019675925925926E-2</v>
      </c>
      <c r="K78" s="3">
        <v>0.23726851851851852</v>
      </c>
      <c r="L78" s="1" t="s">
        <v>8</v>
      </c>
      <c r="M78" s="1" t="s">
        <v>8</v>
      </c>
      <c r="N78" s="1">
        <v>3</v>
      </c>
      <c r="O78" s="1">
        <v>3</v>
      </c>
      <c r="P78" s="1">
        <v>90</v>
      </c>
      <c r="Q78" s="1">
        <v>90</v>
      </c>
      <c r="R78" s="1">
        <v>115.17</v>
      </c>
      <c r="S78" s="1">
        <v>115.17</v>
      </c>
      <c r="T78" s="1">
        <v>0</v>
      </c>
      <c r="U78" s="1"/>
      <c r="V78" s="1"/>
      <c r="W78" s="1"/>
      <c r="X78" s="1"/>
    </row>
    <row r="79" spans="1:24" x14ac:dyDescent="0.2">
      <c r="A79" s="1">
        <v>2</v>
      </c>
      <c r="B79" s="1" t="s">
        <v>802</v>
      </c>
      <c r="C79" t="s">
        <v>773</v>
      </c>
      <c r="D79" s="1">
        <v>1</v>
      </c>
      <c r="E79" s="1" t="s">
        <v>232</v>
      </c>
      <c r="F79" s="4">
        <v>45375</v>
      </c>
      <c r="G79" s="3">
        <f>$K79 + $I79</f>
        <v>0.76400462962962956</v>
      </c>
      <c r="H79" s="3">
        <f>K79+J79</f>
        <v>0.77380787037037035</v>
      </c>
      <c r="I79" s="3">
        <v>1.6006944444444445E-2</v>
      </c>
      <c r="J79" s="3">
        <v>2.5810185185185186E-2</v>
      </c>
      <c r="K79" s="3">
        <v>0.74799768518518517</v>
      </c>
      <c r="L79" s="1" t="s">
        <v>8</v>
      </c>
      <c r="M79" s="1" t="s">
        <v>7</v>
      </c>
      <c r="N79" s="1">
        <v>3</v>
      </c>
      <c r="O79" s="1">
        <v>3</v>
      </c>
      <c r="P79" s="1">
        <v>90</v>
      </c>
      <c r="Q79" s="1">
        <v>90</v>
      </c>
      <c r="R79" s="1">
        <v>115.17</v>
      </c>
      <c r="S79" s="1">
        <v>57.4</v>
      </c>
      <c r="T79" s="1">
        <v>1</v>
      </c>
      <c r="W79" s="1" t="s">
        <v>233</v>
      </c>
    </row>
    <row r="80" spans="1:24" x14ac:dyDescent="0.2">
      <c r="A80" s="1">
        <v>2</v>
      </c>
      <c r="B80" s="1" t="s">
        <v>802</v>
      </c>
      <c r="C80" t="s">
        <v>773</v>
      </c>
      <c r="D80" s="1">
        <v>1</v>
      </c>
      <c r="E80" s="1" t="s">
        <v>216</v>
      </c>
      <c r="F80" s="4">
        <v>45376</v>
      </c>
      <c r="G80" s="3">
        <f>$K80 + $I80</f>
        <v>0.25381944444444443</v>
      </c>
      <c r="H80" s="3" t="s">
        <v>21</v>
      </c>
      <c r="I80" s="3">
        <v>1.4606481481481481E-2</v>
      </c>
      <c r="J80" s="3" t="s">
        <v>21</v>
      </c>
      <c r="K80" s="3">
        <v>0.23921296296296296</v>
      </c>
      <c r="L80" s="1" t="s">
        <v>7</v>
      </c>
      <c r="M80" s="1" t="s">
        <v>7</v>
      </c>
      <c r="N80" s="1">
        <v>3</v>
      </c>
      <c r="O80" s="1">
        <v>3</v>
      </c>
      <c r="P80" s="1">
        <v>90</v>
      </c>
      <c r="Q80" s="1">
        <v>90</v>
      </c>
      <c r="R80" s="1">
        <v>115.17</v>
      </c>
      <c r="S80" s="1">
        <v>115.17</v>
      </c>
      <c r="T80" s="1" t="s">
        <v>21</v>
      </c>
      <c r="W80" s="1" t="s">
        <v>234</v>
      </c>
    </row>
    <row r="81" spans="1:23" x14ac:dyDescent="0.2">
      <c r="A81" s="1">
        <v>2</v>
      </c>
      <c r="B81" s="1" t="s">
        <v>802</v>
      </c>
      <c r="C81" t="s">
        <v>773</v>
      </c>
      <c r="D81" s="1">
        <v>1</v>
      </c>
      <c r="E81" s="1" t="s">
        <v>257</v>
      </c>
      <c r="F81" s="4">
        <v>45376</v>
      </c>
      <c r="G81" s="3">
        <f>$K81 + $I81</f>
        <v>0.77129629629629626</v>
      </c>
      <c r="H81" s="3">
        <f>K81+J81</f>
        <v>0.77660879629629631</v>
      </c>
      <c r="I81" s="3">
        <v>1.982638888888889E-2</v>
      </c>
      <c r="J81" s="3">
        <v>2.5138888888888888E-2</v>
      </c>
      <c r="K81" s="3">
        <v>0.75146990740740738</v>
      </c>
      <c r="L81" s="1" t="s">
        <v>7</v>
      </c>
      <c r="M81" s="1" t="s">
        <v>8</v>
      </c>
      <c r="N81" s="1">
        <v>3</v>
      </c>
      <c r="O81" s="1">
        <v>3</v>
      </c>
      <c r="P81" s="1">
        <v>90</v>
      </c>
      <c r="Q81" s="1">
        <v>90</v>
      </c>
      <c r="R81" s="1">
        <v>115.17</v>
      </c>
      <c r="S81" s="1">
        <v>38.4</v>
      </c>
      <c r="T81" s="1">
        <v>0</v>
      </c>
      <c r="W81" s="1" t="s">
        <v>240</v>
      </c>
    </row>
    <row r="82" spans="1:23" x14ac:dyDescent="0.2">
      <c r="A82" s="1">
        <v>2</v>
      </c>
      <c r="B82" s="1" t="s">
        <v>802</v>
      </c>
      <c r="C82" t="s">
        <v>773</v>
      </c>
      <c r="D82" s="1">
        <v>1</v>
      </c>
      <c r="E82" s="1" t="s">
        <v>219</v>
      </c>
      <c r="F82" s="4">
        <v>45377</v>
      </c>
      <c r="G82" s="3">
        <f>$K82 + $I82</f>
        <v>0.24853009259259259</v>
      </c>
      <c r="H82" s="3">
        <f>K82+J82</f>
        <v>0.25671296296296298</v>
      </c>
      <c r="I82" s="3">
        <v>5.0578703703703706E-3</v>
      </c>
      <c r="J82" s="3">
        <v>1.324074074074074E-2</v>
      </c>
      <c r="K82" s="3">
        <v>0.24347222222222223</v>
      </c>
      <c r="L82" s="1" t="s">
        <v>8</v>
      </c>
      <c r="M82" s="1" t="s">
        <v>7</v>
      </c>
      <c r="N82" s="1">
        <v>3</v>
      </c>
      <c r="O82" s="1">
        <v>3</v>
      </c>
      <c r="P82" s="1">
        <v>90</v>
      </c>
      <c r="Q82" s="1">
        <v>90</v>
      </c>
      <c r="R82" s="1">
        <v>115.17</v>
      </c>
      <c r="S82" s="1">
        <v>115.17</v>
      </c>
      <c r="T82" s="1">
        <v>0</v>
      </c>
    </row>
    <row r="83" spans="1:23" x14ac:dyDescent="0.2">
      <c r="A83" s="1">
        <v>2</v>
      </c>
      <c r="B83" s="1" t="s">
        <v>802</v>
      </c>
      <c r="C83" t="s">
        <v>773</v>
      </c>
      <c r="D83" s="1" t="s">
        <v>21</v>
      </c>
      <c r="E83" s="1" t="s">
        <v>21</v>
      </c>
      <c r="F83" s="4">
        <v>45377</v>
      </c>
      <c r="G83" s="1" t="s">
        <v>21</v>
      </c>
      <c r="H83" s="6" t="s">
        <v>21</v>
      </c>
      <c r="I83" s="1" t="s">
        <v>21</v>
      </c>
      <c r="J83" s="6" t="s">
        <v>21</v>
      </c>
      <c r="K83" s="1" t="s">
        <v>21</v>
      </c>
      <c r="L83" s="1" t="s">
        <v>7</v>
      </c>
      <c r="M83" s="1" t="s">
        <v>7</v>
      </c>
      <c r="N83" s="1">
        <v>3</v>
      </c>
      <c r="O83" s="1">
        <v>3</v>
      </c>
      <c r="P83" s="1">
        <v>90</v>
      </c>
      <c r="Q83" s="1">
        <v>90</v>
      </c>
      <c r="R83" s="1">
        <v>115.17</v>
      </c>
      <c r="S83" s="1">
        <v>115.17</v>
      </c>
      <c r="T83" s="1" t="s">
        <v>21</v>
      </c>
      <c r="W83" s="1" t="s">
        <v>238</v>
      </c>
    </row>
    <row r="84" spans="1:23" x14ac:dyDescent="0.2">
      <c r="A84" s="1">
        <v>2</v>
      </c>
      <c r="B84" s="1" t="s">
        <v>802</v>
      </c>
      <c r="C84" t="s">
        <v>773</v>
      </c>
      <c r="D84" s="1">
        <v>1</v>
      </c>
      <c r="E84" s="1" t="s">
        <v>222</v>
      </c>
      <c r="F84" s="4">
        <v>45378</v>
      </c>
      <c r="G84" s="3">
        <f>$K84 + $I84</f>
        <v>0.25328703703703703</v>
      </c>
      <c r="H84" s="3">
        <f>K84+J84</f>
        <v>0.26596064814814813</v>
      </c>
      <c r="I84" s="3">
        <v>1.894675925925926E-2</v>
      </c>
      <c r="J84" s="3">
        <v>3.1620370370370368E-2</v>
      </c>
      <c r="K84" s="3">
        <v>0.23434027777777777</v>
      </c>
      <c r="L84" s="1" t="s">
        <v>7</v>
      </c>
      <c r="M84" s="1" t="s">
        <v>8</v>
      </c>
      <c r="N84" s="1">
        <v>3</v>
      </c>
      <c r="O84" s="1">
        <v>3</v>
      </c>
      <c r="P84" s="1">
        <v>90</v>
      </c>
      <c r="Q84" s="1">
        <v>90</v>
      </c>
      <c r="R84" s="1">
        <v>115.17</v>
      </c>
      <c r="S84" s="1">
        <v>57.4</v>
      </c>
      <c r="T84" s="1">
        <v>0</v>
      </c>
      <c r="W84" s="1" t="s">
        <v>235</v>
      </c>
    </row>
    <row r="85" spans="1:23" x14ac:dyDescent="0.2">
      <c r="A85" s="1">
        <v>2</v>
      </c>
      <c r="B85" s="1" t="s">
        <v>802</v>
      </c>
      <c r="C85" t="s">
        <v>773</v>
      </c>
      <c r="D85" s="1" t="s">
        <v>21</v>
      </c>
      <c r="E85" s="1" t="s">
        <v>225</v>
      </c>
      <c r="F85" s="4">
        <v>45378</v>
      </c>
      <c r="G85" s="1" t="s">
        <v>21</v>
      </c>
      <c r="H85" s="1" t="s">
        <v>21</v>
      </c>
      <c r="I85" s="1" t="s">
        <v>21</v>
      </c>
      <c r="J85" s="1" t="s">
        <v>21</v>
      </c>
      <c r="K85" s="3">
        <v>0.75026620370370367</v>
      </c>
      <c r="L85" s="1" t="s">
        <v>8</v>
      </c>
      <c r="M85" s="1" t="s">
        <v>8</v>
      </c>
      <c r="N85" s="1">
        <v>3</v>
      </c>
      <c r="O85" s="1">
        <v>3</v>
      </c>
      <c r="P85" s="1">
        <v>90</v>
      </c>
      <c r="Q85" s="1">
        <v>90</v>
      </c>
      <c r="R85" s="15">
        <v>115.17</v>
      </c>
      <c r="S85" s="15">
        <v>115.17</v>
      </c>
      <c r="T85" s="1" t="s">
        <v>21</v>
      </c>
      <c r="W85" s="1" t="s">
        <v>58</v>
      </c>
    </row>
    <row r="86" spans="1:23" x14ac:dyDescent="0.2">
      <c r="A86" s="1">
        <v>2</v>
      </c>
      <c r="B86" s="1" t="s">
        <v>802</v>
      </c>
      <c r="C86" t="s">
        <v>773</v>
      </c>
      <c r="D86" s="1">
        <v>1</v>
      </c>
      <c r="E86" s="1" t="s">
        <v>236</v>
      </c>
      <c r="F86" s="4">
        <v>45379</v>
      </c>
      <c r="G86" s="3">
        <f>$K86 + $I86</f>
        <v>0.2502314814814815</v>
      </c>
      <c r="H86" s="3">
        <f>K86 + J86</f>
        <v>0.26277777777777778</v>
      </c>
      <c r="I86" s="3">
        <v>1.4687499999999999E-2</v>
      </c>
      <c r="J86" s="3">
        <v>2.7233796296296298E-2</v>
      </c>
      <c r="K86" s="3">
        <v>0.23554398148148148</v>
      </c>
      <c r="L86" s="1" t="s">
        <v>8</v>
      </c>
      <c r="M86" s="1" t="s">
        <v>7</v>
      </c>
      <c r="N86" s="1">
        <v>3</v>
      </c>
      <c r="O86" s="1">
        <v>3</v>
      </c>
      <c r="P86" s="1">
        <v>90</v>
      </c>
      <c r="Q86" s="1">
        <v>90</v>
      </c>
      <c r="R86" s="1">
        <v>115.17</v>
      </c>
      <c r="S86" s="1">
        <v>38.4</v>
      </c>
      <c r="T86" s="1">
        <v>0</v>
      </c>
      <c r="W86" s="1" t="s">
        <v>368</v>
      </c>
    </row>
    <row r="87" spans="1:23" x14ac:dyDescent="0.2">
      <c r="A87" s="1">
        <v>2</v>
      </c>
      <c r="B87" s="1" t="s">
        <v>802</v>
      </c>
      <c r="C87" t="s">
        <v>773</v>
      </c>
      <c r="D87" s="1">
        <v>1</v>
      </c>
      <c r="E87" s="1" t="s">
        <v>237</v>
      </c>
      <c r="F87" s="4">
        <v>45379</v>
      </c>
      <c r="G87" s="1" t="s">
        <v>21</v>
      </c>
      <c r="H87" s="1" t="s">
        <v>21</v>
      </c>
      <c r="I87" s="1" t="s">
        <v>21</v>
      </c>
      <c r="J87" s="1" t="s">
        <v>21</v>
      </c>
      <c r="K87" s="3">
        <v>0.75245370370370368</v>
      </c>
      <c r="L87" s="1" t="s">
        <v>7</v>
      </c>
      <c r="M87" s="1" t="s">
        <v>7</v>
      </c>
      <c r="N87" s="1">
        <v>3</v>
      </c>
      <c r="O87" s="1">
        <v>3</v>
      </c>
      <c r="P87" s="1">
        <v>90</v>
      </c>
      <c r="Q87" s="1">
        <v>90</v>
      </c>
      <c r="R87" s="1">
        <v>115.17</v>
      </c>
      <c r="S87" s="1">
        <v>115.17</v>
      </c>
      <c r="T87" s="1" t="s">
        <v>21</v>
      </c>
      <c r="W87" s="1" t="s">
        <v>58</v>
      </c>
    </row>
    <row r="88" spans="1:23" x14ac:dyDescent="0.2">
      <c r="A88" s="1">
        <v>2</v>
      </c>
      <c r="B88" s="1" t="s">
        <v>802</v>
      </c>
      <c r="C88" t="s">
        <v>773</v>
      </c>
      <c r="D88" s="1">
        <v>1</v>
      </c>
      <c r="E88" s="1" t="s">
        <v>239</v>
      </c>
      <c r="F88" s="4">
        <v>45380</v>
      </c>
      <c r="G88" s="3">
        <f>$K88 + $I88</f>
        <v>0.25168981481481478</v>
      </c>
      <c r="H88" s="3">
        <f>K88 + J88</f>
        <v>0.26237268518518519</v>
      </c>
      <c r="I88" s="3">
        <v>2.0196759259259258E-2</v>
      </c>
      <c r="J88" s="3">
        <v>3.0879629629629628E-2</v>
      </c>
      <c r="K88" s="3">
        <v>0.23149305555555555</v>
      </c>
      <c r="L88" s="1" t="s">
        <v>7</v>
      </c>
      <c r="M88" s="1" t="s">
        <v>8</v>
      </c>
      <c r="N88" s="1">
        <v>3</v>
      </c>
      <c r="O88" s="1">
        <v>3</v>
      </c>
      <c r="P88" s="1">
        <v>90</v>
      </c>
      <c r="Q88" s="1">
        <v>90</v>
      </c>
      <c r="R88" s="1">
        <v>115.17</v>
      </c>
      <c r="S88" s="1">
        <v>115.17</v>
      </c>
      <c r="T88" s="1">
        <v>1</v>
      </c>
      <c r="W88" s="1" t="s">
        <v>302</v>
      </c>
    </row>
    <row r="89" spans="1:23" x14ac:dyDescent="0.2">
      <c r="A89" s="1">
        <v>2</v>
      </c>
      <c r="B89" s="1" t="s">
        <v>802</v>
      </c>
      <c r="C89" t="s">
        <v>773</v>
      </c>
      <c r="D89" s="1" t="s">
        <v>21</v>
      </c>
      <c r="E89" s="1" t="s">
        <v>241</v>
      </c>
      <c r="F89" s="4">
        <v>45380</v>
      </c>
      <c r="G89" s="1" t="s">
        <v>21</v>
      </c>
      <c r="H89" s="1" t="s">
        <v>21</v>
      </c>
      <c r="I89" s="1" t="s">
        <v>21</v>
      </c>
      <c r="J89" s="1" t="s">
        <v>21</v>
      </c>
      <c r="K89" s="3">
        <v>0.75767361111111109</v>
      </c>
      <c r="L89" s="1" t="s">
        <v>8</v>
      </c>
      <c r="M89" s="1" t="s">
        <v>8</v>
      </c>
      <c r="N89" s="1">
        <v>3</v>
      </c>
      <c r="O89" s="1">
        <v>3</v>
      </c>
      <c r="P89" s="1">
        <v>90</v>
      </c>
      <c r="Q89" s="1">
        <v>90</v>
      </c>
      <c r="R89" s="1">
        <v>115.17</v>
      </c>
      <c r="S89" s="1">
        <v>115.17</v>
      </c>
      <c r="T89" s="1" t="s">
        <v>21</v>
      </c>
      <c r="W89" s="1" t="s">
        <v>58</v>
      </c>
    </row>
    <row r="90" spans="1:23" x14ac:dyDescent="0.2">
      <c r="A90" s="1">
        <v>2</v>
      </c>
      <c r="B90" s="1" t="s">
        <v>802</v>
      </c>
      <c r="C90" t="s">
        <v>773</v>
      </c>
      <c r="D90" s="1">
        <v>1</v>
      </c>
      <c r="E90" s="1" t="s">
        <v>244</v>
      </c>
      <c r="F90" s="4">
        <v>45381</v>
      </c>
      <c r="G90" s="3">
        <f>$K90 + $I90</f>
        <v>0.76784722222222224</v>
      </c>
      <c r="H90" s="1" t="s">
        <v>21</v>
      </c>
      <c r="I90" s="3">
        <v>1.2407407407407407E-2</v>
      </c>
      <c r="J90" s="1" t="s">
        <v>21</v>
      </c>
      <c r="K90" s="3">
        <v>0.75543981481481481</v>
      </c>
      <c r="L90" s="1" t="s">
        <v>7</v>
      </c>
      <c r="M90" s="1" t="s">
        <v>7</v>
      </c>
      <c r="N90" s="1">
        <v>3</v>
      </c>
      <c r="O90" s="1">
        <v>3</v>
      </c>
      <c r="P90" s="1">
        <v>90</v>
      </c>
      <c r="Q90" s="1">
        <v>90</v>
      </c>
      <c r="R90" s="1">
        <v>115.17</v>
      </c>
      <c r="S90" s="1">
        <v>115.17</v>
      </c>
      <c r="T90" s="1" t="s">
        <v>21</v>
      </c>
      <c r="W90" s="1" t="s">
        <v>303</v>
      </c>
    </row>
    <row r="91" spans="1:23" x14ac:dyDescent="0.2">
      <c r="A91" s="1">
        <v>2</v>
      </c>
      <c r="B91" s="1" t="s">
        <v>802</v>
      </c>
      <c r="C91" t="s">
        <v>773</v>
      </c>
      <c r="D91" s="1">
        <v>1</v>
      </c>
      <c r="E91" s="1" t="s">
        <v>304</v>
      </c>
      <c r="F91" s="4">
        <v>45381</v>
      </c>
      <c r="G91" s="3">
        <f>$K91 + $I91</f>
        <v>0.25116898148148148</v>
      </c>
      <c r="H91" s="3">
        <f>K91 + J91</f>
        <v>0.26086805555555553</v>
      </c>
      <c r="I91" s="3">
        <v>1.5752314814814816E-2</v>
      </c>
      <c r="J91" s="3">
        <v>2.5451388888888888E-2</v>
      </c>
      <c r="K91" s="3">
        <v>0.23541666666666666</v>
      </c>
      <c r="L91" s="1" t="s">
        <v>8</v>
      </c>
      <c r="M91" s="1" t="s">
        <v>7</v>
      </c>
      <c r="N91" s="1">
        <v>3</v>
      </c>
      <c r="O91" s="1">
        <v>3</v>
      </c>
      <c r="P91" s="1">
        <v>90</v>
      </c>
      <c r="Q91" s="1">
        <v>90</v>
      </c>
      <c r="R91" s="1">
        <v>115.17</v>
      </c>
      <c r="S91" s="1">
        <v>57.4</v>
      </c>
      <c r="T91" s="1">
        <v>0</v>
      </c>
    </row>
    <row r="92" spans="1:23" x14ac:dyDescent="0.2">
      <c r="A92" s="1">
        <v>2</v>
      </c>
      <c r="B92" s="1" t="s">
        <v>802</v>
      </c>
      <c r="C92" t="s">
        <v>773</v>
      </c>
      <c r="D92" s="1" t="s">
        <v>21</v>
      </c>
      <c r="E92" s="1" t="s">
        <v>21</v>
      </c>
      <c r="F92" s="4">
        <v>45382</v>
      </c>
      <c r="G92" s="1" t="s">
        <v>21</v>
      </c>
      <c r="H92" s="6" t="s">
        <v>21</v>
      </c>
      <c r="I92" s="1" t="s">
        <v>21</v>
      </c>
      <c r="J92" s="6" t="s">
        <v>21</v>
      </c>
      <c r="K92" s="1" t="s">
        <v>21</v>
      </c>
      <c r="L92" s="1" t="s">
        <v>8</v>
      </c>
      <c r="M92" s="1" t="s">
        <v>8</v>
      </c>
      <c r="N92" s="1">
        <v>3</v>
      </c>
      <c r="O92" s="1">
        <v>3</v>
      </c>
      <c r="P92" s="1">
        <v>90</v>
      </c>
      <c r="Q92" s="1">
        <v>90</v>
      </c>
      <c r="R92" s="1">
        <v>115.17</v>
      </c>
      <c r="S92" s="1">
        <v>115.17</v>
      </c>
      <c r="T92" s="1" t="s">
        <v>21</v>
      </c>
      <c r="W92" s="1" t="s">
        <v>292</v>
      </c>
    </row>
    <row r="93" spans="1:23" x14ac:dyDescent="0.2">
      <c r="A93" s="1">
        <v>2</v>
      </c>
      <c r="B93" s="1" t="s">
        <v>802</v>
      </c>
      <c r="C93" t="s">
        <v>773</v>
      </c>
      <c r="D93" s="1">
        <v>1</v>
      </c>
      <c r="E93" s="1" t="s">
        <v>286</v>
      </c>
      <c r="F93" s="4">
        <v>45382</v>
      </c>
      <c r="G93" s="3">
        <f>$K93 + $I93</f>
        <v>0.77393518518518523</v>
      </c>
      <c r="H93" s="3">
        <f>K93 + J93</f>
        <v>0.77803240740740742</v>
      </c>
      <c r="I93" s="3">
        <v>2.2812499999999999E-2</v>
      </c>
      <c r="J93" s="3">
        <v>2.6909722222222224E-2</v>
      </c>
      <c r="K93" s="3">
        <v>0.75112268518518521</v>
      </c>
      <c r="L93" s="1" t="s">
        <v>7</v>
      </c>
      <c r="M93" s="1" t="s">
        <v>8</v>
      </c>
      <c r="N93" s="1">
        <v>3</v>
      </c>
      <c r="O93" s="1">
        <v>3</v>
      </c>
      <c r="P93" s="1">
        <v>90</v>
      </c>
      <c r="Q93" s="1">
        <v>90</v>
      </c>
      <c r="R93" s="1">
        <v>115.17</v>
      </c>
      <c r="S93" s="1">
        <v>38.4</v>
      </c>
      <c r="T93" s="1">
        <v>0</v>
      </c>
      <c r="W93" s="1" t="s">
        <v>306</v>
      </c>
    </row>
    <row r="94" spans="1:23" x14ac:dyDescent="0.2">
      <c r="A94" s="1">
        <v>2</v>
      </c>
      <c r="B94" s="1" t="s">
        <v>802</v>
      </c>
      <c r="C94" t="s">
        <v>773</v>
      </c>
      <c r="D94" s="1">
        <v>1</v>
      </c>
      <c r="E94" s="1" t="s">
        <v>270</v>
      </c>
      <c r="F94" s="4">
        <v>45383</v>
      </c>
      <c r="G94" s="3">
        <f>$K94 + $I94</f>
        <v>0.24664351851851851</v>
      </c>
      <c r="H94" s="3">
        <f>K94 + J94</f>
        <v>0.27090277777777777</v>
      </c>
      <c r="I94" s="3">
        <v>1.5821759259259258E-2</v>
      </c>
      <c r="J94" s="3">
        <v>4.0081018518518516E-2</v>
      </c>
      <c r="K94" s="3">
        <v>0.23082175925925927</v>
      </c>
      <c r="L94" s="1" t="s">
        <v>8</v>
      </c>
      <c r="M94" s="1" t="s">
        <v>7</v>
      </c>
      <c r="N94" s="1">
        <v>3</v>
      </c>
      <c r="O94" s="1">
        <v>3</v>
      </c>
      <c r="P94" s="1">
        <v>90</v>
      </c>
      <c r="Q94" s="1">
        <v>90</v>
      </c>
      <c r="R94" s="1">
        <v>115.17</v>
      </c>
      <c r="S94" s="1">
        <v>115.17</v>
      </c>
      <c r="T94" s="1">
        <v>1</v>
      </c>
    </row>
    <row r="95" spans="1:23" x14ac:dyDescent="0.2">
      <c r="A95" s="1">
        <v>2</v>
      </c>
      <c r="B95" s="1" t="s">
        <v>802</v>
      </c>
      <c r="C95" t="s">
        <v>773</v>
      </c>
      <c r="D95" s="1" t="s">
        <v>21</v>
      </c>
      <c r="E95" s="1" t="s">
        <v>21</v>
      </c>
      <c r="F95" s="4">
        <v>45383</v>
      </c>
      <c r="G95" s="1" t="s">
        <v>21</v>
      </c>
      <c r="H95" s="1" t="s">
        <v>21</v>
      </c>
      <c r="I95" s="1" t="s">
        <v>21</v>
      </c>
      <c r="J95" s="1" t="s">
        <v>21</v>
      </c>
      <c r="K95" s="1" t="s">
        <v>21</v>
      </c>
      <c r="N95" s="1">
        <v>3</v>
      </c>
      <c r="O95" s="1">
        <v>3</v>
      </c>
      <c r="T95" s="1" t="s">
        <v>21</v>
      </c>
      <c r="W95" s="1" t="s">
        <v>329</v>
      </c>
    </row>
    <row r="96" spans="1:23" x14ac:dyDescent="0.2">
      <c r="A96" s="1">
        <v>2</v>
      </c>
      <c r="B96" s="1" t="s">
        <v>802</v>
      </c>
      <c r="C96" t="s">
        <v>773</v>
      </c>
      <c r="D96" s="1" t="s">
        <v>21</v>
      </c>
      <c r="E96" s="1" t="s">
        <v>21</v>
      </c>
      <c r="F96" s="4">
        <v>45384</v>
      </c>
      <c r="G96" s="1" t="s">
        <v>21</v>
      </c>
      <c r="H96" s="1" t="s">
        <v>21</v>
      </c>
      <c r="I96" s="1" t="s">
        <v>21</v>
      </c>
      <c r="J96" s="1" t="s">
        <v>21</v>
      </c>
      <c r="K96" s="1" t="s">
        <v>21</v>
      </c>
      <c r="N96" s="1">
        <v>3</v>
      </c>
      <c r="O96" s="1">
        <v>3</v>
      </c>
      <c r="T96" s="1" t="s">
        <v>21</v>
      </c>
      <c r="W96" s="1" t="s">
        <v>328</v>
      </c>
    </row>
    <row r="97" spans="1:23" x14ac:dyDescent="0.2">
      <c r="A97" s="1">
        <v>2</v>
      </c>
      <c r="B97" s="1" t="s">
        <v>802</v>
      </c>
      <c r="C97" t="s">
        <v>773</v>
      </c>
      <c r="D97" s="1" t="s">
        <v>21</v>
      </c>
      <c r="E97" s="1" t="s">
        <v>21</v>
      </c>
      <c r="F97" s="4">
        <v>45384</v>
      </c>
      <c r="G97" s="1" t="s">
        <v>21</v>
      </c>
      <c r="H97" s="1" t="s">
        <v>21</v>
      </c>
      <c r="I97" s="1" t="s">
        <v>21</v>
      </c>
      <c r="J97" s="1" t="s">
        <v>21</v>
      </c>
      <c r="K97" s="1" t="s">
        <v>21</v>
      </c>
      <c r="N97" s="1">
        <v>3</v>
      </c>
      <c r="O97" s="1">
        <v>3</v>
      </c>
      <c r="T97" s="1" t="s">
        <v>21</v>
      </c>
      <c r="W97" s="1" t="s">
        <v>378</v>
      </c>
    </row>
    <row r="98" spans="1:23" x14ac:dyDescent="0.2">
      <c r="A98" s="1">
        <v>2</v>
      </c>
      <c r="B98" s="1" t="s">
        <v>802</v>
      </c>
      <c r="C98" t="s">
        <v>773</v>
      </c>
      <c r="D98" s="1" t="s">
        <v>21</v>
      </c>
      <c r="E98" s="1" t="s">
        <v>21</v>
      </c>
      <c r="F98" s="4">
        <v>45385</v>
      </c>
      <c r="G98" s="1" t="s">
        <v>21</v>
      </c>
      <c r="H98" s="1" t="s">
        <v>21</v>
      </c>
      <c r="I98" s="1" t="s">
        <v>21</v>
      </c>
      <c r="J98" s="1" t="s">
        <v>21</v>
      </c>
      <c r="K98" s="1" t="s">
        <v>21</v>
      </c>
      <c r="N98" s="1">
        <v>3</v>
      </c>
      <c r="O98" s="1">
        <v>3</v>
      </c>
      <c r="T98" s="1" t="s">
        <v>21</v>
      </c>
    </row>
    <row r="99" spans="1:23" x14ac:dyDescent="0.2">
      <c r="A99" s="1">
        <v>2</v>
      </c>
      <c r="B99" s="1" t="s">
        <v>802</v>
      </c>
      <c r="C99" t="s">
        <v>773</v>
      </c>
      <c r="D99" s="1">
        <v>1</v>
      </c>
      <c r="E99" s="1" t="s">
        <v>281</v>
      </c>
      <c r="F99" s="4">
        <v>45385</v>
      </c>
      <c r="G99" s="3">
        <f>$K99 + $I99</f>
        <v>0.76570601851851849</v>
      </c>
      <c r="H99" s="3">
        <f>K99 + J99</f>
        <v>0.78233796296296299</v>
      </c>
      <c r="I99" s="3">
        <v>8.0439814814814818E-3</v>
      </c>
      <c r="J99" s="3">
        <v>2.4675925925925928E-2</v>
      </c>
      <c r="K99" s="3">
        <v>0.75766203703703705</v>
      </c>
      <c r="L99" s="1" t="s">
        <v>7</v>
      </c>
      <c r="M99" s="1" t="s">
        <v>8</v>
      </c>
      <c r="N99" s="1">
        <v>3</v>
      </c>
      <c r="O99" s="1">
        <v>3</v>
      </c>
      <c r="P99" s="1">
        <v>90</v>
      </c>
      <c r="Q99" s="1">
        <v>90</v>
      </c>
      <c r="R99" s="1">
        <v>115.17</v>
      </c>
      <c r="S99" s="1">
        <v>115.17</v>
      </c>
      <c r="T99" s="1">
        <v>0</v>
      </c>
      <c r="W99" s="1" t="s">
        <v>358</v>
      </c>
    </row>
    <row r="100" spans="1:23" x14ac:dyDescent="0.2">
      <c r="A100" s="1">
        <v>2</v>
      </c>
      <c r="B100" s="1" t="s">
        <v>802</v>
      </c>
      <c r="C100" t="s">
        <v>773</v>
      </c>
      <c r="D100" s="1" t="s">
        <v>21</v>
      </c>
      <c r="E100" s="1" t="s">
        <v>21</v>
      </c>
      <c r="F100" s="4">
        <v>45386</v>
      </c>
      <c r="G100" s="1" t="s">
        <v>21</v>
      </c>
      <c r="H100" s="3" t="s">
        <v>21</v>
      </c>
      <c r="I100" s="1" t="s">
        <v>21</v>
      </c>
      <c r="J100" s="3" t="s">
        <v>21</v>
      </c>
      <c r="K100" s="1" t="s">
        <v>21</v>
      </c>
      <c r="N100" s="1">
        <v>3</v>
      </c>
      <c r="O100" s="1">
        <v>3</v>
      </c>
      <c r="P100" s="1">
        <v>90</v>
      </c>
      <c r="Q100" s="1">
        <v>90</v>
      </c>
      <c r="T100" s="1" t="s">
        <v>21</v>
      </c>
      <c r="W100" s="1" t="s">
        <v>377</v>
      </c>
    </row>
    <row r="101" spans="1:23" x14ac:dyDescent="0.2">
      <c r="A101" s="1">
        <v>2</v>
      </c>
      <c r="B101" s="1" t="s">
        <v>802</v>
      </c>
      <c r="C101" t="s">
        <v>773</v>
      </c>
      <c r="D101" s="1">
        <v>1</v>
      </c>
      <c r="E101" s="1" t="s">
        <v>771</v>
      </c>
      <c r="F101" s="4">
        <v>45386</v>
      </c>
      <c r="G101" s="3">
        <f>$K101 + $I101</f>
        <v>0.77059027777777778</v>
      </c>
      <c r="H101" s="3">
        <f>K101 + J101</f>
        <v>0.78053240740740737</v>
      </c>
      <c r="I101" s="3">
        <v>1.7546296296296296E-2</v>
      </c>
      <c r="J101" s="3">
        <v>2.7488425925925927E-2</v>
      </c>
      <c r="K101" s="3">
        <v>0.75304398148148144</v>
      </c>
      <c r="L101" s="1" t="s">
        <v>8</v>
      </c>
      <c r="M101" s="1" t="s">
        <v>7</v>
      </c>
      <c r="N101" s="1">
        <v>3</v>
      </c>
      <c r="O101" s="1">
        <v>3</v>
      </c>
      <c r="P101" s="1">
        <v>90</v>
      </c>
      <c r="Q101" s="1">
        <v>90</v>
      </c>
      <c r="R101" s="1">
        <v>115.17</v>
      </c>
      <c r="S101" s="1">
        <v>57.4</v>
      </c>
      <c r="T101" s="1">
        <v>0</v>
      </c>
      <c r="W101" s="1" t="s">
        <v>298</v>
      </c>
    </row>
    <row r="102" spans="1:23" x14ac:dyDescent="0.2">
      <c r="A102" s="1">
        <v>2</v>
      </c>
      <c r="B102" s="1" t="s">
        <v>802</v>
      </c>
      <c r="C102" t="s">
        <v>773</v>
      </c>
      <c r="D102" s="1" t="s">
        <v>21</v>
      </c>
      <c r="E102" s="1" t="s">
        <v>21</v>
      </c>
      <c r="F102" s="4">
        <v>45387</v>
      </c>
      <c r="G102" s="1" t="s">
        <v>21</v>
      </c>
      <c r="H102" s="1" t="s">
        <v>21</v>
      </c>
      <c r="I102" s="1" t="s">
        <v>21</v>
      </c>
      <c r="J102" s="1" t="s">
        <v>21</v>
      </c>
      <c r="K102" s="1" t="s">
        <v>21</v>
      </c>
      <c r="P102" s="1">
        <v>90</v>
      </c>
      <c r="Q102" s="1">
        <v>90</v>
      </c>
      <c r="R102" s="1">
        <v>57.4</v>
      </c>
      <c r="S102" s="1">
        <v>57.4</v>
      </c>
      <c r="T102" s="1" t="s">
        <v>21</v>
      </c>
      <c r="W102" s="1" t="s">
        <v>363</v>
      </c>
    </row>
    <row r="103" spans="1:23" x14ac:dyDescent="0.2">
      <c r="A103" s="1">
        <v>2</v>
      </c>
      <c r="B103" s="1" t="s">
        <v>802</v>
      </c>
      <c r="C103" t="s">
        <v>773</v>
      </c>
      <c r="D103" s="1">
        <v>1</v>
      </c>
      <c r="E103" s="1" t="s">
        <v>293</v>
      </c>
      <c r="F103" s="4">
        <v>45387</v>
      </c>
      <c r="G103" s="3">
        <f>$K103 + $I103</f>
        <v>0.77067129629629627</v>
      </c>
      <c r="H103" s="3">
        <f>K103 + J103</f>
        <v>0.7795023148148148</v>
      </c>
      <c r="I103" s="3">
        <v>1.7372685185185185E-2</v>
      </c>
      <c r="J103" s="3">
        <v>2.6203703703703705E-2</v>
      </c>
      <c r="K103" s="3">
        <v>0.75329861111111107</v>
      </c>
      <c r="L103" s="1" t="s">
        <v>7</v>
      </c>
      <c r="M103" s="1" t="s">
        <v>8</v>
      </c>
      <c r="N103" s="1">
        <v>3</v>
      </c>
      <c r="O103" s="1">
        <v>3</v>
      </c>
      <c r="P103" s="1">
        <v>90</v>
      </c>
      <c r="Q103" s="1">
        <v>90</v>
      </c>
      <c r="R103" s="1">
        <v>57.4</v>
      </c>
      <c r="S103" s="1">
        <v>38.4</v>
      </c>
      <c r="T103" s="1">
        <v>1</v>
      </c>
    </row>
    <row r="104" spans="1:23" x14ac:dyDescent="0.2">
      <c r="A104" s="1">
        <v>2</v>
      </c>
      <c r="B104" s="1" t="s">
        <v>802</v>
      </c>
      <c r="C104" t="s">
        <v>773</v>
      </c>
      <c r="D104" s="1">
        <v>1</v>
      </c>
      <c r="E104" s="1" t="s">
        <v>295</v>
      </c>
      <c r="F104" s="4">
        <v>45388</v>
      </c>
      <c r="G104" s="1" t="s">
        <v>21</v>
      </c>
      <c r="H104" s="1" t="s">
        <v>21</v>
      </c>
      <c r="I104" s="1" t="s">
        <v>21</v>
      </c>
      <c r="J104" s="1" t="s">
        <v>21</v>
      </c>
      <c r="K104" s="3">
        <v>0.75972222222222219</v>
      </c>
      <c r="L104" s="1" t="s">
        <v>8</v>
      </c>
      <c r="M104" s="1" t="s">
        <v>8</v>
      </c>
      <c r="N104" s="1">
        <v>3</v>
      </c>
      <c r="O104" s="1">
        <v>3</v>
      </c>
      <c r="P104" s="1">
        <v>90</v>
      </c>
      <c r="Q104" s="1">
        <v>90</v>
      </c>
      <c r="R104" s="1">
        <v>115.17</v>
      </c>
      <c r="S104" s="1">
        <v>115.17</v>
      </c>
      <c r="T104" s="1" t="s">
        <v>21</v>
      </c>
      <c r="W104" s="1" t="s">
        <v>488</v>
      </c>
    </row>
    <row r="105" spans="1:23" x14ac:dyDescent="0.2">
      <c r="A105" s="1">
        <v>2</v>
      </c>
      <c r="B105" s="1" t="s">
        <v>802</v>
      </c>
      <c r="C105" t="s">
        <v>773</v>
      </c>
      <c r="D105" s="1" t="s">
        <v>21</v>
      </c>
      <c r="E105" s="1" t="s">
        <v>21</v>
      </c>
      <c r="F105" s="4">
        <v>45388</v>
      </c>
      <c r="G105" s="15" t="s">
        <v>21</v>
      </c>
      <c r="H105" s="15" t="s">
        <v>21</v>
      </c>
      <c r="I105" s="15" t="s">
        <v>21</v>
      </c>
      <c r="J105" s="15" t="s">
        <v>21</v>
      </c>
      <c r="K105" s="15" t="s">
        <v>21</v>
      </c>
      <c r="N105" s="1">
        <v>3</v>
      </c>
      <c r="O105" s="1">
        <v>3</v>
      </c>
      <c r="P105" s="1">
        <v>90</v>
      </c>
      <c r="Q105" s="1">
        <v>90</v>
      </c>
      <c r="T105" s="1" t="s">
        <v>21</v>
      </c>
      <c r="W105" s="1" t="s">
        <v>496</v>
      </c>
    </row>
    <row r="106" spans="1:23" x14ac:dyDescent="0.2">
      <c r="A106" s="1">
        <v>2</v>
      </c>
      <c r="B106" s="1" t="s">
        <v>802</v>
      </c>
      <c r="C106" t="s">
        <v>773</v>
      </c>
      <c r="D106" s="1" t="s">
        <v>21</v>
      </c>
      <c r="E106" s="1" t="s">
        <v>296</v>
      </c>
      <c r="F106" s="4">
        <v>45389</v>
      </c>
      <c r="G106" s="1" t="s">
        <v>21</v>
      </c>
      <c r="H106" s="1" t="s">
        <v>21</v>
      </c>
      <c r="I106" s="1" t="s">
        <v>21</v>
      </c>
      <c r="J106" s="1" t="s">
        <v>21</v>
      </c>
      <c r="K106" s="3">
        <v>0.75700231481481484</v>
      </c>
      <c r="L106" s="1" t="s">
        <v>8</v>
      </c>
      <c r="M106" s="1" t="s">
        <v>8</v>
      </c>
      <c r="N106" s="1">
        <v>3</v>
      </c>
      <c r="O106" s="1">
        <v>3</v>
      </c>
      <c r="P106" s="1">
        <v>90</v>
      </c>
      <c r="Q106" s="1">
        <v>90</v>
      </c>
      <c r="R106" s="1">
        <v>115.17</v>
      </c>
      <c r="S106" s="1">
        <v>115.17</v>
      </c>
      <c r="T106" s="1" t="s">
        <v>21</v>
      </c>
      <c r="W106" s="1" t="s">
        <v>58</v>
      </c>
    </row>
    <row r="107" spans="1:23" x14ac:dyDescent="0.2">
      <c r="A107" s="1">
        <v>2</v>
      </c>
      <c r="B107" s="1" t="s">
        <v>802</v>
      </c>
      <c r="C107" t="s">
        <v>773</v>
      </c>
      <c r="D107" s="1" t="s">
        <v>21</v>
      </c>
      <c r="E107" s="1" t="s">
        <v>21</v>
      </c>
      <c r="F107" s="4">
        <v>45389</v>
      </c>
      <c r="G107" s="15" t="s">
        <v>21</v>
      </c>
      <c r="H107" s="15" t="s">
        <v>21</v>
      </c>
      <c r="I107" s="15" t="s">
        <v>21</v>
      </c>
      <c r="J107" s="15" t="s">
        <v>21</v>
      </c>
      <c r="K107" s="15" t="s">
        <v>21</v>
      </c>
      <c r="P107" s="1">
        <v>90</v>
      </c>
      <c r="Q107" s="1">
        <v>90</v>
      </c>
      <c r="T107" s="1" t="s">
        <v>21</v>
      </c>
      <c r="W107" s="1" t="s">
        <v>497</v>
      </c>
    </row>
    <row r="108" spans="1:23" x14ac:dyDescent="0.2">
      <c r="A108" s="1">
        <v>2</v>
      </c>
      <c r="B108" s="1" t="s">
        <v>802</v>
      </c>
      <c r="C108" t="s">
        <v>773</v>
      </c>
      <c r="D108" s="1">
        <v>1</v>
      </c>
      <c r="E108" s="1" t="s">
        <v>315</v>
      </c>
      <c r="F108" s="4">
        <v>45390</v>
      </c>
      <c r="G108" s="3">
        <f>$K108 + $I108</f>
        <v>0.25200231481481483</v>
      </c>
      <c r="H108" s="3">
        <f>K108 + J108</f>
        <v>0.26424768518518515</v>
      </c>
      <c r="I108" s="3">
        <v>1.4421296296296297E-2</v>
      </c>
      <c r="J108" s="3">
        <v>2.6666666666666668E-2</v>
      </c>
      <c r="K108" s="3">
        <v>0.23758101851851851</v>
      </c>
      <c r="L108" s="1" t="s">
        <v>8</v>
      </c>
      <c r="M108" s="1" t="s">
        <v>7</v>
      </c>
      <c r="N108" s="1">
        <v>3</v>
      </c>
      <c r="O108" s="1">
        <v>3</v>
      </c>
      <c r="P108" s="1">
        <v>90</v>
      </c>
      <c r="Q108" s="1">
        <v>90</v>
      </c>
      <c r="R108" s="1">
        <v>115.17</v>
      </c>
      <c r="S108" s="1">
        <v>38.4</v>
      </c>
      <c r="T108" s="1">
        <v>0</v>
      </c>
    </row>
    <row r="109" spans="1:23" x14ac:dyDescent="0.2">
      <c r="A109" s="1">
        <v>2</v>
      </c>
      <c r="B109" s="1" t="s">
        <v>802</v>
      </c>
      <c r="C109" t="s">
        <v>773</v>
      </c>
      <c r="D109" s="1" t="s">
        <v>21</v>
      </c>
      <c r="E109" s="1" t="s">
        <v>314</v>
      </c>
      <c r="F109" s="4">
        <v>45390</v>
      </c>
      <c r="G109" s="22" t="s">
        <v>21</v>
      </c>
      <c r="H109" s="1" t="s">
        <v>21</v>
      </c>
      <c r="I109" s="15" t="s">
        <v>21</v>
      </c>
      <c r="J109" s="1" t="s">
        <v>21</v>
      </c>
      <c r="K109" s="3">
        <v>0.75715277777777779</v>
      </c>
      <c r="L109" s="1" t="s">
        <v>7</v>
      </c>
      <c r="M109" s="1" t="s">
        <v>7</v>
      </c>
      <c r="N109" s="1">
        <v>3</v>
      </c>
      <c r="O109" s="1">
        <v>3</v>
      </c>
      <c r="P109" s="1">
        <v>90</v>
      </c>
      <c r="Q109" s="1">
        <v>90</v>
      </c>
      <c r="R109" s="1">
        <v>115.17</v>
      </c>
      <c r="S109" s="1">
        <v>115.17</v>
      </c>
      <c r="T109" s="1" t="s">
        <v>21</v>
      </c>
      <c r="W109" s="1" t="s">
        <v>58</v>
      </c>
    </row>
    <row r="110" spans="1:23" x14ac:dyDescent="0.2">
      <c r="A110" s="1">
        <v>2</v>
      </c>
      <c r="B110" s="1" t="s">
        <v>802</v>
      </c>
      <c r="C110" t="s">
        <v>773</v>
      </c>
      <c r="D110" s="1">
        <v>1</v>
      </c>
      <c r="E110" s="1" t="s">
        <v>353</v>
      </c>
      <c r="F110" s="4">
        <v>45391</v>
      </c>
      <c r="G110" s="3">
        <f>$K110 + $I110</f>
        <v>0.25096064814814817</v>
      </c>
      <c r="H110" s="3">
        <f>K110 + J110</f>
        <v>0.2723726851851852</v>
      </c>
      <c r="I110" s="3">
        <v>1.8020833333333333E-2</v>
      </c>
      <c r="J110" s="6">
        <v>3.9432870370370368E-2</v>
      </c>
      <c r="K110" s="3">
        <v>0.23293981481481482</v>
      </c>
      <c r="L110" s="1" t="s">
        <v>7</v>
      </c>
      <c r="M110" s="1" t="s">
        <v>7</v>
      </c>
      <c r="N110" s="1">
        <v>3</v>
      </c>
      <c r="O110" s="1">
        <v>3</v>
      </c>
      <c r="P110" s="1">
        <v>90</v>
      </c>
      <c r="Q110" s="1">
        <v>90</v>
      </c>
      <c r="R110" s="1">
        <v>115.17</v>
      </c>
      <c r="S110" s="1">
        <v>115.17</v>
      </c>
      <c r="T110" s="1">
        <v>0</v>
      </c>
    </row>
    <row r="111" spans="1:23" x14ac:dyDescent="0.2">
      <c r="A111" s="1">
        <v>2</v>
      </c>
      <c r="B111" s="1" t="s">
        <v>802</v>
      </c>
      <c r="C111" t="s">
        <v>773</v>
      </c>
      <c r="D111" s="1">
        <v>1</v>
      </c>
      <c r="E111" s="1" t="s">
        <v>487</v>
      </c>
      <c r="F111" s="4">
        <v>45391</v>
      </c>
      <c r="G111" s="3">
        <f>$K111 + $I111</f>
        <v>0.77001157407407406</v>
      </c>
      <c r="H111" s="3">
        <f>K111 + J111</f>
        <v>0.77521990740740732</v>
      </c>
      <c r="I111" s="3">
        <v>8.4953703703703701E-3</v>
      </c>
      <c r="J111" s="3">
        <v>1.3703703703703704E-2</v>
      </c>
      <c r="K111" s="3">
        <v>0.76151620370370365</v>
      </c>
      <c r="L111" s="1" t="s">
        <v>7</v>
      </c>
      <c r="M111" s="1" t="s">
        <v>8</v>
      </c>
      <c r="N111" s="1">
        <v>3</v>
      </c>
      <c r="O111" s="1">
        <v>3</v>
      </c>
      <c r="P111" s="1">
        <v>90</v>
      </c>
      <c r="Q111" s="1">
        <v>90</v>
      </c>
      <c r="R111" s="1">
        <v>115.17</v>
      </c>
      <c r="S111" s="1">
        <v>38.4</v>
      </c>
      <c r="T111" s="1">
        <v>1</v>
      </c>
    </row>
    <row r="112" spans="1:23" x14ac:dyDescent="0.2">
      <c r="A112" s="1">
        <v>2</v>
      </c>
      <c r="B112" s="1" t="s">
        <v>802</v>
      </c>
      <c r="C112" t="s">
        <v>773</v>
      </c>
      <c r="D112" s="1">
        <v>1</v>
      </c>
      <c r="E112" s="1" t="s">
        <v>380</v>
      </c>
      <c r="F112" s="4">
        <v>45392</v>
      </c>
      <c r="G112" s="3">
        <f>$K112 + $I112</f>
        <v>0.25354166666666667</v>
      </c>
      <c r="H112" s="3">
        <f>K112 + J112</f>
        <v>0.25964120370370369</v>
      </c>
      <c r="I112" s="3">
        <v>1.2743055555555556E-2</v>
      </c>
      <c r="J112" s="3">
        <v>1.8842592592592591E-2</v>
      </c>
      <c r="K112" s="3">
        <v>0.24079861111111112</v>
      </c>
      <c r="L112" s="1" t="s">
        <v>8</v>
      </c>
      <c r="M112" s="1" t="s">
        <v>7</v>
      </c>
      <c r="N112" s="1">
        <v>3</v>
      </c>
      <c r="O112" s="1">
        <v>3</v>
      </c>
      <c r="P112" s="1">
        <v>90</v>
      </c>
      <c r="Q112" s="1">
        <v>90</v>
      </c>
      <c r="R112" s="1">
        <v>57.4</v>
      </c>
      <c r="S112" s="1">
        <v>19.2</v>
      </c>
      <c r="T112" s="1">
        <v>0</v>
      </c>
    </row>
    <row r="113" spans="1:24" x14ac:dyDescent="0.2">
      <c r="A113" s="1">
        <v>2</v>
      </c>
      <c r="B113" s="1" t="s">
        <v>802</v>
      </c>
      <c r="C113" t="s">
        <v>773</v>
      </c>
      <c r="D113" s="1" t="s">
        <v>21</v>
      </c>
      <c r="E113" s="1" t="s">
        <v>21</v>
      </c>
      <c r="F113" s="4">
        <v>45392</v>
      </c>
      <c r="G113" s="2" t="s">
        <v>21</v>
      </c>
      <c r="H113" s="1" t="s">
        <v>21</v>
      </c>
      <c r="I113" s="2" t="s">
        <v>21</v>
      </c>
      <c r="J113" s="1" t="s">
        <v>21</v>
      </c>
      <c r="K113" s="2" t="s">
        <v>21</v>
      </c>
      <c r="P113" s="1">
        <v>90</v>
      </c>
      <c r="Q113" s="1">
        <v>90</v>
      </c>
      <c r="T113" s="1" t="s">
        <v>21</v>
      </c>
      <c r="W113" s="1" t="s">
        <v>489</v>
      </c>
    </row>
    <row r="114" spans="1:24" x14ac:dyDescent="0.2">
      <c r="A114" s="1">
        <v>2</v>
      </c>
      <c r="B114" s="1" t="s">
        <v>802</v>
      </c>
      <c r="C114" t="s">
        <v>773</v>
      </c>
      <c r="D114" s="1">
        <v>1</v>
      </c>
      <c r="E114" s="1" t="s">
        <v>466</v>
      </c>
      <c r="F114" s="4">
        <v>45393</v>
      </c>
      <c r="G114" s="3">
        <f>$K114 + $I114</f>
        <v>0.24690972222222221</v>
      </c>
      <c r="H114" s="3">
        <f>K114 + J114</f>
        <v>0.25677083333333334</v>
      </c>
      <c r="I114" s="3">
        <v>2.1840277777777778E-2</v>
      </c>
      <c r="J114" s="3">
        <v>3.170138888888889E-2</v>
      </c>
      <c r="K114" s="3">
        <v>0.22506944444444443</v>
      </c>
      <c r="L114" s="1" t="s">
        <v>7</v>
      </c>
      <c r="M114" s="1" t="s">
        <v>7</v>
      </c>
      <c r="N114" s="1">
        <v>3</v>
      </c>
      <c r="O114" s="1">
        <v>3</v>
      </c>
      <c r="P114" s="1">
        <v>90</v>
      </c>
      <c r="Q114" s="1">
        <v>90</v>
      </c>
      <c r="R114" s="1">
        <v>57.4</v>
      </c>
      <c r="S114" s="1">
        <v>19.2</v>
      </c>
      <c r="T114" s="1">
        <v>0</v>
      </c>
    </row>
    <row r="115" spans="1:24" x14ac:dyDescent="0.2">
      <c r="A115" s="1">
        <v>2</v>
      </c>
      <c r="B115" s="1" t="s">
        <v>802</v>
      </c>
      <c r="C115" t="s">
        <v>773</v>
      </c>
      <c r="D115" s="1">
        <v>1</v>
      </c>
      <c r="E115" s="1" t="s">
        <v>465</v>
      </c>
      <c r="F115" s="4">
        <v>45393</v>
      </c>
      <c r="G115" s="3">
        <f>$K115 + $I115</f>
        <v>0.76523148148148146</v>
      </c>
      <c r="H115" s="3">
        <f>K115 + J115</f>
        <v>0.76993055555555556</v>
      </c>
      <c r="I115" s="3">
        <v>5.9953703703703705E-3</v>
      </c>
      <c r="J115" s="3">
        <v>1.0694444444444444E-2</v>
      </c>
      <c r="K115" s="3">
        <v>0.75923611111111111</v>
      </c>
      <c r="L115" s="1" t="s">
        <v>7</v>
      </c>
      <c r="M115" s="1" t="s">
        <v>8</v>
      </c>
      <c r="N115" s="1">
        <v>3</v>
      </c>
      <c r="O115" s="1">
        <v>3</v>
      </c>
      <c r="P115" s="1">
        <v>90</v>
      </c>
      <c r="Q115" s="1">
        <v>90</v>
      </c>
      <c r="R115" s="1">
        <v>19.2</v>
      </c>
      <c r="S115" s="1">
        <v>19.2</v>
      </c>
      <c r="T115" s="1" t="s">
        <v>21</v>
      </c>
      <c r="W115" s="1" t="s">
        <v>493</v>
      </c>
    </row>
    <row r="116" spans="1:24" ht="18" customHeight="1" x14ac:dyDescent="0.2">
      <c r="A116" s="1">
        <v>2</v>
      </c>
      <c r="B116" s="1" t="s">
        <v>802</v>
      </c>
      <c r="C116" t="s">
        <v>773</v>
      </c>
      <c r="D116" s="1">
        <v>1</v>
      </c>
      <c r="E116" s="1" t="s">
        <v>463</v>
      </c>
      <c r="F116" s="4">
        <v>45394</v>
      </c>
      <c r="G116" s="3">
        <f>$K116 + $I116</f>
        <v>0.24650462962962963</v>
      </c>
      <c r="H116" s="1" t="s">
        <v>21</v>
      </c>
      <c r="I116" s="3">
        <v>1.4594907407407407E-2</v>
      </c>
      <c r="J116" s="1" t="s">
        <v>21</v>
      </c>
      <c r="K116" s="3">
        <v>0.23190972222222223</v>
      </c>
      <c r="L116" s="1" t="s">
        <v>8</v>
      </c>
      <c r="M116" s="1" t="s">
        <v>8</v>
      </c>
      <c r="N116" s="1">
        <v>3</v>
      </c>
      <c r="O116" s="1">
        <v>3</v>
      </c>
      <c r="P116" s="1">
        <v>90</v>
      </c>
      <c r="Q116" s="1">
        <v>90</v>
      </c>
      <c r="R116" s="1">
        <v>19.2</v>
      </c>
      <c r="S116" s="1">
        <v>19.2</v>
      </c>
      <c r="T116" s="1" t="s">
        <v>21</v>
      </c>
      <c r="W116" s="1" t="s">
        <v>494</v>
      </c>
    </row>
    <row r="117" spans="1:24" x14ac:dyDescent="0.2">
      <c r="A117" s="1">
        <v>2</v>
      </c>
      <c r="B117" s="1" t="s">
        <v>802</v>
      </c>
      <c r="C117" t="s">
        <v>773</v>
      </c>
      <c r="D117" s="1">
        <v>1</v>
      </c>
      <c r="E117" s="1" t="s">
        <v>457</v>
      </c>
      <c r="F117" s="4">
        <v>45394</v>
      </c>
      <c r="G117" s="3">
        <f>$K117 + $I117</f>
        <v>0.76089120370370367</v>
      </c>
      <c r="H117" s="3">
        <f>K117 + J117</f>
        <v>0.76479166666666665</v>
      </c>
      <c r="I117" s="3">
        <v>3.6574074074074074E-3</v>
      </c>
      <c r="J117" s="3">
        <v>7.5578703703703702E-3</v>
      </c>
      <c r="K117" s="3">
        <v>0.75723379629629628</v>
      </c>
      <c r="L117" s="1" t="s">
        <v>8</v>
      </c>
      <c r="M117" s="1" t="s">
        <v>7</v>
      </c>
      <c r="N117" s="1">
        <v>3</v>
      </c>
      <c r="O117" s="1">
        <v>2</v>
      </c>
      <c r="P117" s="1">
        <v>90</v>
      </c>
      <c r="Q117" s="1">
        <v>90</v>
      </c>
      <c r="R117" s="1">
        <v>19.2</v>
      </c>
      <c r="S117" s="1">
        <v>38.4</v>
      </c>
      <c r="T117" s="1">
        <v>0</v>
      </c>
    </row>
    <row r="118" spans="1:24" x14ac:dyDescent="0.2">
      <c r="A118" s="1">
        <v>2</v>
      </c>
      <c r="B118" s="1" t="s">
        <v>802</v>
      </c>
      <c r="C118" t="s">
        <v>773</v>
      </c>
      <c r="D118" s="1" t="s">
        <v>21</v>
      </c>
      <c r="E118" s="1" t="s">
        <v>21</v>
      </c>
      <c r="F118" s="4">
        <v>45395</v>
      </c>
      <c r="G118" s="1" t="s">
        <v>21</v>
      </c>
      <c r="H118" s="1" t="s">
        <v>21</v>
      </c>
      <c r="I118" s="1" t="s">
        <v>21</v>
      </c>
      <c r="J118" s="1" t="s">
        <v>21</v>
      </c>
      <c r="K118" s="1" t="s">
        <v>21</v>
      </c>
      <c r="L118" s="1" t="s">
        <v>8</v>
      </c>
      <c r="M118" s="1" t="s">
        <v>8</v>
      </c>
      <c r="N118" s="1">
        <v>3</v>
      </c>
      <c r="O118" s="1">
        <v>3</v>
      </c>
      <c r="P118" s="1">
        <v>90</v>
      </c>
      <c r="Q118" s="1">
        <v>90</v>
      </c>
      <c r="R118" s="1">
        <v>38.4</v>
      </c>
      <c r="S118" s="1">
        <v>38.4</v>
      </c>
      <c r="T118" s="1" t="s">
        <v>21</v>
      </c>
      <c r="W118" s="1" t="s">
        <v>491</v>
      </c>
    </row>
    <row r="119" spans="1:24" x14ac:dyDescent="0.2">
      <c r="A119" s="1">
        <v>2</v>
      </c>
      <c r="B119" s="1" t="s">
        <v>802</v>
      </c>
      <c r="C119" t="s">
        <v>773</v>
      </c>
      <c r="D119" s="1" t="s">
        <v>21</v>
      </c>
      <c r="E119" s="1" t="s">
        <v>21</v>
      </c>
      <c r="F119" s="4">
        <v>45396</v>
      </c>
      <c r="G119" s="1" t="s">
        <v>21</v>
      </c>
      <c r="H119" s="1" t="s">
        <v>21</v>
      </c>
      <c r="I119" s="1" t="s">
        <v>21</v>
      </c>
      <c r="J119" s="1" t="s">
        <v>21</v>
      </c>
      <c r="K119" s="1" t="s">
        <v>21</v>
      </c>
      <c r="L119" s="1" t="s">
        <v>8</v>
      </c>
      <c r="M119" s="1" t="s">
        <v>8</v>
      </c>
      <c r="N119" s="1">
        <v>3</v>
      </c>
      <c r="O119" s="1">
        <v>3</v>
      </c>
      <c r="P119" s="1">
        <v>90</v>
      </c>
      <c r="Q119" s="1">
        <v>90</v>
      </c>
      <c r="R119" s="1">
        <v>38.4</v>
      </c>
      <c r="S119" s="1">
        <v>38.4</v>
      </c>
      <c r="T119" s="1" t="s">
        <v>21</v>
      </c>
      <c r="W119" s="1" t="s">
        <v>492</v>
      </c>
    </row>
    <row r="120" spans="1:24" x14ac:dyDescent="0.2">
      <c r="A120" s="1">
        <v>2</v>
      </c>
      <c r="B120" s="1" t="s">
        <v>802</v>
      </c>
      <c r="C120" t="s">
        <v>773</v>
      </c>
      <c r="D120" s="1">
        <v>1</v>
      </c>
      <c r="E120" s="1" t="s">
        <v>454</v>
      </c>
      <c r="F120" s="4">
        <v>45396</v>
      </c>
      <c r="G120" s="3">
        <f>$K120 + $I120</f>
        <v>0.77657407407407408</v>
      </c>
      <c r="H120" s="1" t="s">
        <v>21</v>
      </c>
      <c r="I120" s="3">
        <v>1.2615740740740742E-2</v>
      </c>
      <c r="J120" s="1" t="s">
        <v>21</v>
      </c>
      <c r="K120" s="3">
        <v>0.76395833333333329</v>
      </c>
      <c r="L120" s="1" t="s">
        <v>7</v>
      </c>
      <c r="M120" s="1" t="s">
        <v>7</v>
      </c>
      <c r="N120" s="1">
        <v>3</v>
      </c>
      <c r="O120" s="1">
        <v>3</v>
      </c>
      <c r="P120" s="1">
        <v>90</v>
      </c>
      <c r="Q120" s="1">
        <v>90</v>
      </c>
      <c r="R120" s="1">
        <v>19.2</v>
      </c>
      <c r="S120" s="1">
        <v>19.2</v>
      </c>
      <c r="T120" s="1" t="s">
        <v>21</v>
      </c>
      <c r="W120" s="1" t="s">
        <v>495</v>
      </c>
    </row>
    <row r="121" spans="1:24" x14ac:dyDescent="0.2">
      <c r="A121" s="1">
        <v>2</v>
      </c>
      <c r="B121" s="1" t="s">
        <v>802</v>
      </c>
      <c r="C121" t="s">
        <v>773</v>
      </c>
      <c r="D121" s="1">
        <v>1</v>
      </c>
      <c r="E121" s="1" t="s">
        <v>478</v>
      </c>
      <c r="F121" s="4">
        <v>45397</v>
      </c>
      <c r="G121" s="3">
        <f>$K121 + $I121</f>
        <v>0.24163194444444444</v>
      </c>
      <c r="H121" s="3">
        <f>K121 + J121</f>
        <v>0.26587962962962963</v>
      </c>
      <c r="I121" s="3">
        <v>1.4016203703703704E-2</v>
      </c>
      <c r="J121" s="3">
        <v>3.8263888888888889E-2</v>
      </c>
      <c r="K121" s="3">
        <v>0.22761574074074073</v>
      </c>
      <c r="L121" s="1" t="s">
        <v>7</v>
      </c>
      <c r="M121" s="1" t="s">
        <v>7</v>
      </c>
      <c r="N121" s="1">
        <v>3</v>
      </c>
      <c r="O121" s="1">
        <v>3</v>
      </c>
      <c r="P121" s="1">
        <v>90</v>
      </c>
      <c r="Q121" s="1">
        <v>90</v>
      </c>
      <c r="R121" s="1">
        <v>19.2</v>
      </c>
      <c r="S121" s="1">
        <v>19.2</v>
      </c>
      <c r="T121" s="1">
        <v>0</v>
      </c>
    </row>
    <row r="122" spans="1:24" x14ac:dyDescent="0.2">
      <c r="A122" s="1">
        <v>2</v>
      </c>
      <c r="B122" s="1" t="s">
        <v>802</v>
      </c>
      <c r="C122" t="s">
        <v>773</v>
      </c>
      <c r="D122" s="1" t="s">
        <v>21</v>
      </c>
      <c r="E122" s="4" t="s">
        <v>65</v>
      </c>
      <c r="F122" s="26">
        <v>45397</v>
      </c>
      <c r="G122" s="1" t="s">
        <v>21</v>
      </c>
      <c r="H122" s="1" t="s">
        <v>21</v>
      </c>
      <c r="I122" s="1" t="s">
        <v>21</v>
      </c>
      <c r="J122" s="1" t="s">
        <v>21</v>
      </c>
      <c r="K122" s="3">
        <v>0.76392361111111107</v>
      </c>
      <c r="L122" s="1" t="s">
        <v>7</v>
      </c>
      <c r="M122" s="1" t="s">
        <v>7</v>
      </c>
      <c r="N122" s="1">
        <v>3</v>
      </c>
      <c r="O122" s="1">
        <v>3</v>
      </c>
      <c r="P122" s="1">
        <v>90</v>
      </c>
      <c r="Q122" s="1">
        <v>90</v>
      </c>
      <c r="R122" s="1">
        <v>19.2</v>
      </c>
      <c r="S122" s="1">
        <v>19.2</v>
      </c>
      <c r="W122" s="1" t="s">
        <v>522</v>
      </c>
      <c r="X122" s="4"/>
    </row>
    <row r="123" spans="1:24" x14ac:dyDescent="0.2">
      <c r="A123" s="1">
        <v>2</v>
      </c>
      <c r="B123" s="1" t="s">
        <v>802</v>
      </c>
      <c r="C123" t="s">
        <v>773</v>
      </c>
      <c r="D123" s="1">
        <v>1</v>
      </c>
      <c r="E123" s="1" t="s">
        <v>64</v>
      </c>
      <c r="F123" s="4">
        <v>45398</v>
      </c>
      <c r="G123" s="3">
        <f>$K123 + $I123</f>
        <v>0.25142361111111111</v>
      </c>
      <c r="H123" s="3">
        <f>K123 + J123</f>
        <v>0.26069444444444445</v>
      </c>
      <c r="I123" s="3">
        <v>2.2499999999999999E-2</v>
      </c>
      <c r="J123" s="3">
        <v>3.1770833333333331E-2</v>
      </c>
      <c r="K123" s="3">
        <v>0.22892361111111112</v>
      </c>
      <c r="L123" s="1" t="s">
        <v>7</v>
      </c>
      <c r="M123" s="1" t="s">
        <v>8</v>
      </c>
      <c r="N123" s="1">
        <v>2</v>
      </c>
      <c r="O123" s="1">
        <v>2</v>
      </c>
      <c r="P123" s="1">
        <v>90</v>
      </c>
      <c r="Q123" s="1">
        <v>90</v>
      </c>
      <c r="R123" s="1">
        <v>19.2</v>
      </c>
      <c r="S123" s="1">
        <v>19.2</v>
      </c>
      <c r="T123" s="1">
        <v>1</v>
      </c>
      <c r="W123" s="1" t="s">
        <v>521</v>
      </c>
    </row>
    <row r="124" spans="1:24" x14ac:dyDescent="0.2">
      <c r="A124" s="1">
        <v>2</v>
      </c>
      <c r="B124" s="1" t="s">
        <v>802</v>
      </c>
      <c r="C124" t="s">
        <v>773</v>
      </c>
      <c r="D124" s="1">
        <v>1</v>
      </c>
      <c r="E124" s="1" t="s">
        <v>72</v>
      </c>
      <c r="F124" s="4">
        <v>45398</v>
      </c>
      <c r="G124" s="3">
        <f>$K124 + $I124</f>
        <v>0.77348379629629627</v>
      </c>
      <c r="H124" s="3">
        <f>K124 + J124</f>
        <v>0.77694444444444444</v>
      </c>
      <c r="I124" s="3">
        <v>1.4108796296296296E-2</v>
      </c>
      <c r="J124" s="3">
        <v>1.7569444444444443E-2</v>
      </c>
      <c r="K124" s="3">
        <v>0.75937500000000002</v>
      </c>
      <c r="L124" s="1" t="s">
        <v>8</v>
      </c>
      <c r="M124" s="1" t="s">
        <v>7</v>
      </c>
      <c r="N124" s="1">
        <v>2</v>
      </c>
      <c r="O124" s="1">
        <v>2</v>
      </c>
      <c r="P124" s="1">
        <v>90</v>
      </c>
      <c r="Q124" s="1">
        <v>90</v>
      </c>
      <c r="R124" s="1">
        <v>115.17</v>
      </c>
      <c r="S124" s="1">
        <v>115.17</v>
      </c>
      <c r="T124" s="1">
        <v>1</v>
      </c>
    </row>
    <row r="125" spans="1:24" x14ac:dyDescent="0.2">
      <c r="A125" s="1">
        <v>2</v>
      </c>
      <c r="B125" s="1" t="s">
        <v>802</v>
      </c>
      <c r="C125" t="s">
        <v>773</v>
      </c>
      <c r="D125" s="1">
        <v>1</v>
      </c>
      <c r="E125" s="1" t="s">
        <v>94</v>
      </c>
      <c r="F125" s="4">
        <v>45399</v>
      </c>
      <c r="G125" s="3">
        <f>$K125 + $I125</f>
        <v>0.24685185185185185</v>
      </c>
      <c r="H125" s="1" t="s">
        <v>21</v>
      </c>
      <c r="I125" s="3">
        <v>1.4768518518518519E-2</v>
      </c>
      <c r="J125" s="1" t="s">
        <v>21</v>
      </c>
      <c r="K125" s="3">
        <v>0.23208333333333334</v>
      </c>
      <c r="L125" s="1" t="s">
        <v>7</v>
      </c>
      <c r="M125" s="1" t="s">
        <v>8</v>
      </c>
      <c r="N125" s="1">
        <v>2</v>
      </c>
      <c r="O125" s="1">
        <v>2</v>
      </c>
      <c r="P125" s="1">
        <v>90</v>
      </c>
      <c r="Q125" s="1">
        <v>90</v>
      </c>
      <c r="R125" s="1">
        <v>115.17</v>
      </c>
      <c r="S125" s="1">
        <v>115.17</v>
      </c>
      <c r="T125" s="1" t="s">
        <v>21</v>
      </c>
      <c r="W125" s="1" t="s">
        <v>523</v>
      </c>
    </row>
    <row r="126" spans="1:24" x14ac:dyDescent="0.2">
      <c r="A126" s="15">
        <v>2</v>
      </c>
      <c r="B126" s="1" t="s">
        <v>802</v>
      </c>
      <c r="C126" t="s">
        <v>773</v>
      </c>
      <c r="D126" s="1" t="s">
        <v>21</v>
      </c>
      <c r="E126" s="1" t="s">
        <v>100</v>
      </c>
      <c r="F126" s="4">
        <v>45399</v>
      </c>
      <c r="G126" s="1" t="s">
        <v>21</v>
      </c>
      <c r="H126" s="1" t="s">
        <v>21</v>
      </c>
      <c r="I126" s="1" t="s">
        <v>21</v>
      </c>
      <c r="J126" s="1" t="s">
        <v>21</v>
      </c>
      <c r="K126" s="3">
        <v>0.75664351851851852</v>
      </c>
      <c r="L126" s="1" t="s">
        <v>8</v>
      </c>
      <c r="M126" s="1" t="s">
        <v>8</v>
      </c>
      <c r="N126" s="1">
        <v>2</v>
      </c>
      <c r="O126" s="1">
        <v>2</v>
      </c>
      <c r="P126" s="1">
        <v>90</v>
      </c>
      <c r="Q126" s="1">
        <v>90</v>
      </c>
      <c r="R126" s="1">
        <v>115.17</v>
      </c>
      <c r="S126" s="1">
        <v>115.17</v>
      </c>
      <c r="T126" s="1" t="s">
        <v>21</v>
      </c>
      <c r="W126" s="1" t="s">
        <v>531</v>
      </c>
    </row>
    <row r="127" spans="1:24" x14ac:dyDescent="0.2">
      <c r="A127" s="1">
        <v>2</v>
      </c>
      <c r="B127" s="1" t="s">
        <v>802</v>
      </c>
      <c r="C127" t="s">
        <v>773</v>
      </c>
      <c r="D127" s="1">
        <v>1</v>
      </c>
      <c r="E127" s="1" t="s">
        <v>154</v>
      </c>
      <c r="F127" s="4">
        <v>45400</v>
      </c>
      <c r="G127" s="3">
        <f>$K127 + $I127</f>
        <v>0.24849537037037037</v>
      </c>
      <c r="H127" s="3">
        <f>K127 + J127</f>
        <v>0.28089120370370368</v>
      </c>
      <c r="I127" s="3">
        <v>2.2361111111111109E-2</v>
      </c>
      <c r="J127" s="3">
        <v>5.4756944444444441E-2</v>
      </c>
      <c r="K127" s="3">
        <v>0.22613425925925926</v>
      </c>
      <c r="L127" s="1" t="s">
        <v>8</v>
      </c>
      <c r="M127" s="1" t="s">
        <v>8</v>
      </c>
      <c r="N127" s="1">
        <v>2</v>
      </c>
      <c r="O127" s="1">
        <v>2</v>
      </c>
      <c r="P127" s="1">
        <v>90</v>
      </c>
      <c r="Q127" s="1">
        <v>90</v>
      </c>
      <c r="R127" s="1">
        <v>115.17</v>
      </c>
      <c r="S127" s="1">
        <v>115.17</v>
      </c>
      <c r="T127" s="1">
        <v>1</v>
      </c>
    </row>
    <row r="128" spans="1:24" x14ac:dyDescent="0.2">
      <c r="A128" s="1">
        <v>2</v>
      </c>
      <c r="B128" s="1" t="s">
        <v>802</v>
      </c>
      <c r="C128" t="s">
        <v>773</v>
      </c>
      <c r="D128" s="1">
        <v>1</v>
      </c>
      <c r="E128" s="1" t="s">
        <v>79</v>
      </c>
      <c r="F128" s="4">
        <v>45400</v>
      </c>
      <c r="G128" s="3">
        <f>$K128 + $I128</f>
        <v>0.7727546296296296</v>
      </c>
      <c r="H128" s="3">
        <f>K128 + J128</f>
        <v>0.78256944444444443</v>
      </c>
      <c r="I128" s="3">
        <v>1.6435185185185185E-2</v>
      </c>
      <c r="J128" s="3">
        <v>2.6249999999999999E-2</v>
      </c>
      <c r="K128" s="3">
        <v>0.75631944444444443</v>
      </c>
      <c r="L128" s="1" t="s">
        <v>7</v>
      </c>
      <c r="M128" s="1" t="s">
        <v>7</v>
      </c>
      <c r="N128" s="1">
        <v>2</v>
      </c>
      <c r="O128" s="1">
        <v>2</v>
      </c>
      <c r="P128" s="1">
        <v>90</v>
      </c>
      <c r="Q128" s="1">
        <v>90</v>
      </c>
      <c r="R128" s="1">
        <v>115.17</v>
      </c>
      <c r="S128" s="1">
        <v>115.17</v>
      </c>
      <c r="T128" s="1">
        <v>1</v>
      </c>
      <c r="W128" s="1" t="s">
        <v>532</v>
      </c>
    </row>
    <row r="129" spans="1:24" x14ac:dyDescent="0.2">
      <c r="A129" s="1">
        <v>2</v>
      </c>
      <c r="B129" s="1" t="s">
        <v>802</v>
      </c>
      <c r="C129" t="s">
        <v>773</v>
      </c>
      <c r="D129" s="1" t="s">
        <v>21</v>
      </c>
      <c r="E129" s="1" t="s">
        <v>280</v>
      </c>
      <c r="F129" s="4">
        <v>45401</v>
      </c>
      <c r="G129" s="1" t="s">
        <v>21</v>
      </c>
      <c r="H129" s="1" t="s">
        <v>21</v>
      </c>
      <c r="I129" s="1" t="s">
        <v>21</v>
      </c>
      <c r="J129" s="1" t="s">
        <v>21</v>
      </c>
      <c r="K129" s="1" t="s">
        <v>21</v>
      </c>
      <c r="L129" s="1" t="s">
        <v>7</v>
      </c>
      <c r="M129" s="1" t="s">
        <v>7</v>
      </c>
      <c r="N129" s="1">
        <v>2</v>
      </c>
      <c r="O129" s="1">
        <v>2</v>
      </c>
      <c r="P129" s="1">
        <v>90</v>
      </c>
      <c r="Q129" s="1">
        <v>90</v>
      </c>
      <c r="R129" s="1">
        <v>115.17</v>
      </c>
      <c r="S129" s="1">
        <v>115.17</v>
      </c>
      <c r="T129" s="1" t="s">
        <v>21</v>
      </c>
      <c r="W129" s="1" t="s">
        <v>531</v>
      </c>
    </row>
    <row r="130" spans="1:24" x14ac:dyDescent="0.2">
      <c r="A130" s="1">
        <v>2</v>
      </c>
      <c r="B130" s="1" t="s">
        <v>802</v>
      </c>
      <c r="C130" t="s">
        <v>773</v>
      </c>
      <c r="D130" s="1">
        <v>1</v>
      </c>
      <c r="E130" s="1" t="s">
        <v>83</v>
      </c>
      <c r="F130" s="4">
        <v>45401</v>
      </c>
      <c r="G130" s="1" t="s">
        <v>21</v>
      </c>
      <c r="H130" s="3">
        <f>K130 + J130</f>
        <v>0.77663194444444439</v>
      </c>
      <c r="I130" s="1" t="s">
        <v>21</v>
      </c>
      <c r="J130" s="3">
        <v>4.8611111111111112E-3</v>
      </c>
      <c r="K130" s="3">
        <v>0.77177083333333329</v>
      </c>
      <c r="L130" s="1" t="s">
        <v>7</v>
      </c>
      <c r="M130" s="1" t="s">
        <v>7</v>
      </c>
      <c r="N130" s="1">
        <v>1</v>
      </c>
      <c r="O130" s="1">
        <v>1</v>
      </c>
      <c r="P130" s="1">
        <v>90</v>
      </c>
      <c r="Q130" s="1">
        <v>90</v>
      </c>
      <c r="R130" s="1">
        <v>115.17</v>
      </c>
      <c r="S130" s="1">
        <v>115.17</v>
      </c>
      <c r="T130" s="1">
        <v>1</v>
      </c>
      <c r="W130" s="1" t="s">
        <v>480</v>
      </c>
    </row>
    <row r="131" spans="1:24" x14ac:dyDescent="0.2">
      <c r="A131" s="1">
        <v>2</v>
      </c>
      <c r="B131" s="1" t="s">
        <v>802</v>
      </c>
      <c r="C131" t="s">
        <v>773</v>
      </c>
      <c r="D131" s="1" t="s">
        <v>21</v>
      </c>
      <c r="E131" s="1" t="s">
        <v>84</v>
      </c>
      <c r="F131" s="4">
        <v>45402</v>
      </c>
      <c r="G131" s="22" t="s">
        <v>21</v>
      </c>
      <c r="H131" s="1" t="s">
        <v>21</v>
      </c>
      <c r="I131" s="22" t="s">
        <v>21</v>
      </c>
      <c r="J131" s="1" t="s">
        <v>21</v>
      </c>
      <c r="K131" s="3">
        <v>0.22399305555555554</v>
      </c>
      <c r="L131" s="1" t="s">
        <v>7</v>
      </c>
      <c r="M131" s="1" t="s">
        <v>7</v>
      </c>
      <c r="N131" s="1">
        <v>1</v>
      </c>
      <c r="O131" s="1">
        <v>1</v>
      </c>
      <c r="P131" s="1">
        <v>90</v>
      </c>
      <c r="Q131" s="1">
        <v>90</v>
      </c>
      <c r="R131" s="1">
        <v>115.17</v>
      </c>
      <c r="S131" s="1">
        <v>115.17</v>
      </c>
      <c r="T131" s="1" t="s">
        <v>21</v>
      </c>
    </row>
    <row r="132" spans="1:24" x14ac:dyDescent="0.2">
      <c r="A132" s="1">
        <v>2</v>
      </c>
      <c r="B132" s="1" t="s">
        <v>802</v>
      </c>
      <c r="C132" t="s">
        <v>773</v>
      </c>
      <c r="D132" s="1">
        <v>1</v>
      </c>
      <c r="E132" s="1" t="s">
        <v>88</v>
      </c>
      <c r="F132" s="4">
        <v>45402</v>
      </c>
      <c r="G132" s="3">
        <f>$K132 + $I132</f>
        <v>0.77831018518518524</v>
      </c>
      <c r="H132" s="3">
        <f>K132 + J132</f>
        <v>0.78553240740740737</v>
      </c>
      <c r="I132" s="3">
        <v>2.4479166666666666E-2</v>
      </c>
      <c r="J132" s="3">
        <v>3.170138888888889E-2</v>
      </c>
      <c r="K132" s="3">
        <v>0.75383101851851853</v>
      </c>
      <c r="L132" s="1" t="s">
        <v>7</v>
      </c>
      <c r="M132" s="1" t="s">
        <v>7</v>
      </c>
      <c r="N132" s="1">
        <v>1</v>
      </c>
      <c r="O132" s="1">
        <v>1</v>
      </c>
      <c r="P132" s="1">
        <v>90</v>
      </c>
      <c r="Q132" s="1">
        <v>90</v>
      </c>
      <c r="R132" s="1">
        <v>115.17</v>
      </c>
      <c r="S132" s="1">
        <v>115.17</v>
      </c>
      <c r="T132" s="1" t="s">
        <v>21</v>
      </c>
      <c r="W132" s="1" t="s">
        <v>546</v>
      </c>
    </row>
    <row r="133" spans="1:24" x14ac:dyDescent="0.2">
      <c r="A133" s="1">
        <v>2</v>
      </c>
      <c r="B133" s="1" t="s">
        <v>802</v>
      </c>
      <c r="C133" t="s">
        <v>773</v>
      </c>
      <c r="D133" s="1" t="s">
        <v>21</v>
      </c>
      <c r="E133" s="1" t="s">
        <v>94</v>
      </c>
      <c r="F133" s="4">
        <v>45403</v>
      </c>
      <c r="G133" s="22" t="s">
        <v>21</v>
      </c>
      <c r="H133" s="1" t="s">
        <v>21</v>
      </c>
      <c r="I133" s="22" t="s">
        <v>21</v>
      </c>
      <c r="J133" s="1" t="s">
        <v>21</v>
      </c>
      <c r="K133" s="3">
        <v>0.22620370370370371</v>
      </c>
      <c r="L133" s="1" t="s">
        <v>7</v>
      </c>
      <c r="M133" s="1" t="s">
        <v>7</v>
      </c>
      <c r="N133" s="1">
        <v>1</v>
      </c>
      <c r="O133" s="1">
        <v>1</v>
      </c>
      <c r="P133" s="1">
        <v>90</v>
      </c>
      <c r="Q133" s="1">
        <v>90</v>
      </c>
      <c r="R133" s="1">
        <v>115.17</v>
      </c>
      <c r="S133" s="1">
        <v>115.17</v>
      </c>
      <c r="T133" s="1" t="s">
        <v>21</v>
      </c>
      <c r="W133" s="1" t="s">
        <v>531</v>
      </c>
    </row>
    <row r="134" spans="1:24" x14ac:dyDescent="0.2">
      <c r="A134" s="1">
        <v>2</v>
      </c>
      <c r="B134" s="1" t="s">
        <v>802</v>
      </c>
      <c r="C134" t="s">
        <v>773</v>
      </c>
      <c r="D134" s="1" t="s">
        <v>21</v>
      </c>
      <c r="E134" s="1" t="s">
        <v>181</v>
      </c>
      <c r="F134" s="4">
        <v>45403</v>
      </c>
      <c r="G134" s="2" t="s">
        <v>21</v>
      </c>
      <c r="H134" s="1" t="s">
        <v>21</v>
      </c>
      <c r="I134" s="2" t="s">
        <v>21</v>
      </c>
      <c r="J134" s="1" t="s">
        <v>21</v>
      </c>
      <c r="K134" s="2" t="s">
        <v>21</v>
      </c>
      <c r="L134" s="1" t="s">
        <v>7</v>
      </c>
      <c r="M134" s="1" t="s">
        <v>7</v>
      </c>
      <c r="N134" s="1">
        <v>1</v>
      </c>
      <c r="O134" s="1">
        <v>1</v>
      </c>
      <c r="P134" s="1">
        <v>90</v>
      </c>
      <c r="Q134" s="1">
        <v>90</v>
      </c>
      <c r="R134" s="1">
        <v>115.17</v>
      </c>
      <c r="S134" s="1">
        <v>115.17</v>
      </c>
      <c r="T134" s="1" t="s">
        <v>21</v>
      </c>
      <c r="W134" s="1" t="s">
        <v>531</v>
      </c>
    </row>
    <row r="135" spans="1:24" x14ac:dyDescent="0.2">
      <c r="A135" s="1">
        <v>2</v>
      </c>
      <c r="B135" s="1" t="s">
        <v>802</v>
      </c>
      <c r="C135" t="s">
        <v>773</v>
      </c>
      <c r="D135" s="1" t="s">
        <v>21</v>
      </c>
      <c r="E135" s="1" t="s">
        <v>111</v>
      </c>
      <c r="F135" s="4">
        <v>45404</v>
      </c>
      <c r="G135" s="1" t="s">
        <v>21</v>
      </c>
      <c r="H135" s="1" t="s">
        <v>21</v>
      </c>
      <c r="I135" s="1" t="s">
        <v>21</v>
      </c>
      <c r="J135" s="1" t="s">
        <v>21</v>
      </c>
      <c r="K135" s="3">
        <v>0.22125</v>
      </c>
      <c r="L135" s="1" t="s">
        <v>7</v>
      </c>
      <c r="M135" s="1" t="s">
        <v>7</v>
      </c>
      <c r="N135" s="1">
        <v>1</v>
      </c>
      <c r="O135" s="1">
        <v>1</v>
      </c>
      <c r="P135" s="1">
        <v>90</v>
      </c>
      <c r="Q135" s="1">
        <v>90</v>
      </c>
      <c r="R135" s="1">
        <v>115.17</v>
      </c>
      <c r="S135" s="1">
        <v>115.17</v>
      </c>
      <c r="T135" s="1" t="s">
        <v>21</v>
      </c>
    </row>
    <row r="136" spans="1:24" x14ac:dyDescent="0.2">
      <c r="A136" s="1">
        <v>2</v>
      </c>
      <c r="B136" s="1" t="s">
        <v>802</v>
      </c>
      <c r="C136" t="s">
        <v>773</v>
      </c>
      <c r="D136" s="1" t="s">
        <v>21</v>
      </c>
      <c r="E136" s="1" t="s">
        <v>250</v>
      </c>
      <c r="F136" s="4">
        <v>45405</v>
      </c>
      <c r="G136" s="1" t="s">
        <v>21</v>
      </c>
      <c r="H136" s="1" t="s">
        <v>21</v>
      </c>
      <c r="I136" s="1" t="s">
        <v>21</v>
      </c>
      <c r="J136" s="1" t="s">
        <v>21</v>
      </c>
      <c r="K136" s="3">
        <v>0.22743055555555555</v>
      </c>
      <c r="L136" s="1" t="s">
        <v>7</v>
      </c>
      <c r="M136" s="1" t="s">
        <v>7</v>
      </c>
      <c r="N136" s="1">
        <v>1</v>
      </c>
      <c r="O136" s="1">
        <v>1</v>
      </c>
      <c r="P136" s="1">
        <v>90</v>
      </c>
      <c r="Q136" s="1">
        <v>90</v>
      </c>
      <c r="R136" s="1">
        <v>115.17</v>
      </c>
      <c r="S136" s="1">
        <v>115.17</v>
      </c>
      <c r="T136" s="1" t="s">
        <v>21</v>
      </c>
    </row>
    <row r="137" spans="1:24" x14ac:dyDescent="0.2">
      <c r="A137" s="1">
        <v>2</v>
      </c>
      <c r="B137" s="1" t="s">
        <v>802</v>
      </c>
      <c r="C137" t="s">
        <v>773</v>
      </c>
      <c r="D137" s="1">
        <v>1</v>
      </c>
      <c r="E137" s="1" t="s">
        <v>554</v>
      </c>
      <c r="F137" s="4">
        <v>45411</v>
      </c>
      <c r="G137" s="3">
        <v>0.25243055555555555</v>
      </c>
      <c r="H137" s="3">
        <v>0.25972222222222224</v>
      </c>
      <c r="I137" s="3">
        <v>1.8564814814814815E-2</v>
      </c>
      <c r="J137" s="3">
        <v>1.1689814814814816E-3</v>
      </c>
      <c r="K137" s="1" t="s">
        <v>21</v>
      </c>
      <c r="L137" s="1" t="s">
        <v>8</v>
      </c>
      <c r="M137" s="1" t="s">
        <v>7</v>
      </c>
      <c r="N137" s="1">
        <v>1</v>
      </c>
      <c r="O137" s="1">
        <v>2</v>
      </c>
      <c r="P137" s="1">
        <v>90</v>
      </c>
      <c r="Q137" s="1">
        <v>90</v>
      </c>
      <c r="R137" s="1">
        <v>57.4</v>
      </c>
      <c r="S137" s="1">
        <v>57.4</v>
      </c>
      <c r="T137" s="1">
        <v>0</v>
      </c>
      <c r="W137" s="1" t="s">
        <v>556</v>
      </c>
    </row>
    <row r="138" spans="1:24" x14ac:dyDescent="0.2">
      <c r="A138" s="1">
        <v>2</v>
      </c>
      <c r="B138" s="1" t="s">
        <v>802</v>
      </c>
      <c r="C138" t="s">
        <v>773</v>
      </c>
      <c r="D138" s="1">
        <v>1</v>
      </c>
      <c r="E138" s="1" t="s">
        <v>118</v>
      </c>
      <c r="F138" s="4">
        <v>45411</v>
      </c>
      <c r="G138" s="3">
        <f>$K138 + $I138</f>
        <v>0.76672453703703702</v>
      </c>
      <c r="H138" s="3">
        <f>K138 + J138</f>
        <v>0.77131944444444445</v>
      </c>
      <c r="I138" s="3">
        <v>4.7453703703703703E-3</v>
      </c>
      <c r="J138" s="3">
        <v>9.3402777777777772E-3</v>
      </c>
      <c r="K138" s="3">
        <v>0.76197916666666665</v>
      </c>
      <c r="L138" s="1" t="s">
        <v>7</v>
      </c>
      <c r="M138" s="1" t="s">
        <v>7</v>
      </c>
      <c r="N138" s="1">
        <v>2</v>
      </c>
      <c r="O138" s="1">
        <v>2</v>
      </c>
      <c r="P138" s="1">
        <v>90</v>
      </c>
      <c r="Q138" s="1">
        <v>90</v>
      </c>
      <c r="R138" s="1">
        <v>57.4</v>
      </c>
      <c r="S138" s="1">
        <v>57.4</v>
      </c>
      <c r="T138" s="1">
        <v>1</v>
      </c>
      <c r="W138" s="1" t="s">
        <v>565</v>
      </c>
    </row>
    <row r="139" spans="1:24" x14ac:dyDescent="0.2">
      <c r="A139" s="1">
        <v>2</v>
      </c>
      <c r="B139" s="1" t="s">
        <v>802</v>
      </c>
      <c r="C139" t="s">
        <v>773</v>
      </c>
      <c r="D139" s="1">
        <v>1</v>
      </c>
      <c r="E139" s="1" t="s">
        <v>168</v>
      </c>
      <c r="F139" s="4">
        <v>45412</v>
      </c>
      <c r="G139" s="3">
        <f>$K139 + $I139</f>
        <v>0.24459490740740741</v>
      </c>
      <c r="H139" s="3">
        <f>K139 + J139</f>
        <v>0.28041666666666665</v>
      </c>
      <c r="I139" s="3">
        <v>2.7430555555555555E-2</v>
      </c>
      <c r="J139" s="3">
        <v>6.3252314814814817E-2</v>
      </c>
      <c r="K139" s="3">
        <v>0.21716435185185184</v>
      </c>
      <c r="L139" s="1" t="s">
        <v>8</v>
      </c>
      <c r="M139" s="1" t="s">
        <v>8</v>
      </c>
      <c r="N139" s="1">
        <v>2</v>
      </c>
      <c r="O139" s="1">
        <v>2</v>
      </c>
      <c r="P139" s="1">
        <v>90</v>
      </c>
      <c r="Q139" s="1">
        <v>90</v>
      </c>
      <c r="R139" s="1">
        <v>57.4</v>
      </c>
      <c r="S139" s="1">
        <v>57.4</v>
      </c>
      <c r="T139" s="1">
        <v>1</v>
      </c>
      <c r="X139" s="1" t="s">
        <v>640</v>
      </c>
    </row>
    <row r="140" spans="1:24" x14ac:dyDescent="0.2">
      <c r="A140" s="1">
        <v>2</v>
      </c>
      <c r="B140" s="1" t="s">
        <v>802</v>
      </c>
      <c r="C140" t="s">
        <v>773</v>
      </c>
      <c r="D140" s="1">
        <v>1</v>
      </c>
      <c r="E140" s="1" t="s">
        <v>769</v>
      </c>
      <c r="F140" s="4">
        <v>45412</v>
      </c>
      <c r="G140" s="1" t="s">
        <v>21</v>
      </c>
      <c r="H140" s="3">
        <f>K140 + J140</f>
        <v>0.77048611111111109</v>
      </c>
      <c r="I140" s="1" t="s">
        <v>21</v>
      </c>
      <c r="J140" s="3">
        <v>8.7037037037037031E-3</v>
      </c>
      <c r="K140" s="3">
        <v>0.76178240740740744</v>
      </c>
      <c r="L140" s="1" t="s">
        <v>8</v>
      </c>
      <c r="M140" s="1" t="s">
        <v>8</v>
      </c>
      <c r="N140" s="1">
        <v>2</v>
      </c>
      <c r="O140" s="1">
        <v>2</v>
      </c>
      <c r="P140" s="1">
        <v>90</v>
      </c>
      <c r="Q140" s="1">
        <v>90</v>
      </c>
      <c r="R140" s="1">
        <v>57.4</v>
      </c>
      <c r="S140" s="1">
        <v>57.4</v>
      </c>
      <c r="T140" s="1">
        <v>1</v>
      </c>
      <c r="W140" s="1" t="s">
        <v>480</v>
      </c>
    </row>
    <row r="141" spans="1:24" x14ac:dyDescent="0.2">
      <c r="A141" s="1">
        <v>2</v>
      </c>
      <c r="B141" s="1" t="s">
        <v>802</v>
      </c>
      <c r="C141" t="s">
        <v>773</v>
      </c>
      <c r="D141" s="1">
        <v>1</v>
      </c>
      <c r="E141" s="1" t="s">
        <v>287</v>
      </c>
      <c r="F141" s="4">
        <v>45413</v>
      </c>
      <c r="G141" s="1" t="s">
        <v>21</v>
      </c>
      <c r="H141" s="3">
        <f>K141 + J141</f>
        <v>0.76872685185185186</v>
      </c>
      <c r="I141" s="1" t="s">
        <v>21</v>
      </c>
      <c r="J141" s="3">
        <v>4.7337962962962967E-3</v>
      </c>
      <c r="K141" s="3">
        <v>0.76399305555555552</v>
      </c>
      <c r="L141" s="1" t="s">
        <v>7</v>
      </c>
      <c r="M141" s="1" t="s">
        <v>7</v>
      </c>
      <c r="N141" s="1">
        <v>2</v>
      </c>
      <c r="O141" s="1">
        <v>2</v>
      </c>
      <c r="P141" s="1">
        <v>90</v>
      </c>
      <c r="Q141" s="1">
        <v>90</v>
      </c>
      <c r="R141" s="1">
        <v>57.4</v>
      </c>
      <c r="S141" s="1">
        <v>57.4</v>
      </c>
      <c r="T141" s="1">
        <v>0</v>
      </c>
      <c r="W141" s="1" t="s">
        <v>480</v>
      </c>
    </row>
    <row r="142" spans="1:24" x14ac:dyDescent="0.2">
      <c r="A142" s="1">
        <v>2</v>
      </c>
      <c r="B142" s="1" t="s">
        <v>802</v>
      </c>
      <c r="C142" t="s">
        <v>773</v>
      </c>
      <c r="D142" s="1">
        <v>1</v>
      </c>
      <c r="E142" s="1" t="s">
        <v>170</v>
      </c>
      <c r="F142" s="4">
        <v>45413</v>
      </c>
      <c r="G142" s="3">
        <f>$K142 + $I142</f>
        <v>0.25039351851851854</v>
      </c>
      <c r="H142" s="1" t="s">
        <v>21</v>
      </c>
      <c r="I142" s="3">
        <v>3.3888888888888892E-2</v>
      </c>
      <c r="J142" s="1" t="s">
        <v>21</v>
      </c>
      <c r="K142" s="3">
        <v>0.21650462962962963</v>
      </c>
      <c r="L142" s="1" t="s">
        <v>7</v>
      </c>
      <c r="M142" s="1" t="s">
        <v>7</v>
      </c>
      <c r="N142" s="1">
        <v>2</v>
      </c>
      <c r="O142" s="1">
        <v>2</v>
      </c>
      <c r="P142" s="1">
        <v>90</v>
      </c>
      <c r="Q142" s="1">
        <v>90</v>
      </c>
      <c r="R142" s="1">
        <v>57.4</v>
      </c>
      <c r="S142" s="1">
        <v>57.4</v>
      </c>
      <c r="T142" s="1" t="s">
        <v>21</v>
      </c>
      <c r="W142" s="1" t="s">
        <v>575</v>
      </c>
    </row>
    <row r="143" spans="1:24" x14ac:dyDescent="0.2">
      <c r="A143" s="1">
        <v>2</v>
      </c>
      <c r="B143" s="1" t="s">
        <v>802</v>
      </c>
      <c r="C143" t="s">
        <v>773</v>
      </c>
      <c r="D143" s="1">
        <v>1</v>
      </c>
      <c r="E143" s="1" t="s">
        <v>749</v>
      </c>
      <c r="F143" s="4">
        <v>45414</v>
      </c>
      <c r="G143" s="3">
        <f>$K143 + $I143</f>
        <v>0.24003472222222222</v>
      </c>
      <c r="H143" s="3">
        <f>K143 + J143</f>
        <v>0.3130324074074074</v>
      </c>
      <c r="I143" s="3">
        <v>2.0856481481481483E-2</v>
      </c>
      <c r="J143" s="3">
        <v>9.3854166666666669E-2</v>
      </c>
      <c r="K143" s="3">
        <v>0.21917824074074074</v>
      </c>
      <c r="L143" s="1" t="s">
        <v>8</v>
      </c>
      <c r="M143" s="1" t="s">
        <v>8</v>
      </c>
      <c r="N143" s="1">
        <v>2</v>
      </c>
      <c r="O143" s="1">
        <v>2</v>
      </c>
      <c r="P143" s="1">
        <v>90</v>
      </c>
      <c r="Q143" s="1">
        <v>90</v>
      </c>
      <c r="R143" s="1">
        <v>57.4</v>
      </c>
      <c r="S143" s="1">
        <v>57.4</v>
      </c>
      <c r="T143" s="1">
        <v>1</v>
      </c>
      <c r="W143" s="1" t="s">
        <v>570</v>
      </c>
    </row>
    <row r="144" spans="1:24" x14ac:dyDescent="0.2">
      <c r="A144" s="1">
        <v>2</v>
      </c>
      <c r="B144" s="1" t="s">
        <v>802</v>
      </c>
      <c r="C144" t="s">
        <v>773</v>
      </c>
      <c r="D144" s="1">
        <v>1</v>
      </c>
      <c r="E144" s="1" t="s">
        <v>291</v>
      </c>
      <c r="F144" s="4">
        <v>45414</v>
      </c>
      <c r="G144" s="1" t="s">
        <v>21</v>
      </c>
      <c r="H144" s="3">
        <f>K144 + J144</f>
        <v>0.77929398148148155</v>
      </c>
      <c r="I144" s="1" t="s">
        <v>21</v>
      </c>
      <c r="J144" s="3">
        <v>2.1423611111111112E-2</v>
      </c>
      <c r="K144" s="3">
        <v>0.75787037037037042</v>
      </c>
      <c r="L144" s="1" t="s">
        <v>8</v>
      </c>
      <c r="M144" s="1" t="s">
        <v>7</v>
      </c>
      <c r="N144" s="1">
        <v>2</v>
      </c>
      <c r="O144" s="1">
        <v>2</v>
      </c>
      <c r="P144" s="1">
        <v>90</v>
      </c>
      <c r="Q144" s="1">
        <v>90</v>
      </c>
      <c r="R144" s="1">
        <v>57.4</v>
      </c>
      <c r="S144" s="1">
        <v>57.4</v>
      </c>
      <c r="T144" s="1">
        <v>0</v>
      </c>
      <c r="W144" s="1" t="s">
        <v>580</v>
      </c>
    </row>
    <row r="145" spans="1:24" x14ac:dyDescent="0.2">
      <c r="A145" s="1">
        <v>2</v>
      </c>
      <c r="B145" s="1" t="s">
        <v>802</v>
      </c>
      <c r="C145" t="s">
        <v>773</v>
      </c>
      <c r="D145" s="1">
        <v>1</v>
      </c>
      <c r="E145" s="1" t="s">
        <v>117</v>
      </c>
      <c r="F145" s="4">
        <v>45409</v>
      </c>
      <c r="G145" s="1" t="s">
        <v>21</v>
      </c>
      <c r="H145" s="3">
        <v>0.77035879629629633</v>
      </c>
      <c r="I145" s="1" t="s">
        <v>21</v>
      </c>
      <c r="J145" s="3">
        <v>8.5532407407407415E-3</v>
      </c>
      <c r="K145" s="3">
        <v>0.77035879629629633</v>
      </c>
      <c r="L145" s="1" t="s">
        <v>8</v>
      </c>
      <c r="M145" s="1" t="s">
        <v>8</v>
      </c>
      <c r="N145" s="1">
        <v>1</v>
      </c>
      <c r="O145" s="1">
        <v>1</v>
      </c>
      <c r="P145" s="1">
        <v>90</v>
      </c>
      <c r="Q145" s="1">
        <v>90</v>
      </c>
      <c r="R145" s="1">
        <v>115.17</v>
      </c>
      <c r="S145" s="1">
        <v>115.17</v>
      </c>
      <c r="T145" s="1">
        <v>1</v>
      </c>
      <c r="W145" s="1" t="s">
        <v>480</v>
      </c>
    </row>
    <row r="146" spans="1:24" x14ac:dyDescent="0.2">
      <c r="A146" s="1">
        <v>2</v>
      </c>
      <c r="B146" s="1" t="s">
        <v>802</v>
      </c>
      <c r="C146" t="s">
        <v>773</v>
      </c>
      <c r="D146" s="1">
        <v>1</v>
      </c>
      <c r="E146" s="1" t="s">
        <v>252</v>
      </c>
      <c r="F146" s="4">
        <v>45406</v>
      </c>
      <c r="G146" s="3">
        <f>$K146 + $I146</f>
        <v>0.76812499999999995</v>
      </c>
      <c r="H146" s="1" t="s">
        <v>21</v>
      </c>
      <c r="I146" s="3">
        <v>4.6296296296296294E-5</v>
      </c>
      <c r="J146" s="1" t="s">
        <v>21</v>
      </c>
      <c r="K146" s="3">
        <v>0.76807870370370368</v>
      </c>
      <c r="L146" s="1" t="s">
        <v>8</v>
      </c>
      <c r="N146" s="1">
        <v>1</v>
      </c>
      <c r="P146" s="1">
        <v>90</v>
      </c>
      <c r="Q146" s="1">
        <v>90</v>
      </c>
      <c r="R146" s="1">
        <v>115.17</v>
      </c>
      <c r="S146" s="1">
        <v>115.17</v>
      </c>
      <c r="T146" s="1" t="s">
        <v>21</v>
      </c>
      <c r="W146" s="1" t="s">
        <v>584</v>
      </c>
    </row>
    <row r="147" spans="1:24" x14ac:dyDescent="0.2">
      <c r="A147" s="1">
        <v>2</v>
      </c>
      <c r="B147" s="1" t="s">
        <v>802</v>
      </c>
      <c r="C147" t="s">
        <v>773</v>
      </c>
      <c r="D147" s="1">
        <v>1</v>
      </c>
      <c r="E147" s="1" t="s">
        <v>253</v>
      </c>
      <c r="F147" s="4">
        <v>45410</v>
      </c>
      <c r="G147" s="3">
        <f>$K147 + $I147</f>
        <v>0.24959490740740742</v>
      </c>
      <c r="H147" s="3">
        <f>K147 + J147</f>
        <v>0.27209490740740744</v>
      </c>
      <c r="I147" s="3">
        <v>1.3726851851851851E-2</v>
      </c>
      <c r="J147" s="3">
        <v>3.622685185185185E-2</v>
      </c>
      <c r="K147" s="3">
        <v>0.23586805555555557</v>
      </c>
      <c r="L147" s="1" t="s">
        <v>8</v>
      </c>
      <c r="M147" s="1" t="s">
        <v>8</v>
      </c>
      <c r="N147" s="1">
        <v>1</v>
      </c>
      <c r="O147" s="1">
        <v>1</v>
      </c>
      <c r="P147" s="1">
        <v>90</v>
      </c>
      <c r="Q147" s="1">
        <v>90</v>
      </c>
      <c r="R147" s="1">
        <v>115.17</v>
      </c>
      <c r="S147" s="1">
        <v>115.17</v>
      </c>
      <c r="T147" s="1">
        <v>1</v>
      </c>
      <c r="W147" s="1" t="s">
        <v>587</v>
      </c>
    </row>
    <row r="148" spans="1:24" x14ac:dyDescent="0.2">
      <c r="A148" s="1">
        <v>2</v>
      </c>
      <c r="B148" s="1" t="s">
        <v>802</v>
      </c>
      <c r="C148" t="s">
        <v>773</v>
      </c>
      <c r="D148" s="1">
        <v>1</v>
      </c>
      <c r="E148" s="1" t="s">
        <v>254</v>
      </c>
      <c r="F148" s="4">
        <v>45410</v>
      </c>
      <c r="G148" s="3">
        <f>$K148 + $I148</f>
        <v>0.76108796296296288</v>
      </c>
      <c r="H148" s="3">
        <f>K148 + J148</f>
        <v>0.77182870370370371</v>
      </c>
      <c r="I148" s="3">
        <v>3.4837962962962965E-3</v>
      </c>
      <c r="J148" s="3">
        <v>1.4224537037037037E-2</v>
      </c>
      <c r="K148" s="3">
        <v>0.75760416666666663</v>
      </c>
      <c r="L148" s="1" t="s">
        <v>8</v>
      </c>
      <c r="M148" s="1" t="s">
        <v>8</v>
      </c>
      <c r="N148" s="1">
        <v>1</v>
      </c>
      <c r="O148" s="1">
        <v>1</v>
      </c>
      <c r="P148" s="1">
        <v>90</v>
      </c>
      <c r="Q148" s="1">
        <v>90</v>
      </c>
      <c r="R148" s="1">
        <v>115.17</v>
      </c>
      <c r="S148" s="1">
        <v>115.17</v>
      </c>
      <c r="T148" s="1">
        <v>1</v>
      </c>
    </row>
    <row r="149" spans="1:24" x14ac:dyDescent="0.2">
      <c r="A149" s="1">
        <v>2</v>
      </c>
      <c r="B149" s="1" t="s">
        <v>802</v>
      </c>
      <c r="C149" t="s">
        <v>773</v>
      </c>
      <c r="D149" s="1">
        <v>2</v>
      </c>
      <c r="E149" s="1" t="s">
        <v>294</v>
      </c>
      <c r="F149" s="4">
        <v>45415</v>
      </c>
      <c r="G149" s="3">
        <f>$K149 + $I149</f>
        <v>0.26510416666666664</v>
      </c>
      <c r="H149" s="3">
        <f>K149 + J149</f>
        <v>0.2772222222222222</v>
      </c>
      <c r="I149" s="3">
        <v>4.7939814814814817E-2</v>
      </c>
      <c r="J149" s="3">
        <v>6.0057870370370373E-2</v>
      </c>
      <c r="K149" s="3">
        <v>0.21716435185185184</v>
      </c>
      <c r="L149" s="1" t="s">
        <v>7</v>
      </c>
      <c r="M149" s="1" t="s">
        <v>7</v>
      </c>
      <c r="N149" s="1">
        <v>3</v>
      </c>
      <c r="O149" s="1">
        <v>3</v>
      </c>
      <c r="P149" s="1">
        <v>90</v>
      </c>
      <c r="Q149" s="1">
        <v>90</v>
      </c>
      <c r="R149" s="1">
        <v>57.4</v>
      </c>
      <c r="S149" s="1">
        <v>57.4</v>
      </c>
      <c r="T149" s="1">
        <v>0</v>
      </c>
      <c r="W149" s="1" t="s">
        <v>586</v>
      </c>
    </row>
    <row r="150" spans="1:24" x14ac:dyDescent="0.2">
      <c r="A150" s="1">
        <v>2</v>
      </c>
      <c r="B150" s="1" t="s">
        <v>802</v>
      </c>
      <c r="C150" t="s">
        <v>773</v>
      </c>
      <c r="D150" s="1">
        <v>1</v>
      </c>
      <c r="E150" s="1" t="s">
        <v>294</v>
      </c>
      <c r="F150" s="4">
        <v>45415</v>
      </c>
      <c r="G150" s="3">
        <f>$K150 + $I150</f>
        <v>0.24226851851851852</v>
      </c>
      <c r="H150" s="3">
        <f>K150 + J150</f>
        <v>0.26082175925925927</v>
      </c>
      <c r="I150" s="3">
        <v>2.5104166666666667E-2</v>
      </c>
      <c r="J150" s="3">
        <v>4.3657407407407409E-2</v>
      </c>
      <c r="K150" s="3">
        <v>0.21716435185185184</v>
      </c>
      <c r="L150" s="1" t="s">
        <v>7</v>
      </c>
      <c r="M150" s="1" t="s">
        <v>7</v>
      </c>
      <c r="N150" s="1">
        <v>3</v>
      </c>
      <c r="O150" s="1">
        <v>3</v>
      </c>
      <c r="P150" s="1">
        <v>90</v>
      </c>
      <c r="Q150" s="1">
        <v>90</v>
      </c>
      <c r="R150" s="1">
        <v>57.4</v>
      </c>
      <c r="S150" s="1">
        <v>57.4</v>
      </c>
      <c r="T150" s="1">
        <v>0</v>
      </c>
    </row>
    <row r="151" spans="1:24" x14ac:dyDescent="0.2">
      <c r="A151" s="1">
        <v>2</v>
      </c>
      <c r="B151" s="1" t="s">
        <v>802</v>
      </c>
      <c r="C151" t="s">
        <v>773</v>
      </c>
      <c r="D151" s="1">
        <v>1</v>
      </c>
      <c r="E151" s="1" t="s">
        <v>567</v>
      </c>
      <c r="F151" s="4">
        <v>45415</v>
      </c>
      <c r="G151" s="1" t="s">
        <v>21</v>
      </c>
      <c r="H151" s="3">
        <f>K151 + J151</f>
        <v>0.78583333333333327</v>
      </c>
      <c r="I151" s="1" t="s">
        <v>21</v>
      </c>
      <c r="J151" s="3">
        <v>3.546296296296296E-2</v>
      </c>
      <c r="K151" s="3">
        <v>0.75037037037037035</v>
      </c>
      <c r="L151" s="1" t="s">
        <v>7</v>
      </c>
      <c r="M151" s="1" t="s">
        <v>8</v>
      </c>
      <c r="N151" s="1">
        <v>3</v>
      </c>
      <c r="O151" s="1">
        <v>2</v>
      </c>
      <c r="P151" s="1">
        <v>90</v>
      </c>
      <c r="Q151" s="1">
        <v>90</v>
      </c>
      <c r="R151" s="1">
        <v>57.4</v>
      </c>
      <c r="S151" s="1">
        <v>57.4</v>
      </c>
      <c r="T151" s="1">
        <v>1</v>
      </c>
      <c r="W151" s="1" t="s">
        <v>480</v>
      </c>
    </row>
    <row r="152" spans="1:24" x14ac:dyDescent="0.2">
      <c r="A152" s="1">
        <v>2</v>
      </c>
      <c r="B152" s="1" t="s">
        <v>802</v>
      </c>
      <c r="C152" t="s">
        <v>773</v>
      </c>
      <c r="D152" s="1">
        <v>1</v>
      </c>
      <c r="E152" s="1" t="s">
        <v>593</v>
      </c>
      <c r="F152" s="4">
        <v>45416</v>
      </c>
      <c r="G152" s="3">
        <f>$K152 + $I152</f>
        <v>0.23086805555555553</v>
      </c>
      <c r="H152" s="1" t="s">
        <v>21</v>
      </c>
      <c r="I152" s="3">
        <v>8.9930555555555562E-3</v>
      </c>
      <c r="J152" s="1" t="s">
        <v>21</v>
      </c>
      <c r="K152" s="3">
        <v>0.22187499999999999</v>
      </c>
      <c r="L152" s="1" t="s">
        <v>7</v>
      </c>
      <c r="M152" s="1" t="s">
        <v>8</v>
      </c>
      <c r="N152" s="1">
        <v>2</v>
      </c>
      <c r="O152" s="1">
        <v>2</v>
      </c>
      <c r="P152" s="1">
        <v>90</v>
      </c>
      <c r="Q152" s="1">
        <v>90</v>
      </c>
      <c r="R152" s="1">
        <v>57.4</v>
      </c>
      <c r="S152" s="1">
        <v>57.4</v>
      </c>
      <c r="T152" s="1" t="s">
        <v>21</v>
      </c>
      <c r="W152" s="1" t="s">
        <v>595</v>
      </c>
      <c r="X152" s="1" t="s">
        <v>640</v>
      </c>
    </row>
    <row r="153" spans="1:24" x14ac:dyDescent="0.2">
      <c r="A153" s="1">
        <v>2</v>
      </c>
      <c r="B153" s="1" t="s">
        <v>803</v>
      </c>
      <c r="C153" t="s">
        <v>775</v>
      </c>
      <c r="D153" s="1" t="s">
        <v>21</v>
      </c>
      <c r="E153" s="1" t="s">
        <v>83</v>
      </c>
      <c r="F153" s="4">
        <v>45401</v>
      </c>
      <c r="G153" s="1" t="s">
        <v>21</v>
      </c>
      <c r="H153" s="1" t="s">
        <v>21</v>
      </c>
      <c r="I153" s="1" t="s">
        <v>21</v>
      </c>
      <c r="J153" s="1" t="s">
        <v>21</v>
      </c>
      <c r="K153" s="1" t="s">
        <v>21</v>
      </c>
      <c r="L153" s="1" t="s">
        <v>8</v>
      </c>
      <c r="M153" s="1" t="s">
        <v>8</v>
      </c>
      <c r="N153" s="1">
        <v>1</v>
      </c>
      <c r="O153" s="1">
        <v>1</v>
      </c>
      <c r="P153" s="1">
        <v>90</v>
      </c>
      <c r="Q153" s="1">
        <v>90</v>
      </c>
      <c r="R153" s="1">
        <v>115.17</v>
      </c>
      <c r="S153" s="1">
        <v>115.17</v>
      </c>
      <c r="T153" s="1" t="s">
        <v>21</v>
      </c>
      <c r="W153" s="1" t="s">
        <v>534</v>
      </c>
    </row>
    <row r="154" spans="1:24" x14ac:dyDescent="0.2">
      <c r="A154" s="1">
        <v>2</v>
      </c>
      <c r="B154" s="1" t="s">
        <v>803</v>
      </c>
      <c r="C154" t="s">
        <v>775</v>
      </c>
      <c r="D154" s="1" t="s">
        <v>21</v>
      </c>
      <c r="E154" s="1" t="s">
        <v>84</v>
      </c>
      <c r="F154" s="4">
        <v>45402</v>
      </c>
      <c r="G154" s="22" t="s">
        <v>21</v>
      </c>
      <c r="H154" s="1" t="s">
        <v>21</v>
      </c>
      <c r="I154" s="22" t="s">
        <v>21</v>
      </c>
      <c r="J154" s="1" t="s">
        <v>21</v>
      </c>
      <c r="K154" s="3">
        <v>0.22399305555555554</v>
      </c>
      <c r="L154" s="1" t="s">
        <v>8</v>
      </c>
      <c r="M154" s="1" t="s">
        <v>8</v>
      </c>
      <c r="N154" s="1">
        <v>1</v>
      </c>
      <c r="O154" s="1">
        <v>1</v>
      </c>
      <c r="P154" s="1">
        <v>90</v>
      </c>
      <c r="Q154" s="1">
        <v>90</v>
      </c>
      <c r="R154" s="1">
        <v>115.17</v>
      </c>
      <c r="S154" s="1">
        <v>115.17</v>
      </c>
      <c r="T154" s="1" t="s">
        <v>21</v>
      </c>
      <c r="W154" s="1" t="s">
        <v>538</v>
      </c>
    </row>
    <row r="155" spans="1:24" x14ac:dyDescent="0.2">
      <c r="A155" s="1">
        <v>2</v>
      </c>
      <c r="B155" s="1" t="s">
        <v>803</v>
      </c>
      <c r="C155" t="s">
        <v>775</v>
      </c>
      <c r="D155" s="1" t="s">
        <v>21</v>
      </c>
      <c r="E155" s="1" t="s">
        <v>181</v>
      </c>
      <c r="F155" s="4">
        <v>45403</v>
      </c>
      <c r="G155" s="2" t="s">
        <v>21</v>
      </c>
      <c r="H155" s="1" t="s">
        <v>21</v>
      </c>
      <c r="I155" s="2" t="s">
        <v>21</v>
      </c>
      <c r="J155" s="1" t="s">
        <v>21</v>
      </c>
      <c r="K155" s="2" t="s">
        <v>21</v>
      </c>
      <c r="L155" s="1" t="s">
        <v>8</v>
      </c>
      <c r="M155" s="1" t="s">
        <v>8</v>
      </c>
      <c r="N155" s="1">
        <v>1</v>
      </c>
      <c r="O155" s="1">
        <v>1</v>
      </c>
      <c r="P155" s="1">
        <v>90</v>
      </c>
      <c r="Q155" s="1">
        <v>90</v>
      </c>
      <c r="R155" s="1">
        <v>115.17</v>
      </c>
      <c r="S155" s="1">
        <v>115.17</v>
      </c>
      <c r="T155" s="1" t="s">
        <v>21</v>
      </c>
    </row>
    <row r="156" spans="1:24" x14ac:dyDescent="0.2">
      <c r="A156" s="1">
        <v>2</v>
      </c>
      <c r="B156" s="1" t="s">
        <v>803</v>
      </c>
      <c r="C156" t="s">
        <v>775</v>
      </c>
      <c r="D156" s="1">
        <v>1</v>
      </c>
      <c r="E156" s="1" t="s">
        <v>111</v>
      </c>
      <c r="F156" s="4">
        <v>45404</v>
      </c>
      <c r="G156" s="3">
        <f>$K156 + $I156</f>
        <v>0.23579861111111111</v>
      </c>
      <c r="H156" s="1" t="s">
        <v>21</v>
      </c>
      <c r="I156" s="3">
        <v>1.4548611111111111E-2</v>
      </c>
      <c r="J156" s="1" t="s">
        <v>21</v>
      </c>
      <c r="K156" s="3">
        <v>0.22125</v>
      </c>
      <c r="L156" s="1" t="s">
        <v>8</v>
      </c>
      <c r="M156" s="1" t="s">
        <v>8</v>
      </c>
      <c r="N156" s="1">
        <v>1</v>
      </c>
      <c r="O156" s="1">
        <v>1</v>
      </c>
      <c r="P156" s="1">
        <v>90</v>
      </c>
      <c r="Q156" s="1">
        <v>90</v>
      </c>
      <c r="R156" s="1">
        <v>115.17</v>
      </c>
      <c r="S156" s="1">
        <v>115.17</v>
      </c>
      <c r="T156" s="1" t="s">
        <v>21</v>
      </c>
      <c r="W156" s="1" t="s">
        <v>547</v>
      </c>
    </row>
    <row r="157" spans="1:24" x14ac:dyDescent="0.2">
      <c r="A157" s="1">
        <v>2</v>
      </c>
      <c r="B157" s="1" t="s">
        <v>803</v>
      </c>
      <c r="C157" t="s">
        <v>775</v>
      </c>
      <c r="D157" s="1" t="s">
        <v>21</v>
      </c>
      <c r="E157" s="1" t="s">
        <v>250</v>
      </c>
      <c r="F157" s="4">
        <v>45405</v>
      </c>
      <c r="G157" s="1" t="s">
        <v>21</v>
      </c>
      <c r="H157" s="1" t="s">
        <v>21</v>
      </c>
      <c r="I157" s="1" t="s">
        <v>21</v>
      </c>
      <c r="J157" s="1" t="s">
        <v>21</v>
      </c>
      <c r="K157" s="3">
        <v>0.22743055555555555</v>
      </c>
      <c r="L157" s="1" t="s">
        <v>8</v>
      </c>
      <c r="M157" s="1" t="s">
        <v>8</v>
      </c>
      <c r="N157" s="1">
        <v>1</v>
      </c>
      <c r="O157" s="1">
        <v>1</v>
      </c>
      <c r="P157" s="1">
        <v>90</v>
      </c>
      <c r="Q157" s="1">
        <v>90</v>
      </c>
      <c r="R157" s="1">
        <v>115.17</v>
      </c>
      <c r="S157" s="1">
        <v>115.17</v>
      </c>
      <c r="T157" s="1" t="s">
        <v>21</v>
      </c>
    </row>
    <row r="158" spans="1:24" x14ac:dyDescent="0.2">
      <c r="A158" s="1">
        <v>2</v>
      </c>
      <c r="B158" s="1" t="s">
        <v>804</v>
      </c>
      <c r="C158" t="s">
        <v>775</v>
      </c>
      <c r="D158" s="1">
        <v>1</v>
      </c>
      <c r="E158" s="1" t="s">
        <v>251</v>
      </c>
      <c r="F158" s="4">
        <v>45405</v>
      </c>
      <c r="G158" s="3">
        <f>$K158 + $I158</f>
        <v>0.76898148148148149</v>
      </c>
      <c r="H158" s="3">
        <f>K158 + J158</f>
        <v>0.7804861111111111</v>
      </c>
      <c r="I158" s="3">
        <v>3.1944444444444446E-3</v>
      </c>
      <c r="J158" s="3">
        <v>1.4699074074074074E-2</v>
      </c>
      <c r="K158" s="3">
        <v>0.76578703703703699</v>
      </c>
      <c r="L158" s="1" t="s">
        <v>8</v>
      </c>
      <c r="M158" s="1" t="s">
        <v>8</v>
      </c>
      <c r="N158" s="1">
        <v>1</v>
      </c>
      <c r="O158" s="1">
        <v>1</v>
      </c>
      <c r="P158" s="1">
        <v>90</v>
      </c>
      <c r="Q158" s="1">
        <v>90</v>
      </c>
      <c r="R158" s="1">
        <v>115.17</v>
      </c>
      <c r="S158" s="1">
        <v>115.17</v>
      </c>
      <c r="T158" s="1">
        <v>1</v>
      </c>
      <c r="W158" s="1" t="s">
        <v>548</v>
      </c>
    </row>
    <row r="159" spans="1:24" x14ac:dyDescent="0.2">
      <c r="A159" s="1">
        <v>2</v>
      </c>
      <c r="B159" s="1" t="s">
        <v>804</v>
      </c>
      <c r="C159" t="s">
        <v>775</v>
      </c>
      <c r="D159" s="1" t="s">
        <v>21</v>
      </c>
      <c r="E159" s="1" t="s">
        <v>110</v>
      </c>
      <c r="F159" s="4">
        <v>45406</v>
      </c>
      <c r="G159" s="1" t="s">
        <v>21</v>
      </c>
      <c r="H159" s="1" t="s">
        <v>21</v>
      </c>
      <c r="I159" s="1" t="s">
        <v>21</v>
      </c>
      <c r="J159" s="1" t="s">
        <v>21</v>
      </c>
      <c r="K159" s="3">
        <v>0.22142361111111111</v>
      </c>
      <c r="L159" s="1" t="s">
        <v>7</v>
      </c>
      <c r="M159" s="1" t="s">
        <v>7</v>
      </c>
      <c r="N159" s="1">
        <v>1</v>
      </c>
      <c r="O159" s="1">
        <v>1</v>
      </c>
      <c r="P159" s="1">
        <v>90</v>
      </c>
      <c r="Q159" s="1">
        <v>90</v>
      </c>
      <c r="R159" s="1">
        <v>115.17</v>
      </c>
      <c r="S159" s="1">
        <v>115.17</v>
      </c>
      <c r="T159" s="1" t="s">
        <v>21</v>
      </c>
      <c r="W159" s="1" t="s">
        <v>550</v>
      </c>
    </row>
    <row r="160" spans="1:24" x14ac:dyDescent="0.2">
      <c r="A160" s="1">
        <v>2</v>
      </c>
      <c r="B160" s="1" t="s">
        <v>804</v>
      </c>
      <c r="C160" t="s">
        <v>775</v>
      </c>
      <c r="D160" s="1" t="s">
        <v>21</v>
      </c>
      <c r="E160" s="1" t="s">
        <v>118</v>
      </c>
      <c r="F160" s="4">
        <v>45411</v>
      </c>
      <c r="G160" s="1" t="s">
        <v>21</v>
      </c>
      <c r="H160" s="1" t="s">
        <v>21</v>
      </c>
      <c r="I160" s="1" t="s">
        <v>21</v>
      </c>
      <c r="J160" s="1" t="s">
        <v>21</v>
      </c>
      <c r="K160" s="3">
        <v>0.76197916666666665</v>
      </c>
      <c r="L160" s="1" t="s">
        <v>8</v>
      </c>
      <c r="M160" s="1" t="s">
        <v>7</v>
      </c>
      <c r="N160" s="1">
        <v>2</v>
      </c>
      <c r="O160" s="1">
        <v>2</v>
      </c>
      <c r="P160" s="1">
        <v>90</v>
      </c>
      <c r="Q160" s="1">
        <v>90</v>
      </c>
      <c r="R160" s="1">
        <v>57.4</v>
      </c>
      <c r="S160" s="1">
        <v>57.4</v>
      </c>
      <c r="T160" s="1" t="s">
        <v>21</v>
      </c>
    </row>
    <row r="161" spans="1:24" x14ac:dyDescent="0.2">
      <c r="A161" s="1">
        <v>2</v>
      </c>
      <c r="B161" s="1" t="s">
        <v>804</v>
      </c>
      <c r="C161" t="s">
        <v>775</v>
      </c>
      <c r="D161" s="1">
        <v>1</v>
      </c>
      <c r="E161" s="1" t="s">
        <v>554</v>
      </c>
      <c r="F161" s="4">
        <v>45411</v>
      </c>
      <c r="G161" s="1" t="s">
        <v>21</v>
      </c>
      <c r="H161" s="3">
        <v>0.24861111111111112</v>
      </c>
      <c r="I161" s="1" t="s">
        <v>21</v>
      </c>
      <c r="J161" s="3">
        <v>1.4699074074074074E-2</v>
      </c>
      <c r="K161" s="1" t="s">
        <v>21</v>
      </c>
      <c r="L161" s="1" t="s">
        <v>8</v>
      </c>
      <c r="M161" s="1" t="s">
        <v>7</v>
      </c>
      <c r="N161" s="1">
        <v>1</v>
      </c>
      <c r="O161" s="1">
        <v>1</v>
      </c>
      <c r="P161" s="1">
        <v>90</v>
      </c>
      <c r="Q161" s="1">
        <v>90</v>
      </c>
      <c r="R161" s="1">
        <v>57.4</v>
      </c>
      <c r="S161" s="1">
        <v>57.4</v>
      </c>
      <c r="T161" s="1" t="s">
        <v>21</v>
      </c>
      <c r="W161" s="1" t="s">
        <v>555</v>
      </c>
    </row>
    <row r="162" spans="1:24" x14ac:dyDescent="0.2">
      <c r="A162" s="1">
        <v>2</v>
      </c>
      <c r="B162" s="1" t="s">
        <v>804</v>
      </c>
      <c r="C162" t="s">
        <v>775</v>
      </c>
      <c r="D162" s="1">
        <v>1</v>
      </c>
      <c r="E162" s="1" t="s">
        <v>168</v>
      </c>
      <c r="F162" s="4">
        <v>45412</v>
      </c>
      <c r="G162" s="1" t="s">
        <v>21</v>
      </c>
      <c r="H162" s="3">
        <f>K162 + J162</f>
        <v>0.26519675925925923</v>
      </c>
      <c r="I162" s="1" t="s">
        <v>21</v>
      </c>
      <c r="J162" s="3">
        <v>4.8032407407407406E-2</v>
      </c>
      <c r="K162" s="3">
        <v>0.21716435185185184</v>
      </c>
      <c r="L162" s="1" t="s">
        <v>7</v>
      </c>
      <c r="M162" s="1" t="s">
        <v>7</v>
      </c>
      <c r="N162" s="1">
        <v>2</v>
      </c>
      <c r="O162" s="1">
        <v>2</v>
      </c>
      <c r="P162" s="1">
        <v>90</v>
      </c>
      <c r="Q162" s="1">
        <v>90</v>
      </c>
      <c r="R162" s="1">
        <v>57.4</v>
      </c>
      <c r="S162" s="1">
        <v>57.4</v>
      </c>
      <c r="T162" s="1">
        <v>0</v>
      </c>
      <c r="W162" s="1" t="s">
        <v>661</v>
      </c>
      <c r="X162" s="1" t="s">
        <v>662</v>
      </c>
    </row>
    <row r="163" spans="1:24" x14ac:dyDescent="0.2">
      <c r="A163" s="1">
        <v>2</v>
      </c>
      <c r="B163" s="1" t="s">
        <v>804</v>
      </c>
      <c r="C163" t="s">
        <v>775</v>
      </c>
      <c r="D163" s="1">
        <v>1</v>
      </c>
      <c r="E163" s="1" t="s">
        <v>769</v>
      </c>
      <c r="F163" s="4">
        <v>45412</v>
      </c>
      <c r="G163" s="3">
        <f>$K163 + $I163</f>
        <v>0.78037037037037038</v>
      </c>
      <c r="H163" s="3">
        <f>K163 + J163</f>
        <v>0.7833796296296297</v>
      </c>
      <c r="I163" s="3">
        <v>1.8587962962962962E-2</v>
      </c>
      <c r="J163" s="3">
        <v>2.1597222222222223E-2</v>
      </c>
      <c r="K163" s="3">
        <v>0.76178240740740744</v>
      </c>
      <c r="L163" s="1" t="s">
        <v>7</v>
      </c>
      <c r="M163" s="1" t="s">
        <v>8</v>
      </c>
      <c r="N163" s="1">
        <v>2</v>
      </c>
      <c r="O163" s="1">
        <v>2</v>
      </c>
      <c r="P163" s="1">
        <v>90</v>
      </c>
      <c r="Q163" s="1">
        <v>90</v>
      </c>
      <c r="R163" s="1">
        <v>57.4</v>
      </c>
      <c r="S163" s="1">
        <v>57.4</v>
      </c>
      <c r="T163" s="1">
        <v>0</v>
      </c>
      <c r="W163" s="1" t="s">
        <v>576</v>
      </c>
    </row>
    <row r="164" spans="1:24" x14ac:dyDescent="0.2">
      <c r="A164" s="1">
        <v>2</v>
      </c>
      <c r="B164" s="1" t="s">
        <v>804</v>
      </c>
      <c r="C164" t="s">
        <v>775</v>
      </c>
      <c r="D164" s="1">
        <v>1</v>
      </c>
      <c r="E164" s="1" t="s">
        <v>287</v>
      </c>
      <c r="F164" s="4">
        <v>45413</v>
      </c>
      <c r="G164" s="3">
        <f>$K164 + $I164</f>
        <v>0.77228009259259256</v>
      </c>
      <c r="H164" s="3">
        <f>K164 + J164</f>
        <v>0.77984953703703697</v>
      </c>
      <c r="I164" s="3">
        <v>8.2870370370370372E-3</v>
      </c>
      <c r="J164" s="3">
        <v>1.5856481481481482E-2</v>
      </c>
      <c r="K164" s="3">
        <v>0.76399305555555552</v>
      </c>
      <c r="L164" s="1" t="s">
        <v>8</v>
      </c>
      <c r="M164" s="1" t="s">
        <v>8</v>
      </c>
      <c r="N164" s="1">
        <v>2</v>
      </c>
      <c r="O164" s="1">
        <v>2</v>
      </c>
      <c r="P164" s="1">
        <v>90</v>
      </c>
      <c r="Q164" s="1">
        <v>90</v>
      </c>
      <c r="R164" s="1">
        <v>57.4</v>
      </c>
      <c r="S164" s="1">
        <v>57.4</v>
      </c>
      <c r="T164" s="1">
        <v>0</v>
      </c>
    </row>
    <row r="165" spans="1:24" x14ac:dyDescent="0.2">
      <c r="A165" s="1">
        <v>2</v>
      </c>
      <c r="B165" s="1" t="s">
        <v>804</v>
      </c>
      <c r="C165" t="s">
        <v>775</v>
      </c>
      <c r="D165" s="1">
        <v>2</v>
      </c>
      <c r="E165" s="1" t="s">
        <v>287</v>
      </c>
      <c r="F165" s="4">
        <v>45413</v>
      </c>
      <c r="G165" s="3">
        <f>$K165 + $I165</f>
        <v>0.78071759259259255</v>
      </c>
      <c r="H165" s="3">
        <f>K165 + J165</f>
        <v>0.78475694444444444</v>
      </c>
      <c r="I165" s="3">
        <v>1.6724537037037038E-2</v>
      </c>
      <c r="J165" s="3">
        <v>2.0763888888888887E-2</v>
      </c>
      <c r="K165" s="3">
        <v>0.76399305555555552</v>
      </c>
      <c r="L165" s="1" t="s">
        <v>8</v>
      </c>
      <c r="M165" s="1" t="s">
        <v>8</v>
      </c>
      <c r="N165" s="1">
        <v>2</v>
      </c>
      <c r="O165" s="1">
        <v>2</v>
      </c>
      <c r="P165" s="1">
        <v>90</v>
      </c>
      <c r="Q165" s="1">
        <v>90</v>
      </c>
      <c r="R165" s="1">
        <v>57.4</v>
      </c>
      <c r="S165" s="1">
        <v>57.4</v>
      </c>
      <c r="T165" s="1">
        <v>0</v>
      </c>
    </row>
    <row r="166" spans="1:24" x14ac:dyDescent="0.2">
      <c r="A166" s="1">
        <v>2</v>
      </c>
      <c r="B166" s="1" t="s">
        <v>804</v>
      </c>
      <c r="C166" t="s">
        <v>775</v>
      </c>
      <c r="D166" s="1">
        <v>1</v>
      </c>
      <c r="E166" s="1" t="s">
        <v>170</v>
      </c>
      <c r="F166" s="4">
        <v>45413</v>
      </c>
      <c r="G166" s="1" t="s">
        <v>21</v>
      </c>
      <c r="H166" s="3">
        <f>K166 + J166</f>
        <v>0.22903935185185184</v>
      </c>
      <c r="I166" s="1" t="s">
        <v>21</v>
      </c>
      <c r="J166" s="3">
        <v>1.2534722222222221E-2</v>
      </c>
      <c r="K166" s="3">
        <v>0.21650462962962963</v>
      </c>
      <c r="L166" s="1" t="s">
        <v>7</v>
      </c>
      <c r="M166" s="1" t="s">
        <v>7</v>
      </c>
      <c r="N166" s="1">
        <v>2</v>
      </c>
      <c r="O166" s="1">
        <v>2</v>
      </c>
      <c r="P166" s="1">
        <v>90</v>
      </c>
      <c r="Q166" s="1">
        <v>90</v>
      </c>
      <c r="R166" s="1">
        <v>57.4</v>
      </c>
      <c r="S166" s="1">
        <v>57.4</v>
      </c>
      <c r="T166" s="1">
        <v>0</v>
      </c>
      <c r="W166" s="1" t="s">
        <v>572</v>
      </c>
    </row>
    <row r="167" spans="1:24" x14ac:dyDescent="0.2">
      <c r="A167" s="1">
        <v>2</v>
      </c>
      <c r="B167" s="1" t="s">
        <v>804</v>
      </c>
      <c r="C167" t="s">
        <v>775</v>
      </c>
      <c r="D167" s="1">
        <v>2</v>
      </c>
      <c r="E167" s="1" t="s">
        <v>170</v>
      </c>
      <c r="F167" s="4">
        <v>45413</v>
      </c>
      <c r="G167" s="3">
        <f>$K167 + $I167</f>
        <v>0.23854166666666665</v>
      </c>
      <c r="H167" s="3">
        <f>K167 + J167</f>
        <v>0.24969907407407407</v>
      </c>
      <c r="I167" s="3">
        <v>2.2037037037037036E-2</v>
      </c>
      <c r="J167" s="3">
        <v>3.3194444444444443E-2</v>
      </c>
      <c r="K167" s="3">
        <v>0.21650462962962963</v>
      </c>
      <c r="L167" s="1" t="s">
        <v>7</v>
      </c>
      <c r="M167" s="1" t="s">
        <v>8</v>
      </c>
      <c r="N167" s="1">
        <v>2</v>
      </c>
      <c r="O167" s="1">
        <v>2</v>
      </c>
      <c r="P167" s="1">
        <v>90</v>
      </c>
      <c r="Q167" s="1">
        <v>90</v>
      </c>
      <c r="R167" s="1">
        <v>57.4</v>
      </c>
      <c r="S167" s="1">
        <v>57.4</v>
      </c>
      <c r="T167" s="1">
        <v>0</v>
      </c>
      <c r="W167" s="1" t="s">
        <v>573</v>
      </c>
    </row>
    <row r="168" spans="1:24" x14ac:dyDescent="0.2">
      <c r="A168" s="1">
        <v>2</v>
      </c>
      <c r="B168" s="1" t="s">
        <v>804</v>
      </c>
      <c r="C168" t="s">
        <v>775</v>
      </c>
      <c r="D168" s="1">
        <v>3</v>
      </c>
      <c r="E168" s="1" t="s">
        <v>170</v>
      </c>
      <c r="F168" s="4">
        <v>45413</v>
      </c>
      <c r="G168" s="3">
        <f>$K168 + $I168</f>
        <v>0.25157407407407406</v>
      </c>
      <c r="H168" s="3">
        <f>K168 + J168</f>
        <v>0.26141203703703703</v>
      </c>
      <c r="I168" s="3">
        <v>3.5069444444444445E-2</v>
      </c>
      <c r="J168" s="3">
        <v>4.490740740740741E-2</v>
      </c>
      <c r="K168" s="3">
        <v>0.21650462962962963</v>
      </c>
      <c r="L168" s="1" t="s">
        <v>8</v>
      </c>
      <c r="M168" s="1" t="s">
        <v>8</v>
      </c>
      <c r="N168" s="1">
        <v>2</v>
      </c>
      <c r="O168" s="1">
        <v>1</v>
      </c>
      <c r="P168" s="1">
        <v>90</v>
      </c>
      <c r="Q168" s="1">
        <v>90</v>
      </c>
      <c r="R168" s="1">
        <v>57.4</v>
      </c>
      <c r="S168" s="1">
        <v>57.4</v>
      </c>
      <c r="T168" s="1">
        <v>0</v>
      </c>
      <c r="W168" s="1" t="s">
        <v>574</v>
      </c>
    </row>
    <row r="169" spans="1:24" x14ac:dyDescent="0.2">
      <c r="A169" s="1">
        <v>2</v>
      </c>
      <c r="B169" s="1" t="s">
        <v>804</v>
      </c>
      <c r="C169" t="s">
        <v>775</v>
      </c>
      <c r="D169" s="1">
        <v>1</v>
      </c>
      <c r="E169" s="1" t="s">
        <v>749</v>
      </c>
      <c r="F169" s="4">
        <v>45414</v>
      </c>
      <c r="G169" s="3">
        <f>$K169 + $I169</f>
        <v>0.22892361111111112</v>
      </c>
      <c r="H169" s="3">
        <f>K169 + J169</f>
        <v>0.24927083333333333</v>
      </c>
      <c r="I169" s="3">
        <v>9.7453703703703695E-3</v>
      </c>
      <c r="J169" s="3">
        <v>3.0092592592592591E-2</v>
      </c>
      <c r="K169" s="3">
        <v>0.21917824074074074</v>
      </c>
      <c r="L169" s="1" t="s">
        <v>7</v>
      </c>
      <c r="M169" s="1" t="s">
        <v>7</v>
      </c>
      <c r="N169" s="1">
        <v>2</v>
      </c>
      <c r="O169" s="1">
        <v>2</v>
      </c>
      <c r="P169" s="1">
        <v>90</v>
      </c>
      <c r="Q169" s="1">
        <v>90</v>
      </c>
      <c r="R169" s="1">
        <v>57.4</v>
      </c>
      <c r="S169" s="1">
        <v>57.4</v>
      </c>
      <c r="T169" s="1">
        <v>0</v>
      </c>
      <c r="W169" s="1" t="s">
        <v>571</v>
      </c>
    </row>
    <row r="170" spans="1:24" x14ac:dyDescent="0.2">
      <c r="A170" s="1">
        <v>2</v>
      </c>
      <c r="B170" s="1" t="s">
        <v>804</v>
      </c>
      <c r="C170" t="s">
        <v>775</v>
      </c>
      <c r="D170" s="1">
        <v>1</v>
      </c>
      <c r="E170" s="1" t="s">
        <v>291</v>
      </c>
      <c r="F170" s="4">
        <v>45414</v>
      </c>
      <c r="G170" s="1" t="s">
        <v>21</v>
      </c>
      <c r="H170" s="3">
        <f>K170 + J170</f>
        <v>0.76692129629629635</v>
      </c>
      <c r="I170" s="1" t="s">
        <v>21</v>
      </c>
      <c r="J170" s="3">
        <v>9.0509259259259258E-3</v>
      </c>
      <c r="K170" s="3">
        <v>0.75787037037037042</v>
      </c>
      <c r="L170" s="1" t="s">
        <v>7</v>
      </c>
      <c r="M170" s="1" t="s">
        <v>8</v>
      </c>
      <c r="N170" s="1">
        <v>2</v>
      </c>
      <c r="O170" s="1">
        <v>2</v>
      </c>
      <c r="P170" s="1">
        <v>90</v>
      </c>
      <c r="Q170" s="1">
        <v>90</v>
      </c>
      <c r="R170" s="1">
        <v>57.4</v>
      </c>
      <c r="S170" s="1">
        <v>57.4</v>
      </c>
      <c r="T170" s="1">
        <v>0</v>
      </c>
      <c r="W170" s="1" t="s">
        <v>581</v>
      </c>
    </row>
    <row r="171" spans="1:24" x14ac:dyDescent="0.2">
      <c r="A171" s="1">
        <v>2</v>
      </c>
      <c r="B171" s="1" t="s">
        <v>804</v>
      </c>
      <c r="C171" t="s">
        <v>775</v>
      </c>
      <c r="D171" s="1" t="s">
        <v>21</v>
      </c>
      <c r="E171" s="1" t="s">
        <v>117</v>
      </c>
      <c r="F171" s="4">
        <v>45409</v>
      </c>
      <c r="G171" s="1" t="s">
        <v>21</v>
      </c>
      <c r="H171" s="1" t="s">
        <v>21</v>
      </c>
      <c r="I171" s="1" t="s">
        <v>21</v>
      </c>
      <c r="J171" s="1" t="s">
        <v>21</v>
      </c>
      <c r="K171" s="3">
        <v>0.77035879629629633</v>
      </c>
      <c r="L171" s="1" t="s">
        <v>7</v>
      </c>
      <c r="M171" s="1" t="s">
        <v>7</v>
      </c>
      <c r="N171" s="1">
        <v>1</v>
      </c>
      <c r="O171" s="1">
        <v>1</v>
      </c>
      <c r="P171" s="1">
        <v>90</v>
      </c>
      <c r="Q171" s="1">
        <v>90</v>
      </c>
      <c r="R171" s="1">
        <v>115.17</v>
      </c>
      <c r="S171" s="1">
        <v>115.17</v>
      </c>
      <c r="T171" s="1" t="s">
        <v>21</v>
      </c>
      <c r="W171" s="1" t="s">
        <v>582</v>
      </c>
    </row>
    <row r="172" spans="1:24" x14ac:dyDescent="0.2">
      <c r="A172" s="1">
        <v>2</v>
      </c>
      <c r="B172" s="1" t="s">
        <v>804</v>
      </c>
      <c r="C172" t="s">
        <v>775</v>
      </c>
      <c r="D172" s="1">
        <v>1</v>
      </c>
      <c r="E172" s="1" t="s">
        <v>252</v>
      </c>
      <c r="F172" s="4">
        <v>45406</v>
      </c>
      <c r="G172" s="3">
        <f>$K172 + $I172</f>
        <v>0.77166666666666661</v>
      </c>
      <c r="H172" s="1" t="s">
        <v>21</v>
      </c>
      <c r="I172" s="3">
        <v>3.5879629629629629E-3</v>
      </c>
      <c r="J172" s="1" t="s">
        <v>21</v>
      </c>
      <c r="K172" s="3">
        <v>0.76807870370370368</v>
      </c>
      <c r="L172" s="1" t="s">
        <v>7</v>
      </c>
      <c r="N172" s="1">
        <v>1</v>
      </c>
      <c r="P172" s="1">
        <v>90</v>
      </c>
      <c r="Q172" s="1">
        <v>90</v>
      </c>
      <c r="R172" s="1">
        <v>115.17</v>
      </c>
      <c r="S172" s="1">
        <v>115.17</v>
      </c>
      <c r="T172" s="1" t="s">
        <v>21</v>
      </c>
      <c r="W172" s="1" t="s">
        <v>583</v>
      </c>
    </row>
    <row r="173" spans="1:24" x14ac:dyDescent="0.2">
      <c r="A173" s="1">
        <v>2</v>
      </c>
      <c r="B173" s="1" t="s">
        <v>804</v>
      </c>
      <c r="C173" t="s">
        <v>775</v>
      </c>
      <c r="D173" s="1">
        <v>1</v>
      </c>
      <c r="E173" s="1" t="s">
        <v>253</v>
      </c>
      <c r="F173" s="4">
        <v>45410</v>
      </c>
      <c r="G173" s="1" t="s">
        <v>21</v>
      </c>
      <c r="H173" s="3">
        <f>K173 + J173</f>
        <v>0.26020833333333332</v>
      </c>
      <c r="I173" s="3" t="s">
        <v>21</v>
      </c>
      <c r="J173" s="3">
        <v>2.4340277777777777E-2</v>
      </c>
      <c r="K173" s="3">
        <v>0.23586805555555557</v>
      </c>
      <c r="L173" s="1" t="s">
        <v>7</v>
      </c>
      <c r="M173" s="1" t="s">
        <v>7</v>
      </c>
      <c r="N173" s="1">
        <v>1</v>
      </c>
      <c r="O173" s="1">
        <v>1</v>
      </c>
      <c r="P173" s="1">
        <v>90</v>
      </c>
      <c r="Q173" s="1">
        <v>90</v>
      </c>
      <c r="R173" s="1">
        <v>115.17</v>
      </c>
      <c r="S173" s="1">
        <v>115.17</v>
      </c>
      <c r="T173" s="1" t="s">
        <v>21</v>
      </c>
      <c r="W173" s="1" t="s">
        <v>588</v>
      </c>
    </row>
    <row r="174" spans="1:24" x14ac:dyDescent="0.2">
      <c r="A174" s="1">
        <v>2</v>
      </c>
      <c r="B174" s="1" t="s">
        <v>804</v>
      </c>
      <c r="C174" t="s">
        <v>775</v>
      </c>
      <c r="D174" s="1">
        <v>2</v>
      </c>
      <c r="E174" s="1" t="s">
        <v>254</v>
      </c>
      <c r="F174" s="4">
        <v>45410</v>
      </c>
      <c r="G174" s="3">
        <f>$K174 + $I174</f>
        <v>0.78081018518518519</v>
      </c>
      <c r="H174" s="1" t="s">
        <v>21</v>
      </c>
      <c r="I174" s="3">
        <v>2.3206018518518518E-2</v>
      </c>
      <c r="J174" s="3" t="s">
        <v>21</v>
      </c>
      <c r="K174" s="3">
        <v>0.75760416666666663</v>
      </c>
      <c r="L174" s="1" t="s">
        <v>7</v>
      </c>
      <c r="M174" s="1" t="s">
        <v>7</v>
      </c>
      <c r="N174" s="1">
        <v>1</v>
      </c>
      <c r="O174" s="1">
        <v>1</v>
      </c>
      <c r="P174" s="1">
        <v>90</v>
      </c>
      <c r="Q174" s="1">
        <v>90</v>
      </c>
      <c r="R174" s="1">
        <v>115.17</v>
      </c>
      <c r="S174" s="1">
        <v>115.17</v>
      </c>
      <c r="T174" s="1" t="s">
        <v>21</v>
      </c>
      <c r="W174" s="1" t="s">
        <v>590</v>
      </c>
    </row>
    <row r="175" spans="1:24" x14ac:dyDescent="0.2">
      <c r="A175" s="1">
        <v>2</v>
      </c>
      <c r="B175" s="1" t="s">
        <v>804</v>
      </c>
      <c r="C175" t="s">
        <v>775</v>
      </c>
      <c r="D175" s="1">
        <v>1</v>
      </c>
      <c r="E175" s="1" t="s">
        <v>254</v>
      </c>
      <c r="F175" s="4">
        <v>45410</v>
      </c>
      <c r="G175" s="3">
        <f>$K175 + $I175</f>
        <v>0.77579861111111104</v>
      </c>
      <c r="H175" s="1" t="s">
        <v>21</v>
      </c>
      <c r="I175" s="3">
        <v>1.8194444444444444E-2</v>
      </c>
      <c r="J175" s="1" t="s">
        <v>21</v>
      </c>
      <c r="K175" s="3">
        <v>0.75760416666666663</v>
      </c>
      <c r="L175" s="1" t="s">
        <v>7</v>
      </c>
      <c r="M175" s="1" t="s">
        <v>7</v>
      </c>
      <c r="N175" s="1">
        <v>1</v>
      </c>
      <c r="O175" s="1">
        <v>1</v>
      </c>
      <c r="P175" s="1">
        <v>90</v>
      </c>
      <c r="Q175" s="1">
        <v>90</v>
      </c>
      <c r="R175" s="1">
        <v>115.17</v>
      </c>
      <c r="S175" s="1">
        <v>115.17</v>
      </c>
      <c r="T175" s="1" t="s">
        <v>21</v>
      </c>
      <c r="W175" s="1" t="s">
        <v>589</v>
      </c>
    </row>
    <row r="176" spans="1:24" x14ac:dyDescent="0.2">
      <c r="A176" s="1">
        <v>2</v>
      </c>
      <c r="B176" s="1" t="s">
        <v>804</v>
      </c>
      <c r="C176" t="s">
        <v>775</v>
      </c>
      <c r="D176" s="1">
        <v>1</v>
      </c>
      <c r="E176" s="1" t="s">
        <v>294</v>
      </c>
      <c r="F176" s="4">
        <v>45415</v>
      </c>
      <c r="G176" s="3">
        <f>$K176 + $I176</f>
        <v>0.23238425925925926</v>
      </c>
      <c r="H176" s="3">
        <f>K176 + J176</f>
        <v>0.26935185185185184</v>
      </c>
      <c r="I176" s="3">
        <v>1.5219907407407408E-2</v>
      </c>
      <c r="J176" s="3">
        <v>5.2187499999999998E-2</v>
      </c>
      <c r="K176" s="3">
        <v>0.21716435185185184</v>
      </c>
      <c r="L176" s="1" t="s">
        <v>8</v>
      </c>
      <c r="M176" s="1" t="s">
        <v>8</v>
      </c>
      <c r="N176" s="1">
        <v>3</v>
      </c>
      <c r="O176" s="1">
        <v>3</v>
      </c>
      <c r="P176" s="1">
        <v>90</v>
      </c>
      <c r="Q176" s="1">
        <v>90</v>
      </c>
      <c r="R176" s="1">
        <v>57.4</v>
      </c>
      <c r="S176" s="1">
        <v>57.4</v>
      </c>
      <c r="T176" s="1">
        <v>1</v>
      </c>
    </row>
    <row r="177" spans="1:24" x14ac:dyDescent="0.2">
      <c r="A177" s="1">
        <v>2</v>
      </c>
      <c r="B177" s="1" t="s">
        <v>804</v>
      </c>
      <c r="C177" t="s">
        <v>775</v>
      </c>
      <c r="D177" s="1">
        <v>1</v>
      </c>
      <c r="E177" s="1" t="s">
        <v>567</v>
      </c>
      <c r="F177" s="4">
        <v>45415</v>
      </c>
      <c r="G177" s="3">
        <f>$K177 + $I177</f>
        <v>0.75844907407407403</v>
      </c>
      <c r="H177" s="3">
        <f>K177 + J177</f>
        <v>0.78495370370370365</v>
      </c>
      <c r="I177" s="3">
        <v>8.0787037037037043E-3</v>
      </c>
      <c r="J177" s="3">
        <v>3.4583333333333334E-2</v>
      </c>
      <c r="K177" s="3">
        <v>0.75037037037037035</v>
      </c>
      <c r="L177" s="1" t="s">
        <v>8</v>
      </c>
      <c r="M177" s="1" t="s">
        <v>7</v>
      </c>
      <c r="N177" s="1">
        <v>3</v>
      </c>
      <c r="O177" s="1">
        <v>2</v>
      </c>
      <c r="P177" s="1">
        <v>90</v>
      </c>
      <c r="Q177" s="1">
        <v>90</v>
      </c>
      <c r="R177" s="1">
        <v>57.4</v>
      </c>
      <c r="S177" s="1">
        <v>57.4</v>
      </c>
      <c r="T177" s="1">
        <v>1</v>
      </c>
      <c r="W177" s="1" t="s">
        <v>591</v>
      </c>
    </row>
    <row r="178" spans="1:24" x14ac:dyDescent="0.2">
      <c r="A178" s="1">
        <v>2</v>
      </c>
      <c r="B178" s="1" t="s">
        <v>804</v>
      </c>
      <c r="C178" t="s">
        <v>775</v>
      </c>
      <c r="D178" s="1">
        <v>1</v>
      </c>
      <c r="E178" s="1" t="s">
        <v>592</v>
      </c>
      <c r="F178" s="4">
        <v>45416</v>
      </c>
      <c r="G178" s="3">
        <f>$K178 + $I178</f>
        <v>0.22187499999999999</v>
      </c>
      <c r="H178" s="1" t="s">
        <v>21</v>
      </c>
      <c r="I178" s="3">
        <v>0</v>
      </c>
      <c r="J178" s="1" t="s">
        <v>21</v>
      </c>
      <c r="K178" s="3">
        <v>0.22187499999999999</v>
      </c>
      <c r="L178" s="1" t="s">
        <v>8</v>
      </c>
      <c r="M178" s="1" t="s">
        <v>7</v>
      </c>
      <c r="N178" s="1">
        <v>2</v>
      </c>
      <c r="O178" s="1">
        <v>2</v>
      </c>
      <c r="P178" s="1">
        <v>90</v>
      </c>
      <c r="Q178" s="1">
        <v>90</v>
      </c>
      <c r="R178" s="1">
        <v>57.4</v>
      </c>
      <c r="S178" s="1">
        <v>57.4</v>
      </c>
      <c r="T178" s="1" t="s">
        <v>76</v>
      </c>
      <c r="W178" s="1" t="s">
        <v>594</v>
      </c>
      <c r="X178" s="1" t="s">
        <v>660</v>
      </c>
    </row>
    <row r="179" spans="1:24" x14ac:dyDescent="0.2">
      <c r="A179" s="1">
        <v>2</v>
      </c>
      <c r="B179" s="1" t="s">
        <v>805</v>
      </c>
      <c r="C179" t="s">
        <v>773</v>
      </c>
      <c r="D179" s="1">
        <v>1</v>
      </c>
      <c r="E179" s="1" t="s">
        <v>476</v>
      </c>
      <c r="F179" s="4">
        <v>45417</v>
      </c>
      <c r="G179" s="3">
        <f>$K179 + $I179</f>
        <v>0.77768518518518515</v>
      </c>
      <c r="H179" s="3">
        <f>K179 + J179</f>
        <v>0.78140046296296295</v>
      </c>
      <c r="I179" s="3">
        <v>3.5763888888888889E-3</v>
      </c>
      <c r="J179" s="3">
        <v>7.2916666666666668E-3</v>
      </c>
      <c r="K179" s="3">
        <v>0.77410879629629625</v>
      </c>
      <c r="L179" s="1" t="s">
        <v>8</v>
      </c>
      <c r="M179" s="1" t="s">
        <v>8</v>
      </c>
      <c r="N179" s="1">
        <v>1</v>
      </c>
      <c r="O179" s="1">
        <v>1</v>
      </c>
      <c r="P179" s="1">
        <v>90</v>
      </c>
      <c r="Q179" s="1">
        <v>90</v>
      </c>
      <c r="R179" s="1">
        <v>57.4</v>
      </c>
      <c r="S179" s="1">
        <v>57.4</v>
      </c>
      <c r="T179" s="1">
        <v>1</v>
      </c>
      <c r="W179" s="1" t="s">
        <v>596</v>
      </c>
      <c r="X179" s="1" t="s">
        <v>638</v>
      </c>
    </row>
    <row r="180" spans="1:24" x14ac:dyDescent="0.2">
      <c r="A180" s="1">
        <v>2</v>
      </c>
      <c r="B180" s="1" t="s">
        <v>805</v>
      </c>
      <c r="C180" t="s">
        <v>773</v>
      </c>
      <c r="D180" s="1">
        <v>1</v>
      </c>
      <c r="E180" s="1" t="s">
        <v>475</v>
      </c>
      <c r="F180" s="4">
        <v>45418</v>
      </c>
      <c r="G180" s="3">
        <f>$K180 + $I180</f>
        <v>0.23399305555555555</v>
      </c>
      <c r="H180" s="3">
        <f>K180 + J180</f>
        <v>0.24024305555555556</v>
      </c>
      <c r="I180" s="3">
        <v>1.1018518518518518E-2</v>
      </c>
      <c r="J180" s="3">
        <v>1.726851851851852E-2</v>
      </c>
      <c r="K180" s="3">
        <v>0.22297453703703704</v>
      </c>
      <c r="L180" s="1" t="s">
        <v>8</v>
      </c>
      <c r="M180" s="1" t="s">
        <v>8</v>
      </c>
      <c r="N180" s="1">
        <v>1</v>
      </c>
      <c r="O180" s="1">
        <v>1</v>
      </c>
      <c r="P180" s="1">
        <v>90</v>
      </c>
      <c r="Q180" s="1">
        <v>90</v>
      </c>
      <c r="R180" s="1">
        <v>57.4</v>
      </c>
      <c r="S180" s="1">
        <v>57.4</v>
      </c>
      <c r="T180" s="1">
        <v>1</v>
      </c>
      <c r="X180" s="1" t="s">
        <v>638</v>
      </c>
    </row>
    <row r="181" spans="1:24" x14ac:dyDescent="0.2">
      <c r="A181" s="1">
        <v>2</v>
      </c>
      <c r="B181" s="1" t="s">
        <v>805</v>
      </c>
      <c r="C181" t="s">
        <v>773</v>
      </c>
      <c r="D181" s="1">
        <v>1</v>
      </c>
      <c r="E181" s="1" t="s">
        <v>467</v>
      </c>
      <c r="F181" s="4">
        <v>45419</v>
      </c>
      <c r="H181" s="3">
        <f>K181 + J181</f>
        <v>0.23739583333333331</v>
      </c>
      <c r="I181" s="3">
        <v>7.5462962962962966E-3</v>
      </c>
      <c r="J181" s="3">
        <v>1.6898148148148148E-2</v>
      </c>
      <c r="K181" s="3">
        <v>0.22049768518518517</v>
      </c>
      <c r="L181" s="1" t="s">
        <v>8</v>
      </c>
      <c r="M181" s="1" t="s">
        <v>8</v>
      </c>
      <c r="N181" s="1">
        <v>1</v>
      </c>
      <c r="O181" s="1">
        <v>1</v>
      </c>
      <c r="P181" s="1">
        <v>90</v>
      </c>
      <c r="Q181" s="1">
        <v>90</v>
      </c>
      <c r="R181" s="1">
        <v>57.4</v>
      </c>
      <c r="S181" s="1">
        <v>57.4</v>
      </c>
      <c r="T181" s="1">
        <v>1</v>
      </c>
      <c r="X181" s="1" t="s">
        <v>638</v>
      </c>
    </row>
    <row r="182" spans="1:24" x14ac:dyDescent="0.2">
      <c r="A182" s="1">
        <v>2</v>
      </c>
      <c r="B182" s="1" t="s">
        <v>805</v>
      </c>
      <c r="C182" t="s">
        <v>773</v>
      </c>
      <c r="D182" s="1">
        <v>1</v>
      </c>
      <c r="E182" s="1" t="s">
        <v>249</v>
      </c>
      <c r="F182" s="4">
        <v>45418</v>
      </c>
      <c r="G182" s="3">
        <f>$K182 + $I182</f>
        <v>0.77809027777777784</v>
      </c>
      <c r="H182" s="3">
        <f>K182 + J182</f>
        <v>0.78</v>
      </c>
      <c r="I182" s="3">
        <v>1.1886574074074074E-2</v>
      </c>
      <c r="J182" s="3">
        <v>1.3796296296296296E-2</v>
      </c>
      <c r="K182" s="3">
        <v>0.76620370370370372</v>
      </c>
      <c r="L182" s="1" t="s">
        <v>8</v>
      </c>
      <c r="M182" s="1" t="s">
        <v>8</v>
      </c>
      <c r="N182" s="1">
        <v>1</v>
      </c>
      <c r="O182" s="1">
        <v>1</v>
      </c>
      <c r="P182" s="1">
        <v>90</v>
      </c>
      <c r="Q182" s="1">
        <v>90</v>
      </c>
      <c r="R182" s="1">
        <v>57.4</v>
      </c>
      <c r="S182" s="1">
        <v>57.4</v>
      </c>
      <c r="T182" s="1">
        <v>1</v>
      </c>
      <c r="X182" s="1" t="s">
        <v>638</v>
      </c>
    </row>
    <row r="183" spans="1:24" x14ac:dyDescent="0.2">
      <c r="A183" s="1">
        <v>2</v>
      </c>
      <c r="B183" s="35" t="s">
        <v>805</v>
      </c>
      <c r="C183" t="s">
        <v>773</v>
      </c>
      <c r="D183" s="1">
        <v>1</v>
      </c>
      <c r="E183" s="1" t="s">
        <v>611</v>
      </c>
      <c r="F183" s="4">
        <v>45420</v>
      </c>
      <c r="H183" s="3">
        <v>2.4398148148148148E-2</v>
      </c>
      <c r="I183" s="3">
        <v>1.5902777777777776E-2</v>
      </c>
      <c r="K183" s="3">
        <v>0.760625</v>
      </c>
      <c r="X183" s="1" t="s">
        <v>638</v>
      </c>
    </row>
    <row r="184" spans="1:24" x14ac:dyDescent="0.2">
      <c r="A184" s="1">
        <v>2</v>
      </c>
      <c r="B184" s="35" t="s">
        <v>805</v>
      </c>
      <c r="C184" t="s">
        <v>773</v>
      </c>
      <c r="D184" s="1">
        <v>1</v>
      </c>
      <c r="E184" s="1" t="s">
        <v>500</v>
      </c>
      <c r="F184" s="4">
        <v>45421</v>
      </c>
      <c r="K184" s="3">
        <v>0.22443287037037038</v>
      </c>
      <c r="L184" s="1" t="s">
        <v>8</v>
      </c>
      <c r="M184" s="1" t="s">
        <v>7</v>
      </c>
      <c r="N184" s="1">
        <v>1</v>
      </c>
      <c r="O184" s="1">
        <v>1</v>
      </c>
      <c r="P184" s="1">
        <v>90</v>
      </c>
      <c r="Q184" s="1">
        <v>90</v>
      </c>
      <c r="R184" s="1">
        <v>57.4</v>
      </c>
      <c r="S184" s="1">
        <v>57.4</v>
      </c>
      <c r="T184" s="1" t="s">
        <v>21</v>
      </c>
      <c r="W184" s="1" t="s">
        <v>613</v>
      </c>
      <c r="X184" s="1" t="s">
        <v>638</v>
      </c>
    </row>
    <row r="185" spans="1:24" x14ac:dyDescent="0.2">
      <c r="A185" s="1">
        <v>2</v>
      </c>
      <c r="B185" s="1" t="s">
        <v>805</v>
      </c>
      <c r="C185" t="s">
        <v>773</v>
      </c>
      <c r="D185" s="1">
        <v>1</v>
      </c>
      <c r="E185" s="1" t="s">
        <v>498</v>
      </c>
      <c r="F185" s="4">
        <v>45421</v>
      </c>
      <c r="G185" s="1" t="s">
        <v>21</v>
      </c>
      <c r="H185" s="1" t="s">
        <v>21</v>
      </c>
      <c r="I185" s="3">
        <v>2.6967592592592594E-3</v>
      </c>
      <c r="J185" s="1" t="s">
        <v>21</v>
      </c>
      <c r="K185" s="3">
        <v>0.77157407407407408</v>
      </c>
      <c r="L185" s="1" t="s">
        <v>8</v>
      </c>
      <c r="M185" s="1" t="s">
        <v>7</v>
      </c>
      <c r="N185" s="1">
        <v>1</v>
      </c>
      <c r="O185" s="1">
        <v>1</v>
      </c>
      <c r="P185" s="1">
        <v>90</v>
      </c>
      <c r="Q185" s="1">
        <v>90</v>
      </c>
      <c r="R185" s="1">
        <v>57.4</v>
      </c>
      <c r="S185" s="1">
        <v>57.4</v>
      </c>
      <c r="T185" s="1" t="s">
        <v>21</v>
      </c>
      <c r="W185" s="1" t="s">
        <v>615</v>
      </c>
      <c r="X185" s="1" t="s">
        <v>638</v>
      </c>
    </row>
    <row r="186" spans="1:24" x14ac:dyDescent="0.2">
      <c r="A186" s="1">
        <v>2</v>
      </c>
      <c r="B186" s="1" t="s">
        <v>805</v>
      </c>
      <c r="C186" t="s">
        <v>773</v>
      </c>
      <c r="D186" s="1">
        <v>1</v>
      </c>
      <c r="E186" s="1" t="s">
        <v>608</v>
      </c>
      <c r="F186" s="4">
        <v>45422</v>
      </c>
      <c r="G186" s="1" t="s">
        <v>21</v>
      </c>
      <c r="I186" s="1" t="s">
        <v>21</v>
      </c>
      <c r="K186" s="3">
        <v>0.22137731481481482</v>
      </c>
      <c r="L186" s="1" t="s">
        <v>8</v>
      </c>
      <c r="M186" s="1" t="s">
        <v>8</v>
      </c>
      <c r="N186" s="1">
        <v>1</v>
      </c>
      <c r="O186" s="1">
        <v>1</v>
      </c>
      <c r="P186" s="1">
        <v>90</v>
      </c>
      <c r="Q186" s="1">
        <v>90</v>
      </c>
      <c r="R186" s="1">
        <v>57.4</v>
      </c>
      <c r="S186" s="1">
        <v>57.4</v>
      </c>
      <c r="T186" s="1">
        <v>0</v>
      </c>
      <c r="W186" s="1" t="s">
        <v>617</v>
      </c>
      <c r="X186" s="1" t="s">
        <v>638</v>
      </c>
    </row>
    <row r="187" spans="1:24" x14ac:dyDescent="0.2">
      <c r="A187" s="1">
        <v>2</v>
      </c>
      <c r="B187" s="1" t="s">
        <v>805</v>
      </c>
      <c r="C187" t="s">
        <v>773</v>
      </c>
      <c r="D187" s="1">
        <v>1</v>
      </c>
      <c r="E187" s="1" t="s">
        <v>614</v>
      </c>
      <c r="F187" s="4">
        <v>45423</v>
      </c>
      <c r="G187" s="3">
        <f>$K187 + $I187</f>
        <v>0.22614583333333332</v>
      </c>
      <c r="H187" s="3">
        <f>K187 + J187</f>
        <v>0.24557870370370369</v>
      </c>
      <c r="I187" s="3">
        <v>4.9189814814814816E-3</v>
      </c>
      <c r="J187" s="3">
        <v>2.435185185185185E-2</v>
      </c>
      <c r="K187" s="3">
        <v>0.22122685185185184</v>
      </c>
      <c r="L187" s="1" t="s">
        <v>7</v>
      </c>
      <c r="M187" s="1" t="s">
        <v>7</v>
      </c>
      <c r="N187" s="1">
        <v>2</v>
      </c>
      <c r="O187" s="1">
        <v>2</v>
      </c>
      <c r="P187" s="1">
        <v>90</v>
      </c>
      <c r="Q187" s="1">
        <v>90</v>
      </c>
      <c r="R187" s="1">
        <v>57.4</v>
      </c>
      <c r="S187" s="1">
        <v>57.4</v>
      </c>
      <c r="T187" s="1">
        <v>0</v>
      </c>
      <c r="W187" s="1" t="s">
        <v>624</v>
      </c>
      <c r="X187" s="1" t="s">
        <v>638</v>
      </c>
    </row>
    <row r="188" spans="1:24" x14ac:dyDescent="0.2">
      <c r="A188" s="1">
        <v>2</v>
      </c>
      <c r="B188" s="1" t="s">
        <v>805</v>
      </c>
      <c r="C188" t="s">
        <v>773</v>
      </c>
      <c r="D188" s="1">
        <v>1</v>
      </c>
      <c r="E188" s="1" t="s">
        <v>501</v>
      </c>
      <c r="F188" s="4">
        <v>45422</v>
      </c>
      <c r="G188" s="1" t="s">
        <v>21</v>
      </c>
      <c r="H188" s="3">
        <f>K188 + J188</f>
        <v>0.78931712962962963</v>
      </c>
      <c r="I188" s="1" t="s">
        <v>21</v>
      </c>
      <c r="J188" s="3">
        <v>2.8310185185185185E-2</v>
      </c>
      <c r="K188" s="3">
        <v>0.7610069444444445</v>
      </c>
      <c r="L188" s="1" t="s">
        <v>7</v>
      </c>
      <c r="M188" s="1" t="s">
        <v>7</v>
      </c>
      <c r="N188" s="1">
        <v>2</v>
      </c>
      <c r="O188" s="1">
        <v>2</v>
      </c>
      <c r="P188" s="1">
        <v>90</v>
      </c>
      <c r="Q188" s="1">
        <v>90</v>
      </c>
      <c r="R188" s="1">
        <v>57.4</v>
      </c>
      <c r="S188" s="1">
        <v>57.4</v>
      </c>
      <c r="T188" s="1">
        <v>0</v>
      </c>
      <c r="X188" s="1" t="s">
        <v>638</v>
      </c>
    </row>
    <row r="189" spans="1:24" x14ac:dyDescent="0.2">
      <c r="A189" s="27">
        <v>2</v>
      </c>
      <c r="B189" s="1" t="s">
        <v>805</v>
      </c>
      <c r="C189" t="s">
        <v>773</v>
      </c>
      <c r="D189" s="27">
        <v>1</v>
      </c>
      <c r="E189" s="27" t="s">
        <v>626</v>
      </c>
      <c r="F189" s="29">
        <v>45424</v>
      </c>
      <c r="G189" s="32">
        <f>$K189 + $I189</f>
        <v>0.23043981481481482</v>
      </c>
      <c r="H189" s="32">
        <f>K189 + J189</f>
        <v>0.2459375</v>
      </c>
      <c r="I189" s="32">
        <v>8.2291666666666659E-3</v>
      </c>
      <c r="J189" s="32">
        <v>2.3726851851851853E-2</v>
      </c>
      <c r="K189" s="32">
        <v>0.22221064814814814</v>
      </c>
      <c r="L189" s="27" t="s">
        <v>7</v>
      </c>
      <c r="M189" s="27" t="s">
        <v>7</v>
      </c>
      <c r="N189" s="27">
        <v>1</v>
      </c>
      <c r="O189" s="27">
        <v>1</v>
      </c>
      <c r="P189" s="1">
        <v>90</v>
      </c>
      <c r="Q189" s="1">
        <v>90</v>
      </c>
      <c r="R189" s="27">
        <v>57.4</v>
      </c>
      <c r="S189" s="27">
        <v>57.4</v>
      </c>
      <c r="T189" s="27">
        <v>1</v>
      </c>
      <c r="U189" s="27"/>
      <c r="V189" s="27"/>
      <c r="W189" s="27" t="s">
        <v>770</v>
      </c>
      <c r="X189" s="27" t="s">
        <v>638</v>
      </c>
    </row>
    <row r="190" spans="1:24" x14ac:dyDescent="0.2">
      <c r="A190" s="1">
        <v>2</v>
      </c>
      <c r="B190" s="1" t="s">
        <v>805</v>
      </c>
      <c r="C190" t="s">
        <v>773</v>
      </c>
      <c r="D190" s="1">
        <v>1</v>
      </c>
      <c r="E190" s="1" t="s">
        <v>707</v>
      </c>
      <c r="F190" s="4">
        <v>45424</v>
      </c>
      <c r="G190" s="3">
        <f>$K190 + $I190</f>
        <v>0.77141203703703698</v>
      </c>
      <c r="H190" s="3">
        <f>K190 + J190</f>
        <v>0.78964120370370372</v>
      </c>
      <c r="I190" s="3">
        <v>5.8564814814814816E-3</v>
      </c>
      <c r="J190" s="3">
        <v>2.4085648148148148E-2</v>
      </c>
      <c r="K190" s="3">
        <v>0.76555555555555554</v>
      </c>
      <c r="L190" s="1" t="s">
        <v>7</v>
      </c>
      <c r="M190" s="1" t="s">
        <v>8</v>
      </c>
      <c r="N190" s="1">
        <v>2</v>
      </c>
      <c r="O190" s="1">
        <v>2</v>
      </c>
      <c r="P190" s="1">
        <v>90</v>
      </c>
      <c r="Q190" s="1">
        <v>90</v>
      </c>
      <c r="R190" s="1">
        <v>57.4</v>
      </c>
      <c r="S190" s="1">
        <v>57.4</v>
      </c>
      <c r="T190" s="1">
        <v>1</v>
      </c>
      <c r="X190" s="1" t="s">
        <v>639</v>
      </c>
    </row>
    <row r="191" spans="1:24" x14ac:dyDescent="0.2">
      <c r="A191" s="1">
        <v>2</v>
      </c>
      <c r="B191" s="1" t="s">
        <v>805</v>
      </c>
      <c r="C191" t="s">
        <v>773</v>
      </c>
      <c r="D191" s="1">
        <v>1</v>
      </c>
      <c r="E191" s="1" t="s">
        <v>708</v>
      </c>
      <c r="F191" s="4">
        <v>45425</v>
      </c>
      <c r="G191" s="3">
        <f>$K191 + $I191</f>
        <v>0.22179398148148149</v>
      </c>
      <c r="H191" s="3">
        <f>K191 + J191</f>
        <v>0.23394675925925926</v>
      </c>
      <c r="I191" s="3">
        <v>4.5601851851851853E-3</v>
      </c>
      <c r="J191" s="3">
        <v>1.6712962962962964E-2</v>
      </c>
      <c r="K191" s="3">
        <v>0.2172337962962963</v>
      </c>
      <c r="L191" s="1" t="s">
        <v>8</v>
      </c>
      <c r="M191" s="1" t="s">
        <v>7</v>
      </c>
      <c r="N191" s="1">
        <v>2</v>
      </c>
      <c r="O191" s="1">
        <v>2</v>
      </c>
      <c r="P191" s="1">
        <v>90</v>
      </c>
      <c r="Q191" s="1">
        <v>90</v>
      </c>
      <c r="R191" s="1">
        <v>57.4</v>
      </c>
      <c r="S191" s="1">
        <v>57.4</v>
      </c>
      <c r="T191" s="1">
        <v>1</v>
      </c>
      <c r="X191" s="1" t="s">
        <v>639</v>
      </c>
    </row>
    <row r="192" spans="1:24" x14ac:dyDescent="0.2">
      <c r="A192" s="1">
        <v>2</v>
      </c>
      <c r="B192" s="1" t="s">
        <v>805</v>
      </c>
      <c r="C192" t="s">
        <v>773</v>
      </c>
      <c r="D192" s="1">
        <v>2</v>
      </c>
      <c r="E192" s="1" t="s">
        <v>708</v>
      </c>
      <c r="F192" s="4">
        <v>45425</v>
      </c>
      <c r="G192" s="3">
        <f>$K192 + $I192</f>
        <v>0.23528935185185185</v>
      </c>
      <c r="H192" s="3">
        <f>K192 + J192</f>
        <v>0.24116898148148147</v>
      </c>
      <c r="I192" s="3">
        <v>1.8055555555555554E-2</v>
      </c>
      <c r="J192" s="3">
        <v>2.3935185185185184E-2</v>
      </c>
      <c r="K192" s="3">
        <v>0.2172337962962963</v>
      </c>
      <c r="L192" s="1" t="s">
        <v>7</v>
      </c>
      <c r="M192" s="1" t="s">
        <v>7</v>
      </c>
      <c r="N192" s="1">
        <v>2</v>
      </c>
      <c r="O192" s="1">
        <v>2</v>
      </c>
      <c r="P192" s="1">
        <v>90</v>
      </c>
      <c r="Q192" s="1">
        <v>90</v>
      </c>
      <c r="R192" s="1">
        <v>57.4</v>
      </c>
      <c r="S192" s="1">
        <v>57.4</v>
      </c>
      <c r="T192" s="1">
        <v>0</v>
      </c>
      <c r="W192" s="1" t="s">
        <v>632</v>
      </c>
      <c r="X192" s="1" t="s">
        <v>639</v>
      </c>
    </row>
    <row r="193" spans="1:24" x14ac:dyDescent="0.2">
      <c r="A193" s="1">
        <v>2</v>
      </c>
      <c r="B193" s="1" t="s">
        <v>805</v>
      </c>
      <c r="C193" t="s">
        <v>773</v>
      </c>
      <c r="D193" s="1">
        <v>3</v>
      </c>
      <c r="E193" s="1" t="s">
        <v>708</v>
      </c>
      <c r="F193" s="4">
        <v>45425</v>
      </c>
      <c r="G193" s="3">
        <f>$K193 + $I193</f>
        <v>0.24209490740740741</v>
      </c>
      <c r="H193" s="3">
        <f>K193 + J193</f>
        <v>0.24863425925925925</v>
      </c>
      <c r="I193" s="3">
        <v>2.4861111111111112E-2</v>
      </c>
      <c r="J193" s="3">
        <v>3.1400462962962963E-2</v>
      </c>
      <c r="K193" s="3">
        <v>0.2172337962962963</v>
      </c>
      <c r="L193" s="1" t="s">
        <v>7</v>
      </c>
      <c r="M193" s="1" t="s">
        <v>7</v>
      </c>
      <c r="N193" s="1">
        <v>2</v>
      </c>
      <c r="O193" s="1">
        <v>2</v>
      </c>
      <c r="P193" s="1">
        <v>90</v>
      </c>
      <c r="Q193" s="1">
        <v>90</v>
      </c>
      <c r="R193" s="1">
        <v>57.4</v>
      </c>
      <c r="S193" s="1">
        <v>57.4</v>
      </c>
      <c r="T193" s="1">
        <v>1</v>
      </c>
      <c r="X193" s="1" t="s">
        <v>639</v>
      </c>
    </row>
    <row r="194" spans="1:24" x14ac:dyDescent="0.2">
      <c r="A194" s="33">
        <v>2</v>
      </c>
      <c r="B194" s="1" t="s">
        <v>805</v>
      </c>
      <c r="C194" t="s">
        <v>773</v>
      </c>
      <c r="D194" s="33">
        <v>1</v>
      </c>
      <c r="E194" s="33" t="s">
        <v>626</v>
      </c>
      <c r="F194" s="26">
        <v>45425</v>
      </c>
      <c r="G194" s="34">
        <f>$K194 + $I194</f>
        <v>0.77721064814814811</v>
      </c>
      <c r="H194" s="34">
        <f>K194 + J194</f>
        <v>0.7901273148148148</v>
      </c>
      <c r="I194" s="34">
        <v>1.2777777777777779E-2</v>
      </c>
      <c r="J194" s="34">
        <v>2.5694444444444443E-2</v>
      </c>
      <c r="K194" s="34">
        <v>0.76443287037037033</v>
      </c>
      <c r="L194" s="33" t="s">
        <v>7</v>
      </c>
      <c r="M194" s="33" t="s">
        <v>8</v>
      </c>
      <c r="N194" s="33">
        <v>2</v>
      </c>
      <c r="O194" s="33">
        <v>2</v>
      </c>
      <c r="P194" s="1">
        <v>90</v>
      </c>
      <c r="Q194" s="1">
        <v>90</v>
      </c>
      <c r="R194" s="33">
        <v>57.4</v>
      </c>
      <c r="S194" s="33">
        <v>57.4</v>
      </c>
      <c r="T194" s="33">
        <v>0</v>
      </c>
      <c r="U194" s="33"/>
      <c r="V194" s="33"/>
      <c r="W194" s="33"/>
      <c r="X194" s="33" t="s">
        <v>640</v>
      </c>
    </row>
    <row r="195" spans="1:24" x14ac:dyDescent="0.2">
      <c r="A195" s="1">
        <v>2</v>
      </c>
      <c r="B195" s="1" t="s">
        <v>805</v>
      </c>
      <c r="C195" t="s">
        <v>773</v>
      </c>
      <c r="D195" s="1">
        <v>1</v>
      </c>
      <c r="E195" s="1" t="s">
        <v>631</v>
      </c>
      <c r="F195" s="4">
        <v>45428</v>
      </c>
      <c r="G195" s="1" t="s">
        <v>21</v>
      </c>
      <c r="H195" s="3">
        <f>K195 + J195</f>
        <v>0.23959490740740741</v>
      </c>
      <c r="I195" s="1" t="s">
        <v>21</v>
      </c>
      <c r="J195" s="3">
        <v>1.6770833333333332E-2</v>
      </c>
      <c r="K195" s="3">
        <v>0.22282407407407406</v>
      </c>
      <c r="L195" s="1" t="s">
        <v>8</v>
      </c>
      <c r="M195" s="1" t="s">
        <v>8</v>
      </c>
      <c r="N195" s="1">
        <v>2</v>
      </c>
      <c r="O195" s="1">
        <v>2</v>
      </c>
      <c r="P195" s="1">
        <v>90</v>
      </c>
      <c r="Q195" s="1">
        <v>90</v>
      </c>
      <c r="R195" s="1">
        <v>57.4</v>
      </c>
      <c r="S195" s="1">
        <v>57.4</v>
      </c>
      <c r="T195" s="1">
        <v>1</v>
      </c>
      <c r="W195" s="1" t="s">
        <v>545</v>
      </c>
      <c r="X195" s="1" t="s">
        <v>640</v>
      </c>
    </row>
    <row r="196" spans="1:24" x14ac:dyDescent="0.2">
      <c r="A196" s="1">
        <v>2</v>
      </c>
      <c r="B196" s="1" t="s">
        <v>805</v>
      </c>
      <c r="C196" t="s">
        <v>773</v>
      </c>
      <c r="D196" s="1">
        <v>1</v>
      </c>
      <c r="E196" s="1" t="s">
        <v>635</v>
      </c>
      <c r="F196" s="4">
        <v>45426</v>
      </c>
      <c r="G196" s="3">
        <f>$K196 + $I196</f>
        <v>0.7633564814814815</v>
      </c>
      <c r="H196" s="3">
        <f>K196 + J196</f>
        <v>0.78</v>
      </c>
      <c r="I196" s="3">
        <v>9.0277777777777774E-4</v>
      </c>
      <c r="J196" s="3">
        <v>1.7546296296296296E-2</v>
      </c>
      <c r="K196" s="3">
        <v>0.76245370370370369</v>
      </c>
      <c r="L196" s="1" t="s">
        <v>7</v>
      </c>
      <c r="M196" s="1" t="s">
        <v>7</v>
      </c>
      <c r="N196" s="1">
        <v>2</v>
      </c>
      <c r="O196" s="1">
        <v>2</v>
      </c>
      <c r="P196" s="1">
        <v>90</v>
      </c>
      <c r="Q196" s="1">
        <v>90</v>
      </c>
      <c r="R196" s="1">
        <v>57.4</v>
      </c>
      <c r="S196" s="1">
        <v>57.4</v>
      </c>
      <c r="T196" s="1">
        <v>1</v>
      </c>
      <c r="X196" s="1" t="s">
        <v>640</v>
      </c>
    </row>
    <row r="197" spans="1:24" x14ac:dyDescent="0.2">
      <c r="A197" s="1">
        <v>2</v>
      </c>
      <c r="B197" s="1" t="s">
        <v>805</v>
      </c>
      <c r="C197" t="s">
        <v>773</v>
      </c>
      <c r="D197" s="1">
        <v>1</v>
      </c>
      <c r="E197" s="1" t="s">
        <v>641</v>
      </c>
      <c r="F197" s="4">
        <v>45427</v>
      </c>
      <c r="G197" s="1" t="s">
        <v>21</v>
      </c>
      <c r="H197" s="3">
        <f>K197 + J197</f>
        <v>0.24015046296296297</v>
      </c>
      <c r="I197" s="1" t="s">
        <v>21</v>
      </c>
      <c r="J197" s="3">
        <v>2.1585648148148149E-2</v>
      </c>
      <c r="K197" s="3">
        <v>0.21856481481481482</v>
      </c>
      <c r="L197" s="1" t="s">
        <v>7</v>
      </c>
      <c r="M197" s="1" t="s">
        <v>8</v>
      </c>
      <c r="N197" s="1">
        <v>2</v>
      </c>
      <c r="O197" s="1">
        <v>2</v>
      </c>
      <c r="P197" s="1">
        <v>90</v>
      </c>
      <c r="Q197" s="1">
        <v>90</v>
      </c>
      <c r="R197" s="1">
        <v>57.4</v>
      </c>
      <c r="S197" s="1">
        <v>28.8</v>
      </c>
      <c r="T197" s="1">
        <v>0</v>
      </c>
      <c r="W197" s="1" t="s">
        <v>655</v>
      </c>
      <c r="X197" s="1" t="s">
        <v>640</v>
      </c>
    </row>
    <row r="198" spans="1:24" x14ac:dyDescent="0.2">
      <c r="A198" s="1">
        <v>2</v>
      </c>
      <c r="B198" s="1" t="s">
        <v>805</v>
      </c>
      <c r="C198" t="s">
        <v>773</v>
      </c>
      <c r="D198" s="1">
        <v>2</v>
      </c>
      <c r="E198" s="1" t="s">
        <v>641</v>
      </c>
      <c r="F198" s="4">
        <v>45427</v>
      </c>
      <c r="G198" s="3">
        <f>$K198 + $I198</f>
        <v>0.24194444444444446</v>
      </c>
      <c r="H198" s="3">
        <f>K198 + J198</f>
        <v>0.24885416666666668</v>
      </c>
      <c r="I198" s="3">
        <v>2.3379629629629629E-2</v>
      </c>
      <c r="J198" s="3">
        <v>3.0289351851851852E-2</v>
      </c>
      <c r="K198" s="3">
        <v>0.21856481481481482</v>
      </c>
      <c r="L198" s="1" t="s">
        <v>8</v>
      </c>
      <c r="M198" s="1" t="s">
        <v>8</v>
      </c>
      <c r="N198" s="1">
        <v>2</v>
      </c>
      <c r="O198" s="1">
        <v>2</v>
      </c>
      <c r="P198" s="1">
        <v>90</v>
      </c>
      <c r="Q198" s="1">
        <v>90</v>
      </c>
      <c r="R198" s="1">
        <v>28.8</v>
      </c>
      <c r="S198" s="1">
        <v>28.8</v>
      </c>
      <c r="T198" s="1">
        <v>0</v>
      </c>
      <c r="X198" s="1" t="s">
        <v>640</v>
      </c>
    </row>
    <row r="199" spans="1:24" x14ac:dyDescent="0.2">
      <c r="A199" s="1">
        <v>2</v>
      </c>
      <c r="B199" s="1" t="s">
        <v>805</v>
      </c>
      <c r="C199" t="s">
        <v>773</v>
      </c>
      <c r="D199" s="1">
        <v>3</v>
      </c>
      <c r="E199" s="1" t="s">
        <v>641</v>
      </c>
      <c r="F199" s="4">
        <v>45427</v>
      </c>
      <c r="G199" s="3">
        <f>$K199 + $I199</f>
        <v>0.25069444444444444</v>
      </c>
      <c r="H199" s="3">
        <f>K199 + J199</f>
        <v>0.25814814814814813</v>
      </c>
      <c r="I199" s="3">
        <v>3.2129629629629633E-2</v>
      </c>
      <c r="J199" s="3">
        <v>3.9583333333333331E-2</v>
      </c>
      <c r="K199" s="3">
        <v>0.21856481481481482</v>
      </c>
      <c r="L199" s="1" t="s">
        <v>8</v>
      </c>
      <c r="M199" s="1" t="s">
        <v>8</v>
      </c>
      <c r="N199" s="1">
        <v>2</v>
      </c>
      <c r="O199" s="1">
        <v>2</v>
      </c>
      <c r="P199" s="1">
        <v>90</v>
      </c>
      <c r="Q199" s="1">
        <v>90</v>
      </c>
      <c r="R199" s="1">
        <v>28.8</v>
      </c>
      <c r="S199" s="1">
        <v>28.8</v>
      </c>
      <c r="T199" s="1">
        <v>0</v>
      </c>
      <c r="X199" s="1" t="s">
        <v>640</v>
      </c>
    </row>
    <row r="200" spans="1:24" x14ac:dyDescent="0.2">
      <c r="A200" s="1">
        <v>2</v>
      </c>
      <c r="B200" s="1" t="s">
        <v>805</v>
      </c>
      <c r="C200" t="s">
        <v>773</v>
      </c>
      <c r="D200" s="1">
        <v>1</v>
      </c>
      <c r="E200" s="1" t="s">
        <v>644</v>
      </c>
      <c r="F200" s="4">
        <v>45427</v>
      </c>
      <c r="G200" s="3">
        <f>$K200 + $I200</f>
        <v>0.77303240740740742</v>
      </c>
      <c r="H200" s="3">
        <f>K200 + J200</f>
        <v>0.79385416666666664</v>
      </c>
      <c r="I200" s="3">
        <v>1.6851851851851851E-2</v>
      </c>
      <c r="J200" s="3">
        <v>3.7673611111111109E-2</v>
      </c>
      <c r="K200" s="3">
        <v>0.75618055555555552</v>
      </c>
      <c r="L200" s="1" t="s">
        <v>8</v>
      </c>
      <c r="M200" s="1" t="s">
        <v>7</v>
      </c>
      <c r="N200" s="1">
        <v>2</v>
      </c>
      <c r="O200" s="1">
        <v>2</v>
      </c>
      <c r="P200" s="1">
        <v>90</v>
      </c>
      <c r="Q200" s="1">
        <v>90</v>
      </c>
      <c r="R200" s="1">
        <v>57.4</v>
      </c>
      <c r="S200" s="1">
        <v>57.4</v>
      </c>
      <c r="T200" s="1">
        <v>1</v>
      </c>
      <c r="X200" s="1" t="s">
        <v>640</v>
      </c>
    </row>
    <row r="201" spans="1:24" s="27" customFormat="1" x14ac:dyDescent="0.2">
      <c r="A201" s="1">
        <v>2</v>
      </c>
      <c r="B201" s="1" t="s">
        <v>805</v>
      </c>
      <c r="C201" t="s">
        <v>773</v>
      </c>
      <c r="D201" s="1">
        <v>1</v>
      </c>
      <c r="E201" s="1" t="s">
        <v>647</v>
      </c>
      <c r="F201" s="4">
        <v>45428</v>
      </c>
      <c r="G201" s="1"/>
      <c r="H201" s="3">
        <f>K201 + J201</f>
        <v>0.22597222222222221</v>
      </c>
      <c r="I201" s="1"/>
      <c r="J201" s="3">
        <v>4.5254629629629629E-3</v>
      </c>
      <c r="K201" s="3">
        <v>0.22144675925925925</v>
      </c>
      <c r="L201" s="1" t="s">
        <v>7</v>
      </c>
      <c r="M201" s="1" t="s">
        <v>7</v>
      </c>
      <c r="N201" s="1">
        <v>2</v>
      </c>
      <c r="O201" s="1">
        <v>2</v>
      </c>
      <c r="P201" s="1">
        <v>90</v>
      </c>
      <c r="Q201" s="1">
        <v>90</v>
      </c>
      <c r="R201" s="1">
        <v>57.4</v>
      </c>
      <c r="S201" s="1">
        <v>57.4</v>
      </c>
      <c r="T201" s="1" t="s">
        <v>21</v>
      </c>
      <c r="U201" s="1"/>
      <c r="V201" s="1"/>
      <c r="W201" s="1" t="s">
        <v>670</v>
      </c>
      <c r="X201" s="1" t="s">
        <v>640</v>
      </c>
    </row>
    <row r="202" spans="1:24" s="27" customFormat="1" x14ac:dyDescent="0.2">
      <c r="A202" s="1">
        <v>2</v>
      </c>
      <c r="B202" s="1" t="s">
        <v>805</v>
      </c>
      <c r="C202" t="s">
        <v>773</v>
      </c>
      <c r="D202" s="1">
        <v>2</v>
      </c>
      <c r="E202" s="1" t="s">
        <v>647</v>
      </c>
      <c r="F202" s="4">
        <v>45428</v>
      </c>
      <c r="G202" s="1"/>
      <c r="H202" s="3">
        <f>K202 + J202</f>
        <v>0.23618055555555553</v>
      </c>
      <c r="I202" s="1"/>
      <c r="J202" s="3">
        <v>1.4733796296296297E-2</v>
      </c>
      <c r="K202" s="3">
        <v>0.22144675925925925</v>
      </c>
      <c r="L202" s="1" t="s">
        <v>7</v>
      </c>
      <c r="M202" s="1" t="s">
        <v>7</v>
      </c>
      <c r="N202" s="1">
        <v>2</v>
      </c>
      <c r="O202" s="1">
        <v>2</v>
      </c>
      <c r="P202" s="1">
        <v>90</v>
      </c>
      <c r="Q202" s="1">
        <v>90</v>
      </c>
      <c r="R202" s="1">
        <v>57.4</v>
      </c>
      <c r="S202" s="1">
        <v>28.8</v>
      </c>
      <c r="T202" s="1">
        <v>0</v>
      </c>
      <c r="U202" s="1" t="s">
        <v>669</v>
      </c>
      <c r="V202" s="1"/>
      <c r="W202" s="1"/>
      <c r="X202" s="1" t="s">
        <v>640</v>
      </c>
    </row>
    <row r="203" spans="1:24" s="27" customFormat="1" x14ac:dyDescent="0.2">
      <c r="A203" s="1">
        <v>2</v>
      </c>
      <c r="B203" s="1" t="s">
        <v>805</v>
      </c>
      <c r="C203" t="s">
        <v>773</v>
      </c>
      <c r="D203" s="1">
        <v>3</v>
      </c>
      <c r="E203" s="1" t="s">
        <v>647</v>
      </c>
      <c r="F203" s="4">
        <v>45428</v>
      </c>
      <c r="G203" s="3">
        <f>$K203 + $I203</f>
        <v>0.24143518518518517</v>
      </c>
      <c r="H203" s="3">
        <f>K203 + J203</f>
        <v>0.24971064814814814</v>
      </c>
      <c r="I203" s="3">
        <v>1.9988425925925927E-2</v>
      </c>
      <c r="J203" s="3">
        <v>2.826388888888889E-2</v>
      </c>
      <c r="K203" s="3">
        <v>0.22144675925925925</v>
      </c>
      <c r="L203" s="1" t="s">
        <v>7</v>
      </c>
      <c r="M203" s="1" t="s">
        <v>7</v>
      </c>
      <c r="N203" s="1">
        <v>2</v>
      </c>
      <c r="O203" s="1">
        <v>2</v>
      </c>
      <c r="P203" s="1">
        <v>90</v>
      </c>
      <c r="Q203" s="1">
        <v>90</v>
      </c>
      <c r="R203" s="1">
        <v>28.8</v>
      </c>
      <c r="S203" s="1">
        <v>57.4</v>
      </c>
      <c r="T203" s="1">
        <v>0</v>
      </c>
      <c r="U203" s="1">
        <v>1</v>
      </c>
      <c r="V203" s="1"/>
      <c r="W203" s="1"/>
      <c r="X203" s="1" t="s">
        <v>640</v>
      </c>
    </row>
    <row r="204" spans="1:24" x14ac:dyDescent="0.2">
      <c r="A204" s="1">
        <v>2</v>
      </c>
      <c r="B204" s="1" t="s">
        <v>805</v>
      </c>
      <c r="C204" t="s">
        <v>773</v>
      </c>
      <c r="D204" s="1">
        <v>1</v>
      </c>
      <c r="E204" s="1" t="s">
        <v>648</v>
      </c>
      <c r="F204" s="4">
        <v>45428</v>
      </c>
      <c r="G204" s="3">
        <f>$K204 + $I204</f>
        <v>0.77306712962962965</v>
      </c>
      <c r="H204" s="3">
        <f>K204 + J204</f>
        <v>0.79086805555555562</v>
      </c>
      <c r="I204" s="3">
        <v>1.8587962962962962E-2</v>
      </c>
      <c r="J204" s="3">
        <v>3.6388888888888887E-2</v>
      </c>
      <c r="K204" s="3">
        <v>0.7544791666666667</v>
      </c>
      <c r="L204" s="1" t="s">
        <v>7</v>
      </c>
      <c r="M204" s="1" t="s">
        <v>8</v>
      </c>
      <c r="N204" s="1">
        <v>2</v>
      </c>
      <c r="O204" s="1">
        <v>2</v>
      </c>
      <c r="P204" s="1">
        <v>90</v>
      </c>
      <c r="Q204" s="1">
        <v>90</v>
      </c>
      <c r="R204" s="1">
        <v>57.4</v>
      </c>
      <c r="S204" s="1">
        <v>57.4</v>
      </c>
      <c r="T204" s="1">
        <v>0</v>
      </c>
      <c r="U204" s="1">
        <v>1</v>
      </c>
      <c r="X204" s="1" t="s">
        <v>640</v>
      </c>
    </row>
    <row r="205" spans="1:24" x14ac:dyDescent="0.2">
      <c r="A205" s="1">
        <v>2</v>
      </c>
      <c r="B205" s="1" t="s">
        <v>805</v>
      </c>
      <c r="C205" t="s">
        <v>773</v>
      </c>
      <c r="D205" s="1">
        <v>1</v>
      </c>
      <c r="E205" s="1" t="s">
        <v>663</v>
      </c>
      <c r="F205" s="4">
        <v>45429</v>
      </c>
      <c r="G205" s="3">
        <f>$K205 + $I205</f>
        <v>0.22107638888888889</v>
      </c>
      <c r="H205" s="3">
        <f>K205 + J205</f>
        <v>0.23121527777777778</v>
      </c>
      <c r="I205" s="3">
        <v>0</v>
      </c>
      <c r="J205" s="3">
        <v>1.0138888888888888E-2</v>
      </c>
      <c r="K205" s="3">
        <v>0.22107638888888889</v>
      </c>
      <c r="L205" s="1" t="s">
        <v>8</v>
      </c>
      <c r="M205" s="1" t="s">
        <v>8</v>
      </c>
      <c r="N205" s="1">
        <v>2</v>
      </c>
      <c r="O205" s="1">
        <v>2</v>
      </c>
      <c r="P205" s="1">
        <v>90</v>
      </c>
      <c r="Q205" s="1">
        <v>90</v>
      </c>
      <c r="R205" s="1">
        <v>57.4</v>
      </c>
      <c r="S205" s="1">
        <v>57.4</v>
      </c>
      <c r="T205" s="1">
        <v>0</v>
      </c>
      <c r="U205" s="1">
        <v>1</v>
      </c>
      <c r="X205" s="1" t="s">
        <v>640</v>
      </c>
    </row>
    <row r="206" spans="1:24" x14ac:dyDescent="0.2">
      <c r="A206" s="1">
        <v>2</v>
      </c>
      <c r="B206" s="1" t="s">
        <v>805</v>
      </c>
      <c r="C206" t="s">
        <v>773</v>
      </c>
      <c r="D206" s="1">
        <v>2</v>
      </c>
      <c r="E206" s="1" t="s">
        <v>663</v>
      </c>
      <c r="F206" s="4">
        <v>45429</v>
      </c>
      <c r="G206" s="3">
        <f>$K206 + $I206</f>
        <v>0.2427199074074074</v>
      </c>
      <c r="H206" s="3">
        <f>K206 + J206</f>
        <v>0.24766203703703704</v>
      </c>
      <c r="I206" s="3">
        <v>2.1643518518518517E-2</v>
      </c>
      <c r="J206" s="3">
        <v>2.6585648148148146E-2</v>
      </c>
      <c r="K206" s="3">
        <v>0.22107638888888889</v>
      </c>
      <c r="L206" s="1" t="s">
        <v>8</v>
      </c>
      <c r="M206" s="1" t="s">
        <v>8</v>
      </c>
      <c r="N206" s="1">
        <v>2</v>
      </c>
      <c r="O206" s="1">
        <v>2</v>
      </c>
      <c r="P206" s="1">
        <v>90</v>
      </c>
      <c r="Q206" s="1">
        <v>90</v>
      </c>
      <c r="R206" s="1">
        <v>28.8</v>
      </c>
      <c r="S206" s="1">
        <v>28.8</v>
      </c>
      <c r="T206" s="1">
        <v>1</v>
      </c>
      <c r="U206" s="1">
        <v>1</v>
      </c>
      <c r="X206" s="1" t="s">
        <v>640</v>
      </c>
    </row>
    <row r="207" spans="1:24" x14ac:dyDescent="0.2">
      <c r="A207" s="1">
        <v>2</v>
      </c>
      <c r="B207" s="1" t="s">
        <v>805</v>
      </c>
      <c r="C207" t="s">
        <v>773</v>
      </c>
      <c r="D207" s="1">
        <v>3</v>
      </c>
      <c r="E207" s="1" t="s">
        <v>663</v>
      </c>
      <c r="F207" s="4">
        <v>45429</v>
      </c>
      <c r="H207" s="3">
        <f>K207 + J207</f>
        <v>0.25545138888888891</v>
      </c>
      <c r="J207" s="3">
        <v>3.4375000000000003E-2</v>
      </c>
      <c r="K207" s="3">
        <v>0.22107638888888889</v>
      </c>
      <c r="L207" s="1" t="s">
        <v>8</v>
      </c>
      <c r="M207" s="1" t="s">
        <v>8</v>
      </c>
      <c r="N207" s="1">
        <v>2</v>
      </c>
      <c r="O207" s="1">
        <v>2</v>
      </c>
      <c r="P207" s="1">
        <v>90</v>
      </c>
      <c r="Q207" s="1">
        <v>90</v>
      </c>
      <c r="R207" s="1">
        <v>28.8</v>
      </c>
      <c r="S207" s="1">
        <v>28.8</v>
      </c>
      <c r="T207" s="1">
        <v>1</v>
      </c>
      <c r="U207" s="1">
        <v>1</v>
      </c>
      <c r="X207" s="1" t="s">
        <v>640</v>
      </c>
    </row>
    <row r="208" spans="1:24" x14ac:dyDescent="0.2">
      <c r="A208" s="1">
        <v>2</v>
      </c>
      <c r="B208" s="1" t="s">
        <v>805</v>
      </c>
      <c r="C208" t="s">
        <v>773</v>
      </c>
      <c r="D208" s="1">
        <v>1</v>
      </c>
      <c r="E208" s="1" t="s">
        <v>682</v>
      </c>
      <c r="F208" s="4">
        <v>45429</v>
      </c>
      <c r="G208" s="3">
        <f>$K208 + $I208</f>
        <v>0.77545138888888887</v>
      </c>
      <c r="H208" s="3">
        <f>K208 + J208</f>
        <v>0.79304398148148147</v>
      </c>
      <c r="I208" s="3">
        <v>1.1770833333333333E-2</v>
      </c>
      <c r="J208" s="3">
        <v>2.9363425925925925E-2</v>
      </c>
      <c r="K208" s="3">
        <v>0.76368055555555558</v>
      </c>
      <c r="L208" s="1" t="s">
        <v>8</v>
      </c>
      <c r="M208" s="1" t="s">
        <v>7</v>
      </c>
      <c r="N208" s="1">
        <v>2</v>
      </c>
      <c r="O208" s="1">
        <v>2</v>
      </c>
      <c r="P208" s="1">
        <v>90</v>
      </c>
      <c r="Q208" s="1">
        <v>90</v>
      </c>
      <c r="R208" s="1">
        <v>28.8</v>
      </c>
      <c r="S208" s="1">
        <v>57.4</v>
      </c>
      <c r="T208" s="1">
        <v>1</v>
      </c>
      <c r="U208" s="1">
        <v>1</v>
      </c>
      <c r="X208" s="1" t="s">
        <v>640</v>
      </c>
    </row>
    <row r="209" spans="1:24" x14ac:dyDescent="0.2">
      <c r="A209" s="1">
        <v>2</v>
      </c>
      <c r="B209" s="1" t="s">
        <v>805</v>
      </c>
      <c r="C209" t="s">
        <v>773</v>
      </c>
      <c r="D209" s="1">
        <v>1</v>
      </c>
      <c r="E209" s="1" t="s">
        <v>684</v>
      </c>
      <c r="F209" s="4">
        <v>45430</v>
      </c>
      <c r="G209" s="3">
        <f>$K209 + $I209</f>
        <v>0.22173611111111111</v>
      </c>
      <c r="H209" s="3">
        <f>K209 + J209</f>
        <v>0.24028935185185185</v>
      </c>
      <c r="I209" s="3">
        <v>2.3726851851851851E-3</v>
      </c>
      <c r="J209" s="3">
        <v>2.0925925925925924E-2</v>
      </c>
      <c r="K209" s="3">
        <v>0.21936342592592592</v>
      </c>
      <c r="L209" s="1" t="s">
        <v>8</v>
      </c>
      <c r="M209" s="1" t="s">
        <v>7</v>
      </c>
      <c r="N209" s="1">
        <v>2</v>
      </c>
      <c r="O209" s="1">
        <v>2</v>
      </c>
      <c r="P209" s="1">
        <v>90</v>
      </c>
      <c r="Q209" s="1">
        <v>90</v>
      </c>
      <c r="R209" s="1">
        <v>57.4</v>
      </c>
      <c r="S209" s="1">
        <v>28.8</v>
      </c>
      <c r="T209" s="1">
        <v>0</v>
      </c>
      <c r="U209" s="1">
        <v>1</v>
      </c>
      <c r="X209" s="1" t="s">
        <v>640</v>
      </c>
    </row>
    <row r="210" spans="1:24" x14ac:dyDescent="0.2">
      <c r="A210" s="1">
        <v>2</v>
      </c>
      <c r="B210" s="1" t="s">
        <v>805</v>
      </c>
      <c r="C210" t="s">
        <v>773</v>
      </c>
      <c r="D210" s="1">
        <v>1</v>
      </c>
      <c r="E210" s="1" t="s">
        <v>686</v>
      </c>
      <c r="F210" s="4">
        <v>45430</v>
      </c>
      <c r="G210" s="3"/>
      <c r="H210" s="3">
        <f>K210 + J210</f>
        <v>0.79083333333333328</v>
      </c>
      <c r="J210" s="3">
        <v>2.2094907407407407E-2</v>
      </c>
      <c r="K210" s="3">
        <v>0.76873842592592589</v>
      </c>
      <c r="L210" s="1" t="s">
        <v>7</v>
      </c>
      <c r="M210" s="1" t="s">
        <v>8</v>
      </c>
      <c r="N210" s="1">
        <v>2</v>
      </c>
      <c r="O210" s="1">
        <v>2</v>
      </c>
      <c r="P210" s="1">
        <v>90</v>
      </c>
      <c r="Q210" s="1">
        <v>90</v>
      </c>
      <c r="R210" s="1">
        <v>57.4</v>
      </c>
      <c r="S210" s="1">
        <v>57.4</v>
      </c>
      <c r="T210" s="1">
        <v>0</v>
      </c>
      <c r="U210" s="1">
        <v>1</v>
      </c>
      <c r="X210" s="1" t="s">
        <v>640</v>
      </c>
    </row>
    <row r="211" spans="1:24" x14ac:dyDescent="0.2">
      <c r="A211" s="1">
        <v>2</v>
      </c>
      <c r="B211" s="1" t="s">
        <v>805</v>
      </c>
      <c r="C211" t="s">
        <v>773</v>
      </c>
      <c r="D211" s="1">
        <v>1</v>
      </c>
      <c r="E211" s="1" t="s">
        <v>702</v>
      </c>
      <c r="F211" s="4">
        <v>45433</v>
      </c>
      <c r="G211" s="3">
        <f>$K211 + $I211</f>
        <v>0.77999999999999992</v>
      </c>
      <c r="H211" s="3">
        <f>K211 + J211</f>
        <v>0.78643518518518518</v>
      </c>
      <c r="I211" s="3">
        <v>1.7905092592592594E-2</v>
      </c>
      <c r="J211" s="3">
        <v>2.4340277777777777E-2</v>
      </c>
      <c r="K211" s="3">
        <v>0.76209490740740737</v>
      </c>
      <c r="L211" s="1" t="s">
        <v>8</v>
      </c>
      <c r="M211" s="1" t="s">
        <v>8</v>
      </c>
      <c r="N211" s="1">
        <v>2</v>
      </c>
      <c r="O211" s="1">
        <v>2</v>
      </c>
      <c r="P211" s="1">
        <v>90</v>
      </c>
      <c r="Q211" s="1">
        <v>90</v>
      </c>
      <c r="R211" s="1">
        <v>28.8</v>
      </c>
      <c r="S211" s="1">
        <v>57.4</v>
      </c>
      <c r="T211" s="1">
        <v>1</v>
      </c>
      <c r="X211" s="1" t="s">
        <v>640</v>
      </c>
    </row>
    <row r="212" spans="1:24" s="33" customFormat="1" x14ac:dyDescent="0.2">
      <c r="A212" s="1">
        <v>2</v>
      </c>
      <c r="B212" s="1" t="s">
        <v>805</v>
      </c>
      <c r="C212" t="s">
        <v>773</v>
      </c>
      <c r="D212" s="1">
        <v>1</v>
      </c>
      <c r="E212" s="1" t="s">
        <v>703</v>
      </c>
      <c r="F212" s="4">
        <v>45433</v>
      </c>
      <c r="G212" s="1" t="s">
        <v>21</v>
      </c>
      <c r="H212" s="3">
        <f>K212 + J212</f>
        <v>0.23763888888888887</v>
      </c>
      <c r="I212" s="1" t="s">
        <v>21</v>
      </c>
      <c r="J212" s="3">
        <v>1.9131944444444444E-2</v>
      </c>
      <c r="K212" s="3">
        <v>0.21850694444444443</v>
      </c>
      <c r="L212" s="1" t="s">
        <v>7</v>
      </c>
      <c r="M212" s="1" t="s">
        <v>8</v>
      </c>
      <c r="N212" s="1">
        <v>2</v>
      </c>
      <c r="O212" s="1">
        <v>2</v>
      </c>
      <c r="P212" s="1">
        <v>90</v>
      </c>
      <c r="Q212" s="1">
        <v>90</v>
      </c>
      <c r="R212" s="1">
        <v>57.4</v>
      </c>
      <c r="S212" s="1">
        <v>28.8</v>
      </c>
      <c r="T212" s="1">
        <v>0</v>
      </c>
      <c r="U212" s="1">
        <v>1</v>
      </c>
      <c r="V212" s="1"/>
      <c r="W212" s="1" t="s">
        <v>704</v>
      </c>
      <c r="X212" s="1" t="s">
        <v>640</v>
      </c>
    </row>
    <row r="213" spans="1:24" s="33" customFormat="1" x14ac:dyDescent="0.2">
      <c r="A213" s="1">
        <v>2</v>
      </c>
      <c r="B213" s="1" t="s">
        <v>805</v>
      </c>
      <c r="C213" t="s">
        <v>773</v>
      </c>
      <c r="D213" s="1">
        <v>2</v>
      </c>
      <c r="E213" s="1" t="s">
        <v>703</v>
      </c>
      <c r="F213" s="4">
        <v>45433</v>
      </c>
      <c r="G213" s="3">
        <f>$K213 + $I213</f>
        <v>0.23763888888888887</v>
      </c>
      <c r="H213" s="3">
        <f>K213 + J213</f>
        <v>0.25300925925925927</v>
      </c>
      <c r="I213" s="3">
        <v>1.9131944444444444E-2</v>
      </c>
      <c r="J213" s="3">
        <v>3.4502314814814812E-2</v>
      </c>
      <c r="K213" s="3">
        <v>0.21850694444444443</v>
      </c>
      <c r="L213" s="1" t="s">
        <v>8</v>
      </c>
      <c r="M213" s="1" t="s">
        <v>8</v>
      </c>
      <c r="N213" s="1">
        <v>2</v>
      </c>
      <c r="O213" s="1">
        <v>2</v>
      </c>
      <c r="P213" s="1">
        <v>90</v>
      </c>
      <c r="Q213" s="1">
        <v>90</v>
      </c>
      <c r="R213" s="1">
        <v>28.8</v>
      </c>
      <c r="S213" s="1">
        <v>28.8</v>
      </c>
      <c r="T213" s="1">
        <v>1</v>
      </c>
      <c r="U213" s="1"/>
      <c r="V213" s="1"/>
      <c r="W213" s="1"/>
      <c r="X213" s="1" t="s">
        <v>640</v>
      </c>
    </row>
    <row r="214" spans="1:24" s="33" customFormat="1" x14ac:dyDescent="0.2">
      <c r="A214" s="1">
        <v>2</v>
      </c>
      <c r="B214" s="1" t="s">
        <v>805</v>
      </c>
      <c r="C214" t="s">
        <v>773</v>
      </c>
      <c r="D214" s="1">
        <v>1</v>
      </c>
      <c r="E214" s="1" t="s">
        <v>217</v>
      </c>
      <c r="F214" s="4">
        <v>45432</v>
      </c>
      <c r="G214" s="1"/>
      <c r="H214" s="3">
        <f>K214 + J214</f>
        <v>0.24386574074074074</v>
      </c>
      <c r="I214" s="1"/>
      <c r="J214" s="3">
        <v>2.2349537037037036E-2</v>
      </c>
      <c r="K214" s="3">
        <v>0.2215162037037037</v>
      </c>
      <c r="L214" s="1" t="s">
        <v>7</v>
      </c>
      <c r="M214" s="1" t="s">
        <v>7</v>
      </c>
      <c r="N214" s="1">
        <v>2</v>
      </c>
      <c r="O214" s="1">
        <v>2</v>
      </c>
      <c r="P214" s="1">
        <v>90</v>
      </c>
      <c r="Q214" s="1">
        <v>90</v>
      </c>
      <c r="R214" s="1">
        <v>28.8</v>
      </c>
      <c r="S214" s="1">
        <v>28.8</v>
      </c>
      <c r="T214" s="1">
        <v>1</v>
      </c>
      <c r="U214" s="1"/>
      <c r="V214" s="1"/>
      <c r="W214" s="1"/>
      <c r="X214" s="1" t="s">
        <v>640</v>
      </c>
    </row>
    <row r="215" spans="1:24" s="33" customFormat="1" x14ac:dyDescent="0.2">
      <c r="A215" s="1">
        <v>2</v>
      </c>
      <c r="B215" s="1" t="s">
        <v>805</v>
      </c>
      <c r="C215" t="s">
        <v>773</v>
      </c>
      <c r="D215" s="1">
        <v>1</v>
      </c>
      <c r="E215" s="3" t="s">
        <v>706</v>
      </c>
      <c r="F215" s="4">
        <v>45431</v>
      </c>
      <c r="G215" s="1"/>
      <c r="H215" s="3">
        <f>K215 + J215</f>
        <v>0.24098379629629629</v>
      </c>
      <c r="I215" s="1"/>
      <c r="J215" s="3">
        <v>2.2395833333333334E-2</v>
      </c>
      <c r="K215" s="3">
        <v>0.21858796296296296</v>
      </c>
      <c r="L215" s="1" t="s">
        <v>8</v>
      </c>
      <c r="M215" s="1" t="s">
        <v>8</v>
      </c>
      <c r="N215" s="1">
        <v>2</v>
      </c>
      <c r="O215" s="1">
        <v>2</v>
      </c>
      <c r="P215" s="1">
        <v>90</v>
      </c>
      <c r="Q215" s="1">
        <v>90</v>
      </c>
      <c r="R215" s="1">
        <v>57.4</v>
      </c>
      <c r="S215" s="1">
        <v>28.8</v>
      </c>
      <c r="T215" s="1">
        <v>1</v>
      </c>
      <c r="U215" s="1"/>
      <c r="V215" s="1"/>
      <c r="W215" s="1"/>
      <c r="X215" s="1" t="s">
        <v>640</v>
      </c>
    </row>
    <row r="216" spans="1:24" s="33" customFormat="1" x14ac:dyDescent="0.2">
      <c r="A216" s="1">
        <v>2</v>
      </c>
      <c r="B216" s="1" t="s">
        <v>805</v>
      </c>
      <c r="C216" t="s">
        <v>773</v>
      </c>
      <c r="D216" s="1">
        <v>1</v>
      </c>
      <c r="E216" s="1" t="s">
        <v>693</v>
      </c>
      <c r="F216" s="4">
        <v>45431</v>
      </c>
      <c r="G216" s="1"/>
      <c r="H216" s="1" t="s">
        <v>21</v>
      </c>
      <c r="I216" s="3">
        <v>2.0532407407407409E-2</v>
      </c>
      <c r="J216" s="1" t="s">
        <v>21</v>
      </c>
      <c r="K216" s="3">
        <v>0.76197916666666665</v>
      </c>
      <c r="L216" s="1" t="s">
        <v>8</v>
      </c>
      <c r="M216" s="1" t="s">
        <v>7</v>
      </c>
      <c r="N216" s="1">
        <v>2</v>
      </c>
      <c r="O216" s="1">
        <v>2</v>
      </c>
      <c r="P216" s="1">
        <v>90</v>
      </c>
      <c r="Q216" s="1">
        <v>90</v>
      </c>
      <c r="R216" s="1"/>
      <c r="S216" s="1">
        <v>57.4</v>
      </c>
      <c r="T216" s="1" t="s">
        <v>21</v>
      </c>
      <c r="U216" s="1"/>
      <c r="V216" s="1"/>
      <c r="W216" s="1" t="s">
        <v>705</v>
      </c>
      <c r="X216" s="1" t="s">
        <v>640</v>
      </c>
    </row>
    <row r="217" spans="1:24" x14ac:dyDescent="0.2">
      <c r="A217" s="1">
        <v>2</v>
      </c>
      <c r="B217" s="1" t="s">
        <v>805</v>
      </c>
      <c r="C217" t="s">
        <v>773</v>
      </c>
      <c r="D217" s="1">
        <v>1</v>
      </c>
      <c r="E217" s="1" t="s">
        <v>698</v>
      </c>
      <c r="F217" s="4">
        <v>45436</v>
      </c>
      <c r="G217" s="1" t="s">
        <v>21</v>
      </c>
      <c r="H217" s="3">
        <f>K217 + J217</f>
        <v>0.25960648148148147</v>
      </c>
      <c r="I217" s="1" t="s">
        <v>21</v>
      </c>
      <c r="J217" s="3">
        <v>3.1412037037037037E-2</v>
      </c>
      <c r="K217" s="3">
        <v>0.22819444444444445</v>
      </c>
      <c r="L217" s="1" t="s">
        <v>8</v>
      </c>
      <c r="M217" s="1" t="s">
        <v>7</v>
      </c>
      <c r="N217" s="1">
        <v>2</v>
      </c>
      <c r="O217" s="1">
        <v>2</v>
      </c>
      <c r="P217" s="1">
        <v>90</v>
      </c>
      <c r="Q217" s="1">
        <v>90</v>
      </c>
      <c r="R217" s="1">
        <v>57.4</v>
      </c>
      <c r="S217" s="1">
        <v>28.8</v>
      </c>
      <c r="T217" s="1">
        <v>0</v>
      </c>
      <c r="U217" s="1">
        <v>1</v>
      </c>
      <c r="X217" s="1" t="s">
        <v>640</v>
      </c>
    </row>
    <row r="218" spans="1:24" x14ac:dyDescent="0.2">
      <c r="A218" s="1">
        <v>2</v>
      </c>
      <c r="B218" s="1" t="s">
        <v>805</v>
      </c>
      <c r="C218" t="s">
        <v>773</v>
      </c>
      <c r="D218" s="1">
        <v>1</v>
      </c>
      <c r="E218" s="1" t="s">
        <v>699</v>
      </c>
      <c r="F218" s="4">
        <v>45435</v>
      </c>
      <c r="G218" s="3">
        <f>$K218 + $I218</f>
        <v>0.22221064814814814</v>
      </c>
      <c r="H218" s="3">
        <f>K218 + J218</f>
        <v>0.24655092592592592</v>
      </c>
      <c r="I218" s="3">
        <v>2.2222222222222222E-3</v>
      </c>
      <c r="J218" s="3">
        <v>2.6562499999999999E-2</v>
      </c>
      <c r="K218" s="3">
        <v>0.21998842592592593</v>
      </c>
      <c r="L218" s="1" t="s">
        <v>8</v>
      </c>
      <c r="M218" s="1" t="s">
        <v>8</v>
      </c>
      <c r="N218" s="1">
        <v>2</v>
      </c>
      <c r="O218" s="1">
        <v>2</v>
      </c>
      <c r="P218" s="1">
        <v>90</v>
      </c>
      <c r="Q218" s="1">
        <v>90</v>
      </c>
      <c r="R218" s="1">
        <v>57.4</v>
      </c>
      <c r="S218" s="1">
        <v>28.8</v>
      </c>
      <c r="T218" s="1">
        <v>0</v>
      </c>
      <c r="U218" s="1">
        <v>1</v>
      </c>
      <c r="X218" s="1" t="s">
        <v>640</v>
      </c>
    </row>
    <row r="219" spans="1:24" x14ac:dyDescent="0.2">
      <c r="A219" s="1">
        <v>2</v>
      </c>
      <c r="B219" s="1" t="s">
        <v>805</v>
      </c>
      <c r="C219" t="s">
        <v>773</v>
      </c>
      <c r="D219" s="1">
        <v>1</v>
      </c>
      <c r="E219" s="1" t="s">
        <v>700</v>
      </c>
      <c r="F219" s="4">
        <v>45434</v>
      </c>
      <c r="G219" s="3">
        <f>$K219 + $I219</f>
        <v>0.77895833333333331</v>
      </c>
      <c r="H219" s="3">
        <f>K219 + J219</f>
        <v>0.78530092592592593</v>
      </c>
      <c r="I219" s="3">
        <v>1.2858796296296297E-2</v>
      </c>
      <c r="J219" s="3">
        <v>1.9201388888888889E-2</v>
      </c>
      <c r="K219" s="3">
        <v>0.76609953703703704</v>
      </c>
      <c r="L219" s="1" t="s">
        <v>7</v>
      </c>
      <c r="M219" s="1" t="s">
        <v>8</v>
      </c>
      <c r="N219" s="1">
        <v>2</v>
      </c>
      <c r="O219" s="1">
        <v>2</v>
      </c>
      <c r="P219" s="1">
        <v>90</v>
      </c>
      <c r="Q219" s="1">
        <v>90</v>
      </c>
      <c r="R219" s="1">
        <v>28.8</v>
      </c>
      <c r="S219" s="1">
        <v>57.4</v>
      </c>
      <c r="T219" s="1">
        <v>0</v>
      </c>
      <c r="U219" s="1">
        <v>1</v>
      </c>
      <c r="X219" s="1" t="s">
        <v>640</v>
      </c>
    </row>
    <row r="220" spans="1:24" x14ac:dyDescent="0.2">
      <c r="A220" s="1">
        <v>2</v>
      </c>
      <c r="B220" s="1" t="s">
        <v>805</v>
      </c>
      <c r="C220" t="s">
        <v>773</v>
      </c>
      <c r="D220" s="1">
        <v>1</v>
      </c>
      <c r="E220" s="1" t="s">
        <v>701</v>
      </c>
      <c r="F220" s="4">
        <v>45434</v>
      </c>
      <c r="G220" s="3">
        <f>$K220 + $I220</f>
        <v>0.22030092592592593</v>
      </c>
      <c r="H220" s="3">
        <f>K220 + J220</f>
        <v>0.2490046296296296</v>
      </c>
      <c r="I220" s="3">
        <v>2.3148148148148147E-5</v>
      </c>
      <c r="J220" s="3">
        <v>2.8726851851851851E-2</v>
      </c>
      <c r="K220" s="3">
        <v>0.22027777777777777</v>
      </c>
      <c r="L220" s="1" t="s">
        <v>8</v>
      </c>
      <c r="M220" s="1" t="s">
        <v>7</v>
      </c>
      <c r="N220" s="1">
        <v>2</v>
      </c>
      <c r="O220" s="1">
        <v>2</v>
      </c>
      <c r="P220" s="1">
        <v>90</v>
      </c>
      <c r="Q220" s="1">
        <v>90</v>
      </c>
      <c r="R220" s="1">
        <v>57.4</v>
      </c>
      <c r="S220" s="1">
        <v>28.8</v>
      </c>
      <c r="T220" s="1">
        <v>0</v>
      </c>
      <c r="U220" s="1">
        <v>1</v>
      </c>
      <c r="X220" s="1" t="s">
        <v>640</v>
      </c>
    </row>
    <row r="221" spans="1:24" x14ac:dyDescent="0.2">
      <c r="A221" s="1">
        <v>2</v>
      </c>
      <c r="B221" s="1" t="s">
        <v>805</v>
      </c>
      <c r="C221" t="s">
        <v>773</v>
      </c>
      <c r="D221" s="1">
        <v>1</v>
      </c>
      <c r="E221" s="1" t="s">
        <v>709</v>
      </c>
      <c r="F221" s="4">
        <v>45437</v>
      </c>
      <c r="G221" s="1" t="s">
        <v>21</v>
      </c>
      <c r="H221" s="1" t="s">
        <v>21</v>
      </c>
      <c r="I221" s="1" t="s">
        <v>21</v>
      </c>
      <c r="J221" s="1" t="s">
        <v>21</v>
      </c>
      <c r="K221" s="3">
        <v>0.75185185185185188</v>
      </c>
      <c r="L221" s="1" t="s">
        <v>7</v>
      </c>
      <c r="M221" s="1" t="s">
        <v>8</v>
      </c>
      <c r="N221" s="1">
        <v>2</v>
      </c>
      <c r="O221" s="1">
        <v>2</v>
      </c>
      <c r="P221" s="1">
        <v>90</v>
      </c>
      <c r="Q221" s="1">
        <v>90</v>
      </c>
      <c r="R221" s="1">
        <v>28.8</v>
      </c>
      <c r="S221" s="1">
        <v>57.4</v>
      </c>
      <c r="T221" s="1" t="s">
        <v>21</v>
      </c>
      <c r="W221" s="1" t="s">
        <v>531</v>
      </c>
      <c r="X221" s="1" t="s">
        <v>640</v>
      </c>
    </row>
    <row r="222" spans="1:24" x14ac:dyDescent="0.2">
      <c r="A222" s="1">
        <v>2</v>
      </c>
      <c r="B222" s="1" t="s">
        <v>805</v>
      </c>
      <c r="C222" t="s">
        <v>773</v>
      </c>
      <c r="D222" s="1" t="s">
        <v>21</v>
      </c>
      <c r="E222" s="1" t="s">
        <v>236</v>
      </c>
      <c r="F222" s="4">
        <v>45438</v>
      </c>
      <c r="K222" s="3">
        <v>0.22033564814814816</v>
      </c>
      <c r="P222" s="1">
        <v>90</v>
      </c>
      <c r="Q222" s="1">
        <v>90</v>
      </c>
      <c r="R222" s="1">
        <v>57.4</v>
      </c>
      <c r="S222" s="1">
        <v>57.4</v>
      </c>
      <c r="T222" s="1" t="s">
        <v>21</v>
      </c>
      <c r="W222" s="1" t="s">
        <v>712</v>
      </c>
    </row>
    <row r="223" spans="1:24" x14ac:dyDescent="0.2">
      <c r="A223" s="1">
        <v>2</v>
      </c>
      <c r="B223" s="1" t="s">
        <v>806</v>
      </c>
      <c r="C223" t="s">
        <v>773</v>
      </c>
      <c r="D223" s="1">
        <v>1</v>
      </c>
      <c r="E223" s="1" t="s">
        <v>251</v>
      </c>
      <c r="F223" s="4">
        <v>45405</v>
      </c>
      <c r="G223" s="3">
        <f>$K223 + $I223</f>
        <v>0.7778356481481481</v>
      </c>
      <c r="H223" s="3">
        <f>K223 + J223</f>
        <v>0.7818518518518518</v>
      </c>
      <c r="I223" s="3">
        <v>1.2048611111111111E-2</v>
      </c>
      <c r="J223" s="3">
        <v>1.6064814814814816E-2</v>
      </c>
      <c r="K223" s="3">
        <v>0.76578703703703699</v>
      </c>
      <c r="L223" s="1" t="s">
        <v>7</v>
      </c>
      <c r="M223" s="1" t="s">
        <v>7</v>
      </c>
      <c r="N223" s="1">
        <v>1</v>
      </c>
      <c r="O223" s="1">
        <v>1</v>
      </c>
      <c r="P223" s="1">
        <v>90</v>
      </c>
      <c r="Q223" s="1">
        <v>90</v>
      </c>
      <c r="R223" s="1">
        <v>115.17</v>
      </c>
      <c r="S223" s="1">
        <v>115.17</v>
      </c>
      <c r="T223" s="1">
        <v>1</v>
      </c>
      <c r="W223" s="1" t="s">
        <v>549</v>
      </c>
    </row>
    <row r="224" spans="1:24" x14ac:dyDescent="0.2">
      <c r="A224" s="1">
        <v>2</v>
      </c>
      <c r="B224" s="1" t="s">
        <v>806</v>
      </c>
      <c r="C224" t="s">
        <v>773</v>
      </c>
      <c r="D224" s="1" t="s">
        <v>21</v>
      </c>
      <c r="E224" s="1" t="s">
        <v>110</v>
      </c>
      <c r="F224" s="4">
        <v>45406</v>
      </c>
      <c r="G224" s="1" t="s">
        <v>21</v>
      </c>
      <c r="H224" s="1" t="s">
        <v>21</v>
      </c>
      <c r="I224" s="1" t="s">
        <v>21</v>
      </c>
      <c r="J224" s="1" t="s">
        <v>21</v>
      </c>
      <c r="K224" s="3">
        <v>0.22142361111111111</v>
      </c>
      <c r="L224" s="1" t="s">
        <v>8</v>
      </c>
      <c r="M224" s="1" t="s">
        <v>8</v>
      </c>
      <c r="N224" s="1">
        <v>1</v>
      </c>
      <c r="O224" s="1">
        <v>1</v>
      </c>
      <c r="P224" s="1">
        <v>90</v>
      </c>
      <c r="Q224" s="1">
        <v>90</v>
      </c>
      <c r="R224" s="1">
        <v>115.17</v>
      </c>
      <c r="S224" s="1">
        <v>115.17</v>
      </c>
      <c r="T224" s="1" t="s">
        <v>76</v>
      </c>
    </row>
    <row r="225" spans="1:24" x14ac:dyDescent="0.2">
      <c r="A225" s="1">
        <v>2</v>
      </c>
      <c r="B225" s="1" t="s">
        <v>807</v>
      </c>
      <c r="C225" t="s">
        <v>775</v>
      </c>
      <c r="D225" s="1" t="s">
        <v>21</v>
      </c>
      <c r="E225" s="1" t="s">
        <v>476</v>
      </c>
      <c r="F225" s="4">
        <v>45417</v>
      </c>
      <c r="G225" s="1" t="s">
        <v>21</v>
      </c>
      <c r="H225" s="1" t="s">
        <v>21</v>
      </c>
      <c r="I225" s="1" t="s">
        <v>21</v>
      </c>
      <c r="J225" s="1" t="s">
        <v>21</v>
      </c>
      <c r="K225" s="3">
        <v>0.77410879629629625</v>
      </c>
      <c r="L225" s="1" t="s">
        <v>7</v>
      </c>
      <c r="M225" s="1" t="s">
        <v>7</v>
      </c>
      <c r="N225" s="1">
        <v>1</v>
      </c>
      <c r="O225" s="1">
        <v>1</v>
      </c>
      <c r="P225" s="1">
        <v>90</v>
      </c>
      <c r="Q225" s="1">
        <v>90</v>
      </c>
      <c r="R225" s="1">
        <v>57.4</v>
      </c>
      <c r="S225" s="1">
        <v>57.4</v>
      </c>
      <c r="T225" s="1" t="s">
        <v>21</v>
      </c>
      <c r="W225" s="1" t="s">
        <v>597</v>
      </c>
      <c r="X225" s="1" t="s">
        <v>638</v>
      </c>
    </row>
    <row r="226" spans="1:24" x14ac:dyDescent="0.2">
      <c r="A226" s="1">
        <v>2</v>
      </c>
      <c r="B226" s="1" t="s">
        <v>807</v>
      </c>
      <c r="C226" t="s">
        <v>775</v>
      </c>
      <c r="D226" s="1" t="s">
        <v>21</v>
      </c>
      <c r="E226" s="1" t="s">
        <v>475</v>
      </c>
      <c r="F226" s="4">
        <v>45418</v>
      </c>
      <c r="G226" s="1" t="s">
        <v>21</v>
      </c>
      <c r="H226" s="1" t="s">
        <v>21</v>
      </c>
      <c r="I226" s="1" t="s">
        <v>21</v>
      </c>
      <c r="J226" s="1" t="s">
        <v>21</v>
      </c>
      <c r="K226" s="3">
        <v>0.22297453703703704</v>
      </c>
      <c r="L226" s="1" t="s">
        <v>7</v>
      </c>
      <c r="M226" s="1" t="s">
        <v>7</v>
      </c>
      <c r="N226" s="1">
        <v>1</v>
      </c>
      <c r="O226" s="1">
        <v>1</v>
      </c>
      <c r="P226" s="1">
        <v>90</v>
      </c>
      <c r="Q226" s="1">
        <v>90</v>
      </c>
      <c r="R226" s="1">
        <v>57.4</v>
      </c>
      <c r="S226" s="1">
        <v>57.4</v>
      </c>
      <c r="T226" s="1" t="s">
        <v>21</v>
      </c>
      <c r="W226" s="1" t="s">
        <v>600</v>
      </c>
      <c r="X226" s="1" t="s">
        <v>638</v>
      </c>
    </row>
    <row r="227" spans="1:24" x14ac:dyDescent="0.2">
      <c r="A227" s="1">
        <v>2</v>
      </c>
      <c r="B227" s="1" t="s">
        <v>807</v>
      </c>
      <c r="C227" t="s">
        <v>775</v>
      </c>
      <c r="D227" s="1" t="s">
        <v>21</v>
      </c>
      <c r="E227" s="1" t="s">
        <v>249</v>
      </c>
      <c r="F227" s="4">
        <v>45418</v>
      </c>
      <c r="G227" s="1" t="s">
        <v>21</v>
      </c>
      <c r="H227" s="3" t="s">
        <v>21</v>
      </c>
      <c r="I227" s="1" t="s">
        <v>21</v>
      </c>
      <c r="J227" s="1" t="s">
        <v>21</v>
      </c>
      <c r="K227" s="3">
        <v>0.76620370370370372</v>
      </c>
      <c r="L227" s="1" t="s">
        <v>7</v>
      </c>
      <c r="M227" s="1" t="s">
        <v>7</v>
      </c>
      <c r="N227" s="1">
        <v>1</v>
      </c>
      <c r="O227" s="1">
        <v>1</v>
      </c>
      <c r="P227" s="1">
        <v>90</v>
      </c>
      <c r="Q227" s="1">
        <v>90</v>
      </c>
      <c r="R227" s="1">
        <v>57.4</v>
      </c>
      <c r="S227" s="1">
        <v>57.4</v>
      </c>
      <c r="T227" s="1" t="s">
        <v>21</v>
      </c>
      <c r="W227" s="1" t="s">
        <v>659</v>
      </c>
      <c r="X227" s="1" t="s">
        <v>638</v>
      </c>
    </row>
    <row r="228" spans="1:24" x14ac:dyDescent="0.2">
      <c r="A228" s="1">
        <v>2</v>
      </c>
      <c r="B228" s="35" t="s">
        <v>807</v>
      </c>
      <c r="C228" t="s">
        <v>775</v>
      </c>
      <c r="D228" s="1">
        <v>1</v>
      </c>
      <c r="E228" s="1" t="s">
        <v>611</v>
      </c>
      <c r="F228" s="4">
        <v>45420</v>
      </c>
      <c r="H228" s="3">
        <v>2.539351851851852E-2</v>
      </c>
      <c r="I228" s="3">
        <v>1.8483796296296297E-2</v>
      </c>
      <c r="X228" s="1" t="s">
        <v>638</v>
      </c>
    </row>
    <row r="229" spans="1:24" x14ac:dyDescent="0.2">
      <c r="A229" s="1">
        <v>2</v>
      </c>
      <c r="B229" s="35" t="s">
        <v>807</v>
      </c>
      <c r="C229" t="s">
        <v>775</v>
      </c>
      <c r="D229" s="1">
        <v>1</v>
      </c>
      <c r="E229" s="1" t="s">
        <v>500</v>
      </c>
      <c r="F229" s="4">
        <v>45421</v>
      </c>
      <c r="G229" s="1" t="s">
        <v>21</v>
      </c>
      <c r="I229" s="1" t="s">
        <v>21</v>
      </c>
      <c r="J229" s="3">
        <v>1.8773148148148146E-2</v>
      </c>
      <c r="L229" s="1" t="s">
        <v>7</v>
      </c>
      <c r="M229" s="1" t="s">
        <v>8</v>
      </c>
      <c r="N229" s="1">
        <v>1</v>
      </c>
      <c r="O229" s="1">
        <v>1</v>
      </c>
      <c r="P229" s="1">
        <v>90</v>
      </c>
      <c r="Q229" s="1">
        <v>90</v>
      </c>
      <c r="R229" s="1">
        <v>57.4</v>
      </c>
      <c r="S229" s="1">
        <v>57.4</v>
      </c>
      <c r="T229" s="1">
        <v>0</v>
      </c>
      <c r="X229" s="1" t="s">
        <v>638</v>
      </c>
    </row>
    <row r="230" spans="1:24" x14ac:dyDescent="0.2">
      <c r="A230" s="1">
        <v>2</v>
      </c>
      <c r="B230" s="1" t="s">
        <v>807</v>
      </c>
      <c r="C230" t="s">
        <v>775</v>
      </c>
      <c r="D230" s="1">
        <v>1</v>
      </c>
      <c r="E230" s="1" t="s">
        <v>498</v>
      </c>
      <c r="F230" s="4">
        <v>45421</v>
      </c>
      <c r="G230" s="3">
        <f>$K230 + $I230</f>
        <v>0.77248842592592593</v>
      </c>
      <c r="I230" s="3">
        <v>9.1435185185185185E-4</v>
      </c>
      <c r="J230" s="3">
        <v>3.5416666666666665E-3</v>
      </c>
      <c r="K230" s="3">
        <v>0.77157407407407408</v>
      </c>
      <c r="L230" s="1" t="s">
        <v>7</v>
      </c>
      <c r="M230" s="1" t="s">
        <v>7</v>
      </c>
      <c r="N230" s="1">
        <v>1</v>
      </c>
      <c r="O230" s="1">
        <v>1</v>
      </c>
      <c r="P230" s="1">
        <v>90</v>
      </c>
      <c r="Q230" s="1">
        <v>90</v>
      </c>
      <c r="R230" s="1">
        <v>57.4</v>
      </c>
      <c r="S230" s="1">
        <v>57.4</v>
      </c>
      <c r="T230" s="1">
        <v>1</v>
      </c>
      <c r="X230" s="1" t="s">
        <v>638</v>
      </c>
    </row>
    <row r="231" spans="1:24" x14ac:dyDescent="0.2">
      <c r="A231" s="1">
        <v>2</v>
      </c>
      <c r="B231" s="1" t="s">
        <v>807</v>
      </c>
      <c r="C231" t="s">
        <v>775</v>
      </c>
      <c r="D231" s="1">
        <v>1</v>
      </c>
      <c r="E231" s="1" t="s">
        <v>608</v>
      </c>
      <c r="F231" s="4">
        <v>45422</v>
      </c>
      <c r="G231" s="1" t="s">
        <v>21</v>
      </c>
      <c r="I231" s="1" t="s">
        <v>21</v>
      </c>
      <c r="K231" s="3">
        <v>0.22137731481481482</v>
      </c>
      <c r="L231" s="1" t="s">
        <v>7</v>
      </c>
      <c r="M231" s="1" t="s">
        <v>7</v>
      </c>
      <c r="N231" s="1">
        <v>1</v>
      </c>
      <c r="O231" s="1">
        <v>1</v>
      </c>
      <c r="P231" s="1">
        <v>90</v>
      </c>
      <c r="Q231" s="1">
        <v>90</v>
      </c>
      <c r="R231" s="1">
        <v>57.4</v>
      </c>
      <c r="S231" s="1">
        <v>57.4</v>
      </c>
      <c r="T231" s="1">
        <v>0</v>
      </c>
      <c r="W231" s="1" t="s">
        <v>618</v>
      </c>
      <c r="X231" s="1" t="s">
        <v>638</v>
      </c>
    </row>
    <row r="232" spans="1:24" x14ac:dyDescent="0.2">
      <c r="A232" s="1">
        <v>2</v>
      </c>
      <c r="B232" s="1" t="s">
        <v>807</v>
      </c>
      <c r="C232" t="s">
        <v>775</v>
      </c>
      <c r="D232" s="1">
        <v>1</v>
      </c>
      <c r="E232" s="1" t="s">
        <v>614</v>
      </c>
      <c r="F232" s="4">
        <v>45423</v>
      </c>
      <c r="G232" s="3">
        <f>$K232 + $I232</f>
        <v>0.22122685185185184</v>
      </c>
      <c r="H232" s="3">
        <f>K232 + J232</f>
        <v>0.24792824074074074</v>
      </c>
      <c r="I232" s="3">
        <v>0</v>
      </c>
      <c r="J232" s="3">
        <v>2.6701388888888889E-2</v>
      </c>
      <c r="K232" s="3">
        <v>0.22122685185185184</v>
      </c>
      <c r="L232" s="1" t="s">
        <v>8</v>
      </c>
      <c r="M232" s="1" t="s">
        <v>8</v>
      </c>
      <c r="N232" s="1">
        <v>2</v>
      </c>
      <c r="O232" s="1">
        <v>2</v>
      </c>
      <c r="P232" s="1">
        <v>90</v>
      </c>
      <c r="Q232" s="1">
        <v>90</v>
      </c>
      <c r="R232" s="1">
        <v>57.4</v>
      </c>
      <c r="S232" s="1">
        <v>57.4</v>
      </c>
      <c r="T232" s="1">
        <v>0</v>
      </c>
      <c r="X232" s="1" t="s">
        <v>638</v>
      </c>
    </row>
    <row r="233" spans="1:24" x14ac:dyDescent="0.2">
      <c r="A233" s="1">
        <v>2</v>
      </c>
      <c r="B233" s="1" t="s">
        <v>807</v>
      </c>
      <c r="C233" t="s">
        <v>775</v>
      </c>
      <c r="D233" s="1">
        <v>1</v>
      </c>
      <c r="E233" s="1" t="s">
        <v>501</v>
      </c>
      <c r="F233" s="4">
        <v>45422</v>
      </c>
      <c r="G233" s="3">
        <f>$K233 + $I233</f>
        <v>0.77530092592592603</v>
      </c>
      <c r="H233" s="3">
        <f>K233 + J233</f>
        <v>0.78847222222222224</v>
      </c>
      <c r="I233" s="3">
        <v>1.4293981481481482E-2</v>
      </c>
      <c r="J233" s="3">
        <v>2.7465277777777779E-2</v>
      </c>
      <c r="K233" s="3">
        <v>0.7610069444444445</v>
      </c>
      <c r="L233" s="1" t="s">
        <v>8</v>
      </c>
      <c r="M233" s="1" t="s">
        <v>8</v>
      </c>
      <c r="N233" s="1">
        <v>2</v>
      </c>
      <c r="O233" s="1">
        <v>2</v>
      </c>
      <c r="P233" s="1">
        <v>90</v>
      </c>
      <c r="Q233" s="1">
        <v>90</v>
      </c>
      <c r="R233" s="1">
        <v>57.4</v>
      </c>
      <c r="S233" s="1">
        <v>57.4</v>
      </c>
      <c r="T233" s="1">
        <v>0</v>
      </c>
      <c r="X233" s="1" t="s">
        <v>638</v>
      </c>
    </row>
    <row r="234" spans="1:24" x14ac:dyDescent="0.2">
      <c r="A234" s="27">
        <v>2</v>
      </c>
      <c r="B234" s="1" t="s">
        <v>807</v>
      </c>
      <c r="C234" t="s">
        <v>775</v>
      </c>
      <c r="D234" s="27">
        <v>1</v>
      </c>
      <c r="E234" s="27" t="s">
        <v>626</v>
      </c>
      <c r="F234" s="29">
        <v>45424</v>
      </c>
      <c r="G234" s="27" t="s">
        <v>21</v>
      </c>
      <c r="H234" s="32">
        <f>K234 + J234</f>
        <v>0.23504629629629628</v>
      </c>
      <c r="I234" s="27" t="s">
        <v>21</v>
      </c>
      <c r="J234" s="32">
        <v>1.2835648148148148E-2</v>
      </c>
      <c r="K234" s="32">
        <v>0.22221064814814814</v>
      </c>
      <c r="L234" s="27" t="s">
        <v>8</v>
      </c>
      <c r="M234" s="27" t="s">
        <v>8</v>
      </c>
      <c r="N234" s="27">
        <v>2</v>
      </c>
      <c r="O234" s="27">
        <v>2</v>
      </c>
      <c r="P234" s="1">
        <v>90</v>
      </c>
      <c r="Q234" s="1">
        <v>90</v>
      </c>
      <c r="R234" s="27">
        <v>57.4</v>
      </c>
      <c r="S234" s="27">
        <v>57.4</v>
      </c>
      <c r="T234" s="27">
        <v>0</v>
      </c>
      <c r="U234" s="27"/>
      <c r="V234" s="27"/>
      <c r="W234" s="27" t="s">
        <v>628</v>
      </c>
      <c r="X234" s="27" t="s">
        <v>638</v>
      </c>
    </row>
    <row r="235" spans="1:24" x14ac:dyDescent="0.2">
      <c r="A235" s="27">
        <v>2</v>
      </c>
      <c r="B235" s="1" t="s">
        <v>807</v>
      </c>
      <c r="C235" t="s">
        <v>775</v>
      </c>
      <c r="D235" s="27">
        <v>2</v>
      </c>
      <c r="E235" s="27" t="s">
        <v>626</v>
      </c>
      <c r="F235" s="29">
        <v>45424</v>
      </c>
      <c r="G235" s="32">
        <f>$K235 + $I235</f>
        <v>0.23553240740740741</v>
      </c>
      <c r="H235" s="32">
        <f>K235 + J235</f>
        <v>0.24569444444444444</v>
      </c>
      <c r="I235" s="32">
        <v>1.3321759259259259E-2</v>
      </c>
      <c r="J235" s="32">
        <v>2.3483796296296298E-2</v>
      </c>
      <c r="K235" s="32">
        <v>0.22221064814814814</v>
      </c>
      <c r="L235" s="27" t="s">
        <v>8</v>
      </c>
      <c r="M235" s="27" t="s">
        <v>8</v>
      </c>
      <c r="N235" s="27">
        <v>2</v>
      </c>
      <c r="O235" s="27">
        <v>2</v>
      </c>
      <c r="P235" s="1">
        <v>90</v>
      </c>
      <c r="Q235" s="1">
        <v>90</v>
      </c>
      <c r="R235" s="27">
        <v>57.4</v>
      </c>
      <c r="S235" s="27">
        <v>57.4</v>
      </c>
      <c r="T235" s="27">
        <v>1</v>
      </c>
      <c r="U235" s="27"/>
      <c r="V235" s="27"/>
      <c r="W235" s="27" t="s">
        <v>629</v>
      </c>
      <c r="X235" s="27" t="s">
        <v>638</v>
      </c>
    </row>
    <row r="236" spans="1:24" x14ac:dyDescent="0.2">
      <c r="A236" s="1">
        <v>2</v>
      </c>
      <c r="B236" s="1" t="s">
        <v>807</v>
      </c>
      <c r="C236" t="s">
        <v>775</v>
      </c>
      <c r="D236" s="1">
        <v>1</v>
      </c>
      <c r="E236" s="1" t="s">
        <v>707</v>
      </c>
      <c r="F236" s="4">
        <v>45424</v>
      </c>
      <c r="G236" s="3">
        <f>$K236 + $I236</f>
        <v>0.77440972222222226</v>
      </c>
      <c r="H236" s="3">
        <f>K236 + J236</f>
        <v>0.7866319444444444</v>
      </c>
      <c r="I236" s="3">
        <v>8.8541666666666664E-3</v>
      </c>
      <c r="J236" s="3">
        <v>2.1076388888888888E-2</v>
      </c>
      <c r="K236" s="3">
        <v>0.76555555555555554</v>
      </c>
      <c r="L236" s="1" t="s">
        <v>8</v>
      </c>
      <c r="M236" s="1" t="s">
        <v>7</v>
      </c>
      <c r="N236" s="1">
        <v>2</v>
      </c>
      <c r="O236" s="1">
        <v>2</v>
      </c>
      <c r="P236" s="1">
        <v>90</v>
      </c>
      <c r="Q236" s="1">
        <v>90</v>
      </c>
      <c r="R236" s="1">
        <v>57.4</v>
      </c>
      <c r="S236" s="1">
        <v>57.4</v>
      </c>
      <c r="T236" s="1">
        <v>0</v>
      </c>
      <c r="W236" s="1" t="s">
        <v>634</v>
      </c>
      <c r="X236" s="1" t="s">
        <v>639</v>
      </c>
    </row>
    <row r="237" spans="1:24" x14ac:dyDescent="0.2">
      <c r="A237" s="1">
        <v>2</v>
      </c>
      <c r="B237" s="1" t="s">
        <v>807</v>
      </c>
      <c r="C237" t="s">
        <v>775</v>
      </c>
      <c r="D237" s="1">
        <v>2</v>
      </c>
      <c r="E237" s="1" t="s">
        <v>707</v>
      </c>
      <c r="F237" s="4">
        <v>45424</v>
      </c>
      <c r="G237" s="3">
        <f>$K237 + $I237</f>
        <v>0.7877777777777778</v>
      </c>
      <c r="H237" s="3">
        <f>K237 + J237</f>
        <v>0.79677083333333332</v>
      </c>
      <c r="I237" s="3">
        <v>2.2222222222222223E-2</v>
      </c>
      <c r="J237" s="3">
        <v>3.1215277777777779E-2</v>
      </c>
      <c r="K237" s="3">
        <v>0.76555555555555554</v>
      </c>
      <c r="L237" s="1" t="s">
        <v>7</v>
      </c>
      <c r="M237" s="1" t="s">
        <v>7</v>
      </c>
      <c r="N237" s="1">
        <v>2</v>
      </c>
      <c r="O237" s="1">
        <v>2</v>
      </c>
      <c r="P237" s="1">
        <v>90</v>
      </c>
      <c r="Q237" s="1">
        <v>90</v>
      </c>
      <c r="R237" s="1">
        <v>57.4</v>
      </c>
      <c r="S237" s="1">
        <v>57.4</v>
      </c>
      <c r="T237" s="1">
        <v>0</v>
      </c>
      <c r="W237" s="1" t="s">
        <v>632</v>
      </c>
      <c r="X237" s="1" t="s">
        <v>639</v>
      </c>
    </row>
    <row r="238" spans="1:24" x14ac:dyDescent="0.2">
      <c r="A238" s="1">
        <v>2</v>
      </c>
      <c r="B238" s="1" t="s">
        <v>807</v>
      </c>
      <c r="C238" t="s">
        <v>775</v>
      </c>
      <c r="D238" s="1">
        <v>1</v>
      </c>
      <c r="E238" s="1" t="s">
        <v>708</v>
      </c>
      <c r="F238" s="4">
        <v>45425</v>
      </c>
      <c r="G238" s="1" t="s">
        <v>21</v>
      </c>
      <c r="H238" s="3">
        <f>K238 + J238</f>
        <v>0.23906250000000001</v>
      </c>
      <c r="I238" s="1" t="s">
        <v>21</v>
      </c>
      <c r="J238" s="3">
        <v>2.1828703703703704E-2</v>
      </c>
      <c r="K238" s="3">
        <v>0.2172337962962963</v>
      </c>
      <c r="L238" s="1" t="s">
        <v>7</v>
      </c>
      <c r="M238" s="1" t="s">
        <v>8</v>
      </c>
      <c r="N238" s="1">
        <v>2</v>
      </c>
      <c r="O238" s="1">
        <v>2</v>
      </c>
      <c r="P238" s="1">
        <v>90</v>
      </c>
      <c r="Q238" s="1">
        <v>90</v>
      </c>
      <c r="R238" s="1">
        <v>57.4</v>
      </c>
      <c r="S238" s="1">
        <v>57.4</v>
      </c>
      <c r="T238" s="1">
        <v>1</v>
      </c>
      <c r="W238" s="1" t="s">
        <v>637</v>
      </c>
      <c r="X238" s="1" t="s">
        <v>639</v>
      </c>
    </row>
    <row r="239" spans="1:24" x14ac:dyDescent="0.2">
      <c r="A239" s="1">
        <v>2</v>
      </c>
      <c r="B239" s="1" t="s">
        <v>807</v>
      </c>
      <c r="C239" t="s">
        <v>775</v>
      </c>
      <c r="D239" s="1">
        <v>2</v>
      </c>
      <c r="E239" s="1" t="s">
        <v>708</v>
      </c>
      <c r="F239" s="4">
        <v>45425</v>
      </c>
      <c r="G239" s="3">
        <f>$K239 + $I239</f>
        <v>0.24734953703703705</v>
      </c>
      <c r="H239" s="1" t="s">
        <v>21</v>
      </c>
      <c r="I239" s="3">
        <v>3.0115740740740742E-2</v>
      </c>
      <c r="J239" s="1" t="s">
        <v>21</v>
      </c>
      <c r="K239" s="3">
        <v>0.2172337962962963</v>
      </c>
      <c r="L239" s="1" t="s">
        <v>8</v>
      </c>
      <c r="M239" s="1" t="s">
        <v>8</v>
      </c>
      <c r="N239" s="1">
        <v>2</v>
      </c>
      <c r="O239" s="1">
        <v>2</v>
      </c>
      <c r="P239" s="1">
        <v>90</v>
      </c>
      <c r="Q239" s="1">
        <v>90</v>
      </c>
      <c r="R239" s="1">
        <v>57.4</v>
      </c>
      <c r="S239" s="1">
        <v>57.4</v>
      </c>
      <c r="T239" s="1" t="s">
        <v>21</v>
      </c>
      <c r="W239" s="1" t="s">
        <v>636</v>
      </c>
      <c r="X239" s="1" t="s">
        <v>639</v>
      </c>
    </row>
    <row r="240" spans="1:24" x14ac:dyDescent="0.2">
      <c r="A240" s="33">
        <v>2</v>
      </c>
      <c r="B240" s="1" t="s">
        <v>807</v>
      </c>
      <c r="C240" t="s">
        <v>775</v>
      </c>
      <c r="D240" s="33">
        <v>1</v>
      </c>
      <c r="E240" s="33" t="s">
        <v>626</v>
      </c>
      <c r="F240" s="26">
        <v>45425</v>
      </c>
      <c r="G240" s="34">
        <f>$K240 + $I240</f>
        <v>0.77271990740740737</v>
      </c>
      <c r="H240" s="34">
        <f>K240 + J240</f>
        <v>0.78368055555555549</v>
      </c>
      <c r="I240" s="34">
        <v>8.2870370370370372E-3</v>
      </c>
      <c r="J240" s="34">
        <v>1.9247685185185184E-2</v>
      </c>
      <c r="K240" s="34">
        <v>0.76443287037037033</v>
      </c>
      <c r="L240" s="33" t="s">
        <v>8</v>
      </c>
      <c r="M240" s="33" t="s">
        <v>7</v>
      </c>
      <c r="N240" s="33">
        <v>2</v>
      </c>
      <c r="O240" s="33">
        <v>2</v>
      </c>
      <c r="P240" s="1">
        <v>90</v>
      </c>
      <c r="Q240" s="1">
        <v>90</v>
      </c>
      <c r="R240" s="33">
        <v>57.4</v>
      </c>
      <c r="S240" s="33">
        <v>57.4</v>
      </c>
      <c r="T240" s="33">
        <v>0</v>
      </c>
      <c r="U240" s="33"/>
      <c r="V240" s="33"/>
      <c r="W240" s="33"/>
      <c r="X240" s="33" t="s">
        <v>640</v>
      </c>
    </row>
    <row r="241" spans="1:24" x14ac:dyDescent="0.2">
      <c r="A241" s="33">
        <v>2</v>
      </c>
      <c r="B241" s="1" t="s">
        <v>807</v>
      </c>
      <c r="C241" t="s">
        <v>775</v>
      </c>
      <c r="D241" s="33">
        <v>2</v>
      </c>
      <c r="E241" s="33" t="s">
        <v>626</v>
      </c>
      <c r="F241" s="26">
        <v>45425</v>
      </c>
      <c r="G241" s="34">
        <f>$K241 + $I241</f>
        <v>0.78424768518518517</v>
      </c>
      <c r="H241" s="34">
        <f>K241 + J241</f>
        <v>0.78785879629629629</v>
      </c>
      <c r="I241" s="34">
        <v>1.9814814814814816E-2</v>
      </c>
      <c r="J241" s="34">
        <v>2.3425925925925926E-2</v>
      </c>
      <c r="K241" s="34">
        <v>0.76443287037037033</v>
      </c>
      <c r="L241" s="33" t="s">
        <v>7</v>
      </c>
      <c r="M241" s="33" t="s">
        <v>7</v>
      </c>
      <c r="N241" s="33">
        <v>2</v>
      </c>
      <c r="O241" s="33">
        <v>2</v>
      </c>
      <c r="P241" s="1">
        <v>90</v>
      </c>
      <c r="Q241" s="1">
        <v>90</v>
      </c>
      <c r="R241" s="33">
        <v>57.4</v>
      </c>
      <c r="S241" s="33">
        <v>57.4</v>
      </c>
      <c r="T241" s="33">
        <v>1</v>
      </c>
      <c r="U241" s="33"/>
      <c r="V241" s="33"/>
      <c r="W241" s="33"/>
      <c r="X241" s="33" t="s">
        <v>640</v>
      </c>
    </row>
    <row r="242" spans="1:24" x14ac:dyDescent="0.2">
      <c r="A242" s="33">
        <v>2</v>
      </c>
      <c r="B242" s="1" t="s">
        <v>807</v>
      </c>
      <c r="C242" t="s">
        <v>775</v>
      </c>
      <c r="D242" s="33">
        <v>3</v>
      </c>
      <c r="E242" s="33" t="s">
        <v>626</v>
      </c>
      <c r="F242" s="26">
        <v>45425</v>
      </c>
      <c r="G242" s="34">
        <f>$K242 + $I242</f>
        <v>0.7883796296296296</v>
      </c>
      <c r="H242" s="34">
        <f>K242 + J242</f>
        <v>0.79247685185185179</v>
      </c>
      <c r="I242" s="34">
        <v>2.3946759259259258E-2</v>
      </c>
      <c r="J242" s="34">
        <v>2.8043981481481482E-2</v>
      </c>
      <c r="K242" s="34">
        <v>0.76443287037037033</v>
      </c>
      <c r="L242" s="33" t="s">
        <v>7</v>
      </c>
      <c r="M242" s="33" t="s">
        <v>7</v>
      </c>
      <c r="N242" s="33">
        <v>2</v>
      </c>
      <c r="O242" s="33">
        <v>2</v>
      </c>
      <c r="P242" s="1">
        <v>90</v>
      </c>
      <c r="Q242" s="1">
        <v>90</v>
      </c>
      <c r="R242" s="33">
        <v>57.4</v>
      </c>
      <c r="S242" s="33">
        <v>57.4</v>
      </c>
      <c r="T242" s="33">
        <v>0</v>
      </c>
      <c r="U242" s="33"/>
      <c r="V242" s="33"/>
      <c r="W242" s="33"/>
      <c r="X242" s="33" t="s">
        <v>640</v>
      </c>
    </row>
    <row r="243" spans="1:24" x14ac:dyDescent="0.2">
      <c r="A243" s="33">
        <v>2</v>
      </c>
      <c r="B243" s="1" t="s">
        <v>807</v>
      </c>
      <c r="C243" t="s">
        <v>775</v>
      </c>
      <c r="D243" s="33">
        <v>4</v>
      </c>
      <c r="E243" s="33" t="s">
        <v>626</v>
      </c>
      <c r="F243" s="26">
        <v>45425</v>
      </c>
      <c r="G243" s="34">
        <f>$K243 + $I243</f>
        <v>0.79322916666666665</v>
      </c>
      <c r="H243" s="34">
        <f>K243 + J243</f>
        <v>0.79731481481481481</v>
      </c>
      <c r="I243" s="34">
        <v>2.8796296296296296E-2</v>
      </c>
      <c r="J243" s="34">
        <v>3.2881944444444443E-2</v>
      </c>
      <c r="K243" s="34">
        <v>0.76443287037037033</v>
      </c>
      <c r="L243" s="33" t="s">
        <v>7</v>
      </c>
      <c r="M243" s="33" t="s">
        <v>7</v>
      </c>
      <c r="N243" s="33">
        <v>2</v>
      </c>
      <c r="O243" s="33">
        <v>2</v>
      </c>
      <c r="P243" s="1">
        <v>90</v>
      </c>
      <c r="Q243" s="1">
        <v>90</v>
      </c>
      <c r="R243" s="33">
        <v>57.4</v>
      </c>
      <c r="S243" s="33">
        <v>57.4</v>
      </c>
      <c r="T243" s="33">
        <v>0</v>
      </c>
      <c r="U243" s="33"/>
      <c r="V243" s="33"/>
      <c r="W243" s="33" t="s">
        <v>643</v>
      </c>
      <c r="X243" s="33" t="s">
        <v>640</v>
      </c>
    </row>
    <row r="244" spans="1:24" x14ac:dyDescent="0.2">
      <c r="A244" s="1">
        <v>2</v>
      </c>
      <c r="B244" s="1" t="s">
        <v>807</v>
      </c>
      <c r="C244" t="s">
        <v>775</v>
      </c>
      <c r="D244" s="1">
        <v>1</v>
      </c>
      <c r="E244" s="1" t="s">
        <v>631</v>
      </c>
      <c r="F244" s="4">
        <v>45426</v>
      </c>
      <c r="G244" s="1" t="s">
        <v>21</v>
      </c>
      <c r="H244" s="3">
        <f>K244 + J244</f>
        <v>0.22803240740740741</v>
      </c>
      <c r="I244" s="1" t="s">
        <v>21</v>
      </c>
      <c r="J244" s="3">
        <v>5.208333333333333E-3</v>
      </c>
      <c r="K244" s="3">
        <v>0.22282407407407406</v>
      </c>
      <c r="L244" s="1" t="s">
        <v>7</v>
      </c>
      <c r="M244" s="1" t="s">
        <v>7</v>
      </c>
      <c r="N244" s="1">
        <v>2</v>
      </c>
      <c r="O244" s="1">
        <v>2</v>
      </c>
      <c r="P244" s="1">
        <v>90</v>
      </c>
      <c r="Q244" s="1">
        <v>90</v>
      </c>
      <c r="R244" s="1">
        <v>57.4</v>
      </c>
      <c r="S244" s="1">
        <v>57.4</v>
      </c>
      <c r="T244" s="1">
        <v>1</v>
      </c>
      <c r="W244" s="1" t="s">
        <v>646</v>
      </c>
      <c r="X244" s="1" t="s">
        <v>640</v>
      </c>
    </row>
    <row r="245" spans="1:24" x14ac:dyDescent="0.2">
      <c r="A245" s="1">
        <v>2</v>
      </c>
      <c r="B245" s="1" t="s">
        <v>807</v>
      </c>
      <c r="C245" t="s">
        <v>775</v>
      </c>
      <c r="D245" s="1">
        <v>2</v>
      </c>
      <c r="E245" s="1" t="s">
        <v>631</v>
      </c>
      <c r="F245" s="4">
        <v>45427</v>
      </c>
      <c r="G245" s="3">
        <f>$K245 + $I245</f>
        <v>0.22905092592592591</v>
      </c>
      <c r="H245" s="3">
        <f>K245 + J245</f>
        <v>0.24171296296296296</v>
      </c>
      <c r="I245" s="3">
        <v>6.2268518518518515E-3</v>
      </c>
      <c r="J245" s="3">
        <v>1.8888888888888889E-2</v>
      </c>
      <c r="K245" s="3">
        <v>0.22282407407407406</v>
      </c>
      <c r="L245" s="1" t="s">
        <v>7</v>
      </c>
      <c r="M245" s="1" t="s">
        <v>8</v>
      </c>
      <c r="N245" s="1">
        <v>2</v>
      </c>
      <c r="O245" s="1">
        <v>2</v>
      </c>
      <c r="P245" s="1">
        <v>90</v>
      </c>
      <c r="Q245" s="1">
        <v>90</v>
      </c>
      <c r="R245" s="1">
        <v>57.4</v>
      </c>
      <c r="S245" s="1">
        <v>57.4</v>
      </c>
      <c r="T245" s="1">
        <v>1</v>
      </c>
      <c r="X245" s="1" t="s">
        <v>640</v>
      </c>
    </row>
    <row r="246" spans="1:24" x14ac:dyDescent="0.2">
      <c r="A246" s="1">
        <v>2</v>
      </c>
      <c r="B246" s="1" t="s">
        <v>807</v>
      </c>
      <c r="C246" t="s">
        <v>775</v>
      </c>
      <c r="D246" s="1">
        <v>1</v>
      </c>
      <c r="E246" s="1" t="s">
        <v>635</v>
      </c>
      <c r="F246" s="4">
        <v>45426</v>
      </c>
      <c r="G246" s="1" t="s">
        <v>21</v>
      </c>
      <c r="H246" s="3">
        <f>K246 + J246</f>
        <v>0.77475694444444443</v>
      </c>
      <c r="I246" s="1" t="s">
        <v>21</v>
      </c>
      <c r="J246" s="3">
        <v>1.2303240740740741E-2</v>
      </c>
      <c r="K246" s="3">
        <v>0.76245370370370369</v>
      </c>
      <c r="L246" s="1" t="s">
        <v>8</v>
      </c>
      <c r="M246" s="1" t="s">
        <v>8</v>
      </c>
      <c r="N246" s="1">
        <v>2</v>
      </c>
      <c r="O246" s="1">
        <v>2</v>
      </c>
      <c r="P246" s="1">
        <v>90</v>
      </c>
      <c r="Q246" s="1">
        <v>90</v>
      </c>
      <c r="R246" s="1">
        <v>57.4</v>
      </c>
      <c r="S246" s="1">
        <v>57.4</v>
      </c>
      <c r="T246" s="1">
        <v>1</v>
      </c>
      <c r="X246" s="1" t="s">
        <v>640</v>
      </c>
    </row>
    <row r="247" spans="1:24" x14ac:dyDescent="0.2">
      <c r="A247" s="1">
        <v>2</v>
      </c>
      <c r="B247" s="1" t="s">
        <v>807</v>
      </c>
      <c r="C247" t="s">
        <v>775</v>
      </c>
      <c r="D247" s="1">
        <v>2</v>
      </c>
      <c r="E247" s="1" t="s">
        <v>635</v>
      </c>
      <c r="F247" s="4">
        <v>45426</v>
      </c>
      <c r="G247" s="3">
        <f>$K247 + $I247</f>
        <v>0.77545138888888887</v>
      </c>
      <c r="H247" s="3">
        <f>K247 + J247</f>
        <v>0.78489583333333335</v>
      </c>
      <c r="I247" s="3">
        <v>1.2997685185185185E-2</v>
      </c>
      <c r="J247" s="3">
        <v>2.2442129629629631E-2</v>
      </c>
      <c r="K247" s="3">
        <v>0.76245370370370369</v>
      </c>
      <c r="L247" s="1" t="s">
        <v>8</v>
      </c>
      <c r="M247" s="1" t="s">
        <v>8</v>
      </c>
      <c r="N247" s="1">
        <v>2</v>
      </c>
      <c r="O247" s="1">
        <v>2</v>
      </c>
      <c r="P247" s="1">
        <v>90</v>
      </c>
      <c r="Q247" s="1">
        <v>90</v>
      </c>
      <c r="R247" s="1">
        <v>57.4</v>
      </c>
      <c r="S247" s="1">
        <v>57.4</v>
      </c>
      <c r="T247" s="1">
        <v>1</v>
      </c>
      <c r="X247" s="1" t="s">
        <v>640</v>
      </c>
    </row>
    <row r="248" spans="1:24" x14ac:dyDescent="0.2">
      <c r="A248" s="1">
        <v>2</v>
      </c>
      <c r="B248" s="1" t="s">
        <v>807</v>
      </c>
      <c r="C248" t="s">
        <v>775</v>
      </c>
      <c r="D248" s="1">
        <v>3</v>
      </c>
      <c r="E248" s="1" t="s">
        <v>635</v>
      </c>
      <c r="F248" s="4">
        <v>45426</v>
      </c>
      <c r="G248" s="3">
        <f>$K248 + $I248</f>
        <v>0.78598379629629633</v>
      </c>
      <c r="H248" s="3">
        <f>K248 + J248</f>
        <v>0.79067129629629629</v>
      </c>
      <c r="I248" s="3">
        <v>2.3530092592592592E-2</v>
      </c>
      <c r="J248" s="3">
        <v>2.8217592592592593E-2</v>
      </c>
      <c r="K248" s="3">
        <v>0.76245370370370369</v>
      </c>
      <c r="L248" s="1" t="s">
        <v>8</v>
      </c>
      <c r="M248" s="1" t="s">
        <v>8</v>
      </c>
      <c r="N248" s="1">
        <v>2</v>
      </c>
      <c r="O248" s="1">
        <v>2</v>
      </c>
      <c r="P248" s="1">
        <v>90</v>
      </c>
      <c r="Q248" s="1">
        <v>90</v>
      </c>
      <c r="R248" s="1">
        <v>57.4</v>
      </c>
      <c r="S248" s="1">
        <v>57.4</v>
      </c>
      <c r="T248" s="1">
        <v>0</v>
      </c>
      <c r="W248" s="1" t="s">
        <v>650</v>
      </c>
      <c r="X248" s="1" t="s">
        <v>640</v>
      </c>
    </row>
    <row r="249" spans="1:24" x14ac:dyDescent="0.2">
      <c r="A249" s="1">
        <v>2</v>
      </c>
      <c r="B249" s="1" t="s">
        <v>807</v>
      </c>
      <c r="C249" t="s">
        <v>775</v>
      </c>
      <c r="D249" s="1">
        <v>1</v>
      </c>
      <c r="E249" s="1" t="s">
        <v>641</v>
      </c>
      <c r="F249" s="4">
        <v>45427</v>
      </c>
      <c r="G249" s="1" t="s">
        <v>21</v>
      </c>
      <c r="H249" s="3">
        <f>K249 + J249</f>
        <v>0.22659722222222223</v>
      </c>
      <c r="I249" s="1" t="s">
        <v>21</v>
      </c>
      <c r="J249" s="3">
        <v>8.0324074074074082E-3</v>
      </c>
      <c r="K249" s="3">
        <v>0.21856481481481482</v>
      </c>
      <c r="L249" s="1" t="s">
        <v>8</v>
      </c>
      <c r="M249" s="1" t="s">
        <v>8</v>
      </c>
      <c r="N249" s="1">
        <v>2</v>
      </c>
      <c r="O249" s="1">
        <v>2</v>
      </c>
      <c r="P249" s="1">
        <v>90</v>
      </c>
      <c r="Q249" s="1">
        <v>90</v>
      </c>
      <c r="R249" s="1">
        <v>57.4</v>
      </c>
      <c r="S249" s="1">
        <v>57.4</v>
      </c>
      <c r="T249" s="1">
        <v>1</v>
      </c>
      <c r="U249" s="1" t="s">
        <v>657</v>
      </c>
      <c r="W249" s="1" t="s">
        <v>653</v>
      </c>
      <c r="X249" s="1" t="s">
        <v>640</v>
      </c>
    </row>
    <row r="250" spans="1:24" x14ac:dyDescent="0.2">
      <c r="A250" s="1">
        <v>2</v>
      </c>
      <c r="B250" s="1" t="s">
        <v>807</v>
      </c>
      <c r="C250" t="s">
        <v>775</v>
      </c>
      <c r="D250" s="1">
        <v>2</v>
      </c>
      <c r="E250" s="1" t="s">
        <v>641</v>
      </c>
      <c r="F250" s="4">
        <v>45427</v>
      </c>
      <c r="G250" s="3">
        <f>$K250 + $I250</f>
        <v>0.22659722222222223</v>
      </c>
      <c r="H250" s="3">
        <f>K250 + J250</f>
        <v>0.24837962962962964</v>
      </c>
      <c r="I250" s="3">
        <v>8.0324074074074082E-3</v>
      </c>
      <c r="J250" s="3">
        <v>2.9814814814814815E-2</v>
      </c>
      <c r="K250" s="3">
        <v>0.21856481481481482</v>
      </c>
      <c r="L250" s="1" t="s">
        <v>8</v>
      </c>
      <c r="M250" s="1" t="s">
        <v>7</v>
      </c>
      <c r="N250" s="1">
        <v>2</v>
      </c>
      <c r="O250" s="1">
        <v>2</v>
      </c>
      <c r="P250" s="1">
        <v>90</v>
      </c>
      <c r="Q250" s="1">
        <v>90</v>
      </c>
      <c r="R250" s="1">
        <v>28.8</v>
      </c>
      <c r="S250" s="1">
        <v>28.8</v>
      </c>
      <c r="T250" s="1">
        <v>0</v>
      </c>
      <c r="U250" s="1" t="s">
        <v>658</v>
      </c>
      <c r="W250" s="1" t="s">
        <v>654</v>
      </c>
      <c r="X250" s="1" t="s">
        <v>640</v>
      </c>
    </row>
    <row r="251" spans="1:24" x14ac:dyDescent="0.2">
      <c r="A251" s="1">
        <v>2</v>
      </c>
      <c r="B251" s="1" t="s">
        <v>807</v>
      </c>
      <c r="C251" t="s">
        <v>775</v>
      </c>
      <c r="D251" s="1">
        <v>1</v>
      </c>
      <c r="E251" s="1" t="s">
        <v>644</v>
      </c>
      <c r="F251" s="4">
        <v>45427</v>
      </c>
      <c r="G251" s="3">
        <f>$K251 + $I251</f>
        <v>0.76961805555555551</v>
      </c>
      <c r="H251" s="3">
        <f>K251 + J251</f>
        <v>0.7804861111111111</v>
      </c>
      <c r="I251" s="3">
        <v>1.34375E-2</v>
      </c>
      <c r="J251" s="3">
        <v>2.4305555555555556E-2</v>
      </c>
      <c r="K251" s="3">
        <v>0.75618055555555552</v>
      </c>
      <c r="L251" s="1" t="s">
        <v>7</v>
      </c>
      <c r="M251" s="1" t="s">
        <v>8</v>
      </c>
      <c r="N251" s="1">
        <v>2</v>
      </c>
      <c r="O251" s="1">
        <v>2</v>
      </c>
      <c r="P251" s="1">
        <v>90</v>
      </c>
      <c r="Q251" s="1">
        <v>90</v>
      </c>
      <c r="R251" s="1">
        <v>57.4</v>
      </c>
      <c r="S251" s="1">
        <v>57.4</v>
      </c>
      <c r="T251" s="1">
        <v>1</v>
      </c>
      <c r="X251" s="1" t="s">
        <v>640</v>
      </c>
    </row>
    <row r="252" spans="1:24" x14ac:dyDescent="0.2">
      <c r="A252" s="1">
        <v>2</v>
      </c>
      <c r="B252" s="1" t="s">
        <v>807</v>
      </c>
      <c r="C252" t="s">
        <v>775</v>
      </c>
      <c r="D252" s="1">
        <v>2</v>
      </c>
      <c r="E252" s="1" t="s">
        <v>644</v>
      </c>
      <c r="F252" s="4">
        <v>45427</v>
      </c>
      <c r="G252" s="3">
        <f>$K252 + $I252</f>
        <v>0.7808680555555555</v>
      </c>
      <c r="H252" s="3">
        <f>K252 + J252</f>
        <v>0.78665509259259259</v>
      </c>
      <c r="I252" s="3">
        <v>2.4687500000000001E-2</v>
      </c>
      <c r="J252" s="3">
        <v>3.0474537037037036E-2</v>
      </c>
      <c r="K252" s="3">
        <v>0.75618055555555552</v>
      </c>
      <c r="L252" s="1" t="s">
        <v>8</v>
      </c>
      <c r="M252" s="1" t="s">
        <v>8</v>
      </c>
      <c r="N252" s="1">
        <v>2</v>
      </c>
      <c r="O252" s="1">
        <v>2</v>
      </c>
      <c r="P252" s="1">
        <v>90</v>
      </c>
      <c r="Q252" s="1">
        <v>90</v>
      </c>
      <c r="R252" s="1">
        <v>57.4</v>
      </c>
      <c r="S252" s="1">
        <v>57.4</v>
      </c>
      <c r="T252" s="1">
        <v>0</v>
      </c>
      <c r="X252" s="1" t="s">
        <v>640</v>
      </c>
    </row>
    <row r="253" spans="1:24" x14ac:dyDescent="0.2">
      <c r="A253" s="1">
        <v>2</v>
      </c>
      <c r="B253" s="1" t="s">
        <v>807</v>
      </c>
      <c r="C253" t="s">
        <v>775</v>
      </c>
      <c r="D253" s="1">
        <v>3</v>
      </c>
      <c r="E253" s="1" t="s">
        <v>644</v>
      </c>
      <c r="F253" s="4">
        <v>45427</v>
      </c>
      <c r="G253" s="3">
        <f>$K253 + $I253</f>
        <v>0.78706018518518517</v>
      </c>
      <c r="H253" s="3">
        <f>K253 + J253</f>
        <v>0.79276620370370365</v>
      </c>
      <c r="I253" s="3">
        <v>3.0879629629629628E-2</v>
      </c>
      <c r="J253" s="3">
        <v>3.6585648148148145E-2</v>
      </c>
      <c r="K253" s="3">
        <v>0.75618055555555552</v>
      </c>
      <c r="L253" s="1" t="s">
        <v>8</v>
      </c>
      <c r="M253" s="1" t="s">
        <v>8</v>
      </c>
      <c r="N253" s="1">
        <v>2</v>
      </c>
      <c r="O253" s="1">
        <v>2</v>
      </c>
      <c r="P253" s="1">
        <v>90</v>
      </c>
      <c r="Q253" s="1">
        <v>90</v>
      </c>
      <c r="R253" s="1">
        <v>57.4</v>
      </c>
      <c r="S253" s="1">
        <v>57.4</v>
      </c>
      <c r="T253" s="1">
        <v>1</v>
      </c>
      <c r="U253" s="1" t="s">
        <v>665</v>
      </c>
      <c r="X253" s="1" t="s">
        <v>640</v>
      </c>
    </row>
    <row r="254" spans="1:24" x14ac:dyDescent="0.2">
      <c r="A254" s="1">
        <v>2</v>
      </c>
      <c r="B254" s="1" t="s">
        <v>807</v>
      </c>
      <c r="C254" t="s">
        <v>775</v>
      </c>
      <c r="D254" s="1">
        <v>4</v>
      </c>
      <c r="E254" s="1" t="s">
        <v>644</v>
      </c>
      <c r="F254" s="4">
        <v>45427</v>
      </c>
      <c r="G254" s="3">
        <f>$K254 + $I254</f>
        <v>0.79402777777777778</v>
      </c>
      <c r="H254" s="3">
        <f>K254 + J254</f>
        <v>0.799224537037037</v>
      </c>
      <c r="I254" s="3">
        <v>3.784722222222222E-2</v>
      </c>
      <c r="J254" s="3">
        <v>4.3043981481481482E-2</v>
      </c>
      <c r="K254" s="3">
        <v>0.75618055555555552</v>
      </c>
      <c r="L254" s="1" t="s">
        <v>8</v>
      </c>
      <c r="M254" s="1" t="s">
        <v>8</v>
      </c>
      <c r="N254" s="1">
        <v>2</v>
      </c>
      <c r="O254" s="1">
        <v>2</v>
      </c>
      <c r="P254" s="1">
        <v>90</v>
      </c>
      <c r="Q254" s="1">
        <v>90</v>
      </c>
      <c r="R254" s="1">
        <v>57.4</v>
      </c>
      <c r="S254" s="1">
        <v>57.4</v>
      </c>
      <c r="T254" s="1">
        <v>0</v>
      </c>
      <c r="U254" s="1" t="s">
        <v>672</v>
      </c>
      <c r="W254" s="1" t="s">
        <v>671</v>
      </c>
      <c r="X254" s="1" t="s">
        <v>640</v>
      </c>
    </row>
    <row r="255" spans="1:24" x14ac:dyDescent="0.2">
      <c r="A255" s="1">
        <v>2</v>
      </c>
      <c r="B255" s="1" t="s">
        <v>807</v>
      </c>
      <c r="C255" t="s">
        <v>775</v>
      </c>
      <c r="D255" s="1">
        <v>1</v>
      </c>
      <c r="E255" s="1" t="s">
        <v>647</v>
      </c>
      <c r="F255" s="4">
        <v>45428</v>
      </c>
      <c r="H255" s="3">
        <f>K255 + J255</f>
        <v>0.23674768518518519</v>
      </c>
      <c r="J255" s="3">
        <v>1.5300925925925926E-2</v>
      </c>
      <c r="K255" s="3">
        <v>0.22144675925925925</v>
      </c>
      <c r="L255" s="1" t="s">
        <v>8</v>
      </c>
      <c r="M255" s="1" t="s">
        <v>8</v>
      </c>
      <c r="N255" s="1">
        <v>2</v>
      </c>
      <c r="O255" s="1">
        <v>2</v>
      </c>
      <c r="P255" s="1">
        <v>90</v>
      </c>
      <c r="Q255" s="1">
        <v>90</v>
      </c>
      <c r="R255" s="1">
        <v>57.4</v>
      </c>
      <c r="S255" s="1">
        <v>28.8</v>
      </c>
      <c r="T255" s="1">
        <v>1</v>
      </c>
      <c r="U255" s="1">
        <v>1</v>
      </c>
      <c r="X255" s="1" t="s">
        <v>640</v>
      </c>
    </row>
    <row r="256" spans="1:24" x14ac:dyDescent="0.2">
      <c r="A256" s="1">
        <v>2</v>
      </c>
      <c r="B256" s="1" t="s">
        <v>807</v>
      </c>
      <c r="C256" t="s">
        <v>775</v>
      </c>
      <c r="D256" s="1">
        <v>1</v>
      </c>
      <c r="E256" s="1" t="s">
        <v>648</v>
      </c>
      <c r="F256" s="4">
        <v>45428</v>
      </c>
      <c r="G256" s="3">
        <f>$K256 + $I256</f>
        <v>0.76883101851851854</v>
      </c>
      <c r="H256" s="3">
        <f>K256 + J256</f>
        <v>0.78483796296296304</v>
      </c>
      <c r="I256" s="3">
        <v>1.4351851851851852E-2</v>
      </c>
      <c r="J256" s="3">
        <v>3.0358796296296297E-2</v>
      </c>
      <c r="K256" s="3">
        <v>0.7544791666666667</v>
      </c>
      <c r="L256" s="1" t="s">
        <v>8</v>
      </c>
      <c r="M256" s="1" t="s">
        <v>7</v>
      </c>
      <c r="N256" s="1">
        <v>2</v>
      </c>
      <c r="O256" s="1">
        <v>2</v>
      </c>
      <c r="P256" s="1">
        <v>90</v>
      </c>
      <c r="Q256" s="1">
        <v>90</v>
      </c>
      <c r="R256" s="1">
        <v>57.4</v>
      </c>
      <c r="S256" s="1">
        <v>57.4</v>
      </c>
      <c r="T256" s="1">
        <v>1</v>
      </c>
      <c r="X256" s="1" t="s">
        <v>640</v>
      </c>
    </row>
    <row r="257" spans="1:24" x14ac:dyDescent="0.2">
      <c r="A257" s="1">
        <v>2</v>
      </c>
      <c r="B257" s="1" t="s">
        <v>807</v>
      </c>
      <c r="C257" t="s">
        <v>775</v>
      </c>
      <c r="D257" s="1">
        <v>1</v>
      </c>
      <c r="E257" s="1" t="s">
        <v>663</v>
      </c>
      <c r="F257" s="4">
        <v>45429</v>
      </c>
      <c r="G257" s="3">
        <f>$K257 + $I257</f>
        <v>0.22903935185185187</v>
      </c>
      <c r="H257" s="3">
        <f>K257 + J257</f>
        <v>0.24288194444444444</v>
      </c>
      <c r="I257" s="3">
        <v>7.9629629629629634E-3</v>
      </c>
      <c r="J257" s="3">
        <v>2.1805555555555557E-2</v>
      </c>
      <c r="K257" s="3">
        <v>0.22107638888888889</v>
      </c>
      <c r="L257" s="1" t="s">
        <v>7</v>
      </c>
      <c r="M257" s="1" t="s">
        <v>7</v>
      </c>
      <c r="N257" s="1">
        <v>2</v>
      </c>
      <c r="O257" s="1">
        <v>2</v>
      </c>
      <c r="P257" s="1">
        <v>90</v>
      </c>
      <c r="Q257" s="1">
        <v>90</v>
      </c>
      <c r="R257" s="1">
        <v>57.4</v>
      </c>
      <c r="S257" s="1">
        <v>28.8</v>
      </c>
      <c r="T257" s="1">
        <v>1</v>
      </c>
      <c r="U257" s="1">
        <v>1</v>
      </c>
      <c r="X257" s="1" t="s">
        <v>640</v>
      </c>
    </row>
    <row r="258" spans="1:24" x14ac:dyDescent="0.2">
      <c r="A258" s="1">
        <v>2</v>
      </c>
      <c r="B258" s="1" t="s">
        <v>807</v>
      </c>
      <c r="C258" t="s">
        <v>775</v>
      </c>
      <c r="D258" s="1">
        <v>1</v>
      </c>
      <c r="E258" s="1" t="s">
        <v>682</v>
      </c>
      <c r="F258" s="4">
        <v>45429</v>
      </c>
      <c r="G258" s="3">
        <f>$K258 + $I258</f>
        <v>0.78020833333333339</v>
      </c>
      <c r="H258" s="3">
        <f>K258 + J258</f>
        <v>0.78851851851851851</v>
      </c>
      <c r="I258" s="3">
        <v>1.6527777777777777E-2</v>
      </c>
      <c r="J258" s="3">
        <v>2.4837962962962964E-2</v>
      </c>
      <c r="K258" s="3">
        <v>0.76368055555555558</v>
      </c>
      <c r="L258" s="1" t="s">
        <v>8</v>
      </c>
      <c r="M258" s="1" t="s">
        <v>8</v>
      </c>
      <c r="N258" s="1">
        <v>2</v>
      </c>
      <c r="O258" s="1">
        <v>2</v>
      </c>
      <c r="P258" s="1">
        <v>90</v>
      </c>
      <c r="Q258" s="1">
        <v>90</v>
      </c>
      <c r="R258" s="1">
        <v>57.4</v>
      </c>
      <c r="S258" s="1">
        <v>57.4</v>
      </c>
      <c r="T258" s="1">
        <v>0</v>
      </c>
      <c r="U258" s="1">
        <v>1</v>
      </c>
      <c r="X258" s="1" t="s">
        <v>640</v>
      </c>
    </row>
    <row r="259" spans="1:24" x14ac:dyDescent="0.2">
      <c r="C259"/>
      <c r="E259" s="1" t="s">
        <v>715</v>
      </c>
    </row>
    <row r="260" spans="1:24" x14ac:dyDescent="0.2">
      <c r="C260"/>
      <c r="E260" s="1" t="s">
        <v>716</v>
      </c>
    </row>
    <row r="261" spans="1:24" x14ac:dyDescent="0.2">
      <c r="A261" s="1" t="s">
        <v>21</v>
      </c>
      <c r="C261" t="s">
        <v>21</v>
      </c>
      <c r="D261" s="1" t="s">
        <v>21</v>
      </c>
      <c r="E261" s="1" t="s">
        <v>21</v>
      </c>
      <c r="F261" s="4">
        <v>45423</v>
      </c>
      <c r="G261" s="1" t="s">
        <v>21</v>
      </c>
      <c r="H261" s="1" t="s">
        <v>21</v>
      </c>
      <c r="I261" s="1" t="s">
        <v>21</v>
      </c>
      <c r="J261" s="1" t="s">
        <v>21</v>
      </c>
      <c r="K261" s="1" t="s">
        <v>21</v>
      </c>
      <c r="L261" s="1" t="s">
        <v>21</v>
      </c>
      <c r="M261" s="1" t="s">
        <v>21</v>
      </c>
      <c r="N261" s="1" t="s">
        <v>21</v>
      </c>
      <c r="O261" s="1" t="s">
        <v>21</v>
      </c>
      <c r="P261" s="1" t="s">
        <v>21</v>
      </c>
      <c r="Q261" s="1" t="s">
        <v>21</v>
      </c>
      <c r="R261" s="1" t="s">
        <v>21</v>
      </c>
      <c r="S261" s="1" t="s">
        <v>21</v>
      </c>
      <c r="T261" s="1" t="s">
        <v>21</v>
      </c>
      <c r="U261" s="1" t="s">
        <v>21</v>
      </c>
      <c r="W261" s="1" t="s">
        <v>627</v>
      </c>
      <c r="X261" s="1" t="s">
        <v>21</v>
      </c>
    </row>
    <row r="262" spans="1:24" x14ac:dyDescent="0.2">
      <c r="A262" s="1" t="s">
        <v>21</v>
      </c>
      <c r="C262" t="s">
        <v>21</v>
      </c>
      <c r="D262" s="1" t="s">
        <v>21</v>
      </c>
      <c r="E262" s="1" t="s">
        <v>713</v>
      </c>
      <c r="U262" s="1" t="s">
        <v>21</v>
      </c>
      <c r="W262" s="1" t="s">
        <v>714</v>
      </c>
      <c r="X262" s="1" t="s">
        <v>638</v>
      </c>
    </row>
  </sheetData>
  <customSheetViews>
    <customSheetView guid="{8A75D892-44B4-104C-BB94-8EB0D0E43396}">
      <pane ySplit="1" topLeftCell="A235" activePane="bottomLeft" state="frozen"/>
      <selection pane="bottomLeft" activeCell="E268" sqref="E268"/>
      <pageMargins left="0.7" right="0.7" top="0.75" bottom="0.75" header="0.3" footer="0.3"/>
    </customSheetView>
  </customSheetView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6BF6B-D1DF-534C-84AB-A76165A0F4D2}">
  <dimension ref="A1:T53"/>
  <sheetViews>
    <sheetView topLeftCell="A5" workbookViewId="0">
      <selection activeCell="C16" sqref="C16"/>
    </sheetView>
  </sheetViews>
  <sheetFormatPr baseColWidth="10" defaultRowHeight="16" x14ac:dyDescent="0.2"/>
  <cols>
    <col min="1" max="3" width="18.83203125" customWidth="1"/>
    <col min="4" max="4" width="24" customWidth="1"/>
    <col min="5" max="5" width="25.83203125" customWidth="1"/>
    <col min="6" max="8" width="15" customWidth="1"/>
    <col min="9" max="10" width="16.33203125" customWidth="1"/>
    <col min="11" max="11" width="29.5" customWidth="1"/>
    <col min="12" max="12" width="14.83203125" customWidth="1"/>
    <col min="15" max="15" width="16.5" customWidth="1"/>
    <col min="16" max="16" width="23.6640625" customWidth="1"/>
    <col min="17" max="17" width="16.1640625" customWidth="1"/>
    <col min="18" max="18" width="24" customWidth="1"/>
  </cols>
  <sheetData>
    <row r="1" spans="1:20" x14ac:dyDescent="0.2">
      <c r="A1" t="s">
        <v>272</v>
      </c>
      <c r="B1" t="s">
        <v>30</v>
      </c>
      <c r="C1" t="s">
        <v>276</v>
      </c>
      <c r="D1" t="s">
        <v>273</v>
      </c>
      <c r="E1" t="s">
        <v>274</v>
      </c>
      <c r="F1" t="s">
        <v>229</v>
      </c>
      <c r="G1" t="s">
        <v>333</v>
      </c>
      <c r="H1" t="s">
        <v>334</v>
      </c>
      <c r="I1" t="s">
        <v>212</v>
      </c>
      <c r="J1" t="s">
        <v>325</v>
      </c>
      <c r="K1" t="s">
        <v>3</v>
      </c>
      <c r="L1" t="s">
        <v>15</v>
      </c>
    </row>
    <row r="2" spans="1:20" x14ac:dyDescent="0.2">
      <c r="A2" t="s">
        <v>277</v>
      </c>
      <c r="C2">
        <v>10</v>
      </c>
      <c r="D2" t="s">
        <v>275</v>
      </c>
      <c r="E2">
        <v>49.74</v>
      </c>
      <c r="F2" t="e">
        <f xml:space="preserve"> (E2/D2*5)+C2</f>
        <v>#VALUE!</v>
      </c>
      <c r="G2" t="e">
        <f t="shared" ref="G2:G13" si="0">$Q$7-F2</f>
        <v>#VALUE!</v>
      </c>
      <c r="H2" t="e">
        <f t="shared" ref="H2:H13" si="1" xml:space="preserve"> $J2 / (2*DEGREES(ATAN(0.5*$R$7 / $G2)))</f>
        <v>#VALUE!</v>
      </c>
      <c r="I2">
        <v>0.05</v>
      </c>
      <c r="J2">
        <v>2.17</v>
      </c>
    </row>
    <row r="3" spans="1:20" x14ac:dyDescent="0.2">
      <c r="A3" t="s">
        <v>282</v>
      </c>
      <c r="F3">
        <v>15</v>
      </c>
      <c r="G3">
        <f t="shared" si="0"/>
        <v>16.2</v>
      </c>
      <c r="H3">
        <f t="shared" si="1"/>
        <v>8.6445102133919177E-2</v>
      </c>
      <c r="I3">
        <v>0.15</v>
      </c>
      <c r="J3">
        <v>6.51</v>
      </c>
    </row>
    <row r="4" spans="1:20" x14ac:dyDescent="0.2">
      <c r="A4" t="s">
        <v>283</v>
      </c>
      <c r="C4">
        <v>10</v>
      </c>
      <c r="D4">
        <v>125.67</v>
      </c>
      <c r="E4">
        <v>84.08</v>
      </c>
      <c r="F4">
        <f xml:space="preserve"> (E4/D4*5)+C4</f>
        <v>13.345269356250498</v>
      </c>
      <c r="G4">
        <f t="shared" si="0"/>
        <v>17.854730643749502</v>
      </c>
      <c r="H4">
        <f t="shared" si="1"/>
        <v>9.3011542339628731E-2</v>
      </c>
      <c r="I4">
        <v>0.15</v>
      </c>
      <c r="J4">
        <v>6.51</v>
      </c>
    </row>
    <row r="5" spans="1:20" x14ac:dyDescent="0.2">
      <c r="A5" t="s">
        <v>284</v>
      </c>
      <c r="C5">
        <v>15</v>
      </c>
      <c r="D5">
        <v>119.92</v>
      </c>
      <c r="E5">
        <v>51.43</v>
      </c>
      <c r="F5">
        <f xml:space="preserve"> (E5/D5*5)+C5</f>
        <v>17.144346230820545</v>
      </c>
      <c r="G5">
        <f t="shared" si="0"/>
        <v>14.055653769179454</v>
      </c>
      <c r="H5">
        <f t="shared" si="1"/>
        <v>7.8156150762295956E-2</v>
      </c>
      <c r="I5">
        <v>0.15</v>
      </c>
      <c r="J5">
        <v>6.51</v>
      </c>
    </row>
    <row r="6" spans="1:20" x14ac:dyDescent="0.2">
      <c r="A6" t="s">
        <v>288</v>
      </c>
      <c r="C6">
        <v>10</v>
      </c>
      <c r="D6">
        <v>126.56</v>
      </c>
      <c r="E6">
        <v>70.66</v>
      </c>
      <c r="F6">
        <f xml:space="preserve"> (E6/D6*5)+C6</f>
        <v>12.791561314791403</v>
      </c>
      <c r="G6">
        <f t="shared" si="0"/>
        <v>18.408438685208594</v>
      </c>
      <c r="H6">
        <f t="shared" si="1"/>
        <v>3.1745630299109547E-2</v>
      </c>
      <c r="I6">
        <v>0.05</v>
      </c>
      <c r="J6">
        <v>2.17</v>
      </c>
      <c r="O6" s="1" t="s">
        <v>330</v>
      </c>
      <c r="P6" s="1" t="s">
        <v>332</v>
      </c>
      <c r="Q6" s="1" t="s">
        <v>336</v>
      </c>
      <c r="R6" s="1" t="s">
        <v>323</v>
      </c>
      <c r="S6" s="1" t="s">
        <v>324</v>
      </c>
      <c r="T6" s="1" t="s">
        <v>331</v>
      </c>
    </row>
    <row r="7" spans="1:20" x14ac:dyDescent="0.2">
      <c r="A7" t="s">
        <v>289</v>
      </c>
      <c r="C7">
        <v>10</v>
      </c>
      <c r="D7">
        <v>130.18</v>
      </c>
      <c r="E7">
        <v>61.29</v>
      </c>
      <c r="F7">
        <f xml:space="preserve"> (E7/D7*5)+C7</f>
        <v>12.354048240897219</v>
      </c>
      <c r="G7">
        <f t="shared" si="0"/>
        <v>18.845951759102782</v>
      </c>
      <c r="H7">
        <f t="shared" si="1"/>
        <v>3.2334761181875366E-2</v>
      </c>
      <c r="I7">
        <v>0.05</v>
      </c>
      <c r="J7">
        <v>2.17</v>
      </c>
      <c r="O7" s="1">
        <v>0.05</v>
      </c>
      <c r="P7" s="1"/>
      <c r="Q7" s="1">
        <v>31.2</v>
      </c>
      <c r="R7" s="1">
        <v>25</v>
      </c>
      <c r="S7" s="1">
        <v>315</v>
      </c>
      <c r="T7" s="1" t="s">
        <v>335</v>
      </c>
    </row>
    <row r="8" spans="1:20" x14ac:dyDescent="0.2">
      <c r="A8" t="s">
        <v>299</v>
      </c>
      <c r="C8">
        <v>15</v>
      </c>
      <c r="D8">
        <v>108.6</v>
      </c>
      <c r="E8">
        <v>22.8</v>
      </c>
      <c r="F8">
        <f xml:space="preserve"> (E8/D8*5)+C8</f>
        <v>16.049723756906076</v>
      </c>
      <c r="G8">
        <f t="shared" si="0"/>
        <v>15.150276243093924</v>
      </c>
      <c r="H8">
        <f t="shared" si="1"/>
        <v>8.2353084574215585E-2</v>
      </c>
      <c r="I8">
        <v>0.15</v>
      </c>
      <c r="J8">
        <v>6.51</v>
      </c>
      <c r="O8" s="1">
        <v>0.1</v>
      </c>
      <c r="P8" s="1"/>
      <c r="Q8" s="1"/>
      <c r="R8" s="1"/>
      <c r="S8" s="1"/>
      <c r="T8" s="1"/>
    </row>
    <row r="9" spans="1:20" x14ac:dyDescent="0.2">
      <c r="A9" t="s">
        <v>300</v>
      </c>
      <c r="C9">
        <v>10</v>
      </c>
      <c r="F9">
        <v>10</v>
      </c>
      <c r="G9">
        <f t="shared" si="0"/>
        <v>21.2</v>
      </c>
      <c r="H9">
        <f t="shared" si="1"/>
        <v>3.5545143206206414E-2</v>
      </c>
      <c r="I9">
        <v>0.05</v>
      </c>
      <c r="J9">
        <v>2.17</v>
      </c>
      <c r="O9" s="1">
        <v>0.15</v>
      </c>
      <c r="P9" s="1"/>
      <c r="Q9" s="1"/>
      <c r="R9" s="1"/>
      <c r="S9" s="1"/>
      <c r="T9" s="1"/>
    </row>
    <row r="10" spans="1:20" x14ac:dyDescent="0.2">
      <c r="A10" t="s">
        <v>321</v>
      </c>
      <c r="C10">
        <v>10</v>
      </c>
      <c r="D10">
        <v>120.1</v>
      </c>
      <c r="E10">
        <v>25.6</v>
      </c>
      <c r="F10">
        <f xml:space="preserve"> (E10/D10*5)+C10</f>
        <v>11.065778517901748</v>
      </c>
      <c r="G10">
        <f t="shared" si="0"/>
        <v>20.134221482098251</v>
      </c>
      <c r="H10">
        <f t="shared" si="1"/>
        <v>6.8167401988641602E-2</v>
      </c>
      <c r="I10">
        <v>0.1</v>
      </c>
      <c r="J10">
        <v>4.34</v>
      </c>
      <c r="O10" s="1">
        <v>0.2</v>
      </c>
      <c r="P10" s="1"/>
      <c r="Q10" s="1"/>
      <c r="R10" s="1"/>
      <c r="S10" s="1"/>
      <c r="T10" s="1"/>
    </row>
    <row r="11" spans="1:20" x14ac:dyDescent="0.2">
      <c r="A11" t="s">
        <v>320</v>
      </c>
      <c r="C11">
        <v>10</v>
      </c>
      <c r="D11">
        <v>122.2</v>
      </c>
      <c r="E11">
        <v>21.6</v>
      </c>
      <c r="F11">
        <f xml:space="preserve"> (E11/D11*5)+C11</f>
        <v>10.88379705400982</v>
      </c>
      <c r="G11">
        <f t="shared" si="0"/>
        <v>20.316202945990177</v>
      </c>
      <c r="H11">
        <f t="shared" si="1"/>
        <v>6.8664713343847467E-2</v>
      </c>
      <c r="I11">
        <v>0.1</v>
      </c>
      <c r="J11">
        <v>4.34</v>
      </c>
      <c r="O11" s="1"/>
      <c r="P11" s="1"/>
      <c r="Q11" s="1"/>
      <c r="R11" s="1"/>
      <c r="S11" s="1"/>
      <c r="T11" s="1"/>
    </row>
    <row r="12" spans="1:20" x14ac:dyDescent="0.2">
      <c r="A12" t="s">
        <v>319</v>
      </c>
      <c r="D12" t="s">
        <v>21</v>
      </c>
      <c r="E12" t="s">
        <v>21</v>
      </c>
      <c r="F12">
        <v>15</v>
      </c>
      <c r="G12">
        <f t="shared" si="0"/>
        <v>16.2</v>
      </c>
      <c r="H12">
        <f t="shared" si="1"/>
        <v>5.7630068089279451E-2</v>
      </c>
      <c r="I12">
        <v>0.1</v>
      </c>
      <c r="J12" s="17">
        <v>4.34</v>
      </c>
      <c r="O12" s="1"/>
      <c r="P12" s="1"/>
      <c r="Q12" s="1"/>
      <c r="R12" s="1"/>
      <c r="S12" s="1"/>
      <c r="T12" s="1"/>
    </row>
    <row r="13" spans="1:20" x14ac:dyDescent="0.2">
      <c r="A13" t="s">
        <v>341</v>
      </c>
      <c r="C13">
        <v>10</v>
      </c>
      <c r="D13">
        <v>130.19999999999999</v>
      </c>
      <c r="E13">
        <v>66.2</v>
      </c>
      <c r="F13">
        <f xml:space="preserve"> (E13/D13*5)+C13</f>
        <v>12.542242703533027</v>
      </c>
      <c r="G13">
        <f t="shared" si="0"/>
        <v>18.657757296466972</v>
      </c>
      <c r="H13">
        <f t="shared" si="1"/>
        <v>3.2081032625899855E-2</v>
      </c>
      <c r="I13">
        <v>0.05</v>
      </c>
      <c r="J13">
        <v>2.17</v>
      </c>
    </row>
    <row r="14" spans="1:20" x14ac:dyDescent="0.2">
      <c r="A14" t="s">
        <v>216</v>
      </c>
      <c r="C14" t="s">
        <v>21</v>
      </c>
      <c r="D14" t="s">
        <v>21</v>
      </c>
      <c r="E14" t="s">
        <v>21</v>
      </c>
      <c r="F14" t="s">
        <v>21</v>
      </c>
      <c r="G14" t="s">
        <v>21</v>
      </c>
      <c r="H14" t="s">
        <v>21</v>
      </c>
      <c r="I14" t="s">
        <v>21</v>
      </c>
      <c r="J14" t="s">
        <v>21</v>
      </c>
      <c r="K14" t="s">
        <v>21</v>
      </c>
      <c r="L14" t="s">
        <v>342</v>
      </c>
    </row>
    <row r="15" spans="1:20" x14ac:dyDescent="0.2">
      <c r="A15" t="s">
        <v>343</v>
      </c>
      <c r="B15" s="18">
        <v>45376</v>
      </c>
      <c r="C15" t="s">
        <v>21</v>
      </c>
      <c r="D15" t="s">
        <v>21</v>
      </c>
      <c r="E15" t="s">
        <v>21</v>
      </c>
      <c r="F15" t="s">
        <v>21</v>
      </c>
      <c r="G15" t="s">
        <v>21</v>
      </c>
      <c r="H15" t="s">
        <v>21</v>
      </c>
      <c r="I15" t="s">
        <v>21</v>
      </c>
      <c r="J15" t="s">
        <v>21</v>
      </c>
      <c r="K15" t="s">
        <v>21</v>
      </c>
    </row>
    <row r="16" spans="1:20" x14ac:dyDescent="0.2">
      <c r="A16" t="s">
        <v>339</v>
      </c>
      <c r="C16">
        <v>5</v>
      </c>
      <c r="D16">
        <v>127.9</v>
      </c>
      <c r="E16">
        <v>37.6</v>
      </c>
      <c r="F16">
        <f xml:space="preserve"> (E16/D16*5)+C16</f>
        <v>6.4698983580922595</v>
      </c>
      <c r="G16">
        <f>$Q$7-F16</f>
        <v>24.730101641907741</v>
      </c>
      <c r="H16">
        <f xml:space="preserve"> $J16 / (2*DEGREES(ATAN(0.5*$R$7 / $G16)))</f>
        <v>0.1213889593312432</v>
      </c>
      <c r="I16">
        <v>0.15</v>
      </c>
      <c r="J16">
        <v>6.51</v>
      </c>
    </row>
    <row r="17" spans="1:12" x14ac:dyDescent="0.2">
      <c r="A17" t="s">
        <v>344</v>
      </c>
      <c r="C17">
        <v>5</v>
      </c>
      <c r="D17">
        <v>127.1</v>
      </c>
      <c r="E17">
        <v>110.5</v>
      </c>
      <c r="F17">
        <f xml:space="preserve"> (E17/D17*5)+C17</f>
        <v>9.34697088906373</v>
      </c>
      <c r="G17">
        <f>$Q$7-F17</f>
        <v>21.853029110936269</v>
      </c>
      <c r="H17">
        <f xml:space="preserve"> $J17 / (2*DEGREES(ATAN(0.5*$R$7 / $G17)))</f>
        <v>0.1093394002958783</v>
      </c>
      <c r="I17">
        <v>0.15</v>
      </c>
      <c r="J17">
        <v>6.51</v>
      </c>
    </row>
    <row r="18" spans="1:12" x14ac:dyDescent="0.2">
      <c r="A18" t="s">
        <v>222</v>
      </c>
      <c r="C18" t="s">
        <v>21</v>
      </c>
      <c r="D18" t="s">
        <v>21</v>
      </c>
      <c r="E18" t="s">
        <v>21</v>
      </c>
      <c r="F18" t="s">
        <v>21</v>
      </c>
      <c r="G18" t="s">
        <v>21</v>
      </c>
      <c r="H18" t="s">
        <v>21</v>
      </c>
      <c r="I18" t="s">
        <v>21</v>
      </c>
      <c r="J18" t="s">
        <v>21</v>
      </c>
      <c r="L18" t="s">
        <v>345</v>
      </c>
    </row>
    <row r="19" spans="1:12" x14ac:dyDescent="0.2">
      <c r="A19" t="s">
        <v>346</v>
      </c>
      <c r="C19">
        <v>5</v>
      </c>
      <c r="D19">
        <v>128.80000000000001</v>
      </c>
      <c r="E19">
        <v>59.5</v>
      </c>
      <c r="F19">
        <f xml:space="preserve"> (E19/D19*5)+C19</f>
        <v>7.3097826086956523</v>
      </c>
      <c r="G19">
        <f>$Q$7-F19</f>
        <v>23.890217391304347</v>
      </c>
      <c r="H19">
        <f xml:space="preserve"> $J19 / (2*DEGREES(ATAN(0.5*$R$7 / $G19)))</f>
        <v>3.928346076792355E-2</v>
      </c>
      <c r="I19">
        <v>0.05</v>
      </c>
      <c r="J19">
        <v>2.17</v>
      </c>
    </row>
    <row r="20" spans="1:12" x14ac:dyDescent="0.2">
      <c r="A20" t="s">
        <v>236</v>
      </c>
      <c r="C20" t="s">
        <v>21</v>
      </c>
      <c r="D20" t="s">
        <v>21</v>
      </c>
      <c r="E20" t="s">
        <v>21</v>
      </c>
      <c r="F20" t="s">
        <v>21</v>
      </c>
      <c r="G20" t="s">
        <v>21</v>
      </c>
      <c r="H20" t="s">
        <v>21</v>
      </c>
      <c r="I20" t="s">
        <v>21</v>
      </c>
      <c r="J20" t="s">
        <v>21</v>
      </c>
      <c r="K20" t="s">
        <v>21</v>
      </c>
      <c r="L20" t="s">
        <v>342</v>
      </c>
    </row>
    <row r="21" spans="1:12" x14ac:dyDescent="0.2">
      <c r="A21" t="s">
        <v>347</v>
      </c>
      <c r="C21">
        <v>5</v>
      </c>
      <c r="D21">
        <v>121.7</v>
      </c>
      <c r="E21">
        <v>68.5</v>
      </c>
      <c r="F21">
        <f xml:space="preserve"> (E21/D21*5)+C21</f>
        <v>7.8142974527526707</v>
      </c>
      <c r="G21">
        <f>$Q$7-F21</f>
        <v>23.385702547247327</v>
      </c>
      <c r="H21">
        <f xml:space="preserve"> $J21 / (2*DEGREES(ATAN(0.5*$R$7 / $G21)))</f>
        <v>0.11573269373639951</v>
      </c>
      <c r="I21">
        <v>0.15</v>
      </c>
      <c r="J21">
        <v>6.51</v>
      </c>
    </row>
    <row r="22" spans="1:12" x14ac:dyDescent="0.2">
      <c r="A22" t="s">
        <v>241</v>
      </c>
      <c r="C22" t="s">
        <v>21</v>
      </c>
      <c r="D22" t="s">
        <v>21</v>
      </c>
      <c r="E22" t="s">
        <v>21</v>
      </c>
      <c r="F22" t="s">
        <v>21</v>
      </c>
      <c r="G22" t="s">
        <v>21</v>
      </c>
      <c r="H22" t="s">
        <v>21</v>
      </c>
      <c r="I22" t="s">
        <v>21</v>
      </c>
      <c r="J22" t="s">
        <v>21</v>
      </c>
      <c r="K22" t="s">
        <v>21</v>
      </c>
      <c r="L22" t="s">
        <v>342</v>
      </c>
    </row>
    <row r="23" spans="1:12" x14ac:dyDescent="0.2">
      <c r="A23" t="s">
        <v>244</v>
      </c>
      <c r="C23" t="s">
        <v>21</v>
      </c>
      <c r="D23" t="s">
        <v>21</v>
      </c>
      <c r="E23" t="s">
        <v>21</v>
      </c>
      <c r="F23" t="s">
        <v>21</v>
      </c>
      <c r="G23" t="s">
        <v>21</v>
      </c>
      <c r="H23" t="s">
        <v>21</v>
      </c>
      <c r="I23" t="s">
        <v>21</v>
      </c>
      <c r="J23" t="s">
        <v>21</v>
      </c>
      <c r="K23" t="s">
        <v>21</v>
      </c>
      <c r="L23" t="s">
        <v>342</v>
      </c>
    </row>
    <row r="24" spans="1:12" x14ac:dyDescent="0.2">
      <c r="A24" t="s">
        <v>348</v>
      </c>
      <c r="C24">
        <v>10</v>
      </c>
      <c r="D24">
        <v>120.8</v>
      </c>
      <c r="E24">
        <v>98</v>
      </c>
      <c r="F24">
        <f xml:space="preserve"> (E24/D24*5)+C24</f>
        <v>14.056291390728477</v>
      </c>
      <c r="G24">
        <f>$Q$7-F24</f>
        <v>17.143708609271521</v>
      </c>
      <c r="H24">
        <f xml:space="preserve"> $J24 / (2*DEGREES(ATAN(0.5*$R$7 / $G24)))</f>
        <v>3.0057958466804167E-2</v>
      </c>
      <c r="I24">
        <v>0.05</v>
      </c>
      <c r="J24">
        <v>2.17</v>
      </c>
    </row>
    <row r="25" spans="1:12" x14ac:dyDescent="0.2">
      <c r="A25" s="17" t="s">
        <v>349</v>
      </c>
      <c r="C25">
        <v>10</v>
      </c>
      <c r="F25">
        <v>10</v>
      </c>
      <c r="G25">
        <f>$Q$7-F25</f>
        <v>21.2</v>
      </c>
      <c r="H25">
        <f xml:space="preserve"> $J25 / (2*DEGREES(ATAN(0.5*$R$7 / $G25)))</f>
        <v>3.5545143206206414E-2</v>
      </c>
      <c r="I25">
        <v>0.05</v>
      </c>
      <c r="J25">
        <v>2.17</v>
      </c>
    </row>
    <row r="26" spans="1:12" x14ac:dyDescent="0.2">
      <c r="A26" s="17" t="s">
        <v>350</v>
      </c>
      <c r="C26">
        <v>20</v>
      </c>
      <c r="F26">
        <v>20</v>
      </c>
      <c r="G26">
        <f>$Q$7-F26</f>
        <v>11.2</v>
      </c>
      <c r="H26">
        <f xml:space="preserve"> $J26 / (2*DEGREES(ATAN(0.5*$R$7 / $G26)))</f>
        <v>2.2538588695232575E-2</v>
      </c>
      <c r="I26">
        <v>0.05</v>
      </c>
      <c r="J26">
        <v>2.17</v>
      </c>
    </row>
    <row r="27" spans="1:12" x14ac:dyDescent="0.2">
      <c r="A27" t="s">
        <v>351</v>
      </c>
      <c r="C27">
        <v>20</v>
      </c>
      <c r="D27">
        <v>115.4</v>
      </c>
      <c r="E27">
        <v>66.599999999999994</v>
      </c>
      <c r="F27">
        <f xml:space="preserve"> (E27/D27*5)+C27</f>
        <v>22.885615251299825</v>
      </c>
      <c r="G27">
        <f>$Q$7-F27</f>
        <v>8.3143847487001743</v>
      </c>
      <c r="H27">
        <f xml:space="preserve"> $J27 / (2*DEGREES(ATAN(0.5*$R$7 / $G27)))</f>
        <v>1.9247791284384051E-2</v>
      </c>
      <c r="I27">
        <v>0.05</v>
      </c>
      <c r="J27">
        <v>2.17</v>
      </c>
    </row>
    <row r="28" spans="1:12" s="19" customFormat="1" x14ac:dyDescent="0.2">
      <c r="A28" s="19" t="s">
        <v>295</v>
      </c>
      <c r="C28" s="19" t="s">
        <v>21</v>
      </c>
      <c r="D28" s="19" t="s">
        <v>21</v>
      </c>
      <c r="E28" s="19" t="s">
        <v>21</v>
      </c>
      <c r="F28" s="19" t="s">
        <v>21</v>
      </c>
      <c r="G28" s="19" t="s">
        <v>21</v>
      </c>
      <c r="H28" s="19" t="s">
        <v>21</v>
      </c>
      <c r="I28" s="19" t="s">
        <v>21</v>
      </c>
      <c r="J28" s="19" t="s">
        <v>21</v>
      </c>
      <c r="K28" s="19" t="s">
        <v>21</v>
      </c>
      <c r="L28" s="19" t="s">
        <v>352</v>
      </c>
    </row>
    <row r="29" spans="1:12" x14ac:dyDescent="0.2">
      <c r="A29" t="s">
        <v>314</v>
      </c>
      <c r="C29" t="s">
        <v>21</v>
      </c>
      <c r="D29" t="s">
        <v>21</v>
      </c>
      <c r="E29" t="s">
        <v>21</v>
      </c>
      <c r="F29" t="s">
        <v>21</v>
      </c>
      <c r="G29" t="s">
        <v>21</v>
      </c>
      <c r="H29" t="s">
        <v>21</v>
      </c>
      <c r="I29" t="s">
        <v>21</v>
      </c>
      <c r="J29" t="s">
        <v>21</v>
      </c>
      <c r="K29" t="s">
        <v>21</v>
      </c>
      <c r="L29" t="s">
        <v>342</v>
      </c>
    </row>
    <row r="30" spans="1:12" x14ac:dyDescent="0.2">
      <c r="A30" t="s">
        <v>353</v>
      </c>
      <c r="C30" t="s">
        <v>21</v>
      </c>
      <c r="D30" t="s">
        <v>21</v>
      </c>
      <c r="E30" t="s">
        <v>21</v>
      </c>
      <c r="F30" t="s">
        <v>21</v>
      </c>
      <c r="G30" t="s">
        <v>21</v>
      </c>
      <c r="H30" t="s">
        <v>21</v>
      </c>
      <c r="I30" t="s">
        <v>21</v>
      </c>
      <c r="J30" t="s">
        <v>21</v>
      </c>
      <c r="K30" t="s">
        <v>21</v>
      </c>
      <c r="L30" t="s">
        <v>342</v>
      </c>
    </row>
    <row r="31" spans="1:12" x14ac:dyDescent="0.2">
      <c r="A31" t="s">
        <v>415</v>
      </c>
      <c r="C31">
        <v>8.35</v>
      </c>
      <c r="F31">
        <f xml:space="preserve"> 8.35 + (48.3/224.5)* (18.3-8.35)</f>
        <v>10.490690423162583</v>
      </c>
      <c r="G31">
        <f t="shared" ref="G31:G46" si="2">$Q$7-F31</f>
        <v>20.709309576837416</v>
      </c>
      <c r="H31">
        <f t="shared" ref="H31:H46" si="3" xml:space="preserve"> $J31 / (2*DEGREES(ATAN(0.5*$R$7 / $G31)))</f>
        <v>3.4870754832840557E-2</v>
      </c>
      <c r="I31">
        <v>0.05</v>
      </c>
      <c r="J31">
        <v>2.17</v>
      </c>
    </row>
    <row r="32" spans="1:12" x14ac:dyDescent="0.2">
      <c r="A32" t="s">
        <v>416</v>
      </c>
      <c r="F32">
        <f xml:space="preserve"> 8.35 + (145.8/226.3)* (18.3-8.35)</f>
        <v>14.760561201944322</v>
      </c>
      <c r="G32">
        <f t="shared" si="2"/>
        <v>16.439438798055676</v>
      </c>
      <c r="H32">
        <f t="shared" si="3"/>
        <v>2.9128966957005804E-2</v>
      </c>
      <c r="I32">
        <v>0.05</v>
      </c>
      <c r="J32">
        <v>2.17</v>
      </c>
    </row>
    <row r="33" spans="1:12" x14ac:dyDescent="0.2">
      <c r="A33" t="s">
        <v>417</v>
      </c>
      <c r="F33">
        <v>8.35</v>
      </c>
      <c r="G33">
        <f t="shared" si="2"/>
        <v>22.85</v>
      </c>
      <c r="H33">
        <f t="shared" si="3"/>
        <v>3.7830336673040817E-2</v>
      </c>
      <c r="I33">
        <v>0.05</v>
      </c>
      <c r="J33">
        <v>2.17</v>
      </c>
    </row>
    <row r="34" spans="1:12" x14ac:dyDescent="0.2">
      <c r="A34" t="s">
        <v>418</v>
      </c>
      <c r="F34">
        <f xml:space="preserve"> 8.35 + (51.9/228.6)* (18.3-8.35)</f>
        <v>10.608989501312337</v>
      </c>
      <c r="G34">
        <f t="shared" si="2"/>
        <v>20.591010498687663</v>
      </c>
      <c r="H34">
        <f t="shared" si="3"/>
        <v>3.4708553522484198E-2</v>
      </c>
      <c r="I34">
        <v>0.05</v>
      </c>
      <c r="J34">
        <v>2.17</v>
      </c>
    </row>
    <row r="35" spans="1:12" x14ac:dyDescent="0.2">
      <c r="A35" t="s">
        <v>421</v>
      </c>
      <c r="F35">
        <f xml:space="preserve"> 8.35 + (177.1/230.8)* (18.3-8.35)</f>
        <v>15.984943674176776</v>
      </c>
      <c r="G35">
        <f t="shared" si="2"/>
        <v>15.215056325823223</v>
      </c>
      <c r="H35">
        <f t="shared" si="3"/>
        <v>2.7534595602459244E-2</v>
      </c>
      <c r="I35">
        <v>0.05</v>
      </c>
      <c r="J35">
        <v>2.17</v>
      </c>
    </row>
    <row r="36" spans="1:12" x14ac:dyDescent="0.2">
      <c r="A36" t="s">
        <v>419</v>
      </c>
      <c r="F36">
        <f xml:space="preserve"> 18.3 + (35.8/266.5)* (31.5-18.3)</f>
        <v>20.073208255159475</v>
      </c>
      <c r="G36">
        <f t="shared" si="2"/>
        <v>11.126791744840524</v>
      </c>
      <c r="H36">
        <f t="shared" si="3"/>
        <v>2.2451526710271889E-2</v>
      </c>
      <c r="I36">
        <v>0.05</v>
      </c>
      <c r="J36">
        <v>2.17</v>
      </c>
      <c r="L36" t="s">
        <v>420</v>
      </c>
    </row>
    <row r="37" spans="1:12" x14ac:dyDescent="0.2">
      <c r="A37" t="s">
        <v>443</v>
      </c>
      <c r="F37">
        <f xml:space="preserve"> 8.35 + (186.1/235.8)* (18.3-8.35)</f>
        <v>16.202820186598814</v>
      </c>
      <c r="G37">
        <f t="shared" si="2"/>
        <v>14.997179813401186</v>
      </c>
      <c r="H37">
        <f t="shared" si="3"/>
        <v>2.7253863391563733E-2</v>
      </c>
      <c r="I37">
        <v>0.05</v>
      </c>
      <c r="J37">
        <v>2.17</v>
      </c>
    </row>
    <row r="38" spans="1:12" x14ac:dyDescent="0.2">
      <c r="A38" t="s">
        <v>444</v>
      </c>
      <c r="F38">
        <f xml:space="preserve"> 8.35 + (174.5/230.4)* (18.3-8.35)</f>
        <v>15.885915798611112</v>
      </c>
      <c r="G38">
        <f t="shared" si="2"/>
        <v>15.314084201388887</v>
      </c>
      <c r="H38">
        <f t="shared" si="3"/>
        <v>2.7662502883388645E-2</v>
      </c>
      <c r="I38">
        <v>0.05</v>
      </c>
      <c r="J38">
        <v>2.17</v>
      </c>
    </row>
    <row r="39" spans="1:12" x14ac:dyDescent="0.2">
      <c r="A39" t="s">
        <v>446</v>
      </c>
      <c r="F39">
        <f xml:space="preserve"> 8.35 + (212.3/241)* (18.3-8.35)</f>
        <v>17.115082987551869</v>
      </c>
      <c r="G39">
        <f t="shared" si="2"/>
        <v>14.08491701244813</v>
      </c>
      <c r="H39">
        <f t="shared" si="3"/>
        <v>2.6089114062275189E-2</v>
      </c>
      <c r="I39">
        <v>0.05</v>
      </c>
      <c r="J39">
        <v>2.17</v>
      </c>
    </row>
    <row r="40" spans="1:12" x14ac:dyDescent="0.2">
      <c r="A40" t="s">
        <v>447</v>
      </c>
      <c r="F40">
        <f xml:space="preserve"> 8.35 + (165.7/229.6)* (18.3-8.35)</f>
        <v>15.530814459930312</v>
      </c>
      <c r="G40">
        <f t="shared" si="2"/>
        <v>15.669185540069687</v>
      </c>
      <c r="H40">
        <f t="shared" si="3"/>
        <v>2.8122718374816082E-2</v>
      </c>
      <c r="I40">
        <v>0.05</v>
      </c>
      <c r="J40">
        <v>2.17</v>
      </c>
      <c r="L40" t="s">
        <v>448</v>
      </c>
    </row>
    <row r="41" spans="1:12" x14ac:dyDescent="0.2">
      <c r="A41" t="s">
        <v>449</v>
      </c>
      <c r="F41">
        <f xml:space="preserve"> 8.35 + (63.1/238.7)* (18.3-8.35)</f>
        <v>10.980268118977797</v>
      </c>
      <c r="G41">
        <f t="shared" si="2"/>
        <v>20.219731881022202</v>
      </c>
      <c r="H41">
        <f t="shared" si="3"/>
        <v>3.4200493652346668E-2</v>
      </c>
      <c r="I41">
        <v>0.05</v>
      </c>
      <c r="J41">
        <v>2.17</v>
      </c>
    </row>
    <row r="42" spans="1:12" x14ac:dyDescent="0.2">
      <c r="A42" t="s">
        <v>450</v>
      </c>
      <c r="F42">
        <f xml:space="preserve"> 8.35 + (242.1/262)* (18.3-8.35)</f>
        <v>17.54425572519084</v>
      </c>
      <c r="G42">
        <f t="shared" si="2"/>
        <v>13.655744274809159</v>
      </c>
      <c r="H42">
        <f t="shared" si="3"/>
        <v>5.109499119861137E-2</v>
      </c>
      <c r="I42">
        <v>0.1</v>
      </c>
      <c r="J42" s="17">
        <v>4.34</v>
      </c>
    </row>
    <row r="43" spans="1:12" x14ac:dyDescent="0.2">
      <c r="A43" t="s">
        <v>451</v>
      </c>
      <c r="F43">
        <v>18.3</v>
      </c>
      <c r="G43">
        <f t="shared" si="2"/>
        <v>12.899999999999999</v>
      </c>
      <c r="H43">
        <f t="shared" si="3"/>
        <v>4.9208827681519053E-2</v>
      </c>
      <c r="I43">
        <v>0.1</v>
      </c>
      <c r="J43" s="17">
        <v>4.34</v>
      </c>
    </row>
    <row r="44" spans="1:12" x14ac:dyDescent="0.2">
      <c r="A44" t="s">
        <v>452</v>
      </c>
      <c r="F44">
        <f xml:space="preserve"> 18.3 + (114.6/278)* (31.5-18.3)</f>
        <v>23.741438848920865</v>
      </c>
      <c r="G44">
        <f t="shared" si="2"/>
        <v>7.4585611510791345</v>
      </c>
      <c r="H44">
        <f t="shared" si="3"/>
        <v>5.500530464216144E-2</v>
      </c>
      <c r="I44">
        <v>0.15</v>
      </c>
      <c r="J44">
        <v>6.51</v>
      </c>
    </row>
    <row r="45" spans="1:12" x14ac:dyDescent="0.2">
      <c r="A45" t="s">
        <v>453</v>
      </c>
      <c r="F45">
        <f xml:space="preserve"> 18.3 + (84.1/275.1)* (31.5-18.3)</f>
        <v>22.335332606324972</v>
      </c>
      <c r="G45">
        <f t="shared" si="2"/>
        <v>8.8646673936750275</v>
      </c>
      <c r="H45">
        <f t="shared" si="3"/>
        <v>5.9553487713183681E-2</v>
      </c>
      <c r="I45">
        <v>0.15</v>
      </c>
      <c r="J45">
        <v>6.51</v>
      </c>
    </row>
    <row r="46" spans="1:12" x14ac:dyDescent="0.2">
      <c r="A46" t="s">
        <v>456</v>
      </c>
      <c r="C46">
        <v>15</v>
      </c>
      <c r="D46">
        <v>115.6</v>
      </c>
      <c r="E46">
        <v>75.5</v>
      </c>
      <c r="F46">
        <f xml:space="preserve"> (E46/D46*5)+C46</f>
        <v>18.265570934256054</v>
      </c>
      <c r="G46">
        <f t="shared" si="2"/>
        <v>12.934429065743945</v>
      </c>
      <c r="H46">
        <f t="shared" si="3"/>
        <v>7.394120467085763E-2</v>
      </c>
      <c r="I46">
        <v>0.15</v>
      </c>
      <c r="J46">
        <v>6.51</v>
      </c>
      <c r="K46" s="1"/>
    </row>
    <row r="47" spans="1:12" x14ac:dyDescent="0.2">
      <c r="A47" t="s">
        <v>460</v>
      </c>
      <c r="F47">
        <v>31.5</v>
      </c>
      <c r="H47" t="s">
        <v>461</v>
      </c>
      <c r="I47">
        <v>0.1</v>
      </c>
      <c r="J47" s="17">
        <v>4.34</v>
      </c>
      <c r="L47" t="s">
        <v>462</v>
      </c>
    </row>
    <row r="48" spans="1:12" x14ac:dyDescent="0.2">
      <c r="A48" t="s">
        <v>468</v>
      </c>
      <c r="F48">
        <v>31.5</v>
      </c>
      <c r="H48" t="s">
        <v>461</v>
      </c>
      <c r="I48">
        <v>0.05</v>
      </c>
      <c r="J48">
        <v>2.17</v>
      </c>
      <c r="L48" t="s">
        <v>469</v>
      </c>
    </row>
    <row r="49" spans="1:12" x14ac:dyDescent="0.2">
      <c r="A49" t="s">
        <v>470</v>
      </c>
      <c r="C49">
        <v>15</v>
      </c>
      <c r="D49">
        <v>108.6</v>
      </c>
      <c r="E49">
        <v>26.8</v>
      </c>
      <c r="F49">
        <f xml:space="preserve"> (E49/D49*5)+C49</f>
        <v>16.233885819521177</v>
      </c>
      <c r="G49">
        <f>$Q$7-F49</f>
        <v>14.966114180478822</v>
      </c>
      <c r="H49">
        <f xml:space="preserve"> $J49 / (2*DEGREES(ATAN(0.5*$R$7 / $G49)))</f>
        <v>5.4427826243110322E-2</v>
      </c>
      <c r="I49">
        <v>0.1</v>
      </c>
      <c r="J49" s="17">
        <v>4.34</v>
      </c>
      <c r="L49" t="s">
        <v>471</v>
      </c>
    </row>
    <row r="50" spans="1:12" x14ac:dyDescent="0.2">
      <c r="A50" t="s">
        <v>486</v>
      </c>
      <c r="F50">
        <v>25</v>
      </c>
      <c r="G50">
        <f>$Q$7-F50</f>
        <v>6.1999999999999993</v>
      </c>
      <c r="H50">
        <f xml:space="preserve"> $J50 / (2*DEGREES(ATAN(0.5*$R$7 / $G50)))</f>
        <v>1.7054763794037576E-2</v>
      </c>
      <c r="I50">
        <v>0.05</v>
      </c>
      <c r="J50">
        <v>2.17</v>
      </c>
      <c r="L50" t="s">
        <v>473</v>
      </c>
    </row>
    <row r="51" spans="1:12" x14ac:dyDescent="0.2">
      <c r="A51" t="s">
        <v>485</v>
      </c>
      <c r="C51">
        <v>15</v>
      </c>
      <c r="D51">
        <v>115.1</v>
      </c>
      <c r="E51">
        <v>38.6</v>
      </c>
      <c r="F51">
        <f xml:space="preserve"> (E51/D51*5)+C51</f>
        <v>16.676802780191139</v>
      </c>
      <c r="G51">
        <f>$Q$7-F51</f>
        <v>14.523197219808861</v>
      </c>
      <c r="H51">
        <f xml:space="preserve"> $J51 / (2*DEGREES(ATAN(0.5*$R$7 / $G51)))</f>
        <v>7.9939455555224637E-2</v>
      </c>
      <c r="I51">
        <v>0.15</v>
      </c>
      <c r="J51">
        <v>6.51</v>
      </c>
      <c r="L51" t="s">
        <v>484</v>
      </c>
    </row>
    <row r="52" spans="1:12" x14ac:dyDescent="0.2">
      <c r="A52" t="s">
        <v>508</v>
      </c>
      <c r="C52">
        <v>5</v>
      </c>
      <c r="D52">
        <v>125.2</v>
      </c>
      <c r="E52">
        <v>32.200000000000003</v>
      </c>
      <c r="F52">
        <f xml:space="preserve"> (E52/D52*5)+C52</f>
        <v>6.2859424920127793</v>
      </c>
      <c r="G52">
        <f xml:space="preserve"> 18-F52</f>
        <v>11.714057507987221</v>
      </c>
      <c r="H52">
        <f xml:space="preserve"> $J52 / (2*DEGREES(ATAN(0.5*$R$7 / $G52)))</f>
        <v>4.6309080968759062E-2</v>
      </c>
      <c r="I52">
        <v>0.1</v>
      </c>
      <c r="J52" s="17">
        <v>4.34</v>
      </c>
      <c r="L52" t="s">
        <v>509</v>
      </c>
    </row>
    <row r="53" spans="1:12" x14ac:dyDescent="0.2">
      <c r="A53" t="s">
        <v>512</v>
      </c>
      <c r="L53" t="s">
        <v>513</v>
      </c>
    </row>
  </sheetData>
  <customSheetViews>
    <customSheetView guid="{8A75D892-44B4-104C-BB94-8EB0D0E43396}" topLeftCell="A5">
      <selection activeCell="C16" sqref="C16"/>
      <pageMargins left="0.7" right="0.7" top="0.75" bottom="0.75" header="0.3" footer="0.3"/>
    </customSheetView>
  </customSheetView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50CC9-1DD3-2246-BC43-AE6518846A1D}">
  <dimension ref="A1:W36"/>
  <sheetViews>
    <sheetView zoomScaleNormal="100" workbookViewId="0">
      <selection activeCell="E12" sqref="E12"/>
    </sheetView>
  </sheetViews>
  <sheetFormatPr baseColWidth="10" defaultRowHeight="16" x14ac:dyDescent="0.2"/>
  <cols>
    <col min="1" max="2" width="24.5" customWidth="1"/>
    <col min="3" max="3" width="16.83203125" customWidth="1"/>
    <col min="4" max="5" width="24.5" customWidth="1"/>
    <col min="6" max="6" width="20.83203125" customWidth="1"/>
    <col min="7" max="7" width="23.5" customWidth="1"/>
    <col min="8" max="8" width="16" customWidth="1"/>
    <col min="9" max="9" width="12.6640625" customWidth="1"/>
    <col min="10" max="10" width="15.5" customWidth="1"/>
    <col min="11" max="11" width="20" customWidth="1"/>
    <col min="12" max="12" width="23.1640625" customWidth="1"/>
    <col min="13" max="13" width="20" customWidth="1"/>
    <col min="14" max="14" width="16.83203125" style="31" customWidth="1"/>
    <col min="15" max="15" width="10.83203125" style="31"/>
    <col min="17" max="17" width="13.6640625" customWidth="1"/>
  </cols>
  <sheetData>
    <row r="1" spans="1:15" x14ac:dyDescent="0.2">
      <c r="A1" s="1" t="s">
        <v>0</v>
      </c>
      <c r="B1" s="1" t="s">
        <v>30</v>
      </c>
      <c r="C1" t="s">
        <v>2</v>
      </c>
      <c r="D1" s="1" t="s">
        <v>272</v>
      </c>
      <c r="E1" s="1" t="s">
        <v>327</v>
      </c>
      <c r="F1" s="1" t="s">
        <v>765</v>
      </c>
      <c r="G1" s="1" t="s">
        <v>764</v>
      </c>
      <c r="H1" s="1" t="s">
        <v>766</v>
      </c>
      <c r="I1" s="1" t="s">
        <v>767</v>
      </c>
      <c r="J1" s="1" t="s">
        <v>333</v>
      </c>
      <c r="K1" s="1" t="s">
        <v>761</v>
      </c>
      <c r="L1" s="1" t="s">
        <v>212</v>
      </c>
      <c r="M1" s="1" t="s">
        <v>768</v>
      </c>
      <c r="N1" s="30" t="s">
        <v>762</v>
      </c>
      <c r="O1" s="30" t="s">
        <v>15</v>
      </c>
    </row>
    <row r="2" spans="1:15" x14ac:dyDescent="0.2">
      <c r="A2" s="1">
        <v>2</v>
      </c>
      <c r="B2" s="1"/>
      <c r="C2" t="str">
        <f>_xlfn.TEXTSPLIT($D2, "_")</f>
        <v>C0080</v>
      </c>
      <c r="D2" s="1" t="s">
        <v>301</v>
      </c>
      <c r="E2" s="1"/>
      <c r="F2" s="1">
        <v>50</v>
      </c>
      <c r="G2" s="1">
        <v>136.9</v>
      </c>
      <c r="H2" s="1">
        <v>56.4</v>
      </c>
      <c r="I2" s="1">
        <f t="shared" ref="I2:I13" si="0" xml:space="preserve"> (H2 / G2)*5 +F2</f>
        <v>52.059897735573408</v>
      </c>
      <c r="J2" s="1">
        <f xml:space="preserve"> 312 - I2</f>
        <v>259.94010226442657</v>
      </c>
      <c r="K2" s="1">
        <f t="shared" ref="K2:K26" si="1">VLOOKUP(L2, $P$31:$R$36, 2, FALSE)</f>
        <v>38.39</v>
      </c>
      <c r="L2" s="1">
        <v>0.15</v>
      </c>
      <c r="M2" s="1">
        <f t="shared" ref="M2:M26" si="2">1/((2*DEGREES(ATAN(0.5*$K2/$J2))))</f>
        <v>0.11839137755216687</v>
      </c>
      <c r="N2" s="30"/>
      <c r="O2" s="30"/>
    </row>
    <row r="3" spans="1:15" x14ac:dyDescent="0.2">
      <c r="A3" s="1">
        <v>2</v>
      </c>
      <c r="B3" s="1"/>
      <c r="C3" t="str">
        <f t="shared" ref="C3:C26" si="3">_xlfn.TEXTSPLIT($D3, "_")</f>
        <v>C0126</v>
      </c>
      <c r="D3" s="1" t="s">
        <v>311</v>
      </c>
      <c r="E3" s="1"/>
      <c r="F3" s="1">
        <v>0</v>
      </c>
      <c r="G3" s="1">
        <v>130.19999999999999</v>
      </c>
      <c r="H3" s="1">
        <v>58.6</v>
      </c>
      <c r="I3" s="1">
        <f t="shared" si="0"/>
        <v>2.2503840245775732</v>
      </c>
      <c r="J3" s="1">
        <f t="shared" ref="J3:J25" si="4" xml:space="preserve"> 312 - I3</f>
        <v>309.74961597542244</v>
      </c>
      <c r="K3" s="1">
        <f t="shared" si="1"/>
        <v>57.59</v>
      </c>
      <c r="L3" s="1">
        <v>0.1</v>
      </c>
      <c r="M3" s="1">
        <f t="shared" si="2"/>
        <v>9.4142875273433069E-2</v>
      </c>
      <c r="N3" s="30"/>
      <c r="O3" s="30"/>
    </row>
    <row r="4" spans="1:15" x14ac:dyDescent="0.2">
      <c r="A4" s="1">
        <v>2</v>
      </c>
      <c r="B4" s="1"/>
      <c r="C4" t="str">
        <f t="shared" si="3"/>
        <v>C0085</v>
      </c>
      <c r="D4" s="1" t="s">
        <v>312</v>
      </c>
      <c r="E4" s="1"/>
      <c r="F4" s="1">
        <v>100</v>
      </c>
      <c r="G4" s="1">
        <v>124.5</v>
      </c>
      <c r="H4" s="1">
        <v>66.400000000000006</v>
      </c>
      <c r="I4" s="1">
        <f t="shared" si="0"/>
        <v>102.66666666666667</v>
      </c>
      <c r="J4" s="1">
        <f t="shared" si="4"/>
        <v>209.33333333333331</v>
      </c>
      <c r="K4" s="1">
        <f t="shared" si="1"/>
        <v>38.39</v>
      </c>
      <c r="L4" s="1">
        <v>0.15</v>
      </c>
      <c r="M4" s="1">
        <f t="shared" si="2"/>
        <v>9.5435605638469756E-2</v>
      </c>
      <c r="N4" s="30"/>
      <c r="O4" s="30"/>
    </row>
    <row r="5" spans="1:15" x14ac:dyDescent="0.2">
      <c r="A5" s="1">
        <v>2</v>
      </c>
      <c r="B5" s="1"/>
      <c r="C5" t="str">
        <f t="shared" si="3"/>
        <v>C0085</v>
      </c>
      <c r="D5" s="1" t="s">
        <v>313</v>
      </c>
      <c r="E5" s="1"/>
      <c r="F5" s="1">
        <v>150</v>
      </c>
      <c r="G5" s="1">
        <v>110.5</v>
      </c>
      <c r="H5" s="1">
        <v>67.599999999999994</v>
      </c>
      <c r="I5" s="1">
        <f t="shared" si="0"/>
        <v>153.05882352941177</v>
      </c>
      <c r="J5" s="1">
        <f t="shared" si="4"/>
        <v>158.94117647058823</v>
      </c>
      <c r="K5" s="1">
        <f t="shared" si="1"/>
        <v>38.39</v>
      </c>
      <c r="L5" s="1">
        <v>0.15</v>
      </c>
      <c r="M5" s="1">
        <f t="shared" si="2"/>
        <v>7.260956465522074E-2</v>
      </c>
      <c r="N5" s="30"/>
      <c r="O5" s="30"/>
    </row>
    <row r="6" spans="1:15" x14ac:dyDescent="0.2">
      <c r="A6" s="1">
        <v>2</v>
      </c>
      <c r="B6" s="1"/>
      <c r="C6" t="str">
        <f t="shared" si="3"/>
        <v>C0074</v>
      </c>
      <c r="D6" s="1" t="s">
        <v>400</v>
      </c>
      <c r="E6" s="1"/>
      <c r="F6" s="1">
        <v>200</v>
      </c>
      <c r="G6" s="1">
        <v>103.3</v>
      </c>
      <c r="H6" s="1">
        <v>21.9</v>
      </c>
      <c r="I6" s="1">
        <f t="shared" si="0"/>
        <v>201.06001936108422</v>
      </c>
      <c r="J6" s="1">
        <f t="shared" si="4"/>
        <v>110.93998063891578</v>
      </c>
      <c r="K6" s="1">
        <f t="shared" si="1"/>
        <v>57.59</v>
      </c>
      <c r="L6" s="1">
        <v>0.1</v>
      </c>
      <c r="M6" s="1">
        <f t="shared" si="2"/>
        <v>3.4363508907516056E-2</v>
      </c>
      <c r="N6" s="30" t="s">
        <v>337</v>
      </c>
      <c r="O6" s="30"/>
    </row>
    <row r="7" spans="1:15" x14ac:dyDescent="0.2">
      <c r="A7" s="1">
        <v>2</v>
      </c>
      <c r="B7" s="1"/>
      <c r="C7" t="str">
        <f t="shared" si="3"/>
        <v>C0073</v>
      </c>
      <c r="D7" s="1" t="s">
        <v>403</v>
      </c>
      <c r="E7" s="1"/>
      <c r="F7" s="1">
        <v>50</v>
      </c>
      <c r="G7" s="1">
        <v>122.5</v>
      </c>
      <c r="H7" s="1">
        <v>31.8</v>
      </c>
      <c r="I7" s="1">
        <f t="shared" si="0"/>
        <v>51.29795918367347</v>
      </c>
      <c r="J7" s="1">
        <f t="shared" si="4"/>
        <v>260.70204081632653</v>
      </c>
      <c r="K7" s="1">
        <f t="shared" si="1"/>
        <v>115.17</v>
      </c>
      <c r="L7" s="1">
        <v>0.05</v>
      </c>
      <c r="M7" s="1">
        <f t="shared" si="2"/>
        <v>4.0142136209352523E-2</v>
      </c>
      <c r="N7" s="30"/>
      <c r="O7" s="30"/>
    </row>
    <row r="8" spans="1:15" x14ac:dyDescent="0.2">
      <c r="A8" s="1">
        <v>2</v>
      </c>
      <c r="B8" s="1"/>
      <c r="C8" t="str">
        <f t="shared" si="3"/>
        <v>C0069</v>
      </c>
      <c r="D8" s="1" t="s">
        <v>442</v>
      </c>
      <c r="E8" s="1"/>
      <c r="F8" s="1">
        <v>50</v>
      </c>
      <c r="G8" s="1">
        <v>125.2</v>
      </c>
      <c r="H8" s="1">
        <v>51.5</v>
      </c>
      <c r="I8" s="1">
        <f t="shared" si="0"/>
        <v>52.056709265175719</v>
      </c>
      <c r="J8" s="1">
        <f t="shared" si="4"/>
        <v>259.9432907348243</v>
      </c>
      <c r="K8" s="1">
        <f t="shared" si="1"/>
        <v>57.59</v>
      </c>
      <c r="L8" s="1">
        <v>0.1</v>
      </c>
      <c r="M8" s="1">
        <f t="shared" si="2"/>
        <v>7.9099897933956026E-2</v>
      </c>
      <c r="N8" s="30"/>
      <c r="O8" s="30"/>
    </row>
    <row r="9" spans="1:15" x14ac:dyDescent="0.2">
      <c r="A9" s="1">
        <v>2</v>
      </c>
      <c r="B9" s="4">
        <v>45377</v>
      </c>
      <c r="C9" t="str">
        <f t="shared" si="3"/>
        <v>C0077</v>
      </c>
      <c r="D9" s="1" t="s">
        <v>339</v>
      </c>
      <c r="E9" s="1"/>
      <c r="F9" s="1">
        <v>50</v>
      </c>
      <c r="G9" s="1">
        <v>124.8</v>
      </c>
      <c r="H9" s="1">
        <v>100.6</v>
      </c>
      <c r="I9" s="1">
        <f t="shared" si="0"/>
        <v>54.030448717948715</v>
      </c>
      <c r="J9" s="1">
        <f t="shared" si="4"/>
        <v>257.96955128205127</v>
      </c>
      <c r="K9" s="1">
        <f t="shared" si="1"/>
        <v>115.17</v>
      </c>
      <c r="L9" s="1">
        <v>0.05</v>
      </c>
      <c r="M9" s="1">
        <f t="shared" si="2"/>
        <v>3.9734592950621969E-2</v>
      </c>
      <c r="N9" s="30"/>
      <c r="O9" s="30"/>
    </row>
    <row r="10" spans="1:15" x14ac:dyDescent="0.2">
      <c r="A10" s="1">
        <v>2</v>
      </c>
      <c r="B10" s="4">
        <v>45383</v>
      </c>
      <c r="C10" t="str">
        <f t="shared" si="3"/>
        <v>C0086</v>
      </c>
      <c r="D10" s="1" t="s">
        <v>340</v>
      </c>
      <c r="E10" s="1"/>
      <c r="F10" s="1">
        <v>200</v>
      </c>
      <c r="G10" s="1">
        <v>112.3</v>
      </c>
      <c r="H10" s="1">
        <v>17.5</v>
      </c>
      <c r="I10" s="1">
        <f t="shared" si="0"/>
        <v>200.77916295636686</v>
      </c>
      <c r="J10" s="1">
        <f t="shared" si="4"/>
        <v>111.22083704363314</v>
      </c>
      <c r="K10" s="1">
        <f t="shared" si="1"/>
        <v>115.17</v>
      </c>
      <c r="L10" s="1">
        <v>0.05</v>
      </c>
      <c r="M10" s="1">
        <f t="shared" si="2"/>
        <v>1.8266155278166885E-2</v>
      </c>
      <c r="N10" s="30"/>
      <c r="O10" s="30"/>
    </row>
    <row r="11" spans="1:15" x14ac:dyDescent="0.2">
      <c r="A11" s="1">
        <v>2</v>
      </c>
      <c r="B11" s="1"/>
      <c r="C11" t="str">
        <f t="shared" si="3"/>
        <v>C0058</v>
      </c>
      <c r="D11" s="1" t="s">
        <v>419</v>
      </c>
      <c r="E11" s="1"/>
      <c r="F11" s="1">
        <v>0</v>
      </c>
      <c r="G11" s="1">
        <v>52.8</v>
      </c>
      <c r="H11" s="1">
        <v>20.6</v>
      </c>
      <c r="I11" s="1">
        <f t="shared" si="0"/>
        <v>1.9507575757575759</v>
      </c>
      <c r="J11" s="1">
        <f t="shared" si="4"/>
        <v>310.04924242424244</v>
      </c>
      <c r="K11" s="1">
        <f t="shared" si="1"/>
        <v>38.39</v>
      </c>
      <c r="L11" s="1">
        <v>0.15</v>
      </c>
      <c r="M11" s="1">
        <f t="shared" si="2"/>
        <v>0.14113796901651063</v>
      </c>
      <c r="N11" s="30"/>
      <c r="O11" s="30"/>
    </row>
    <row r="12" spans="1:15" x14ac:dyDescent="0.2">
      <c r="A12" s="1">
        <v>2</v>
      </c>
      <c r="B12" s="1"/>
      <c r="C12" t="str">
        <f t="shared" si="3"/>
        <v>C0053</v>
      </c>
      <c r="D12" s="1" t="s">
        <v>445</v>
      </c>
      <c r="E12" s="1"/>
      <c r="F12" s="1">
        <v>50</v>
      </c>
      <c r="G12" s="1">
        <v>79.3</v>
      </c>
      <c r="H12" s="1">
        <v>23.7</v>
      </c>
      <c r="I12" s="1">
        <f t="shared" si="0"/>
        <v>51.494325346784365</v>
      </c>
      <c r="J12" s="1">
        <f t="shared" si="4"/>
        <v>260.50567465321564</v>
      </c>
      <c r="K12" s="1">
        <f t="shared" si="1"/>
        <v>115.17</v>
      </c>
      <c r="L12" s="1">
        <v>0.05</v>
      </c>
      <c r="M12" s="1">
        <f t="shared" si="2"/>
        <v>4.0112844329355218E-2</v>
      </c>
      <c r="O12" s="30"/>
    </row>
    <row r="13" spans="1:15" x14ac:dyDescent="0.2">
      <c r="A13" s="1">
        <v>2</v>
      </c>
      <c r="C13" t="str">
        <f t="shared" si="3"/>
        <v>C0048</v>
      </c>
      <c r="D13" s="1" t="s">
        <v>409</v>
      </c>
      <c r="E13" s="1"/>
      <c r="F13">
        <v>100</v>
      </c>
      <c r="G13">
        <v>83.2</v>
      </c>
      <c r="H13">
        <v>35.799999999999997</v>
      </c>
      <c r="I13" s="1">
        <f t="shared" si="0"/>
        <v>102.15144230769231</v>
      </c>
      <c r="J13" s="1">
        <f t="shared" si="4"/>
        <v>209.84855769230768</v>
      </c>
      <c r="K13" s="1">
        <f t="shared" si="1"/>
        <v>115.17</v>
      </c>
      <c r="L13" s="1">
        <v>0.05</v>
      </c>
      <c r="M13" s="1">
        <f t="shared" si="2"/>
        <v>3.2584041919664422E-2</v>
      </c>
    </row>
    <row r="14" spans="1:15" x14ac:dyDescent="0.2">
      <c r="A14" s="1">
        <v>2</v>
      </c>
      <c r="C14" t="str">
        <f t="shared" si="3"/>
        <v>C0046</v>
      </c>
      <c r="D14" s="1" t="s">
        <v>408</v>
      </c>
      <c r="E14" s="1"/>
      <c r="I14">
        <v>18.3</v>
      </c>
      <c r="J14" s="1">
        <f t="shared" si="4"/>
        <v>293.7</v>
      </c>
      <c r="K14" s="1">
        <f t="shared" si="1"/>
        <v>115.17</v>
      </c>
      <c r="L14" s="1">
        <v>0.05</v>
      </c>
      <c r="M14" s="1">
        <f t="shared" si="2"/>
        <v>4.5073001563095454E-2</v>
      </c>
    </row>
    <row r="15" spans="1:15" x14ac:dyDescent="0.2">
      <c r="A15" s="1">
        <v>2</v>
      </c>
      <c r="C15" t="str">
        <f t="shared" si="3"/>
        <v>C0041</v>
      </c>
      <c r="D15" s="1" t="s">
        <v>407</v>
      </c>
      <c r="E15" s="1"/>
      <c r="I15">
        <f xml:space="preserve"> 8.35 * ( 125.4 / 225.1 )</f>
        <v>4.6516659262549984</v>
      </c>
      <c r="J15" s="1">
        <f t="shared" si="4"/>
        <v>307.34833407374498</v>
      </c>
      <c r="K15" s="1">
        <f t="shared" si="1"/>
        <v>115.17</v>
      </c>
      <c r="L15" s="1">
        <v>0.05</v>
      </c>
      <c r="M15" s="1">
        <f t="shared" si="2"/>
        <v>4.7116716027333458E-2</v>
      </c>
    </row>
    <row r="16" spans="1:15" x14ac:dyDescent="0.2">
      <c r="A16" s="1">
        <v>2</v>
      </c>
      <c r="C16" t="str">
        <f t="shared" si="3"/>
        <v>C0042</v>
      </c>
      <c r="D16" t="s">
        <v>410</v>
      </c>
      <c r="I16">
        <f>18.3+  (31.5-18.3)*(83.2 / 275.5)</f>
        <v>22.286352087114338</v>
      </c>
      <c r="J16" s="1">
        <f t="shared" si="4"/>
        <v>289.71364791288568</v>
      </c>
      <c r="K16" s="1">
        <f t="shared" si="1"/>
        <v>57.59</v>
      </c>
      <c r="L16" s="1">
        <v>0.1</v>
      </c>
      <c r="M16" s="1">
        <f t="shared" si="2"/>
        <v>8.8089315496625159E-2</v>
      </c>
      <c r="O16" s="31" t="s">
        <v>411</v>
      </c>
    </row>
    <row r="17" spans="1:23" x14ac:dyDescent="0.2">
      <c r="A17" s="1">
        <v>2</v>
      </c>
      <c r="C17" t="str">
        <f t="shared" si="3"/>
        <v>C0037</v>
      </c>
      <c r="D17" t="s">
        <v>412</v>
      </c>
      <c r="I17">
        <f>8.35 +  (9.95)*(46.5 / 238.4)</f>
        <v>10.290750838926174</v>
      </c>
      <c r="J17" s="1">
        <f t="shared" si="4"/>
        <v>301.70924916107384</v>
      </c>
      <c r="K17" s="1">
        <f t="shared" si="1"/>
        <v>38.39</v>
      </c>
      <c r="L17" s="1">
        <v>0.15</v>
      </c>
      <c r="M17" s="1">
        <f t="shared" si="2"/>
        <v>0.13735131013781826</v>
      </c>
    </row>
    <row r="18" spans="1:23" x14ac:dyDescent="0.2">
      <c r="A18" s="1">
        <v>2</v>
      </c>
      <c r="C18" t="str">
        <f t="shared" si="3"/>
        <v>C0033</v>
      </c>
      <c r="D18" t="s">
        <v>413</v>
      </c>
      <c r="I18">
        <f>18.3+  (31.5-18.3)*(40.3 / 240)</f>
        <v>20.516500000000001</v>
      </c>
      <c r="J18" s="1">
        <f t="shared" si="4"/>
        <v>291.48349999999999</v>
      </c>
      <c r="K18" s="1">
        <f t="shared" si="1"/>
        <v>115.17</v>
      </c>
      <c r="L18" s="1">
        <v>0.05</v>
      </c>
      <c r="M18" s="1">
        <f t="shared" si="2"/>
        <v>4.4741311817743969E-2</v>
      </c>
      <c r="O18" s="31" t="s">
        <v>414</v>
      </c>
    </row>
    <row r="19" spans="1:23" x14ac:dyDescent="0.2">
      <c r="A19" s="1">
        <v>2</v>
      </c>
      <c r="C19" t="str">
        <f t="shared" si="3"/>
        <v>C0094</v>
      </c>
      <c r="D19" t="s">
        <v>477</v>
      </c>
      <c r="I19">
        <v>15.1</v>
      </c>
      <c r="J19" s="1">
        <f t="shared" si="4"/>
        <v>296.89999999999998</v>
      </c>
      <c r="K19" s="1">
        <f t="shared" si="1"/>
        <v>115.17</v>
      </c>
      <c r="L19" s="15">
        <v>0.05</v>
      </c>
      <c r="M19" s="1">
        <f t="shared" si="2"/>
        <v>4.5551975431436666E-2</v>
      </c>
    </row>
    <row r="20" spans="1:23" x14ac:dyDescent="0.2">
      <c r="A20" s="1">
        <v>2</v>
      </c>
      <c r="C20" t="str">
        <f t="shared" si="3"/>
        <v>C0096</v>
      </c>
      <c r="D20" t="s">
        <v>490</v>
      </c>
      <c r="F20">
        <v>100</v>
      </c>
      <c r="G20">
        <v>120.4</v>
      </c>
      <c r="H20">
        <v>88.3</v>
      </c>
      <c r="I20" s="1">
        <f xml:space="preserve"> (H20 / G20)*5 +F20</f>
        <v>103.66694352159469</v>
      </c>
      <c r="J20" s="1">
        <f t="shared" si="4"/>
        <v>208.3330564784053</v>
      </c>
      <c r="K20" s="1">
        <f t="shared" si="1"/>
        <v>19.2</v>
      </c>
      <c r="L20" s="1">
        <v>0.3</v>
      </c>
      <c r="M20" s="1">
        <f t="shared" si="2"/>
        <v>0.1895140581655243</v>
      </c>
    </row>
    <row r="21" spans="1:23" x14ac:dyDescent="0.2">
      <c r="A21" s="1">
        <v>2</v>
      </c>
      <c r="C21" t="str">
        <f t="shared" si="3"/>
        <v>C0092</v>
      </c>
      <c r="D21" t="s">
        <v>321</v>
      </c>
      <c r="F21">
        <v>200</v>
      </c>
      <c r="G21">
        <v>106.1</v>
      </c>
      <c r="H21">
        <v>33.1</v>
      </c>
      <c r="I21" s="1">
        <f xml:space="preserve"> (H21 / G21)*5 +F21</f>
        <v>201.55984919886899</v>
      </c>
      <c r="J21" s="1">
        <f t="shared" si="4"/>
        <v>110.44015080113101</v>
      </c>
      <c r="K21" s="1">
        <f t="shared" si="1"/>
        <v>38.39</v>
      </c>
      <c r="L21" s="1">
        <v>0.15</v>
      </c>
      <c r="M21" s="1">
        <f t="shared" si="2"/>
        <v>5.0711107919972846E-2</v>
      </c>
    </row>
    <row r="22" spans="1:23" x14ac:dyDescent="0.2">
      <c r="A22" s="1">
        <v>2</v>
      </c>
      <c r="C22" t="str">
        <f t="shared" si="3"/>
        <v>C0097</v>
      </c>
      <c r="D22" t="s">
        <v>502</v>
      </c>
      <c r="I22">
        <v>15</v>
      </c>
      <c r="J22" s="1">
        <f t="shared" si="4"/>
        <v>297</v>
      </c>
      <c r="K22" s="1">
        <f t="shared" si="1"/>
        <v>19.2</v>
      </c>
      <c r="L22" s="1">
        <v>0.3</v>
      </c>
      <c r="M22" s="1">
        <f t="shared" si="2"/>
        <v>0.27007461695743307</v>
      </c>
    </row>
    <row r="23" spans="1:23" x14ac:dyDescent="0.2">
      <c r="A23" s="1">
        <v>2</v>
      </c>
      <c r="C23" t="str">
        <f t="shared" si="3"/>
        <v>C0098</v>
      </c>
      <c r="D23" t="s">
        <v>503</v>
      </c>
      <c r="I23">
        <v>15</v>
      </c>
      <c r="J23" s="1">
        <f t="shared" si="4"/>
        <v>297</v>
      </c>
      <c r="K23" s="1">
        <f t="shared" si="1"/>
        <v>19.2</v>
      </c>
      <c r="L23" s="1">
        <v>0.3</v>
      </c>
      <c r="M23" s="1">
        <f t="shared" si="2"/>
        <v>0.27007461695743307</v>
      </c>
    </row>
    <row r="24" spans="1:23" x14ac:dyDescent="0.2">
      <c r="A24" s="1">
        <v>2</v>
      </c>
      <c r="C24" t="str">
        <f t="shared" si="3"/>
        <v>C0101</v>
      </c>
      <c r="D24" t="s">
        <v>504</v>
      </c>
      <c r="F24">
        <v>50</v>
      </c>
      <c r="G24">
        <v>118.3</v>
      </c>
      <c r="H24">
        <v>82.5</v>
      </c>
      <c r="I24" s="1">
        <f xml:space="preserve"> (H24 / G24)*5 +F24</f>
        <v>53.486897717666949</v>
      </c>
      <c r="J24" s="1">
        <f t="shared" si="4"/>
        <v>258.51310228233308</v>
      </c>
      <c r="K24" s="1">
        <f t="shared" si="1"/>
        <v>38.39</v>
      </c>
      <c r="L24" s="1">
        <v>0.15</v>
      </c>
      <c r="M24" s="1">
        <f t="shared" si="2"/>
        <v>0.1177437993541843</v>
      </c>
    </row>
    <row r="25" spans="1:23" x14ac:dyDescent="0.2">
      <c r="A25" s="1">
        <v>2</v>
      </c>
      <c r="C25" t="str">
        <f t="shared" si="3"/>
        <v>C0103</v>
      </c>
      <c r="D25" t="s">
        <v>505</v>
      </c>
      <c r="I25">
        <v>16</v>
      </c>
      <c r="J25" s="1">
        <f t="shared" si="4"/>
        <v>296</v>
      </c>
      <c r="K25" s="1">
        <f t="shared" si="1"/>
        <v>19.2</v>
      </c>
      <c r="L25" s="1">
        <v>0.3</v>
      </c>
      <c r="M25" s="1">
        <f t="shared" si="2"/>
        <v>0.26916590868943718</v>
      </c>
    </row>
    <row r="26" spans="1:23" x14ac:dyDescent="0.2">
      <c r="A26" s="1">
        <v>2</v>
      </c>
      <c r="B26" s="1"/>
      <c r="C26" t="str">
        <f t="shared" si="3"/>
        <v>C0056</v>
      </c>
      <c r="D26" s="1" t="s">
        <v>443</v>
      </c>
      <c r="E26" s="1"/>
      <c r="F26" s="1"/>
      <c r="G26" s="1"/>
      <c r="H26" s="1"/>
      <c r="I26" s="1">
        <v>2.5</v>
      </c>
      <c r="J26" s="1">
        <f xml:space="preserve"> 312 - I26</f>
        <v>309.5</v>
      </c>
      <c r="K26" s="1">
        <f t="shared" si="1"/>
        <v>115.17</v>
      </c>
      <c r="L26" s="1">
        <v>0.05</v>
      </c>
      <c r="M26" s="1">
        <f t="shared" si="2"/>
        <v>4.7439101129823226E-2</v>
      </c>
      <c r="O26" s="30"/>
    </row>
    <row r="30" spans="1:23" x14ac:dyDescent="0.2">
      <c r="P30" s="1" t="s">
        <v>330</v>
      </c>
      <c r="Q30" s="1" t="s">
        <v>763</v>
      </c>
      <c r="R30" s="1" t="s">
        <v>332</v>
      </c>
      <c r="S30" s="1" t="s">
        <v>760</v>
      </c>
      <c r="T30" s="1" t="s">
        <v>323</v>
      </c>
      <c r="U30" s="1" t="s">
        <v>324</v>
      </c>
      <c r="V30" s="1" t="s">
        <v>404</v>
      </c>
      <c r="W30" s="1" t="s">
        <v>331</v>
      </c>
    </row>
    <row r="31" spans="1:23" x14ac:dyDescent="0.2">
      <c r="P31" s="1">
        <v>0.05</v>
      </c>
      <c r="Q31" s="1">
        <v>115.17</v>
      </c>
      <c r="R31" s="1">
        <v>2.1707000000000001</v>
      </c>
      <c r="S31" s="1">
        <v>312</v>
      </c>
      <c r="T31" s="1">
        <v>25</v>
      </c>
      <c r="U31" s="1">
        <v>315</v>
      </c>
      <c r="V31" s="1">
        <v>18</v>
      </c>
      <c r="W31" s="1" t="s">
        <v>335</v>
      </c>
    </row>
    <row r="32" spans="1:23" x14ac:dyDescent="0.2">
      <c r="P32" s="1">
        <v>0.1</v>
      </c>
      <c r="Q32" s="1">
        <v>57.59</v>
      </c>
      <c r="R32" s="1">
        <v>4.3413899999999996</v>
      </c>
      <c r="S32" s="1"/>
      <c r="T32" s="1"/>
      <c r="U32" s="1"/>
      <c r="V32" s="1"/>
      <c r="W32" s="1"/>
    </row>
    <row r="33" spans="16:23" x14ac:dyDescent="0.2">
      <c r="P33" s="1">
        <v>0.15</v>
      </c>
      <c r="Q33" s="1">
        <v>38.39</v>
      </c>
      <c r="R33" s="1">
        <v>6.5120899999999997</v>
      </c>
      <c r="S33" s="1"/>
      <c r="T33" s="1"/>
      <c r="U33" s="1"/>
      <c r="V33" s="1"/>
      <c r="W33" s="1"/>
    </row>
    <row r="34" spans="16:23" x14ac:dyDescent="0.2">
      <c r="P34" s="1">
        <v>0.2</v>
      </c>
      <c r="Q34" s="1">
        <v>28.79</v>
      </c>
      <c r="R34" s="1">
        <v>8.6827900000000007</v>
      </c>
      <c r="S34" s="1"/>
      <c r="T34" s="1"/>
      <c r="U34" s="1"/>
      <c r="V34" s="1"/>
      <c r="W34" s="1"/>
    </row>
    <row r="35" spans="16:23" x14ac:dyDescent="0.2">
      <c r="P35" s="1">
        <v>0.25</v>
      </c>
      <c r="Q35" s="1">
        <v>23.03</v>
      </c>
    </row>
    <row r="36" spans="16:23" x14ac:dyDescent="0.2">
      <c r="P36" s="1">
        <v>0.3</v>
      </c>
      <c r="Q36" s="1">
        <v>19.2</v>
      </c>
    </row>
  </sheetData>
  <customSheetViews>
    <customSheetView guid="{8A75D892-44B4-104C-BB94-8EB0D0E43396}">
      <selection activeCell="E12" sqref="E12"/>
      <pageMargins left="0.7" right="0.7" top="0.75" bottom="0.75" header="0.3" footer="0.3"/>
    </customSheetView>
  </customSheetView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533C0-031E-5044-81C9-8C0A17420ED1}">
  <dimension ref="A1:S80"/>
  <sheetViews>
    <sheetView workbookViewId="0">
      <pane ySplit="1" topLeftCell="A2" activePane="bottomLeft" state="frozen"/>
      <selection pane="bottomLeft" activeCell="G73" sqref="G73"/>
    </sheetView>
  </sheetViews>
  <sheetFormatPr baseColWidth="10" defaultRowHeight="16" x14ac:dyDescent="0.2"/>
  <cols>
    <col min="1" max="4" width="10.83203125" style="1"/>
    <col min="5" max="5" width="13.33203125" style="1" customWidth="1"/>
    <col min="6" max="6" width="11.83203125" style="1" bestFit="1" customWidth="1"/>
    <col min="7" max="10" width="20.1640625" style="1" customWidth="1"/>
    <col min="11" max="11" width="28.1640625" style="1" customWidth="1"/>
    <col min="12" max="12" width="18.33203125" style="1" customWidth="1"/>
    <col min="13" max="13" width="19.33203125" style="1" customWidth="1"/>
    <col min="14" max="16384" width="10.83203125" style="1"/>
  </cols>
  <sheetData>
    <row r="1" spans="1:19" x14ac:dyDescent="0.2">
      <c r="A1" s="1" t="s">
        <v>62</v>
      </c>
      <c r="B1" s="1" t="s">
        <v>1</v>
      </c>
      <c r="C1" s="1" t="s">
        <v>10</v>
      </c>
      <c r="D1" s="1" t="s">
        <v>256</v>
      </c>
      <c r="E1" s="1" t="s">
        <v>30</v>
      </c>
      <c r="F1" s="1" t="s">
        <v>5</v>
      </c>
      <c r="G1" s="1" t="s">
        <v>3</v>
      </c>
      <c r="H1" s="1" t="s">
        <v>401</v>
      </c>
      <c r="I1" s="1" t="s">
        <v>365</v>
      </c>
      <c r="J1" s="1" t="s">
        <v>427</v>
      </c>
      <c r="K1" s="1" t="s">
        <v>255</v>
      </c>
      <c r="L1" s="1" t="s">
        <v>6</v>
      </c>
      <c r="M1" s="1" t="s">
        <v>63</v>
      </c>
      <c r="N1" s="1" t="s">
        <v>152</v>
      </c>
      <c r="O1" s="1" t="s">
        <v>326</v>
      </c>
      <c r="P1" s="1" t="s">
        <v>15</v>
      </c>
      <c r="S1" s="1" t="s">
        <v>91</v>
      </c>
    </row>
    <row r="2" spans="1:19" x14ac:dyDescent="0.2">
      <c r="A2" s="1">
        <v>2</v>
      </c>
      <c r="B2" s="1">
        <v>2.6</v>
      </c>
      <c r="C2" s="1">
        <v>1</v>
      </c>
      <c r="D2" s="1" t="s">
        <v>38</v>
      </c>
      <c r="E2" s="4">
        <v>45352</v>
      </c>
      <c r="F2" s="3">
        <v>0.78471064814814817</v>
      </c>
      <c r="G2" s="1">
        <v>1.7569999999999999E-2</v>
      </c>
      <c r="K2" s="1" t="s">
        <v>72</v>
      </c>
      <c r="L2" s="3">
        <v>0.75744212962962953</v>
      </c>
      <c r="M2" s="3">
        <f>F2 - L2</f>
        <v>2.7268518518518636E-2</v>
      </c>
    </row>
    <row r="3" spans="1:19" x14ac:dyDescent="0.2">
      <c r="A3" s="1">
        <v>2</v>
      </c>
      <c r="B3" s="1">
        <v>2.6</v>
      </c>
      <c r="C3" s="1">
        <v>1</v>
      </c>
      <c r="D3" s="1" t="s">
        <v>21</v>
      </c>
      <c r="E3" s="4">
        <v>45352</v>
      </c>
      <c r="F3" s="3" t="s">
        <v>21</v>
      </c>
      <c r="G3" s="1" t="s">
        <v>21</v>
      </c>
      <c r="K3" s="1" t="s">
        <v>64</v>
      </c>
      <c r="L3" s="3">
        <v>0.22700231481481481</v>
      </c>
      <c r="M3" s="3"/>
    </row>
    <row r="4" spans="1:19" x14ac:dyDescent="0.2">
      <c r="A4" s="1">
        <v>2</v>
      </c>
      <c r="B4" s="1">
        <v>2.6</v>
      </c>
      <c r="C4" s="1">
        <v>1</v>
      </c>
      <c r="D4" s="1" t="s">
        <v>103</v>
      </c>
      <c r="E4" s="4">
        <v>45353</v>
      </c>
      <c r="F4" s="1" t="s">
        <v>21</v>
      </c>
      <c r="G4" s="1" t="s">
        <v>21</v>
      </c>
      <c r="K4" s="4" t="s">
        <v>71</v>
      </c>
      <c r="L4" s="3">
        <v>0.22784722222222223</v>
      </c>
      <c r="M4" s="1" t="s">
        <v>21</v>
      </c>
      <c r="N4" s="1" t="s">
        <v>21</v>
      </c>
      <c r="P4" s="1" t="s">
        <v>70</v>
      </c>
    </row>
    <row r="5" spans="1:19" x14ac:dyDescent="0.2">
      <c r="A5" s="1">
        <v>2</v>
      </c>
      <c r="B5" s="1">
        <v>2.6</v>
      </c>
      <c r="C5" s="1">
        <v>1</v>
      </c>
      <c r="D5" s="1" t="s">
        <v>54</v>
      </c>
      <c r="E5" s="4">
        <v>45353</v>
      </c>
      <c r="F5" s="1" t="s">
        <v>21</v>
      </c>
      <c r="G5" s="1" t="s">
        <v>21</v>
      </c>
      <c r="K5" s="1" t="s">
        <v>78</v>
      </c>
      <c r="L5" s="3">
        <v>0.76015046296296296</v>
      </c>
      <c r="M5" s="1" t="s">
        <v>21</v>
      </c>
      <c r="P5" s="1" t="s">
        <v>357</v>
      </c>
    </row>
    <row r="6" spans="1:19" x14ac:dyDescent="0.2">
      <c r="A6" s="1">
        <v>2</v>
      </c>
      <c r="B6" s="1">
        <v>2.6</v>
      </c>
      <c r="C6" s="1">
        <v>1</v>
      </c>
      <c r="D6" s="1" t="s">
        <v>56</v>
      </c>
      <c r="E6" s="4">
        <v>45354</v>
      </c>
      <c r="F6" s="1" t="s">
        <v>21</v>
      </c>
      <c r="G6" s="1" t="s">
        <v>21</v>
      </c>
      <c r="K6" s="1" t="s">
        <v>79</v>
      </c>
      <c r="L6" s="3">
        <v>0.23024305555555555</v>
      </c>
      <c r="M6" s="1" t="s">
        <v>21</v>
      </c>
      <c r="N6" s="1" t="s">
        <v>21</v>
      </c>
      <c r="P6" s="1" t="s">
        <v>360</v>
      </c>
    </row>
    <row r="7" spans="1:19" x14ac:dyDescent="0.2">
      <c r="A7" s="1">
        <v>2</v>
      </c>
      <c r="B7" s="1">
        <v>2.6</v>
      </c>
      <c r="C7" s="1">
        <v>1</v>
      </c>
      <c r="D7" s="1" t="s">
        <v>21</v>
      </c>
      <c r="E7" s="4">
        <v>45354</v>
      </c>
      <c r="F7" s="1" t="s">
        <v>21</v>
      </c>
      <c r="G7" s="1" t="s">
        <v>21</v>
      </c>
      <c r="K7" s="1" t="s">
        <v>83</v>
      </c>
      <c r="L7" s="3">
        <v>0.7471875</v>
      </c>
      <c r="M7" s="1" t="s">
        <v>21</v>
      </c>
      <c r="P7" s="1" t="s">
        <v>359</v>
      </c>
    </row>
    <row r="8" spans="1:19" x14ac:dyDescent="0.2">
      <c r="A8" s="1">
        <v>2</v>
      </c>
      <c r="B8" s="1">
        <v>2.6</v>
      </c>
      <c r="C8" s="1">
        <v>1</v>
      </c>
      <c r="D8" s="1" t="s">
        <v>69</v>
      </c>
      <c r="E8" s="4">
        <v>45355</v>
      </c>
      <c r="F8" s="3">
        <v>0.2673726851851852</v>
      </c>
      <c r="G8" s="1">
        <v>0.54100000000000004</v>
      </c>
      <c r="K8" s="1" t="s">
        <v>84</v>
      </c>
      <c r="L8" s="3">
        <v>0.23173611111111111</v>
      </c>
      <c r="M8" s="3">
        <f>F8 - L8</f>
        <v>3.5636574074074084E-2</v>
      </c>
    </row>
    <row r="9" spans="1:19" x14ac:dyDescent="0.2">
      <c r="A9" s="1">
        <v>2</v>
      </c>
      <c r="B9" s="1">
        <v>2.6</v>
      </c>
      <c r="C9" s="1">
        <v>1</v>
      </c>
      <c r="D9" s="1" t="s">
        <v>74</v>
      </c>
      <c r="E9" s="4">
        <v>45355</v>
      </c>
      <c r="F9" s="3">
        <v>0.78221064814814811</v>
      </c>
      <c r="G9" s="1">
        <v>5.7799999999999997E-2</v>
      </c>
      <c r="K9" s="1" t="s">
        <v>88</v>
      </c>
      <c r="L9" s="3">
        <v>0.75074074074074071</v>
      </c>
      <c r="M9" s="3">
        <f>F9 - L9</f>
        <v>3.1469907407407405E-2</v>
      </c>
    </row>
    <row r="10" spans="1:19" x14ac:dyDescent="0.2">
      <c r="A10" s="1">
        <v>2</v>
      </c>
      <c r="B10" s="1">
        <v>2.6</v>
      </c>
      <c r="C10" s="1">
        <v>1</v>
      </c>
      <c r="D10" s="1" t="s">
        <v>85</v>
      </c>
      <c r="E10" s="4">
        <v>45356</v>
      </c>
      <c r="F10" s="3">
        <v>0.27211805555555557</v>
      </c>
      <c r="G10" s="1">
        <v>1.9450000000000001</v>
      </c>
      <c r="K10" s="1" t="s">
        <v>94</v>
      </c>
      <c r="L10" s="3">
        <v>0.23202546296296298</v>
      </c>
      <c r="M10" s="3">
        <f>F10 - L10</f>
        <v>4.0092592592592596E-2</v>
      </c>
    </row>
    <row r="11" spans="1:19" x14ac:dyDescent="0.2">
      <c r="A11" s="1">
        <v>2</v>
      </c>
      <c r="B11" s="1">
        <v>2.6</v>
      </c>
      <c r="C11" s="1">
        <v>1</v>
      </c>
      <c r="D11" s="1" t="s">
        <v>101</v>
      </c>
      <c r="E11" s="4">
        <v>45356</v>
      </c>
      <c r="F11" s="3">
        <v>0.77976851851851858</v>
      </c>
      <c r="G11" s="1">
        <v>0.15620000000000001</v>
      </c>
      <c r="K11" s="1" t="s">
        <v>100</v>
      </c>
      <c r="L11" s="3">
        <v>0.76247685185185177</v>
      </c>
      <c r="M11" s="3">
        <f>F11 - L11</f>
        <v>1.7291666666666816E-2</v>
      </c>
    </row>
    <row r="12" spans="1:19" x14ac:dyDescent="0.2">
      <c r="A12" s="1">
        <v>2</v>
      </c>
      <c r="B12" s="1">
        <v>2.6</v>
      </c>
      <c r="C12" s="1">
        <v>1</v>
      </c>
      <c r="D12" s="1" t="s">
        <v>96</v>
      </c>
      <c r="E12" s="4">
        <v>45357</v>
      </c>
      <c r="F12" s="1" t="s">
        <v>21</v>
      </c>
      <c r="G12" s="1">
        <v>0.14530000000000001</v>
      </c>
      <c r="K12" s="1" t="s">
        <v>21</v>
      </c>
      <c r="L12" s="1" t="s">
        <v>21</v>
      </c>
      <c r="M12" s="1" t="s">
        <v>21</v>
      </c>
      <c r="P12" s="1" t="s">
        <v>99</v>
      </c>
    </row>
    <row r="13" spans="1:19" x14ac:dyDescent="0.2">
      <c r="A13" s="1">
        <v>2</v>
      </c>
      <c r="B13" s="1">
        <v>2.6</v>
      </c>
      <c r="C13" s="1" t="s">
        <v>21</v>
      </c>
      <c r="D13" s="1" t="s">
        <v>108</v>
      </c>
      <c r="E13" s="4">
        <v>45357</v>
      </c>
      <c r="F13" s="1" t="s">
        <v>21</v>
      </c>
      <c r="G13" s="1" t="s">
        <v>21</v>
      </c>
      <c r="K13" s="1" t="s">
        <v>111</v>
      </c>
      <c r="L13" s="3">
        <v>0.74782407407407403</v>
      </c>
      <c r="M13" s="1" t="s">
        <v>21</v>
      </c>
      <c r="N13" s="1" t="s">
        <v>21</v>
      </c>
      <c r="P13" s="1" t="s">
        <v>77</v>
      </c>
    </row>
    <row r="14" spans="1:19" x14ac:dyDescent="0.2">
      <c r="A14" s="1">
        <v>2</v>
      </c>
      <c r="B14" s="1">
        <v>2.6</v>
      </c>
      <c r="C14" s="1">
        <v>1</v>
      </c>
      <c r="D14" s="1" t="s">
        <v>81</v>
      </c>
      <c r="E14" s="4">
        <v>45358</v>
      </c>
      <c r="F14" s="3">
        <v>0.26952546296296298</v>
      </c>
      <c r="G14" s="1">
        <v>1.389</v>
      </c>
      <c r="K14" s="1" t="s">
        <v>110</v>
      </c>
      <c r="L14" s="3">
        <v>0.23011574074074073</v>
      </c>
      <c r="M14" s="3">
        <f t="shared" ref="M14:M34" si="0">F14 - L14</f>
        <v>3.9409722222222249E-2</v>
      </c>
    </row>
    <row r="15" spans="1:19" x14ac:dyDescent="0.2">
      <c r="A15" s="1">
        <v>2</v>
      </c>
      <c r="B15" s="1">
        <v>2.6</v>
      </c>
      <c r="C15" s="1">
        <v>1</v>
      </c>
      <c r="D15" s="1" t="s">
        <v>92</v>
      </c>
      <c r="E15" s="4">
        <v>45358</v>
      </c>
      <c r="F15" s="3">
        <v>0.78515046296296309</v>
      </c>
      <c r="G15" s="1">
        <v>1.7930000000000001E-2</v>
      </c>
      <c r="K15" s="1" t="s">
        <v>117</v>
      </c>
      <c r="L15" s="3">
        <v>0.75884259259259268</v>
      </c>
      <c r="M15" s="3">
        <f t="shared" si="0"/>
        <v>2.6307870370370412E-2</v>
      </c>
    </row>
    <row r="16" spans="1:19" x14ac:dyDescent="0.2">
      <c r="A16" s="1">
        <v>2</v>
      </c>
      <c r="B16" s="1">
        <v>2.6</v>
      </c>
      <c r="C16" s="1">
        <v>1</v>
      </c>
      <c r="D16" s="1" t="s">
        <v>95</v>
      </c>
      <c r="E16" s="4">
        <v>45359</v>
      </c>
      <c r="F16" s="3">
        <v>0.27240740740740743</v>
      </c>
      <c r="G16" s="1">
        <v>2.5299999999999998</v>
      </c>
      <c r="K16" s="1" t="s">
        <v>118</v>
      </c>
      <c r="L16" s="3">
        <v>0.23064814814814816</v>
      </c>
      <c r="M16" s="3">
        <f t="shared" si="0"/>
        <v>4.1759259259259274E-2</v>
      </c>
      <c r="P16" s="1" t="s">
        <v>119</v>
      </c>
    </row>
    <row r="17" spans="1:19" x14ac:dyDescent="0.2">
      <c r="A17" s="1">
        <v>2</v>
      </c>
      <c r="B17" s="1">
        <v>2.6</v>
      </c>
      <c r="C17" s="1">
        <v>1</v>
      </c>
      <c r="D17" s="1" t="s">
        <v>106</v>
      </c>
      <c r="E17" s="4">
        <v>45359</v>
      </c>
      <c r="F17" s="3">
        <v>0.78239583333333329</v>
      </c>
      <c r="G17" s="1">
        <v>4.7600000000000003E-2</v>
      </c>
      <c r="K17" s="1" t="s">
        <v>168</v>
      </c>
      <c r="L17" s="3">
        <v>0.73781249999999998</v>
      </c>
      <c r="M17" s="3">
        <f t="shared" si="0"/>
        <v>4.4583333333333308E-2</v>
      </c>
      <c r="N17" s="1" t="s">
        <v>21</v>
      </c>
      <c r="P17" s="1" t="s">
        <v>169</v>
      </c>
    </row>
    <row r="18" spans="1:19" x14ac:dyDescent="0.2">
      <c r="A18" s="1">
        <v>2</v>
      </c>
      <c r="B18" s="1">
        <v>2.6</v>
      </c>
      <c r="C18" s="1">
        <v>1</v>
      </c>
      <c r="D18" s="1" t="s">
        <v>105</v>
      </c>
      <c r="E18" s="4">
        <v>45362</v>
      </c>
      <c r="F18" s="3">
        <v>0.27355324074074072</v>
      </c>
      <c r="G18" s="1">
        <v>1.2969999999999999</v>
      </c>
      <c r="K18" s="1" t="s">
        <v>170</v>
      </c>
      <c r="L18" s="3">
        <v>0.22348379629629631</v>
      </c>
      <c r="M18" s="3">
        <f t="shared" si="0"/>
        <v>5.0069444444444416E-2</v>
      </c>
      <c r="N18" s="1" t="s">
        <v>21</v>
      </c>
      <c r="P18" s="1" t="s">
        <v>169</v>
      </c>
    </row>
    <row r="19" spans="1:19" s="7" customFormat="1" x14ac:dyDescent="0.2">
      <c r="A19" s="1">
        <v>2</v>
      </c>
      <c r="B19" s="1">
        <v>2.6</v>
      </c>
      <c r="C19" s="1">
        <v>1</v>
      </c>
      <c r="D19" s="1" t="s">
        <v>123</v>
      </c>
      <c r="E19" s="4">
        <v>45362</v>
      </c>
      <c r="F19" s="3">
        <v>0.77763888888888888</v>
      </c>
      <c r="G19" s="1">
        <v>0.1764</v>
      </c>
      <c r="H19" s="1"/>
      <c r="I19" s="1"/>
      <c r="J19" s="1"/>
      <c r="K19" s="1" t="s">
        <v>154</v>
      </c>
      <c r="L19" s="3">
        <v>0.75906249999999997</v>
      </c>
      <c r="M19" s="3">
        <f t="shared" si="0"/>
        <v>1.8576388888888906E-2</v>
      </c>
      <c r="N19" s="3">
        <v>1.9502314814814816E-2</v>
      </c>
      <c r="O19" s="3"/>
      <c r="P19" s="1" t="s">
        <v>362</v>
      </c>
      <c r="Q19" s="1"/>
      <c r="R19" s="1"/>
      <c r="S19" s="1"/>
    </row>
    <row r="20" spans="1:19" x14ac:dyDescent="0.2">
      <c r="A20" s="1">
        <v>2</v>
      </c>
      <c r="B20" s="1">
        <v>2.6</v>
      </c>
      <c r="C20" s="1">
        <v>1</v>
      </c>
      <c r="D20" s="1" t="s">
        <v>122</v>
      </c>
      <c r="E20" s="4">
        <v>45363</v>
      </c>
      <c r="F20" s="3">
        <v>0.26667824074074076</v>
      </c>
      <c r="G20" s="1">
        <v>0.64600000000000002</v>
      </c>
      <c r="K20" s="1" t="s">
        <v>151</v>
      </c>
      <c r="L20" s="3">
        <v>0.22644675925925925</v>
      </c>
      <c r="M20" s="3">
        <f t="shared" si="0"/>
        <v>4.0231481481481507E-2</v>
      </c>
      <c r="N20" s="3">
        <v>4.0254629629629626E-2</v>
      </c>
      <c r="O20" s="3"/>
    </row>
    <row r="21" spans="1:19" x14ac:dyDescent="0.2">
      <c r="A21" s="1">
        <v>2</v>
      </c>
      <c r="B21" s="1">
        <v>2.6</v>
      </c>
      <c r="C21" s="1">
        <v>1</v>
      </c>
      <c r="D21" s="1" t="s">
        <v>113</v>
      </c>
      <c r="E21" s="4">
        <v>45363</v>
      </c>
      <c r="F21" s="3">
        <v>0.77273148148148152</v>
      </c>
      <c r="G21" s="1">
        <v>0.13969999999999999</v>
      </c>
      <c r="K21" s="1" t="s">
        <v>153</v>
      </c>
      <c r="L21" s="3">
        <v>0.75655092592592588</v>
      </c>
      <c r="M21" s="3">
        <f t="shared" si="0"/>
        <v>1.6180555555555642E-2</v>
      </c>
      <c r="N21" s="3">
        <v>1.6226851851851853E-2</v>
      </c>
      <c r="O21" s="3"/>
    </row>
    <row r="22" spans="1:19" x14ac:dyDescent="0.2">
      <c r="A22" s="1">
        <v>2</v>
      </c>
      <c r="B22" s="1">
        <v>2.6</v>
      </c>
      <c r="C22" s="1">
        <v>1</v>
      </c>
      <c r="D22" s="1" t="s">
        <v>144</v>
      </c>
      <c r="E22" s="4">
        <v>45364</v>
      </c>
      <c r="F22" s="3">
        <v>0.26287037037037037</v>
      </c>
      <c r="G22" s="1">
        <v>0.25600000000000001</v>
      </c>
      <c r="K22" s="1" t="s">
        <v>171</v>
      </c>
      <c r="L22" s="3">
        <v>0.2348611111111111</v>
      </c>
      <c r="M22" s="3">
        <f t="shared" si="0"/>
        <v>2.8009259259259262E-2</v>
      </c>
      <c r="N22" s="1" t="s">
        <v>21</v>
      </c>
      <c r="P22" s="1" t="s">
        <v>172</v>
      </c>
    </row>
    <row r="23" spans="1:19" x14ac:dyDescent="0.2">
      <c r="A23" s="1">
        <v>2</v>
      </c>
      <c r="B23" s="1">
        <v>2.6</v>
      </c>
      <c r="C23" s="1">
        <v>1</v>
      </c>
      <c r="D23" s="1" t="s">
        <v>136</v>
      </c>
      <c r="E23" s="4">
        <v>45364</v>
      </c>
      <c r="F23" s="3">
        <v>0.77724537037037034</v>
      </c>
      <c r="G23" s="1">
        <v>0.878</v>
      </c>
      <c r="K23" s="1" t="s">
        <v>173</v>
      </c>
      <c r="L23" s="3">
        <v>0.76083333333333336</v>
      </c>
      <c r="M23" s="3">
        <f t="shared" si="0"/>
        <v>1.6412037037036975E-2</v>
      </c>
      <c r="N23" s="3">
        <v>1.6331018518518519E-2</v>
      </c>
      <c r="O23" s="3"/>
    </row>
    <row r="24" spans="1:19" x14ac:dyDescent="0.2">
      <c r="A24" s="1">
        <v>2</v>
      </c>
      <c r="B24" s="1">
        <v>2.6</v>
      </c>
      <c r="C24" s="1">
        <v>1</v>
      </c>
      <c r="D24" s="1" t="s">
        <v>129</v>
      </c>
      <c r="E24" s="4">
        <v>45365</v>
      </c>
      <c r="F24" s="3">
        <v>0.26702546296296298</v>
      </c>
      <c r="G24" s="1">
        <v>1.6419999999999999</v>
      </c>
      <c r="K24" s="1" t="s">
        <v>175</v>
      </c>
      <c r="L24" s="3">
        <v>0.23493055555555556</v>
      </c>
      <c r="M24" s="3">
        <f t="shared" si="0"/>
        <v>3.2094907407407419E-2</v>
      </c>
      <c r="N24" s="1" t="s">
        <v>21</v>
      </c>
      <c r="P24" s="1" t="s">
        <v>169</v>
      </c>
    </row>
    <row r="25" spans="1:19" x14ac:dyDescent="0.2">
      <c r="A25" s="1">
        <v>2</v>
      </c>
      <c r="B25" s="1">
        <v>2.6</v>
      </c>
      <c r="C25" s="1">
        <v>1</v>
      </c>
      <c r="D25" s="1" t="s">
        <v>134</v>
      </c>
      <c r="E25" s="4">
        <v>45365</v>
      </c>
      <c r="F25" s="3">
        <v>0.78295138888888882</v>
      </c>
      <c r="G25" s="1">
        <v>1.8599999999999998E-2</v>
      </c>
      <c r="K25" s="1" t="s">
        <v>176</v>
      </c>
      <c r="L25" s="3">
        <v>0.75518518518518518</v>
      </c>
      <c r="M25" s="3">
        <f t="shared" si="0"/>
        <v>2.776620370370364E-2</v>
      </c>
      <c r="N25" s="3">
        <v>2.7662037037037037E-2</v>
      </c>
      <c r="O25" s="3"/>
    </row>
    <row r="26" spans="1:19" x14ac:dyDescent="0.2">
      <c r="A26" s="1">
        <v>2</v>
      </c>
      <c r="B26" s="1">
        <v>2.6</v>
      </c>
      <c r="C26" s="1">
        <v>1</v>
      </c>
      <c r="D26" s="1" t="s">
        <v>128</v>
      </c>
      <c r="E26" s="4">
        <v>45366</v>
      </c>
      <c r="F26" s="3">
        <v>0.26596064814814813</v>
      </c>
      <c r="G26" s="1">
        <v>0.74199999999999999</v>
      </c>
      <c r="K26" s="1" t="s">
        <v>177</v>
      </c>
      <c r="L26" s="3">
        <v>0.23423611111111112</v>
      </c>
      <c r="M26" s="3">
        <f t="shared" si="0"/>
        <v>3.1724537037037009E-2</v>
      </c>
      <c r="N26" s="3">
        <v>3.1585648148148147E-2</v>
      </c>
      <c r="O26" s="3"/>
    </row>
    <row r="27" spans="1:19" x14ac:dyDescent="0.2">
      <c r="A27" s="1">
        <v>2</v>
      </c>
      <c r="B27" s="1">
        <v>2.6</v>
      </c>
      <c r="C27" s="1">
        <v>1</v>
      </c>
      <c r="D27" s="1" t="s">
        <v>126</v>
      </c>
      <c r="E27" s="4">
        <v>45366</v>
      </c>
      <c r="F27" s="3">
        <v>0.78123842592592596</v>
      </c>
      <c r="G27" s="1">
        <v>3.56E-2</v>
      </c>
      <c r="K27" s="1" t="s">
        <v>178</v>
      </c>
      <c r="L27" s="3">
        <v>0.75768518518518524</v>
      </c>
      <c r="M27" s="3">
        <f t="shared" si="0"/>
        <v>2.3553240740740722E-2</v>
      </c>
      <c r="N27" s="3">
        <v>2.3506944444444445E-2</v>
      </c>
      <c r="O27" s="3"/>
    </row>
    <row r="28" spans="1:19" x14ac:dyDescent="0.2">
      <c r="A28" s="1">
        <v>2</v>
      </c>
      <c r="B28" s="1">
        <v>2.6</v>
      </c>
      <c r="C28" s="1">
        <v>1</v>
      </c>
      <c r="D28" s="1" t="s">
        <v>144</v>
      </c>
      <c r="E28" s="4">
        <v>45367</v>
      </c>
      <c r="F28" s="3">
        <v>0.26401620370370371</v>
      </c>
      <c r="G28" s="1">
        <v>0.54100000000000004</v>
      </c>
      <c r="K28" s="1" t="s">
        <v>179</v>
      </c>
      <c r="L28" s="3">
        <v>0.2401851851851852</v>
      </c>
      <c r="M28" s="3">
        <f t="shared" si="0"/>
        <v>2.3831018518518515E-2</v>
      </c>
      <c r="N28" s="3">
        <v>2.3692129629629629E-2</v>
      </c>
      <c r="O28" s="3"/>
    </row>
    <row r="29" spans="1:19" x14ac:dyDescent="0.2">
      <c r="A29" s="1">
        <v>2</v>
      </c>
      <c r="B29" s="1">
        <v>2.6</v>
      </c>
      <c r="C29" s="1">
        <v>1</v>
      </c>
      <c r="D29" s="1" t="s">
        <v>141</v>
      </c>
      <c r="E29" s="4">
        <v>45367</v>
      </c>
      <c r="F29" s="3">
        <v>0.78548611111111111</v>
      </c>
      <c r="G29" s="1">
        <v>7.1599999999999997E-3</v>
      </c>
      <c r="K29" s="1" t="s">
        <v>180</v>
      </c>
      <c r="L29" s="3">
        <v>0.75130787037037039</v>
      </c>
      <c r="M29" s="3">
        <f t="shared" si="0"/>
        <v>3.4178240740740717E-2</v>
      </c>
      <c r="N29" s="3">
        <v>3.4201388888888892E-2</v>
      </c>
      <c r="O29" s="3"/>
    </row>
    <row r="30" spans="1:19" x14ac:dyDescent="0.2">
      <c r="A30" s="1">
        <v>2</v>
      </c>
      <c r="B30" s="1">
        <v>2.6</v>
      </c>
      <c r="C30" s="1">
        <v>1</v>
      </c>
      <c r="D30" s="1" t="s">
        <v>139</v>
      </c>
      <c r="E30" s="4">
        <v>45368</v>
      </c>
      <c r="F30" s="3">
        <v>0.2610763888888889</v>
      </c>
      <c r="G30" s="1">
        <v>0.373</v>
      </c>
      <c r="K30" s="1" t="s">
        <v>181</v>
      </c>
      <c r="L30" s="3">
        <v>0.23671296296296296</v>
      </c>
      <c r="M30" s="3">
        <f t="shared" si="0"/>
        <v>2.4363425925925941E-2</v>
      </c>
      <c r="N30" s="12">
        <v>2.5046296296296296E-2</v>
      </c>
      <c r="O30" s="12"/>
      <c r="P30" s="1" t="s">
        <v>169</v>
      </c>
    </row>
    <row r="31" spans="1:19" x14ac:dyDescent="0.2">
      <c r="A31" s="1">
        <v>2</v>
      </c>
      <c r="B31" s="1">
        <v>2.6</v>
      </c>
      <c r="C31" s="1">
        <v>2</v>
      </c>
      <c r="D31" s="1" t="s">
        <v>139</v>
      </c>
      <c r="E31" s="4">
        <v>45368</v>
      </c>
      <c r="F31" s="3">
        <v>0.26609953703703704</v>
      </c>
      <c r="G31" s="1">
        <v>1.1180000000000001</v>
      </c>
      <c r="K31" s="1" t="s">
        <v>181</v>
      </c>
      <c r="L31" s="3">
        <v>0.23671296296296296</v>
      </c>
      <c r="M31" s="3">
        <f t="shared" si="0"/>
        <v>2.9386574074074079E-2</v>
      </c>
      <c r="P31" s="1" t="s">
        <v>169</v>
      </c>
    </row>
    <row r="32" spans="1:19" x14ac:dyDescent="0.2">
      <c r="A32" s="1">
        <v>2</v>
      </c>
      <c r="B32" s="1">
        <v>2.6</v>
      </c>
      <c r="C32" s="1">
        <v>2</v>
      </c>
      <c r="D32" s="1" t="s">
        <v>145</v>
      </c>
      <c r="E32" s="4">
        <v>45368</v>
      </c>
      <c r="F32" s="3">
        <v>0.78359953703703711</v>
      </c>
      <c r="G32" s="1">
        <v>1.208E-2</v>
      </c>
      <c r="K32" s="1" t="s">
        <v>191</v>
      </c>
      <c r="L32" s="3">
        <v>0.75736111111111115</v>
      </c>
      <c r="M32" s="3">
        <f t="shared" si="0"/>
        <v>2.6238425925925957E-2</v>
      </c>
      <c r="N32" s="3">
        <v>2.5833333333333333E-2</v>
      </c>
      <c r="O32" s="3"/>
    </row>
    <row r="33" spans="1:16" x14ac:dyDescent="0.2">
      <c r="A33" s="1">
        <v>2</v>
      </c>
      <c r="B33" s="1">
        <v>2.6</v>
      </c>
      <c r="C33" s="1">
        <v>1</v>
      </c>
      <c r="D33" s="1" t="s">
        <v>145</v>
      </c>
      <c r="E33" s="4">
        <v>45368</v>
      </c>
      <c r="F33" s="3">
        <v>0.77284722222222224</v>
      </c>
      <c r="G33" s="1">
        <v>0.57099999999999995</v>
      </c>
      <c r="K33" s="1" t="s">
        <v>191</v>
      </c>
      <c r="L33" s="3">
        <v>0.75736111111111115</v>
      </c>
      <c r="M33" s="3">
        <f t="shared" si="0"/>
        <v>1.5486111111111089E-2</v>
      </c>
      <c r="N33" s="3">
        <v>1.5069444444444444E-2</v>
      </c>
      <c r="O33" s="3"/>
      <c r="P33" s="1" t="s">
        <v>192</v>
      </c>
    </row>
    <row r="34" spans="1:16" x14ac:dyDescent="0.2">
      <c r="A34" s="1">
        <v>2</v>
      </c>
      <c r="B34" s="1">
        <v>2.6</v>
      </c>
      <c r="C34" s="1">
        <v>1</v>
      </c>
      <c r="D34" s="1" t="s">
        <v>150</v>
      </c>
      <c r="E34" s="4">
        <v>45369</v>
      </c>
      <c r="F34" s="3">
        <v>0.25927083333333334</v>
      </c>
      <c r="G34" s="1">
        <v>8.8200000000000001E-2</v>
      </c>
      <c r="K34" s="1" t="s">
        <v>193</v>
      </c>
      <c r="L34" s="3">
        <v>0.2326388888888889</v>
      </c>
      <c r="M34" s="3">
        <f t="shared" si="0"/>
        <v>2.6631944444444444E-2</v>
      </c>
      <c r="N34" s="3">
        <v>2.6412037037037036E-2</v>
      </c>
      <c r="O34" s="3"/>
    </row>
    <row r="35" spans="1:16" x14ac:dyDescent="0.2">
      <c r="A35" s="1">
        <v>2</v>
      </c>
      <c r="B35" s="1">
        <v>2.6</v>
      </c>
      <c r="C35" s="1" t="s">
        <v>21</v>
      </c>
      <c r="D35" s="1" t="s">
        <v>165</v>
      </c>
      <c r="E35" s="4">
        <v>45369</v>
      </c>
      <c r="F35" s="1" t="s">
        <v>21</v>
      </c>
      <c r="G35" s="1" t="s">
        <v>21</v>
      </c>
      <c r="K35" s="1" t="s">
        <v>195</v>
      </c>
      <c r="L35" s="3">
        <v>0.75791666666666668</v>
      </c>
      <c r="M35" s="1" t="s">
        <v>21</v>
      </c>
      <c r="P35" s="1" t="s">
        <v>166</v>
      </c>
    </row>
    <row r="36" spans="1:16" x14ac:dyDescent="0.2">
      <c r="A36" s="1">
        <v>2</v>
      </c>
      <c r="B36" s="1">
        <v>2.6</v>
      </c>
      <c r="C36" s="1">
        <v>1</v>
      </c>
      <c r="D36" s="1" t="s">
        <v>155</v>
      </c>
      <c r="E36" s="4">
        <v>45370</v>
      </c>
      <c r="F36" s="3">
        <v>0.2697222222222222</v>
      </c>
      <c r="G36" s="1">
        <v>1.069</v>
      </c>
      <c r="K36" s="1" t="s">
        <v>198</v>
      </c>
      <c r="L36" s="3">
        <v>0.26671296296296299</v>
      </c>
      <c r="M36" s="3">
        <f>F36 - L36</f>
        <v>3.0092592592592116E-3</v>
      </c>
      <c r="N36" s="1" t="s">
        <v>21</v>
      </c>
      <c r="P36" s="1" t="s">
        <v>169</v>
      </c>
    </row>
    <row r="37" spans="1:16" x14ac:dyDescent="0.2">
      <c r="A37" s="1">
        <v>2</v>
      </c>
      <c r="B37" s="1">
        <v>2.6</v>
      </c>
      <c r="C37" s="1">
        <v>1</v>
      </c>
      <c r="D37" s="1" t="s">
        <v>161</v>
      </c>
      <c r="E37" s="4">
        <v>45370</v>
      </c>
      <c r="F37" s="3">
        <v>0.77118055555555554</v>
      </c>
      <c r="G37" s="1">
        <v>0.67900000000000005</v>
      </c>
      <c r="K37" s="1" t="s">
        <v>269</v>
      </c>
      <c r="L37" s="3">
        <v>0.75416666666666665</v>
      </c>
      <c r="M37" s="3">
        <f>F37 - L37</f>
        <v>1.7013888888888884E-2</v>
      </c>
      <c r="N37" s="3">
        <v>1.6863425925925928E-2</v>
      </c>
      <c r="O37" s="3"/>
    </row>
    <row r="38" spans="1:16" x14ac:dyDescent="0.2">
      <c r="A38" s="1">
        <v>2</v>
      </c>
      <c r="B38" s="1">
        <v>2.6</v>
      </c>
      <c r="C38" s="1">
        <v>2</v>
      </c>
      <c r="D38" s="1" t="s">
        <v>161</v>
      </c>
      <c r="E38" s="4">
        <v>45370</v>
      </c>
      <c r="F38" s="3">
        <v>0.78053240740740737</v>
      </c>
      <c r="G38" s="1">
        <v>4.8500000000000001E-2</v>
      </c>
      <c r="K38" s="1" t="s">
        <v>269</v>
      </c>
      <c r="L38" s="3">
        <v>0.75416666666666665</v>
      </c>
      <c r="M38" s="3">
        <f>F38 - L38</f>
        <v>2.6365740740740717E-2</v>
      </c>
      <c r="N38" s="3">
        <v>2.6226851851851852E-2</v>
      </c>
      <c r="O38" s="3"/>
    </row>
    <row r="39" spans="1:16" x14ac:dyDescent="0.2">
      <c r="A39" s="1">
        <v>2</v>
      </c>
      <c r="B39" s="1">
        <v>2.6</v>
      </c>
      <c r="C39" s="1" t="s">
        <v>21</v>
      </c>
      <c r="D39" s="1" t="s">
        <v>21</v>
      </c>
      <c r="E39" s="4">
        <v>45371</v>
      </c>
      <c r="F39" s="14" t="s">
        <v>21</v>
      </c>
      <c r="G39" s="1" t="s">
        <v>21</v>
      </c>
      <c r="K39" s="1" t="s">
        <v>21</v>
      </c>
      <c r="L39" s="1" t="s">
        <v>21</v>
      </c>
      <c r="M39" s="1" t="s">
        <v>21</v>
      </c>
      <c r="N39" s="1" t="s">
        <v>21</v>
      </c>
      <c r="P39" s="1" t="s">
        <v>194</v>
      </c>
    </row>
    <row r="40" spans="1:16" x14ac:dyDescent="0.2">
      <c r="A40" s="1">
        <v>2</v>
      </c>
      <c r="B40" s="1">
        <v>2.6</v>
      </c>
      <c r="C40" s="1" t="s">
        <v>21</v>
      </c>
      <c r="D40" s="1" t="s">
        <v>21</v>
      </c>
      <c r="E40" s="4">
        <v>45371</v>
      </c>
      <c r="F40" s="14" t="s">
        <v>21</v>
      </c>
      <c r="G40" s="1" t="s">
        <v>21</v>
      </c>
      <c r="K40" s="1" t="s">
        <v>21</v>
      </c>
      <c r="L40" s="1" t="s">
        <v>21</v>
      </c>
      <c r="M40" s="1" t="s">
        <v>21</v>
      </c>
      <c r="N40" s="1" t="s">
        <v>21</v>
      </c>
      <c r="P40" s="1" t="s">
        <v>197</v>
      </c>
    </row>
    <row r="41" spans="1:16" x14ac:dyDescent="0.2">
      <c r="A41" s="1">
        <v>2</v>
      </c>
      <c r="B41" s="1">
        <v>2.1</v>
      </c>
      <c r="C41" s="1">
        <v>1</v>
      </c>
      <c r="D41" s="1" t="s">
        <v>160</v>
      </c>
      <c r="E41" s="4">
        <v>45372</v>
      </c>
      <c r="F41" s="3">
        <v>0.27496527777777779</v>
      </c>
      <c r="G41" s="1">
        <v>6.28</v>
      </c>
      <c r="K41" s="1" t="s">
        <v>267</v>
      </c>
      <c r="L41" s="3">
        <v>0.26805555555555555</v>
      </c>
      <c r="M41" s="3">
        <f>F41 - L41</f>
        <v>6.9097222222222476E-3</v>
      </c>
      <c r="N41" s="3">
        <v>6.8865740740740745E-3</v>
      </c>
      <c r="O41" s="3"/>
    </row>
    <row r="42" spans="1:16" x14ac:dyDescent="0.2">
      <c r="A42" s="1">
        <v>2</v>
      </c>
      <c r="B42" s="1">
        <v>2.1</v>
      </c>
      <c r="C42" s="1">
        <v>1</v>
      </c>
      <c r="D42" s="1" t="s">
        <v>158</v>
      </c>
      <c r="E42" s="4">
        <v>45372</v>
      </c>
      <c r="F42" s="3">
        <v>0.77909722222222222</v>
      </c>
      <c r="G42" s="1" t="s">
        <v>21</v>
      </c>
      <c r="H42" s="2" t="s">
        <v>373</v>
      </c>
      <c r="I42" s="1">
        <v>7.9299999999999995E-2</v>
      </c>
      <c r="J42" s="1" t="s">
        <v>441</v>
      </c>
      <c r="K42" s="1" t="s">
        <v>21</v>
      </c>
      <c r="L42" s="1" t="s">
        <v>21</v>
      </c>
      <c r="M42" s="1" t="s">
        <v>21</v>
      </c>
      <c r="N42" s="1" t="s">
        <v>21</v>
      </c>
      <c r="P42" s="1" t="s">
        <v>268</v>
      </c>
    </row>
    <row r="43" spans="1:16" x14ac:dyDescent="0.2">
      <c r="A43" s="1">
        <v>2</v>
      </c>
      <c r="B43" s="1">
        <v>2.1</v>
      </c>
      <c r="C43" s="1">
        <v>1</v>
      </c>
      <c r="D43" s="1" t="s">
        <v>156</v>
      </c>
      <c r="E43" s="4">
        <v>45373</v>
      </c>
      <c r="F43" s="3">
        <v>0.26319444444444445</v>
      </c>
      <c r="G43" s="1">
        <v>1.0109999999999999</v>
      </c>
      <c r="K43" s="1" t="s">
        <v>249</v>
      </c>
      <c r="L43" s="3">
        <v>0.22378472222222223</v>
      </c>
      <c r="M43" s="3">
        <f>F43 - L43</f>
        <v>3.9409722222222221E-2</v>
      </c>
      <c r="N43" s="3">
        <v>3.951388888888889E-2</v>
      </c>
      <c r="O43" s="3"/>
    </row>
    <row r="44" spans="1:16" x14ac:dyDescent="0.2">
      <c r="A44" s="1">
        <v>2</v>
      </c>
      <c r="B44" s="1">
        <v>2.1</v>
      </c>
      <c r="C44" s="1">
        <v>1</v>
      </c>
      <c r="D44" s="1" t="s">
        <v>187</v>
      </c>
      <c r="E44" s="4">
        <v>45373</v>
      </c>
      <c r="F44" s="3">
        <v>0.77481481481481485</v>
      </c>
      <c r="G44" s="1">
        <v>0.39</v>
      </c>
      <c r="K44" s="1" t="s">
        <v>250</v>
      </c>
      <c r="L44" s="3">
        <v>0.75416666666666665</v>
      </c>
      <c r="M44" s="3">
        <f>F44 - L44</f>
        <v>2.0648148148148193E-2</v>
      </c>
      <c r="N44" s="3">
        <v>2.0312500000000001E-2</v>
      </c>
      <c r="O44" s="3"/>
    </row>
    <row r="45" spans="1:16" x14ac:dyDescent="0.2">
      <c r="A45" s="1">
        <v>2</v>
      </c>
      <c r="B45" s="1">
        <v>2.1</v>
      </c>
      <c r="C45" s="1">
        <v>1</v>
      </c>
      <c r="D45" s="15" t="s">
        <v>248</v>
      </c>
      <c r="E45" s="4">
        <v>45374</v>
      </c>
      <c r="F45" s="3">
        <v>0.2701041666666667</v>
      </c>
      <c r="G45" s="1">
        <v>2.67</v>
      </c>
      <c r="K45" s="1" t="s">
        <v>251</v>
      </c>
      <c r="L45" s="3">
        <v>0.2399537037037037</v>
      </c>
      <c r="M45" s="3">
        <f>F45 - L45</f>
        <v>3.0150462962963004E-2</v>
      </c>
      <c r="N45" s="3">
        <v>3.0289351851851852E-2</v>
      </c>
      <c r="O45" s="3"/>
    </row>
    <row r="46" spans="1:16" x14ac:dyDescent="0.2">
      <c r="A46" s="1">
        <v>2</v>
      </c>
      <c r="B46" s="1">
        <v>2.1</v>
      </c>
      <c r="C46" s="1">
        <v>1</v>
      </c>
      <c r="D46" s="1" t="s">
        <v>213</v>
      </c>
      <c r="E46" s="4">
        <v>45374</v>
      </c>
      <c r="F46" s="1" t="s">
        <v>21</v>
      </c>
      <c r="G46" s="1" t="s">
        <v>21</v>
      </c>
      <c r="K46" s="1" t="s">
        <v>110</v>
      </c>
      <c r="L46" s="3">
        <v>0.75451388888888893</v>
      </c>
      <c r="M46" s="1" t="s">
        <v>21</v>
      </c>
      <c r="N46" s="1" t="s">
        <v>21</v>
      </c>
      <c r="P46" s="1" t="s">
        <v>166</v>
      </c>
    </row>
    <row r="47" spans="1:16" x14ac:dyDescent="0.2">
      <c r="A47" s="1">
        <v>2</v>
      </c>
      <c r="B47" s="1">
        <v>2.6</v>
      </c>
      <c r="C47" s="1">
        <v>1</v>
      </c>
      <c r="D47" s="1" t="s">
        <v>230</v>
      </c>
      <c r="E47" s="4">
        <v>45375</v>
      </c>
      <c r="F47" s="14">
        <v>0.25738425925925923</v>
      </c>
      <c r="G47" s="7">
        <v>0.1409</v>
      </c>
      <c r="H47" s="7" t="s">
        <v>366</v>
      </c>
      <c r="I47" s="7"/>
      <c r="J47" s="7"/>
      <c r="K47" s="1" t="s">
        <v>252</v>
      </c>
      <c r="L47" s="3">
        <v>0.23355324074074074</v>
      </c>
      <c r="M47" s="3">
        <f>F47 - L47</f>
        <v>2.3831018518518488E-2</v>
      </c>
      <c r="N47" s="3">
        <v>2.3923611111111111E-2</v>
      </c>
      <c r="O47" s="3"/>
    </row>
    <row r="48" spans="1:16" x14ac:dyDescent="0.2">
      <c r="A48" s="1">
        <v>2</v>
      </c>
      <c r="B48" s="1">
        <v>2.6</v>
      </c>
      <c r="C48" s="1">
        <v>2</v>
      </c>
      <c r="D48" s="1" t="s">
        <v>230</v>
      </c>
      <c r="E48" s="4">
        <v>45375</v>
      </c>
      <c r="F48" s="14">
        <v>0.26746527777777779</v>
      </c>
      <c r="G48" s="7">
        <v>0.23799999999999999</v>
      </c>
      <c r="H48" s="7" t="s">
        <v>366</v>
      </c>
      <c r="I48" s="7"/>
      <c r="J48" s="7"/>
      <c r="K48" s="1" t="s">
        <v>252</v>
      </c>
      <c r="L48" s="3">
        <v>0.23355324074074074</v>
      </c>
      <c r="M48" s="3">
        <f>F48 - L48</f>
        <v>3.3912037037037046E-2</v>
      </c>
      <c r="N48" s="3">
        <v>3.4004629629629628E-2</v>
      </c>
      <c r="O48" s="3"/>
    </row>
    <row r="49" spans="1:19" x14ac:dyDescent="0.2">
      <c r="A49" s="1">
        <v>2</v>
      </c>
      <c r="B49" s="1">
        <v>2.6</v>
      </c>
      <c r="C49" s="1">
        <v>1</v>
      </c>
      <c r="D49" s="1" t="s">
        <v>232</v>
      </c>
      <c r="E49" s="4">
        <v>45375</v>
      </c>
      <c r="F49" s="14">
        <v>0.77380787037037035</v>
      </c>
      <c r="G49" s="1">
        <v>0.52900000000000003</v>
      </c>
      <c r="K49" s="1" t="s">
        <v>117</v>
      </c>
      <c r="L49" s="3">
        <v>0.74961805555555561</v>
      </c>
      <c r="M49" s="3">
        <f>F49 - L49</f>
        <v>2.4189814814814747E-2</v>
      </c>
      <c r="N49" s="3">
        <v>2.4328703703703703E-2</v>
      </c>
      <c r="O49" s="3"/>
    </row>
    <row r="50" spans="1:19" s="7" customFormat="1" x14ac:dyDescent="0.2">
      <c r="A50" s="1">
        <v>2</v>
      </c>
      <c r="B50" s="1">
        <v>2.6</v>
      </c>
      <c r="C50" s="1">
        <v>1</v>
      </c>
      <c r="D50" s="1" t="s">
        <v>216</v>
      </c>
      <c r="E50" s="4">
        <v>45376</v>
      </c>
      <c r="F50" s="14" t="s">
        <v>21</v>
      </c>
      <c r="G50" s="1" t="s">
        <v>21</v>
      </c>
      <c r="H50" s="1"/>
      <c r="I50" s="1"/>
      <c r="J50" s="1"/>
      <c r="K50" s="1" t="s">
        <v>253</v>
      </c>
      <c r="L50" s="3">
        <v>0.23734953703703704</v>
      </c>
      <c r="M50" s="3" t="s">
        <v>21</v>
      </c>
      <c r="N50" s="1" t="s">
        <v>21</v>
      </c>
      <c r="O50" s="1"/>
      <c r="P50" s="1" t="s">
        <v>234</v>
      </c>
      <c r="Q50" s="1"/>
      <c r="R50" s="1"/>
      <c r="S50" s="1"/>
    </row>
    <row r="51" spans="1:19" x14ac:dyDescent="0.2">
      <c r="A51" s="1">
        <v>2</v>
      </c>
      <c r="B51" s="1">
        <v>2.6</v>
      </c>
      <c r="C51" s="1">
        <v>1</v>
      </c>
      <c r="D51" s="1" t="s">
        <v>257</v>
      </c>
      <c r="E51" s="4">
        <v>45376</v>
      </c>
      <c r="F51" s="14">
        <v>0.77660879629629631</v>
      </c>
      <c r="G51" s="1">
        <v>0.28000000000000003</v>
      </c>
      <c r="K51" s="1" t="s">
        <v>254</v>
      </c>
      <c r="L51" s="3">
        <v>0.75342592592592594</v>
      </c>
      <c r="M51" s="3">
        <f>F51 - L51</f>
        <v>2.3182870370370368E-2</v>
      </c>
      <c r="N51" s="3">
        <v>2.2905092592592591E-2</v>
      </c>
      <c r="O51" s="3"/>
    </row>
    <row r="52" spans="1:19" x14ac:dyDescent="0.2">
      <c r="A52" s="1">
        <v>2</v>
      </c>
      <c r="B52" s="1">
        <v>2.6</v>
      </c>
      <c r="C52" s="1">
        <v>1</v>
      </c>
      <c r="D52" s="1" t="s">
        <v>219</v>
      </c>
      <c r="E52" s="4">
        <v>45377</v>
      </c>
      <c r="F52" s="14">
        <v>0.25671296296296298</v>
      </c>
      <c r="G52" s="7">
        <v>0.20200000000000001</v>
      </c>
      <c r="I52" s="7"/>
      <c r="J52" s="7"/>
      <c r="K52" s="1" t="s">
        <v>118</v>
      </c>
      <c r="L52" s="3">
        <v>0.23350694444444445</v>
      </c>
      <c r="M52" s="3">
        <f>F52 - L52</f>
        <v>2.3206018518518529E-2</v>
      </c>
      <c r="N52" s="3">
        <v>2.3356481481481482E-2</v>
      </c>
      <c r="O52" s="3"/>
    </row>
    <row r="53" spans="1:19" x14ac:dyDescent="0.2">
      <c r="A53" s="1">
        <v>2</v>
      </c>
      <c r="B53" s="1">
        <v>2.6</v>
      </c>
      <c r="C53" s="1" t="s">
        <v>21</v>
      </c>
      <c r="D53" s="1" t="s">
        <v>21</v>
      </c>
      <c r="E53" s="4">
        <v>45377</v>
      </c>
      <c r="F53" s="14" t="s">
        <v>21</v>
      </c>
      <c r="G53" s="1" t="s">
        <v>21</v>
      </c>
      <c r="K53" s="1" t="s">
        <v>21</v>
      </c>
      <c r="L53" s="1" t="s">
        <v>21</v>
      </c>
      <c r="M53" s="1" t="s">
        <v>21</v>
      </c>
      <c r="N53" s="1" t="s">
        <v>21</v>
      </c>
      <c r="P53" s="1" t="s">
        <v>258</v>
      </c>
    </row>
    <row r="54" spans="1:19" x14ac:dyDescent="0.2">
      <c r="A54" s="1">
        <v>2</v>
      </c>
      <c r="B54" s="1">
        <v>2.6</v>
      </c>
      <c r="C54" s="1">
        <v>1</v>
      </c>
      <c r="D54" s="1" t="s">
        <v>222</v>
      </c>
      <c r="E54" s="4">
        <v>45378</v>
      </c>
      <c r="F54" s="14">
        <v>0.26596064814814813</v>
      </c>
      <c r="G54" s="7">
        <v>2.2799999999999998</v>
      </c>
      <c r="H54" s="7" t="s">
        <v>367</v>
      </c>
      <c r="I54" s="7"/>
      <c r="J54" s="7"/>
      <c r="K54" s="1" t="s">
        <v>402</v>
      </c>
      <c r="L54" s="3">
        <v>0.23856481481481481</v>
      </c>
      <c r="M54" s="3">
        <f>F54 - L54</f>
        <v>2.7395833333333314E-2</v>
      </c>
      <c r="N54" s="3">
        <v>2.75E-2</v>
      </c>
      <c r="O54" s="3"/>
      <c r="P54" s="1" t="s">
        <v>367</v>
      </c>
    </row>
    <row r="55" spans="1:19" x14ac:dyDescent="0.2">
      <c r="A55" s="1">
        <v>2</v>
      </c>
      <c r="B55" s="1">
        <v>2.6</v>
      </c>
      <c r="C55" s="1" t="s">
        <v>21</v>
      </c>
      <c r="D55" s="1" t="s">
        <v>237</v>
      </c>
      <c r="E55" s="4">
        <v>45379</v>
      </c>
      <c r="F55" s="14" t="s">
        <v>21</v>
      </c>
      <c r="G55" s="1" t="s">
        <v>21</v>
      </c>
      <c r="K55" s="1" t="s">
        <v>279</v>
      </c>
      <c r="L55" s="3">
        <v>0.76531249999999995</v>
      </c>
      <c r="M55" s="3" t="s">
        <v>21</v>
      </c>
      <c r="N55" s="3" t="s">
        <v>21</v>
      </c>
      <c r="O55" s="3"/>
      <c r="P55" s="1" t="s">
        <v>166</v>
      </c>
    </row>
    <row r="56" spans="1:19" s="7" customFormat="1" x14ac:dyDescent="0.2">
      <c r="A56" s="1">
        <v>2</v>
      </c>
      <c r="B56" s="1">
        <v>2.6</v>
      </c>
      <c r="C56" s="1">
        <v>1</v>
      </c>
      <c r="D56" s="1" t="s">
        <v>236</v>
      </c>
      <c r="E56" s="4">
        <v>45379</v>
      </c>
      <c r="F56" s="3">
        <v>0.26277777777777778</v>
      </c>
      <c r="G56" s="7">
        <v>1.2869999999999999</v>
      </c>
      <c r="H56" s="1" t="s">
        <v>422</v>
      </c>
      <c r="K56" s="1" t="s">
        <v>280</v>
      </c>
      <c r="L56" s="3">
        <v>0.23756944444444444</v>
      </c>
      <c r="M56" s="3">
        <f>F56 - L56</f>
        <v>2.5208333333333333E-2</v>
      </c>
      <c r="N56" s="3" t="s">
        <v>21</v>
      </c>
      <c r="O56" s="3"/>
      <c r="S56" s="13"/>
    </row>
    <row r="57" spans="1:19" x14ac:dyDescent="0.2">
      <c r="A57" s="1">
        <v>2</v>
      </c>
      <c r="B57" s="1">
        <v>2.6</v>
      </c>
      <c r="C57" s="1">
        <v>1</v>
      </c>
      <c r="D57" s="1" t="s">
        <v>239</v>
      </c>
      <c r="E57" s="4">
        <v>45380</v>
      </c>
      <c r="F57" s="3">
        <v>0.26237268518518519</v>
      </c>
      <c r="G57" s="7">
        <v>0.83099999999999996</v>
      </c>
      <c r="H57" s="1" t="s">
        <v>369</v>
      </c>
      <c r="I57" s="7"/>
      <c r="J57" s="7"/>
      <c r="K57" s="1" t="s">
        <v>291</v>
      </c>
      <c r="L57" s="3">
        <v>0.2282986111111111</v>
      </c>
      <c r="M57" s="3">
        <f>F57 - L57</f>
        <v>3.407407407407409E-2</v>
      </c>
      <c r="N57" s="3">
        <v>3.4189814814814812E-2</v>
      </c>
      <c r="O57" s="3"/>
      <c r="S57" s="2"/>
    </row>
    <row r="58" spans="1:19" x14ac:dyDescent="0.2">
      <c r="A58" s="1">
        <v>2</v>
      </c>
      <c r="B58" s="1">
        <v>2.6</v>
      </c>
      <c r="C58" s="1" t="s">
        <v>21</v>
      </c>
      <c r="D58" s="1" t="s">
        <v>241</v>
      </c>
      <c r="E58" s="4">
        <v>45380</v>
      </c>
      <c r="F58" s="3" t="s">
        <v>21</v>
      </c>
      <c r="G58" s="1" t="s">
        <v>21</v>
      </c>
      <c r="K58" s="1" t="s">
        <v>294</v>
      </c>
      <c r="L58" s="3">
        <v>0.77248842592592593</v>
      </c>
      <c r="M58" s="3" t="s">
        <v>21</v>
      </c>
      <c r="N58" s="3" t="s">
        <v>21</v>
      </c>
      <c r="O58" s="3"/>
      <c r="P58" s="1" t="s">
        <v>166</v>
      </c>
      <c r="S58" s="2"/>
    </row>
    <row r="59" spans="1:19" x14ac:dyDescent="0.2">
      <c r="A59" s="1">
        <v>2</v>
      </c>
      <c r="B59" s="1">
        <v>2.6</v>
      </c>
      <c r="C59" s="1">
        <v>1</v>
      </c>
      <c r="D59" s="1" t="s">
        <v>244</v>
      </c>
      <c r="E59" s="4">
        <v>45381</v>
      </c>
      <c r="F59" s="3" t="s">
        <v>21</v>
      </c>
      <c r="G59" s="1" t="s">
        <v>21</v>
      </c>
      <c r="K59" s="1" t="s">
        <v>371</v>
      </c>
      <c r="L59" s="3">
        <v>0.75232638888888892</v>
      </c>
      <c r="M59" s="3" t="s">
        <v>21</v>
      </c>
      <c r="N59" s="3" t="s">
        <v>21</v>
      </c>
      <c r="O59" s="3"/>
      <c r="P59" s="1" t="s">
        <v>357</v>
      </c>
      <c r="S59" s="2"/>
    </row>
    <row r="60" spans="1:19" s="7" customFormat="1" x14ac:dyDescent="0.2">
      <c r="A60" s="1">
        <v>2</v>
      </c>
      <c r="B60" s="1">
        <v>2.6</v>
      </c>
      <c r="C60" s="1">
        <v>1</v>
      </c>
      <c r="D60" s="1" t="s">
        <v>304</v>
      </c>
      <c r="E60" s="4">
        <v>45381</v>
      </c>
      <c r="F60" s="3">
        <v>0.26086805555555553</v>
      </c>
      <c r="G60" s="7">
        <v>3.05</v>
      </c>
      <c r="H60" s="1" t="s">
        <v>423</v>
      </c>
      <c r="I60" s="7">
        <f xml:space="preserve"> (G60 *(1.004*10^-6)) / (1.081*10^-5)</f>
        <v>0.28327474560592047</v>
      </c>
      <c r="J60" s="7" t="s">
        <v>625</v>
      </c>
      <c r="K60" s="1" t="s">
        <v>305</v>
      </c>
      <c r="L60" s="3">
        <v>0.2303125</v>
      </c>
      <c r="M60" s="3">
        <f>F60 - L60</f>
        <v>3.055555555555553E-2</v>
      </c>
      <c r="N60" s="3" t="s">
        <v>21</v>
      </c>
      <c r="O60" s="3" t="s">
        <v>308</v>
      </c>
      <c r="Q60" s="1"/>
      <c r="S60" s="13"/>
    </row>
    <row r="61" spans="1:19" x14ac:dyDescent="0.2">
      <c r="A61" s="1">
        <v>2</v>
      </c>
      <c r="B61" s="1">
        <v>2.6</v>
      </c>
      <c r="C61" s="1" t="s">
        <v>21</v>
      </c>
      <c r="D61" s="1" t="s">
        <v>21</v>
      </c>
      <c r="E61" s="4">
        <v>45382</v>
      </c>
      <c r="F61" s="3" t="s">
        <v>21</v>
      </c>
      <c r="G61" s="1" t="s">
        <v>21</v>
      </c>
      <c r="K61" s="1" t="s">
        <v>21</v>
      </c>
      <c r="L61" s="3" t="s">
        <v>21</v>
      </c>
      <c r="M61" s="3" t="s">
        <v>21</v>
      </c>
      <c r="N61" s="3" t="s">
        <v>21</v>
      </c>
      <c r="O61" s="3"/>
      <c r="P61" s="1" t="s">
        <v>370</v>
      </c>
      <c r="S61" s="2"/>
    </row>
    <row r="62" spans="1:19" x14ac:dyDescent="0.2">
      <c r="A62" s="1">
        <v>2</v>
      </c>
      <c r="B62" s="1">
        <v>2.6</v>
      </c>
      <c r="C62" s="1">
        <v>1</v>
      </c>
      <c r="D62" s="1" t="s">
        <v>286</v>
      </c>
      <c r="E62" s="4">
        <v>45382</v>
      </c>
      <c r="F62" s="3">
        <v>0.77803240740740742</v>
      </c>
      <c r="G62" s="7">
        <v>0.71299999999999997</v>
      </c>
      <c r="H62" s="1" t="s">
        <v>440</v>
      </c>
      <c r="I62" s="7">
        <f xml:space="preserve"> (G62 *(1.004*10^-6)) / (1.081*10^-5)</f>
        <v>6.6221276595744685E-2</v>
      </c>
      <c r="J62" s="7" t="s">
        <v>625</v>
      </c>
      <c r="K62" s="1" t="s">
        <v>309</v>
      </c>
      <c r="L62" s="3">
        <v>0.75362268518518516</v>
      </c>
      <c r="M62" s="3">
        <f>F62 - L62</f>
        <v>2.4409722222222263E-2</v>
      </c>
      <c r="N62" s="3">
        <v>2.4895833333333332E-2</v>
      </c>
      <c r="O62" s="3" t="s">
        <v>307</v>
      </c>
      <c r="S62" s="2"/>
    </row>
    <row r="63" spans="1:19" x14ac:dyDescent="0.2">
      <c r="A63" s="1">
        <v>2</v>
      </c>
      <c r="B63" s="1">
        <v>2.6</v>
      </c>
      <c r="C63" s="1">
        <v>1</v>
      </c>
      <c r="D63" s="1" t="s">
        <v>270</v>
      </c>
      <c r="E63" s="4">
        <v>45383</v>
      </c>
      <c r="F63" s="3">
        <v>0.27090277777777777</v>
      </c>
      <c r="G63" s="7">
        <v>22.2</v>
      </c>
      <c r="H63" s="1" t="s">
        <v>374</v>
      </c>
      <c r="I63" s="7">
        <f xml:space="preserve"> (G63 *(1.004*10^-6)) / (1.081*10^-5)</f>
        <v>2.0618686401480111</v>
      </c>
      <c r="J63" s="7" t="s">
        <v>625</v>
      </c>
      <c r="K63" s="1" t="s">
        <v>310</v>
      </c>
      <c r="L63" s="3">
        <v>0.22976851851851851</v>
      </c>
      <c r="M63" s="3">
        <f>F63 - L63</f>
        <v>4.1134259259259259E-2</v>
      </c>
      <c r="N63" s="3">
        <v>4.1284722222222223E-2</v>
      </c>
      <c r="O63" s="3" t="s">
        <v>307</v>
      </c>
    </row>
    <row r="64" spans="1:19" x14ac:dyDescent="0.2">
      <c r="A64" s="1">
        <v>2</v>
      </c>
      <c r="B64" s="1">
        <v>2.6</v>
      </c>
      <c r="C64" s="1" t="s">
        <v>21</v>
      </c>
      <c r="D64" s="1" t="s">
        <v>21</v>
      </c>
      <c r="E64" s="4">
        <v>45383</v>
      </c>
      <c r="F64" s="3" t="s">
        <v>21</v>
      </c>
      <c r="G64" s="1" t="s">
        <v>21</v>
      </c>
      <c r="K64" s="1" t="s">
        <v>21</v>
      </c>
      <c r="L64" s="1" t="s">
        <v>21</v>
      </c>
      <c r="M64" s="1" t="s">
        <v>21</v>
      </c>
      <c r="N64" s="1" t="s">
        <v>21</v>
      </c>
      <c r="O64" s="3"/>
      <c r="P64" s="1" t="s">
        <v>329</v>
      </c>
    </row>
    <row r="65" spans="1:16" s="7" customFormat="1" x14ac:dyDescent="0.2">
      <c r="A65" s="1">
        <v>2</v>
      </c>
      <c r="B65" s="1">
        <v>2.6</v>
      </c>
      <c r="C65" s="1" t="s">
        <v>21</v>
      </c>
      <c r="D65" s="1" t="s">
        <v>21</v>
      </c>
      <c r="E65" s="4">
        <v>45384</v>
      </c>
      <c r="F65" s="3" t="s">
        <v>21</v>
      </c>
      <c r="G65" s="1" t="s">
        <v>21</v>
      </c>
      <c r="H65" s="1"/>
      <c r="I65" s="1"/>
      <c r="J65" s="1"/>
      <c r="K65" s="1" t="s">
        <v>21</v>
      </c>
      <c r="L65" s="1" t="s">
        <v>21</v>
      </c>
      <c r="M65" s="1" t="s">
        <v>21</v>
      </c>
      <c r="N65" s="1" t="s">
        <v>21</v>
      </c>
      <c r="O65" s="8"/>
      <c r="P65" s="1" t="s">
        <v>375</v>
      </c>
    </row>
    <row r="66" spans="1:16" s="7" customFormat="1" x14ac:dyDescent="0.2">
      <c r="A66" s="1">
        <v>2</v>
      </c>
      <c r="B66" s="1">
        <v>2.6</v>
      </c>
      <c r="C66" s="1" t="s">
        <v>21</v>
      </c>
      <c r="D66" s="1" t="s">
        <v>21</v>
      </c>
      <c r="E66" s="4">
        <v>45384</v>
      </c>
      <c r="F66" s="3" t="s">
        <v>21</v>
      </c>
      <c r="G66" s="1" t="s">
        <v>21</v>
      </c>
      <c r="H66" s="1"/>
      <c r="I66" s="1"/>
      <c r="J66" s="1"/>
      <c r="K66" s="1" t="s">
        <v>21</v>
      </c>
      <c r="L66" s="1" t="s">
        <v>21</v>
      </c>
      <c r="M66" s="1" t="s">
        <v>21</v>
      </c>
      <c r="N66" s="1" t="s">
        <v>21</v>
      </c>
      <c r="O66" s="8"/>
      <c r="P66" s="1" t="s">
        <v>379</v>
      </c>
    </row>
    <row r="67" spans="1:16" x14ac:dyDescent="0.2">
      <c r="A67" s="1">
        <v>2</v>
      </c>
      <c r="B67" s="1">
        <v>2.6</v>
      </c>
      <c r="C67" s="1">
        <v>1</v>
      </c>
      <c r="D67" t="s">
        <v>281</v>
      </c>
      <c r="E67" s="4">
        <v>45385</v>
      </c>
      <c r="F67" s="3">
        <v>0.78233796296296299</v>
      </c>
      <c r="G67" s="1" t="s">
        <v>21</v>
      </c>
      <c r="H67" s="1" t="s">
        <v>355</v>
      </c>
      <c r="I67" s="21">
        <f xml:space="preserve"> (0.1331*(1.004*10^-6)) / (1.081*10^-5)</f>
        <v>1.2361924144310825E-2</v>
      </c>
      <c r="J67" s="1" t="s">
        <v>439</v>
      </c>
      <c r="K67" s="1" t="s">
        <v>21</v>
      </c>
      <c r="L67" s="1" t="s">
        <v>21</v>
      </c>
      <c r="M67" s="1" t="s">
        <v>21</v>
      </c>
      <c r="N67" s="1" t="s">
        <v>21</v>
      </c>
      <c r="O67" s="1" t="s">
        <v>21</v>
      </c>
    </row>
    <row r="68" spans="1:16" x14ac:dyDescent="0.2">
      <c r="A68" s="1">
        <v>2</v>
      </c>
      <c r="B68" s="1">
        <v>2.6</v>
      </c>
      <c r="C68" s="1" t="s">
        <v>21</v>
      </c>
      <c r="D68" s="1" t="s">
        <v>21</v>
      </c>
      <c r="E68" s="4">
        <v>45385</v>
      </c>
      <c r="F68" s="3" t="s">
        <v>21</v>
      </c>
      <c r="G68" s="1" t="s">
        <v>21</v>
      </c>
      <c r="K68" s="1" t="s">
        <v>21</v>
      </c>
      <c r="L68" s="1" t="s">
        <v>21</v>
      </c>
      <c r="M68" s="1" t="s">
        <v>21</v>
      </c>
      <c r="N68" s="1" t="s">
        <v>21</v>
      </c>
      <c r="P68" s="1" t="s">
        <v>375</v>
      </c>
    </row>
    <row r="69" spans="1:16" x14ac:dyDescent="0.2">
      <c r="A69" s="1">
        <v>2</v>
      </c>
      <c r="B69" s="1">
        <v>2.6</v>
      </c>
      <c r="C69" s="1" t="s">
        <v>21</v>
      </c>
      <c r="D69" s="1" t="s">
        <v>21</v>
      </c>
      <c r="E69" s="4">
        <v>45386</v>
      </c>
      <c r="F69" s="3" t="s">
        <v>21</v>
      </c>
      <c r="G69" s="1" t="s">
        <v>21</v>
      </c>
      <c r="K69" s="1" t="s">
        <v>21</v>
      </c>
      <c r="L69" s="1" t="s">
        <v>21</v>
      </c>
      <c r="M69" s="1" t="s">
        <v>21</v>
      </c>
      <c r="N69" s="1" t="s">
        <v>21</v>
      </c>
      <c r="P69" s="1" t="s">
        <v>375</v>
      </c>
    </row>
    <row r="70" spans="1:16" x14ac:dyDescent="0.2">
      <c r="A70" s="1">
        <v>2</v>
      </c>
      <c r="B70" s="1">
        <v>2.6</v>
      </c>
      <c r="C70" s="1">
        <v>1</v>
      </c>
      <c r="D70" s="1" t="s">
        <v>170</v>
      </c>
      <c r="E70" s="4">
        <v>45386</v>
      </c>
      <c r="F70" s="3">
        <v>0.78053240740740737</v>
      </c>
      <c r="G70" s="7">
        <v>0.25800000000000001</v>
      </c>
      <c r="H70" s="7" t="s">
        <v>372</v>
      </c>
      <c r="I70" s="7">
        <f xml:space="preserve"> (G70 *(1.004*10^-6)) / (1.081*10^-5)</f>
        <v>2.3962257169287699E-2</v>
      </c>
      <c r="J70" s="7" t="s">
        <v>625</v>
      </c>
      <c r="K70" s="1" t="s">
        <v>285</v>
      </c>
      <c r="L70" s="3">
        <v>0.75498842592592597</v>
      </c>
      <c r="M70" s="3">
        <f>F70 - L70</f>
        <v>2.5543981481481404E-2</v>
      </c>
      <c r="N70" s="3">
        <v>2.5694444444444443E-2</v>
      </c>
      <c r="O70" s="3" t="s">
        <v>307</v>
      </c>
    </row>
    <row r="71" spans="1:16" x14ac:dyDescent="0.2">
      <c r="A71" s="1">
        <v>2</v>
      </c>
      <c r="B71" s="1">
        <v>2.6</v>
      </c>
      <c r="C71" s="1" t="s">
        <v>21</v>
      </c>
      <c r="D71" s="1" t="s">
        <v>21</v>
      </c>
      <c r="E71" s="4">
        <v>45387</v>
      </c>
      <c r="F71" s="3" t="s">
        <v>21</v>
      </c>
      <c r="G71" s="1" t="s">
        <v>21</v>
      </c>
      <c r="K71" s="1" t="s">
        <v>21</v>
      </c>
      <c r="L71" s="1" t="s">
        <v>21</v>
      </c>
      <c r="M71" s="1" t="s">
        <v>21</v>
      </c>
      <c r="N71" s="1" t="s">
        <v>21</v>
      </c>
      <c r="P71" s="1" t="s">
        <v>376</v>
      </c>
    </row>
    <row r="72" spans="1:16" x14ac:dyDescent="0.2">
      <c r="A72" s="1">
        <v>2</v>
      </c>
      <c r="B72" s="1">
        <v>2.6</v>
      </c>
      <c r="C72" s="1">
        <v>1</v>
      </c>
      <c r="D72" s="1" t="s">
        <v>353</v>
      </c>
      <c r="E72" s="4">
        <v>45391</v>
      </c>
      <c r="F72" s="3">
        <v>0.2723726851851852</v>
      </c>
      <c r="G72" s="1">
        <v>31.1</v>
      </c>
      <c r="H72" s="7" t="s">
        <v>372</v>
      </c>
      <c r="I72" s="7">
        <f xml:space="preserve"> (G72 *(1.004*10^-6)) / (1.081*10^-5)</f>
        <v>2.8884736355226646</v>
      </c>
      <c r="J72" s="7" t="s">
        <v>625</v>
      </c>
      <c r="K72" s="1" t="s">
        <v>455</v>
      </c>
      <c r="L72" s="3">
        <v>0.23653935185185185</v>
      </c>
      <c r="M72" s="3">
        <f t="shared" ref="M72:M80" si="1">F72 - L72</f>
        <v>3.5833333333333356E-2</v>
      </c>
      <c r="N72" s="3">
        <v>3.5995370370370372E-2</v>
      </c>
      <c r="O72" s="3" t="s">
        <v>307</v>
      </c>
    </row>
    <row r="73" spans="1:16" x14ac:dyDescent="0.2">
      <c r="A73" s="1">
        <v>2</v>
      </c>
      <c r="B73" s="1">
        <v>2.6</v>
      </c>
      <c r="C73" s="1">
        <v>1</v>
      </c>
      <c r="D73" s="1" t="s">
        <v>380</v>
      </c>
      <c r="E73" s="4">
        <v>45392</v>
      </c>
      <c r="F73" s="3">
        <v>0.25964120370370369</v>
      </c>
      <c r="G73" s="1">
        <v>5.79</v>
      </c>
      <c r="H73" s="7" t="s">
        <v>372</v>
      </c>
      <c r="K73" s="1" t="s">
        <v>482</v>
      </c>
      <c r="L73" s="3">
        <v>0.23417824074074073</v>
      </c>
      <c r="M73" s="3">
        <f t="shared" si="1"/>
        <v>2.5462962962962965E-2</v>
      </c>
      <c r="N73" s="3">
        <v>2.5810185185185186E-2</v>
      </c>
      <c r="O73" s="3" t="s">
        <v>307</v>
      </c>
    </row>
    <row r="74" spans="1:16" x14ac:dyDescent="0.2">
      <c r="A74" s="1">
        <v>2</v>
      </c>
      <c r="B74" s="1">
        <v>2.6</v>
      </c>
      <c r="C74" s="1">
        <v>1</v>
      </c>
      <c r="D74" s="1" t="s">
        <v>487</v>
      </c>
      <c r="E74" s="4">
        <v>45391</v>
      </c>
      <c r="F74" s="3">
        <v>0.77521990740740732</v>
      </c>
      <c r="G74" s="1">
        <v>0.307</v>
      </c>
      <c r="H74" s="7" t="s">
        <v>372</v>
      </c>
      <c r="K74" s="1" t="s">
        <v>479</v>
      </c>
      <c r="L74" s="3">
        <v>0.76300925925925922</v>
      </c>
      <c r="M74" s="3">
        <f t="shared" si="1"/>
        <v>1.2210648148148096E-2</v>
      </c>
      <c r="O74" s="3" t="s">
        <v>307</v>
      </c>
    </row>
    <row r="75" spans="1:16" x14ac:dyDescent="0.2">
      <c r="A75" s="1">
        <v>2</v>
      </c>
      <c r="B75" s="1">
        <v>2.6</v>
      </c>
      <c r="C75" s="1">
        <v>1</v>
      </c>
      <c r="D75" s="1" t="s">
        <v>293</v>
      </c>
      <c r="E75" s="4">
        <v>45387</v>
      </c>
      <c r="F75" s="3">
        <v>0.7795023148148148</v>
      </c>
      <c r="G75" s="1">
        <v>0.307</v>
      </c>
      <c r="H75" s="7" t="s">
        <v>372</v>
      </c>
      <c r="K75" s="1" t="s">
        <v>476</v>
      </c>
      <c r="L75" s="3">
        <v>0.76537037037037037</v>
      </c>
      <c r="M75" s="3">
        <f t="shared" si="1"/>
        <v>1.4131944444444433E-2</v>
      </c>
      <c r="N75" s="3">
        <v>1.4282407407407407E-2</v>
      </c>
      <c r="O75" s="3" t="s">
        <v>307</v>
      </c>
    </row>
    <row r="76" spans="1:16" x14ac:dyDescent="0.2">
      <c r="A76" s="1">
        <v>2</v>
      </c>
      <c r="B76" s="1">
        <v>2.6</v>
      </c>
      <c r="C76" s="1">
        <v>1</v>
      </c>
      <c r="D76" s="1" t="s">
        <v>315</v>
      </c>
      <c r="E76" s="4">
        <v>45390</v>
      </c>
      <c r="F76" s="3">
        <v>0.26424768518518515</v>
      </c>
      <c r="G76" s="1">
        <v>0.61099999999999999</v>
      </c>
      <c r="H76" s="7" t="s">
        <v>372</v>
      </c>
      <c r="K76" s="1" t="s">
        <v>467</v>
      </c>
      <c r="L76" s="3">
        <v>0.2351273148148148</v>
      </c>
      <c r="M76" s="3">
        <f t="shared" si="1"/>
        <v>2.9120370370370352E-2</v>
      </c>
      <c r="N76" s="3">
        <v>2.9328703703703704E-2</v>
      </c>
      <c r="O76" s="3" t="s">
        <v>307</v>
      </c>
    </row>
    <row r="77" spans="1:16" x14ac:dyDescent="0.2">
      <c r="A77" s="1">
        <v>2</v>
      </c>
      <c r="B77" s="1">
        <v>2.6</v>
      </c>
      <c r="C77" s="1">
        <v>1</v>
      </c>
      <c r="D77" s="1" t="s">
        <v>457</v>
      </c>
      <c r="E77" s="4">
        <v>45394</v>
      </c>
      <c r="F77" s="3">
        <v>0.76479166666666665</v>
      </c>
      <c r="G77" s="1">
        <v>7.26</v>
      </c>
      <c r="H77" s="7" t="s">
        <v>372</v>
      </c>
      <c r="K77" s="1" t="s">
        <v>498</v>
      </c>
      <c r="L77" s="3">
        <v>0.76234953703703701</v>
      </c>
      <c r="M77" s="3">
        <f t="shared" si="1"/>
        <v>2.4421296296296413E-3</v>
      </c>
      <c r="N77" s="3">
        <v>2.6967592592592594E-3</v>
      </c>
      <c r="O77" s="3" t="s">
        <v>307</v>
      </c>
    </row>
    <row r="78" spans="1:16" x14ac:dyDescent="0.2">
      <c r="A78" s="1">
        <v>2</v>
      </c>
      <c r="B78" s="1">
        <v>2.6</v>
      </c>
      <c r="C78" s="1">
        <v>1</v>
      </c>
      <c r="D78" s="1" t="s">
        <v>466</v>
      </c>
      <c r="E78" s="4">
        <v>45393</v>
      </c>
      <c r="F78" s="3">
        <v>0.25677083333333334</v>
      </c>
      <c r="G78" s="1">
        <v>2.78</v>
      </c>
      <c r="H78" s="7" t="s">
        <v>372</v>
      </c>
      <c r="K78" s="1" t="s">
        <v>499</v>
      </c>
      <c r="L78" s="3">
        <v>0.23177083333333334</v>
      </c>
      <c r="M78" s="3">
        <f t="shared" si="1"/>
        <v>2.4999999999999994E-2</v>
      </c>
      <c r="O78" s="3" t="s">
        <v>307</v>
      </c>
    </row>
    <row r="79" spans="1:16" x14ac:dyDescent="0.2">
      <c r="A79" s="1">
        <v>2</v>
      </c>
      <c r="B79" s="1">
        <v>2.6</v>
      </c>
      <c r="C79" s="1">
        <v>1</v>
      </c>
      <c r="D79" s="1" t="s">
        <v>465</v>
      </c>
      <c r="E79" s="4">
        <v>45393</v>
      </c>
      <c r="F79" s="3">
        <v>0.76993055555555556</v>
      </c>
      <c r="G79" s="1">
        <v>5.25</v>
      </c>
      <c r="H79" s="7" t="s">
        <v>372</v>
      </c>
      <c r="K79" s="1" t="s">
        <v>500</v>
      </c>
      <c r="L79" s="3">
        <v>0.75616898148148148</v>
      </c>
      <c r="M79" s="3">
        <f t="shared" si="1"/>
        <v>1.3761574074074079E-2</v>
      </c>
      <c r="O79" s="3" t="s">
        <v>307</v>
      </c>
    </row>
    <row r="80" spans="1:16" x14ac:dyDescent="0.2">
      <c r="A80" s="1">
        <v>2</v>
      </c>
      <c r="B80" s="1">
        <v>2.6</v>
      </c>
      <c r="C80" s="1">
        <v>1</v>
      </c>
      <c r="D80" s="1" t="s">
        <v>478</v>
      </c>
      <c r="E80" s="4">
        <v>45397</v>
      </c>
      <c r="F80" s="3">
        <v>0.26587962962962963</v>
      </c>
      <c r="G80" s="1">
        <v>21.2</v>
      </c>
      <c r="H80" s="7" t="s">
        <v>372</v>
      </c>
      <c r="K80" s="1" t="s">
        <v>501</v>
      </c>
      <c r="L80" s="3">
        <v>0.2303125</v>
      </c>
      <c r="M80" s="3">
        <f t="shared" si="1"/>
        <v>3.5567129629629629E-2</v>
      </c>
      <c r="N80" s="3">
        <v>3.6412037037037034E-2</v>
      </c>
      <c r="O80" s="3" t="s">
        <v>307</v>
      </c>
    </row>
  </sheetData>
  <sortState xmlns:xlrd2="http://schemas.microsoft.com/office/spreadsheetml/2017/richdata2" ref="A2:S67">
    <sortCondition ref="E2:E67"/>
  </sortState>
  <customSheetViews>
    <customSheetView guid="{8A75D892-44B4-104C-BB94-8EB0D0E43396}">
      <pane ySplit="1" topLeftCell="A2" activePane="bottomLeft" state="frozen"/>
      <selection pane="bottomLeft" activeCell="G73" sqref="G73"/>
      <pageMargins left="0.7" right="0.7" top="0.75" bottom="0.75" header="0.3" footer="0.3"/>
    </customSheetView>
  </customSheetViews>
  <phoneticPr fontId="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3306D-5BE5-1A46-90EE-F531333A2C2D}">
  <dimension ref="A1:V103"/>
  <sheetViews>
    <sheetView workbookViewId="0">
      <pane ySplit="1" topLeftCell="A2" activePane="bottomLeft" state="frozen"/>
      <selection pane="bottomLeft" activeCell="J34" sqref="J34"/>
    </sheetView>
  </sheetViews>
  <sheetFormatPr baseColWidth="10" defaultRowHeight="16" x14ac:dyDescent="0.2"/>
  <cols>
    <col min="1" max="7" width="10.83203125" style="1"/>
    <col min="8" max="11" width="18.5" style="1" customWidth="1"/>
    <col min="12" max="12" width="10.83203125" style="1"/>
    <col min="13" max="13" width="15.1640625" style="1" customWidth="1"/>
    <col min="14" max="14" width="18.5" style="1" customWidth="1"/>
    <col min="15" max="16384" width="10.83203125" style="1"/>
  </cols>
  <sheetData>
    <row r="1" spans="1:19" x14ac:dyDescent="0.2">
      <c r="A1" s="1" t="s">
        <v>62</v>
      </c>
      <c r="B1" s="1" t="s">
        <v>1</v>
      </c>
      <c r="C1" s="1" t="s">
        <v>10</v>
      </c>
      <c r="D1" s="1" t="s">
        <v>256</v>
      </c>
      <c r="E1" s="1" t="s">
        <v>255</v>
      </c>
      <c r="F1" s="1" t="s">
        <v>30</v>
      </c>
      <c r="G1" s="1" t="s">
        <v>5</v>
      </c>
      <c r="H1" s="1" t="s">
        <v>3</v>
      </c>
      <c r="I1" s="1" t="s">
        <v>401</v>
      </c>
      <c r="J1" s="1" t="s">
        <v>365</v>
      </c>
      <c r="K1" s="1" t="s">
        <v>427</v>
      </c>
      <c r="L1" s="1" t="s">
        <v>6</v>
      </c>
      <c r="M1" s="1" t="s">
        <v>63</v>
      </c>
      <c r="N1" s="1" t="s">
        <v>326</v>
      </c>
      <c r="O1" s="1" t="s">
        <v>152</v>
      </c>
      <c r="P1" s="1" t="s">
        <v>15</v>
      </c>
      <c r="S1" s="1" t="s">
        <v>91</v>
      </c>
    </row>
    <row r="2" spans="1:19" x14ac:dyDescent="0.2">
      <c r="A2" s="1">
        <v>1</v>
      </c>
      <c r="B2" s="1">
        <v>1.2</v>
      </c>
      <c r="C2" s="1">
        <v>1</v>
      </c>
      <c r="E2" s="1" t="s">
        <v>65</v>
      </c>
      <c r="F2" s="4">
        <v>45351</v>
      </c>
      <c r="G2" s="3">
        <v>0.78778935185185184</v>
      </c>
      <c r="H2" s="1">
        <v>4.9699999999999996E-3</v>
      </c>
      <c r="L2" s="3">
        <v>0.76006944444444446</v>
      </c>
      <c r="M2" s="3">
        <f>G2 - L2</f>
        <v>2.7719907407407374E-2</v>
      </c>
    </row>
    <row r="3" spans="1:19" x14ac:dyDescent="0.2">
      <c r="A3" s="1">
        <v>1</v>
      </c>
      <c r="B3" s="1">
        <v>1.2</v>
      </c>
      <c r="C3" s="1">
        <v>1</v>
      </c>
      <c r="E3" s="1" t="s">
        <v>64</v>
      </c>
      <c r="F3" s="4">
        <v>45352</v>
      </c>
      <c r="G3" s="3">
        <v>0.24906249999999999</v>
      </c>
      <c r="H3" s="1">
        <v>3.5300000000000002E-3</v>
      </c>
      <c r="L3" s="3">
        <v>0.22700231481481481</v>
      </c>
      <c r="M3" s="3">
        <f>G3 - L3</f>
        <v>2.2060185185185183E-2</v>
      </c>
    </row>
    <row r="4" spans="1:19" x14ac:dyDescent="0.2">
      <c r="A4" s="1">
        <v>1</v>
      </c>
      <c r="B4" s="1">
        <v>1.2</v>
      </c>
      <c r="C4" s="1">
        <v>2</v>
      </c>
      <c r="E4" s="1" t="s">
        <v>64</v>
      </c>
      <c r="F4" s="4">
        <v>45352</v>
      </c>
      <c r="G4" s="3">
        <v>0.27140046296296294</v>
      </c>
      <c r="H4" s="1">
        <v>1.7849999999999999</v>
      </c>
      <c r="L4" s="3">
        <v>0.22700231481481481</v>
      </c>
      <c r="M4" s="3">
        <f>G4 - L4</f>
        <v>4.4398148148148131E-2</v>
      </c>
    </row>
    <row r="5" spans="1:19" x14ac:dyDescent="0.2">
      <c r="A5" s="1">
        <v>1</v>
      </c>
      <c r="B5" s="1">
        <v>1.2</v>
      </c>
      <c r="C5" s="1">
        <v>1</v>
      </c>
      <c r="E5" s="1" t="s">
        <v>72</v>
      </c>
      <c r="F5" s="4">
        <v>45352</v>
      </c>
      <c r="G5" s="1" t="s">
        <v>21</v>
      </c>
      <c r="H5" s="1" t="s">
        <v>21</v>
      </c>
      <c r="L5" s="3">
        <v>0.75744212962962953</v>
      </c>
      <c r="M5" s="1" t="s">
        <v>21</v>
      </c>
    </row>
    <row r="6" spans="1:19" x14ac:dyDescent="0.2">
      <c r="A6" s="1">
        <v>1</v>
      </c>
      <c r="B6" s="1">
        <v>1.2</v>
      </c>
      <c r="C6" s="1">
        <v>1</v>
      </c>
      <c r="E6" s="4" t="s">
        <v>71</v>
      </c>
      <c r="F6" s="4">
        <v>45353</v>
      </c>
      <c r="G6" s="3">
        <v>0.25237268518518519</v>
      </c>
      <c r="H6" s="1">
        <v>1.39E-3</v>
      </c>
      <c r="L6" s="3">
        <v>0.22784722222222223</v>
      </c>
      <c r="M6" s="3">
        <f>G6 - L6</f>
        <v>2.4525462962962957E-2</v>
      </c>
    </row>
    <row r="7" spans="1:19" x14ac:dyDescent="0.2">
      <c r="A7" s="1" t="s">
        <v>21</v>
      </c>
      <c r="B7" s="1" t="s">
        <v>21</v>
      </c>
      <c r="C7" s="1" t="s">
        <v>21</v>
      </c>
      <c r="E7" s="1" t="s">
        <v>78</v>
      </c>
      <c r="F7" s="4">
        <v>45353</v>
      </c>
      <c r="G7" s="1" t="s">
        <v>21</v>
      </c>
      <c r="H7" s="1" t="s">
        <v>21</v>
      </c>
      <c r="L7" s="3">
        <v>0.76015046296296296</v>
      </c>
      <c r="M7" s="1" t="s">
        <v>21</v>
      </c>
      <c r="O7" s="1" t="s">
        <v>21</v>
      </c>
      <c r="P7" s="1" t="s">
        <v>77</v>
      </c>
    </row>
    <row r="8" spans="1:19" x14ac:dyDescent="0.2">
      <c r="A8" s="1">
        <v>1</v>
      </c>
      <c r="B8" s="1">
        <v>1.2</v>
      </c>
      <c r="C8" s="1">
        <v>1</v>
      </c>
      <c r="E8" s="1" t="s">
        <v>79</v>
      </c>
      <c r="F8" s="4">
        <v>45354</v>
      </c>
      <c r="G8" s="3">
        <v>0.25850694444444444</v>
      </c>
      <c r="H8" s="1">
        <v>2.0199999999999999E-2</v>
      </c>
      <c r="L8" s="3">
        <v>0.23024305555555555</v>
      </c>
      <c r="M8" s="3">
        <f>G8 - L8</f>
        <v>2.8263888888888894E-2</v>
      </c>
    </row>
    <row r="9" spans="1:19" x14ac:dyDescent="0.2">
      <c r="A9" s="1" t="s">
        <v>21</v>
      </c>
      <c r="B9" s="1" t="s">
        <v>21</v>
      </c>
      <c r="C9" s="1" t="s">
        <v>21</v>
      </c>
      <c r="E9" s="1" t="s">
        <v>83</v>
      </c>
      <c r="F9" s="4">
        <v>45354</v>
      </c>
      <c r="G9" s="1" t="s">
        <v>21</v>
      </c>
      <c r="H9" s="1" t="s">
        <v>21</v>
      </c>
      <c r="L9" s="3">
        <v>0.7471875</v>
      </c>
      <c r="M9" s="1" t="s">
        <v>21</v>
      </c>
      <c r="O9" s="1" t="s">
        <v>21</v>
      </c>
    </row>
    <row r="10" spans="1:19" x14ac:dyDescent="0.2">
      <c r="A10" s="1">
        <v>1</v>
      </c>
      <c r="B10" s="1">
        <v>1.2</v>
      </c>
      <c r="C10" s="1">
        <v>1</v>
      </c>
      <c r="E10" s="1" t="s">
        <v>84</v>
      </c>
      <c r="F10" s="4">
        <v>45355</v>
      </c>
      <c r="G10" s="3">
        <v>0.25762731481481482</v>
      </c>
      <c r="H10" s="1">
        <v>1.562E-2</v>
      </c>
      <c r="L10" s="3">
        <v>0.23173611111111111</v>
      </c>
      <c r="M10" s="3">
        <f>G10 - L10</f>
        <v>2.5891203703703708E-2</v>
      </c>
    </row>
    <row r="11" spans="1:19" x14ac:dyDescent="0.2">
      <c r="A11" s="1">
        <v>1</v>
      </c>
      <c r="B11" s="1">
        <v>1.2</v>
      </c>
      <c r="C11" s="1">
        <v>1</v>
      </c>
      <c r="E11" s="1" t="s">
        <v>88</v>
      </c>
      <c r="F11" s="4">
        <v>45355</v>
      </c>
      <c r="G11" s="3">
        <v>0.78077546296296285</v>
      </c>
      <c r="H11" s="1">
        <v>0.1085</v>
      </c>
      <c r="L11" s="3">
        <v>0.75074074074074071</v>
      </c>
      <c r="M11" s="3">
        <f>G11 - L11</f>
        <v>3.0034722222222143E-2</v>
      </c>
    </row>
    <row r="12" spans="1:19" x14ac:dyDescent="0.2">
      <c r="A12" s="1">
        <v>1</v>
      </c>
      <c r="B12" s="1">
        <v>1.2</v>
      </c>
      <c r="C12" s="1">
        <v>1</v>
      </c>
      <c r="E12" s="1" t="s">
        <v>94</v>
      </c>
      <c r="F12" s="4">
        <v>45356</v>
      </c>
      <c r="G12" s="3">
        <v>0.25917824074074075</v>
      </c>
      <c r="H12" s="1">
        <v>3.61E-2</v>
      </c>
      <c r="L12" s="3">
        <v>0.23202546296296298</v>
      </c>
      <c r="M12" s="3">
        <f>G12 - L12</f>
        <v>2.7152777777777776E-2</v>
      </c>
    </row>
    <row r="13" spans="1:19" x14ac:dyDescent="0.2">
      <c r="A13" s="1" t="s">
        <v>21</v>
      </c>
      <c r="B13" s="1" t="s">
        <v>21</v>
      </c>
      <c r="C13" s="1" t="s">
        <v>21</v>
      </c>
      <c r="E13" s="1" t="s">
        <v>111</v>
      </c>
      <c r="F13" s="4">
        <v>45357</v>
      </c>
      <c r="G13" s="1" t="s">
        <v>21</v>
      </c>
      <c r="H13" s="1" t="s">
        <v>21</v>
      </c>
      <c r="L13" s="3">
        <v>0.74782407407407403</v>
      </c>
      <c r="M13" s="1" t="s">
        <v>21</v>
      </c>
      <c r="O13" s="1" t="s">
        <v>21</v>
      </c>
      <c r="P13" s="1" t="s">
        <v>77</v>
      </c>
    </row>
    <row r="14" spans="1:19" x14ac:dyDescent="0.2">
      <c r="A14" s="1">
        <v>1</v>
      </c>
      <c r="B14" s="1">
        <v>1.2</v>
      </c>
      <c r="C14" s="1">
        <v>1</v>
      </c>
      <c r="D14" s="1" t="s">
        <v>105</v>
      </c>
      <c r="E14" s="1" t="s">
        <v>110</v>
      </c>
      <c r="F14" s="4">
        <v>45358</v>
      </c>
      <c r="G14" s="3">
        <v>0.25737268518518519</v>
      </c>
      <c r="H14" s="1">
        <v>2.6499999999999999E-2</v>
      </c>
      <c r="L14" s="3">
        <v>0.23011574074074073</v>
      </c>
      <c r="M14" s="3">
        <f t="shared" ref="M14:M25" si="0">G14 - L14</f>
        <v>2.7256944444444459E-2</v>
      </c>
    </row>
    <row r="15" spans="1:19" x14ac:dyDescent="0.2">
      <c r="A15" s="1">
        <v>1</v>
      </c>
      <c r="B15" s="1">
        <v>1.2</v>
      </c>
      <c r="C15" s="1">
        <v>1</v>
      </c>
      <c r="D15" s="1" t="s">
        <v>115</v>
      </c>
      <c r="E15" s="1" t="s">
        <v>117</v>
      </c>
      <c r="F15" s="4">
        <v>45358</v>
      </c>
      <c r="G15" s="3">
        <v>0.78069444444444447</v>
      </c>
      <c r="H15" s="1">
        <v>0.1134</v>
      </c>
      <c r="L15" s="3">
        <v>0.75884259259259268</v>
      </c>
      <c r="M15" s="3">
        <f t="shared" si="0"/>
        <v>2.1851851851851789E-2</v>
      </c>
    </row>
    <row r="16" spans="1:19" x14ac:dyDescent="0.2">
      <c r="A16" s="1">
        <v>1</v>
      </c>
      <c r="B16" s="1">
        <v>1.2</v>
      </c>
      <c r="C16" s="1" t="s">
        <v>112</v>
      </c>
      <c r="D16" s="1" t="s">
        <v>113</v>
      </c>
      <c r="E16" s="1" t="s">
        <v>118</v>
      </c>
      <c r="F16" s="4">
        <v>45359</v>
      </c>
      <c r="G16" s="3">
        <v>0.27071759259259259</v>
      </c>
      <c r="H16" s="1">
        <v>1.899</v>
      </c>
      <c r="L16" s="3">
        <v>0.23064814814814816</v>
      </c>
      <c r="M16" s="3">
        <f t="shared" si="0"/>
        <v>4.0069444444444435E-2</v>
      </c>
      <c r="P16" s="1" t="s">
        <v>119</v>
      </c>
    </row>
    <row r="17" spans="1:16" x14ac:dyDescent="0.2">
      <c r="A17" s="1">
        <v>1</v>
      </c>
      <c r="B17" s="1">
        <v>1.2</v>
      </c>
      <c r="C17" s="1">
        <v>1</v>
      </c>
      <c r="D17" s="1" t="s">
        <v>132</v>
      </c>
      <c r="E17" s="1" t="s">
        <v>168</v>
      </c>
      <c r="F17" s="4">
        <v>45359</v>
      </c>
      <c r="G17" s="3">
        <v>0.78964120370370372</v>
      </c>
      <c r="H17" s="1">
        <v>5.3499999999999997E-3</v>
      </c>
      <c r="L17" s="3">
        <v>0.73781249999999998</v>
      </c>
      <c r="M17" s="3">
        <f t="shared" si="0"/>
        <v>5.1828703703703738E-2</v>
      </c>
      <c r="O17" s="3">
        <v>5.185185185185185E-2</v>
      </c>
    </row>
    <row r="18" spans="1:16" x14ac:dyDescent="0.2">
      <c r="A18" s="1">
        <v>1</v>
      </c>
      <c r="B18" s="1">
        <v>1.2</v>
      </c>
      <c r="C18" s="1">
        <v>1</v>
      </c>
      <c r="D18" s="1" t="s">
        <v>129</v>
      </c>
      <c r="E18" s="1" t="s">
        <v>170</v>
      </c>
      <c r="F18" s="4">
        <v>45362</v>
      </c>
      <c r="G18" s="3">
        <v>0.25252314814814814</v>
      </c>
      <c r="H18" s="1">
        <v>2.5799999999999998E-3</v>
      </c>
      <c r="L18" s="3">
        <v>0.22348379629629631</v>
      </c>
      <c r="M18" s="3">
        <f t="shared" si="0"/>
        <v>2.903935185185183E-2</v>
      </c>
      <c r="O18" s="3">
        <v>2.9050925925925924E-2</v>
      </c>
    </row>
    <row r="19" spans="1:16" x14ac:dyDescent="0.2">
      <c r="A19" s="1">
        <v>1</v>
      </c>
      <c r="B19" s="1">
        <v>1.2</v>
      </c>
      <c r="C19" s="1">
        <v>2</v>
      </c>
      <c r="D19" s="1" t="s">
        <v>129</v>
      </c>
      <c r="E19" s="1" t="s">
        <v>170</v>
      </c>
      <c r="F19" s="4">
        <v>45362</v>
      </c>
      <c r="G19" s="3">
        <v>0.26149305555555558</v>
      </c>
      <c r="H19" s="1">
        <v>3.5999999999999997E-2</v>
      </c>
      <c r="L19" s="3">
        <v>0.22348379629629631</v>
      </c>
      <c r="M19" s="3">
        <f t="shared" si="0"/>
        <v>3.800925925925927E-2</v>
      </c>
      <c r="O19" s="3">
        <v>3.8090277777777778E-2</v>
      </c>
    </row>
    <row r="20" spans="1:16" x14ac:dyDescent="0.2">
      <c r="A20" s="1">
        <v>1</v>
      </c>
      <c r="B20" s="1">
        <v>1.2</v>
      </c>
      <c r="C20" s="1">
        <v>1</v>
      </c>
      <c r="D20" s="1" t="s">
        <v>128</v>
      </c>
      <c r="E20" s="1" t="s">
        <v>154</v>
      </c>
      <c r="F20" s="4">
        <v>45362</v>
      </c>
      <c r="G20" s="3">
        <v>0.78787037037037033</v>
      </c>
      <c r="H20" s="1">
        <v>2.9099999999999998E-3</v>
      </c>
      <c r="L20" s="3">
        <v>0.75906249999999997</v>
      </c>
      <c r="M20" s="3">
        <f t="shared" si="0"/>
        <v>2.8807870370370359E-2</v>
      </c>
    </row>
    <row r="21" spans="1:16" x14ac:dyDescent="0.2">
      <c r="A21" s="1">
        <v>1</v>
      </c>
      <c r="B21" s="1">
        <v>1.2</v>
      </c>
      <c r="C21" s="1">
        <v>1</v>
      </c>
      <c r="D21" s="1" t="s">
        <v>120</v>
      </c>
      <c r="E21" s="1" t="s">
        <v>151</v>
      </c>
      <c r="F21" s="4">
        <v>45363</v>
      </c>
      <c r="G21" s="3">
        <v>0.25710648148148146</v>
      </c>
      <c r="H21" s="1">
        <v>1.6039999999999999E-2</v>
      </c>
      <c r="L21" s="3">
        <v>0.22644675925925925</v>
      </c>
      <c r="M21" s="3">
        <f t="shared" si="0"/>
        <v>3.0659722222222213E-2</v>
      </c>
    </row>
    <row r="22" spans="1:16" x14ac:dyDescent="0.2">
      <c r="A22" s="1">
        <v>1</v>
      </c>
      <c r="B22" s="1">
        <v>1.2</v>
      </c>
      <c r="C22" s="1">
        <v>2</v>
      </c>
      <c r="D22" s="1" t="s">
        <v>120</v>
      </c>
      <c r="E22" s="1" t="s">
        <v>151</v>
      </c>
      <c r="F22" s="4">
        <v>45363</v>
      </c>
      <c r="G22" s="3">
        <v>0.2658449074074074</v>
      </c>
      <c r="H22" s="1">
        <v>0.52400000000000002</v>
      </c>
      <c r="L22" s="3">
        <v>0.22644675925925925</v>
      </c>
      <c r="M22" s="3">
        <f t="shared" si="0"/>
        <v>3.9398148148148154E-2</v>
      </c>
      <c r="O22" s="3">
        <v>3.923611111111111E-2</v>
      </c>
    </row>
    <row r="23" spans="1:16" x14ac:dyDescent="0.2">
      <c r="A23" s="1">
        <v>1</v>
      </c>
      <c r="B23" s="1">
        <v>1.2</v>
      </c>
      <c r="C23" s="1">
        <v>1</v>
      </c>
      <c r="D23" s="1" t="s">
        <v>126</v>
      </c>
      <c r="E23" s="1" t="s">
        <v>153</v>
      </c>
      <c r="F23" s="4">
        <v>45363</v>
      </c>
      <c r="G23" s="3">
        <v>0.77847222222222223</v>
      </c>
      <c r="H23" s="1">
        <v>9.2100000000000001E-2</v>
      </c>
      <c r="L23" s="3">
        <v>0.75655092592592588</v>
      </c>
      <c r="M23" s="3">
        <f t="shared" si="0"/>
        <v>2.1921296296296355E-2</v>
      </c>
      <c r="O23" s="3">
        <v>2.1770833333333333E-2</v>
      </c>
    </row>
    <row r="24" spans="1:16" x14ac:dyDescent="0.2">
      <c r="A24" s="1">
        <v>1</v>
      </c>
      <c r="B24" s="1">
        <v>1.2</v>
      </c>
      <c r="C24" s="1">
        <v>2</v>
      </c>
      <c r="D24" s="1" t="s">
        <v>126</v>
      </c>
      <c r="E24" s="1" t="s">
        <v>153</v>
      </c>
      <c r="F24" s="4">
        <v>45363</v>
      </c>
      <c r="G24" s="3">
        <v>0.7882986111111111</v>
      </c>
      <c r="H24" s="1">
        <v>1.763E-3</v>
      </c>
      <c r="L24" s="3">
        <v>0.75655092592592588</v>
      </c>
      <c r="M24" s="3">
        <f t="shared" si="0"/>
        <v>3.1747685185185226E-2</v>
      </c>
      <c r="O24" s="3">
        <v>3.1689814814814816E-2</v>
      </c>
    </row>
    <row r="25" spans="1:16" x14ac:dyDescent="0.2">
      <c r="A25" s="1">
        <v>1</v>
      </c>
      <c r="B25" s="1">
        <v>1.2</v>
      </c>
      <c r="C25" s="1">
        <v>1</v>
      </c>
      <c r="D25" s="1" t="s">
        <v>137</v>
      </c>
      <c r="E25" s="1" t="s">
        <v>171</v>
      </c>
      <c r="F25" s="4">
        <v>45364</v>
      </c>
      <c r="G25" s="3">
        <v>0.25965277777777779</v>
      </c>
      <c r="H25" s="1">
        <v>1.8499999999999999E-2</v>
      </c>
      <c r="L25" s="3">
        <v>0.2348611111111111</v>
      </c>
      <c r="M25" s="3">
        <f t="shared" si="0"/>
        <v>2.4791666666666684E-2</v>
      </c>
      <c r="O25" s="3">
        <v>2.3831018518518519E-2</v>
      </c>
    </row>
    <row r="26" spans="1:16" x14ac:dyDescent="0.2">
      <c r="A26" s="1">
        <v>1</v>
      </c>
      <c r="B26" s="1">
        <v>1.2</v>
      </c>
      <c r="C26" s="1">
        <v>1</v>
      </c>
      <c r="D26" s="1" t="s">
        <v>142</v>
      </c>
      <c r="E26" s="1" t="s">
        <v>173</v>
      </c>
      <c r="F26" s="4">
        <v>45364</v>
      </c>
      <c r="G26" s="3">
        <v>0.75667824074074075</v>
      </c>
      <c r="H26" s="1" t="s">
        <v>21</v>
      </c>
      <c r="L26" s="3">
        <v>0.76083333333333336</v>
      </c>
      <c r="M26" s="3" t="s">
        <v>21</v>
      </c>
      <c r="O26" s="1" t="s">
        <v>21</v>
      </c>
      <c r="P26" s="1" t="s">
        <v>174</v>
      </c>
    </row>
    <row r="27" spans="1:16" x14ac:dyDescent="0.2">
      <c r="A27" s="1">
        <v>1</v>
      </c>
      <c r="B27" s="1">
        <v>1.2</v>
      </c>
      <c r="C27" s="1">
        <v>2</v>
      </c>
      <c r="D27" s="1" t="s">
        <v>142</v>
      </c>
      <c r="E27" s="1" t="s">
        <v>173</v>
      </c>
      <c r="F27" s="4">
        <v>45364</v>
      </c>
      <c r="G27" s="3">
        <v>0.7806249999999999</v>
      </c>
      <c r="H27" s="1">
        <v>4.6199999999999998E-2</v>
      </c>
      <c r="L27" s="3">
        <v>0.76083333333333336</v>
      </c>
      <c r="M27" s="3">
        <f t="shared" ref="M27:M35" si="1">G27 - L27</f>
        <v>1.9791666666666541E-2</v>
      </c>
      <c r="O27" s="3">
        <v>1.9571759259259261E-2</v>
      </c>
    </row>
    <row r="28" spans="1:16" x14ac:dyDescent="0.2">
      <c r="A28" s="1">
        <v>1</v>
      </c>
      <c r="B28" s="1">
        <v>1.2</v>
      </c>
      <c r="C28" s="1">
        <v>1</v>
      </c>
      <c r="D28" s="1" t="s">
        <v>141</v>
      </c>
      <c r="E28" s="1" t="s">
        <v>175</v>
      </c>
      <c r="F28" s="4">
        <v>45365</v>
      </c>
      <c r="G28" s="3">
        <v>0.25800925925925927</v>
      </c>
      <c r="H28" s="1">
        <v>5.2499999999999998E-2</v>
      </c>
      <c r="L28" s="3">
        <v>0.23493055555555556</v>
      </c>
      <c r="M28" s="3">
        <f t="shared" si="1"/>
        <v>2.3078703703703712E-2</v>
      </c>
      <c r="O28" s="3">
        <v>2.3194444444444445E-2</v>
      </c>
    </row>
    <row r="29" spans="1:16" x14ac:dyDescent="0.2">
      <c r="A29" s="1">
        <v>1</v>
      </c>
      <c r="B29" s="1">
        <v>1.2</v>
      </c>
      <c r="C29" s="1">
        <v>1</v>
      </c>
      <c r="D29" s="1" t="s">
        <v>139</v>
      </c>
      <c r="E29" s="1" t="s">
        <v>176</v>
      </c>
      <c r="F29" s="4">
        <v>45365</v>
      </c>
      <c r="G29" s="3">
        <v>0.78318287037037038</v>
      </c>
      <c r="H29" s="1">
        <v>1.77E-2</v>
      </c>
      <c r="L29" s="3">
        <v>0.75518518518518518</v>
      </c>
      <c r="M29" s="3">
        <f t="shared" si="1"/>
        <v>2.7997685185185195E-2</v>
      </c>
      <c r="O29" s="3">
        <v>2.7719907407407408E-2</v>
      </c>
    </row>
    <row r="30" spans="1:16" x14ac:dyDescent="0.2">
      <c r="A30" s="1">
        <v>1</v>
      </c>
      <c r="B30" s="1">
        <v>1.2</v>
      </c>
      <c r="C30" s="1">
        <v>2</v>
      </c>
      <c r="D30" s="1" t="s">
        <v>139</v>
      </c>
      <c r="E30" s="1" t="s">
        <v>176</v>
      </c>
      <c r="F30" s="4">
        <v>45365</v>
      </c>
      <c r="G30" s="3">
        <v>0.79114583333333344</v>
      </c>
      <c r="H30" s="1">
        <v>8.6E-3</v>
      </c>
      <c r="L30" s="3">
        <v>0.75518518518518518</v>
      </c>
      <c r="M30" s="3">
        <f t="shared" si="1"/>
        <v>3.5960648148148255E-2</v>
      </c>
      <c r="O30" s="3">
        <v>3.5648148148148151E-2</v>
      </c>
      <c r="P30" s="1" t="s">
        <v>184</v>
      </c>
    </row>
    <row r="31" spans="1:16" x14ac:dyDescent="0.2">
      <c r="A31" s="1">
        <v>1</v>
      </c>
      <c r="B31" s="1">
        <v>1.2</v>
      </c>
      <c r="C31" s="1">
        <v>1</v>
      </c>
      <c r="D31" s="1" t="s">
        <v>145</v>
      </c>
      <c r="E31" s="1" t="s">
        <v>177</v>
      </c>
      <c r="F31" s="4">
        <v>45366</v>
      </c>
      <c r="G31" s="3">
        <v>0.25900462962962967</v>
      </c>
      <c r="H31" s="1">
        <v>6.08E-2</v>
      </c>
      <c r="L31" s="3">
        <v>0.23423611111111112</v>
      </c>
      <c r="M31" s="3">
        <f t="shared" si="1"/>
        <v>2.4768518518518551E-2</v>
      </c>
      <c r="O31" s="3">
        <v>2.4444444444444446E-2</v>
      </c>
    </row>
    <row r="32" spans="1:16" x14ac:dyDescent="0.2">
      <c r="A32" s="1">
        <v>1</v>
      </c>
      <c r="B32" s="1">
        <v>1.2</v>
      </c>
      <c r="C32" s="1">
        <v>2</v>
      </c>
      <c r="D32" s="1" t="s">
        <v>145</v>
      </c>
      <c r="E32" s="1" t="s">
        <v>177</v>
      </c>
      <c r="F32" s="4">
        <v>45366</v>
      </c>
      <c r="G32" s="3">
        <v>0.26502314814814815</v>
      </c>
      <c r="H32" s="1">
        <v>0.56100000000000005</v>
      </c>
      <c r="L32" s="3">
        <v>0.23423611111111112</v>
      </c>
      <c r="M32" s="3">
        <f t="shared" si="1"/>
        <v>3.0787037037037029E-2</v>
      </c>
      <c r="O32" s="3">
        <v>3.0497685185185187E-2</v>
      </c>
    </row>
    <row r="33" spans="1:22" x14ac:dyDescent="0.2">
      <c r="A33" s="1">
        <v>1</v>
      </c>
      <c r="B33" s="1">
        <v>1.2</v>
      </c>
      <c r="C33" s="1">
        <v>1</v>
      </c>
      <c r="D33" s="1" t="s">
        <v>146</v>
      </c>
      <c r="E33" s="1" t="s">
        <v>178</v>
      </c>
      <c r="F33" s="4">
        <v>45366</v>
      </c>
      <c r="G33" s="3">
        <v>0.7882986111111111</v>
      </c>
      <c r="H33" s="1">
        <v>1.3699999999999999E-3</v>
      </c>
      <c r="L33" s="3">
        <v>0.75768518518518524</v>
      </c>
      <c r="M33" s="3">
        <f t="shared" si="1"/>
        <v>3.0613425925925863E-2</v>
      </c>
      <c r="O33" s="3">
        <v>3.0243055555555554E-2</v>
      </c>
    </row>
    <row r="34" spans="1:22" x14ac:dyDescent="0.2">
      <c r="A34" s="1">
        <v>1</v>
      </c>
      <c r="B34" s="1">
        <v>1.2</v>
      </c>
      <c r="C34" s="1">
        <v>2</v>
      </c>
      <c r="D34" s="1" t="s">
        <v>148</v>
      </c>
      <c r="E34" s="1" t="s">
        <v>179</v>
      </c>
      <c r="F34" s="4">
        <v>45367</v>
      </c>
      <c r="G34" s="3">
        <v>0.25092592592592594</v>
      </c>
      <c r="H34" s="7">
        <v>0.159</v>
      </c>
      <c r="I34" s="7" t="s">
        <v>399</v>
      </c>
      <c r="J34" s="7">
        <v>5.0600000000000005E-4</v>
      </c>
      <c r="K34" s="7" t="s">
        <v>431</v>
      </c>
      <c r="L34" s="3">
        <v>0.2401851851851852</v>
      </c>
      <c r="M34" s="3">
        <f t="shared" si="1"/>
        <v>1.0740740740740745E-2</v>
      </c>
      <c r="O34" s="3">
        <v>1.0474537037037037E-2</v>
      </c>
    </row>
    <row r="35" spans="1:22" x14ac:dyDescent="0.2">
      <c r="A35" s="1">
        <v>1</v>
      </c>
      <c r="B35" s="1">
        <v>1.2</v>
      </c>
      <c r="C35" s="1">
        <v>1</v>
      </c>
      <c r="D35" s="1" t="s">
        <v>150</v>
      </c>
      <c r="E35" s="1" t="s">
        <v>180</v>
      </c>
      <c r="F35" s="4">
        <v>45367</v>
      </c>
      <c r="G35" s="3">
        <v>0.78707175925925921</v>
      </c>
      <c r="H35" s="1">
        <v>4.5900000000000003E-3</v>
      </c>
      <c r="L35" s="3">
        <v>0.75130787037037039</v>
      </c>
      <c r="M35" s="3">
        <f t="shared" si="1"/>
        <v>3.5763888888888817E-2</v>
      </c>
      <c r="O35" s="3">
        <v>3.5578703703703703E-2</v>
      </c>
      <c r="P35" s="1" t="s">
        <v>185</v>
      </c>
    </row>
    <row r="36" spans="1:22" x14ac:dyDescent="0.2">
      <c r="A36" s="1">
        <v>1</v>
      </c>
      <c r="B36" s="1">
        <v>1.2</v>
      </c>
      <c r="C36" s="1">
        <v>1</v>
      </c>
      <c r="D36" s="1" t="s">
        <v>148</v>
      </c>
      <c r="E36" s="1" t="s">
        <v>179</v>
      </c>
      <c r="F36" s="4">
        <v>45367</v>
      </c>
      <c r="G36" s="1" t="s">
        <v>21</v>
      </c>
      <c r="H36" s="1" t="s">
        <v>21</v>
      </c>
      <c r="L36" s="3">
        <v>0.2401851851851852</v>
      </c>
      <c r="M36" s="1" t="s">
        <v>21</v>
      </c>
      <c r="O36" s="1" t="s">
        <v>21</v>
      </c>
      <c r="P36" s="1" t="s">
        <v>182</v>
      </c>
    </row>
    <row r="37" spans="1:22" x14ac:dyDescent="0.2">
      <c r="A37" s="1">
        <v>1</v>
      </c>
      <c r="B37" s="1">
        <v>1.2</v>
      </c>
      <c r="C37" s="1">
        <v>3</v>
      </c>
      <c r="D37" s="1" t="s">
        <v>148</v>
      </c>
      <c r="E37" s="1" t="s">
        <v>179</v>
      </c>
      <c r="F37" s="4">
        <v>45367</v>
      </c>
      <c r="G37" s="1" t="s">
        <v>21</v>
      </c>
      <c r="H37" s="1" t="s">
        <v>21</v>
      </c>
      <c r="L37" s="3">
        <v>0.2401851851851852</v>
      </c>
      <c r="M37" s="1" t="s">
        <v>21</v>
      </c>
      <c r="O37" s="1" t="s">
        <v>21</v>
      </c>
      <c r="P37" s="1" t="s">
        <v>183</v>
      </c>
    </row>
    <row r="38" spans="1:22" x14ac:dyDescent="0.2">
      <c r="A38" s="1">
        <v>1</v>
      </c>
      <c r="B38" s="1">
        <v>1.2</v>
      </c>
      <c r="C38" s="1">
        <v>1</v>
      </c>
      <c r="D38" s="1" t="s">
        <v>155</v>
      </c>
      <c r="E38" s="1" t="s">
        <v>181</v>
      </c>
      <c r="F38" s="4">
        <v>45368</v>
      </c>
      <c r="G38" s="3">
        <v>0.25017361111111114</v>
      </c>
      <c r="H38" s="7">
        <v>1.1469999999999999E-2</v>
      </c>
      <c r="I38" s="1" t="s">
        <v>434</v>
      </c>
      <c r="L38" s="3">
        <v>0.23671296296296296</v>
      </c>
      <c r="M38" s="3">
        <f t="shared" ref="M38:M44" si="2">G38 - L38</f>
        <v>1.346064814814818E-2</v>
      </c>
      <c r="O38" s="3"/>
    </row>
    <row r="39" spans="1:22" x14ac:dyDescent="0.2">
      <c r="A39" s="1">
        <v>1</v>
      </c>
      <c r="B39" s="1">
        <v>1.2</v>
      </c>
      <c r="C39" s="1">
        <v>2</v>
      </c>
      <c r="D39" s="1" t="s">
        <v>155</v>
      </c>
      <c r="E39" s="1" t="s">
        <v>181</v>
      </c>
      <c r="F39" s="4">
        <v>45368</v>
      </c>
      <c r="G39" s="3">
        <v>0.26189814814814816</v>
      </c>
      <c r="H39" s="1">
        <v>0.39300000000000002</v>
      </c>
      <c r="L39" s="3">
        <v>0.23671296296296296</v>
      </c>
      <c r="M39" s="3">
        <f t="shared" si="2"/>
        <v>2.5185185185185199E-2</v>
      </c>
    </row>
    <row r="40" spans="1:22" x14ac:dyDescent="0.2">
      <c r="A40" s="1">
        <v>1</v>
      </c>
      <c r="B40" s="1">
        <v>1.2</v>
      </c>
      <c r="C40" s="1">
        <v>1</v>
      </c>
      <c r="D40" s="1" t="s">
        <v>161</v>
      </c>
      <c r="E40" s="1" t="s">
        <v>191</v>
      </c>
      <c r="F40" s="4">
        <v>45368</v>
      </c>
      <c r="G40" s="3">
        <v>0.78758101851851858</v>
      </c>
      <c r="H40" s="1">
        <v>1.14E-3</v>
      </c>
      <c r="L40" s="3">
        <v>0.75736111111111115</v>
      </c>
      <c r="M40" s="3">
        <f t="shared" si="2"/>
        <v>3.0219907407407431E-2</v>
      </c>
      <c r="O40" s="3">
        <v>2.9965277777777778E-2</v>
      </c>
      <c r="P40" s="1" t="s">
        <v>190</v>
      </c>
    </row>
    <row r="41" spans="1:22" x14ac:dyDescent="0.2">
      <c r="A41" s="1">
        <v>1</v>
      </c>
      <c r="B41" s="1">
        <v>1.2</v>
      </c>
      <c r="C41" s="1">
        <v>1</v>
      </c>
      <c r="D41" s="1" t="s">
        <v>160</v>
      </c>
      <c r="E41" s="1" t="s">
        <v>193</v>
      </c>
      <c r="F41" s="4">
        <v>45369</v>
      </c>
      <c r="G41" s="3">
        <v>0.24724537037037037</v>
      </c>
      <c r="H41" s="7">
        <v>6.7000000000000002E-3</v>
      </c>
      <c r="I41" s="1" t="s">
        <v>435</v>
      </c>
      <c r="L41" s="3">
        <v>0.2326388888888889</v>
      </c>
      <c r="M41" s="3">
        <f t="shared" si="2"/>
        <v>1.460648148148147E-2</v>
      </c>
      <c r="O41" s="3">
        <v>1.4201388888888888E-2</v>
      </c>
    </row>
    <row r="42" spans="1:22" x14ac:dyDescent="0.2">
      <c r="A42" s="1">
        <v>1</v>
      </c>
      <c r="B42" s="1">
        <v>1.2</v>
      </c>
      <c r="C42" s="1">
        <v>2</v>
      </c>
      <c r="D42" s="1" t="s">
        <v>160</v>
      </c>
      <c r="E42" s="1" t="s">
        <v>193</v>
      </c>
      <c r="F42" s="4">
        <v>45369</v>
      </c>
      <c r="G42" s="3">
        <v>0.25831018518518517</v>
      </c>
      <c r="H42" s="1">
        <v>4.9200000000000001E-2</v>
      </c>
      <c r="L42" s="3">
        <v>0.2326388888888889</v>
      </c>
      <c r="M42" s="3">
        <f t="shared" si="2"/>
        <v>2.5671296296296275E-2</v>
      </c>
      <c r="O42" s="3">
        <v>2.5266203703703704E-2</v>
      </c>
    </row>
    <row r="43" spans="1:22" s="7" customFormat="1" x14ac:dyDescent="0.2">
      <c r="A43" s="1">
        <v>1</v>
      </c>
      <c r="B43" s="1">
        <v>1.2</v>
      </c>
      <c r="C43" s="1">
        <v>1</v>
      </c>
      <c r="D43" s="1" t="s">
        <v>158</v>
      </c>
      <c r="E43" s="1" t="s">
        <v>195</v>
      </c>
      <c r="F43" s="4">
        <v>45369</v>
      </c>
      <c r="G43" s="3">
        <v>0.78405092592592596</v>
      </c>
      <c r="H43" s="7" t="s">
        <v>398</v>
      </c>
      <c r="I43" s="1" t="s">
        <v>206</v>
      </c>
      <c r="J43" s="1">
        <v>9.7699999999999992E-3</v>
      </c>
      <c r="K43" s="7" t="s">
        <v>433</v>
      </c>
      <c r="L43" s="3">
        <v>0.75791666666666668</v>
      </c>
      <c r="M43" s="3">
        <f t="shared" si="2"/>
        <v>2.6134259259259274E-2</v>
      </c>
      <c r="N43" s="1"/>
      <c r="O43" s="3">
        <v>2.5810185185185186E-2</v>
      </c>
      <c r="Q43" s="1"/>
      <c r="R43" s="1"/>
      <c r="S43" s="1"/>
      <c r="T43" s="1"/>
      <c r="U43" s="1"/>
      <c r="V43" s="1"/>
    </row>
    <row r="44" spans="1:22" x14ac:dyDescent="0.2">
      <c r="A44" s="1">
        <v>1</v>
      </c>
      <c r="B44" s="1">
        <v>1.2</v>
      </c>
      <c r="C44" s="1">
        <v>1</v>
      </c>
      <c r="D44" s="1" t="s">
        <v>156</v>
      </c>
      <c r="E44" s="1" t="s">
        <v>196</v>
      </c>
      <c r="F44" s="4">
        <v>45370</v>
      </c>
      <c r="G44" s="3">
        <v>0.26055555555555554</v>
      </c>
      <c r="H44" s="1">
        <v>5.8200000000000002E-2</v>
      </c>
      <c r="L44" s="3">
        <v>0.22921296296296295</v>
      </c>
      <c r="M44" s="3">
        <f t="shared" si="2"/>
        <v>3.1342592592592589E-2</v>
      </c>
      <c r="O44" s="3">
        <v>3.0844907407407408E-2</v>
      </c>
    </row>
    <row r="45" spans="1:22" x14ac:dyDescent="0.2">
      <c r="A45" s="1">
        <v>1</v>
      </c>
      <c r="B45" s="1">
        <v>1.2</v>
      </c>
      <c r="C45" s="1">
        <v>1</v>
      </c>
      <c r="D45" s="1" t="s">
        <v>187</v>
      </c>
      <c r="E45" s="1" t="s">
        <v>382</v>
      </c>
      <c r="F45" s="4">
        <v>45370</v>
      </c>
      <c r="G45" s="3" t="s">
        <v>21</v>
      </c>
      <c r="H45" s="1" t="s">
        <v>21</v>
      </c>
      <c r="L45" s="3" t="s">
        <v>383</v>
      </c>
      <c r="M45" s="1" t="s">
        <v>21</v>
      </c>
      <c r="O45" s="6" t="s">
        <v>21</v>
      </c>
      <c r="P45" s="1" t="s">
        <v>188</v>
      </c>
      <c r="U45" s="2"/>
      <c r="V45" s="2"/>
    </row>
    <row r="46" spans="1:22" x14ac:dyDescent="0.2">
      <c r="A46" s="1">
        <v>1</v>
      </c>
      <c r="B46" s="1">
        <v>1.2</v>
      </c>
      <c r="C46" s="1">
        <v>1</v>
      </c>
      <c r="D46" s="1" t="s">
        <v>199</v>
      </c>
      <c r="E46" s="1" t="s">
        <v>266</v>
      </c>
      <c r="F46" s="4">
        <v>45372</v>
      </c>
      <c r="G46" s="6">
        <v>0.26060185185185186</v>
      </c>
      <c r="H46" s="1">
        <v>0.22700000000000001</v>
      </c>
      <c r="L46" s="3">
        <v>0.22766203703703702</v>
      </c>
      <c r="M46" s="3">
        <f>G46 - L46</f>
        <v>3.2939814814814838E-2</v>
      </c>
      <c r="O46" s="3">
        <v>3.2384259259259258E-2</v>
      </c>
    </row>
    <row r="47" spans="1:22" x14ac:dyDescent="0.2">
      <c r="A47" s="1">
        <v>1</v>
      </c>
      <c r="B47" s="1">
        <v>1.2</v>
      </c>
      <c r="C47" s="1">
        <v>1</v>
      </c>
      <c r="D47" s="1" t="s">
        <v>213</v>
      </c>
      <c r="E47" s="4" t="s">
        <v>21</v>
      </c>
      <c r="F47" s="4">
        <v>45372</v>
      </c>
      <c r="G47" s="6">
        <v>0.77483796296296303</v>
      </c>
      <c r="H47" s="1" t="s">
        <v>21</v>
      </c>
      <c r="I47" s="1" t="s">
        <v>397</v>
      </c>
      <c r="J47" s="1">
        <v>0.54600000000000004</v>
      </c>
      <c r="K47" s="1" t="s">
        <v>438</v>
      </c>
      <c r="L47" s="1" t="s">
        <v>21</v>
      </c>
      <c r="M47" s="1" t="s">
        <v>21</v>
      </c>
      <c r="O47" s="1" t="s">
        <v>21</v>
      </c>
      <c r="P47" s="1" t="s">
        <v>259</v>
      </c>
    </row>
    <row r="48" spans="1:22" x14ac:dyDescent="0.2">
      <c r="A48" s="1">
        <v>1</v>
      </c>
      <c r="B48" s="1">
        <v>1.2</v>
      </c>
      <c r="C48" s="1">
        <v>2</v>
      </c>
      <c r="D48" s="1" t="s">
        <v>213</v>
      </c>
      <c r="E48" s="4" t="s">
        <v>21</v>
      </c>
      <c r="F48" s="4">
        <v>45372</v>
      </c>
      <c r="G48" s="6" t="s">
        <v>21</v>
      </c>
      <c r="H48" s="1" t="s">
        <v>21</v>
      </c>
      <c r="L48" s="1" t="s">
        <v>21</v>
      </c>
      <c r="M48" s="1" t="s">
        <v>21</v>
      </c>
      <c r="O48" s="1" t="s">
        <v>21</v>
      </c>
      <c r="P48" s="1" t="s">
        <v>262</v>
      </c>
    </row>
    <row r="49" spans="1:22" x14ac:dyDescent="0.2">
      <c r="A49" s="1">
        <v>1</v>
      </c>
      <c r="B49" s="1">
        <v>1.2</v>
      </c>
      <c r="C49" s="1">
        <v>1</v>
      </c>
      <c r="D49" s="1" t="s">
        <v>216</v>
      </c>
      <c r="E49" s="1" t="s">
        <v>249</v>
      </c>
      <c r="F49" s="4">
        <v>45373</v>
      </c>
      <c r="G49" s="6">
        <v>0.25677083333333334</v>
      </c>
      <c r="H49" s="1">
        <v>9.2299999999999993E-2</v>
      </c>
      <c r="L49" s="3">
        <v>0.22378472222222223</v>
      </c>
      <c r="M49" s="3">
        <f t="shared" ref="M49:M55" si="3">G49 - L49</f>
        <v>3.2986111111111105E-2</v>
      </c>
      <c r="O49" s="3">
        <v>3.2916666666666664E-2</v>
      </c>
      <c r="P49" s="1" t="s">
        <v>264</v>
      </c>
    </row>
    <row r="50" spans="1:22" x14ac:dyDescent="0.2">
      <c r="A50" s="1">
        <v>1</v>
      </c>
      <c r="B50" s="1">
        <v>1.2</v>
      </c>
      <c r="C50" s="1">
        <v>1</v>
      </c>
      <c r="D50" s="1" t="s">
        <v>217</v>
      </c>
      <c r="E50" s="1" t="s">
        <v>250</v>
      </c>
      <c r="F50" s="4">
        <v>45373</v>
      </c>
      <c r="G50" s="6">
        <v>0.77311342592592591</v>
      </c>
      <c r="H50" s="1">
        <v>0.54600000000000004</v>
      </c>
      <c r="L50" s="3">
        <v>0.75416666666666665</v>
      </c>
      <c r="M50" s="3">
        <f t="shared" si="3"/>
        <v>1.894675925925926E-2</v>
      </c>
      <c r="O50" s="3">
        <v>1.8692129629629628E-2</v>
      </c>
    </row>
    <row r="51" spans="1:22" x14ac:dyDescent="0.2">
      <c r="A51" s="1">
        <v>1</v>
      </c>
      <c r="B51" s="1">
        <v>1.2</v>
      </c>
      <c r="C51" s="1">
        <v>1</v>
      </c>
      <c r="D51" s="1" t="s">
        <v>219</v>
      </c>
      <c r="E51" s="1" t="s">
        <v>251</v>
      </c>
      <c r="F51" s="4">
        <v>45374</v>
      </c>
      <c r="G51" s="6">
        <v>0.25959490740740743</v>
      </c>
      <c r="H51" s="1">
        <v>0.24</v>
      </c>
      <c r="L51" s="3">
        <v>0.2399537037037037</v>
      </c>
      <c r="M51" s="3">
        <f t="shared" si="3"/>
        <v>1.964120370370373E-2</v>
      </c>
      <c r="O51" s="3">
        <v>1.9432870370370371E-2</v>
      </c>
    </row>
    <row r="52" spans="1:22" x14ac:dyDescent="0.2">
      <c r="A52" s="1">
        <v>1</v>
      </c>
      <c r="B52" s="1">
        <v>1.2</v>
      </c>
      <c r="C52" s="1">
        <v>2</v>
      </c>
      <c r="D52" s="1" t="s">
        <v>219</v>
      </c>
      <c r="E52" s="1" t="s">
        <v>251</v>
      </c>
      <c r="F52" s="4">
        <v>45374</v>
      </c>
      <c r="G52" s="6">
        <v>0.26443287037037039</v>
      </c>
      <c r="H52" s="1">
        <v>0.70799999999999996</v>
      </c>
      <c r="L52" s="3">
        <v>0.2399537037037037</v>
      </c>
      <c r="M52" s="3">
        <f t="shared" si="3"/>
        <v>2.4479166666666691E-2</v>
      </c>
      <c r="O52" s="3">
        <v>2.4270833333333332E-2</v>
      </c>
    </row>
    <row r="53" spans="1:22" x14ac:dyDescent="0.2">
      <c r="A53" s="1">
        <v>1</v>
      </c>
      <c r="B53" s="1">
        <v>1.2</v>
      </c>
      <c r="C53" s="1">
        <v>1</v>
      </c>
      <c r="D53" s="1" t="s">
        <v>222</v>
      </c>
      <c r="E53" s="1" t="s">
        <v>110</v>
      </c>
      <c r="F53" s="4">
        <v>45374</v>
      </c>
      <c r="G53" s="6">
        <v>0.77297453703703711</v>
      </c>
      <c r="H53" s="1">
        <v>0.85299999999999998</v>
      </c>
      <c r="L53" s="3">
        <v>0.75451388888888893</v>
      </c>
      <c r="M53" s="3">
        <f t="shared" si="3"/>
        <v>1.8460648148148184E-2</v>
      </c>
      <c r="O53" s="3">
        <v>1.8310185185185186E-2</v>
      </c>
    </row>
    <row r="54" spans="1:22" x14ac:dyDescent="0.2">
      <c r="A54" s="1">
        <v>1</v>
      </c>
      <c r="B54" s="1">
        <v>1.2</v>
      </c>
      <c r="C54" s="1">
        <v>2</v>
      </c>
      <c r="D54" s="1" t="s">
        <v>222</v>
      </c>
      <c r="E54" s="1" t="s">
        <v>110</v>
      </c>
      <c r="F54" s="4">
        <v>45374</v>
      </c>
      <c r="G54" s="6">
        <v>0.78350694444444446</v>
      </c>
      <c r="H54" s="1">
        <v>2.1899999999999999E-2</v>
      </c>
      <c r="L54" s="3">
        <v>0.75451388888888893</v>
      </c>
      <c r="M54" s="3">
        <f t="shared" si="3"/>
        <v>2.8993055555555536E-2</v>
      </c>
      <c r="O54" s="3">
        <v>2.8923611111111112E-2</v>
      </c>
    </row>
    <row r="55" spans="1:22" x14ac:dyDescent="0.2">
      <c r="A55" s="1">
        <v>1</v>
      </c>
      <c r="B55" s="1">
        <v>1.2</v>
      </c>
      <c r="C55" s="1">
        <v>1</v>
      </c>
      <c r="D55" s="1" t="s">
        <v>225</v>
      </c>
      <c r="E55" s="1" t="s">
        <v>252</v>
      </c>
      <c r="F55" s="4">
        <v>45375</v>
      </c>
      <c r="G55" s="6">
        <v>0.26059027777777777</v>
      </c>
      <c r="H55" s="1">
        <v>0.378</v>
      </c>
      <c r="L55" s="3">
        <v>0.23355324074074074</v>
      </c>
      <c r="M55" s="3">
        <f t="shared" si="3"/>
        <v>2.7037037037037026E-2</v>
      </c>
      <c r="O55" s="3">
        <v>2.6793981481481481E-2</v>
      </c>
    </row>
    <row r="56" spans="1:22" x14ac:dyDescent="0.2">
      <c r="A56" s="1">
        <v>1</v>
      </c>
      <c r="B56" s="1">
        <v>1.2</v>
      </c>
      <c r="C56" s="1">
        <v>2</v>
      </c>
      <c r="D56" s="1" t="s">
        <v>225</v>
      </c>
      <c r="E56" s="1" t="s">
        <v>252</v>
      </c>
      <c r="F56" s="4">
        <v>45375</v>
      </c>
      <c r="G56" s="6" t="s">
        <v>21</v>
      </c>
      <c r="H56" s="1" t="s">
        <v>21</v>
      </c>
      <c r="L56" s="3">
        <v>0.23355324074074074</v>
      </c>
      <c r="M56" s="1" t="s">
        <v>21</v>
      </c>
      <c r="O56" s="1" t="s">
        <v>21</v>
      </c>
      <c r="P56" s="1" t="s">
        <v>260</v>
      </c>
    </row>
    <row r="57" spans="1:22" x14ac:dyDescent="0.2">
      <c r="A57" s="1">
        <v>1</v>
      </c>
      <c r="B57" s="1">
        <v>1.2</v>
      </c>
      <c r="C57" s="1">
        <v>1</v>
      </c>
      <c r="D57" s="1" t="s">
        <v>236</v>
      </c>
      <c r="E57" s="1" t="s">
        <v>117</v>
      </c>
      <c r="F57" s="4">
        <v>45375</v>
      </c>
      <c r="G57" s="6">
        <v>0.7900462962962963</v>
      </c>
      <c r="H57" s="1">
        <v>6.8999999999999997E-4</v>
      </c>
      <c r="L57" s="3">
        <v>0.74961805555555561</v>
      </c>
      <c r="M57" s="3">
        <f>G57 - L57</f>
        <v>4.0428240740740695E-2</v>
      </c>
      <c r="O57" s="1" t="s">
        <v>21</v>
      </c>
      <c r="P57" s="1" t="s">
        <v>263</v>
      </c>
    </row>
    <row r="58" spans="1:22" x14ac:dyDescent="0.2">
      <c r="A58" s="1">
        <v>1</v>
      </c>
      <c r="B58" s="1">
        <v>1.2</v>
      </c>
      <c r="C58" s="1">
        <v>1</v>
      </c>
      <c r="D58" s="1" t="s">
        <v>343</v>
      </c>
      <c r="E58" s="1" t="s">
        <v>254</v>
      </c>
      <c r="F58" s="4">
        <v>45376</v>
      </c>
      <c r="G58" s="6">
        <v>0.78878472222222218</v>
      </c>
      <c r="H58" s="1">
        <v>9.3000000000000005E-4</v>
      </c>
      <c r="L58" s="3">
        <v>0.75342592592592594</v>
      </c>
      <c r="M58" s="3">
        <f>G58 - L58</f>
        <v>3.5358796296296235E-2</v>
      </c>
      <c r="O58" s="3">
        <v>3.5474537037037034E-2</v>
      </c>
    </row>
    <row r="59" spans="1:22" x14ac:dyDescent="0.2">
      <c r="A59" s="1">
        <v>1</v>
      </c>
      <c r="B59" s="1">
        <v>1.2</v>
      </c>
      <c r="C59" s="1">
        <v>1</v>
      </c>
      <c r="D59" s="1" t="s">
        <v>237</v>
      </c>
      <c r="E59" s="1" t="s">
        <v>253</v>
      </c>
      <c r="F59" s="4">
        <v>45376</v>
      </c>
      <c r="G59" s="6">
        <v>0.2697222222222222</v>
      </c>
      <c r="H59" s="1">
        <v>3.56</v>
      </c>
      <c r="L59" s="3">
        <v>0.23734953703703704</v>
      </c>
      <c r="M59" s="3">
        <f>G59 - L59</f>
        <v>3.2372685185185157E-2</v>
      </c>
      <c r="O59" s="3">
        <v>3.2569444444444443E-2</v>
      </c>
      <c r="P59" s="3"/>
    </row>
    <row r="60" spans="1:22" x14ac:dyDescent="0.2">
      <c r="A60" s="1">
        <v>1</v>
      </c>
      <c r="B60" s="1">
        <v>1.2</v>
      </c>
      <c r="C60" s="1" t="s">
        <v>21</v>
      </c>
      <c r="D60" s="1" t="s">
        <v>21</v>
      </c>
      <c r="E60" s="1" t="s">
        <v>21</v>
      </c>
      <c r="F60" s="4">
        <v>45377</v>
      </c>
      <c r="G60" s="6" t="s">
        <v>21</v>
      </c>
      <c r="H60" s="1" t="s">
        <v>21</v>
      </c>
      <c r="L60" s="1" t="s">
        <v>21</v>
      </c>
      <c r="M60" s="1" t="s">
        <v>21</v>
      </c>
      <c r="O60" s="1" t="s">
        <v>21</v>
      </c>
      <c r="P60" s="1" t="s">
        <v>261</v>
      </c>
    </row>
    <row r="61" spans="1:22" x14ac:dyDescent="0.2">
      <c r="A61" s="1">
        <v>1</v>
      </c>
      <c r="B61" s="1">
        <v>1.2</v>
      </c>
      <c r="C61" s="1">
        <v>1</v>
      </c>
      <c r="D61" s="1" t="s">
        <v>241</v>
      </c>
      <c r="E61" s="1" t="s">
        <v>118</v>
      </c>
      <c r="F61" s="4">
        <v>45377</v>
      </c>
      <c r="G61" s="6">
        <v>0.25787037037037036</v>
      </c>
      <c r="H61" s="1">
        <v>0.251</v>
      </c>
      <c r="L61" s="3">
        <v>0.23350694444444445</v>
      </c>
      <c r="M61" s="3">
        <f t="shared" ref="M61:M73" si="4">G61 - L61</f>
        <v>2.4363425925925913E-2</v>
      </c>
      <c r="O61" s="3">
        <v>2.4108796296296295E-2</v>
      </c>
    </row>
    <row r="62" spans="1:22" x14ac:dyDescent="0.2">
      <c r="A62" s="1">
        <v>1</v>
      </c>
      <c r="B62" s="1">
        <v>1.2</v>
      </c>
      <c r="C62" s="1">
        <v>2</v>
      </c>
      <c r="D62" s="1" t="s">
        <v>241</v>
      </c>
      <c r="E62" s="1" t="s">
        <v>118</v>
      </c>
      <c r="F62" s="4">
        <v>45377</v>
      </c>
      <c r="G62" s="6">
        <v>0.27064814814814814</v>
      </c>
      <c r="H62" s="1">
        <v>5.0199999999999996</v>
      </c>
      <c r="L62" s="3">
        <v>0.23350694444444445</v>
      </c>
      <c r="M62" s="3">
        <f t="shared" si="4"/>
        <v>3.714120370370369E-2</v>
      </c>
      <c r="O62" s="3">
        <v>3.6851851851851851E-2</v>
      </c>
    </row>
    <row r="63" spans="1:22" s="7" customFormat="1" ht="15" customHeight="1" x14ac:dyDescent="0.2">
      <c r="A63" s="1">
        <v>1</v>
      </c>
      <c r="B63" s="1">
        <v>1.2</v>
      </c>
      <c r="C63" s="1">
        <v>1</v>
      </c>
      <c r="D63" s="1" t="s">
        <v>244</v>
      </c>
      <c r="E63" s="1" t="s">
        <v>402</v>
      </c>
      <c r="F63" s="4">
        <v>45378</v>
      </c>
      <c r="G63" s="6">
        <v>0.25310185185185186</v>
      </c>
      <c r="H63" s="7">
        <v>3.6400000000000002E-2</v>
      </c>
      <c r="I63" s="1" t="s">
        <v>436</v>
      </c>
      <c r="L63" s="3">
        <v>0.23856481481481481</v>
      </c>
      <c r="M63" s="3">
        <f t="shared" si="4"/>
        <v>1.4537037037037043E-2</v>
      </c>
      <c r="N63" s="1"/>
      <c r="O63" s="3">
        <v>1.425925925925926E-2</v>
      </c>
      <c r="Q63" s="1"/>
      <c r="R63" s="1"/>
      <c r="S63" s="1"/>
      <c r="T63" s="1"/>
      <c r="U63" s="1"/>
      <c r="V63" s="1"/>
    </row>
    <row r="64" spans="1:22" s="7" customFormat="1" x14ac:dyDescent="0.2">
      <c r="A64" s="1">
        <v>1</v>
      </c>
      <c r="B64" s="1">
        <v>1.2</v>
      </c>
      <c r="C64" s="1">
        <v>1</v>
      </c>
      <c r="D64" s="1" t="s">
        <v>286</v>
      </c>
      <c r="E64" s="1" t="s">
        <v>287</v>
      </c>
      <c r="F64" s="4">
        <v>45378</v>
      </c>
      <c r="G64" s="6">
        <v>0.78462962962962968</v>
      </c>
      <c r="H64" s="1">
        <v>6.28E-3</v>
      </c>
      <c r="I64" s="1"/>
      <c r="J64" s="1"/>
      <c r="K64" s="1"/>
      <c r="L64" s="3">
        <v>0.75918981481481485</v>
      </c>
      <c r="M64" s="3">
        <f t="shared" si="4"/>
        <v>2.5439814814814832E-2</v>
      </c>
      <c r="N64" s="1"/>
      <c r="O64" s="6">
        <v>2.5196759259259259E-2</v>
      </c>
      <c r="P64" s="1"/>
      <c r="Q64" s="5"/>
      <c r="R64" s="1"/>
      <c r="S64" s="1"/>
      <c r="T64" s="1"/>
      <c r="U64" s="1"/>
      <c r="V64" s="1"/>
    </row>
    <row r="65" spans="1:22" s="7" customFormat="1" x14ac:dyDescent="0.2">
      <c r="A65" s="7">
        <v>1</v>
      </c>
      <c r="B65" s="7">
        <v>1.2</v>
      </c>
      <c r="C65" s="7">
        <v>1</v>
      </c>
      <c r="D65" s="7" t="s">
        <v>270</v>
      </c>
      <c r="E65" s="7" t="s">
        <v>392</v>
      </c>
      <c r="F65" s="9">
        <v>45379</v>
      </c>
      <c r="G65" s="10">
        <v>0.24640046296296297</v>
      </c>
      <c r="H65" s="7" t="s">
        <v>395</v>
      </c>
      <c r="I65" s="7" t="s">
        <v>394</v>
      </c>
      <c r="J65" s="7">
        <v>1.2869999999999999E-2</v>
      </c>
      <c r="K65" s="7" t="s">
        <v>432</v>
      </c>
      <c r="L65" s="8">
        <v>0.23756944444444444</v>
      </c>
      <c r="M65" s="8">
        <f t="shared" si="4"/>
        <v>8.8310185185185297E-3</v>
      </c>
      <c r="O65" s="6">
        <v>8.5416666666666662E-3</v>
      </c>
    </row>
    <row r="66" spans="1:22" s="7" customFormat="1" x14ac:dyDescent="0.2">
      <c r="A66" s="7">
        <v>1</v>
      </c>
      <c r="B66" s="7">
        <v>1.2</v>
      </c>
      <c r="C66" s="7">
        <v>2</v>
      </c>
      <c r="D66" s="7" t="s">
        <v>270</v>
      </c>
      <c r="E66" s="7" t="s">
        <v>392</v>
      </c>
      <c r="F66" s="9">
        <v>45379</v>
      </c>
      <c r="G66" s="10">
        <v>0.25540509259259259</v>
      </c>
      <c r="H66" s="7" t="s">
        <v>396</v>
      </c>
      <c r="I66" s="7" t="s">
        <v>394</v>
      </c>
      <c r="J66" s="7">
        <v>0.14929999999999999</v>
      </c>
      <c r="K66" s="7" t="s">
        <v>431</v>
      </c>
      <c r="L66" s="8">
        <v>0.23756944444444444</v>
      </c>
      <c r="M66" s="8">
        <f t="shared" si="4"/>
        <v>1.7835648148148142E-2</v>
      </c>
      <c r="O66" s="6">
        <v>1.7824074074074076E-2</v>
      </c>
      <c r="Q66" s="11"/>
      <c r="V66" s="13"/>
    </row>
    <row r="67" spans="1:22" s="7" customFormat="1" x14ac:dyDescent="0.2">
      <c r="A67" s="7">
        <v>1</v>
      </c>
      <c r="B67" s="7">
        <v>1.2</v>
      </c>
      <c r="C67" s="7">
        <v>3</v>
      </c>
      <c r="D67" s="7" t="s">
        <v>270</v>
      </c>
      <c r="E67" s="7" t="s">
        <v>392</v>
      </c>
      <c r="F67" s="9">
        <v>45379</v>
      </c>
      <c r="G67" s="10">
        <v>0.26923611111111112</v>
      </c>
      <c r="H67" s="7">
        <v>3.83</v>
      </c>
      <c r="L67" s="8">
        <v>0.23756944444444444</v>
      </c>
      <c r="M67" s="8">
        <f t="shared" si="4"/>
        <v>3.1666666666666676E-2</v>
      </c>
      <c r="O67" s="6">
        <v>3.1296296296296294E-2</v>
      </c>
      <c r="P67" s="7" t="s">
        <v>394</v>
      </c>
      <c r="Q67" s="11"/>
      <c r="V67" s="13"/>
    </row>
    <row r="68" spans="1:22" x14ac:dyDescent="0.2">
      <c r="A68" s="1">
        <v>1</v>
      </c>
      <c r="B68" s="1">
        <v>1.2</v>
      </c>
      <c r="C68" s="1">
        <v>1</v>
      </c>
      <c r="D68" s="1" t="s">
        <v>281</v>
      </c>
      <c r="E68" s="1" t="s">
        <v>393</v>
      </c>
      <c r="F68" s="4">
        <v>45379</v>
      </c>
      <c r="G68" s="6">
        <v>0.78693287037037041</v>
      </c>
      <c r="H68" s="7" t="s">
        <v>391</v>
      </c>
      <c r="I68" s="7" t="s">
        <v>390</v>
      </c>
      <c r="J68" s="7">
        <v>6.5199999999999998E-3</v>
      </c>
      <c r="K68" s="7" t="s">
        <v>429</v>
      </c>
      <c r="L68" s="3">
        <v>0.76531249999999995</v>
      </c>
      <c r="M68" s="3">
        <f t="shared" si="4"/>
        <v>2.1620370370370456E-2</v>
      </c>
      <c r="N68" s="7"/>
      <c r="O68" s="6">
        <v>2.2372685185185186E-2</v>
      </c>
      <c r="R68" s="7"/>
      <c r="S68" s="7"/>
      <c r="T68" s="7"/>
      <c r="U68" s="7"/>
      <c r="V68" s="13"/>
    </row>
    <row r="69" spans="1:22" x14ac:dyDescent="0.2">
      <c r="A69" s="1">
        <v>1</v>
      </c>
      <c r="B69" s="1">
        <v>1.2</v>
      </c>
      <c r="C69" s="1">
        <v>1</v>
      </c>
      <c r="D69" s="1" t="s">
        <v>285</v>
      </c>
      <c r="E69" s="1" t="s">
        <v>291</v>
      </c>
      <c r="F69" s="4">
        <v>45380</v>
      </c>
      <c r="G69" s="6">
        <v>0.25002314814814813</v>
      </c>
      <c r="H69" s="1">
        <v>1.0630000000000001E-2</v>
      </c>
      <c r="L69" s="3">
        <v>0.2282986111111111</v>
      </c>
      <c r="M69" s="3">
        <f t="shared" si="4"/>
        <v>2.1724537037037028E-2</v>
      </c>
      <c r="O69" s="6">
        <v>2.1458333333333333E-2</v>
      </c>
      <c r="P69" s="1" t="s">
        <v>389</v>
      </c>
      <c r="Q69" s="5"/>
    </row>
    <row r="70" spans="1:22" x14ac:dyDescent="0.2">
      <c r="A70" s="1">
        <v>1</v>
      </c>
      <c r="B70" s="1">
        <v>1.2</v>
      </c>
      <c r="C70" s="1">
        <v>2</v>
      </c>
      <c r="D70" s="1" t="s">
        <v>285</v>
      </c>
      <c r="E70" s="1" t="s">
        <v>291</v>
      </c>
      <c r="F70" s="4">
        <v>45380</v>
      </c>
      <c r="G70" s="6">
        <v>0.26598379629629632</v>
      </c>
      <c r="H70" s="1">
        <v>1.5820000000000001</v>
      </c>
      <c r="L70" s="3">
        <v>0.2282986111111111</v>
      </c>
      <c r="M70" s="3">
        <f t="shared" si="4"/>
        <v>3.768518518518521E-2</v>
      </c>
      <c r="O70" s="6">
        <v>3.7384259259259256E-2</v>
      </c>
      <c r="P70" s="1" t="s">
        <v>388</v>
      </c>
      <c r="Q70" s="5"/>
    </row>
    <row r="71" spans="1:22" x14ac:dyDescent="0.2">
      <c r="A71" s="1">
        <v>1</v>
      </c>
      <c r="B71" s="1">
        <v>1.2</v>
      </c>
      <c r="C71" s="1">
        <v>1</v>
      </c>
      <c r="D71" s="1" t="s">
        <v>293</v>
      </c>
      <c r="E71" s="1" t="s">
        <v>294</v>
      </c>
      <c r="F71" s="4">
        <v>45380</v>
      </c>
      <c r="G71" s="6">
        <v>0.78753472222222221</v>
      </c>
      <c r="H71" s="1">
        <v>5.5900000000000004E-3</v>
      </c>
      <c r="L71" s="3">
        <v>0.77248842592592593</v>
      </c>
      <c r="M71" s="3">
        <f t="shared" si="4"/>
        <v>1.504629629629628E-2</v>
      </c>
      <c r="O71" s="3">
        <v>1.4780092592592593E-2</v>
      </c>
      <c r="Q71" s="5"/>
      <c r="V71" s="2"/>
    </row>
    <row r="72" spans="1:22" s="7" customFormat="1" x14ac:dyDescent="0.2">
      <c r="A72" s="1">
        <v>1</v>
      </c>
      <c r="B72" s="1">
        <v>1.2</v>
      </c>
      <c r="C72" s="1">
        <v>1</v>
      </c>
      <c r="D72" s="1" t="s">
        <v>295</v>
      </c>
      <c r="E72" s="1" t="s">
        <v>305</v>
      </c>
      <c r="F72" s="4">
        <v>45381</v>
      </c>
      <c r="G72" s="6">
        <v>0.26030092592592591</v>
      </c>
      <c r="H72" s="7">
        <v>2.4500000000000002</v>
      </c>
      <c r="I72" s="7" t="s">
        <v>425</v>
      </c>
      <c r="J72" s="20">
        <f>( H72 * (1.004*10^-6)) / (1.081*10^-5)</f>
        <v>0.22754856614246069</v>
      </c>
      <c r="K72" s="20" t="s">
        <v>428</v>
      </c>
      <c r="L72" s="3">
        <v>0.2303125</v>
      </c>
      <c r="M72" s="3">
        <f t="shared" si="4"/>
        <v>2.9988425925925905E-2</v>
      </c>
      <c r="N72" s="7" t="s">
        <v>317</v>
      </c>
      <c r="O72" s="10">
        <v>2.9664351851851851E-2</v>
      </c>
      <c r="Q72" s="11" t="s">
        <v>298</v>
      </c>
      <c r="V72" s="13"/>
    </row>
    <row r="73" spans="1:22" x14ac:dyDescent="0.2">
      <c r="A73" s="1">
        <v>1</v>
      </c>
      <c r="B73" s="1">
        <v>1.2</v>
      </c>
      <c r="C73" s="1">
        <v>1</v>
      </c>
      <c r="D73" s="1" t="s">
        <v>296</v>
      </c>
      <c r="E73" s="1" t="s">
        <v>297</v>
      </c>
      <c r="F73" s="4">
        <v>45381</v>
      </c>
      <c r="G73" s="6">
        <v>0.78467592592592594</v>
      </c>
      <c r="H73" s="7">
        <v>5.0099999999999999E-2</v>
      </c>
      <c r="I73" s="7" t="s">
        <v>424</v>
      </c>
      <c r="J73" s="20">
        <f>( H73 * (1.004*10^-6)) / (1.081*10^-5)</f>
        <v>4.6531359851988904E-3</v>
      </c>
      <c r="K73" s="20" t="s">
        <v>428</v>
      </c>
      <c r="L73" s="3">
        <v>0.75232638888888892</v>
      </c>
      <c r="M73" s="3">
        <f t="shared" si="4"/>
        <v>3.2349537037037024E-2</v>
      </c>
      <c r="N73" s="1" t="s">
        <v>318</v>
      </c>
      <c r="O73" s="3">
        <v>3.2141203703703707E-2</v>
      </c>
    </row>
    <row r="74" spans="1:22" x14ac:dyDescent="0.2">
      <c r="A74" s="1">
        <v>1</v>
      </c>
      <c r="B74" s="1">
        <v>1.2</v>
      </c>
      <c r="C74" s="1" t="s">
        <v>21</v>
      </c>
      <c r="D74" s="1" t="s">
        <v>21</v>
      </c>
      <c r="E74" s="1" t="s">
        <v>21</v>
      </c>
      <c r="F74" s="4">
        <v>45382</v>
      </c>
      <c r="G74" s="6" t="s">
        <v>21</v>
      </c>
      <c r="H74" s="1" t="s">
        <v>21</v>
      </c>
      <c r="L74" s="3" t="s">
        <v>21</v>
      </c>
      <c r="M74" s="3" t="s">
        <v>21</v>
      </c>
      <c r="O74" s="3"/>
      <c r="P74" s="1" t="s">
        <v>370</v>
      </c>
    </row>
    <row r="75" spans="1:22" s="7" customFormat="1" x14ac:dyDescent="0.2">
      <c r="A75" s="7">
        <v>1</v>
      </c>
      <c r="B75" s="7">
        <v>1.2</v>
      </c>
      <c r="C75" s="7">
        <v>1</v>
      </c>
      <c r="D75" s="7" t="s">
        <v>315</v>
      </c>
      <c r="E75" s="7" t="s">
        <v>309</v>
      </c>
      <c r="F75" s="9">
        <v>45382</v>
      </c>
      <c r="G75" s="10">
        <v>0.79083333333333328</v>
      </c>
      <c r="H75" s="7" t="s">
        <v>322</v>
      </c>
      <c r="I75" s="11" t="s">
        <v>437</v>
      </c>
      <c r="J75" s="21">
        <f>(0.00477* (1.004*10^-6)) / (1.081*10^-5)</f>
        <v>4.4302312673450507E-4</v>
      </c>
      <c r="K75" s="7" t="s">
        <v>430</v>
      </c>
      <c r="L75" s="8">
        <v>0.75362268518518516</v>
      </c>
      <c r="M75" s="8">
        <f>G75 - L75</f>
        <v>3.7210648148148118E-2</v>
      </c>
      <c r="N75" s="7" t="s">
        <v>307</v>
      </c>
      <c r="O75" s="8">
        <v>3.6944444444444446E-2</v>
      </c>
      <c r="T75" s="13"/>
      <c r="U75" s="13"/>
    </row>
    <row r="76" spans="1:22" x14ac:dyDescent="0.2">
      <c r="A76" s="1">
        <v>1</v>
      </c>
      <c r="B76" s="1">
        <v>1.2</v>
      </c>
      <c r="C76" s="1">
        <v>1</v>
      </c>
      <c r="D76" s="1" t="s">
        <v>314</v>
      </c>
      <c r="E76" s="1" t="s">
        <v>310</v>
      </c>
      <c r="F76" s="4">
        <v>45383</v>
      </c>
      <c r="G76" s="6" t="s">
        <v>21</v>
      </c>
      <c r="H76" s="1" t="s">
        <v>21</v>
      </c>
      <c r="L76" s="3">
        <v>0.22976851851851851</v>
      </c>
      <c r="M76" s="3" t="s">
        <v>21</v>
      </c>
      <c r="O76" s="3" t="s">
        <v>21</v>
      </c>
      <c r="P76" s="5" t="s">
        <v>384</v>
      </c>
      <c r="T76" s="2"/>
      <c r="U76" s="2"/>
    </row>
    <row r="77" spans="1:22" s="7" customFormat="1" x14ac:dyDescent="0.2">
      <c r="A77" s="7">
        <v>1</v>
      </c>
      <c r="B77" s="7">
        <v>1.2</v>
      </c>
      <c r="C77" s="7">
        <v>2</v>
      </c>
      <c r="D77" s="7" t="s">
        <v>314</v>
      </c>
      <c r="E77" s="7" t="s">
        <v>310</v>
      </c>
      <c r="F77" s="9">
        <v>45383</v>
      </c>
      <c r="G77" s="10">
        <v>0.26740740740740743</v>
      </c>
      <c r="H77" s="7">
        <v>14</v>
      </c>
      <c r="I77" s="7" t="s">
        <v>426</v>
      </c>
      <c r="J77" s="20">
        <f>( H77 * (1.004*10^-6)) / (1.081*10^-5)</f>
        <v>1.3002775208140611</v>
      </c>
      <c r="K77" s="20" t="s">
        <v>428</v>
      </c>
      <c r="L77" s="8">
        <v>0.22976851851851851</v>
      </c>
      <c r="M77" s="8">
        <f>G77 - L77</f>
        <v>3.7638888888888916E-2</v>
      </c>
      <c r="N77" s="7" t="s">
        <v>307</v>
      </c>
      <c r="O77" s="10">
        <v>3.7245370370370373E-2</v>
      </c>
      <c r="Q77" s="11"/>
      <c r="U77" s="13"/>
      <c r="V77" s="13"/>
    </row>
    <row r="78" spans="1:22" s="7" customFormat="1" x14ac:dyDescent="0.2">
      <c r="A78" s="1">
        <v>1</v>
      </c>
      <c r="B78" s="1">
        <v>1.2</v>
      </c>
      <c r="C78" s="1" t="s">
        <v>21</v>
      </c>
      <c r="D78" s="1" t="s">
        <v>21</v>
      </c>
      <c r="E78" s="1" t="s">
        <v>21</v>
      </c>
      <c r="F78" s="4">
        <v>45384</v>
      </c>
      <c r="G78" s="3" t="s">
        <v>21</v>
      </c>
      <c r="H78" s="3" t="s">
        <v>21</v>
      </c>
      <c r="I78" s="3"/>
      <c r="J78" s="3"/>
      <c r="K78" s="3"/>
      <c r="L78" s="3" t="s">
        <v>21</v>
      </c>
      <c r="M78" s="3" t="s">
        <v>21</v>
      </c>
      <c r="O78" s="6" t="s">
        <v>21</v>
      </c>
      <c r="P78" s="1" t="s">
        <v>385</v>
      </c>
      <c r="Q78" s="11"/>
      <c r="U78" s="13"/>
      <c r="V78" s="13"/>
    </row>
    <row r="79" spans="1:22" s="7" customFormat="1" x14ac:dyDescent="0.2">
      <c r="A79" s="1">
        <v>1</v>
      </c>
      <c r="B79" s="1">
        <v>1.2</v>
      </c>
      <c r="C79" s="1" t="s">
        <v>21</v>
      </c>
      <c r="D79" s="1" t="s">
        <v>21</v>
      </c>
      <c r="E79" s="1" t="s">
        <v>21</v>
      </c>
      <c r="F79" s="4">
        <v>45384</v>
      </c>
      <c r="G79" s="1" t="s">
        <v>21</v>
      </c>
      <c r="H79" s="1" t="s">
        <v>21</v>
      </c>
      <c r="I79" s="1"/>
      <c r="J79" s="1"/>
      <c r="K79" s="1"/>
      <c r="L79" s="1" t="s">
        <v>21</v>
      </c>
      <c r="M79" s="1" t="s">
        <v>21</v>
      </c>
      <c r="O79" s="6" t="s">
        <v>21</v>
      </c>
      <c r="P79" s="1" t="s">
        <v>387</v>
      </c>
      <c r="Q79" s="11"/>
      <c r="U79" s="13"/>
      <c r="V79" s="13"/>
    </row>
    <row r="80" spans="1:22" s="7" customFormat="1" x14ac:dyDescent="0.2">
      <c r="A80" s="1">
        <v>1</v>
      </c>
      <c r="B80" s="1">
        <v>1.2</v>
      </c>
      <c r="C80" s="1" t="s">
        <v>21</v>
      </c>
      <c r="D80" s="1" t="s">
        <v>21</v>
      </c>
      <c r="E80" s="1" t="s">
        <v>21</v>
      </c>
      <c r="F80" s="4">
        <v>45385</v>
      </c>
      <c r="G80" s="3" t="s">
        <v>21</v>
      </c>
      <c r="H80" s="3" t="s">
        <v>21</v>
      </c>
      <c r="I80" s="3"/>
      <c r="J80" s="3"/>
      <c r="K80" s="3"/>
      <c r="L80" s="3" t="s">
        <v>21</v>
      </c>
      <c r="M80" s="3" t="s">
        <v>21</v>
      </c>
      <c r="O80" s="6" t="s">
        <v>21</v>
      </c>
      <c r="P80" s="1" t="s">
        <v>385</v>
      </c>
      <c r="Q80" s="11"/>
      <c r="U80" s="13"/>
      <c r="V80" s="13"/>
    </row>
    <row r="81" spans="1:16" x14ac:dyDescent="0.2">
      <c r="A81" s="1">
        <v>1</v>
      </c>
      <c r="B81" s="1">
        <v>1.2</v>
      </c>
      <c r="C81" s="1">
        <v>1</v>
      </c>
      <c r="D81" s="1" t="s">
        <v>353</v>
      </c>
      <c r="E81" s="1" t="s">
        <v>21</v>
      </c>
      <c r="F81" s="4">
        <v>45385</v>
      </c>
      <c r="G81" s="6">
        <v>0.79365740740740742</v>
      </c>
      <c r="H81" s="1" t="s">
        <v>21</v>
      </c>
      <c r="I81" s="1" t="s">
        <v>354</v>
      </c>
      <c r="J81" s="1">
        <v>2.331211840888067E-4</v>
      </c>
      <c r="K81" s="1" t="s">
        <v>429</v>
      </c>
      <c r="L81" s="1" t="s">
        <v>21</v>
      </c>
      <c r="M81" s="1" t="s">
        <v>21</v>
      </c>
      <c r="O81" s="1" t="s">
        <v>21</v>
      </c>
    </row>
    <row r="82" spans="1:16" x14ac:dyDescent="0.2">
      <c r="A82" s="1">
        <v>1</v>
      </c>
      <c r="B82" s="1">
        <v>1.2</v>
      </c>
      <c r="C82" s="1" t="s">
        <v>21</v>
      </c>
      <c r="D82" s="1" t="s">
        <v>21</v>
      </c>
      <c r="E82" s="1" t="s">
        <v>21</v>
      </c>
      <c r="F82" s="4">
        <v>45386</v>
      </c>
      <c r="G82" s="6" t="s">
        <v>21</v>
      </c>
      <c r="H82" s="1" t="s">
        <v>21</v>
      </c>
      <c r="J82" s="20"/>
      <c r="L82" s="1" t="s">
        <v>21</v>
      </c>
      <c r="M82" s="1" t="s">
        <v>21</v>
      </c>
      <c r="O82" s="1" t="s">
        <v>21</v>
      </c>
      <c r="P82" s="1" t="s">
        <v>385</v>
      </c>
    </row>
    <row r="83" spans="1:16" x14ac:dyDescent="0.2">
      <c r="A83" s="1">
        <v>1</v>
      </c>
      <c r="B83" s="1">
        <v>1.2</v>
      </c>
      <c r="C83" s="1">
        <v>1</v>
      </c>
      <c r="D83" s="1" t="s">
        <v>380</v>
      </c>
      <c r="E83" s="1" t="s">
        <v>285</v>
      </c>
      <c r="F83" s="4">
        <v>45386</v>
      </c>
      <c r="G83" s="6">
        <v>0.79339120370370364</v>
      </c>
      <c r="H83" s="7">
        <v>2.5100000000000001E-3</v>
      </c>
      <c r="I83" s="7" t="s">
        <v>372</v>
      </c>
      <c r="J83" s="20">
        <f>( H83 * (1.004*10^-6)) / (1.081*10^-5)</f>
        <v>2.331211840888067E-4</v>
      </c>
      <c r="K83" s="20" t="s">
        <v>428</v>
      </c>
      <c r="L83" s="3">
        <v>0.75498842592592597</v>
      </c>
      <c r="M83" s="3">
        <f>G83 - L83</f>
        <v>3.8402777777777675E-2</v>
      </c>
      <c r="N83" s="1" t="s">
        <v>307</v>
      </c>
      <c r="O83" s="3">
        <v>3.8391203703703705E-2</v>
      </c>
    </row>
    <row r="84" spans="1:16" x14ac:dyDescent="0.2">
      <c r="A84" s="1">
        <v>1</v>
      </c>
      <c r="B84" s="1">
        <v>1.2</v>
      </c>
      <c r="C84" s="1" t="s">
        <v>21</v>
      </c>
      <c r="D84" s="1" t="s">
        <v>21</v>
      </c>
      <c r="E84" s="1" t="s">
        <v>21</v>
      </c>
      <c r="F84" s="4">
        <v>45387</v>
      </c>
      <c r="G84" s="1" t="s">
        <v>21</v>
      </c>
      <c r="H84" s="1" t="s">
        <v>21</v>
      </c>
      <c r="L84" s="1" t="s">
        <v>21</v>
      </c>
      <c r="M84" s="1" t="s">
        <v>21</v>
      </c>
      <c r="O84" s="1" t="s">
        <v>21</v>
      </c>
      <c r="P84" s="1" t="s">
        <v>386</v>
      </c>
    </row>
    <row r="85" spans="1:16" x14ac:dyDescent="0.2">
      <c r="A85" s="1">
        <v>1</v>
      </c>
      <c r="B85" s="1">
        <v>1.2</v>
      </c>
      <c r="C85" s="1">
        <v>1</v>
      </c>
      <c r="D85" s="1" t="s">
        <v>454</v>
      </c>
      <c r="E85" s="1" t="s">
        <v>455</v>
      </c>
      <c r="F85" s="4">
        <v>45391</v>
      </c>
      <c r="G85" s="6">
        <v>0.25509259259259259</v>
      </c>
      <c r="H85" s="1">
        <v>0.94899999999999995</v>
      </c>
      <c r="I85" s="7" t="s">
        <v>372</v>
      </c>
      <c r="L85" s="3">
        <v>0.23653935185185185</v>
      </c>
      <c r="M85" s="3">
        <f t="shared" ref="M85:M100" si="5">G85 - L85</f>
        <v>1.8553240740740745E-2</v>
      </c>
      <c r="O85" s="3">
        <v>1.8622685185185187E-2</v>
      </c>
    </row>
    <row r="86" spans="1:16" x14ac:dyDescent="0.2">
      <c r="A86" s="1">
        <v>1</v>
      </c>
      <c r="B86" s="1">
        <v>1.2</v>
      </c>
      <c r="C86" s="1">
        <v>1</v>
      </c>
      <c r="D86" s="1" t="s">
        <v>457</v>
      </c>
      <c r="E86" s="6" t="s">
        <v>458</v>
      </c>
      <c r="F86" s="4">
        <v>45390</v>
      </c>
      <c r="G86" s="6">
        <v>0.79108796296296291</v>
      </c>
      <c r="H86" s="1">
        <v>1.06E-3</v>
      </c>
      <c r="I86" s="7" t="s">
        <v>372</v>
      </c>
      <c r="L86" s="3">
        <v>0.76604166666666662</v>
      </c>
      <c r="M86" s="3">
        <f t="shared" si="5"/>
        <v>2.5046296296296289E-2</v>
      </c>
      <c r="O86" s="1" t="s">
        <v>21</v>
      </c>
    </row>
    <row r="87" spans="1:16" x14ac:dyDescent="0.2">
      <c r="A87" s="1">
        <v>1</v>
      </c>
      <c r="B87" s="1">
        <v>1.2</v>
      </c>
      <c r="C87" s="1">
        <v>1</v>
      </c>
      <c r="D87" s="1" t="s">
        <v>463</v>
      </c>
      <c r="E87" s="1" t="s">
        <v>467</v>
      </c>
      <c r="F87" s="4">
        <v>45390</v>
      </c>
      <c r="G87" s="6">
        <v>0.24300925925925926</v>
      </c>
      <c r="H87" s="1">
        <v>5.1599999999999997E-3</v>
      </c>
      <c r="I87" s="7" t="s">
        <v>372</v>
      </c>
      <c r="L87" s="3">
        <v>0.2351273148148148</v>
      </c>
      <c r="M87" s="3">
        <f t="shared" si="5"/>
        <v>7.8819444444444553E-3</v>
      </c>
      <c r="O87" s="3">
        <v>7.9166666666666673E-3</v>
      </c>
    </row>
    <row r="88" spans="1:16" x14ac:dyDescent="0.2">
      <c r="A88" s="1">
        <v>1</v>
      </c>
      <c r="B88" s="1">
        <v>1.2</v>
      </c>
      <c r="C88" s="1">
        <v>2</v>
      </c>
      <c r="D88" s="1" t="s">
        <v>463</v>
      </c>
      <c r="E88" s="1" t="s">
        <v>467</v>
      </c>
      <c r="F88" s="4">
        <v>45390</v>
      </c>
      <c r="G88" s="6">
        <v>0.25400462962962966</v>
      </c>
      <c r="H88" s="1">
        <v>0.94699999999999995</v>
      </c>
      <c r="I88" s="7" t="s">
        <v>372</v>
      </c>
      <c r="L88" s="3">
        <v>0.2351273148148148</v>
      </c>
      <c r="M88" s="3">
        <f t="shared" si="5"/>
        <v>1.8877314814814861E-2</v>
      </c>
      <c r="O88" s="3">
        <v>1.8622685185185187E-2</v>
      </c>
    </row>
    <row r="89" spans="1:16" x14ac:dyDescent="0.2">
      <c r="A89" s="1">
        <v>1</v>
      </c>
      <c r="B89" s="1">
        <v>1.2</v>
      </c>
      <c r="C89" s="1">
        <v>1</v>
      </c>
      <c r="D89" s="1" t="s">
        <v>464</v>
      </c>
      <c r="E89" s="1" t="s">
        <v>474</v>
      </c>
      <c r="F89" s="4">
        <v>45389</v>
      </c>
      <c r="G89" s="6">
        <v>0.79043981481481473</v>
      </c>
      <c r="H89" s="1">
        <v>1.73E-3</v>
      </c>
      <c r="I89" s="7" t="s">
        <v>372</v>
      </c>
      <c r="L89" s="3">
        <v>0.76695601851851847</v>
      </c>
      <c r="M89" s="3">
        <f t="shared" si="5"/>
        <v>2.3483796296296267E-2</v>
      </c>
      <c r="O89" s="3">
        <v>2.3472222222222221E-2</v>
      </c>
    </row>
    <row r="90" spans="1:16" x14ac:dyDescent="0.2">
      <c r="A90" s="1">
        <v>1</v>
      </c>
      <c r="B90" s="1">
        <v>1.2</v>
      </c>
      <c r="C90" s="1">
        <v>1</v>
      </c>
      <c r="D90" s="1" t="s">
        <v>465</v>
      </c>
      <c r="E90" s="1" t="s">
        <v>475</v>
      </c>
      <c r="F90" s="4">
        <v>45388</v>
      </c>
      <c r="G90" s="6">
        <v>0.78626157407407415</v>
      </c>
      <c r="H90" s="1">
        <v>9.8099999999999993E-3</v>
      </c>
      <c r="I90" s="7" t="s">
        <v>372</v>
      </c>
      <c r="L90" s="3">
        <v>0.7645601851851852</v>
      </c>
      <c r="M90" s="3">
        <f t="shared" si="5"/>
        <v>2.1701388888888951E-2</v>
      </c>
      <c r="O90" s="1" t="s">
        <v>21</v>
      </c>
    </row>
    <row r="91" spans="1:16" x14ac:dyDescent="0.2">
      <c r="A91" s="1">
        <v>1</v>
      </c>
      <c r="B91" s="1">
        <v>1.2</v>
      </c>
      <c r="C91" s="1">
        <v>1</v>
      </c>
      <c r="D91" s="1" t="s">
        <v>466</v>
      </c>
      <c r="E91" s="1" t="s">
        <v>476</v>
      </c>
      <c r="F91" s="4">
        <v>45387</v>
      </c>
      <c r="G91" s="6">
        <v>0.79177083333333342</v>
      </c>
      <c r="H91" s="1">
        <v>2.4099999999999998E-3</v>
      </c>
      <c r="I91" s="7" t="s">
        <v>372</v>
      </c>
      <c r="L91" s="3">
        <v>0.76537037037037037</v>
      </c>
      <c r="M91" s="3">
        <f t="shared" si="5"/>
        <v>2.6400462962963056E-2</v>
      </c>
      <c r="O91" s="3">
        <v>2.6006944444444444E-2</v>
      </c>
    </row>
    <row r="92" spans="1:16" x14ac:dyDescent="0.2">
      <c r="A92" s="1">
        <v>1</v>
      </c>
      <c r="B92" s="1">
        <v>1.2</v>
      </c>
      <c r="C92" s="1">
        <v>1</v>
      </c>
      <c r="D92" s="1" t="s">
        <v>478</v>
      </c>
      <c r="E92" s="1" t="s">
        <v>479</v>
      </c>
      <c r="F92" s="4">
        <v>45391</v>
      </c>
      <c r="G92" s="6">
        <v>0.78599537037037037</v>
      </c>
      <c r="H92" s="1">
        <v>8.2100000000000003E-3</v>
      </c>
      <c r="I92" s="1" t="s">
        <v>372</v>
      </c>
      <c r="L92" s="3">
        <v>0.76300925925925922</v>
      </c>
      <c r="M92" s="3">
        <f t="shared" si="5"/>
        <v>2.2986111111111152E-2</v>
      </c>
      <c r="O92" s="3">
        <v>2.2754629629629628E-2</v>
      </c>
    </row>
    <row r="93" spans="1:16" x14ac:dyDescent="0.2">
      <c r="A93" s="1">
        <v>1</v>
      </c>
      <c r="B93" s="1">
        <v>1.2</v>
      </c>
      <c r="C93" s="1">
        <v>1</v>
      </c>
      <c r="D93" s="1" t="s">
        <v>65</v>
      </c>
      <c r="E93" s="1" t="s">
        <v>482</v>
      </c>
      <c r="F93" s="4">
        <v>45392</v>
      </c>
      <c r="G93" s="6">
        <v>0.23944444444444443</v>
      </c>
      <c r="H93" s="1">
        <v>7.0000000000000001E-3</v>
      </c>
      <c r="I93" s="1" t="s">
        <v>483</v>
      </c>
      <c r="L93" s="3">
        <v>0.23417824074074073</v>
      </c>
      <c r="M93" s="3">
        <f t="shared" si="5"/>
        <v>5.2662037037037035E-3</v>
      </c>
      <c r="O93" s="3">
        <v>4.8611111111111112E-3</v>
      </c>
    </row>
    <row r="94" spans="1:16" x14ac:dyDescent="0.2">
      <c r="A94" s="1">
        <v>1</v>
      </c>
      <c r="B94" s="1">
        <v>1.2</v>
      </c>
      <c r="C94" s="1">
        <v>5</v>
      </c>
      <c r="D94" s="1" t="s">
        <v>64</v>
      </c>
      <c r="E94" s="1" t="s">
        <v>499</v>
      </c>
      <c r="F94" s="4">
        <v>45393</v>
      </c>
      <c r="G94" s="6">
        <v>0.27635416666666668</v>
      </c>
      <c r="H94" s="1">
        <v>25</v>
      </c>
      <c r="I94" s="1" t="s">
        <v>516</v>
      </c>
      <c r="L94" s="3">
        <v>0.23177083333333334</v>
      </c>
      <c r="M94" s="3">
        <f t="shared" si="5"/>
        <v>4.4583333333333336E-2</v>
      </c>
    </row>
    <row r="95" spans="1:16" x14ac:dyDescent="0.2">
      <c r="A95" s="1">
        <v>1</v>
      </c>
      <c r="B95" s="1">
        <v>1.2</v>
      </c>
      <c r="C95" s="1">
        <v>4</v>
      </c>
      <c r="D95" s="1" t="s">
        <v>64</v>
      </c>
      <c r="E95" s="1" t="s">
        <v>499</v>
      </c>
      <c r="F95" s="4">
        <v>45393</v>
      </c>
      <c r="G95" s="6">
        <v>0.24847222222222221</v>
      </c>
      <c r="H95" s="1">
        <v>0.23</v>
      </c>
      <c r="I95" s="1" t="s">
        <v>372</v>
      </c>
      <c r="L95" s="3">
        <v>0.23177083333333334</v>
      </c>
      <c r="M95" s="3">
        <f t="shared" si="5"/>
        <v>1.6701388888888863E-2</v>
      </c>
      <c r="O95" s="3">
        <v>1.6261574074074074E-2</v>
      </c>
    </row>
    <row r="96" spans="1:16" x14ac:dyDescent="0.2">
      <c r="A96" s="1">
        <v>1</v>
      </c>
      <c r="B96" s="1">
        <v>1.2</v>
      </c>
      <c r="C96" s="1">
        <v>3</v>
      </c>
      <c r="D96" s="1" t="s">
        <v>64</v>
      </c>
      <c r="E96" s="1" t="s">
        <v>499</v>
      </c>
      <c r="F96" s="4">
        <v>45393</v>
      </c>
      <c r="G96" s="6">
        <v>0.24243055555555554</v>
      </c>
      <c r="H96" s="1">
        <v>2.3400000000000001E-2</v>
      </c>
      <c r="I96" s="1" t="s">
        <v>372</v>
      </c>
      <c r="L96" s="3">
        <v>0.23177083333333334</v>
      </c>
      <c r="M96" s="3">
        <f t="shared" si="5"/>
        <v>1.0659722222222195E-2</v>
      </c>
      <c r="O96" s="3">
        <v>1.0439814814814815E-2</v>
      </c>
    </row>
    <row r="97" spans="1:16" x14ac:dyDescent="0.2">
      <c r="A97" s="1">
        <v>1</v>
      </c>
      <c r="B97" s="1">
        <v>1.2</v>
      </c>
      <c r="C97" s="1">
        <v>2</v>
      </c>
      <c r="D97" s="1" t="s">
        <v>64</v>
      </c>
      <c r="E97" s="1" t="s">
        <v>499</v>
      </c>
      <c r="F97" s="4">
        <v>45393</v>
      </c>
      <c r="G97" s="6">
        <v>0.2383912037037037</v>
      </c>
      <c r="H97" s="1">
        <v>6.8300000000000001E-3</v>
      </c>
      <c r="I97" s="1" t="s">
        <v>372</v>
      </c>
      <c r="L97" s="3">
        <v>0.23177083333333334</v>
      </c>
      <c r="M97" s="3">
        <f t="shared" si="5"/>
        <v>6.6203703703703598E-3</v>
      </c>
    </row>
    <row r="98" spans="1:16" x14ac:dyDescent="0.2">
      <c r="A98" s="1">
        <v>1</v>
      </c>
      <c r="B98" s="1">
        <v>1.2</v>
      </c>
      <c r="C98" s="1">
        <v>1</v>
      </c>
      <c r="D98" s="1" t="s">
        <v>64</v>
      </c>
      <c r="E98" s="1" t="s">
        <v>499</v>
      </c>
      <c r="F98" s="4">
        <v>45393</v>
      </c>
      <c r="G98" s="6">
        <v>0.23265046296296296</v>
      </c>
      <c r="H98" s="1">
        <v>3.6600000000000001E-3</v>
      </c>
      <c r="I98" s="1" t="s">
        <v>372</v>
      </c>
      <c r="L98" s="3">
        <v>0.23177083333333334</v>
      </c>
      <c r="M98" s="3">
        <f t="shared" si="5"/>
        <v>8.796296296296191E-4</v>
      </c>
    </row>
    <row r="99" spans="1:16" x14ac:dyDescent="0.2">
      <c r="A99" s="1">
        <v>1</v>
      </c>
      <c r="B99" s="1">
        <v>1.2</v>
      </c>
      <c r="C99" s="1">
        <v>1</v>
      </c>
      <c r="D99" s="1" t="s">
        <v>72</v>
      </c>
      <c r="E99" s="1" t="s">
        <v>500</v>
      </c>
      <c r="F99" s="4">
        <v>45393</v>
      </c>
      <c r="G99" s="6">
        <v>0.7855671296296296</v>
      </c>
      <c r="H99" s="1">
        <v>3.5799999999999998E-2</v>
      </c>
      <c r="I99" s="1" t="s">
        <v>372</v>
      </c>
      <c r="L99" s="3">
        <v>0.75616898148148148</v>
      </c>
      <c r="M99" s="3">
        <f t="shared" si="5"/>
        <v>2.9398148148148118E-2</v>
      </c>
      <c r="O99" s="3">
        <v>2.8946759259259259E-2</v>
      </c>
    </row>
    <row r="100" spans="1:16" x14ac:dyDescent="0.2">
      <c r="A100" s="1">
        <v>1</v>
      </c>
      <c r="B100" s="1">
        <v>1.2</v>
      </c>
      <c r="C100" s="1">
        <v>3</v>
      </c>
      <c r="D100" s="1" t="s">
        <v>71</v>
      </c>
      <c r="E100" s="1" t="s">
        <v>517</v>
      </c>
      <c r="F100" s="4">
        <v>45394</v>
      </c>
      <c r="G100" s="6">
        <v>0.27350694444444446</v>
      </c>
      <c r="H100" s="1">
        <v>34.200000000000003</v>
      </c>
      <c r="I100" s="1" t="s">
        <v>372</v>
      </c>
      <c r="L100" s="3">
        <v>0.24976851851851853</v>
      </c>
      <c r="M100" s="3">
        <f t="shared" si="5"/>
        <v>2.3738425925925927E-2</v>
      </c>
    </row>
    <row r="101" spans="1:16" x14ac:dyDescent="0.2">
      <c r="A101" s="1">
        <v>1</v>
      </c>
      <c r="B101" s="1">
        <v>1.2</v>
      </c>
      <c r="C101" s="1">
        <v>2</v>
      </c>
      <c r="D101" s="1" t="s">
        <v>71</v>
      </c>
      <c r="E101" s="1" t="s">
        <v>517</v>
      </c>
      <c r="F101" s="4">
        <v>45394</v>
      </c>
      <c r="G101" s="6">
        <v>0.25049768518518517</v>
      </c>
      <c r="H101" s="1">
        <v>0.14499999999999999</v>
      </c>
      <c r="I101" s="1" t="s">
        <v>372</v>
      </c>
      <c r="L101" s="3">
        <v>0.24976851851851853</v>
      </c>
      <c r="M101" s="3">
        <f t="shared" ref="M101" si="6">G101 - L101</f>
        <v>7.2916666666664187E-4</v>
      </c>
    </row>
    <row r="102" spans="1:16" x14ac:dyDescent="0.2">
      <c r="A102" s="1">
        <v>1</v>
      </c>
      <c r="B102" s="1">
        <v>1.2</v>
      </c>
      <c r="C102" s="1">
        <v>1</v>
      </c>
      <c r="D102" s="1" t="s">
        <v>71</v>
      </c>
      <c r="E102" s="1" t="s">
        <v>517</v>
      </c>
      <c r="F102" s="4">
        <v>45394</v>
      </c>
      <c r="G102" s="6">
        <v>0.23868055555555553</v>
      </c>
      <c r="H102" s="1" t="s">
        <v>21</v>
      </c>
      <c r="I102" s="1" t="s">
        <v>519</v>
      </c>
      <c r="J102" s="1">
        <v>6.8300000000000001E-3</v>
      </c>
      <c r="K102" s="1" t="s">
        <v>520</v>
      </c>
      <c r="L102" s="3">
        <v>0.24976851851851853</v>
      </c>
      <c r="M102" s="3"/>
      <c r="P102" s="1" t="s">
        <v>518</v>
      </c>
    </row>
    <row r="103" spans="1:16" x14ac:dyDescent="0.2">
      <c r="A103" s="1">
        <v>1</v>
      </c>
      <c r="B103" s="1">
        <v>1.2</v>
      </c>
      <c r="C103" s="1">
        <v>1</v>
      </c>
      <c r="D103" s="1" t="s">
        <v>78</v>
      </c>
      <c r="F103" s="4">
        <v>45394</v>
      </c>
      <c r="G103" s="6">
        <v>0.78399305555555554</v>
      </c>
    </row>
  </sheetData>
  <sortState xmlns:xlrd2="http://schemas.microsoft.com/office/spreadsheetml/2017/richdata2" ref="A2:V84">
    <sortCondition ref="F2:F84"/>
  </sortState>
  <customSheetViews>
    <customSheetView guid="{8A75D892-44B4-104C-BB94-8EB0D0E43396}">
      <pane ySplit="1" topLeftCell="A2" activePane="bottomLeft" state="frozen"/>
      <selection pane="bottomLeft" activeCell="J34" sqref="J34"/>
      <pageMargins left="0.7" right="0.7" top="0.75" bottom="0.75" header="0.3" footer="0.3"/>
    </customSheetView>
  </customSheetView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2BCC2-2C70-944E-A462-04AA228E5B7B}">
  <dimension ref="A1:E3"/>
  <sheetViews>
    <sheetView workbookViewId="0">
      <selection activeCell="E3" sqref="E3"/>
    </sheetView>
  </sheetViews>
  <sheetFormatPr baseColWidth="10" defaultRowHeight="16" x14ac:dyDescent="0.2"/>
  <cols>
    <col min="1" max="1" width="19.5" customWidth="1"/>
    <col min="2" max="2" width="18.1640625" customWidth="1"/>
    <col min="3" max="3" width="25.1640625" customWidth="1"/>
    <col min="4" max="4" width="19" customWidth="1"/>
    <col min="5" max="6" width="16.83203125" customWidth="1"/>
  </cols>
  <sheetData>
    <row r="1" spans="1:5" x14ac:dyDescent="0.2">
      <c r="A1" t="s">
        <v>604</v>
      </c>
      <c r="B1" t="s">
        <v>603</v>
      </c>
      <c r="C1" t="s">
        <v>607</v>
      </c>
      <c r="D1" t="s">
        <v>606</v>
      </c>
      <c r="E1" t="s">
        <v>605</v>
      </c>
    </row>
    <row r="2" spans="1:5" x14ac:dyDescent="0.2">
      <c r="A2">
        <v>183</v>
      </c>
      <c r="B2">
        <f xml:space="preserve"> 250/4.34</f>
        <v>57.603686635944705</v>
      </c>
      <c r="C2">
        <f>2*((0.5*$B2)/$A2)</f>
        <v>0.31477424391226616</v>
      </c>
      <c r="D2">
        <f>DEGREES(ATAN($C2))</f>
        <v>17.472659297833538</v>
      </c>
      <c r="E2">
        <f xml:space="preserve"> 1/$D2</f>
        <v>5.7232272601114104E-2</v>
      </c>
    </row>
    <row r="3" spans="1:5" x14ac:dyDescent="0.2">
      <c r="A3">
        <f>14.9661141804788*10</f>
        <v>149.661141804788</v>
      </c>
      <c r="B3">
        <f xml:space="preserve"> 250/4.34</f>
        <v>57.603686635944705</v>
      </c>
      <c r="C3">
        <f>2*((0.5*$B3)/$A3)</f>
        <v>0.38489407431543349</v>
      </c>
      <c r="D3">
        <f>DEGREES(ATAN($C3))</f>
        <v>21.051419771101877</v>
      </c>
      <c r="E3">
        <f xml:space="preserve"> 1/$D3</f>
        <v>4.750273429884002E-2</v>
      </c>
    </row>
  </sheetData>
  <customSheetViews>
    <customSheetView guid="{8A75D892-44B4-104C-BB94-8EB0D0E43396}">
      <selection activeCell="E3" sqref="E3"/>
      <pageMargins left="0.7" right="0.7" top="0.75" bottom="0.75" header="0.3" footer="0.3"/>
    </customSheetView>
  </customSheetView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634D7-082B-134A-AD91-B35FA6B4A994}">
  <dimension ref="A2:L119"/>
  <sheetViews>
    <sheetView topLeftCell="B1" workbookViewId="0">
      <pane ySplit="1" topLeftCell="A96" activePane="bottomLeft" state="frozen"/>
      <selection activeCell="B1" sqref="B1"/>
      <selection pane="bottomLeft" activeCell="H133" sqref="H133"/>
    </sheetView>
  </sheetViews>
  <sheetFormatPr baseColWidth="10" defaultRowHeight="16" x14ac:dyDescent="0.2"/>
  <cols>
    <col min="5" max="5" width="13" customWidth="1"/>
    <col min="6" max="6" width="13.6640625" customWidth="1"/>
    <col min="7" max="7" width="12.83203125" customWidth="1"/>
    <col min="8" max="8" width="13" customWidth="1"/>
    <col min="10" max="11" width="15.33203125" customWidth="1"/>
  </cols>
  <sheetData>
    <row r="2" spans="4:12" x14ac:dyDescent="0.2">
      <c r="D2" s="18"/>
      <c r="E2" s="28"/>
      <c r="F2" s="28"/>
      <c r="G2" s="28"/>
      <c r="H2" s="28"/>
      <c r="I2" s="28"/>
      <c r="J2" s="28"/>
      <c r="K2" s="28"/>
      <c r="L2" s="28"/>
    </row>
    <row r="3" spans="4:12" x14ac:dyDescent="0.2">
      <c r="D3" s="18"/>
      <c r="E3" s="28"/>
    </row>
    <row r="4" spans="4:12" x14ac:dyDescent="0.2">
      <c r="D4" s="18"/>
      <c r="E4" s="28"/>
    </row>
    <row r="5" spans="4:12" x14ac:dyDescent="0.2">
      <c r="D5" s="18"/>
      <c r="E5" s="28"/>
    </row>
    <row r="6" spans="4:12" x14ac:dyDescent="0.2">
      <c r="F6" s="28"/>
      <c r="G6" s="28"/>
      <c r="H6" s="28"/>
    </row>
    <row r="7" spans="4:12" x14ac:dyDescent="0.2">
      <c r="F7" s="28"/>
      <c r="H7" s="28"/>
    </row>
    <row r="8" spans="4:12" x14ac:dyDescent="0.2">
      <c r="F8" s="28"/>
      <c r="H8" s="28"/>
    </row>
    <row r="9" spans="4:12" x14ac:dyDescent="0.2">
      <c r="F9" s="28"/>
      <c r="H9" s="28"/>
    </row>
    <row r="11" spans="4:12" x14ac:dyDescent="0.2">
      <c r="F11" s="28"/>
      <c r="H11" s="28"/>
    </row>
    <row r="12" spans="4:12" x14ac:dyDescent="0.2">
      <c r="F12" s="28"/>
      <c r="H12" s="28"/>
    </row>
    <row r="13" spans="4:12" x14ac:dyDescent="0.2">
      <c r="F13" s="28"/>
      <c r="H13" s="28"/>
    </row>
    <row r="14" spans="4:12" x14ac:dyDescent="0.2">
      <c r="H14" s="28"/>
    </row>
    <row r="15" spans="4:12" x14ac:dyDescent="0.2">
      <c r="D15" s="18"/>
      <c r="E15" s="28"/>
      <c r="H15" s="28"/>
      <c r="I15" s="28"/>
      <c r="J15" s="28"/>
      <c r="K15" s="28"/>
      <c r="L15" s="28"/>
    </row>
    <row r="16" spans="4:12" x14ac:dyDescent="0.2">
      <c r="D16" s="18"/>
      <c r="E16" s="28"/>
      <c r="F16" s="28"/>
      <c r="G16" s="28"/>
      <c r="H16" s="28"/>
      <c r="I16" s="28"/>
      <c r="J16" s="28"/>
      <c r="K16" s="28"/>
      <c r="L16" s="28"/>
    </row>
    <row r="17" spans="1:12" x14ac:dyDescent="0.2">
      <c r="D17" s="18"/>
      <c r="E17" s="28"/>
      <c r="H17" s="28"/>
      <c r="I17" s="28"/>
      <c r="J17" s="28"/>
      <c r="K17" s="28"/>
      <c r="L17" s="28"/>
    </row>
    <row r="18" spans="1:12" x14ac:dyDescent="0.2">
      <c r="D18" s="18"/>
      <c r="E18" s="28"/>
    </row>
    <row r="19" spans="1:12" x14ac:dyDescent="0.2">
      <c r="D19" s="18"/>
      <c r="E19" s="28"/>
      <c r="H19" s="28"/>
      <c r="I19" s="28"/>
      <c r="J19" s="28"/>
      <c r="K19" s="28"/>
      <c r="L19" s="28"/>
    </row>
    <row r="20" spans="1:12" x14ac:dyDescent="0.2">
      <c r="D20" s="18"/>
      <c r="E20" s="28"/>
      <c r="H20" s="28"/>
      <c r="I20" s="28"/>
      <c r="J20" s="28"/>
      <c r="K20" s="28"/>
      <c r="L20" s="28"/>
    </row>
    <row r="21" spans="1:12" x14ac:dyDescent="0.2">
      <c r="A21" s="17"/>
      <c r="D21" s="18"/>
      <c r="E21" s="28"/>
      <c r="H21" s="28"/>
      <c r="I21" s="28"/>
      <c r="J21" s="28"/>
      <c r="K21" s="28"/>
      <c r="L21" s="28"/>
    </row>
    <row r="22" spans="1:12" x14ac:dyDescent="0.2">
      <c r="A22" s="17"/>
      <c r="D22" s="18"/>
      <c r="E22" s="28"/>
      <c r="F22" s="28"/>
      <c r="G22" s="28"/>
      <c r="H22" s="28"/>
      <c r="I22" s="28"/>
      <c r="J22" s="28"/>
      <c r="K22" s="28"/>
      <c r="L22" s="28"/>
    </row>
    <row r="23" spans="1:12" x14ac:dyDescent="0.2">
      <c r="A23" s="17"/>
      <c r="D23" s="18"/>
      <c r="E23" s="28"/>
      <c r="F23" s="28"/>
      <c r="G23" s="28"/>
      <c r="H23" s="28"/>
      <c r="I23" s="28"/>
      <c r="J23" s="28"/>
      <c r="K23" s="28"/>
      <c r="L23" s="28"/>
    </row>
    <row r="24" spans="1:12" x14ac:dyDescent="0.2">
      <c r="A24" s="17"/>
      <c r="D24" s="18"/>
      <c r="E24" s="28"/>
      <c r="F24" s="28"/>
      <c r="G24" s="28"/>
      <c r="H24" s="28"/>
      <c r="I24" s="28"/>
      <c r="J24" s="28"/>
      <c r="K24" s="28"/>
      <c r="L24" s="28"/>
    </row>
    <row r="25" spans="1:12" x14ac:dyDescent="0.2">
      <c r="A25" s="17"/>
      <c r="D25" s="18"/>
      <c r="E25" s="28"/>
      <c r="H25" s="28"/>
      <c r="I25" s="28"/>
      <c r="J25" s="28"/>
      <c r="K25" s="28"/>
      <c r="L25" s="28"/>
    </row>
    <row r="26" spans="1:12" x14ac:dyDescent="0.2">
      <c r="A26" s="17"/>
      <c r="D26" s="18"/>
      <c r="E26" s="28"/>
      <c r="F26" s="28"/>
      <c r="G26" s="28"/>
      <c r="H26" s="28"/>
    </row>
    <row r="27" spans="1:12" x14ac:dyDescent="0.2">
      <c r="D27" s="18"/>
      <c r="E27" s="28"/>
      <c r="H27" s="28"/>
      <c r="I27" s="28"/>
      <c r="J27" s="28"/>
      <c r="K27" s="28"/>
      <c r="L27" s="28"/>
    </row>
    <row r="28" spans="1:12" x14ac:dyDescent="0.2">
      <c r="A28" s="17"/>
      <c r="D28" s="18"/>
      <c r="E28" s="28"/>
      <c r="F28" s="28"/>
      <c r="G28" s="28"/>
      <c r="H28" s="28"/>
      <c r="I28" s="28"/>
      <c r="J28" s="28"/>
      <c r="K28" s="28"/>
      <c r="L28" s="28"/>
    </row>
    <row r="29" spans="1:12" x14ac:dyDescent="0.2">
      <c r="D29" s="18"/>
      <c r="E29" s="28"/>
      <c r="H29" s="28"/>
      <c r="I29" s="28"/>
      <c r="J29" s="28"/>
      <c r="K29" s="28"/>
      <c r="L29" s="28"/>
    </row>
    <row r="30" spans="1:12" x14ac:dyDescent="0.2">
      <c r="D30" s="18"/>
      <c r="E30" s="28"/>
      <c r="F30" s="28"/>
      <c r="H30" s="28"/>
      <c r="I30" s="28"/>
      <c r="J30" s="28"/>
      <c r="K30" s="28"/>
      <c r="L30" s="28"/>
    </row>
    <row r="31" spans="1:12" x14ac:dyDescent="0.2">
      <c r="A31" s="17"/>
      <c r="D31" s="18"/>
      <c r="E31" s="28"/>
      <c r="H31" s="28"/>
      <c r="I31" s="28"/>
      <c r="J31" s="28"/>
      <c r="K31" s="28"/>
      <c r="L31" s="28"/>
    </row>
    <row r="32" spans="1:12" x14ac:dyDescent="0.2">
      <c r="A32" s="17"/>
      <c r="D32" s="18"/>
      <c r="E32" s="28"/>
      <c r="F32" s="28"/>
      <c r="H32" s="28"/>
      <c r="I32" s="28"/>
      <c r="J32" s="28"/>
      <c r="K32" s="28"/>
      <c r="L32" s="28"/>
    </row>
    <row r="33" spans="4:9" x14ac:dyDescent="0.2">
      <c r="D33" s="18"/>
      <c r="E33" s="28"/>
      <c r="G33" s="28"/>
      <c r="H33" s="28"/>
      <c r="I33" s="28"/>
    </row>
    <row r="34" spans="4:9" x14ac:dyDescent="0.2">
      <c r="D34" s="18"/>
      <c r="E34" s="28"/>
      <c r="F34" s="28"/>
      <c r="G34" s="28"/>
      <c r="H34" s="28"/>
      <c r="I34" s="28"/>
    </row>
    <row r="35" spans="4:9" x14ac:dyDescent="0.2">
      <c r="D35" s="18"/>
      <c r="E35" s="28"/>
      <c r="F35" s="28"/>
      <c r="G35" s="28"/>
      <c r="H35" s="28"/>
      <c r="I35" s="28"/>
    </row>
    <row r="36" spans="4:9" x14ac:dyDescent="0.2">
      <c r="D36" s="18"/>
      <c r="E36" s="28"/>
      <c r="F36" s="28"/>
      <c r="G36" s="28"/>
      <c r="H36" s="28"/>
      <c r="I36" s="28"/>
    </row>
    <row r="37" spans="4:9" x14ac:dyDescent="0.2">
      <c r="D37" s="18"/>
      <c r="E37" s="28"/>
      <c r="H37" s="28"/>
      <c r="I37" s="28"/>
    </row>
    <row r="38" spans="4:9" x14ac:dyDescent="0.2">
      <c r="D38" s="18"/>
      <c r="E38" s="28"/>
      <c r="F38" s="28"/>
      <c r="G38" s="28"/>
      <c r="H38" s="28"/>
      <c r="I38" s="28"/>
    </row>
    <row r="39" spans="4:9" x14ac:dyDescent="0.2">
      <c r="D39" s="18"/>
      <c r="E39" s="28"/>
    </row>
    <row r="40" spans="4:9" x14ac:dyDescent="0.2">
      <c r="D40" s="18"/>
      <c r="E40" s="28"/>
      <c r="H40" s="28"/>
      <c r="I40" s="28"/>
    </row>
    <row r="41" spans="4:9" x14ac:dyDescent="0.2">
      <c r="D41" s="18"/>
      <c r="E41" s="28"/>
      <c r="F41" s="28"/>
      <c r="G41" s="28"/>
      <c r="H41" s="28"/>
      <c r="I41" s="28"/>
    </row>
    <row r="42" spans="4:9" x14ac:dyDescent="0.2">
      <c r="D42" s="18"/>
      <c r="E42" s="28"/>
    </row>
    <row r="43" spans="4:9" x14ac:dyDescent="0.2">
      <c r="D43" s="18"/>
      <c r="E43" s="28"/>
      <c r="F43" s="28"/>
      <c r="G43" s="28"/>
      <c r="H43" s="28"/>
      <c r="I43" s="28"/>
    </row>
    <row r="44" spans="4:9" x14ac:dyDescent="0.2">
      <c r="D44" s="18"/>
      <c r="E44" s="28"/>
    </row>
    <row r="45" spans="4:9" x14ac:dyDescent="0.2">
      <c r="D45" s="18"/>
      <c r="E45" s="28"/>
      <c r="F45" s="28"/>
      <c r="G45" s="28"/>
      <c r="H45" s="28"/>
      <c r="I45" s="28"/>
    </row>
    <row r="46" spans="4:9" x14ac:dyDescent="0.2">
      <c r="D46" s="18"/>
      <c r="E46" s="28"/>
      <c r="H46" s="28"/>
      <c r="I46" s="28"/>
    </row>
    <row r="47" spans="4:9" x14ac:dyDescent="0.2">
      <c r="D47" s="18"/>
      <c r="E47" s="28"/>
      <c r="F47" s="28"/>
      <c r="G47" s="28"/>
      <c r="H47" s="28"/>
      <c r="I47" s="28"/>
    </row>
    <row r="48" spans="4:9" x14ac:dyDescent="0.2">
      <c r="D48" s="18"/>
      <c r="E48" s="28"/>
      <c r="F48" s="28"/>
      <c r="G48" s="28"/>
      <c r="H48" s="28"/>
      <c r="I48" s="28"/>
    </row>
    <row r="49" spans="4:9" x14ac:dyDescent="0.2">
      <c r="D49" s="18"/>
      <c r="E49" s="28"/>
      <c r="F49" s="28"/>
      <c r="G49" s="28"/>
      <c r="H49" s="28"/>
      <c r="I49" s="28"/>
    </row>
    <row r="50" spans="4:9" x14ac:dyDescent="0.2">
      <c r="D50" s="18"/>
      <c r="E50" s="28"/>
      <c r="F50" s="28"/>
      <c r="G50" s="28"/>
      <c r="H50" s="28"/>
      <c r="I50" s="28"/>
    </row>
    <row r="51" spans="4:9" x14ac:dyDescent="0.2">
      <c r="D51" s="18"/>
      <c r="E51" s="28"/>
    </row>
    <row r="52" spans="4:9" x14ac:dyDescent="0.2">
      <c r="D52" s="18"/>
      <c r="E52" s="28"/>
      <c r="H52" s="28"/>
      <c r="I52" s="28"/>
    </row>
    <row r="53" spans="4:9" x14ac:dyDescent="0.2">
      <c r="D53" s="18"/>
      <c r="E53" s="28"/>
      <c r="F53" s="28"/>
      <c r="G53" s="28"/>
      <c r="H53" s="28"/>
      <c r="I53" s="28"/>
    </row>
    <row r="54" spans="4:9" x14ac:dyDescent="0.2">
      <c r="D54" s="18"/>
      <c r="E54" s="28"/>
      <c r="H54" s="28"/>
      <c r="I54" s="28"/>
    </row>
    <row r="55" spans="4:9" x14ac:dyDescent="0.2">
      <c r="D55" s="18"/>
      <c r="E55" s="28"/>
      <c r="F55" s="28"/>
      <c r="G55" s="28"/>
      <c r="H55" s="28"/>
      <c r="I55" s="28"/>
    </row>
    <row r="56" spans="4:9" x14ac:dyDescent="0.2">
      <c r="D56" s="18"/>
      <c r="E56" s="28"/>
      <c r="H56" s="28"/>
      <c r="I56" s="28"/>
    </row>
    <row r="57" spans="4:9" x14ac:dyDescent="0.2">
      <c r="D57" s="18"/>
      <c r="E57" s="28"/>
      <c r="F57" s="28"/>
      <c r="H57" s="28"/>
      <c r="I57" s="28"/>
    </row>
    <row r="58" spans="4:9" x14ac:dyDescent="0.2">
      <c r="D58" s="18"/>
      <c r="E58" s="28"/>
      <c r="F58" s="28"/>
      <c r="H58" s="28"/>
      <c r="I58" s="28"/>
    </row>
    <row r="59" spans="4:9" x14ac:dyDescent="0.2">
      <c r="D59" s="18"/>
      <c r="E59" s="28"/>
      <c r="F59" s="28"/>
      <c r="G59" s="28"/>
      <c r="H59" s="28"/>
      <c r="I59" s="28"/>
    </row>
    <row r="60" spans="4:9" x14ac:dyDescent="0.2">
      <c r="D60" s="18"/>
      <c r="E60" s="28"/>
      <c r="F60" s="28"/>
      <c r="G60" s="28"/>
      <c r="H60" s="28"/>
      <c r="I60" s="28"/>
    </row>
    <row r="61" spans="4:9" x14ac:dyDescent="0.2">
      <c r="D61" s="18"/>
      <c r="E61" s="28"/>
      <c r="F61" s="28"/>
      <c r="G61" s="28"/>
      <c r="H61" s="28"/>
      <c r="I61" s="28"/>
    </row>
    <row r="62" spans="4:9" x14ac:dyDescent="0.2">
      <c r="D62" s="18"/>
      <c r="E62" s="28"/>
      <c r="F62" s="28"/>
      <c r="G62" s="28"/>
      <c r="H62" s="28"/>
      <c r="I62" s="28"/>
    </row>
    <row r="63" spans="4:9" x14ac:dyDescent="0.2">
      <c r="D63" s="18"/>
      <c r="E63" s="28"/>
      <c r="F63" s="28"/>
      <c r="G63" s="28"/>
      <c r="H63" s="28"/>
      <c r="I63" s="28"/>
    </row>
    <row r="64" spans="4:9" x14ac:dyDescent="0.2">
      <c r="D64" s="18"/>
      <c r="E64" s="28"/>
      <c r="H64" s="28"/>
      <c r="I64" s="28"/>
    </row>
    <row r="65" spans="4:9" x14ac:dyDescent="0.2">
      <c r="D65" s="18"/>
      <c r="E65" s="28"/>
      <c r="F65" s="28"/>
      <c r="G65" s="28"/>
      <c r="H65" s="28"/>
      <c r="I65" s="28"/>
    </row>
    <row r="66" spans="4:9" x14ac:dyDescent="0.2">
      <c r="D66" s="18"/>
      <c r="E66" s="28"/>
      <c r="H66" s="28"/>
      <c r="I66" s="28"/>
    </row>
    <row r="67" spans="4:9" x14ac:dyDescent="0.2">
      <c r="D67" s="18"/>
      <c r="E67" s="28"/>
      <c r="H67" s="28"/>
      <c r="I67" s="28"/>
    </row>
    <row r="68" spans="4:9" x14ac:dyDescent="0.2">
      <c r="D68" s="18"/>
      <c r="E68" s="28"/>
      <c r="H68" s="28"/>
      <c r="I68" s="28"/>
    </row>
    <row r="69" spans="4:9" x14ac:dyDescent="0.2">
      <c r="D69" s="18"/>
      <c r="E69" s="28"/>
      <c r="F69" s="28"/>
      <c r="H69" s="28"/>
      <c r="I69" s="28"/>
    </row>
    <row r="70" spans="4:9" x14ac:dyDescent="0.2">
      <c r="D70" s="18"/>
      <c r="E70" s="28"/>
      <c r="H70" s="28"/>
      <c r="I70" s="28"/>
    </row>
    <row r="71" spans="4:9" x14ac:dyDescent="0.2">
      <c r="D71" s="18"/>
      <c r="E71" s="28"/>
      <c r="H71" s="28"/>
      <c r="I71" s="28"/>
    </row>
    <row r="72" spans="4:9" x14ac:dyDescent="0.2">
      <c r="D72" s="18"/>
      <c r="E72" s="28"/>
      <c r="F72" s="28"/>
      <c r="H72" s="28"/>
      <c r="I72" s="28"/>
    </row>
    <row r="73" spans="4:9" x14ac:dyDescent="0.2">
      <c r="D73" s="18"/>
      <c r="E73" s="28"/>
      <c r="F73" s="28"/>
      <c r="H73" s="28"/>
      <c r="I73" s="28"/>
    </row>
    <row r="74" spans="4:9" x14ac:dyDescent="0.2">
      <c r="D74" s="18"/>
      <c r="E74" s="28"/>
      <c r="H74" s="28"/>
      <c r="I74" s="28"/>
    </row>
    <row r="75" spans="4:9" x14ac:dyDescent="0.2">
      <c r="D75" s="18"/>
      <c r="E75" s="28"/>
      <c r="H75" s="28"/>
      <c r="I75" s="28"/>
    </row>
    <row r="76" spans="4:9" x14ac:dyDescent="0.2">
      <c r="D76" s="18"/>
      <c r="E76" s="28"/>
      <c r="H76" s="28"/>
      <c r="I76" s="28"/>
    </row>
    <row r="77" spans="4:9" x14ac:dyDescent="0.2">
      <c r="D77" s="18"/>
      <c r="E77" s="28"/>
      <c r="F77" s="28"/>
      <c r="H77" s="28"/>
      <c r="I77" s="28"/>
    </row>
    <row r="78" spans="4:9" x14ac:dyDescent="0.2">
      <c r="D78" s="18"/>
      <c r="E78" s="28"/>
      <c r="F78" s="28"/>
      <c r="H78" s="28"/>
      <c r="I78" s="28"/>
    </row>
    <row r="79" spans="4:9" x14ac:dyDescent="0.2">
      <c r="D79" s="18"/>
      <c r="E79" s="28"/>
      <c r="F79" s="28"/>
    </row>
    <row r="80" spans="4:9" x14ac:dyDescent="0.2">
      <c r="D80" s="18"/>
      <c r="E80" s="28"/>
      <c r="F80" s="28"/>
      <c r="H80" s="28"/>
      <c r="I80" s="28"/>
    </row>
    <row r="81" spans="3:9" x14ac:dyDescent="0.2">
      <c r="D81" s="18"/>
      <c r="E81" s="28"/>
      <c r="H81" s="28"/>
      <c r="I81" s="28"/>
    </row>
    <row r="82" spans="3:9" x14ac:dyDescent="0.2">
      <c r="D82" s="18"/>
      <c r="E82" s="28"/>
      <c r="F82" s="28"/>
      <c r="H82" s="28"/>
      <c r="I82" s="28"/>
    </row>
    <row r="83" spans="3:9" x14ac:dyDescent="0.2">
      <c r="D83" s="18"/>
      <c r="E83" s="28"/>
      <c r="F83" s="28"/>
      <c r="H83" s="28"/>
      <c r="I83" s="28"/>
    </row>
    <row r="84" spans="3:9" x14ac:dyDescent="0.2">
      <c r="C84" s="1"/>
      <c r="D84" s="4"/>
      <c r="E84" s="6"/>
      <c r="F84" s="28"/>
      <c r="H84" s="28"/>
      <c r="I84" s="28"/>
    </row>
    <row r="85" spans="3:9" x14ac:dyDescent="0.2">
      <c r="C85" s="1"/>
      <c r="D85" s="4"/>
      <c r="E85" s="6"/>
      <c r="H85" s="28"/>
      <c r="I85" s="28"/>
    </row>
    <row r="86" spans="3:9" x14ac:dyDescent="0.2">
      <c r="C86" s="1"/>
      <c r="D86" s="4"/>
      <c r="E86" s="6"/>
      <c r="F86" s="28"/>
      <c r="H86" s="28"/>
      <c r="I86" s="28"/>
    </row>
    <row r="87" spans="3:9" x14ac:dyDescent="0.2">
      <c r="C87" s="1"/>
      <c r="D87" s="4"/>
      <c r="E87" s="6"/>
      <c r="F87" s="28"/>
      <c r="H87" s="28"/>
      <c r="I87" s="28"/>
    </row>
    <row r="88" spans="3:9" x14ac:dyDescent="0.2">
      <c r="D88" s="18"/>
      <c r="E88" s="28"/>
      <c r="H88" s="28"/>
      <c r="I88" s="28"/>
    </row>
    <row r="89" spans="3:9" x14ac:dyDescent="0.2">
      <c r="D89" s="18"/>
      <c r="E89" s="28"/>
      <c r="H89" s="28"/>
      <c r="I89" s="28"/>
    </row>
    <row r="90" spans="3:9" x14ac:dyDescent="0.2">
      <c r="D90" s="18"/>
      <c r="E90" s="28"/>
      <c r="F90" s="28"/>
      <c r="G90" s="28"/>
      <c r="H90" s="28"/>
      <c r="I90" s="28"/>
    </row>
    <row r="91" spans="3:9" x14ac:dyDescent="0.2">
      <c r="D91" s="18"/>
      <c r="E91" s="28"/>
      <c r="F91" s="28"/>
      <c r="G91" s="28"/>
      <c r="H91" s="28"/>
      <c r="I91" s="28"/>
    </row>
    <row r="92" spans="3:9" x14ac:dyDescent="0.2">
      <c r="D92" s="18"/>
      <c r="E92" s="28"/>
    </row>
    <row r="93" spans="3:9" x14ac:dyDescent="0.2">
      <c r="D93" s="18"/>
      <c r="E93" s="28"/>
      <c r="H93" s="28"/>
      <c r="I93" s="28"/>
    </row>
    <row r="94" spans="3:9" x14ac:dyDescent="0.2">
      <c r="D94" s="18"/>
      <c r="E94" s="28"/>
      <c r="H94" s="28"/>
      <c r="I94" s="28"/>
    </row>
    <row r="95" spans="3:9" x14ac:dyDescent="0.2">
      <c r="D95" s="18"/>
      <c r="E95" s="28"/>
      <c r="H95" s="28"/>
      <c r="I95" s="28"/>
    </row>
    <row r="96" spans="3:9" x14ac:dyDescent="0.2">
      <c r="D96" s="18"/>
      <c r="E96" s="28"/>
      <c r="F96" s="28"/>
      <c r="H96" s="28"/>
      <c r="I96" s="28"/>
    </row>
    <row r="97" spans="1:9" x14ac:dyDescent="0.2">
      <c r="D97" s="18"/>
      <c r="E97" s="28"/>
      <c r="F97" s="28"/>
      <c r="H97" s="28"/>
      <c r="I97" s="28"/>
    </row>
    <row r="98" spans="1:9" x14ac:dyDescent="0.2">
      <c r="D98" s="18"/>
      <c r="E98" s="28"/>
      <c r="F98" s="28"/>
      <c r="H98" s="28"/>
      <c r="I98" s="28"/>
    </row>
    <row r="99" spans="1:9" x14ac:dyDescent="0.2">
      <c r="D99" s="18"/>
      <c r="E99" s="28"/>
      <c r="F99" s="28"/>
      <c r="H99" s="28"/>
      <c r="I99" s="28"/>
    </row>
    <row r="100" spans="1:9" x14ac:dyDescent="0.2">
      <c r="D100" s="18"/>
      <c r="E100" s="28"/>
      <c r="H100" s="28"/>
      <c r="I100" s="28"/>
    </row>
    <row r="101" spans="1:9" x14ac:dyDescent="0.2">
      <c r="D101" s="18"/>
      <c r="E101" s="28"/>
      <c r="F101" s="28"/>
      <c r="H101" s="28"/>
      <c r="I101" s="28"/>
    </row>
    <row r="102" spans="1:9" x14ac:dyDescent="0.2">
      <c r="D102" s="18"/>
      <c r="E102" s="28"/>
      <c r="F102" s="28"/>
      <c r="H102" s="28"/>
      <c r="I102" s="28"/>
    </row>
    <row r="103" spans="1:9" x14ac:dyDescent="0.2">
      <c r="A103" s="17"/>
      <c r="D103" s="18"/>
      <c r="E103" s="28"/>
      <c r="F103" s="28"/>
    </row>
    <row r="104" spans="1:9" x14ac:dyDescent="0.2">
      <c r="A104" s="17"/>
      <c r="D104" s="18"/>
      <c r="E104" s="28"/>
      <c r="H104" s="28"/>
      <c r="I104" s="28"/>
    </row>
    <row r="105" spans="1:9" x14ac:dyDescent="0.2">
      <c r="A105" s="17"/>
      <c r="D105" s="18"/>
      <c r="E105" s="28"/>
      <c r="F105" s="28"/>
      <c r="H105" s="28"/>
      <c r="I105" s="28"/>
    </row>
    <row r="106" spans="1:9" x14ac:dyDescent="0.2">
      <c r="A106" s="17"/>
      <c r="D106" s="18"/>
      <c r="E106" s="28"/>
      <c r="F106" s="28"/>
      <c r="H106" s="28"/>
      <c r="I106" s="28"/>
    </row>
    <row r="107" spans="1:9" x14ac:dyDescent="0.2">
      <c r="A107" s="17"/>
      <c r="D107" s="18"/>
      <c r="E107" s="28"/>
      <c r="F107" s="28"/>
      <c r="H107" s="28"/>
      <c r="I107" s="28"/>
    </row>
    <row r="108" spans="1:9" x14ac:dyDescent="0.2">
      <c r="A108" s="17"/>
      <c r="D108" s="18"/>
      <c r="E108" s="28"/>
      <c r="H108" s="28"/>
      <c r="I108" s="28"/>
    </row>
    <row r="109" spans="1:9" x14ac:dyDescent="0.2">
      <c r="A109" s="17"/>
      <c r="D109" s="18"/>
      <c r="E109" s="28"/>
      <c r="F109" s="28"/>
      <c r="H109" s="28"/>
      <c r="I109" s="28"/>
    </row>
    <row r="110" spans="1:9" x14ac:dyDescent="0.2">
      <c r="A110" s="17"/>
      <c r="D110" s="18"/>
      <c r="E110" s="28"/>
      <c r="H110" s="28"/>
      <c r="I110" s="28"/>
    </row>
    <row r="111" spans="1:9" x14ac:dyDescent="0.2">
      <c r="A111" s="17"/>
      <c r="D111" s="18"/>
      <c r="E111" s="28"/>
      <c r="F111" s="28"/>
      <c r="G111" s="28"/>
      <c r="H111" s="28"/>
      <c r="I111" s="28"/>
    </row>
    <row r="112" spans="1:9" x14ac:dyDescent="0.2">
      <c r="A112" s="17"/>
      <c r="D112" s="18"/>
      <c r="E112" s="28"/>
      <c r="F112" s="28"/>
      <c r="G112" s="28"/>
      <c r="H112" s="28"/>
      <c r="I112" s="28"/>
    </row>
    <row r="113" spans="1:9" x14ac:dyDescent="0.2">
      <c r="A113" s="17"/>
      <c r="D113" s="18"/>
      <c r="E113" s="28"/>
      <c r="G113" s="28"/>
      <c r="H113" s="28"/>
      <c r="I113" s="28"/>
    </row>
    <row r="114" spans="1:9" x14ac:dyDescent="0.2">
      <c r="A114" s="17"/>
      <c r="D114" s="18"/>
      <c r="E114" s="28"/>
      <c r="F114" s="28"/>
      <c r="G114" s="28"/>
      <c r="H114" s="28"/>
      <c r="I114" s="28"/>
    </row>
    <row r="115" spans="1:9" x14ac:dyDescent="0.2">
      <c r="A115" s="17"/>
      <c r="D115" s="18"/>
      <c r="E115" s="28"/>
      <c r="F115" s="28"/>
      <c r="G115" s="28"/>
    </row>
    <row r="116" spans="1:9" x14ac:dyDescent="0.2">
      <c r="A116" s="17"/>
      <c r="D116" s="18"/>
      <c r="E116" s="28"/>
    </row>
    <row r="117" spans="1:9" x14ac:dyDescent="0.2">
      <c r="A117" s="17"/>
      <c r="D117" s="18"/>
      <c r="E117" s="28"/>
    </row>
    <row r="118" spans="1:9" x14ac:dyDescent="0.2">
      <c r="A118" s="17"/>
      <c r="D118" s="18"/>
      <c r="E118" s="28"/>
      <c r="F118" s="28"/>
      <c r="G118" s="28"/>
      <c r="H118" s="28"/>
      <c r="I118" s="28"/>
    </row>
    <row r="119" spans="1:9" x14ac:dyDescent="0.2">
      <c r="A119" s="17"/>
      <c r="D119" s="18"/>
      <c r="E119" s="28"/>
      <c r="F119" s="28"/>
      <c r="G119" s="28"/>
      <c r="H119" s="28"/>
      <c r="I119" s="28"/>
    </row>
  </sheetData>
  <customSheetViews>
    <customSheetView guid="{8A75D892-44B4-104C-BB94-8EB0D0E43396}" topLeftCell="B1">
      <pane ySplit="1" topLeftCell="A96" activePane="bottomLeft" state="frozen"/>
      <selection pane="bottomLeft" activeCell="H133" sqref="H133"/>
      <pageMargins left="0.7" right="0.7" top="0.75" bottom="0.75" header="0.3" footer="0.3"/>
    </customSheetView>
  </customSheetViews>
  <pageMargins left="0.7" right="0.7" top="0.75" bottom="0.75" header="0.3" footer="0.3"/>
</worksheet>
</file>

<file path=xl/worksheets/wsSortMap1.xml><?xml version="1.0" encoding="utf-8"?>
<worksheetSortMap xmlns="http://schemas.microsoft.com/office/excel/2006/main">
  <rowSortMap ref="A2:XFD338" count="205">
    <row newVal="1" oldVal="2"/>
    <row newVal="2" oldVal="1"/>
    <row newVal="135" oldVal="136"/>
    <row newVal="136" oldVal="138"/>
    <row newVal="137" oldVal="140"/>
    <row newVal="138" oldVal="141"/>
    <row newVal="139" oldVal="143"/>
    <row newVal="140" oldVal="146"/>
    <row newVal="141" oldVal="149"/>
    <row newVal="142" oldVal="151"/>
    <row newVal="143" oldVal="155"/>
    <row newVal="144" oldVal="157"/>
    <row newVal="145" oldVal="160"/>
    <row newVal="146" oldVal="163"/>
    <row newVal="147" oldVal="166"/>
    <row newVal="148" oldVal="167"/>
    <row newVal="149" oldVal="169"/>
    <row newVal="150" oldVal="172"/>
    <row newVal="151" oldVal="173"/>
    <row newVal="152" oldVal="176"/>
    <row newVal="153" oldVal="178"/>
    <row newVal="154" oldVal="180"/>
    <row newVal="155" oldVal="181"/>
    <row newVal="156" oldVal="183"/>
    <row newVal="157" oldVal="186"/>
    <row newVal="158" oldVal="187"/>
    <row newVal="159" oldVal="191"/>
    <row newVal="160" oldVal="192"/>
    <row newVal="161" oldVal="194"/>
    <row newVal="162" oldVal="197"/>
    <row newVal="163" oldVal="198"/>
    <row newVal="164" oldVal="200"/>
    <row newVal="165" oldVal="201"/>
    <row newVal="166" oldVal="205"/>
    <row newVal="167" oldVal="207"/>
    <row newVal="168" oldVal="209"/>
    <row newVal="169" oldVal="210"/>
    <row newVal="170" oldVal="212"/>
    <row newVal="171" oldVal="213"/>
    <row newVal="172" oldVal="217"/>
    <row newVal="173" oldVal="219"/>
    <row newVal="174" oldVal="221"/>
    <row newVal="175" oldVal="224"/>
    <row newVal="176" oldVal="227"/>
    <row newVal="177" oldVal="229"/>
    <row newVal="178" oldVal="231"/>
    <row newVal="179" oldVal="233"/>
    <row newVal="180" oldVal="236"/>
    <row newVal="181" oldVal="237"/>
    <row newVal="182" oldVal="239"/>
    <row newVal="183" oldVal="241"/>
    <row newVal="184" oldVal="242"/>
    <row newVal="185" oldVal="243"/>
    <row newVal="186" oldVal="244"/>
    <row newVal="187" oldVal="245"/>
    <row newVal="188" oldVal="246"/>
    <row newVal="189" oldVal="247"/>
    <row newVal="190" oldVal="248"/>
    <row newVal="191" oldVal="249"/>
    <row newVal="192" oldVal="250"/>
    <row newVal="193" oldVal="251"/>
    <row newVal="194" oldVal="252"/>
    <row newVal="195" oldVal="253"/>
    <row newVal="196" oldVal="254"/>
    <row newVal="197" oldVal="255"/>
    <row newVal="198" oldVal="256"/>
    <row newVal="199" oldVal="257"/>
    <row newVal="200" oldVal="258"/>
    <row newVal="201" oldVal="259"/>
    <row newVal="202" oldVal="260"/>
    <row newVal="203" oldVal="261"/>
    <row newVal="204" oldVal="262"/>
    <row newVal="205" oldVal="263"/>
    <row newVal="206" oldVal="264"/>
    <row newVal="207" oldVal="265"/>
    <row newVal="208" oldVal="266"/>
    <row newVal="209" oldVal="267"/>
    <row newVal="210" oldVal="268"/>
    <row newVal="211" oldVal="269"/>
    <row newVal="212" oldVal="270"/>
    <row newVal="213" oldVal="271"/>
    <row newVal="214" oldVal="272"/>
    <row newVal="215" oldVal="273"/>
    <row newVal="216" oldVal="274"/>
    <row newVal="217" oldVal="275"/>
    <row newVal="218" oldVal="276"/>
    <row newVal="219" oldVal="277"/>
    <row newVal="220" oldVal="278"/>
    <row newVal="221" oldVal="279"/>
    <row newVal="222" oldVal="280"/>
    <row newVal="223" oldVal="281"/>
    <row newVal="224" oldVal="282"/>
    <row newVal="225" oldVal="283"/>
    <row newVal="226" oldVal="284"/>
    <row newVal="227" oldVal="285"/>
    <row newVal="228" oldVal="286"/>
    <row newVal="229" oldVal="287"/>
    <row newVal="230" oldVal="288"/>
    <row newVal="231" oldVal="289"/>
    <row newVal="232" oldVal="290"/>
    <row newVal="233" oldVal="291"/>
    <row newVal="234" oldVal="292"/>
    <row newVal="235" oldVal="293"/>
    <row newVal="236" oldVal="294"/>
    <row newVal="237" oldVal="295"/>
    <row newVal="238" oldVal="296"/>
    <row newVal="239" oldVal="297"/>
    <row newVal="240" oldVal="298"/>
    <row newVal="241" oldVal="299"/>
    <row newVal="242" oldVal="300"/>
    <row newVal="243" oldVal="301"/>
    <row newVal="244" oldVal="302"/>
    <row newVal="245" oldVal="303"/>
    <row newVal="246" oldVal="304"/>
    <row newVal="247" oldVal="305"/>
    <row newVal="248" oldVal="306"/>
    <row newVal="249" oldVal="307"/>
    <row newVal="250" oldVal="308"/>
    <row newVal="251" oldVal="309"/>
    <row newVal="252" oldVal="310"/>
    <row newVal="253" oldVal="311"/>
    <row newVal="254" oldVal="312"/>
    <row newVal="255" oldVal="313"/>
    <row newVal="256" oldVal="314"/>
    <row newVal="257" oldVal="315"/>
    <row newVal="258" oldVal="316"/>
    <row newVal="259" oldVal="317"/>
    <row newVal="260" oldVal="318"/>
    <row newVal="261" oldVal="319"/>
    <row newVal="262" oldVal="320"/>
    <row newVal="263" oldVal="321"/>
    <row newVal="264" oldVal="322"/>
    <row newVal="265" oldVal="323"/>
    <row newVal="266" oldVal="324"/>
    <row newVal="267" oldVal="325"/>
    <row newVal="268" oldVal="327"/>
    <row newVal="269" oldVal="328"/>
    <row newVal="270" oldVal="329"/>
    <row newVal="271" oldVal="330"/>
    <row newVal="272" oldVal="331"/>
    <row newVal="273" oldVal="332"/>
    <row newVal="274" oldVal="333"/>
    <row newVal="275" oldVal="334"/>
    <row newVal="276" oldVal="335"/>
    <row newVal="277" oldVal="336"/>
    <row newVal="278" oldVal="337"/>
    <row newVal="279" oldVal="135"/>
    <row newVal="280" oldVal="137"/>
    <row newVal="281" oldVal="139"/>
    <row newVal="282" oldVal="142"/>
    <row newVal="283" oldVal="144"/>
    <row newVal="284" oldVal="145"/>
    <row newVal="285" oldVal="147"/>
    <row newVal="286" oldVal="148"/>
    <row newVal="287" oldVal="150"/>
    <row newVal="288" oldVal="152"/>
    <row newVal="289" oldVal="153"/>
    <row newVal="290" oldVal="154"/>
    <row newVal="291" oldVal="156"/>
    <row newVal="292" oldVal="158"/>
    <row newVal="293" oldVal="159"/>
    <row newVal="294" oldVal="161"/>
    <row newVal="295" oldVal="162"/>
    <row newVal="296" oldVal="164"/>
    <row newVal="297" oldVal="165"/>
    <row newVal="298" oldVal="168"/>
    <row newVal="299" oldVal="170"/>
    <row newVal="300" oldVal="171"/>
    <row newVal="301" oldVal="174"/>
    <row newVal="302" oldVal="175"/>
    <row newVal="303" oldVal="177"/>
    <row newVal="304" oldVal="179"/>
    <row newVal="305" oldVal="182"/>
    <row newVal="306" oldVal="184"/>
    <row newVal="307" oldVal="185"/>
    <row newVal="308" oldVal="188"/>
    <row newVal="309" oldVal="189"/>
    <row newVal="310" oldVal="190"/>
    <row newVal="311" oldVal="193"/>
    <row newVal="312" oldVal="195"/>
    <row newVal="313" oldVal="196"/>
    <row newVal="314" oldVal="199"/>
    <row newVal="315" oldVal="202"/>
    <row newVal="316" oldVal="204"/>
    <row newVal="317" oldVal="206"/>
    <row newVal="318" oldVal="208"/>
    <row newVal="319" oldVal="211"/>
    <row newVal="320" oldVal="214"/>
    <row newVal="321" oldVal="215"/>
    <row newVal="322" oldVal="216"/>
    <row newVal="323" oldVal="218"/>
    <row newVal="324" oldVal="220"/>
    <row newVal="325" oldVal="222"/>
    <row newVal="326" oldVal="223"/>
    <row newVal="327" oldVal="226"/>
    <row newVal="328" oldVal="228"/>
    <row newVal="329" oldVal="230"/>
    <row newVal="330" oldVal="232"/>
    <row newVal="331" oldVal="234"/>
    <row newVal="332" oldVal="235"/>
    <row newVal="333" oldVal="238"/>
    <row newVal="334" oldVal="240"/>
    <row newVal="335" oldVal="326"/>
    <row newVal="336" oldVal="203"/>
    <row newVal="337" oldVal="225"/>
  </rowSortMap>
</worksheetSortMap>
</file>

<file path=xl/worksheets/wsSortMap2.xml><?xml version="1.0" encoding="utf-8"?>
<worksheetSortMap xmlns="http://schemas.microsoft.com/office/excel/2006/main">
  <rowSortMap ref="A2:XFD262" count="206">
    <row newVal="1" oldVal="2"/>
    <row newVal="2" oldVal="3"/>
    <row newVal="3" oldVal="4"/>
    <row newVal="4" oldVal="5"/>
    <row newVal="5" oldVal="6"/>
    <row newVal="6" oldVal="11"/>
    <row newVal="7" oldVal="12"/>
    <row newVal="8" oldVal="13"/>
    <row newVal="9" oldVal="14"/>
    <row newVal="10" oldVal="15"/>
    <row newVal="11" oldVal="16"/>
    <row newVal="12" oldVal="17"/>
    <row newVal="13" oldVal="18"/>
    <row newVal="14" oldVal="19"/>
    <row newVal="15" oldVal="20"/>
    <row newVal="16" oldVal="70"/>
    <row newVal="17" oldVal="71"/>
    <row newVal="18" oldVal="72"/>
    <row newVal="19" oldVal="73"/>
    <row newVal="20" oldVal="74"/>
    <row newVal="21" oldVal="75"/>
    <row newVal="22" oldVal="7"/>
    <row newVal="23" oldVal="8"/>
    <row newVal="24" oldVal="9"/>
    <row newVal="25" oldVal="10"/>
    <row newVal="26" oldVal="21"/>
    <row newVal="27" oldVal="23"/>
    <row newVal="28" oldVal="24"/>
    <row newVal="29" oldVal="22"/>
    <row newVal="30" oldVal="25"/>
    <row newVal="31" oldVal="26"/>
    <row newVal="32" oldVal="27"/>
    <row newVal="33" oldVal="28"/>
    <row newVal="34" oldVal="1"/>
    <row newVal="35" oldVal="29"/>
    <row newVal="36" oldVal="30"/>
    <row newVal="37" oldVal="31"/>
    <row newVal="38" oldVal="32"/>
    <row newVal="39" oldVal="33"/>
    <row newVal="40" oldVal="34"/>
    <row newVal="41" oldVal="35"/>
    <row newVal="42" oldVal="36"/>
    <row newVal="43" oldVal="37"/>
    <row newVal="44" oldVal="38"/>
    <row newVal="45" oldVal="39"/>
    <row newVal="46" oldVal="40"/>
    <row newVal="47" oldVal="41"/>
    <row newVal="48" oldVal="42"/>
    <row newVal="49" oldVal="43"/>
    <row newVal="50" oldVal="44"/>
    <row newVal="51" oldVal="45"/>
    <row newVal="52" oldVal="46"/>
    <row newVal="53" oldVal="47"/>
    <row newVal="54" oldVal="48"/>
    <row newVal="55" oldVal="49"/>
    <row newVal="56" oldVal="50"/>
    <row newVal="57" oldVal="51"/>
    <row newVal="58" oldVal="52"/>
    <row newVal="59" oldVal="53"/>
    <row newVal="60" oldVal="54"/>
    <row newVal="61" oldVal="55"/>
    <row newVal="62" oldVal="56"/>
    <row newVal="63" oldVal="57"/>
    <row newVal="64" oldVal="58"/>
    <row newVal="65" oldVal="59"/>
    <row newVal="66" oldVal="60"/>
    <row newVal="67" oldVal="61"/>
    <row newVal="68" oldVal="62"/>
    <row newVal="69" oldVal="63"/>
    <row newVal="70" oldVal="64"/>
    <row newVal="71" oldVal="65"/>
    <row newVal="72" oldVal="66"/>
    <row newVal="73" oldVal="67"/>
    <row newVal="74" oldVal="68"/>
    <row newVal="75" oldVal="69"/>
    <row newVal="130" oldVal="131"/>
    <row newVal="131" oldVal="133"/>
    <row newVal="132" oldVal="134"/>
    <row newVal="133" oldVal="135"/>
    <row newVal="134" oldVal="138"/>
    <row newVal="135" oldVal="140"/>
    <row newVal="136" oldVal="145"/>
    <row newVal="137" oldVal="146"/>
    <row newVal="138" oldVal="150"/>
    <row newVal="139" oldVal="152"/>
    <row newVal="140" oldVal="153"/>
    <row newVal="141" oldVal="159"/>
    <row newVal="142" oldVal="160"/>
    <row newVal="143" oldVal="163"/>
    <row newVal="144" oldVal="164"/>
    <row newVal="145" oldVal="166"/>
    <row newVal="146" oldVal="168"/>
    <row newVal="147" oldVal="170"/>
    <row newVal="148" oldVal="174"/>
    <row newVal="149" oldVal="175"/>
    <row newVal="150" oldVal="177"/>
    <row newVal="151" oldVal="178"/>
    <row newVal="152" oldVal="130"/>
    <row newVal="153" oldVal="132"/>
    <row newVal="154" oldVal="136"/>
    <row newVal="155" oldVal="137"/>
    <row newVal="156" oldVal="139"/>
    <row newVal="157" oldVal="141"/>
    <row newVal="158" oldVal="143"/>
    <row newVal="159" oldVal="147"/>
    <row newVal="160" oldVal="148"/>
    <row newVal="161" oldVal="149"/>
    <row newVal="162" oldVal="151"/>
    <row newVal="163" oldVal="154"/>
    <row newVal="164" oldVal="155"/>
    <row newVal="165" oldVal="156"/>
    <row newVal="166" oldVal="157"/>
    <row newVal="167" oldVal="158"/>
    <row newVal="168" oldVal="161"/>
    <row newVal="169" oldVal="162"/>
    <row newVal="170" oldVal="165"/>
    <row newVal="171" oldVal="167"/>
    <row newVal="172" oldVal="169"/>
    <row newVal="173" oldVal="171"/>
    <row newVal="174" oldVal="172"/>
    <row newVal="175" oldVal="173"/>
    <row newVal="177" oldVal="179"/>
    <row newVal="178" oldVal="180"/>
    <row newVal="179" oldVal="182"/>
    <row newVal="180" oldVal="184"/>
    <row newVal="181" oldVal="186"/>
    <row newVal="182" oldVal="187"/>
    <row newVal="183" oldVal="190"/>
    <row newVal="184" oldVal="192"/>
    <row newVal="185" oldVal="194"/>
    <row newVal="186" oldVal="196"/>
    <row newVal="187" oldVal="198"/>
    <row newVal="188" oldVal="202"/>
    <row newVal="189" oldVal="205"/>
    <row newVal="190" oldVal="206"/>
    <row newVal="191" oldVal="207"/>
    <row newVal="192" oldVal="208"/>
    <row newVal="193" oldVal="211"/>
    <row newVal="194" oldVal="218"/>
    <row newVal="195" oldVal="222"/>
    <row newVal="196" oldVal="225"/>
    <row newVal="197" oldVal="226"/>
    <row newVal="198" oldVal="227"/>
    <row newVal="199" oldVal="228"/>
    <row newVal="200" oldVal="234"/>
    <row newVal="201" oldVal="235"/>
    <row newVal="202" oldVal="236"/>
    <row newVal="203" oldVal="238"/>
    <row newVal="204" oldVal="240"/>
    <row newVal="205" oldVal="241"/>
    <row newVal="206" oldVal="242"/>
    <row newVal="207" oldVal="243"/>
    <row newVal="208" oldVal="245"/>
    <row newVal="209" oldVal="246"/>
    <row newVal="210" oldVal="247"/>
    <row newVal="211" oldVal="248"/>
    <row newVal="212" oldVal="249"/>
    <row newVal="213" oldVal="250"/>
    <row newVal="214" oldVal="251"/>
    <row newVal="215" oldVal="252"/>
    <row newVal="216" oldVal="253"/>
    <row newVal="217" oldVal="254"/>
    <row newVal="218" oldVal="255"/>
    <row newVal="219" oldVal="256"/>
    <row newVal="220" oldVal="257"/>
    <row newVal="221" oldVal="258"/>
    <row newVal="222" oldVal="142"/>
    <row newVal="223" oldVal="144"/>
    <row newVal="224" oldVal="181"/>
    <row newVal="225" oldVal="183"/>
    <row newVal="226" oldVal="185"/>
    <row newVal="227" oldVal="188"/>
    <row newVal="228" oldVal="189"/>
    <row newVal="229" oldVal="191"/>
    <row newVal="230" oldVal="193"/>
    <row newVal="231" oldVal="195"/>
    <row newVal="232" oldVal="197"/>
    <row newVal="233" oldVal="200"/>
    <row newVal="234" oldVal="201"/>
    <row newVal="235" oldVal="203"/>
    <row newVal="236" oldVal="204"/>
    <row newVal="237" oldVal="209"/>
    <row newVal="238" oldVal="210"/>
    <row newVal="239" oldVal="212"/>
    <row newVal="240" oldVal="213"/>
    <row newVal="241" oldVal="214"/>
    <row newVal="242" oldVal="215"/>
    <row newVal="243" oldVal="216"/>
    <row newVal="244" oldVal="217"/>
    <row newVal="245" oldVal="219"/>
    <row newVal="246" oldVal="220"/>
    <row newVal="247" oldVal="221"/>
    <row newVal="248" oldVal="223"/>
    <row newVal="249" oldVal="224"/>
    <row newVal="250" oldVal="229"/>
    <row newVal="251" oldVal="230"/>
    <row newVal="252" oldVal="231"/>
    <row newVal="253" oldVal="232"/>
    <row newVal="254" oldVal="233"/>
    <row newVal="255" oldVal="237"/>
    <row newVal="256" oldVal="239"/>
    <row newVal="257" oldVal="244"/>
    <row newVal="258" oldVal="260"/>
    <row newVal="259" oldVal="261"/>
    <row newVal="260" oldVal="199"/>
    <row newVal="261" oldVal="259"/>
  </rowSortMap>
</worksheetSortMap>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maze1</vt:lpstr>
      <vt:lpstr>maze2</vt:lpstr>
      <vt:lpstr>turning_frequencies_maze1</vt:lpstr>
      <vt:lpstr>turning_frequencies_maze2</vt:lpstr>
      <vt:lpstr>light_levels_maze2</vt:lpstr>
      <vt:lpstr>light_levels_maze1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 Scheepers</dc:creator>
  <cp:lastModifiedBy>Paul Andre Viljoen Scheepers</cp:lastModifiedBy>
  <dcterms:created xsi:type="dcterms:W3CDTF">2024-02-23T15:38:35Z</dcterms:created>
  <dcterms:modified xsi:type="dcterms:W3CDTF">2026-10-14T14:27:54Z</dcterms:modified>
</cp:coreProperties>
</file>