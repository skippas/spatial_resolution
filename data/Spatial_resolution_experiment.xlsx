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revisions/revisionHeaders.xml" ContentType="application/vnd.openxmlformats-officedocument.spreadsheetml.revisionHeaders+xml"/>
  <Override PartName="/xl/revisions/revisionLog9.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8.xml" ContentType="application/vnd.openxmlformats-officedocument.spreadsheetml.revisionLog+xml"/>
  <Override PartName="/xl/revisions/revisionLog3.xml" ContentType="application/vnd.openxmlformats-officedocument.spreadsheetml.revisionLog+xml"/>
  <Override PartName="/xl/revisions/revisionLog7.xml" ContentType="application/vnd.openxmlformats-officedocument.spreadsheetml.revisionLog+xml"/>
  <Override PartName="/xl/revisions/revisionLog2.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5.xml" ContentType="application/vnd.openxmlformats-officedocument.spreadsheetml.revisionLog+xml"/>
  <Override PartName="/xl/revisions/revisionLog4.xml" ContentType="application/vnd.openxmlformats-officedocument.spreadsheetml.revisionLog+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https://lunduniversityo365-my.sharepoint.com/personal/an4718sc_lu_se/Documents/PhD/projects/panama/analyses/spatial_resolution/data/"/>
    </mc:Choice>
  </mc:AlternateContent>
  <xr:revisionPtr revIDLastSave="0" documentId="10_ncr:80_{0550FBBA-D8A7-3946-BCC4-CFD3A41F72F4}" xr6:coauthVersionLast="47" xr6:coauthVersionMax="47" xr10:uidLastSave="{00000000-0000-0000-0000-000000000000}"/>
  <bookViews>
    <workbookView xWindow="0" yWindow="0" windowWidth="19160" windowHeight="21600"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calcPr calcId="191029"/>
  <customWorkbookViews>
    <customWorkbookView name="Andre Scheepers - Personal View" guid="{8A75D892-44B4-104C-BB94-8EB0D0E43396}" mergeInterval="0" personalView="1" yWindow="25" windowWidth="1672" windowHeight="1055"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J337" i="1"/>
  <c r="G337" i="1"/>
  <c r="J336" i="1"/>
  <c r="G336" i="1"/>
  <c r="J335" i="1"/>
  <c r="G335" i="1"/>
  <c r="J334" i="1"/>
  <c r="G334" i="1"/>
  <c r="G333" i="1"/>
  <c r="J332" i="1"/>
  <c r="G332" i="1"/>
  <c r="J331" i="1"/>
  <c r="J330" i="1"/>
  <c r="J328" i="1"/>
  <c r="G331" i="1"/>
  <c r="G330" i="1"/>
  <c r="G329" i="1"/>
  <c r="G328" i="1"/>
  <c r="J326" i="1"/>
  <c r="G326" i="1"/>
  <c r="G324" i="1"/>
  <c r="J279" i="1"/>
  <c r="J281" i="1"/>
  <c r="J282" i="1"/>
  <c r="J285" i="1"/>
  <c r="J286" i="1"/>
  <c r="J288" i="1"/>
  <c r="J289" i="1"/>
  <c r="J291" i="1"/>
  <c r="J293" i="1"/>
  <c r="J296" i="1"/>
  <c r="J297" i="1"/>
  <c r="J299" i="1"/>
  <c r="J323" i="1"/>
  <c r="G323" i="1"/>
  <c r="G322" i="1"/>
  <c r="J321" i="1"/>
  <c r="J320" i="1"/>
  <c r="G321" i="1"/>
  <c r="G320" i="1"/>
  <c r="G319" i="1"/>
  <c r="G318" i="1"/>
  <c r="J318" i="1"/>
  <c r="J317" i="1"/>
  <c r="G317" i="1"/>
  <c r="G316" i="1"/>
  <c r="G315" i="1"/>
  <c r="J314" i="1"/>
  <c r="G314" i="1"/>
  <c r="G313" i="1"/>
  <c r="G312" i="1"/>
  <c r="G311" i="1"/>
  <c r="J310" i="1"/>
  <c r="J308" i="1"/>
  <c r="G310" i="1"/>
  <c r="G309" i="1"/>
  <c r="G308" i="1"/>
  <c r="J307" i="1"/>
  <c r="J306" i="1"/>
  <c r="J304" i="1"/>
  <c r="G307" i="1"/>
  <c r="G306" i="1"/>
  <c r="G305" i="1"/>
  <c r="G304" i="1"/>
  <c r="J303" i="1"/>
  <c r="J302" i="1"/>
  <c r="J301" i="1"/>
  <c r="G303" i="1"/>
  <c r="G302" i="1"/>
  <c r="G301" i="1"/>
  <c r="G300" i="1"/>
  <c r="G297" i="1"/>
  <c r="G296" i="1"/>
  <c r="G295" i="1"/>
  <c r="G294" i="1"/>
  <c r="G293" i="1"/>
  <c r="G292" i="1"/>
  <c r="G291" i="1"/>
  <c r="G290" i="1"/>
  <c r="G289" i="1"/>
  <c r="G288" i="1"/>
  <c r="G287" i="1"/>
  <c r="G286" i="1"/>
  <c r="G285" i="1"/>
  <c r="G284" i="1"/>
  <c r="G283" i="1"/>
  <c r="G282" i="1"/>
  <c r="G281" i="1"/>
  <c r="G280" i="1"/>
  <c r="G279" i="1"/>
  <c r="G278" i="1"/>
  <c r="G277" i="1"/>
  <c r="G275" i="1"/>
  <c r="G274" i="1"/>
  <c r="G273" i="1"/>
  <c r="G253" i="2"/>
  <c r="G252" i="2"/>
  <c r="J251" i="2"/>
  <c r="G251" i="2"/>
  <c r="G250" i="2"/>
  <c r="G249" i="2"/>
  <c r="J249" i="2"/>
  <c r="J258" i="2"/>
  <c r="G258" i="2"/>
  <c r="J257" i="2"/>
  <c r="G257" i="2"/>
  <c r="J256" i="2"/>
  <c r="G256" i="2"/>
  <c r="G255" i="2"/>
  <c r="G271" i="1"/>
  <c r="G270" i="1"/>
  <c r="J269" i="1"/>
  <c r="J267" i="1"/>
  <c r="J266" i="1"/>
  <c r="J265" i="1"/>
  <c r="J264" i="1"/>
  <c r="G269" i="1"/>
  <c r="G268" i="1"/>
  <c r="G267" i="1"/>
  <c r="G266" i="1"/>
  <c r="G265" i="1"/>
  <c r="G264" i="1"/>
  <c r="G263" i="1"/>
  <c r="J262" i="1"/>
  <c r="G262" i="1"/>
  <c r="J261" i="1"/>
  <c r="G261" i="1"/>
  <c r="G260" i="1"/>
  <c r="G259" i="1"/>
  <c r="G258" i="1"/>
  <c r="G248" i="2"/>
  <c r="G257" i="1"/>
  <c r="G256" i="1"/>
  <c r="G255" i="1"/>
  <c r="G254" i="1"/>
  <c r="J257" i="1"/>
  <c r="J256" i="1"/>
  <c r="G247" i="2"/>
  <c r="J247" i="2"/>
  <c r="J246" i="2"/>
  <c r="J245" i="2"/>
  <c r="G246" i="2"/>
  <c r="G245" i="2"/>
  <c r="G253" i="1"/>
  <c r="J253" i="1"/>
  <c r="G206" i="1"/>
  <c r="G205" i="1"/>
  <c r="J206" i="1"/>
  <c r="J205" i="1"/>
  <c r="J213" i="1"/>
  <c r="G213" i="1"/>
  <c r="G209" i="1"/>
  <c r="G210" i="1"/>
  <c r="J210" i="1"/>
  <c r="J209" i="1"/>
  <c r="G238" i="2"/>
  <c r="G237" i="2"/>
  <c r="G236" i="2"/>
  <c r="G235" i="2"/>
  <c r="G244" i="2"/>
  <c r="G243" i="2"/>
  <c r="G242" i="2"/>
  <c r="G241" i="2"/>
  <c r="J243" i="2"/>
  <c r="J242" i="2"/>
  <c r="J241" i="2"/>
  <c r="G252" i="1"/>
  <c r="G251" i="1"/>
  <c r="J252" i="1"/>
  <c r="G240" i="2"/>
  <c r="G239" i="2"/>
  <c r="J240" i="2"/>
  <c r="J239" i="2"/>
  <c r="J238" i="2"/>
  <c r="G250" i="1"/>
  <c r="G249" i="1"/>
  <c r="J250" i="1"/>
  <c r="J249" i="1"/>
  <c r="J248" i="1"/>
  <c r="G211" i="1"/>
  <c r="G212" i="1"/>
  <c r="J212" i="1"/>
  <c r="J211" i="1"/>
  <c r="J214" i="1"/>
  <c r="J228" i="1"/>
  <c r="G228" i="1"/>
  <c r="G214" i="1"/>
  <c r="G215" i="1"/>
  <c r="G234" i="2"/>
  <c r="J234" i="2"/>
  <c r="J245" i="1"/>
  <c r="J244" i="1"/>
  <c r="G244" i="1"/>
  <c r="G248" i="1"/>
  <c r="G247" i="1"/>
  <c r="G246" i="1"/>
  <c r="J232" i="2"/>
  <c r="J233" i="2"/>
  <c r="G233" i="2"/>
  <c r="G232" i="2"/>
  <c r="G231" i="2"/>
  <c r="G230" i="2"/>
  <c r="J231" i="2"/>
  <c r="J230" i="2"/>
  <c r="J178" i="2"/>
  <c r="G178" i="2"/>
  <c r="G179" i="2"/>
  <c r="G186" i="2"/>
  <c r="G188" i="2"/>
  <c r="J188" i="2"/>
  <c r="G200" i="2"/>
  <c r="G199" i="2"/>
  <c r="J199" i="2"/>
  <c r="G224" i="2"/>
  <c r="J224" i="2"/>
  <c r="G223" i="2"/>
  <c r="G222" i="2"/>
  <c r="G221" i="2"/>
  <c r="J223" i="2"/>
  <c r="J222" i="2"/>
  <c r="J226" i="2"/>
  <c r="J229" i="2"/>
  <c r="J228" i="2"/>
  <c r="G229" i="2"/>
  <c r="G228" i="2"/>
  <c r="G227" i="2"/>
  <c r="G226" i="2"/>
  <c r="G225" i="2"/>
  <c r="G243" i="1"/>
  <c r="J243" i="1"/>
  <c r="G242" i="1"/>
  <c r="J242" i="1"/>
  <c r="J219" i="2"/>
  <c r="G218" i="2"/>
  <c r="G219" i="2"/>
  <c r="G220" i="2"/>
  <c r="J238" i="1"/>
  <c r="J236" i="1"/>
  <c r="G238" i="1"/>
  <c r="G237" i="1"/>
  <c r="G236" i="1"/>
  <c r="G235" i="1"/>
  <c r="G217" i="2"/>
  <c r="G216" i="2"/>
  <c r="G215" i="2"/>
  <c r="G214" i="2"/>
  <c r="G213" i="2"/>
  <c r="J217" i="2"/>
  <c r="J216" i="2"/>
  <c r="J215" i="2"/>
  <c r="J214" i="2"/>
  <c r="J213" i="2"/>
  <c r="G234" i="1"/>
  <c r="G233" i="1"/>
  <c r="J234" i="1"/>
  <c r="J233" i="1"/>
  <c r="G211" i="2"/>
  <c r="G210" i="2"/>
  <c r="G209" i="2"/>
  <c r="G208" i="2"/>
  <c r="J212" i="2"/>
  <c r="J210" i="2"/>
  <c r="J209" i="2"/>
  <c r="J208" i="2"/>
  <c r="G232" i="1"/>
  <c r="G231" i="1"/>
  <c r="J232" i="1"/>
  <c r="J231" i="1"/>
  <c r="J207" i="2"/>
  <c r="J206" i="2"/>
  <c r="J205" i="2"/>
  <c r="G207" i="2"/>
  <c r="G206" i="2"/>
  <c r="G205" i="2"/>
  <c r="G230" i="1"/>
  <c r="G229" i="1"/>
  <c r="J230" i="1"/>
  <c r="J229" i="1"/>
  <c r="G204" i="2"/>
  <c r="G203" i="2"/>
  <c r="G202" i="2"/>
  <c r="J204" i="2"/>
  <c r="J203" i="2"/>
  <c r="G198" i="2"/>
  <c r="G197" i="2"/>
  <c r="J198" i="2"/>
  <c r="J197" i="2"/>
  <c r="G225" i="1"/>
  <c r="G224" i="1"/>
  <c r="G223" i="1"/>
  <c r="J225" i="1"/>
  <c r="J224" i="1"/>
  <c r="G219" i="1"/>
  <c r="G221" i="1"/>
  <c r="J222" i="1"/>
  <c r="J221" i="1"/>
  <c r="J193" i="2"/>
  <c r="G218" i="1"/>
  <c r="G217" i="1"/>
  <c r="G216" i="1"/>
  <c r="J218" i="1"/>
  <c r="J217" i="1"/>
  <c r="E3" i="8"/>
  <c r="A3" i="8"/>
  <c r="E2" i="8"/>
  <c r="D2" i="8"/>
  <c r="C3" i="8"/>
  <c r="D3" i="8" s="1"/>
  <c r="C2" i="8"/>
  <c r="B3" i="8"/>
  <c r="B2" i="8"/>
  <c r="G184" i="2"/>
  <c r="J184" i="2"/>
  <c r="G182" i="2"/>
  <c r="J182" i="2"/>
  <c r="J201" i="1"/>
  <c r="G201" i="1"/>
  <c r="G203" i="1"/>
  <c r="G202" i="1"/>
  <c r="J203" i="1"/>
  <c r="J202" i="1"/>
  <c r="J181" i="2"/>
  <c r="J180" i="2"/>
  <c r="G200" i="1"/>
  <c r="G199" i="1"/>
  <c r="J200" i="1"/>
  <c r="J199" i="1"/>
  <c r="J198" i="1"/>
  <c r="G198" i="1"/>
  <c r="J177" i="2"/>
  <c r="J176" i="2"/>
  <c r="J175" i="2"/>
  <c r="G172" i="2"/>
  <c r="J174" i="2"/>
  <c r="J173" i="2"/>
  <c r="J172" i="2"/>
  <c r="J170" i="2"/>
  <c r="G171" i="2"/>
  <c r="G170" i="2"/>
  <c r="J169" i="2"/>
  <c r="J168" i="2"/>
  <c r="G177" i="2"/>
  <c r="G176" i="2"/>
  <c r="G175" i="2"/>
  <c r="G196" i="1"/>
  <c r="G195" i="1"/>
  <c r="J196" i="1"/>
  <c r="J195" i="1"/>
  <c r="G192" i="1"/>
  <c r="G191" i="1"/>
  <c r="J191" i="1"/>
  <c r="G193" i="1"/>
  <c r="J193" i="1"/>
  <c r="G165" i="2"/>
  <c r="G164" i="2"/>
  <c r="J188" i="1"/>
  <c r="G188" i="1"/>
  <c r="G187" i="1"/>
  <c r="G186" i="1"/>
  <c r="G185" i="1"/>
  <c r="J185" i="1"/>
  <c r="J183" i="1"/>
  <c r="G184" i="1"/>
  <c r="G183" i="1"/>
  <c r="G182" i="1"/>
  <c r="J190" i="1"/>
  <c r="J182" i="1"/>
  <c r="J153" i="2"/>
  <c r="G154" i="2"/>
  <c r="G153" i="2"/>
  <c r="G160" i="2"/>
  <c r="G159" i="2"/>
  <c r="G158" i="2"/>
  <c r="J161" i="2"/>
  <c r="J160" i="2"/>
  <c r="J159" i="2"/>
  <c r="J157" i="2"/>
  <c r="G157" i="2"/>
  <c r="G156" i="2"/>
  <c r="J156" i="2"/>
  <c r="G155" i="2"/>
  <c r="G163" i="2"/>
  <c r="J163" i="2"/>
  <c r="J162" i="2"/>
  <c r="G162" i="2"/>
  <c r="J152" i="2"/>
  <c r="G152" i="2"/>
  <c r="G151" i="2"/>
  <c r="J180" i="1"/>
  <c r="G181" i="1"/>
  <c r="G180" i="1"/>
  <c r="J148" i="2"/>
  <c r="G148" i="2"/>
  <c r="J175" i="1"/>
  <c r="G175" i="1"/>
  <c r="G174" i="1"/>
  <c r="G172" i="1"/>
  <c r="J166" i="1"/>
  <c r="G166" i="1"/>
  <c r="J169" i="1"/>
  <c r="G169" i="1"/>
  <c r="J170" i="1"/>
  <c r="G170" i="1"/>
  <c r="G177" i="1"/>
  <c r="J176" i="1"/>
  <c r="G176" i="1"/>
  <c r="G144" i="2"/>
  <c r="J144" i="2"/>
  <c r="J143" i="2"/>
  <c r="J139" i="2"/>
  <c r="G143" i="2"/>
  <c r="J135" i="2"/>
  <c r="G135" i="2"/>
  <c r="J153" i="1"/>
  <c r="G153" i="1"/>
  <c r="G157" i="1"/>
  <c r="J157" i="1"/>
  <c r="G162" i="1"/>
  <c r="G161" i="1"/>
  <c r="G160" i="1"/>
  <c r="J162" i="1"/>
  <c r="J160" i="1"/>
  <c r="J165" i="1"/>
  <c r="G165" i="1"/>
  <c r="G164" i="1"/>
  <c r="G163" i="1"/>
  <c r="J155" i="1"/>
  <c r="G155" i="1"/>
  <c r="G156" i="1"/>
  <c r="G154" i="1"/>
  <c r="J149" i="1"/>
  <c r="J151" i="1"/>
  <c r="J148" i="1"/>
  <c r="G149" i="1"/>
  <c r="G152" i="1"/>
  <c r="G151" i="1"/>
  <c r="G147" i="1"/>
  <c r="G146" i="1"/>
  <c r="J146" i="1"/>
  <c r="J145" i="1"/>
  <c r="G144" i="1"/>
  <c r="G145" i="1"/>
  <c r="J144" i="1"/>
  <c r="G131" i="2"/>
  <c r="G143" i="1"/>
  <c r="G142" i="1"/>
  <c r="J143" i="1"/>
  <c r="J142" i="1"/>
  <c r="G141" i="1"/>
  <c r="G140" i="1"/>
  <c r="G138" i="1"/>
  <c r="G139" i="1"/>
  <c r="J140" i="1"/>
  <c r="J139" i="1"/>
  <c r="J129" i="2"/>
  <c r="G129" i="2"/>
  <c r="G137" i="1"/>
  <c r="J138" i="1"/>
  <c r="J137" i="1"/>
  <c r="G135" i="1"/>
  <c r="J135" i="1"/>
  <c r="J128" i="2"/>
  <c r="G128" i="2"/>
  <c r="J126" i="2"/>
  <c r="G124" i="2"/>
  <c r="J124" i="2"/>
  <c r="G125" i="2"/>
  <c r="J125" i="2"/>
  <c r="M101" i="7"/>
  <c r="M100" i="7"/>
  <c r="M99" i="7"/>
  <c r="M98" i="7"/>
  <c r="M97" i="7"/>
  <c r="M96" i="7"/>
  <c r="M95" i="7"/>
  <c r="M94" i="7"/>
  <c r="G117" i="1"/>
  <c r="G118" i="1"/>
  <c r="G119" i="1"/>
  <c r="G120" i="1"/>
  <c r="G121" i="1"/>
  <c r="G122" i="1"/>
  <c r="J122" i="1"/>
  <c r="G123" i="1"/>
  <c r="J123" i="1"/>
  <c r="G124" i="1"/>
  <c r="G126" i="1"/>
  <c r="G125" i="1"/>
  <c r="J126" i="1"/>
  <c r="J125" i="1"/>
  <c r="J124" i="1"/>
  <c r="I24" i="5"/>
  <c r="M80" i="6"/>
  <c r="M79" i="6"/>
  <c r="M78" i="6"/>
  <c r="M77" i="6"/>
  <c r="J121" i="2"/>
  <c r="J122" i="2"/>
  <c r="G122" i="2"/>
  <c r="G118" i="2"/>
  <c r="J118" i="2"/>
  <c r="J117" i="2"/>
  <c r="G116" i="2"/>
  <c r="G115" i="2"/>
  <c r="J116" i="2"/>
  <c r="J115" i="2"/>
  <c r="I21" i="5"/>
  <c r="M76" i="6"/>
  <c r="G109" i="2"/>
  <c r="J109" i="2"/>
  <c r="M75" i="6"/>
  <c r="G104" i="2"/>
  <c r="J104" i="2"/>
  <c r="M74" i="6"/>
  <c r="G112" i="2"/>
  <c r="J112" i="2"/>
  <c r="M73" i="6"/>
  <c r="I20" i="5"/>
  <c r="J20" i="5" s="1"/>
  <c r="M20" i="5" s="1"/>
  <c r="G113" i="2"/>
  <c r="J113" i="2"/>
  <c r="M93" i="7"/>
  <c r="J116" i="1"/>
  <c r="G115" i="1"/>
  <c r="M92" i="7"/>
  <c r="G114" i="1"/>
  <c r="J114" i="1"/>
  <c r="I72" i="6"/>
  <c r="M72" i="6"/>
  <c r="J111" i="2"/>
  <c r="G111" i="2"/>
  <c r="M91" i="7"/>
  <c r="M90" i="7"/>
  <c r="J106" i="1"/>
  <c r="G106" i="1"/>
  <c r="J109" i="1"/>
  <c r="G107" i="1"/>
  <c r="M89" i="7"/>
  <c r="G109" i="1"/>
  <c r="M88" i="7"/>
  <c r="M87" i="7"/>
  <c r="M86" i="7"/>
  <c r="J112" i="1"/>
  <c r="G112" i="1"/>
  <c r="G111" i="1"/>
  <c r="G110" i="1"/>
  <c r="M85" i="7"/>
  <c r="G113" i="1"/>
  <c r="J113" i="1"/>
  <c r="X92" i="2"/>
  <c r="X95" i="2"/>
  <c r="X94" i="2"/>
  <c r="X100" i="2"/>
  <c r="X102" i="2"/>
  <c r="I67" i="6"/>
  <c r="X104" i="1"/>
  <c r="X97" i="1"/>
  <c r="X95" i="1"/>
  <c r="X93" i="1"/>
  <c r="X92" i="1"/>
  <c r="J75" i="7"/>
  <c r="J72" i="7"/>
  <c r="J73" i="7"/>
  <c r="J77" i="7"/>
  <c r="J83" i="7"/>
  <c r="I70" i="6"/>
  <c r="I63" i="6"/>
  <c r="I62" i="6"/>
  <c r="I60" i="6"/>
  <c r="I18" i="5"/>
  <c r="I17" i="5"/>
  <c r="I16" i="5"/>
  <c r="I15" i="5"/>
  <c r="I13" i="5"/>
  <c r="J13" i="5" s="1"/>
  <c r="M13" i="5" s="1"/>
  <c r="I12" i="5"/>
  <c r="I11" i="5"/>
  <c r="I8" i="5"/>
  <c r="I7" i="5"/>
  <c r="M83" i="7"/>
  <c r="G104" i="1"/>
  <c r="J104" i="1"/>
  <c r="M70" i="6"/>
  <c r="G102" i="2"/>
  <c r="J102" i="2"/>
  <c r="J44" i="2"/>
  <c r="M14" i="6"/>
  <c r="G44" i="2"/>
  <c r="J102" i="1"/>
  <c r="G102" i="1"/>
  <c r="I10" i="5"/>
  <c r="G100" i="2"/>
  <c r="J100" i="2"/>
  <c r="I9" i="5"/>
  <c r="I6" i="5"/>
  <c r="M75" i="7"/>
  <c r="G95" i="1"/>
  <c r="J95" i="1"/>
  <c r="M77" i="7"/>
  <c r="G97" i="1"/>
  <c r="J97" i="1"/>
  <c r="J96" i="1"/>
  <c r="I5" i="5"/>
  <c r="I4" i="5"/>
  <c r="M63" i="6"/>
  <c r="G95" i="2"/>
  <c r="J95" i="2"/>
  <c r="M62" i="6"/>
  <c r="G94" i="2"/>
  <c r="J94" i="2"/>
  <c r="J92" i="2"/>
  <c r="I3" i="5"/>
  <c r="M60" i="6"/>
  <c r="G92" i="2"/>
  <c r="J91" i="2"/>
  <c r="M57" i="6"/>
  <c r="G89" i="2"/>
  <c r="J89" i="2"/>
  <c r="I2" i="5"/>
  <c r="M56" i="6"/>
  <c r="G87" i="2"/>
  <c r="J87" i="2"/>
  <c r="M73" i="7"/>
  <c r="G93" i="1"/>
  <c r="J93" i="1"/>
  <c r="M72" i="7"/>
  <c r="M71" i="7"/>
  <c r="G92" i="1"/>
  <c r="J92" i="1"/>
  <c r="G91" i="1"/>
  <c r="J91" i="1"/>
  <c r="M70" i="7"/>
  <c r="M69" i="7"/>
  <c r="G90" i="1"/>
  <c r="J90" i="1"/>
  <c r="G89" i="1"/>
  <c r="J89" i="1"/>
  <c r="M64" i="7"/>
  <c r="G84" i="1"/>
  <c r="J84" i="1"/>
  <c r="M68" i="7"/>
  <c r="G88" i="1"/>
  <c r="J88" i="1"/>
  <c r="M67" i="7"/>
  <c r="M66" i="7"/>
  <c r="M65" i="7"/>
  <c r="G87" i="1"/>
  <c r="J87" i="1"/>
  <c r="G86" i="1"/>
  <c r="J86" i="1"/>
  <c r="J83" i="1"/>
  <c r="J82" i="1"/>
  <c r="G85" i="1"/>
  <c r="M38" i="6"/>
  <c r="M37" i="6"/>
  <c r="M41" i="6"/>
  <c r="M46" i="7"/>
  <c r="M63" i="7"/>
  <c r="M62" i="7"/>
  <c r="M61" i="7"/>
  <c r="M59" i="7"/>
  <c r="M57" i="7"/>
  <c r="M58" i="7"/>
  <c r="M55" i="7"/>
  <c r="M54" i="7"/>
  <c r="M53" i="7"/>
  <c r="M52" i="7"/>
  <c r="M51" i="7"/>
  <c r="M50" i="7"/>
  <c r="M49" i="7"/>
  <c r="M45" i="6"/>
  <c r="M44" i="6"/>
  <c r="M43" i="6"/>
  <c r="M54" i="6"/>
  <c r="M52" i="6"/>
  <c r="M51" i="6"/>
  <c r="M49" i="6"/>
  <c r="M48" i="6"/>
  <c r="M47" i="6"/>
  <c r="J76" i="2"/>
  <c r="G76" i="2"/>
  <c r="G75" i="2"/>
  <c r="J75" i="2"/>
  <c r="J74" i="2"/>
  <c r="G74" i="2"/>
  <c r="J73" i="2"/>
  <c r="G73" i="2"/>
  <c r="G72" i="2"/>
  <c r="G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G83" i="1"/>
  <c r="G82" i="1"/>
  <c r="G81" i="1"/>
  <c r="J82" i="2"/>
  <c r="G82" i="2"/>
  <c r="J79" i="1"/>
  <c r="G79" i="1"/>
  <c r="G77" i="1"/>
  <c r="J77" i="1"/>
  <c r="G85" i="2"/>
  <c r="J85" i="2"/>
  <c r="G83" i="2"/>
  <c r="J83" i="2"/>
  <c r="G78" i="1"/>
  <c r="J78" i="1"/>
  <c r="J81" i="2"/>
  <c r="G80" i="2"/>
  <c r="J80" i="2"/>
  <c r="G79" i="2"/>
  <c r="G78" i="2"/>
  <c r="J79" i="2"/>
  <c r="J78" i="2"/>
  <c r="G66" i="1"/>
  <c r="J76" i="1"/>
  <c r="G75" i="1"/>
  <c r="G74" i="1"/>
  <c r="J74" i="1"/>
  <c r="G73" i="1"/>
  <c r="J73" i="1"/>
  <c r="G72" i="1"/>
  <c r="J72" i="1"/>
  <c r="G71" i="1"/>
  <c r="J71" i="1"/>
  <c r="G70" i="1"/>
  <c r="J70" i="1"/>
  <c r="G69" i="1"/>
  <c r="J69" i="1"/>
  <c r="J68" i="1"/>
  <c r="G67" i="1"/>
  <c r="J67" i="1"/>
  <c r="M36" i="6"/>
  <c r="M34" i="6"/>
  <c r="M33" i="6"/>
  <c r="M32" i="6"/>
  <c r="M31" i="6"/>
  <c r="G62" i="2"/>
  <c r="J62" i="2"/>
  <c r="J63" i="1"/>
  <c r="J69" i="2"/>
  <c r="G69" i="2"/>
  <c r="M30" i="6"/>
  <c r="M29" i="6"/>
  <c r="M28" i="6"/>
  <c r="M27" i="6"/>
  <c r="M26" i="6"/>
  <c r="M25" i="6"/>
  <c r="M24" i="6"/>
  <c r="M23" i="6"/>
  <c r="M22" i="6"/>
  <c r="M18" i="6"/>
  <c r="G50" i="2"/>
  <c r="M17" i="6"/>
  <c r="G58" i="2"/>
  <c r="J58" i="2"/>
  <c r="G60" i="2"/>
  <c r="G61" i="2"/>
  <c r="J61" i="2"/>
  <c r="G66" i="2"/>
  <c r="J66" i="2"/>
  <c r="G67" i="2"/>
  <c r="J67" i="2"/>
  <c r="G55" i="1"/>
  <c r="J55" i="1"/>
  <c r="J54" i="1"/>
  <c r="G53" i="1"/>
  <c r="J53" i="1"/>
  <c r="G51" i="1"/>
  <c r="J51" i="1"/>
  <c r="G50" i="1"/>
  <c r="G49" i="1"/>
  <c r="J50" i="1"/>
  <c r="J49" i="1"/>
  <c r="G58" i="1"/>
  <c r="J58" i="1"/>
  <c r="G61" i="1"/>
  <c r="J61" i="1"/>
  <c r="G60" i="1"/>
  <c r="J60" i="1"/>
  <c r="G59" i="1"/>
  <c r="J59" i="1"/>
  <c r="J62" i="1"/>
  <c r="G62" i="1"/>
  <c r="G56" i="1"/>
  <c r="G57" i="1"/>
  <c r="J57" i="1"/>
  <c r="M19" i="6"/>
  <c r="M21" i="6"/>
  <c r="M20" i="6"/>
  <c r="G59" i="2"/>
  <c r="J59" i="2"/>
  <c r="G57" i="2"/>
  <c r="J57" i="2"/>
  <c r="G54" i="2"/>
  <c r="G53" i="2"/>
  <c r="J54" i="2"/>
  <c r="G45" i="1"/>
  <c r="J45" i="1"/>
  <c r="G44" i="1"/>
  <c r="G48" i="1"/>
  <c r="J48" i="1"/>
  <c r="J47" i="1"/>
  <c r="J46" i="1"/>
  <c r="G47" i="1"/>
  <c r="G46" i="1"/>
  <c r="G43" i="1"/>
  <c r="J53" i="2"/>
  <c r="G56" i="2"/>
  <c r="G55" i="2"/>
  <c r="J56" i="2"/>
  <c r="J55" i="2"/>
  <c r="J50" i="2"/>
  <c r="J33" i="1"/>
  <c r="J38" i="1"/>
  <c r="G33" i="1"/>
  <c r="G37" i="1"/>
  <c r="G38" i="1"/>
  <c r="G36" i="1"/>
  <c r="J36" i="1"/>
  <c r="G42" i="1"/>
  <c r="J42" i="1"/>
  <c r="G41" i="1"/>
  <c r="G40" i="1"/>
  <c r="J41" i="1"/>
  <c r="G47" i="2"/>
  <c r="J47" i="2"/>
  <c r="G49" i="2"/>
  <c r="J49" i="2"/>
  <c r="G52" i="2"/>
  <c r="J52" i="2"/>
  <c r="J40" i="1"/>
  <c r="J39" i="1"/>
  <c r="G39" i="1"/>
  <c r="G51" i="2"/>
  <c r="J51" i="2"/>
  <c r="M16" i="6"/>
  <c r="M15" i="6"/>
  <c r="G46" i="2"/>
  <c r="J46" i="2"/>
  <c r="J45" i="2"/>
  <c r="G45" i="2"/>
  <c r="G30" i="1"/>
  <c r="J30" i="1"/>
  <c r="G32" i="1"/>
  <c r="J32" i="1"/>
  <c r="J31" i="1"/>
  <c r="M11" i="6"/>
  <c r="J29" i="1"/>
  <c r="G41" i="2"/>
  <c r="J41" i="2"/>
  <c r="G42" i="2"/>
  <c r="J42" i="2"/>
  <c r="J26" i="1"/>
  <c r="M10" i="6"/>
  <c r="G24" i="1"/>
  <c r="J24" i="1"/>
  <c r="G25" i="1"/>
  <c r="J25" i="1"/>
  <c r="M9" i="6"/>
  <c r="G39" i="2"/>
  <c r="G40" i="2"/>
  <c r="J39" i="2"/>
  <c r="J40" i="2"/>
  <c r="M8" i="6"/>
  <c r="G23" i="1"/>
  <c r="G38" i="2"/>
  <c r="J38" i="2"/>
  <c r="J22" i="1"/>
  <c r="J23" i="1"/>
  <c r="J36" i="2"/>
  <c r="J35" i="2"/>
  <c r="G21" i="1"/>
  <c r="J21" i="1"/>
  <c r="M2" i="6"/>
  <c r="J34" i="2"/>
  <c r="J18" i="1"/>
  <c r="G32" i="2"/>
  <c r="J32" i="2"/>
  <c r="G19" i="1"/>
  <c r="J19" i="1"/>
  <c r="J30" i="2"/>
  <c r="G17" i="1"/>
  <c r="J17" i="1"/>
  <c r="G16" i="1"/>
  <c r="J16" i="1"/>
  <c r="G13" i="1"/>
  <c r="J13" i="1"/>
  <c r="G14" i="1"/>
  <c r="J14" i="1"/>
  <c r="G11" i="2"/>
  <c r="G10" i="2"/>
  <c r="J12" i="2"/>
  <c r="J11" i="2"/>
  <c r="J10" i="2"/>
  <c r="G9" i="2"/>
  <c r="J9" i="2"/>
  <c r="J26" i="2"/>
  <c r="G26" i="2"/>
  <c r="G25" i="2"/>
  <c r="J25" i="2"/>
  <c r="G23" i="2"/>
  <c r="J23" i="2"/>
  <c r="J9" i="1"/>
  <c r="G11" i="1"/>
  <c r="J11" i="1"/>
  <c r="G12" i="1"/>
  <c r="J12" i="1"/>
  <c r="J10" i="1"/>
  <c r="J6" i="1"/>
  <c r="G24" i="2"/>
  <c r="J24" i="2"/>
  <c r="G27" i="2"/>
  <c r="J27" i="2"/>
  <c r="G6" i="1"/>
  <c r="G8" i="1"/>
  <c r="J8" i="1"/>
  <c r="G18" i="2"/>
  <c r="J18" i="2"/>
  <c r="J22" i="2"/>
  <c r="G21" i="2"/>
  <c r="J21" i="2"/>
  <c r="G20" i="2"/>
  <c r="G16" i="2"/>
  <c r="G15" i="2"/>
  <c r="J16" i="2"/>
  <c r="J15" i="2"/>
  <c r="G8" i="2"/>
  <c r="G7" i="2"/>
  <c r="G6" i="2"/>
  <c r="J8" i="2"/>
  <c r="J7" i="2"/>
  <c r="J6" i="2"/>
  <c r="G5" i="2"/>
  <c r="J5" i="2"/>
  <c r="G14" i="2"/>
  <c r="J14" i="2"/>
  <c r="G13" i="2"/>
  <c r="J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<sst xmlns="http://schemas.openxmlformats.org/spreadsheetml/2006/main" count="5816" uniqueCount="804">
  <si>
    <t>ymaze</t>
  </si>
  <si>
    <t>nest</t>
  </si>
  <si>
    <t>video_name</t>
  </si>
  <si>
    <t>pos_vpatt_dep</t>
  </si>
  <si>
    <t>pos_vpatt_ret</t>
  </si>
  <si>
    <t>light_level_ret</t>
  </si>
  <si>
    <t>t_dep</t>
  </si>
  <si>
    <t>t_ret</t>
  </si>
  <si>
    <t>elapse_t_dep</t>
  </si>
  <si>
    <t>elapse_t_ret</t>
  </si>
  <si>
    <t>t_video_start</t>
  </si>
  <si>
    <t>side_vpatt_dep</t>
  </si>
  <si>
    <t>side_vpatt_ret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</si>
  <si>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</si>
  <si>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</si>
  <si>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</si>
  <si>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</si>
  <si>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</si>
  <si>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</si>
  <si>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</si>
  <si>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</si>
  <si>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</si>
  <si>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</si>
  <si>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</si>
  <si>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</si>
  <si>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</si>
  <si>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</si>
  <si>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</si>
  <si>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</si>
  <si>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</si>
  <si>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</si>
  <si>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</si>
  <si>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</si>
  <si>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</si>
  <si>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</si>
  <si>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</si>
  <si>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</si>
  <si>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</si>
  <si>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</si>
  <si>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</si>
  <si>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</si>
  <si>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</si>
  <si>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</si>
  <si>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</si>
  <si>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1*</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</si>
  <si>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</si>
  <si>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</si>
  <si>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</si>
  <si>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</si>
  <si>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</si>
  <si>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</si>
  <si>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</si>
  <si>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</si>
  <si>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</si>
  <si>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</si>
  <si>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</si>
  <si>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</si>
  <si>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</si>
  <si>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</si>
  <si>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</si>
  <si>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</si>
  <si>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</si>
  <si>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</si>
  <si>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</si>
  <si>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</si>
  <si>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</si>
  <si>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</si>
  <si>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</si>
  <si>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</si>
  <si>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</si>
  <si>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</si>
  <si>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</si>
  <si>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</si>
  <si>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</si>
  <si>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vpatt_freq_ret</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</si>
  <si>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</si>
  <si>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</si>
  <si>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</si>
  <si>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</si>
  <si>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</si>
  <si>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</si>
  <si>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</si>
  <si>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</si>
  <si>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</si>
  <si>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</si>
  <si>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</si>
  <si>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</si>
  <si>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</si>
  <si>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</si>
  <si>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</si>
  <si>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</si>
  <si>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</si>
  <si>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</si>
  <si>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</si>
  <si>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</si>
  <si>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</si>
  <si>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</si>
  <si>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</si>
  <si>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</si>
  <si>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</si>
  <si>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</si>
  <si>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</si>
  <si>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</si>
  <si>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</si>
  <si>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</si>
  <si>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</si>
  <si>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</si>
  <si>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</si>
  <si>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</si>
  <si>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</si>
  <si>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</si>
  <si>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</si>
  <si>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</si>
  <si>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</si>
  <si>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</si>
  <si>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</si>
  <si>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</si>
  <si>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</si>
  <si>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</si>
  <si>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</si>
  <si>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</si>
  <si>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</si>
  <si>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</si>
  <si>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</si>
  <si>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I had switched sides by the time already before she left , so she didn’t get switched and she started on 0.05. She finally leaves after about 8 minutes of struggling.</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</si>
  <si>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</si>
  <si>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</si>
  <si>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</si>
  <si>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</si>
  <si>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</si>
  <si>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</si>
  <si>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</si>
  <si>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</si>
  <si>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</si>
  <si>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</si>
  <si>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</si>
  <si>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</si>
  <si>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</si>
  <si>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</si>
  <si>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</si>
  <si>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</si>
  <si>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</si>
  <si>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</si>
  <si>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</si>
  <si>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</si>
  <si>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</si>
  <si>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</si>
  <si>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</si>
  <si>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</si>
  <si>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</si>
  <si>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</si>
  <si>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</si>
  <si>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</si>
  <si>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</si>
  <si>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</si>
  <si>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</si>
  <si>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</si>
  <si>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</si>
  <si>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</si>
  <si>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</si>
  <si>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</si>
  <si>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</si>
  <si>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</si>
  <si>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</si>
  <si>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</si>
  <si>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</si>
  <si>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</si>
  <si>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</si>
  <si>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</si>
  <si>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</si>
  <si>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</si>
  <si>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</si>
  <si>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</si>
  <si>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</si>
  <si>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</si>
  <si>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</si>
  <si>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</si>
  <si>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</si>
  <si>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</si>
  <si>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</si>
  <si>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</si>
  <si>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</si>
  <si>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</si>
  <si>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</si>
  <si>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</si>
  <si>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</si>
  <si>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</si>
  <si>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</si>
  <si>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</si>
  <si>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</si>
  <si>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</si>
  <si>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</si>
  <si>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</si>
  <si>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</si>
  <si>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</si>
  <si>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</si>
  <si>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</si>
  <si>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</si>
  <si>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</si>
  <si>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</si>
  <si>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</si>
  <si>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</si>
  <si>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</si>
  <si>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</si>
  <si>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</si>
  <si>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</si>
  <si>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</si>
  <si>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</si>
  <si>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</si>
  <si>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vpatt_freq_dep</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</si>
  <si>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</si>
  <si>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</si>
  <si>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</si>
  <si>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</si>
  <si>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</si>
  <si>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</si>
  <si>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</si>
  <si>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</si>
  <si>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</si>
  <si>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</si>
  <si>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</si>
  <si>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</si>
  <si>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</si>
  <si>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</si>
  <si>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</si>
  <si>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</si>
  <si>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3</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</si>
  <si>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</si>
  <si>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</si>
  <si>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</si>
  <si>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</si>
  <si>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</si>
  <si>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</si>
  <si>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</si>
  <si>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</si>
  <si>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</si>
  <si>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</si>
  <si>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</si>
  <si>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</si>
  <si>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</si>
  <si>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</si>
  <si>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</si>
  <si>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</si>
  <si>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</si>
  <si>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</si>
  <si>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</si>
  <si>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</si>
  <si>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</si>
  <si>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</si>
  <si>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</si>
  <si>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</si>
  <si>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</si>
  <si>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</si>
  <si>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</si>
  <si>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</si>
  <si>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</si>
  <si>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</si>
  <si>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</si>
  <si>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</si>
  <si>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</si>
  <si>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</si>
  <si>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</si>
  <si>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</si>
  <si>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</si>
  <si>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</si>
  <si>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</si>
  <si>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</si>
  <si>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</si>
  <si>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</si>
  <si>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</si>
  <si>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</si>
  <si>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</si>
  <si>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</si>
  <si>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</si>
  <si>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</si>
  <si>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</si>
  <si>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</si>
  <si>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</si>
  <si>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</si>
  <si>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</si>
  <si>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</si>
  <si>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</si>
  <si>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</si>
  <si>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</si>
  <si>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</si>
  <si>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</si>
  <si>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</si>
  <si>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</si>
  <si>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</si>
  <si>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</si>
  <si>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</si>
  <si>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</si>
  <si>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</si>
  <si>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</si>
  <si>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</si>
  <si>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</si>
  <si>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</si>
  <si>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</si>
  <si>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</si>
  <si>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</si>
  <si>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</si>
  <si>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</si>
  <si>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</si>
  <si>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</si>
  <si>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</si>
  <si>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</si>
  <si>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</si>
  <si>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</si>
  <si>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</si>
  <si>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</si>
  <si>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</si>
  <si>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</si>
  <si>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</si>
  <si>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</si>
  <si>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</si>
  <si>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</si>
  <si>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</si>
  <si>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</si>
  <si>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</si>
  <si>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</si>
  <si>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</si>
  <si>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</si>
  <si>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</si>
  <si>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</si>
  <si>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</si>
  <si>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</si>
  <si>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</si>
  <si>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</si>
  <si>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</si>
  <si>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</si>
  <si>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</si>
  <si>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</si>
  <si>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</si>
  <si>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</si>
  <si>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</si>
  <si>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</si>
  <si>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</si>
  <si>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</si>
  <si>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</si>
  <si>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</si>
  <si>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</si>
  <si>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</si>
  <si>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</si>
  <si>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</si>
  <si>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</si>
  <si>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</si>
  <si>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</si>
  <si>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</si>
  <si>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</si>
  <si>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</si>
  <si>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</si>
  <si>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</si>
  <si>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</si>
  <si>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</si>
  <si>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</si>
  <si>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</si>
  <si>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</si>
  <si>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</si>
  <si>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</si>
  <si>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</si>
  <si>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</si>
  <si>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</si>
  <si>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</si>
  <si>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</si>
  <si>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</si>
  <si>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</si>
  <si>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</si>
  <si>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</si>
  <si>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</si>
  <si>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</si>
  <si>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</si>
  <si>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</si>
  <si>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</si>
  <si>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</si>
  <si>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</si>
  <si>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</si>
  <si>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</si>
  <si>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</si>
  <si>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</si>
  <si>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</si>
  <si>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</si>
  <si>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</si>
  <si>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</si>
  <si>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</si>
  <si>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</si>
  <si>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</si>
  <si>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</si>
  <si>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</si>
  <si>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</si>
  <si>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</si>
  <si>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</si>
  <si>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</si>
  <si>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</si>
  <si>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00:49:36</t>
  </si>
  <si>
    <t>Incredibly strange that she couldn’t get into her nest. Presumably an experienced bee, but didn’t want to go down the right arm. Many sessions on the other side, but still, why would she not go to the other side? Polarised light?</t>
  </si>
  <si>
    <t>missing light video</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</si>
  <si>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</si>
  <si>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</si>
  <si>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</si>
  <si>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</si>
  <si>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</si>
  <si>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</si>
  <si>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</si>
  <si>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</si>
  <si>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</si>
  <si>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</si>
  <si>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*-2.46x10-2</t>
  </si>
  <si>
    <t>C0129_negative_numbers_constrained_range</t>
  </si>
  <si>
    <t>C0130_negative_numbers_constrained_range</t>
  </si>
  <si>
    <t>negative numbers. Values started in the minus and to the power of -1. 5v bias on</t>
  </si>
  <si>
    <t>*-0.28x10-1</t>
  </si>
  <si>
    <t>*-0.92x10-1</t>
  </si>
  <si>
    <t>negative numbers, constrained range, and 5v bias on</t>
  </si>
  <si>
    <t xml:space="preserve">light video missing </t>
  </si>
  <si>
    <t>*0.0099</t>
  </si>
  <si>
    <t xml:space="preserve">Negative numbers, constrained range, 5v bias on. </t>
  </si>
  <si>
    <t>*0.159</t>
  </si>
  <si>
    <t>Bee returned before meter turned on</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</si>
  <si>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</si>
  <si>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</si>
  <si>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</si>
  <si>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</si>
  <si>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</si>
  <si>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</si>
  <si>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</si>
  <si>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</si>
  <si>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</si>
  <si>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</si>
  <si>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</si>
  <si>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</si>
  <si>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</si>
  <si>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</si>
  <si>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</si>
  <si>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</si>
  <si>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</si>
  <si>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</si>
  <si>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</si>
  <si>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</si>
  <si>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</si>
  <si>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</si>
  <si>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</si>
  <si>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</si>
  <si>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</si>
  <si>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</si>
  <si>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</si>
  <si>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</si>
  <si>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</si>
  <si>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</si>
  <si>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</si>
  <si>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</si>
  <si>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</si>
  <si>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</si>
  <si>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</si>
  <si>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</si>
  <si>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</si>
  <si>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</si>
  <si>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</si>
  <si>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number much higher than previous morning</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</si>
  <si>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</si>
  <si>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</si>
  <si>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</si>
  <si>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</si>
  <si>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</si>
  <si>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</si>
  <si>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</si>
  <si>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</si>
  <si>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</si>
  <si>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</si>
  <si>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</si>
  <si>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</si>
  <si>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</si>
  <si>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</si>
  <si>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</si>
  <si>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</si>
  <si>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</si>
  <si>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</si>
  <si>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</si>
  <si>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</si>
  <si>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</si>
  <si>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</si>
  <si>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</si>
  <si>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</si>
  <si>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</si>
  <si>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</si>
  <si>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</si>
  <si>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</si>
  <si>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</si>
  <si>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</si>
  <si>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</si>
  <si>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</si>
  <si>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</si>
  <si>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</si>
  <si>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</si>
  <si>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</si>
  <si>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</si>
  <si>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</si>
  <si>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</si>
  <si>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</si>
  <si>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</si>
  <si>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</si>
  <si>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</si>
  <si>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</si>
  <si>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</si>
  <si>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</si>
  <si>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</si>
  <si>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</si>
  <si>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</si>
  <si>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</si>
  <si>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</si>
  <si>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</si>
  <si>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</si>
  <si>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</si>
  <si>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</si>
  <si>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</si>
  <si>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</si>
  <si>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</si>
  <si>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</si>
  <si>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</si>
  <si>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</si>
  <si>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</si>
  <si>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</si>
  <si>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</si>
  <si>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</si>
  <si>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</si>
  <si>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</si>
  <si>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</si>
  <si>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</si>
  <si>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2</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</si>
  <si>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</si>
  <si>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</si>
  <si>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</si>
  <si>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</si>
  <si>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</si>
  <si>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</si>
  <si>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</si>
  <si>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</si>
  <si>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</si>
  <si>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</si>
  <si>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</si>
  <si>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</si>
  <si>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</si>
  <si>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didn’t setup light meter</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</si>
  <si>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</si>
  <si>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</si>
  <si>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</si>
  <si>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</si>
  <si>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</si>
  <si>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1</t>
  </si>
  <si>
    <t>NEW NEST! no activity. Deleted video</t>
  </si>
  <si>
    <t>Don’t think there was activity. Hard to tell as I forgot IR lamp off. This may have been when bee left and didn’t come back :( . Video deleted.</t>
  </si>
  <si>
    <t>C0108_2</t>
  </si>
  <si>
    <t>1.4V</t>
  </si>
  <si>
    <t>1.5H</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</si>
  <si>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</si>
  <si>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</si>
  <si>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</si>
  <si>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</si>
  <si>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</si>
  <si>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2.6V</t>
  </si>
  <si>
    <t>2.7H</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</si>
  <si>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</si>
  <si>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</si>
  <si>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</si>
  <si>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</si>
  <si>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</si>
  <si>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</si>
  <si>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</si>
  <si>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</si>
  <si>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</si>
  <si>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</si>
  <si>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</si>
  <si>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</si>
  <si>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</si>
  <si>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</si>
  <si>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</si>
  <si>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2.8H</t>
  </si>
  <si>
    <t>2.9V</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</si>
  <si>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</si>
  <si>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</si>
  <si>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</si>
  <si>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</si>
  <si>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</si>
  <si>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</si>
  <si>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</si>
  <si>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</si>
  <si>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</si>
  <si>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</si>
  <si>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</si>
  <si>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</si>
  <si>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</si>
  <si>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</si>
  <si>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</si>
  <si>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</si>
  <si>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</si>
  <si>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</si>
  <si>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</si>
  <si>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</si>
  <si>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</si>
  <si>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</si>
  <si>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</si>
  <si>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</si>
  <si>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</si>
  <si>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</si>
  <si>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</si>
  <si>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</si>
  <si>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</si>
  <si>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</si>
  <si>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</si>
  <si>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</si>
  <si>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</si>
  <si>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</si>
  <si>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</si>
  <si>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</si>
  <si>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</si>
  <si>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</si>
  <si>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</si>
  <si>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</si>
  <si>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</si>
  <si>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</si>
  <si>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</si>
  <si>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</si>
  <si>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</si>
  <si>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</si>
  <si>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</si>
  <si>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2.8V</t>
  </si>
  <si>
    <t>2.9H</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</si>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</sst>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44">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49" fontId="3" fillId="0" borderId="0" xfId="0" applyNumberFormat="1" applyFont="1" applyAlignment="1">
      <alignment horizontal="left"/>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49" fontId="0" fillId="2" borderId="0" xfId="0" applyNumberFormat="1"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2"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xf numFmtId="2" fontId="0" fillId="3" borderId="0" xfId="0" applyNumberFormat="1" applyFill="1" applyAlignment="1">
      <alignment horizontal="left"/>
    </xf>
    <xf numFmtId="2" fontId="0" fillId="4" borderId="0" xfId="0" applyNumberFormat="1" applyFill="1" applyAlignment="1">
      <alignment horizontal="left"/>
    </xf>
    <xf numFmtId="0" fontId="0" fillId="4" borderId="0" xfId="0" applyFill="1" applyAlignment="1">
      <alignment horizontal="left"/>
    </xf>
    <xf numFmtId="2" fontId="3" fillId="4" borderId="0" xfId="0" applyNumberFormat="1" applyFont="1" applyFill="1" applyAlignment="1">
      <alignment horizontal="left"/>
    </xf>
    <xf numFmtId="21" fontId="0" fillId="4" borderId="0" xfId="0" applyNumberFormat="1" applyFill="1" applyAlignment="1">
      <alignment horizontal="left"/>
    </xf>
    <xf numFmtId="0" fontId="2" fillId="4" borderId="0" xfId="0" applyFon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8" Type="http://schemas.openxmlformats.org/officeDocument/2006/relationships/revisionLog" Target="revisionLog8.xml"/><Relationship Id="rId3" Type="http://schemas.openxmlformats.org/officeDocument/2006/relationships/revisionLog" Target="revisionLog3.xml"/><Relationship Id="rId7" Type="http://schemas.openxmlformats.org/officeDocument/2006/relationships/revisionLog" Target="revisionLog7.xml"/><Relationship Id="rId2" Type="http://schemas.openxmlformats.org/officeDocument/2006/relationships/revisionLog" Target="revisionLog2.xml"/><Relationship Id="rId1" Type="http://schemas.openxmlformats.org/officeDocument/2006/relationships/revisionLog" Target="revisionLog1.xml"/><Relationship Id="rId6" Type="http://schemas.openxmlformats.org/officeDocument/2006/relationships/revisionLog" Target="revisionLog6.xml"/><Relationship Id="rId5" Type="http://schemas.openxmlformats.org/officeDocument/2006/relationships/revisionLog" Target="revisionLog5.xml"/><Relationship Id="rId4" Type="http://schemas.openxmlformats.org/officeDocument/2006/relationships/revisionLog" Target="revisionLog4.xml"/><Relationship Id="rId9" Type="http://schemas.openxmlformats.org/officeDocument/2006/relationships/revisionLog" Target="revisionLog9.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0D18E071-0B29-D544-95A3-295C7A7411A8}" diskRevisions="1" revisionId="1331" version="9">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6">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0D18E071-0B29-D544-95A3-295C7A7411A8}" name="Andre Scheepers" id="-922259768" dateTime="2026-09-26T17:31:09"/>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Y338"/>
  <sheetViews>
    <sheetView tabSelected="1" zoomScale="90" zoomScaleNormal="90" workbookViewId="0">
      <pane ySplit="1" topLeftCell="A2" activePane="bottomLeft" state="frozen"/>
      <selection pane="bottomLeft" activeCell="C2" sqref="C2"/>
    </sheetView>
  </sheetViews>
  <sheetFormatPr baseColWidth="10" defaultRowHeight="16" x14ac:dyDescent="0.2"/>
  <cols>
    <col min="1" max="4" width="10.83203125" style="1"/>
    <col min="5" max="5" width="10.83203125" style="4"/>
    <col min="6" max="6" width="13.5" style="4" customWidth="1"/>
    <col min="7" max="7" width="10.83203125" style="6"/>
    <col min="8" max="8" width="14.1640625" style="1" customWidth="1"/>
    <col min="9" max="9" width="16.5" style="1" customWidth="1"/>
    <col min="10" max="10" width="10.83203125" style="1"/>
    <col min="11" max="11" width="13.1640625" style="6" customWidth="1"/>
    <col min="12" max="12" width="15.1640625" style="1" customWidth="1"/>
    <col min="13" max="13" width="16.83203125" style="1" customWidth="1"/>
    <col min="14" max="14" width="13.6640625" style="5" customWidth="1"/>
    <col min="15" max="15" width="16" style="1" customWidth="1"/>
    <col min="16" max="16" width="10.83203125" style="39"/>
    <col min="17" max="17" width="14.5" style="39" customWidth="1"/>
    <col min="18" max="18" width="16.6640625" style="2" customWidth="1"/>
    <col min="19" max="19" width="14.5" style="1" customWidth="1"/>
    <col min="20" max="20" width="14.5" style="2" customWidth="1"/>
    <col min="21" max="21" width="39.6640625" style="1" customWidth="1"/>
    <col min="22" max="25" width="13.6640625" style="1" customWidth="1"/>
    <col min="26" max="16384" width="10.83203125" style="1"/>
  </cols>
  <sheetData>
    <row r="1" spans="1:25" x14ac:dyDescent="0.2">
      <c r="A1" s="1" t="s">
        <v>0</v>
      </c>
      <c r="B1" s="1" t="s">
        <v>1</v>
      </c>
      <c r="C1" s="1" t="s">
        <v>803</v>
      </c>
      <c r="D1" s="1" t="s">
        <v>2</v>
      </c>
      <c r="E1" s="4" t="s">
        <v>37</v>
      </c>
      <c r="F1" s="4" t="s">
        <v>668</v>
      </c>
      <c r="G1" s="6" t="s">
        <v>7</v>
      </c>
      <c r="H1" s="1" t="s">
        <v>10</v>
      </c>
      <c r="I1" s="1" t="s">
        <v>8</v>
      </c>
      <c r="J1" s="1" t="s">
        <v>6</v>
      </c>
      <c r="K1" s="6" t="s">
        <v>9</v>
      </c>
      <c r="L1" s="1" t="s">
        <v>3</v>
      </c>
      <c r="M1" s="1" t="s">
        <v>11</v>
      </c>
      <c r="N1" s="5" t="s">
        <v>4</v>
      </c>
      <c r="O1" s="1" t="s">
        <v>12</v>
      </c>
      <c r="P1" s="39" t="s">
        <v>209</v>
      </c>
      <c r="Q1" s="39" t="s">
        <v>74</v>
      </c>
      <c r="R1" s="2" t="s">
        <v>792</v>
      </c>
      <c r="S1" s="1" t="s">
        <v>339</v>
      </c>
      <c r="T1" s="2" t="s">
        <v>687</v>
      </c>
      <c r="U1" s="1" t="s">
        <v>21</v>
      </c>
      <c r="V1" s="2" t="s">
        <v>5</v>
      </c>
      <c r="W1" s="2" t="s">
        <v>419</v>
      </c>
      <c r="X1" s="2" t="s">
        <v>377</v>
      </c>
      <c r="Y1" s="2" t="s">
        <v>445</v>
      </c>
    </row>
    <row r="2" spans="1:25" x14ac:dyDescent="0.2">
      <c r="A2" s="1">
        <v>1</v>
      </c>
      <c r="B2" s="1">
        <v>1.2</v>
      </c>
      <c r="D2" s="1" t="s">
        <v>25</v>
      </c>
      <c r="E2" s="4">
        <v>45340</v>
      </c>
      <c r="P2" s="40">
        <v>0.1</v>
      </c>
      <c r="U2" s="1" t="s">
        <v>26</v>
      </c>
    </row>
    <row r="3" spans="1:25" x14ac:dyDescent="0.2">
      <c r="A3" s="1">
        <v>1</v>
      </c>
      <c r="B3" s="1">
        <v>1.1000000000000001</v>
      </c>
      <c r="C3" s="1">
        <v>1</v>
      </c>
      <c r="D3" s="1" t="s">
        <v>23</v>
      </c>
      <c r="E3" s="4">
        <v>45342</v>
      </c>
      <c r="H3" s="3">
        <v>0.22586805555555556</v>
      </c>
      <c r="P3" s="40">
        <v>0.1</v>
      </c>
      <c r="S3" s="1">
        <v>0</v>
      </c>
      <c r="U3" s="1" t="s">
        <v>24</v>
      </c>
    </row>
    <row r="4" spans="1:25" x14ac:dyDescent="0.2">
      <c r="A4" s="1">
        <v>1</v>
      </c>
      <c r="B4" s="1">
        <v>1.2</v>
      </c>
      <c r="C4" s="1">
        <v>1</v>
      </c>
      <c r="D4" s="1" t="s">
        <v>31</v>
      </c>
      <c r="E4" s="4">
        <v>45346</v>
      </c>
      <c r="H4" s="3">
        <v>0.75783564814814808</v>
      </c>
      <c r="I4" s="3">
        <v>8.4722222222222213E-3</v>
      </c>
      <c r="U4" s="1" t="s">
        <v>32</v>
      </c>
    </row>
    <row r="5" spans="1:25" x14ac:dyDescent="0.2">
      <c r="A5" s="1">
        <v>1</v>
      </c>
      <c r="B5" s="1">
        <v>1.2</v>
      </c>
      <c r="C5" s="1">
        <v>2</v>
      </c>
      <c r="D5" s="1" t="s">
        <v>31</v>
      </c>
      <c r="E5" s="4">
        <v>45346</v>
      </c>
      <c r="H5" s="3">
        <v>0.75783564814814808</v>
      </c>
      <c r="I5" s="3">
        <v>1.5740740740740743E-2</v>
      </c>
      <c r="K5" s="6">
        <v>1.7187499999999998E-2</v>
      </c>
      <c r="U5" s="1" t="s">
        <v>33</v>
      </c>
    </row>
    <row r="6" spans="1:25" x14ac:dyDescent="0.2">
      <c r="A6" s="1">
        <v>1</v>
      </c>
      <c r="B6" s="1">
        <v>1.2</v>
      </c>
      <c r="C6" s="1">
        <v>1</v>
      </c>
      <c r="D6" s="1" t="s">
        <v>19</v>
      </c>
      <c r="E6" s="4">
        <v>45347</v>
      </c>
      <c r="G6" s="6">
        <f>K6+H6</f>
        <v>0.78136574074074072</v>
      </c>
      <c r="H6" s="3">
        <v>0.75321759259259258</v>
      </c>
      <c r="I6" s="3">
        <v>2.4583333333333332E-2</v>
      </c>
      <c r="J6" s="3">
        <f>I6+H6</f>
        <v>0.77780092592592587</v>
      </c>
      <c r="K6" s="6">
        <v>2.8148148148148148E-2</v>
      </c>
      <c r="L6" s="1">
        <v>1</v>
      </c>
      <c r="M6" s="1" t="s">
        <v>14</v>
      </c>
      <c r="N6" s="5">
        <v>1</v>
      </c>
      <c r="O6" s="1" t="s">
        <v>14</v>
      </c>
      <c r="S6" s="1">
        <v>0</v>
      </c>
      <c r="U6" s="1" t="s">
        <v>41</v>
      </c>
    </row>
    <row r="7" spans="1:25" x14ac:dyDescent="0.2">
      <c r="A7" s="1">
        <v>1</v>
      </c>
      <c r="B7" s="1">
        <v>1.2</v>
      </c>
      <c r="C7" s="1" t="s">
        <v>27</v>
      </c>
      <c r="D7" s="1" t="s">
        <v>27</v>
      </c>
      <c r="E7" s="4">
        <v>45347</v>
      </c>
      <c r="G7" s="6" t="s">
        <v>27</v>
      </c>
      <c r="H7" s="1" t="s">
        <v>27</v>
      </c>
      <c r="I7" s="1" t="s">
        <v>27</v>
      </c>
      <c r="J7" s="1" t="s">
        <v>27</v>
      </c>
      <c r="K7" s="6" t="s">
        <v>27</v>
      </c>
      <c r="L7" s="1" t="s">
        <v>27</v>
      </c>
      <c r="M7" s="1" t="s">
        <v>27</v>
      </c>
      <c r="N7" s="5" t="s">
        <v>27</v>
      </c>
      <c r="O7" s="1" t="s">
        <v>27</v>
      </c>
      <c r="P7" s="40">
        <v>0.1</v>
      </c>
      <c r="S7" s="1" t="s">
        <v>27</v>
      </c>
      <c r="U7" s="1" t="s">
        <v>42</v>
      </c>
      <c r="V7" s="1" t="s">
        <v>27</v>
      </c>
    </row>
    <row r="8" spans="1:25" x14ac:dyDescent="0.2">
      <c r="A8" s="1">
        <v>1</v>
      </c>
      <c r="B8" s="1">
        <v>1.2</v>
      </c>
      <c r="C8" s="1">
        <v>1</v>
      </c>
      <c r="D8" s="1" t="s">
        <v>39</v>
      </c>
      <c r="E8" s="4">
        <v>45348</v>
      </c>
      <c r="G8" s="6">
        <f>K8+H8</f>
        <v>0.26777777777777778</v>
      </c>
      <c r="H8" s="3">
        <v>0.2245949074074074</v>
      </c>
      <c r="I8" s="3">
        <v>3.0000000000000002E-2</v>
      </c>
      <c r="J8" s="3">
        <f t="shared" ref="J8:J14" si="0">I8+H8</f>
        <v>0.25459490740740742</v>
      </c>
      <c r="K8" s="6">
        <v>4.3182870370370365E-2</v>
      </c>
      <c r="L8" s="1">
        <v>1</v>
      </c>
      <c r="M8" s="1" t="s">
        <v>14</v>
      </c>
      <c r="N8" s="5">
        <v>1</v>
      </c>
      <c r="O8" s="1" t="s">
        <v>14</v>
      </c>
      <c r="S8" s="1">
        <v>0</v>
      </c>
      <c r="U8" s="1" t="s">
        <v>40</v>
      </c>
    </row>
    <row r="9" spans="1:25" x14ac:dyDescent="0.2">
      <c r="A9" s="1">
        <v>1</v>
      </c>
      <c r="B9" s="1">
        <v>1.2</v>
      </c>
      <c r="C9" s="1">
        <v>1</v>
      </c>
      <c r="D9" s="1" t="s">
        <v>52</v>
      </c>
      <c r="E9" s="4">
        <v>45348</v>
      </c>
      <c r="G9" s="6" t="s">
        <v>27</v>
      </c>
      <c r="H9" s="3">
        <v>0.75501157407407404</v>
      </c>
      <c r="I9" s="3">
        <v>2.1898148148148149E-2</v>
      </c>
      <c r="J9" s="3">
        <f t="shared" si="0"/>
        <v>0.77690972222222221</v>
      </c>
      <c r="K9" s="6" t="s">
        <v>27</v>
      </c>
      <c r="L9" s="1">
        <v>1</v>
      </c>
      <c r="M9" s="1" t="s">
        <v>14</v>
      </c>
      <c r="N9" s="5" t="s">
        <v>27</v>
      </c>
      <c r="O9" s="1" t="s">
        <v>27</v>
      </c>
      <c r="P9" s="40">
        <v>0.1</v>
      </c>
      <c r="S9" s="1" t="s">
        <v>27</v>
      </c>
      <c r="U9" s="1" t="s">
        <v>53</v>
      </c>
    </row>
    <row r="10" spans="1:25" x14ac:dyDescent="0.2">
      <c r="A10" s="1">
        <v>1</v>
      </c>
      <c r="B10" s="1">
        <v>1.2</v>
      </c>
      <c r="C10" s="1">
        <v>1</v>
      </c>
      <c r="D10" s="1" t="s">
        <v>46</v>
      </c>
      <c r="E10" s="4">
        <v>45349</v>
      </c>
      <c r="G10" s="6" t="s">
        <v>27</v>
      </c>
      <c r="H10" s="3">
        <v>0.75640046296296293</v>
      </c>
      <c r="I10" s="3">
        <v>1.9212962962962963E-2</v>
      </c>
      <c r="J10" s="3">
        <f t="shared" si="0"/>
        <v>0.77561342592592586</v>
      </c>
      <c r="K10" s="6" t="s">
        <v>27</v>
      </c>
      <c r="L10" s="1">
        <v>1</v>
      </c>
      <c r="M10" s="1" t="s">
        <v>13</v>
      </c>
      <c r="N10" s="5" t="s">
        <v>27</v>
      </c>
      <c r="O10" s="1" t="s">
        <v>27</v>
      </c>
      <c r="P10" s="40">
        <v>0.1</v>
      </c>
      <c r="S10" s="1" t="s">
        <v>27</v>
      </c>
      <c r="U10" s="1" t="s">
        <v>47</v>
      </c>
      <c r="V10" s="1" t="s">
        <v>27</v>
      </c>
    </row>
    <row r="11" spans="1:25" x14ac:dyDescent="0.2">
      <c r="A11" s="1">
        <v>1</v>
      </c>
      <c r="B11" s="1">
        <v>1.2</v>
      </c>
      <c r="C11" s="1">
        <v>1</v>
      </c>
      <c r="D11" s="1" t="s">
        <v>50</v>
      </c>
      <c r="E11" s="4">
        <v>45349</v>
      </c>
      <c r="G11" s="6">
        <f>K11+H11</f>
        <v>0.2727546296296296</v>
      </c>
      <c r="H11" s="3">
        <v>0.22537037037037036</v>
      </c>
      <c r="I11" s="3">
        <v>3.4212962962962966E-2</v>
      </c>
      <c r="J11" s="3">
        <f t="shared" si="0"/>
        <v>0.25958333333333333</v>
      </c>
      <c r="K11" s="6">
        <v>4.7384259259259258E-2</v>
      </c>
      <c r="L11" s="1">
        <v>1</v>
      </c>
      <c r="M11" s="1" t="s">
        <v>13</v>
      </c>
      <c r="N11" s="5">
        <v>1</v>
      </c>
      <c r="O11" s="1" t="s">
        <v>13</v>
      </c>
      <c r="P11" s="40">
        <v>0.1</v>
      </c>
      <c r="S11" s="1">
        <v>1</v>
      </c>
      <c r="U11" s="1" t="s">
        <v>51</v>
      </c>
    </row>
    <row r="12" spans="1:25" x14ac:dyDescent="0.2">
      <c r="A12" s="1">
        <v>1</v>
      </c>
      <c r="B12" s="1">
        <v>1.2</v>
      </c>
      <c r="C12" s="1">
        <v>1</v>
      </c>
      <c r="D12" s="1" t="s">
        <v>48</v>
      </c>
      <c r="E12" s="4">
        <v>45350</v>
      </c>
      <c r="G12" s="6">
        <f>K12+H12</f>
        <v>0.26076388888888891</v>
      </c>
      <c r="H12" s="3">
        <v>0.23605324074074074</v>
      </c>
      <c r="I12" s="3">
        <v>1.5069444444444443E-2</v>
      </c>
      <c r="J12" s="3">
        <f t="shared" si="0"/>
        <v>0.25112268518518521</v>
      </c>
      <c r="K12" s="6">
        <v>2.4710648148148148E-2</v>
      </c>
      <c r="L12" s="1">
        <v>1</v>
      </c>
      <c r="M12" s="1" t="s">
        <v>13</v>
      </c>
      <c r="N12" s="5">
        <v>1</v>
      </c>
      <c r="O12" s="1" t="s">
        <v>14</v>
      </c>
      <c r="P12" s="40">
        <v>0.1</v>
      </c>
      <c r="S12" s="1">
        <v>1</v>
      </c>
      <c r="U12" s="1" t="s">
        <v>49</v>
      </c>
    </row>
    <row r="13" spans="1:25" x14ac:dyDescent="0.2">
      <c r="A13" s="1">
        <v>1</v>
      </c>
      <c r="B13" s="1">
        <v>1.2</v>
      </c>
      <c r="C13" s="1">
        <v>1</v>
      </c>
      <c r="D13" s="1" t="s">
        <v>62</v>
      </c>
      <c r="E13" s="4">
        <v>45350</v>
      </c>
      <c r="G13" s="6">
        <f>K13+H13</f>
        <v>0.77898148148148139</v>
      </c>
      <c r="H13" s="3">
        <v>0.7640162037037036</v>
      </c>
      <c r="I13" s="3">
        <v>1.2719907407407407E-2</v>
      </c>
      <c r="J13" s="3">
        <f t="shared" si="0"/>
        <v>0.77673611111111096</v>
      </c>
      <c r="K13" s="6">
        <v>1.4965277777777779E-2</v>
      </c>
      <c r="L13" s="1">
        <v>3</v>
      </c>
      <c r="M13" s="1" t="s">
        <v>61</v>
      </c>
      <c r="N13" s="5">
        <v>3</v>
      </c>
      <c r="O13" s="1" t="s">
        <v>61</v>
      </c>
      <c r="P13" s="40">
        <v>0.1</v>
      </c>
      <c r="S13" s="1">
        <v>1</v>
      </c>
      <c r="U13" s="1" t="s">
        <v>63</v>
      </c>
    </row>
    <row r="14" spans="1:25" x14ac:dyDescent="0.2">
      <c r="A14" s="1">
        <v>1</v>
      </c>
      <c r="B14" s="1">
        <v>1.2</v>
      </c>
      <c r="C14" s="1">
        <v>1</v>
      </c>
      <c r="D14" s="1" t="s">
        <v>60</v>
      </c>
      <c r="E14" s="4">
        <v>45351</v>
      </c>
      <c r="G14" s="6">
        <f>K14+H14</f>
        <v>0.78778935185185184</v>
      </c>
      <c r="H14" s="3">
        <v>0.7509837962962963</v>
      </c>
      <c r="I14" s="3">
        <v>2.7071759259259257E-2</v>
      </c>
      <c r="J14" s="3">
        <f t="shared" si="0"/>
        <v>0.77805555555555561</v>
      </c>
      <c r="K14" s="6">
        <v>3.6805555555555557E-2</v>
      </c>
      <c r="L14" s="1">
        <v>3</v>
      </c>
      <c r="M14" s="1" t="s">
        <v>61</v>
      </c>
      <c r="N14" s="5">
        <v>3</v>
      </c>
      <c r="O14" s="1" t="s">
        <v>61</v>
      </c>
      <c r="P14" s="40">
        <v>0.1</v>
      </c>
      <c r="S14" s="1">
        <v>1</v>
      </c>
      <c r="V14" s="1">
        <v>4.9699999999999996E-3</v>
      </c>
    </row>
    <row r="15" spans="1:25" x14ac:dyDescent="0.2">
      <c r="A15" s="1">
        <v>1</v>
      </c>
      <c r="B15" s="1">
        <v>1.2</v>
      </c>
      <c r="C15" s="1" t="s">
        <v>27</v>
      </c>
      <c r="D15" s="1" t="s">
        <v>27</v>
      </c>
      <c r="E15" s="4">
        <v>45351</v>
      </c>
      <c r="G15" s="6" t="s">
        <v>27</v>
      </c>
      <c r="H15" s="1" t="s">
        <v>27</v>
      </c>
      <c r="I15" s="1" t="s">
        <v>27</v>
      </c>
      <c r="J15" s="1" t="s">
        <v>27</v>
      </c>
      <c r="K15" s="6" t="s">
        <v>27</v>
      </c>
      <c r="L15" s="1" t="s">
        <v>27</v>
      </c>
      <c r="M15" s="1" t="s">
        <v>61</v>
      </c>
      <c r="N15" s="1" t="s">
        <v>27</v>
      </c>
      <c r="O15" s="1" t="s">
        <v>61</v>
      </c>
      <c r="P15" s="40">
        <v>0.1</v>
      </c>
      <c r="S15" s="1" t="s">
        <v>27</v>
      </c>
      <c r="U15" s="1" t="s">
        <v>212</v>
      </c>
      <c r="V15" s="1" t="s">
        <v>27</v>
      </c>
    </row>
    <row r="16" spans="1:25" x14ac:dyDescent="0.2">
      <c r="A16" s="1">
        <v>1</v>
      </c>
      <c r="B16" s="1">
        <v>1.2</v>
      </c>
      <c r="C16" s="1">
        <v>1</v>
      </c>
      <c r="D16" s="1" t="s">
        <v>64</v>
      </c>
      <c r="E16" s="4">
        <v>45352</v>
      </c>
      <c r="G16" s="6">
        <f>K16+H16</f>
        <v>0.24906249999999999</v>
      </c>
      <c r="H16" s="3">
        <v>0.22006944444444443</v>
      </c>
      <c r="I16" s="3">
        <v>6.6782407407407415E-3</v>
      </c>
      <c r="J16" s="3">
        <f>I16+H16</f>
        <v>0.22674768518518518</v>
      </c>
      <c r="K16" s="6">
        <v>2.8993055555555553E-2</v>
      </c>
      <c r="L16" s="1">
        <v>3</v>
      </c>
      <c r="M16" s="1" t="s">
        <v>61</v>
      </c>
      <c r="N16" s="5">
        <v>3</v>
      </c>
      <c r="O16" s="1" t="s">
        <v>61</v>
      </c>
      <c r="P16" s="40">
        <v>0.1</v>
      </c>
      <c r="S16" s="1">
        <v>0</v>
      </c>
      <c r="V16" s="1">
        <v>3.5300000000000002E-3</v>
      </c>
    </row>
    <row r="17" spans="1:25" x14ac:dyDescent="0.2">
      <c r="A17" s="1">
        <v>1</v>
      </c>
      <c r="B17" s="1">
        <v>1.2</v>
      </c>
      <c r="C17" s="1">
        <v>2</v>
      </c>
      <c r="D17" s="1" t="s">
        <v>64</v>
      </c>
      <c r="E17" s="4">
        <v>45352</v>
      </c>
      <c r="G17" s="6">
        <f>K17+H17</f>
        <v>0.27140046296296294</v>
      </c>
      <c r="H17" s="3">
        <v>0.22006944444444443</v>
      </c>
      <c r="I17" s="3">
        <v>3.1898148148148148E-2</v>
      </c>
      <c r="J17" s="3">
        <f>I17+H17</f>
        <v>0.2519675925925926</v>
      </c>
      <c r="K17" s="6">
        <v>5.1331018518518519E-2</v>
      </c>
      <c r="L17" s="1">
        <v>3</v>
      </c>
      <c r="M17" s="1" t="s">
        <v>61</v>
      </c>
      <c r="N17" s="5">
        <v>3</v>
      </c>
      <c r="O17" s="1" t="s">
        <v>61</v>
      </c>
      <c r="P17" s="40">
        <v>0.1</v>
      </c>
      <c r="S17" s="1">
        <v>0</v>
      </c>
      <c r="U17" s="1" t="s">
        <v>65</v>
      </c>
      <c r="V17" s="1">
        <v>1.7849999999999999</v>
      </c>
    </row>
    <row r="18" spans="1:25" x14ac:dyDescent="0.2">
      <c r="A18" s="1">
        <v>1</v>
      </c>
      <c r="B18" s="1">
        <v>1.2</v>
      </c>
      <c r="C18" s="1">
        <v>1</v>
      </c>
      <c r="D18" s="1" t="s">
        <v>76</v>
      </c>
      <c r="E18" s="4">
        <v>45352</v>
      </c>
      <c r="G18" s="6" t="s">
        <v>27</v>
      </c>
      <c r="H18" s="3">
        <v>0.75002314814814808</v>
      </c>
      <c r="I18" s="3">
        <v>2.4259259259259258E-2</v>
      </c>
      <c r="J18" s="3">
        <f>I18+H18</f>
        <v>0.77428240740740728</v>
      </c>
      <c r="K18" s="6" t="s">
        <v>27</v>
      </c>
      <c r="L18" s="1">
        <v>3</v>
      </c>
      <c r="M18" s="1" t="s">
        <v>14</v>
      </c>
      <c r="N18" s="5" t="s">
        <v>27</v>
      </c>
      <c r="O18" s="1" t="s">
        <v>27</v>
      </c>
      <c r="P18" s="40">
        <v>0.1</v>
      </c>
      <c r="Q18" s="39" t="s">
        <v>27</v>
      </c>
      <c r="S18" s="1" t="s">
        <v>27</v>
      </c>
      <c r="U18" s="1" t="s">
        <v>77</v>
      </c>
      <c r="V18" s="1" t="s">
        <v>27</v>
      </c>
    </row>
    <row r="19" spans="1:25" x14ac:dyDescent="0.2">
      <c r="A19" s="1">
        <v>1</v>
      </c>
      <c r="B19" s="1">
        <v>1.2</v>
      </c>
      <c r="C19" s="1">
        <v>1</v>
      </c>
      <c r="D19" s="1" t="s">
        <v>111</v>
      </c>
      <c r="E19" s="4">
        <v>45353</v>
      </c>
      <c r="G19" s="6">
        <f>K19+H19</f>
        <v>0.25237268518518519</v>
      </c>
      <c r="H19" s="3">
        <v>0.2200115740740741</v>
      </c>
      <c r="I19" s="3">
        <v>2.3009259259259257E-2</v>
      </c>
      <c r="J19" s="3">
        <f>I19+H19</f>
        <v>0.24302083333333335</v>
      </c>
      <c r="K19" s="6">
        <v>3.2361111111111111E-2</v>
      </c>
      <c r="L19" s="1">
        <v>3</v>
      </c>
      <c r="M19" s="1" t="s">
        <v>14</v>
      </c>
      <c r="N19" s="1">
        <v>3</v>
      </c>
      <c r="O19" s="1" t="s">
        <v>13</v>
      </c>
      <c r="P19" s="40">
        <v>0.1</v>
      </c>
      <c r="Q19" s="40">
        <v>0.05</v>
      </c>
      <c r="R19" s="1"/>
      <c r="S19" s="1">
        <v>1</v>
      </c>
      <c r="T19" s="1"/>
      <c r="V19" s="1">
        <v>1.39E-3</v>
      </c>
    </row>
    <row r="20" spans="1:25" x14ac:dyDescent="0.2">
      <c r="A20" s="1">
        <v>1</v>
      </c>
      <c r="B20" s="1">
        <v>1.2</v>
      </c>
      <c r="C20" s="1" t="s">
        <v>27</v>
      </c>
      <c r="D20" s="1" t="s">
        <v>83</v>
      </c>
      <c r="E20" s="4">
        <v>45353</v>
      </c>
      <c r="G20" s="6" t="s">
        <v>27</v>
      </c>
      <c r="H20" s="3">
        <v>0.74763888888888896</v>
      </c>
      <c r="I20" s="1" t="s">
        <v>27</v>
      </c>
      <c r="J20" s="1" t="s">
        <v>27</v>
      </c>
      <c r="K20" s="6" t="s">
        <v>27</v>
      </c>
      <c r="L20" s="1">
        <v>3</v>
      </c>
      <c r="M20" s="1" t="s">
        <v>13</v>
      </c>
      <c r="N20" s="5" t="s">
        <v>27</v>
      </c>
      <c r="O20" s="1" t="s">
        <v>27</v>
      </c>
      <c r="P20" s="40">
        <v>0.1</v>
      </c>
      <c r="Q20" s="39" t="s">
        <v>27</v>
      </c>
      <c r="S20" s="1" t="s">
        <v>27</v>
      </c>
      <c r="U20" s="1" t="s">
        <v>66</v>
      </c>
      <c r="V20" s="1" t="s">
        <v>27</v>
      </c>
    </row>
    <row r="21" spans="1:25" x14ac:dyDescent="0.2">
      <c r="A21" s="1">
        <v>1</v>
      </c>
      <c r="B21" s="1">
        <v>1.2</v>
      </c>
      <c r="C21" s="1">
        <v>1</v>
      </c>
      <c r="D21" s="1" t="s">
        <v>113</v>
      </c>
      <c r="E21" s="4">
        <v>45354</v>
      </c>
      <c r="G21" s="6">
        <f>K21+H21</f>
        <v>0.25850694444444444</v>
      </c>
      <c r="H21" s="3">
        <v>0.22565972222222222</v>
      </c>
      <c r="I21" s="3">
        <v>2.3912037037037034E-2</v>
      </c>
      <c r="J21" s="3">
        <f t="shared" ref="J21:J26" si="1">I21+H21</f>
        <v>0.24957175925925926</v>
      </c>
      <c r="K21" s="6">
        <v>3.2847222222222222E-2</v>
      </c>
      <c r="L21" s="1">
        <v>3</v>
      </c>
      <c r="M21" s="1" t="s">
        <v>13</v>
      </c>
      <c r="N21" s="1">
        <v>3</v>
      </c>
      <c r="O21" s="1" t="s">
        <v>14</v>
      </c>
      <c r="P21" s="40">
        <v>0.1</v>
      </c>
      <c r="Q21" s="40">
        <v>0.15</v>
      </c>
      <c r="R21" s="1"/>
      <c r="S21" s="1">
        <v>0</v>
      </c>
      <c r="T21" s="1"/>
      <c r="U21" s="1" t="s">
        <v>82</v>
      </c>
      <c r="V21" s="1">
        <v>2.0199999999999999E-2</v>
      </c>
    </row>
    <row r="22" spans="1:25" x14ac:dyDescent="0.2">
      <c r="A22" s="1">
        <v>1</v>
      </c>
      <c r="B22" s="1">
        <v>1.2</v>
      </c>
      <c r="C22" s="1" t="s">
        <v>27</v>
      </c>
      <c r="D22" s="1" t="s">
        <v>90</v>
      </c>
      <c r="E22" s="4">
        <v>45354</v>
      </c>
      <c r="G22" s="6" t="s">
        <v>27</v>
      </c>
      <c r="H22" s="3">
        <v>0.75173611111111116</v>
      </c>
      <c r="I22" s="3">
        <v>2.3090277777777779E-2</v>
      </c>
      <c r="J22" s="3">
        <f t="shared" si="1"/>
        <v>0.77482638888888888</v>
      </c>
      <c r="K22" s="6" t="s">
        <v>27</v>
      </c>
      <c r="L22" s="1">
        <v>3</v>
      </c>
      <c r="M22" s="1" t="s">
        <v>14</v>
      </c>
      <c r="N22" s="5" t="s">
        <v>27</v>
      </c>
      <c r="O22" s="1" t="s">
        <v>27</v>
      </c>
      <c r="P22" s="40">
        <v>0.1</v>
      </c>
      <c r="Q22" s="39" t="s">
        <v>27</v>
      </c>
      <c r="S22" s="1" t="s">
        <v>27</v>
      </c>
      <c r="U22" s="1" t="s">
        <v>91</v>
      </c>
      <c r="V22" s="1" t="s">
        <v>27</v>
      </c>
    </row>
    <row r="23" spans="1:25" x14ac:dyDescent="0.2">
      <c r="A23" s="1">
        <v>1</v>
      </c>
      <c r="B23" s="1">
        <v>1.2</v>
      </c>
      <c r="C23" s="1">
        <v>1</v>
      </c>
      <c r="D23" s="1" t="s">
        <v>89</v>
      </c>
      <c r="E23" s="4">
        <v>45355</v>
      </c>
      <c r="G23" s="6">
        <f>K23+H23</f>
        <v>0.25762731481481482</v>
      </c>
      <c r="H23" s="3">
        <v>0.22564814814814815</v>
      </c>
      <c r="I23" s="3">
        <v>2.3506944444444445E-2</v>
      </c>
      <c r="J23" s="3">
        <f t="shared" si="1"/>
        <v>0.24915509259259261</v>
      </c>
      <c r="K23" s="6">
        <v>3.1979166666666663E-2</v>
      </c>
      <c r="L23" s="1">
        <v>3</v>
      </c>
      <c r="M23" s="1" t="s">
        <v>14</v>
      </c>
      <c r="N23" s="1">
        <v>3</v>
      </c>
      <c r="O23" s="1" t="s">
        <v>13</v>
      </c>
      <c r="P23" s="40">
        <v>0.1</v>
      </c>
      <c r="Q23" s="40">
        <v>0.05</v>
      </c>
      <c r="R23" s="1"/>
      <c r="S23" s="1">
        <v>1</v>
      </c>
      <c r="T23" s="1"/>
      <c r="V23" s="1">
        <v>1.562E-2</v>
      </c>
    </row>
    <row r="24" spans="1:25" x14ac:dyDescent="0.2">
      <c r="A24" s="1">
        <v>1</v>
      </c>
      <c r="B24" s="1">
        <v>1.2</v>
      </c>
      <c r="C24" s="1">
        <v>1</v>
      </c>
      <c r="D24" s="1" t="s">
        <v>101</v>
      </c>
      <c r="E24" s="4">
        <v>45355</v>
      </c>
      <c r="G24" s="6">
        <f>K24+H24</f>
        <v>0.78077546296296285</v>
      </c>
      <c r="H24" s="3">
        <v>0.74509259259259253</v>
      </c>
      <c r="I24" s="3">
        <v>2.9641203703703701E-2</v>
      </c>
      <c r="J24" s="3">
        <f t="shared" si="1"/>
        <v>0.77473379629629624</v>
      </c>
      <c r="K24" s="6">
        <v>3.5682870370370372E-2</v>
      </c>
      <c r="L24" s="1">
        <v>1</v>
      </c>
      <c r="M24" s="1" t="s">
        <v>14</v>
      </c>
      <c r="N24" s="1">
        <v>3</v>
      </c>
      <c r="O24" s="1" t="s">
        <v>13</v>
      </c>
      <c r="P24" s="40">
        <v>0.1</v>
      </c>
      <c r="Q24" s="40">
        <v>0.1</v>
      </c>
      <c r="R24" s="1"/>
      <c r="S24" s="1" t="s">
        <v>27</v>
      </c>
      <c r="T24" s="1"/>
      <c r="U24" s="1" t="s">
        <v>102</v>
      </c>
      <c r="V24" s="1">
        <v>0.1085</v>
      </c>
    </row>
    <row r="25" spans="1:25" x14ac:dyDescent="0.2">
      <c r="A25" s="1">
        <v>1</v>
      </c>
      <c r="B25" s="1">
        <v>1.2</v>
      </c>
      <c r="C25" s="1">
        <v>1</v>
      </c>
      <c r="D25" s="1" t="s">
        <v>98</v>
      </c>
      <c r="E25" s="4">
        <v>45356</v>
      </c>
      <c r="G25" s="6">
        <f>K25+H25</f>
        <v>0.25917824074074075</v>
      </c>
      <c r="H25" s="3">
        <v>0.22554398148148147</v>
      </c>
      <c r="I25" s="3">
        <v>2.0208333333333335E-2</v>
      </c>
      <c r="J25" s="3">
        <f t="shared" si="1"/>
        <v>0.2457523148148148</v>
      </c>
      <c r="K25" s="6">
        <v>3.363425925925926E-2</v>
      </c>
      <c r="L25" s="1">
        <v>3</v>
      </c>
      <c r="M25" s="1" t="s">
        <v>13</v>
      </c>
      <c r="N25" s="1">
        <v>3</v>
      </c>
      <c r="O25" s="1" t="s">
        <v>14</v>
      </c>
      <c r="P25" s="40">
        <v>0.1</v>
      </c>
      <c r="Q25" s="40">
        <v>0.15</v>
      </c>
      <c r="R25" s="1"/>
      <c r="S25" s="1">
        <v>0</v>
      </c>
      <c r="T25" s="1"/>
      <c r="U25" s="1" t="s">
        <v>99</v>
      </c>
      <c r="V25" s="1">
        <v>3.61E-2</v>
      </c>
    </row>
    <row r="26" spans="1:25" x14ac:dyDescent="0.2">
      <c r="A26" s="1">
        <v>1</v>
      </c>
      <c r="B26" s="1">
        <v>1.2</v>
      </c>
      <c r="C26" s="1" t="s">
        <v>27</v>
      </c>
      <c r="D26" s="1" t="s">
        <v>104</v>
      </c>
      <c r="E26" s="4">
        <v>45356</v>
      </c>
      <c r="G26" s="6" t="s">
        <v>27</v>
      </c>
      <c r="H26" s="3">
        <v>0.75541666666666663</v>
      </c>
      <c r="I26" s="3">
        <v>1.6296296296296295E-2</v>
      </c>
      <c r="J26" s="3">
        <f t="shared" si="1"/>
        <v>0.77171296296296288</v>
      </c>
      <c r="K26" s="6" t="s">
        <v>27</v>
      </c>
      <c r="L26" s="1">
        <v>3</v>
      </c>
      <c r="M26" s="1" t="s">
        <v>14</v>
      </c>
      <c r="N26" s="5" t="s">
        <v>27</v>
      </c>
      <c r="O26" s="1" t="s">
        <v>27</v>
      </c>
      <c r="P26" s="40">
        <v>0.1</v>
      </c>
      <c r="Q26" s="39" t="s">
        <v>27</v>
      </c>
      <c r="S26" s="1" t="s">
        <v>27</v>
      </c>
      <c r="U26" s="1" t="s">
        <v>106</v>
      </c>
      <c r="V26" s="1" t="s">
        <v>27</v>
      </c>
    </row>
    <row r="27" spans="1:25" x14ac:dyDescent="0.2">
      <c r="A27" s="1">
        <v>1</v>
      </c>
      <c r="B27" s="1">
        <v>1.2</v>
      </c>
      <c r="C27" s="1" t="s">
        <v>27</v>
      </c>
      <c r="D27" s="1" t="s">
        <v>107</v>
      </c>
      <c r="E27" s="4">
        <v>45357</v>
      </c>
      <c r="G27" s="6" t="s">
        <v>27</v>
      </c>
      <c r="H27" s="3">
        <v>0.22777777777777777</v>
      </c>
      <c r="I27" s="1" t="s">
        <v>27</v>
      </c>
      <c r="J27" s="1" t="s">
        <v>27</v>
      </c>
      <c r="K27" s="6" t="s">
        <v>27</v>
      </c>
      <c r="L27" s="1">
        <v>3</v>
      </c>
      <c r="M27" s="1" t="s">
        <v>13</v>
      </c>
      <c r="N27" s="5" t="s">
        <v>27</v>
      </c>
      <c r="O27" s="1" t="s">
        <v>27</v>
      </c>
      <c r="P27" s="40">
        <v>0.1</v>
      </c>
      <c r="Q27" s="39" t="s">
        <v>27</v>
      </c>
      <c r="S27" s="1" t="s">
        <v>27</v>
      </c>
      <c r="U27" s="16" t="s">
        <v>211</v>
      </c>
      <c r="V27" s="1" t="s">
        <v>27</v>
      </c>
    </row>
    <row r="28" spans="1:25" s="7" customFormat="1" x14ac:dyDescent="0.2">
      <c r="A28" s="1">
        <v>1</v>
      </c>
      <c r="B28" s="1">
        <v>1.2</v>
      </c>
      <c r="C28" s="1" t="s">
        <v>27</v>
      </c>
      <c r="D28" s="1" t="s">
        <v>115</v>
      </c>
      <c r="E28" s="4">
        <v>45357</v>
      </c>
      <c r="F28" s="4"/>
      <c r="G28" s="6" t="s">
        <v>27</v>
      </c>
      <c r="H28" s="3">
        <v>0.74667824074074074</v>
      </c>
      <c r="I28" s="1" t="s">
        <v>27</v>
      </c>
      <c r="J28" s="1" t="s">
        <v>27</v>
      </c>
      <c r="K28" s="6" t="s">
        <v>27</v>
      </c>
      <c r="L28" s="1">
        <v>3</v>
      </c>
      <c r="M28" s="1" t="s">
        <v>14</v>
      </c>
      <c r="N28" s="1" t="s">
        <v>27</v>
      </c>
      <c r="O28" s="1" t="s">
        <v>27</v>
      </c>
      <c r="P28" s="40">
        <v>0.1</v>
      </c>
      <c r="Q28" s="39" t="s">
        <v>27</v>
      </c>
      <c r="R28" s="2"/>
      <c r="S28" s="1" t="s">
        <v>27</v>
      </c>
      <c r="T28" s="2"/>
      <c r="U28" s="1" t="s">
        <v>116</v>
      </c>
      <c r="V28" s="1" t="s">
        <v>27</v>
      </c>
      <c r="W28" s="1"/>
      <c r="X28" s="1"/>
      <c r="Y28" s="1"/>
    </row>
    <row r="29" spans="1:25" x14ac:dyDescent="0.2">
      <c r="A29" s="1">
        <v>1</v>
      </c>
      <c r="B29" s="1">
        <v>1.2</v>
      </c>
      <c r="C29" s="1">
        <v>1</v>
      </c>
      <c r="D29" s="1" t="s">
        <v>114</v>
      </c>
      <c r="E29" s="4">
        <v>45358</v>
      </c>
      <c r="G29" s="6" t="s">
        <v>27</v>
      </c>
      <c r="H29" s="3">
        <v>0.22306712962962963</v>
      </c>
      <c r="I29" s="3">
        <v>2.476851851851852E-2</v>
      </c>
      <c r="J29" s="3">
        <f>I29+H29</f>
        <v>0.24783564814814815</v>
      </c>
      <c r="K29" s="6" t="s">
        <v>27</v>
      </c>
      <c r="L29" s="1">
        <v>3</v>
      </c>
      <c r="M29" s="1" t="s">
        <v>14</v>
      </c>
      <c r="N29" s="1">
        <v>3</v>
      </c>
      <c r="O29" s="1" t="s">
        <v>13</v>
      </c>
      <c r="P29" s="40">
        <v>0.1</v>
      </c>
      <c r="Q29" s="40">
        <v>0.15</v>
      </c>
      <c r="R29" s="1"/>
      <c r="S29" s="1" t="s">
        <v>27</v>
      </c>
      <c r="T29" s="1"/>
      <c r="U29" s="1" t="s">
        <v>213</v>
      </c>
      <c r="V29" s="1">
        <v>2.6499999999999999E-2</v>
      </c>
    </row>
    <row r="30" spans="1:25" x14ac:dyDescent="0.2">
      <c r="A30" s="1">
        <v>1</v>
      </c>
      <c r="B30" s="1">
        <v>1.2</v>
      </c>
      <c r="C30" s="1">
        <v>1</v>
      </c>
      <c r="D30" s="1" t="s">
        <v>125</v>
      </c>
      <c r="E30" s="4">
        <v>45358</v>
      </c>
      <c r="G30" s="6">
        <f>K30+H30</f>
        <v>0.78069444444444447</v>
      </c>
      <c r="H30" s="3">
        <v>0.75565972222222222</v>
      </c>
      <c r="I30" s="3">
        <v>1.554398148148148E-2</v>
      </c>
      <c r="J30" s="3">
        <f>I30+H30</f>
        <v>0.77120370370370372</v>
      </c>
      <c r="K30" s="6">
        <v>2.5034722222222222E-2</v>
      </c>
      <c r="L30" s="1">
        <v>1</v>
      </c>
      <c r="M30" s="1" t="s">
        <v>13</v>
      </c>
      <c r="N30" s="1">
        <v>3</v>
      </c>
      <c r="O30" s="1" t="s">
        <v>14</v>
      </c>
      <c r="P30" s="40">
        <v>0.1</v>
      </c>
      <c r="Q30" s="40">
        <v>0.1</v>
      </c>
      <c r="R30" s="1"/>
      <c r="S30" s="1">
        <v>1</v>
      </c>
      <c r="T30" s="1"/>
      <c r="U30" s="1" t="s">
        <v>126</v>
      </c>
      <c r="V30" s="1">
        <v>0.1134</v>
      </c>
    </row>
    <row r="31" spans="1:25" x14ac:dyDescent="0.2">
      <c r="A31" s="1">
        <v>1</v>
      </c>
      <c r="B31" s="1">
        <v>1.2</v>
      </c>
      <c r="C31" s="1">
        <v>1</v>
      </c>
      <c r="D31" s="1" t="s">
        <v>122</v>
      </c>
      <c r="E31" s="4">
        <v>45359</v>
      </c>
      <c r="G31" s="6" t="s">
        <v>27</v>
      </c>
      <c r="H31" s="3">
        <v>0.22653935185185184</v>
      </c>
      <c r="I31" s="3">
        <v>2.2847222222222224E-2</v>
      </c>
      <c r="J31" s="3">
        <f>I31+H31</f>
        <v>0.24938657407407405</v>
      </c>
      <c r="K31" s="6" t="s">
        <v>27</v>
      </c>
      <c r="L31" s="1">
        <v>3</v>
      </c>
      <c r="M31" s="1" t="s">
        <v>14</v>
      </c>
      <c r="N31" s="1" t="s">
        <v>27</v>
      </c>
      <c r="O31" s="1" t="s">
        <v>27</v>
      </c>
      <c r="P31" s="40">
        <v>0.1</v>
      </c>
      <c r="Q31" s="39" t="s">
        <v>27</v>
      </c>
      <c r="S31" s="1" t="s">
        <v>27</v>
      </c>
      <c r="U31" s="1" t="s">
        <v>123</v>
      </c>
      <c r="V31" s="1" t="s">
        <v>27</v>
      </c>
    </row>
    <row r="32" spans="1:25" x14ac:dyDescent="0.2">
      <c r="A32" s="1">
        <v>1</v>
      </c>
      <c r="B32" s="1">
        <v>1.2</v>
      </c>
      <c r="C32" s="1" t="s">
        <v>121</v>
      </c>
      <c r="D32" s="1" t="s">
        <v>122</v>
      </c>
      <c r="E32" s="4">
        <v>45359</v>
      </c>
      <c r="G32" s="6">
        <f>K32+H32</f>
        <v>0.27071759259259259</v>
      </c>
      <c r="H32" s="3">
        <v>0.22653935185185184</v>
      </c>
      <c r="I32" s="3">
        <v>3.2361111111111111E-2</v>
      </c>
      <c r="J32" s="3">
        <f>I32+H32</f>
        <v>0.25890046296296293</v>
      </c>
      <c r="K32" s="6">
        <v>4.4178240740740747E-2</v>
      </c>
      <c r="L32" s="1">
        <v>3</v>
      </c>
      <c r="M32" s="1" t="s">
        <v>13</v>
      </c>
      <c r="N32" s="1">
        <v>3</v>
      </c>
      <c r="O32" s="1" t="s">
        <v>13</v>
      </c>
      <c r="P32" s="40">
        <v>0.05</v>
      </c>
      <c r="Q32" s="40">
        <v>0.05</v>
      </c>
      <c r="R32" s="1"/>
      <c r="S32" s="1">
        <v>0</v>
      </c>
      <c r="T32" s="1"/>
      <c r="U32" s="1" t="s">
        <v>124</v>
      </c>
      <c r="V32" s="1">
        <v>1.899</v>
      </c>
    </row>
    <row r="33" spans="1:25" x14ac:dyDescent="0.2">
      <c r="A33" s="1">
        <v>1</v>
      </c>
      <c r="B33" s="1">
        <v>1.2</v>
      </c>
      <c r="C33" s="1">
        <v>1</v>
      </c>
      <c r="D33" s="1" t="s">
        <v>142</v>
      </c>
      <c r="E33" s="4">
        <v>45359</v>
      </c>
      <c r="G33" s="6">
        <f>K33+H33</f>
        <v>0.78964120370370372</v>
      </c>
      <c r="H33" s="3">
        <v>0.73743055555555559</v>
      </c>
      <c r="I33" s="3">
        <v>3.2881944444444443E-2</v>
      </c>
      <c r="J33" s="3">
        <f>I33+H33</f>
        <v>0.77031250000000007</v>
      </c>
      <c r="K33" s="6">
        <v>5.2210648148148152E-2</v>
      </c>
      <c r="L33" s="1">
        <v>1</v>
      </c>
      <c r="M33" s="1" t="s">
        <v>13</v>
      </c>
      <c r="N33" s="1">
        <v>3</v>
      </c>
      <c r="O33" s="1" t="s">
        <v>14</v>
      </c>
      <c r="P33" s="40">
        <v>0.1</v>
      </c>
      <c r="Q33" s="40">
        <v>0.1</v>
      </c>
      <c r="R33" s="1"/>
      <c r="S33" s="1">
        <v>1</v>
      </c>
      <c r="T33" s="1"/>
    </row>
    <row r="34" spans="1:25" x14ac:dyDescent="0.2">
      <c r="A34" s="1">
        <v>1</v>
      </c>
      <c r="B34" s="1">
        <v>1.2</v>
      </c>
      <c r="C34" s="1" t="s">
        <v>27</v>
      </c>
      <c r="D34" s="1" t="s">
        <v>27</v>
      </c>
      <c r="E34" s="4">
        <v>45360</v>
      </c>
      <c r="G34" s="6" t="s">
        <v>27</v>
      </c>
      <c r="H34" s="1" t="s">
        <v>27</v>
      </c>
      <c r="I34" s="1" t="s">
        <v>27</v>
      </c>
      <c r="J34" s="1" t="s">
        <v>27</v>
      </c>
      <c r="K34" s="6" t="s">
        <v>27</v>
      </c>
      <c r="L34" s="1" t="s">
        <v>27</v>
      </c>
      <c r="S34" s="1" t="s">
        <v>27</v>
      </c>
      <c r="U34" s="1" t="s">
        <v>140</v>
      </c>
      <c r="V34" s="1" t="s">
        <v>27</v>
      </c>
    </row>
    <row r="35" spans="1:25" x14ac:dyDescent="0.2">
      <c r="A35" s="1">
        <v>1</v>
      </c>
      <c r="B35" s="1">
        <v>1.2</v>
      </c>
      <c r="C35" s="1" t="s">
        <v>27</v>
      </c>
      <c r="D35" s="1" t="s">
        <v>27</v>
      </c>
      <c r="E35" s="4">
        <v>45361</v>
      </c>
      <c r="G35" s="6" t="s">
        <v>27</v>
      </c>
      <c r="H35" s="1" t="s">
        <v>27</v>
      </c>
      <c r="I35" s="1" t="s">
        <v>27</v>
      </c>
      <c r="J35" s="1" t="s">
        <v>27</v>
      </c>
      <c r="K35" s="6" t="s">
        <v>27</v>
      </c>
      <c r="L35" s="1" t="s">
        <v>27</v>
      </c>
      <c r="S35" s="1" t="s">
        <v>27</v>
      </c>
      <c r="U35" s="1" t="s">
        <v>140</v>
      </c>
      <c r="V35" s="1" t="s">
        <v>27</v>
      </c>
    </row>
    <row r="36" spans="1:25" x14ac:dyDescent="0.2">
      <c r="A36" s="1">
        <v>1</v>
      </c>
      <c r="B36" s="1">
        <v>1.2</v>
      </c>
      <c r="C36" s="1">
        <v>1</v>
      </c>
      <c r="D36" s="1" t="s">
        <v>138</v>
      </c>
      <c r="E36" s="4">
        <v>45362</v>
      </c>
      <c r="G36" s="6">
        <f t="shared" ref="G36:G51" si="2">K36+H36</f>
        <v>0.78787037037037033</v>
      </c>
      <c r="H36" s="3">
        <v>0.74858796296296293</v>
      </c>
      <c r="I36" s="3">
        <v>1.8587962962962962E-2</v>
      </c>
      <c r="J36" s="3">
        <f>I36+H36</f>
        <v>0.76717592592592587</v>
      </c>
      <c r="K36" s="6">
        <v>3.9282407407407412E-2</v>
      </c>
      <c r="L36" s="1">
        <v>3</v>
      </c>
      <c r="M36" s="1" t="s">
        <v>13</v>
      </c>
      <c r="N36" s="1">
        <v>3</v>
      </c>
      <c r="O36" s="1" t="s">
        <v>14</v>
      </c>
      <c r="P36" s="40">
        <v>0.1</v>
      </c>
      <c r="Q36" s="40">
        <v>0.05</v>
      </c>
      <c r="R36" s="1"/>
      <c r="S36" s="1">
        <v>1</v>
      </c>
      <c r="T36" s="1"/>
      <c r="V36" s="1">
        <v>2.9099999999999998E-3</v>
      </c>
    </row>
    <row r="37" spans="1:25" x14ac:dyDescent="0.2">
      <c r="A37" s="1">
        <v>1</v>
      </c>
      <c r="B37" s="1">
        <v>1.2</v>
      </c>
      <c r="C37" s="1">
        <v>1</v>
      </c>
      <c r="D37" s="1" t="s">
        <v>139</v>
      </c>
      <c r="E37" s="4">
        <v>45362</v>
      </c>
      <c r="G37" s="6">
        <f t="shared" si="2"/>
        <v>0.25252314814814814</v>
      </c>
      <c r="H37" s="3">
        <v>0.22737268518518519</v>
      </c>
      <c r="I37" s="1" t="s">
        <v>27</v>
      </c>
      <c r="J37" s="1" t="s">
        <v>27</v>
      </c>
      <c r="K37" s="6">
        <v>2.5150462962962961E-2</v>
      </c>
      <c r="L37" s="1">
        <v>3</v>
      </c>
      <c r="M37" s="1" t="s">
        <v>14</v>
      </c>
      <c r="N37" s="1">
        <v>3</v>
      </c>
      <c r="O37" s="1" t="s">
        <v>14</v>
      </c>
      <c r="P37" s="40">
        <v>0.1</v>
      </c>
      <c r="Q37" s="40">
        <v>0.1</v>
      </c>
      <c r="R37" s="1"/>
      <c r="S37" s="1">
        <v>1</v>
      </c>
      <c r="T37" s="1"/>
      <c r="U37" s="1" t="s">
        <v>141</v>
      </c>
      <c r="V37" s="1">
        <v>2.5799999999999998E-3</v>
      </c>
    </row>
    <row r="38" spans="1:25" x14ac:dyDescent="0.2">
      <c r="A38" s="1">
        <v>1</v>
      </c>
      <c r="B38" s="1">
        <v>1.2</v>
      </c>
      <c r="C38" s="1">
        <v>2</v>
      </c>
      <c r="D38" s="1" t="s">
        <v>139</v>
      </c>
      <c r="E38" s="4">
        <v>45362</v>
      </c>
      <c r="G38" s="6">
        <f t="shared" si="2"/>
        <v>0.26149305555555558</v>
      </c>
      <c r="H38" s="3">
        <v>0.22737268518518519</v>
      </c>
      <c r="I38" s="3">
        <v>2.7210648148148147E-2</v>
      </c>
      <c r="J38" s="3">
        <f>I38+H38</f>
        <v>0.25458333333333333</v>
      </c>
      <c r="K38" s="6">
        <v>3.412037037037037E-2</v>
      </c>
      <c r="L38" s="1">
        <v>3</v>
      </c>
      <c r="M38" s="1" t="s">
        <v>14</v>
      </c>
      <c r="N38" s="1">
        <v>3</v>
      </c>
      <c r="O38" s="1" t="s">
        <v>13</v>
      </c>
      <c r="P38" s="40">
        <v>0.1</v>
      </c>
      <c r="Q38" s="40">
        <v>0.15</v>
      </c>
      <c r="R38" s="1"/>
      <c r="S38" s="1">
        <v>0</v>
      </c>
      <c r="T38" s="1"/>
      <c r="V38" s="1">
        <v>3.5999999999999997E-2</v>
      </c>
    </row>
    <row r="39" spans="1:25" x14ac:dyDescent="0.2">
      <c r="A39" s="1">
        <v>1</v>
      </c>
      <c r="B39" s="1">
        <v>1.2</v>
      </c>
      <c r="C39" s="1">
        <v>1</v>
      </c>
      <c r="D39" s="1" t="s">
        <v>130</v>
      </c>
      <c r="E39" s="4">
        <v>45363</v>
      </c>
      <c r="G39" s="6">
        <f t="shared" si="2"/>
        <v>0.25710648148148146</v>
      </c>
      <c r="H39" s="3">
        <v>0.22120370370370371</v>
      </c>
      <c r="I39" s="3">
        <v>2.4004629629629629E-2</v>
      </c>
      <c r="J39" s="3">
        <f>I39+H39</f>
        <v>0.24520833333333333</v>
      </c>
      <c r="K39" s="6">
        <v>3.5902777777777777E-2</v>
      </c>
      <c r="L39" s="1">
        <v>3</v>
      </c>
      <c r="M39" s="1" t="s">
        <v>14</v>
      </c>
      <c r="N39" s="1">
        <v>3</v>
      </c>
      <c r="O39" s="1" t="s">
        <v>13</v>
      </c>
      <c r="P39" s="40">
        <v>0.1</v>
      </c>
      <c r="Q39" s="40">
        <v>0.1</v>
      </c>
      <c r="R39" s="1"/>
      <c r="S39" s="1">
        <v>0</v>
      </c>
      <c r="T39" s="1"/>
      <c r="V39" s="1">
        <v>1.6039999999999999E-2</v>
      </c>
    </row>
    <row r="40" spans="1:25" x14ac:dyDescent="0.2">
      <c r="A40" s="1">
        <v>1</v>
      </c>
      <c r="B40" s="1">
        <v>1.2</v>
      </c>
      <c r="C40" s="1">
        <v>2</v>
      </c>
      <c r="D40" s="1" t="s">
        <v>130</v>
      </c>
      <c r="E40" s="4">
        <v>45363</v>
      </c>
      <c r="G40" s="6">
        <f t="shared" si="2"/>
        <v>0.2658449074074074</v>
      </c>
      <c r="H40" s="3">
        <v>0.22120370370370371</v>
      </c>
      <c r="I40" s="3">
        <v>3.7280092592592594E-2</v>
      </c>
      <c r="J40" s="3">
        <f>I40+H40</f>
        <v>0.25848379629629631</v>
      </c>
      <c r="K40" s="6">
        <v>4.4641203703703704E-2</v>
      </c>
      <c r="L40" s="1">
        <v>3</v>
      </c>
      <c r="M40" s="1" t="s">
        <v>13</v>
      </c>
      <c r="N40" s="1">
        <v>3</v>
      </c>
      <c r="O40" s="1" t="s">
        <v>13</v>
      </c>
      <c r="P40" s="40">
        <v>0.1</v>
      </c>
      <c r="Q40" s="40">
        <v>0.1</v>
      </c>
      <c r="R40" s="1"/>
      <c r="S40" s="1">
        <v>0</v>
      </c>
      <c r="T40" s="1"/>
      <c r="U40" s="1" t="s">
        <v>131</v>
      </c>
      <c r="V40" s="1">
        <v>0.52400000000000002</v>
      </c>
    </row>
    <row r="41" spans="1:25" x14ac:dyDescent="0.2">
      <c r="A41" s="1">
        <v>1</v>
      </c>
      <c r="B41" s="1">
        <v>1.2</v>
      </c>
      <c r="C41" s="1">
        <v>1</v>
      </c>
      <c r="D41" s="1" t="s">
        <v>136</v>
      </c>
      <c r="E41" s="4">
        <v>45363</v>
      </c>
      <c r="G41" s="6">
        <f t="shared" si="2"/>
        <v>0.77847222222222223</v>
      </c>
      <c r="H41" s="3">
        <v>0.75079861111111112</v>
      </c>
      <c r="I41" s="3">
        <v>1.9594907407407405E-2</v>
      </c>
      <c r="J41" s="3">
        <f>I41+H41</f>
        <v>0.77039351851851856</v>
      </c>
      <c r="K41" s="6">
        <v>2.7673611111111111E-2</v>
      </c>
      <c r="L41" s="1">
        <v>3</v>
      </c>
      <c r="M41" s="1" t="s">
        <v>13</v>
      </c>
      <c r="N41" s="1">
        <v>3</v>
      </c>
      <c r="O41" s="1" t="s">
        <v>14</v>
      </c>
      <c r="P41" s="40">
        <v>0.1</v>
      </c>
      <c r="Q41" s="40">
        <v>0.1</v>
      </c>
      <c r="R41" s="1"/>
      <c r="S41" s="1">
        <v>1</v>
      </c>
      <c r="T41" s="1"/>
      <c r="V41" s="1">
        <v>9.2100000000000001E-2</v>
      </c>
    </row>
    <row r="42" spans="1:25" x14ac:dyDescent="0.2">
      <c r="A42" s="1">
        <v>1</v>
      </c>
      <c r="B42" s="1">
        <v>1.2</v>
      </c>
      <c r="C42" s="1">
        <v>2</v>
      </c>
      <c r="D42" s="1" t="s">
        <v>136</v>
      </c>
      <c r="E42" s="4">
        <v>45363</v>
      </c>
      <c r="G42" s="6">
        <f t="shared" si="2"/>
        <v>0.7882986111111111</v>
      </c>
      <c r="H42" s="3">
        <v>0.75079861111111112</v>
      </c>
      <c r="I42" s="3">
        <v>2.8460648148148148E-2</v>
      </c>
      <c r="J42" s="3">
        <f>I42+H42</f>
        <v>0.77925925925925932</v>
      </c>
      <c r="K42" s="6">
        <v>3.7499999999999999E-2</v>
      </c>
      <c r="L42" s="1">
        <v>3</v>
      </c>
      <c r="M42" s="1" t="s">
        <v>14</v>
      </c>
      <c r="N42" s="1">
        <v>3</v>
      </c>
      <c r="O42" s="1" t="s">
        <v>13</v>
      </c>
      <c r="P42" s="40">
        <v>0.1</v>
      </c>
      <c r="Q42" s="40">
        <v>0.05</v>
      </c>
      <c r="R42" s="1"/>
      <c r="S42" s="1">
        <v>0</v>
      </c>
      <c r="T42" s="1"/>
      <c r="U42" s="1" t="s">
        <v>137</v>
      </c>
      <c r="V42" s="1">
        <v>1.763E-3</v>
      </c>
    </row>
    <row r="43" spans="1:25" s="7" customFormat="1" x14ac:dyDescent="0.2">
      <c r="A43" s="1">
        <v>1</v>
      </c>
      <c r="B43" s="1">
        <v>1.2</v>
      </c>
      <c r="C43" s="1">
        <v>1</v>
      </c>
      <c r="D43" s="1" t="s">
        <v>147</v>
      </c>
      <c r="E43" s="4">
        <v>45364</v>
      </c>
      <c r="F43" s="4"/>
      <c r="G43" s="6">
        <f t="shared" si="2"/>
        <v>0.25965277777777779</v>
      </c>
      <c r="H43" s="3">
        <v>0.2293287037037037</v>
      </c>
      <c r="I43" s="1" t="s">
        <v>27</v>
      </c>
      <c r="J43" s="1" t="s">
        <v>27</v>
      </c>
      <c r="K43" s="6">
        <v>3.0324074074074073E-2</v>
      </c>
      <c r="L43" s="1">
        <v>3</v>
      </c>
      <c r="M43" s="1" t="s">
        <v>13</v>
      </c>
      <c r="N43" s="1">
        <v>3</v>
      </c>
      <c r="O43" s="1" t="s">
        <v>14</v>
      </c>
      <c r="P43" s="40">
        <v>0.05</v>
      </c>
      <c r="Q43" s="40">
        <v>0.05</v>
      </c>
      <c r="R43" s="1"/>
      <c r="S43" s="1">
        <v>1</v>
      </c>
      <c r="T43" s="1"/>
      <c r="U43" s="1" t="s">
        <v>148</v>
      </c>
      <c r="V43" s="1">
        <v>1.8499999999999999E-2</v>
      </c>
      <c r="W43" s="1"/>
      <c r="X43" s="1"/>
      <c r="Y43" s="1"/>
    </row>
    <row r="44" spans="1:25" x14ac:dyDescent="0.2">
      <c r="A44" s="1">
        <v>1</v>
      </c>
      <c r="B44" s="1">
        <v>1.2</v>
      </c>
      <c r="C44" s="1">
        <v>1</v>
      </c>
      <c r="D44" s="1" t="s">
        <v>152</v>
      </c>
      <c r="E44" s="4">
        <v>45364</v>
      </c>
      <c r="G44" s="6">
        <f t="shared" si="2"/>
        <v>0.75667824074074075</v>
      </c>
      <c r="H44" s="3">
        <v>0.74851851851851847</v>
      </c>
      <c r="I44" s="1" t="s">
        <v>27</v>
      </c>
      <c r="J44" s="1" t="s">
        <v>27</v>
      </c>
      <c r="K44" s="6">
        <v>8.1597222222222227E-3</v>
      </c>
      <c r="L44" s="1">
        <v>3</v>
      </c>
      <c r="M44" s="1" t="s">
        <v>14</v>
      </c>
      <c r="N44" s="1">
        <v>3</v>
      </c>
      <c r="O44" s="1" t="s">
        <v>14</v>
      </c>
      <c r="P44" s="40">
        <v>0.05</v>
      </c>
      <c r="Q44" s="40">
        <v>0.05</v>
      </c>
      <c r="R44" s="1"/>
      <c r="S44" s="1">
        <v>1</v>
      </c>
      <c r="T44" s="1"/>
      <c r="U44" s="1" t="s">
        <v>153</v>
      </c>
      <c r="V44" s="1" t="s">
        <v>27</v>
      </c>
      <c r="W44" s="1" t="s">
        <v>417</v>
      </c>
      <c r="X44" s="1">
        <v>8.5</v>
      </c>
    </row>
    <row r="45" spans="1:25" x14ac:dyDescent="0.2">
      <c r="A45" s="1">
        <v>1</v>
      </c>
      <c r="B45" s="1">
        <v>1.2</v>
      </c>
      <c r="C45" s="1">
        <v>2</v>
      </c>
      <c r="D45" s="1" t="s">
        <v>152</v>
      </c>
      <c r="E45" s="4">
        <v>45364</v>
      </c>
      <c r="G45" s="6">
        <f t="shared" si="2"/>
        <v>0.7806249999999999</v>
      </c>
      <c r="H45" s="3">
        <v>0.74851851851851847</v>
      </c>
      <c r="I45" s="3">
        <v>9.7916666666666673E-3</v>
      </c>
      <c r="J45" s="3">
        <f t="shared" ref="J45:J51" si="3">I45+H45</f>
        <v>0.75831018518518511</v>
      </c>
      <c r="K45" s="6">
        <v>3.2106481481481479E-2</v>
      </c>
      <c r="L45" s="1">
        <v>3</v>
      </c>
      <c r="M45" s="1" t="s">
        <v>14</v>
      </c>
      <c r="N45" s="1">
        <v>3</v>
      </c>
      <c r="O45" s="1" t="s">
        <v>13</v>
      </c>
      <c r="P45" s="40">
        <v>0.05</v>
      </c>
      <c r="Q45" s="40">
        <v>0.05</v>
      </c>
      <c r="R45" s="1"/>
      <c r="S45" s="1">
        <v>0</v>
      </c>
      <c r="T45" s="1"/>
      <c r="V45" s="1">
        <v>4.6199999999999998E-2</v>
      </c>
    </row>
    <row r="46" spans="1:25" x14ac:dyDescent="0.2">
      <c r="A46" s="1">
        <v>1</v>
      </c>
      <c r="B46" s="1">
        <v>1.2</v>
      </c>
      <c r="C46" s="1">
        <v>1</v>
      </c>
      <c r="D46" s="1" t="s">
        <v>149</v>
      </c>
      <c r="E46" s="4">
        <v>45365</v>
      </c>
      <c r="G46" s="6">
        <f t="shared" si="2"/>
        <v>0.78318287037037038</v>
      </c>
      <c r="H46" s="3">
        <v>0.75199074074074079</v>
      </c>
      <c r="I46" s="3">
        <v>1.9027777777777779E-2</v>
      </c>
      <c r="J46" s="3">
        <f t="shared" si="3"/>
        <v>0.77101851851851855</v>
      </c>
      <c r="K46" s="6">
        <v>3.1192129629629629E-2</v>
      </c>
      <c r="L46" s="1">
        <v>3</v>
      </c>
      <c r="M46" s="1" t="s">
        <v>13</v>
      </c>
      <c r="N46" s="5" t="s">
        <v>226</v>
      </c>
      <c r="O46" s="1" t="s">
        <v>14</v>
      </c>
      <c r="P46" s="40">
        <v>0.05</v>
      </c>
      <c r="Q46" s="40">
        <v>0.05</v>
      </c>
      <c r="R46" s="1"/>
      <c r="S46" s="1">
        <v>1</v>
      </c>
      <c r="T46" s="1"/>
      <c r="V46" s="1">
        <v>1.77E-2</v>
      </c>
    </row>
    <row r="47" spans="1:25" x14ac:dyDescent="0.2">
      <c r="A47" s="1">
        <v>1</v>
      </c>
      <c r="B47" s="1">
        <v>1.2</v>
      </c>
      <c r="C47" s="1">
        <v>2</v>
      </c>
      <c r="D47" s="1" t="s">
        <v>149</v>
      </c>
      <c r="E47" s="4">
        <v>45365</v>
      </c>
      <c r="G47" s="6">
        <f t="shared" si="2"/>
        <v>0.79114583333333344</v>
      </c>
      <c r="H47" s="3">
        <v>0.75199074074074079</v>
      </c>
      <c r="I47" s="3">
        <v>3.2812500000000001E-2</v>
      </c>
      <c r="J47" s="3">
        <f t="shared" si="3"/>
        <v>0.78480324074074082</v>
      </c>
      <c r="K47" s="6">
        <v>3.9155092592592596E-2</v>
      </c>
      <c r="L47" s="1">
        <v>3</v>
      </c>
      <c r="M47" s="1" t="s">
        <v>14</v>
      </c>
      <c r="N47" s="1">
        <v>3</v>
      </c>
      <c r="O47" s="1" t="s">
        <v>13</v>
      </c>
      <c r="P47" s="40">
        <v>0.05</v>
      </c>
      <c r="Q47" s="40">
        <v>0.05</v>
      </c>
      <c r="R47" s="1"/>
      <c r="S47" s="1">
        <v>0</v>
      </c>
      <c r="T47" s="1"/>
      <c r="U47" s="7" t="s">
        <v>150</v>
      </c>
      <c r="V47" s="1">
        <v>8.6E-3</v>
      </c>
    </row>
    <row r="48" spans="1:25" x14ac:dyDescent="0.2">
      <c r="A48" s="1">
        <v>1</v>
      </c>
      <c r="B48" s="1">
        <v>1.2</v>
      </c>
      <c r="C48" s="1">
        <v>1</v>
      </c>
      <c r="D48" s="1" t="s">
        <v>151</v>
      </c>
      <c r="E48" s="4">
        <v>45365</v>
      </c>
      <c r="G48" s="6">
        <f t="shared" si="2"/>
        <v>0.25800925925925927</v>
      </c>
      <c r="H48" s="3">
        <v>0.23135416666666667</v>
      </c>
      <c r="I48" s="3">
        <v>1.5520833333333333E-2</v>
      </c>
      <c r="J48" s="3">
        <f t="shared" si="3"/>
        <v>0.24687500000000001</v>
      </c>
      <c r="K48" s="6">
        <v>2.6655092592592591E-2</v>
      </c>
      <c r="L48" s="1">
        <v>3</v>
      </c>
      <c r="M48" s="1" t="s">
        <v>14</v>
      </c>
      <c r="N48" s="1">
        <v>3</v>
      </c>
      <c r="O48" s="1" t="s">
        <v>13</v>
      </c>
      <c r="P48" s="40">
        <v>0.05</v>
      </c>
      <c r="Q48" s="40">
        <v>0.05</v>
      </c>
      <c r="R48" s="1"/>
      <c r="S48" s="1">
        <v>0</v>
      </c>
      <c r="T48" s="1"/>
      <c r="V48" s="1">
        <v>5.2499999999999998E-2</v>
      </c>
    </row>
    <row r="49" spans="1:25" x14ac:dyDescent="0.2">
      <c r="A49" s="1">
        <v>1</v>
      </c>
      <c r="B49" s="1">
        <v>1.2</v>
      </c>
      <c r="C49" s="1">
        <v>1</v>
      </c>
      <c r="D49" s="1" t="s">
        <v>155</v>
      </c>
      <c r="E49" s="4">
        <v>45366</v>
      </c>
      <c r="G49" s="6">
        <f t="shared" si="2"/>
        <v>0.25900462962962967</v>
      </c>
      <c r="H49" s="3">
        <v>0.22723379629629631</v>
      </c>
      <c r="I49" s="3">
        <v>2.3553240740740739E-2</v>
      </c>
      <c r="J49" s="3">
        <f t="shared" si="3"/>
        <v>0.25078703703703703</v>
      </c>
      <c r="K49" s="6">
        <v>3.1770833333333331E-2</v>
      </c>
      <c r="L49" s="1">
        <v>3</v>
      </c>
      <c r="M49" s="1" t="s">
        <v>14</v>
      </c>
      <c r="N49" s="1">
        <v>3</v>
      </c>
      <c r="O49" s="1" t="s">
        <v>13</v>
      </c>
      <c r="P49" s="40">
        <v>0.05</v>
      </c>
      <c r="Q49" s="40">
        <v>0.05</v>
      </c>
      <c r="R49" s="1"/>
      <c r="S49" s="1">
        <v>0</v>
      </c>
      <c r="T49" s="1"/>
      <c r="V49" s="1">
        <v>6.08E-2</v>
      </c>
    </row>
    <row r="50" spans="1:25" x14ac:dyDescent="0.2">
      <c r="A50" s="1">
        <v>1</v>
      </c>
      <c r="B50" s="1">
        <v>1.2</v>
      </c>
      <c r="C50" s="1">
        <v>2</v>
      </c>
      <c r="D50" s="1" t="s">
        <v>155</v>
      </c>
      <c r="E50" s="4">
        <v>45366</v>
      </c>
      <c r="G50" s="6">
        <f t="shared" si="2"/>
        <v>0.26502314814814815</v>
      </c>
      <c r="H50" s="3">
        <v>0.22723379629629631</v>
      </c>
      <c r="I50" s="3">
        <v>3.318287037037037E-2</v>
      </c>
      <c r="J50" s="3">
        <f t="shared" si="3"/>
        <v>0.26041666666666669</v>
      </c>
      <c r="K50" s="6">
        <v>3.7789351851851852E-2</v>
      </c>
      <c r="L50" s="1">
        <v>3</v>
      </c>
      <c r="M50" s="1" t="s">
        <v>13</v>
      </c>
      <c r="N50" s="1">
        <v>3</v>
      </c>
      <c r="O50" s="1" t="s">
        <v>14</v>
      </c>
      <c r="P50" s="40">
        <v>0.05</v>
      </c>
      <c r="Q50" s="40">
        <v>0.05</v>
      </c>
      <c r="R50" s="1"/>
      <c r="S50" s="1">
        <v>1</v>
      </c>
      <c r="T50" s="1"/>
      <c r="V50" s="1">
        <v>0.56100000000000005</v>
      </c>
    </row>
    <row r="51" spans="1:25" x14ac:dyDescent="0.2">
      <c r="A51" s="1">
        <v>1</v>
      </c>
      <c r="B51" s="1">
        <v>1.2</v>
      </c>
      <c r="C51" s="1">
        <v>1</v>
      </c>
      <c r="D51" s="1" t="s">
        <v>156</v>
      </c>
      <c r="E51" s="4">
        <v>45366</v>
      </c>
      <c r="G51" s="6">
        <f t="shared" si="2"/>
        <v>0.7882986111111111</v>
      </c>
      <c r="H51" s="3">
        <v>0.75307870370370367</v>
      </c>
      <c r="I51" s="3">
        <v>1.5706018518518518E-2</v>
      </c>
      <c r="J51" s="3">
        <f t="shared" si="3"/>
        <v>0.76878472222222216</v>
      </c>
      <c r="K51" s="6">
        <v>3.5219907407407408E-2</v>
      </c>
      <c r="L51" s="1">
        <v>3</v>
      </c>
      <c r="M51" s="1" t="s">
        <v>14</v>
      </c>
      <c r="N51" s="1">
        <v>3</v>
      </c>
      <c r="O51" s="1" t="s">
        <v>13</v>
      </c>
      <c r="P51" s="40">
        <v>0.05</v>
      </c>
      <c r="Q51" s="40">
        <v>0.05</v>
      </c>
      <c r="R51" s="1"/>
      <c r="S51" s="1">
        <v>0</v>
      </c>
      <c r="T51" s="1"/>
      <c r="V51" s="1">
        <v>1.3699999999999999E-3</v>
      </c>
    </row>
    <row r="52" spans="1:25" x14ac:dyDescent="0.2">
      <c r="A52" s="1">
        <v>1</v>
      </c>
      <c r="B52" s="1">
        <v>1.2</v>
      </c>
      <c r="C52" s="1">
        <v>1</v>
      </c>
      <c r="D52" s="1" t="s">
        <v>158</v>
      </c>
      <c r="E52" s="4">
        <v>45367</v>
      </c>
      <c r="G52" s="6" t="s">
        <v>27</v>
      </c>
      <c r="H52" s="3">
        <v>0.24211805555555554</v>
      </c>
      <c r="I52" s="3" t="s">
        <v>27</v>
      </c>
      <c r="J52" s="1" t="s">
        <v>27</v>
      </c>
      <c r="K52" s="6" t="s">
        <v>27</v>
      </c>
      <c r="L52" s="1">
        <v>3</v>
      </c>
      <c r="M52" s="1" t="s">
        <v>13</v>
      </c>
      <c r="N52" s="1">
        <v>3</v>
      </c>
      <c r="O52" s="1" t="s">
        <v>13</v>
      </c>
      <c r="P52" s="40">
        <v>0.05</v>
      </c>
      <c r="Q52" s="40">
        <v>0.05</v>
      </c>
      <c r="R52" s="1"/>
      <c r="S52" s="1" t="s">
        <v>27</v>
      </c>
      <c r="T52" s="1"/>
      <c r="U52" s="1" t="s">
        <v>214</v>
      </c>
      <c r="V52" s="1" t="s">
        <v>27</v>
      </c>
    </row>
    <row r="53" spans="1:25" x14ac:dyDescent="0.2">
      <c r="A53" s="1">
        <v>1</v>
      </c>
      <c r="B53" s="1">
        <v>1.2</v>
      </c>
      <c r="C53" s="1">
        <v>2</v>
      </c>
      <c r="D53" s="1" t="s">
        <v>158</v>
      </c>
      <c r="E53" s="4">
        <v>45367</v>
      </c>
      <c r="G53" s="6">
        <f>K53+H53</f>
        <v>0.25092592592592594</v>
      </c>
      <c r="H53" s="3">
        <v>0.24211805555555554</v>
      </c>
      <c r="I53" s="3">
        <v>1.9675925925925924E-3</v>
      </c>
      <c r="J53" s="3">
        <f>I53+H53</f>
        <v>0.24408564814814815</v>
      </c>
      <c r="K53" s="6">
        <v>8.8078703703703704E-3</v>
      </c>
      <c r="L53" s="1">
        <v>3</v>
      </c>
      <c r="M53" s="1" t="s">
        <v>13</v>
      </c>
      <c r="N53" s="1">
        <v>3</v>
      </c>
      <c r="O53" s="1" t="s">
        <v>14</v>
      </c>
      <c r="P53" s="40">
        <v>0.05</v>
      </c>
      <c r="Q53" s="40">
        <v>0.05</v>
      </c>
      <c r="R53" s="1"/>
      <c r="S53" s="1">
        <v>1</v>
      </c>
      <c r="T53" s="1"/>
      <c r="U53" s="1" t="s">
        <v>159</v>
      </c>
      <c r="V53" s="7" t="s">
        <v>416</v>
      </c>
      <c r="W53" s="7" t="s">
        <v>415</v>
      </c>
      <c r="X53" s="7">
        <v>5.0600000000000005E-4</v>
      </c>
      <c r="Y53" s="7" t="s">
        <v>449</v>
      </c>
    </row>
    <row r="54" spans="1:25" x14ac:dyDescent="0.2">
      <c r="A54" s="1">
        <v>1</v>
      </c>
      <c r="B54" s="1">
        <v>1.2</v>
      </c>
      <c r="C54" s="1">
        <v>3</v>
      </c>
      <c r="D54" s="1" t="s">
        <v>158</v>
      </c>
      <c r="E54" s="4">
        <v>45367</v>
      </c>
      <c r="G54" s="6" t="s">
        <v>27</v>
      </c>
      <c r="H54" s="3">
        <v>0.24211805555555554</v>
      </c>
      <c r="I54" s="6">
        <v>1.0266203703703704E-2</v>
      </c>
      <c r="J54" s="3">
        <f>I54+H54</f>
        <v>0.25238425925925922</v>
      </c>
      <c r="K54" s="6" t="s">
        <v>27</v>
      </c>
      <c r="L54" s="1">
        <v>3</v>
      </c>
      <c r="M54" s="1" t="s">
        <v>14</v>
      </c>
      <c r="N54" s="1">
        <v>3</v>
      </c>
      <c r="O54" s="1" t="s">
        <v>13</v>
      </c>
      <c r="P54" s="40">
        <v>0.05</v>
      </c>
      <c r="Q54" s="40">
        <v>0.05</v>
      </c>
      <c r="R54" s="1"/>
      <c r="S54" s="1" t="s">
        <v>27</v>
      </c>
      <c r="T54" s="1"/>
      <c r="U54" s="1" t="s">
        <v>216</v>
      </c>
      <c r="V54" s="1" t="s">
        <v>27</v>
      </c>
    </row>
    <row r="55" spans="1:25" x14ac:dyDescent="0.2">
      <c r="A55" s="1">
        <v>1</v>
      </c>
      <c r="B55" s="1">
        <v>1.2</v>
      </c>
      <c r="C55" s="1">
        <v>1</v>
      </c>
      <c r="D55" s="1" t="s">
        <v>160</v>
      </c>
      <c r="E55" s="4">
        <v>45367</v>
      </c>
      <c r="G55" s="6">
        <f t="shared" ref="G55:G62" si="4">K55+H55</f>
        <v>0.78707175925925921</v>
      </c>
      <c r="H55" s="3">
        <v>0.7512847222222222</v>
      </c>
      <c r="I55" s="3">
        <v>2.3587962962962963E-2</v>
      </c>
      <c r="J55" s="3">
        <f>I55+H55</f>
        <v>0.77487268518518515</v>
      </c>
      <c r="K55" s="6">
        <v>3.5787037037037034E-2</v>
      </c>
      <c r="L55" s="1">
        <v>2</v>
      </c>
      <c r="M55" s="1" t="s">
        <v>13</v>
      </c>
      <c r="N55" s="1">
        <v>2</v>
      </c>
      <c r="O55" s="1" t="s">
        <v>14</v>
      </c>
      <c r="P55" s="40">
        <v>0.05</v>
      </c>
      <c r="Q55" s="40">
        <v>0.05</v>
      </c>
      <c r="R55" s="1"/>
      <c r="S55" s="1">
        <v>1</v>
      </c>
      <c r="T55" s="1"/>
      <c r="V55" s="1">
        <v>4.5900000000000003E-3</v>
      </c>
    </row>
    <row r="56" spans="1:25" x14ac:dyDescent="0.2">
      <c r="A56" s="1">
        <v>1</v>
      </c>
      <c r="B56" s="1">
        <v>1.2</v>
      </c>
      <c r="C56" s="1">
        <v>1</v>
      </c>
      <c r="D56" s="1" t="s">
        <v>165</v>
      </c>
      <c r="E56" s="4">
        <v>45368</v>
      </c>
      <c r="G56" s="6">
        <f t="shared" si="4"/>
        <v>0.25017361111111114</v>
      </c>
      <c r="H56" s="3">
        <v>0.23034722222222223</v>
      </c>
      <c r="I56" s="3" t="s">
        <v>27</v>
      </c>
      <c r="J56" s="1" t="s">
        <v>27</v>
      </c>
      <c r="K56" s="6">
        <v>1.982638888888889E-2</v>
      </c>
      <c r="L56" s="1">
        <v>3</v>
      </c>
      <c r="M56" s="1" t="s">
        <v>14</v>
      </c>
      <c r="N56" s="1">
        <v>3</v>
      </c>
      <c r="O56" s="1" t="s">
        <v>14</v>
      </c>
      <c r="P56" s="40">
        <v>0.05</v>
      </c>
      <c r="Q56" s="40">
        <v>0.05</v>
      </c>
      <c r="R56" s="1"/>
      <c r="S56" s="1">
        <v>1</v>
      </c>
      <c r="T56" s="1"/>
      <c r="U56" s="1" t="s">
        <v>215</v>
      </c>
      <c r="V56" s="7">
        <v>1.1469999999999999E-2</v>
      </c>
      <c r="W56" s="1" t="s">
        <v>457</v>
      </c>
    </row>
    <row r="57" spans="1:25" x14ac:dyDescent="0.2">
      <c r="A57" s="1">
        <v>1</v>
      </c>
      <c r="B57" s="1">
        <v>1.2</v>
      </c>
      <c r="C57" s="1">
        <v>2</v>
      </c>
      <c r="D57" s="1" t="s">
        <v>165</v>
      </c>
      <c r="E57" s="4">
        <v>45368</v>
      </c>
      <c r="G57" s="6">
        <f t="shared" si="4"/>
        <v>0.26189814814814816</v>
      </c>
      <c r="H57" s="3">
        <v>0.23034722222222223</v>
      </c>
      <c r="I57" s="3">
        <v>2.3078703703703702E-2</v>
      </c>
      <c r="J57" s="3">
        <f t="shared" ref="J57:J63" si="5">I57+H57</f>
        <v>0.25342592592592594</v>
      </c>
      <c r="K57" s="6">
        <v>3.1550925925925927E-2</v>
      </c>
      <c r="L57" s="1">
        <v>3</v>
      </c>
      <c r="M57" s="1" t="s">
        <v>13</v>
      </c>
      <c r="N57" s="1">
        <v>3</v>
      </c>
      <c r="O57" s="1" t="s">
        <v>13</v>
      </c>
      <c r="P57" s="40">
        <v>0.05</v>
      </c>
      <c r="Q57" s="40">
        <v>0.05</v>
      </c>
      <c r="R57" s="1"/>
      <c r="S57" s="1">
        <v>0</v>
      </c>
      <c r="T57" s="1"/>
      <c r="U57" s="1" t="s">
        <v>173</v>
      </c>
      <c r="V57" s="1">
        <v>0.39300000000000002</v>
      </c>
    </row>
    <row r="58" spans="1:25" x14ac:dyDescent="0.2">
      <c r="A58" s="1">
        <v>1</v>
      </c>
      <c r="B58" s="1">
        <v>1.2</v>
      </c>
      <c r="C58" s="1">
        <v>1</v>
      </c>
      <c r="D58" s="1" t="s">
        <v>171</v>
      </c>
      <c r="E58" s="4">
        <v>45368</v>
      </c>
      <c r="G58" s="6">
        <f t="shared" si="4"/>
        <v>0.78758101851851858</v>
      </c>
      <c r="H58" s="3">
        <v>0.74692129629629633</v>
      </c>
      <c r="I58" s="3">
        <v>2.5277777777777777E-2</v>
      </c>
      <c r="J58" s="3">
        <f t="shared" si="5"/>
        <v>0.77219907407407407</v>
      </c>
      <c r="K58" s="6">
        <v>4.0659722222222222E-2</v>
      </c>
      <c r="L58" s="1">
        <v>3</v>
      </c>
      <c r="M58" s="1" t="s">
        <v>13</v>
      </c>
      <c r="N58" s="1">
        <v>3</v>
      </c>
      <c r="O58" s="1" t="s">
        <v>14</v>
      </c>
      <c r="P58" s="40">
        <v>0.05</v>
      </c>
      <c r="Q58" s="40">
        <v>0.05</v>
      </c>
      <c r="R58" s="1"/>
      <c r="S58" s="1">
        <v>1</v>
      </c>
      <c r="T58" s="1"/>
      <c r="V58" s="1">
        <v>1.14E-3</v>
      </c>
    </row>
    <row r="59" spans="1:25" x14ac:dyDescent="0.2">
      <c r="A59" s="1">
        <v>1</v>
      </c>
      <c r="B59" s="1">
        <v>1.2</v>
      </c>
      <c r="C59" s="1">
        <v>1</v>
      </c>
      <c r="D59" s="1" t="s">
        <v>168</v>
      </c>
      <c r="E59" s="4">
        <v>45369</v>
      </c>
      <c r="G59" s="6">
        <f t="shared" si="4"/>
        <v>0.78405092592592596</v>
      </c>
      <c r="H59" s="3">
        <v>0.76052083333333331</v>
      </c>
      <c r="I59" s="3">
        <v>1.5069444444444444E-2</v>
      </c>
      <c r="J59" s="3">
        <f t="shared" si="5"/>
        <v>0.77559027777777778</v>
      </c>
      <c r="K59" s="6">
        <v>2.3530092592592592E-2</v>
      </c>
      <c r="L59" s="1">
        <v>3</v>
      </c>
      <c r="M59" s="1" t="s">
        <v>13</v>
      </c>
      <c r="N59" s="1">
        <v>3</v>
      </c>
      <c r="O59" s="1" t="s">
        <v>13</v>
      </c>
      <c r="P59" s="40">
        <v>0.05</v>
      </c>
      <c r="Q59" s="40">
        <v>0.05</v>
      </c>
      <c r="R59" s="1"/>
      <c r="S59" s="1">
        <v>0</v>
      </c>
      <c r="T59" s="1"/>
      <c r="U59" s="1" t="s">
        <v>169</v>
      </c>
      <c r="V59" s="7" t="s">
        <v>414</v>
      </c>
      <c r="W59" s="1" t="s">
        <v>217</v>
      </c>
      <c r="X59" s="1">
        <v>9.7699999999999992E-3</v>
      </c>
      <c r="Y59" s="7" t="s">
        <v>451</v>
      </c>
    </row>
    <row r="60" spans="1:25" x14ac:dyDescent="0.2">
      <c r="A60" s="1">
        <v>1</v>
      </c>
      <c r="B60" s="1">
        <v>1.2</v>
      </c>
      <c r="C60" s="1">
        <v>1</v>
      </c>
      <c r="D60" s="1" t="s">
        <v>170</v>
      </c>
      <c r="E60" s="4">
        <v>45369</v>
      </c>
      <c r="G60" s="6">
        <f t="shared" si="4"/>
        <v>0.24724537037037037</v>
      </c>
      <c r="H60" s="3">
        <v>0.22981481481481481</v>
      </c>
      <c r="I60" s="3">
        <v>1.15625E-2</v>
      </c>
      <c r="J60" s="3">
        <f t="shared" si="5"/>
        <v>0.24137731481481481</v>
      </c>
      <c r="K60" s="6">
        <v>1.7430555555555557E-2</v>
      </c>
      <c r="L60" s="1">
        <v>3</v>
      </c>
      <c r="M60" s="1" t="s">
        <v>14</v>
      </c>
      <c r="N60" s="1">
        <v>3</v>
      </c>
      <c r="O60" s="1" t="s">
        <v>13</v>
      </c>
      <c r="P60" s="40">
        <v>0.05</v>
      </c>
      <c r="Q60" s="40">
        <v>0.05</v>
      </c>
      <c r="R60" s="1"/>
      <c r="S60" s="1">
        <v>0</v>
      </c>
      <c r="T60" s="1"/>
      <c r="V60" s="7">
        <v>6.7000000000000002E-3</v>
      </c>
      <c r="W60" s="1" t="s">
        <v>453</v>
      </c>
    </row>
    <row r="61" spans="1:25" x14ac:dyDescent="0.2">
      <c r="A61" s="1">
        <v>1</v>
      </c>
      <c r="B61" s="1">
        <v>1.2</v>
      </c>
      <c r="C61" s="1">
        <v>2</v>
      </c>
      <c r="D61" s="1" t="s">
        <v>170</v>
      </c>
      <c r="E61" s="4">
        <v>45369</v>
      </c>
      <c r="G61" s="6">
        <f t="shared" si="4"/>
        <v>0.25831018518518517</v>
      </c>
      <c r="H61" s="3">
        <v>0.22981481481481481</v>
      </c>
      <c r="I61" s="3">
        <v>1.90625E-2</v>
      </c>
      <c r="J61" s="3">
        <f t="shared" si="5"/>
        <v>0.24887731481481482</v>
      </c>
      <c r="K61" s="6">
        <v>2.8495370370370369E-2</v>
      </c>
      <c r="L61" s="1">
        <v>3</v>
      </c>
      <c r="M61" s="1" t="s">
        <v>13</v>
      </c>
      <c r="N61" s="1">
        <v>3</v>
      </c>
      <c r="O61" s="1" t="s">
        <v>13</v>
      </c>
      <c r="P61" s="40">
        <v>0.05</v>
      </c>
      <c r="Q61" s="40">
        <v>0.05</v>
      </c>
      <c r="R61" s="1"/>
      <c r="S61" s="1">
        <v>0</v>
      </c>
      <c r="T61" s="1"/>
      <c r="V61" s="1">
        <v>4.9200000000000001E-2</v>
      </c>
    </row>
    <row r="62" spans="1:25" x14ac:dyDescent="0.2">
      <c r="A62" s="1">
        <v>1</v>
      </c>
      <c r="B62" s="1">
        <v>1.2</v>
      </c>
      <c r="C62" s="1">
        <v>1</v>
      </c>
      <c r="D62" s="1" t="s">
        <v>166</v>
      </c>
      <c r="E62" s="4">
        <v>45370</v>
      </c>
      <c r="G62" s="6">
        <f t="shared" si="4"/>
        <v>0.26055555555555554</v>
      </c>
      <c r="H62" s="3">
        <v>0.22402777777777777</v>
      </c>
      <c r="I62" s="3">
        <v>2.3483796296296298E-2</v>
      </c>
      <c r="J62" s="3">
        <f t="shared" si="5"/>
        <v>0.24751157407407406</v>
      </c>
      <c r="K62" s="6">
        <v>3.6527777777777777E-2</v>
      </c>
      <c r="L62" s="1">
        <v>3</v>
      </c>
      <c r="M62" s="1" t="s">
        <v>13</v>
      </c>
      <c r="N62" s="1">
        <v>3</v>
      </c>
      <c r="O62" s="1" t="s">
        <v>13</v>
      </c>
      <c r="P62" s="40">
        <v>0.05</v>
      </c>
      <c r="Q62" s="40">
        <v>0.05</v>
      </c>
      <c r="R62" s="1"/>
      <c r="S62" s="1">
        <v>1</v>
      </c>
      <c r="T62" s="1"/>
      <c r="U62" s="1" t="s">
        <v>167</v>
      </c>
      <c r="V62" s="1">
        <v>5.8200000000000002E-2</v>
      </c>
    </row>
    <row r="63" spans="1:25" x14ac:dyDescent="0.2">
      <c r="A63" s="1">
        <v>1</v>
      </c>
      <c r="B63" s="1">
        <v>1.2</v>
      </c>
      <c r="C63" s="1">
        <v>1</v>
      </c>
      <c r="D63" s="1" t="s">
        <v>197</v>
      </c>
      <c r="E63" s="4">
        <v>45370</v>
      </c>
      <c r="G63" s="6" t="s">
        <v>27</v>
      </c>
      <c r="H63" s="3">
        <v>0.76035879629629632</v>
      </c>
      <c r="I63" s="3">
        <v>1.457175925925926E-2</v>
      </c>
      <c r="J63" s="3">
        <f t="shared" si="5"/>
        <v>0.77493055555555557</v>
      </c>
      <c r="K63" s="6" t="s">
        <v>27</v>
      </c>
      <c r="L63" s="1">
        <v>3</v>
      </c>
      <c r="M63" s="1" t="s">
        <v>13</v>
      </c>
      <c r="N63" s="1">
        <v>3</v>
      </c>
      <c r="O63" s="1" t="s">
        <v>13</v>
      </c>
      <c r="P63" s="40">
        <v>0.05</v>
      </c>
      <c r="Q63" s="40">
        <v>0.05</v>
      </c>
      <c r="R63" s="1"/>
      <c r="S63" s="1" t="s">
        <v>27</v>
      </c>
      <c r="T63" s="1"/>
      <c r="U63" s="1" t="s">
        <v>198</v>
      </c>
      <c r="V63" s="1" t="s">
        <v>27</v>
      </c>
    </row>
    <row r="64" spans="1:25" x14ac:dyDescent="0.2">
      <c r="A64" s="1">
        <v>1</v>
      </c>
      <c r="B64" s="1">
        <v>1.2</v>
      </c>
      <c r="C64" s="1" t="s">
        <v>27</v>
      </c>
      <c r="D64" s="1" t="s">
        <v>27</v>
      </c>
      <c r="E64" s="4">
        <v>45371</v>
      </c>
      <c r="G64" s="6" t="s">
        <v>27</v>
      </c>
      <c r="H64" s="1" t="s">
        <v>27</v>
      </c>
      <c r="I64" s="1" t="s">
        <v>27</v>
      </c>
      <c r="J64" s="1" t="s">
        <v>27</v>
      </c>
      <c r="K64" s="6" t="s">
        <v>27</v>
      </c>
      <c r="U64" s="1" t="s">
        <v>204</v>
      </c>
      <c r="V64" s="1" t="s">
        <v>27</v>
      </c>
    </row>
    <row r="65" spans="1:24" x14ac:dyDescent="0.2">
      <c r="A65" s="1">
        <v>1</v>
      </c>
      <c r="B65" s="1">
        <v>1.2</v>
      </c>
      <c r="C65" s="1" t="s">
        <v>27</v>
      </c>
      <c r="D65" s="1" t="s">
        <v>27</v>
      </c>
      <c r="E65" s="4">
        <v>45371</v>
      </c>
      <c r="G65" s="6" t="s">
        <v>27</v>
      </c>
      <c r="H65" s="1" t="s">
        <v>27</v>
      </c>
      <c r="I65" s="1" t="s">
        <v>27</v>
      </c>
      <c r="J65" s="1" t="s">
        <v>27</v>
      </c>
      <c r="K65" s="6" t="s">
        <v>27</v>
      </c>
      <c r="U65" s="1" t="s">
        <v>207</v>
      </c>
      <c r="V65" s="1" t="s">
        <v>27</v>
      </c>
    </row>
    <row r="66" spans="1:24" x14ac:dyDescent="0.2">
      <c r="A66" s="1">
        <v>1</v>
      </c>
      <c r="B66" s="1">
        <v>1.2</v>
      </c>
      <c r="C66" s="1">
        <v>1</v>
      </c>
      <c r="D66" s="1" t="s">
        <v>210</v>
      </c>
      <c r="E66" s="4">
        <v>45372</v>
      </c>
      <c r="G66" s="6">
        <f>K66+H66</f>
        <v>0.26060185185185186</v>
      </c>
      <c r="H66" s="3">
        <v>0.2263425925925926</v>
      </c>
      <c r="I66" s="1" t="s">
        <v>27</v>
      </c>
      <c r="J66" s="1" t="s">
        <v>27</v>
      </c>
      <c r="K66" s="6">
        <v>3.425925925925926E-2</v>
      </c>
      <c r="L66" s="1">
        <v>3</v>
      </c>
      <c r="M66" s="1" t="s">
        <v>13</v>
      </c>
      <c r="N66" s="1">
        <v>3</v>
      </c>
      <c r="O66" s="1" t="s">
        <v>14</v>
      </c>
      <c r="P66" s="40">
        <v>0.5</v>
      </c>
      <c r="Q66" s="40">
        <v>0.1</v>
      </c>
      <c r="R66" s="1"/>
      <c r="S66" s="1" t="s">
        <v>27</v>
      </c>
      <c r="T66" s="1"/>
      <c r="U66" s="1" t="s">
        <v>240</v>
      </c>
      <c r="V66" s="1">
        <v>0.22700000000000001</v>
      </c>
    </row>
    <row r="67" spans="1:24" x14ac:dyDescent="0.2">
      <c r="A67" s="1">
        <v>1</v>
      </c>
      <c r="B67" s="1">
        <v>1.2</v>
      </c>
      <c r="C67" s="1">
        <v>1</v>
      </c>
      <c r="D67" s="1" t="s">
        <v>224</v>
      </c>
      <c r="E67" s="4">
        <v>45372</v>
      </c>
      <c r="G67" s="6">
        <f>K67+H67</f>
        <v>0.77483796296296303</v>
      </c>
      <c r="H67" s="3">
        <v>0.76459490740740743</v>
      </c>
      <c r="I67" s="3">
        <v>6.030092592592593E-3</v>
      </c>
      <c r="J67" s="3">
        <f t="shared" ref="J67:J74" si="6">I67+H67</f>
        <v>0.770625</v>
      </c>
      <c r="K67" s="6">
        <v>1.0243055555555556E-2</v>
      </c>
      <c r="L67" s="1">
        <v>3</v>
      </c>
      <c r="M67" s="1" t="s">
        <v>13</v>
      </c>
      <c r="N67" s="1">
        <v>3</v>
      </c>
      <c r="O67" s="1" t="s">
        <v>13</v>
      </c>
      <c r="P67" s="40">
        <v>0.05</v>
      </c>
      <c r="Q67" s="40">
        <v>0.05</v>
      </c>
      <c r="R67" s="1"/>
      <c r="S67" s="1">
        <v>0</v>
      </c>
      <c r="T67" s="1"/>
      <c r="U67" s="1" t="s">
        <v>225</v>
      </c>
      <c r="V67" s="1" t="s">
        <v>27</v>
      </c>
      <c r="W67" s="1" t="s">
        <v>413</v>
      </c>
      <c r="X67" s="1">
        <v>0.54600000000000004</v>
      </c>
    </row>
    <row r="68" spans="1:24" x14ac:dyDescent="0.2">
      <c r="A68" s="1">
        <v>1</v>
      </c>
      <c r="B68" s="1">
        <v>1.2</v>
      </c>
      <c r="C68" s="1">
        <v>2</v>
      </c>
      <c r="D68" s="1" t="s">
        <v>224</v>
      </c>
      <c r="E68" s="4">
        <v>45372</v>
      </c>
      <c r="G68" s="6" t="s">
        <v>27</v>
      </c>
      <c r="H68" s="3">
        <v>0.76459490740740743</v>
      </c>
      <c r="I68" s="3">
        <v>1.1076388888888889E-2</v>
      </c>
      <c r="J68" s="3">
        <f t="shared" si="6"/>
        <v>0.77567129629629628</v>
      </c>
      <c r="K68" s="6" t="s">
        <v>27</v>
      </c>
      <c r="L68" s="1">
        <v>3</v>
      </c>
      <c r="M68" s="1" t="s">
        <v>13</v>
      </c>
      <c r="N68" s="1">
        <v>3</v>
      </c>
      <c r="O68" s="1" t="s">
        <v>13</v>
      </c>
      <c r="P68" s="40">
        <v>0.05</v>
      </c>
      <c r="Q68" s="40">
        <v>0.05</v>
      </c>
      <c r="R68" s="1"/>
      <c r="S68" s="1" t="s">
        <v>27</v>
      </c>
      <c r="T68" s="1"/>
      <c r="U68" s="1" t="s">
        <v>227</v>
      </c>
      <c r="V68" s="1" t="s">
        <v>27</v>
      </c>
    </row>
    <row r="69" spans="1:24" x14ac:dyDescent="0.2">
      <c r="A69" s="1">
        <v>1</v>
      </c>
      <c r="B69" s="1">
        <v>1.2</v>
      </c>
      <c r="C69" s="1">
        <v>1</v>
      </c>
      <c r="D69" s="1" t="s">
        <v>228</v>
      </c>
      <c r="E69" s="4">
        <v>45373</v>
      </c>
      <c r="G69" s="6">
        <f t="shared" ref="G69:G75" si="7">K69+H69</f>
        <v>0.25677083333333334</v>
      </c>
      <c r="H69" s="3">
        <v>0.23457175925925927</v>
      </c>
      <c r="I69" s="3">
        <v>1.0347222222222223E-2</v>
      </c>
      <c r="J69" s="3">
        <f t="shared" si="6"/>
        <v>0.2449189814814815</v>
      </c>
      <c r="K69" s="6">
        <v>2.2199074074074072E-2</v>
      </c>
      <c r="L69" s="1">
        <v>3</v>
      </c>
      <c r="M69" s="1" t="s">
        <v>13</v>
      </c>
      <c r="N69" s="1">
        <v>3</v>
      </c>
      <c r="O69" s="1" t="s">
        <v>14</v>
      </c>
      <c r="P69" s="40">
        <v>0.05</v>
      </c>
      <c r="Q69" s="40">
        <v>0.15</v>
      </c>
      <c r="R69" s="1"/>
      <c r="S69" s="1">
        <v>1</v>
      </c>
      <c r="T69" s="1"/>
      <c r="V69" s="1">
        <v>9.2299999999999993E-2</v>
      </c>
    </row>
    <row r="70" spans="1:24" x14ac:dyDescent="0.2">
      <c r="A70" s="1">
        <v>1</v>
      </c>
      <c r="B70" s="1">
        <v>1.2</v>
      </c>
      <c r="C70" s="1">
        <v>1</v>
      </c>
      <c r="D70" s="1" t="s">
        <v>229</v>
      </c>
      <c r="E70" s="4">
        <v>45373</v>
      </c>
      <c r="G70" s="6">
        <f t="shared" si="7"/>
        <v>0.77311342592592591</v>
      </c>
      <c r="H70" s="3">
        <v>0.74407407407407411</v>
      </c>
      <c r="I70" s="3">
        <v>2.6215277777777778E-2</v>
      </c>
      <c r="J70" s="3">
        <f t="shared" si="6"/>
        <v>0.77028935185185188</v>
      </c>
      <c r="K70" s="6">
        <v>2.9039351851851851E-2</v>
      </c>
      <c r="L70" s="1">
        <v>3</v>
      </c>
      <c r="M70" s="1" t="s">
        <v>14</v>
      </c>
      <c r="N70" s="1">
        <v>3</v>
      </c>
      <c r="O70" s="1" t="s">
        <v>14</v>
      </c>
      <c r="P70" s="40">
        <v>0.05</v>
      </c>
      <c r="Q70" s="40">
        <v>0.05</v>
      </c>
      <c r="R70" s="1"/>
      <c r="S70" s="1">
        <v>1</v>
      </c>
      <c r="T70" s="1"/>
      <c r="U70" s="1" t="s">
        <v>230</v>
      </c>
      <c r="V70" s="1">
        <v>0.54600000000000004</v>
      </c>
    </row>
    <row r="71" spans="1:24" x14ac:dyDescent="0.2">
      <c r="A71" s="1">
        <v>1</v>
      </c>
      <c r="B71" s="1">
        <v>1.2</v>
      </c>
      <c r="C71" s="1">
        <v>1</v>
      </c>
      <c r="D71" s="1" t="s">
        <v>231</v>
      </c>
      <c r="E71" s="4">
        <v>45374</v>
      </c>
      <c r="G71" s="6">
        <f t="shared" si="7"/>
        <v>0.25959490740740743</v>
      </c>
      <c r="H71" s="3">
        <v>0.2424537037037037</v>
      </c>
      <c r="I71" s="3">
        <v>6.1921296296296299E-3</v>
      </c>
      <c r="J71" s="3">
        <f t="shared" si="6"/>
        <v>0.24864583333333332</v>
      </c>
      <c r="K71" s="6">
        <v>1.7141203703703704E-2</v>
      </c>
      <c r="L71" s="1">
        <v>3</v>
      </c>
      <c r="M71" s="1" t="s">
        <v>14</v>
      </c>
      <c r="N71" s="1">
        <v>3</v>
      </c>
      <c r="O71" s="1" t="s">
        <v>13</v>
      </c>
      <c r="P71" s="40">
        <v>0.05</v>
      </c>
      <c r="Q71" s="40">
        <v>0.15</v>
      </c>
      <c r="R71" s="1"/>
      <c r="S71" s="1">
        <v>0</v>
      </c>
      <c r="T71" s="1"/>
      <c r="U71" s="1" t="s">
        <v>232</v>
      </c>
      <c r="V71" s="1">
        <v>0.24</v>
      </c>
    </row>
    <row r="72" spans="1:24" x14ac:dyDescent="0.2">
      <c r="A72" s="1">
        <v>1</v>
      </c>
      <c r="B72" s="1">
        <v>1.2</v>
      </c>
      <c r="C72" s="1">
        <v>2</v>
      </c>
      <c r="D72" s="1" t="s">
        <v>231</v>
      </c>
      <c r="E72" s="4">
        <v>45374</v>
      </c>
      <c r="G72" s="6">
        <f t="shared" si="7"/>
        <v>0.26443287037037039</v>
      </c>
      <c r="H72" s="3">
        <v>0.2424537037037037</v>
      </c>
      <c r="I72" s="6">
        <v>1.7881944444444443E-2</v>
      </c>
      <c r="J72" s="3">
        <f t="shared" si="6"/>
        <v>0.26033564814814814</v>
      </c>
      <c r="K72" s="6">
        <v>2.1979166666666668E-2</v>
      </c>
      <c r="L72" s="1">
        <v>3</v>
      </c>
      <c r="M72" s="1" t="s">
        <v>13</v>
      </c>
      <c r="N72" s="1">
        <v>3</v>
      </c>
      <c r="O72" s="1" t="s">
        <v>13</v>
      </c>
      <c r="P72" s="40">
        <v>0.15</v>
      </c>
      <c r="Q72" s="40">
        <v>0.15</v>
      </c>
      <c r="R72" s="1"/>
      <c r="S72" s="1">
        <v>0</v>
      </c>
      <c r="T72" s="1"/>
      <c r="U72" s="1" t="s">
        <v>233</v>
      </c>
      <c r="V72" s="1">
        <v>0.70799999999999996</v>
      </c>
    </row>
    <row r="73" spans="1:24" x14ac:dyDescent="0.2">
      <c r="A73" s="1">
        <v>1</v>
      </c>
      <c r="B73" s="1">
        <v>1.2</v>
      </c>
      <c r="C73" s="1">
        <v>1</v>
      </c>
      <c r="D73" s="1" t="s">
        <v>234</v>
      </c>
      <c r="E73" s="4">
        <v>45374</v>
      </c>
      <c r="G73" s="6">
        <f t="shared" si="7"/>
        <v>0.77297453703703711</v>
      </c>
      <c r="H73" s="3">
        <v>0.75896990740740744</v>
      </c>
      <c r="I73" s="3">
        <v>7.5462962962962966E-3</v>
      </c>
      <c r="J73" s="3">
        <f t="shared" si="6"/>
        <v>0.76651620370370377</v>
      </c>
      <c r="K73" s="6">
        <v>1.4004629629629629E-2</v>
      </c>
      <c r="L73" s="1">
        <v>3</v>
      </c>
      <c r="M73" s="1" t="s">
        <v>13</v>
      </c>
      <c r="N73" s="1">
        <v>3</v>
      </c>
      <c r="O73" s="1" t="s">
        <v>14</v>
      </c>
      <c r="P73" s="40">
        <v>0.05</v>
      </c>
      <c r="Q73" s="40">
        <v>0.05</v>
      </c>
      <c r="R73" s="1"/>
      <c r="S73" s="1">
        <v>1</v>
      </c>
      <c r="T73" s="1"/>
      <c r="U73" s="1" t="s">
        <v>235</v>
      </c>
      <c r="V73" s="1">
        <v>0.85299999999999998</v>
      </c>
    </row>
    <row r="74" spans="1:24" x14ac:dyDescent="0.2">
      <c r="A74" s="1">
        <v>1</v>
      </c>
      <c r="B74" s="1">
        <v>1.2</v>
      </c>
      <c r="C74" s="1">
        <v>2</v>
      </c>
      <c r="D74" s="1" t="s">
        <v>234</v>
      </c>
      <c r="E74" s="4">
        <v>45374</v>
      </c>
      <c r="G74" s="6">
        <f t="shared" si="7"/>
        <v>0.78350694444444446</v>
      </c>
      <c r="H74" s="3">
        <v>0.75896990740740744</v>
      </c>
      <c r="I74" s="3">
        <v>1.5509259259259259E-2</v>
      </c>
      <c r="J74" s="3">
        <f t="shared" si="6"/>
        <v>0.77447916666666672</v>
      </c>
      <c r="K74" s="6">
        <v>2.4537037037037038E-2</v>
      </c>
      <c r="L74" s="1">
        <v>3</v>
      </c>
      <c r="M74" s="1" t="s">
        <v>14</v>
      </c>
      <c r="N74" s="1">
        <v>3</v>
      </c>
      <c r="O74" s="1" t="s">
        <v>14</v>
      </c>
      <c r="P74" s="40">
        <v>0.05</v>
      </c>
      <c r="Q74" s="43">
        <v>0.05</v>
      </c>
      <c r="R74" s="7"/>
      <c r="S74" s="1">
        <v>1</v>
      </c>
      <c r="T74" s="7"/>
      <c r="U74" s="1" t="s">
        <v>236</v>
      </c>
      <c r="V74" s="1">
        <v>2.1899999999999999E-2</v>
      </c>
    </row>
    <row r="75" spans="1:24" x14ac:dyDescent="0.2">
      <c r="A75" s="1">
        <v>1</v>
      </c>
      <c r="B75" s="1">
        <v>1.2</v>
      </c>
      <c r="C75" s="1">
        <v>1</v>
      </c>
      <c r="D75" s="1" t="s">
        <v>237</v>
      </c>
      <c r="E75" s="4">
        <v>45375</v>
      </c>
      <c r="G75" s="6">
        <f t="shared" si="7"/>
        <v>0.26059027777777777</v>
      </c>
      <c r="H75" s="3">
        <v>0.22921296296296295</v>
      </c>
      <c r="I75" s="1" t="s">
        <v>27</v>
      </c>
      <c r="J75" s="1" t="s">
        <v>27</v>
      </c>
      <c r="K75" s="6">
        <v>3.1377314814814816E-2</v>
      </c>
      <c r="L75" s="1">
        <v>3</v>
      </c>
      <c r="M75" s="1" t="s">
        <v>14</v>
      </c>
      <c r="N75" s="1">
        <v>3</v>
      </c>
      <c r="O75" s="1" t="s">
        <v>13</v>
      </c>
      <c r="P75" s="40">
        <v>0.05</v>
      </c>
      <c r="Q75" s="43">
        <v>0.05</v>
      </c>
      <c r="R75" s="7"/>
      <c r="S75" s="1">
        <v>0</v>
      </c>
      <c r="T75" s="7"/>
      <c r="U75" s="1" t="s">
        <v>238</v>
      </c>
      <c r="V75" s="1">
        <v>0.378</v>
      </c>
    </row>
    <row r="76" spans="1:24" x14ac:dyDescent="0.2">
      <c r="A76" s="1">
        <v>1</v>
      </c>
      <c r="B76" s="1">
        <v>1.2</v>
      </c>
      <c r="C76" s="1">
        <v>2</v>
      </c>
      <c r="D76" s="1" t="s">
        <v>237</v>
      </c>
      <c r="E76" s="4">
        <v>45375</v>
      </c>
      <c r="G76" s="6" t="s">
        <v>27</v>
      </c>
      <c r="H76" s="3">
        <v>0.22921296296296295</v>
      </c>
      <c r="I76" s="3">
        <v>3.2083333333333332E-2</v>
      </c>
      <c r="J76" s="3">
        <f>I76+H76</f>
        <v>0.2612962962962963</v>
      </c>
      <c r="K76" s="6" t="s">
        <v>27</v>
      </c>
      <c r="L76" s="1">
        <v>3</v>
      </c>
      <c r="M76" s="1" t="s">
        <v>13</v>
      </c>
      <c r="N76" s="1">
        <v>3</v>
      </c>
      <c r="O76" s="1" t="s">
        <v>13</v>
      </c>
      <c r="P76" s="40">
        <v>0.05</v>
      </c>
      <c r="Q76" s="43">
        <v>0.05</v>
      </c>
      <c r="R76" s="7"/>
      <c r="S76" s="1" t="s">
        <v>27</v>
      </c>
      <c r="T76" s="7"/>
      <c r="U76" s="1" t="s">
        <v>239</v>
      </c>
      <c r="V76" s="1" t="s">
        <v>27</v>
      </c>
    </row>
    <row r="77" spans="1:24" x14ac:dyDescent="0.2">
      <c r="A77" s="1">
        <v>1</v>
      </c>
      <c r="B77" s="1">
        <v>1.2</v>
      </c>
      <c r="C77" s="1">
        <v>1</v>
      </c>
      <c r="D77" s="1" t="s">
        <v>248</v>
      </c>
      <c r="E77" s="4">
        <v>45375</v>
      </c>
      <c r="G77" s="6">
        <f>K77+H77</f>
        <v>0.7900462962962963</v>
      </c>
      <c r="H77" s="3">
        <v>0.75851851851851848</v>
      </c>
      <c r="I77" s="3">
        <v>1.4409722222222223E-2</v>
      </c>
      <c r="J77" s="3">
        <f>I77+H77</f>
        <v>0.77292824074074074</v>
      </c>
      <c r="K77" s="6">
        <v>3.152777777777778E-2</v>
      </c>
      <c r="L77" s="1">
        <v>3</v>
      </c>
      <c r="M77" s="1" t="s">
        <v>13</v>
      </c>
      <c r="N77" s="1">
        <v>3</v>
      </c>
      <c r="O77" s="1" t="s">
        <v>14</v>
      </c>
      <c r="P77" s="40">
        <v>0.05</v>
      </c>
      <c r="Q77" s="40">
        <v>0.1</v>
      </c>
      <c r="R77" s="1"/>
      <c r="S77" s="1">
        <v>1</v>
      </c>
      <c r="T77" s="1"/>
      <c r="V77" s="1">
        <v>6.8999999999999997E-4</v>
      </c>
    </row>
    <row r="78" spans="1:24" x14ac:dyDescent="0.2">
      <c r="A78" s="1">
        <v>1</v>
      </c>
      <c r="B78" s="1">
        <v>1.2</v>
      </c>
      <c r="C78" s="1">
        <v>1</v>
      </c>
      <c r="D78" s="1" t="s">
        <v>355</v>
      </c>
      <c r="E78" s="4">
        <v>45376</v>
      </c>
      <c r="G78" s="6">
        <f>K78+H78</f>
        <v>0.78878472222222218</v>
      </c>
      <c r="H78" s="3">
        <v>0.75509259259259254</v>
      </c>
      <c r="I78" s="3">
        <v>1.1284722222222222E-2</v>
      </c>
      <c r="J78" s="3">
        <f>I78+H78</f>
        <v>0.76637731481481475</v>
      </c>
      <c r="K78" s="6">
        <v>3.3692129629629627E-2</v>
      </c>
      <c r="L78" s="1">
        <v>3</v>
      </c>
      <c r="M78" s="1" t="s">
        <v>13</v>
      </c>
      <c r="N78" s="1">
        <v>3</v>
      </c>
      <c r="O78" s="1" t="s">
        <v>13</v>
      </c>
      <c r="P78" s="40">
        <v>0.05</v>
      </c>
      <c r="Q78" s="43">
        <v>0.05</v>
      </c>
      <c r="R78" s="7"/>
      <c r="S78" s="1">
        <v>1</v>
      </c>
      <c r="T78" s="7"/>
      <c r="V78" s="1">
        <v>9.3000000000000005E-4</v>
      </c>
    </row>
    <row r="79" spans="1:24" x14ac:dyDescent="0.2">
      <c r="A79" s="1">
        <v>1</v>
      </c>
      <c r="B79" s="1">
        <v>1.2</v>
      </c>
      <c r="C79" s="1">
        <v>1</v>
      </c>
      <c r="D79" s="1" t="s">
        <v>249</v>
      </c>
      <c r="E79" s="4">
        <v>45376</v>
      </c>
      <c r="G79" s="6">
        <f>K79+H79</f>
        <v>0.2697222222222222</v>
      </c>
      <c r="H79" s="3">
        <v>0.23847222222222222</v>
      </c>
      <c r="I79" s="3">
        <v>1.724537037037037E-3</v>
      </c>
      <c r="J79" s="3">
        <f>I79+H79</f>
        <v>0.24019675925925926</v>
      </c>
      <c r="K79" s="6">
        <v>3.125E-2</v>
      </c>
      <c r="L79" s="1">
        <v>3</v>
      </c>
      <c r="M79" s="1" t="s">
        <v>14</v>
      </c>
      <c r="N79" s="1">
        <v>3</v>
      </c>
      <c r="O79" s="1" t="s">
        <v>13</v>
      </c>
      <c r="P79" s="40">
        <v>0.05</v>
      </c>
      <c r="Q79" s="40">
        <v>0.15</v>
      </c>
      <c r="R79" s="1"/>
      <c r="S79" s="1">
        <v>0</v>
      </c>
      <c r="T79" s="1"/>
      <c r="V79" s="1">
        <v>3.56</v>
      </c>
    </row>
    <row r="80" spans="1:24" x14ac:dyDescent="0.2">
      <c r="A80" s="1">
        <v>1</v>
      </c>
      <c r="B80" s="1">
        <v>1.2</v>
      </c>
      <c r="C80" s="1" t="s">
        <v>27</v>
      </c>
      <c r="D80" s="1" t="s">
        <v>27</v>
      </c>
      <c r="E80" s="4">
        <v>45377</v>
      </c>
      <c r="G80" s="6" t="s">
        <v>27</v>
      </c>
      <c r="H80" s="1" t="s">
        <v>27</v>
      </c>
      <c r="I80" s="1" t="s">
        <v>27</v>
      </c>
      <c r="J80" s="1" t="s">
        <v>27</v>
      </c>
      <c r="K80" s="6" t="s">
        <v>27</v>
      </c>
      <c r="L80" s="1">
        <v>3</v>
      </c>
      <c r="M80" s="1" t="s">
        <v>13</v>
      </c>
      <c r="N80" s="1">
        <v>3</v>
      </c>
      <c r="O80" s="1" t="s">
        <v>13</v>
      </c>
      <c r="P80" s="40">
        <v>0.05</v>
      </c>
      <c r="Q80" s="40">
        <v>0.05</v>
      </c>
      <c r="R80" s="1"/>
      <c r="S80" s="1" t="s">
        <v>27</v>
      </c>
      <c r="T80" s="1"/>
      <c r="U80" s="1" t="s">
        <v>250</v>
      </c>
      <c r="V80" s="1" t="s">
        <v>27</v>
      </c>
    </row>
    <row r="81" spans="1:25" x14ac:dyDescent="0.2">
      <c r="A81" s="1">
        <v>1</v>
      </c>
      <c r="B81" s="1">
        <v>1.2</v>
      </c>
      <c r="C81" s="1">
        <v>1</v>
      </c>
      <c r="D81" s="1" t="s">
        <v>253</v>
      </c>
      <c r="E81" s="4">
        <v>45377</v>
      </c>
      <c r="G81" s="6">
        <f t="shared" ref="G81:G93" si="8">K81+H81</f>
        <v>0.25787037037037036</v>
      </c>
      <c r="H81" s="3">
        <v>0.23776620370370372</v>
      </c>
      <c r="I81" s="1" t="s">
        <v>27</v>
      </c>
      <c r="J81" s="1" t="s">
        <v>27</v>
      </c>
      <c r="K81" s="6">
        <v>2.0104166666666666E-2</v>
      </c>
      <c r="L81" s="1">
        <v>3</v>
      </c>
      <c r="M81" s="1" t="s">
        <v>14</v>
      </c>
      <c r="N81" s="1">
        <v>3</v>
      </c>
      <c r="O81" s="1" t="s">
        <v>13</v>
      </c>
      <c r="P81" s="40">
        <v>0.05</v>
      </c>
      <c r="Q81" s="40">
        <v>0.1</v>
      </c>
      <c r="R81" s="1"/>
      <c r="S81" s="1">
        <v>1</v>
      </c>
      <c r="T81" s="1"/>
      <c r="U81" s="1" t="s">
        <v>254</v>
      </c>
      <c r="V81" s="1">
        <v>0.251</v>
      </c>
    </row>
    <row r="82" spans="1:25" x14ac:dyDescent="0.2">
      <c r="A82" s="1">
        <v>1</v>
      </c>
      <c r="B82" s="1">
        <v>1.2</v>
      </c>
      <c r="C82" s="1">
        <v>2</v>
      </c>
      <c r="D82" s="1" t="s">
        <v>253</v>
      </c>
      <c r="E82" s="4">
        <v>45377</v>
      </c>
      <c r="G82" s="6">
        <f t="shared" si="8"/>
        <v>0.27064814814814814</v>
      </c>
      <c r="H82" s="3">
        <v>0.23776620370370372</v>
      </c>
      <c r="I82" s="3">
        <v>2.0775462962962964E-2</v>
      </c>
      <c r="J82" s="3">
        <f>I82+H82</f>
        <v>0.25854166666666667</v>
      </c>
      <c r="K82" s="6">
        <v>3.2881944444444443E-2</v>
      </c>
      <c r="L82" s="1">
        <v>3</v>
      </c>
      <c r="M82" s="1" t="s">
        <v>13</v>
      </c>
      <c r="N82" s="1">
        <v>3</v>
      </c>
      <c r="O82" s="1" t="s">
        <v>13</v>
      </c>
      <c r="P82" s="40">
        <v>0.1</v>
      </c>
      <c r="Q82" s="40">
        <v>0.1</v>
      </c>
      <c r="R82" s="1"/>
      <c r="S82" s="1">
        <v>0</v>
      </c>
      <c r="T82" s="1"/>
      <c r="U82" s="1" t="s">
        <v>255</v>
      </c>
      <c r="V82" s="15">
        <v>5.0199999999999996</v>
      </c>
    </row>
    <row r="83" spans="1:25" x14ac:dyDescent="0.2">
      <c r="A83" s="1">
        <v>1</v>
      </c>
      <c r="B83" s="1">
        <v>1.2</v>
      </c>
      <c r="C83" s="1">
        <v>1</v>
      </c>
      <c r="D83" s="1" t="s">
        <v>256</v>
      </c>
      <c r="E83" s="4">
        <v>45378</v>
      </c>
      <c r="G83" s="6">
        <f t="shared" si="8"/>
        <v>0.25310185185185186</v>
      </c>
      <c r="H83" s="3">
        <v>0.23241898148148149</v>
      </c>
      <c r="I83" s="3">
        <v>1.0231481481481482E-2</v>
      </c>
      <c r="J83" s="3">
        <f>I83+H83</f>
        <v>0.24265046296296297</v>
      </c>
      <c r="K83" s="6">
        <v>2.0682870370370369E-2</v>
      </c>
      <c r="L83" s="1">
        <v>3</v>
      </c>
      <c r="M83" s="1" t="s">
        <v>13</v>
      </c>
      <c r="N83" s="1">
        <v>3</v>
      </c>
      <c r="O83" s="1" t="s">
        <v>14</v>
      </c>
      <c r="P83" s="40">
        <v>0.05</v>
      </c>
      <c r="Q83" s="40">
        <v>0.15</v>
      </c>
      <c r="R83" s="1"/>
      <c r="S83" s="1">
        <v>1</v>
      </c>
      <c r="T83" s="1"/>
      <c r="V83" s="7">
        <v>3.6400000000000002E-2</v>
      </c>
    </row>
    <row r="84" spans="1:25" x14ac:dyDescent="0.2">
      <c r="A84" s="1">
        <v>1</v>
      </c>
      <c r="B84" s="1">
        <v>1.2</v>
      </c>
      <c r="C84" s="1">
        <v>1</v>
      </c>
      <c r="D84" s="1" t="s">
        <v>298</v>
      </c>
      <c r="E84" s="4">
        <v>45378</v>
      </c>
      <c r="G84" s="6">
        <f t="shared" si="8"/>
        <v>0.78462962962962968</v>
      </c>
      <c r="H84" s="3">
        <v>0.76035879629629632</v>
      </c>
      <c r="I84" s="3">
        <v>2.4305555555555556E-3</v>
      </c>
      <c r="J84" s="3">
        <f>I84+H84</f>
        <v>0.76278935185185193</v>
      </c>
      <c r="K84" s="6">
        <v>2.4270833333333332E-2</v>
      </c>
      <c r="L84" s="1">
        <v>3</v>
      </c>
      <c r="M84" s="1" t="s">
        <v>14</v>
      </c>
      <c r="N84" s="1">
        <v>3</v>
      </c>
      <c r="O84" s="1" t="s">
        <v>13</v>
      </c>
      <c r="P84" s="40">
        <v>0.05</v>
      </c>
      <c r="Q84" s="40">
        <v>0.05</v>
      </c>
      <c r="R84" s="1"/>
      <c r="S84" s="1">
        <v>0</v>
      </c>
      <c r="T84" s="1"/>
      <c r="V84" s="15">
        <v>6.28E-3</v>
      </c>
    </row>
    <row r="85" spans="1:25" x14ac:dyDescent="0.2">
      <c r="A85" s="1">
        <v>1</v>
      </c>
      <c r="B85" s="1">
        <v>1.2</v>
      </c>
      <c r="C85" s="1">
        <v>1</v>
      </c>
      <c r="D85" s="1" t="s">
        <v>282</v>
      </c>
      <c r="E85" s="4">
        <v>45379</v>
      </c>
      <c r="G85" s="6">
        <f t="shared" si="8"/>
        <v>0.24640046296296297</v>
      </c>
      <c r="H85" s="3">
        <v>0.23401620370370371</v>
      </c>
      <c r="I85" s="1" t="s">
        <v>27</v>
      </c>
      <c r="J85" s="1" t="s">
        <v>27</v>
      </c>
      <c r="K85" s="6">
        <v>1.238425925925926E-2</v>
      </c>
      <c r="L85" s="1">
        <v>3</v>
      </c>
      <c r="M85" s="1" t="s">
        <v>13</v>
      </c>
      <c r="N85" s="1">
        <v>3</v>
      </c>
      <c r="O85" s="1" t="s">
        <v>13</v>
      </c>
      <c r="P85" s="40">
        <v>0.05</v>
      </c>
      <c r="Q85" s="40">
        <v>0.05</v>
      </c>
      <c r="R85" s="1"/>
      <c r="S85" s="1">
        <v>0</v>
      </c>
      <c r="T85" s="1"/>
      <c r="U85" s="1" t="s">
        <v>283</v>
      </c>
      <c r="V85" s="7" t="s">
        <v>410</v>
      </c>
      <c r="W85" s="7" t="s">
        <v>409</v>
      </c>
      <c r="X85" s="7">
        <v>1.2869999999999999E-2</v>
      </c>
      <c r="Y85" s="7" t="s">
        <v>450</v>
      </c>
    </row>
    <row r="86" spans="1:25" x14ac:dyDescent="0.2">
      <c r="A86" s="1">
        <v>1</v>
      </c>
      <c r="B86" s="1">
        <v>1.2</v>
      </c>
      <c r="C86" s="1">
        <v>2</v>
      </c>
      <c r="D86" s="1" t="s">
        <v>282</v>
      </c>
      <c r="E86" s="4">
        <v>45379</v>
      </c>
      <c r="G86" s="6">
        <f t="shared" si="8"/>
        <v>0.25540509259259259</v>
      </c>
      <c r="H86" s="3">
        <v>0.23401620370370371</v>
      </c>
      <c r="I86" s="3">
        <v>1.3761574074074074E-2</v>
      </c>
      <c r="J86" s="3">
        <f t="shared" ref="J86:J93" si="9">I86+H86</f>
        <v>0.24777777777777779</v>
      </c>
      <c r="K86" s="6">
        <v>2.1388888888888888E-2</v>
      </c>
      <c r="L86" s="1">
        <v>3</v>
      </c>
      <c r="M86" s="1" t="s">
        <v>13</v>
      </c>
      <c r="N86" s="1">
        <v>3</v>
      </c>
      <c r="O86" s="1" t="s">
        <v>14</v>
      </c>
      <c r="P86" s="40">
        <v>0.05</v>
      </c>
      <c r="Q86" s="39">
        <v>0.1</v>
      </c>
      <c r="S86" s="1">
        <v>1</v>
      </c>
      <c r="U86" s="1" t="s">
        <v>290</v>
      </c>
      <c r="V86" s="7" t="s">
        <v>411</v>
      </c>
      <c r="W86" s="7" t="s">
        <v>409</v>
      </c>
      <c r="X86" s="7">
        <v>0.14929999999999999</v>
      </c>
      <c r="Y86" s="7" t="s">
        <v>449</v>
      </c>
    </row>
    <row r="87" spans="1:25" x14ac:dyDescent="0.2">
      <c r="A87" s="1">
        <v>1</v>
      </c>
      <c r="B87" s="1">
        <v>1.2</v>
      </c>
      <c r="C87" s="1">
        <v>3</v>
      </c>
      <c r="D87" s="1" t="s">
        <v>282</v>
      </c>
      <c r="E87" s="4">
        <v>45379</v>
      </c>
      <c r="G87" s="6">
        <f t="shared" si="8"/>
        <v>0.26923611111111112</v>
      </c>
      <c r="H87" s="3">
        <v>0.23401620370370371</v>
      </c>
      <c r="I87" s="3">
        <v>2.361111111111111E-2</v>
      </c>
      <c r="J87" s="3">
        <f t="shared" si="9"/>
        <v>0.25762731481481482</v>
      </c>
      <c r="K87" s="6">
        <v>3.5219907407407408E-2</v>
      </c>
      <c r="L87" s="1">
        <v>3</v>
      </c>
      <c r="M87" s="1" t="s">
        <v>14</v>
      </c>
      <c r="N87" s="1">
        <v>3</v>
      </c>
      <c r="O87" s="1" t="s">
        <v>14</v>
      </c>
      <c r="P87" s="40">
        <v>0.05</v>
      </c>
      <c r="Q87" s="39">
        <v>0.1</v>
      </c>
      <c r="S87" s="1">
        <v>1</v>
      </c>
      <c r="V87" s="7">
        <v>3.83</v>
      </c>
      <c r="W87" s="1" t="s">
        <v>412</v>
      </c>
    </row>
    <row r="88" spans="1:25" x14ac:dyDescent="0.2">
      <c r="A88" s="1">
        <v>1</v>
      </c>
      <c r="B88" s="1">
        <v>1.2</v>
      </c>
      <c r="C88" s="1">
        <v>1</v>
      </c>
      <c r="D88" s="1" t="s">
        <v>293</v>
      </c>
      <c r="E88" s="4">
        <v>45379</v>
      </c>
      <c r="G88" s="6">
        <f t="shared" si="8"/>
        <v>0.78693287037037041</v>
      </c>
      <c r="H88" s="3">
        <v>0.75502314814814819</v>
      </c>
      <c r="I88" s="3">
        <v>6.5393518518518517E-3</v>
      </c>
      <c r="J88" s="3">
        <f t="shared" si="9"/>
        <v>0.76156250000000003</v>
      </c>
      <c r="K88" s="6">
        <v>3.1909722222222221E-2</v>
      </c>
      <c r="L88" s="1">
        <v>3</v>
      </c>
      <c r="M88" s="1" t="s">
        <v>14</v>
      </c>
      <c r="N88" s="1">
        <v>3</v>
      </c>
      <c r="O88" s="1" t="s">
        <v>13</v>
      </c>
      <c r="P88" s="40">
        <v>0.05</v>
      </c>
      <c r="Q88" s="39">
        <v>0.15</v>
      </c>
      <c r="S88" s="1">
        <v>0</v>
      </c>
      <c r="V88" s="7" t="s">
        <v>405</v>
      </c>
      <c r="W88" s="7" t="s">
        <v>404</v>
      </c>
      <c r="X88" s="7">
        <v>6.5199999999999998E-3</v>
      </c>
      <c r="Y88" s="7" t="s">
        <v>447</v>
      </c>
    </row>
    <row r="89" spans="1:25" x14ac:dyDescent="0.2">
      <c r="A89" s="1">
        <v>1</v>
      </c>
      <c r="B89" s="1">
        <v>1.2</v>
      </c>
      <c r="C89" s="1">
        <v>1</v>
      </c>
      <c r="D89" s="1" t="s">
        <v>297</v>
      </c>
      <c r="E89" s="4">
        <v>45380</v>
      </c>
      <c r="G89" s="6">
        <f t="shared" si="8"/>
        <v>0.25002314814814813</v>
      </c>
      <c r="H89" s="3">
        <v>0.22991898148148149</v>
      </c>
      <c r="I89" s="3">
        <v>9.5949074074074079E-3</v>
      </c>
      <c r="J89" s="3">
        <f t="shared" si="9"/>
        <v>0.23951388888888889</v>
      </c>
      <c r="K89" s="6">
        <v>2.0104166666666666E-2</v>
      </c>
      <c r="L89" s="1">
        <v>3</v>
      </c>
      <c r="M89" s="1" t="s">
        <v>13</v>
      </c>
      <c r="N89" s="1">
        <v>3</v>
      </c>
      <c r="O89" s="1" t="s">
        <v>13</v>
      </c>
      <c r="P89" s="40">
        <v>0.05</v>
      </c>
      <c r="Q89" s="40">
        <v>0.05</v>
      </c>
      <c r="R89" s="1"/>
      <c r="S89" s="1">
        <v>0</v>
      </c>
      <c r="T89" s="1"/>
      <c r="V89" s="1">
        <v>1.0630000000000001E-2</v>
      </c>
    </row>
    <row r="90" spans="1:25" x14ac:dyDescent="0.2">
      <c r="A90" s="1">
        <v>1</v>
      </c>
      <c r="B90" s="1">
        <v>1.2</v>
      </c>
      <c r="C90" s="1">
        <v>2</v>
      </c>
      <c r="D90" s="1" t="s">
        <v>297</v>
      </c>
      <c r="E90" s="4">
        <v>45380</v>
      </c>
      <c r="G90" s="6">
        <f t="shared" si="8"/>
        <v>0.26598379629629632</v>
      </c>
      <c r="H90" s="3">
        <v>0.22991898148148149</v>
      </c>
      <c r="I90" s="3">
        <v>2.1238425925925924E-2</v>
      </c>
      <c r="J90" s="3">
        <f t="shared" si="9"/>
        <v>0.25115740740740744</v>
      </c>
      <c r="K90" s="6">
        <v>3.6064814814814813E-2</v>
      </c>
      <c r="L90" s="1">
        <v>3</v>
      </c>
      <c r="M90" s="1" t="s">
        <v>13</v>
      </c>
      <c r="N90" s="1">
        <v>3</v>
      </c>
      <c r="O90" s="1" t="s">
        <v>14</v>
      </c>
      <c r="P90" s="40">
        <v>0.05</v>
      </c>
      <c r="Q90" s="40">
        <v>0.05</v>
      </c>
      <c r="R90" s="1"/>
      <c r="S90" s="1">
        <v>1</v>
      </c>
      <c r="T90" s="1"/>
      <c r="U90" s="1" t="s">
        <v>302</v>
      </c>
      <c r="V90" s="1">
        <v>1.5820000000000001</v>
      </c>
    </row>
    <row r="91" spans="1:25" x14ac:dyDescent="0.2">
      <c r="A91" s="1">
        <v>1</v>
      </c>
      <c r="B91" s="1">
        <v>1.2</v>
      </c>
      <c r="C91" s="1">
        <v>1</v>
      </c>
      <c r="D91" s="1" t="s">
        <v>305</v>
      </c>
      <c r="E91" s="4">
        <v>45380</v>
      </c>
      <c r="G91" s="6">
        <f t="shared" si="8"/>
        <v>0.78753472222222221</v>
      </c>
      <c r="H91" s="3">
        <v>0.7643981481481481</v>
      </c>
      <c r="I91" s="3">
        <v>2.7199074074074074E-3</v>
      </c>
      <c r="J91" s="3">
        <f t="shared" si="9"/>
        <v>0.76711805555555557</v>
      </c>
      <c r="K91" s="6">
        <v>2.3136574074074073E-2</v>
      </c>
      <c r="L91" s="1">
        <v>3</v>
      </c>
      <c r="M91" s="1" t="s">
        <v>13</v>
      </c>
      <c r="N91" s="1">
        <v>3</v>
      </c>
      <c r="O91" s="1" t="s">
        <v>14</v>
      </c>
      <c r="P91" s="40">
        <v>0.05</v>
      </c>
      <c r="Q91" s="39">
        <v>0.1</v>
      </c>
      <c r="S91" s="1">
        <v>0</v>
      </c>
      <c r="V91" s="1">
        <v>5.5900000000000004E-3</v>
      </c>
    </row>
    <row r="92" spans="1:25" x14ac:dyDescent="0.2">
      <c r="A92" s="1">
        <v>1</v>
      </c>
      <c r="B92" s="1">
        <v>1.2</v>
      </c>
      <c r="C92" s="1">
        <v>1</v>
      </c>
      <c r="D92" s="1" t="s">
        <v>307</v>
      </c>
      <c r="E92" s="4">
        <v>45381</v>
      </c>
      <c r="G92" s="6">
        <f t="shared" si="8"/>
        <v>0.26030092592592591</v>
      </c>
      <c r="H92" s="3">
        <v>0.23271990740740742</v>
      </c>
      <c r="I92" s="3">
        <v>9.9421296296296289E-3</v>
      </c>
      <c r="J92" s="3">
        <f t="shared" si="9"/>
        <v>0.24266203703703704</v>
      </c>
      <c r="K92" s="6">
        <v>2.7581018518518519E-2</v>
      </c>
      <c r="L92" s="1">
        <v>3</v>
      </c>
      <c r="M92" s="1" t="s">
        <v>14</v>
      </c>
      <c r="N92" s="1">
        <v>3</v>
      </c>
      <c r="O92" s="1" t="s">
        <v>13</v>
      </c>
      <c r="P92" s="40">
        <v>0.05</v>
      </c>
      <c r="Q92" s="39">
        <v>0.15</v>
      </c>
      <c r="S92" s="1">
        <v>0</v>
      </c>
      <c r="V92" s="7">
        <v>2.4500000000000002</v>
      </c>
      <c r="W92" s="7" t="s">
        <v>443</v>
      </c>
      <c r="X92" s="20">
        <f>( V92 * (1.004*10^-6)) / (1.081*10^-5)</f>
        <v>0.22754856614246069</v>
      </c>
      <c r="Y92" s="20" t="s">
        <v>446</v>
      </c>
    </row>
    <row r="93" spans="1:25" ht="17" customHeight="1" x14ac:dyDescent="0.2">
      <c r="A93" s="1">
        <v>1</v>
      </c>
      <c r="B93" s="1">
        <v>1.2</v>
      </c>
      <c r="C93" s="1">
        <v>1</v>
      </c>
      <c r="D93" s="1" t="s">
        <v>308</v>
      </c>
      <c r="E93" s="4">
        <v>45381</v>
      </c>
      <c r="G93" s="6">
        <f t="shared" si="8"/>
        <v>0.78467592592592594</v>
      </c>
      <c r="H93" s="3">
        <v>0.75762731481481482</v>
      </c>
      <c r="I93" s="3">
        <v>1.4305555555555556E-2</v>
      </c>
      <c r="J93" s="3">
        <f t="shared" si="9"/>
        <v>0.77193287037037039</v>
      </c>
      <c r="K93" s="6">
        <v>2.704861111111111E-2</v>
      </c>
      <c r="L93" s="1">
        <v>3</v>
      </c>
      <c r="M93" s="1" t="s">
        <v>13</v>
      </c>
      <c r="N93" s="1">
        <v>3</v>
      </c>
      <c r="O93" s="1" t="s">
        <v>14</v>
      </c>
      <c r="P93" s="40">
        <v>0.05</v>
      </c>
      <c r="Q93" s="40">
        <v>0.05</v>
      </c>
      <c r="R93" s="1"/>
      <c r="S93" s="1">
        <v>1</v>
      </c>
      <c r="T93" s="1"/>
      <c r="V93" s="7">
        <v>5.0099999999999999E-2</v>
      </c>
      <c r="W93" s="7" t="s">
        <v>442</v>
      </c>
      <c r="X93" s="20">
        <f>( V93 * (1.004*10^-6)) / (1.081*10^-5)</f>
        <v>4.6531359851988904E-3</v>
      </c>
      <c r="Y93" s="20" t="s">
        <v>446</v>
      </c>
    </row>
    <row r="94" spans="1:25" x14ac:dyDescent="0.2">
      <c r="A94" s="1">
        <v>1</v>
      </c>
      <c r="B94" s="1">
        <v>1.2</v>
      </c>
      <c r="C94" s="1" t="s">
        <v>27</v>
      </c>
      <c r="D94" s="1" t="s">
        <v>27</v>
      </c>
      <c r="E94" s="4">
        <v>45382</v>
      </c>
      <c r="G94" s="6" t="s">
        <v>27</v>
      </c>
      <c r="H94" s="1" t="s">
        <v>27</v>
      </c>
      <c r="I94" s="1" t="s">
        <v>27</v>
      </c>
      <c r="J94" s="1" t="s">
        <v>27</v>
      </c>
      <c r="K94" s="6" t="s">
        <v>27</v>
      </c>
      <c r="L94" s="1">
        <v>3</v>
      </c>
      <c r="M94" s="1" t="s">
        <v>14</v>
      </c>
      <c r="N94" s="1">
        <v>3</v>
      </c>
      <c r="O94" s="1" t="s">
        <v>14</v>
      </c>
      <c r="P94" s="40">
        <v>0.05</v>
      </c>
      <c r="Q94" s="40">
        <v>0.05</v>
      </c>
      <c r="R94" s="1"/>
      <c r="S94" s="1" t="s">
        <v>27</v>
      </c>
      <c r="T94" s="1"/>
      <c r="U94" s="1" t="s">
        <v>304</v>
      </c>
      <c r="V94" s="1" t="s">
        <v>27</v>
      </c>
    </row>
    <row r="95" spans="1:25" x14ac:dyDescent="0.2">
      <c r="A95" s="1">
        <v>1</v>
      </c>
      <c r="B95" s="1">
        <v>1.2</v>
      </c>
      <c r="C95" s="1">
        <v>1</v>
      </c>
      <c r="D95" s="1" t="s">
        <v>327</v>
      </c>
      <c r="E95" s="4">
        <v>45382</v>
      </c>
      <c r="G95" s="6">
        <f>K95+H95</f>
        <v>0.79083333333333328</v>
      </c>
      <c r="H95" s="3">
        <v>0.7560648148148148</v>
      </c>
      <c r="I95" s="3">
        <v>1.8761574074074073E-2</v>
      </c>
      <c r="J95" s="3">
        <f>I95+H95</f>
        <v>0.77482638888888888</v>
      </c>
      <c r="K95" s="6">
        <v>3.4768518518518518E-2</v>
      </c>
      <c r="L95" s="1">
        <v>3</v>
      </c>
      <c r="M95" s="1" t="s">
        <v>14</v>
      </c>
      <c r="N95" s="1">
        <v>3</v>
      </c>
      <c r="O95" s="1" t="s">
        <v>13</v>
      </c>
      <c r="P95" s="39">
        <v>0.05</v>
      </c>
      <c r="Q95" s="39">
        <v>0.1</v>
      </c>
      <c r="S95" s="1">
        <v>0</v>
      </c>
      <c r="V95" s="7" t="s">
        <v>406</v>
      </c>
      <c r="W95" s="11" t="s">
        <v>455</v>
      </c>
      <c r="X95" s="21">
        <f>(0.00477* (1.004*10^-6)) / (1.081*10^-5)</f>
        <v>4.4302312673450507E-4</v>
      </c>
      <c r="Y95" s="7" t="s">
        <v>448</v>
      </c>
    </row>
    <row r="96" spans="1:25" x14ac:dyDescent="0.2">
      <c r="A96" s="1">
        <v>1</v>
      </c>
      <c r="B96" s="1">
        <v>1.2</v>
      </c>
      <c r="C96" s="1">
        <v>1</v>
      </c>
      <c r="D96" s="1" t="s">
        <v>326</v>
      </c>
      <c r="E96" s="4">
        <v>45383</v>
      </c>
      <c r="G96" s="6" t="s">
        <v>27</v>
      </c>
      <c r="H96" s="3">
        <v>0.22825231481481481</v>
      </c>
      <c r="I96" s="3">
        <v>9.6874999999999999E-3</v>
      </c>
      <c r="J96" s="3">
        <f>I96+H96</f>
        <v>0.2379398148148148</v>
      </c>
      <c r="K96" s="6" t="s">
        <v>27</v>
      </c>
      <c r="L96" s="1">
        <v>3</v>
      </c>
      <c r="M96" s="1" t="s">
        <v>13</v>
      </c>
      <c r="N96" s="1">
        <v>3</v>
      </c>
      <c r="O96" s="1" t="s">
        <v>13</v>
      </c>
      <c r="P96" s="40">
        <v>0.05</v>
      </c>
      <c r="Q96" s="40">
        <v>0.05</v>
      </c>
      <c r="R96" s="1"/>
      <c r="S96" s="1" t="s">
        <v>27</v>
      </c>
      <c r="T96" s="1"/>
      <c r="U96" s="1" t="s">
        <v>328</v>
      </c>
      <c r="V96" s="1" t="s">
        <v>27</v>
      </c>
    </row>
    <row r="97" spans="1:25" x14ac:dyDescent="0.2">
      <c r="A97" s="1">
        <v>1</v>
      </c>
      <c r="B97" s="1">
        <v>1.2</v>
      </c>
      <c r="C97" s="1">
        <v>2</v>
      </c>
      <c r="D97" s="1" t="s">
        <v>326</v>
      </c>
      <c r="E97" s="4">
        <v>45383</v>
      </c>
      <c r="G97" s="6">
        <f>K97+H97</f>
        <v>0.26740740740740743</v>
      </c>
      <c r="H97" s="3">
        <v>0.22825231481481481</v>
      </c>
      <c r="I97" s="3">
        <v>1.773148148148148E-2</v>
      </c>
      <c r="J97" s="3">
        <f>I97+H97</f>
        <v>0.2459837962962963</v>
      </c>
      <c r="K97" s="6">
        <v>3.9155092592592596E-2</v>
      </c>
      <c r="L97" s="1">
        <v>3</v>
      </c>
      <c r="M97" s="1" t="s">
        <v>13</v>
      </c>
      <c r="N97" s="1">
        <v>3</v>
      </c>
      <c r="O97" s="1" t="s">
        <v>14</v>
      </c>
      <c r="P97" s="39">
        <v>0.05</v>
      </c>
      <c r="Q97" s="39">
        <v>0.15</v>
      </c>
      <c r="S97" s="1">
        <v>1</v>
      </c>
      <c r="V97" s="7">
        <v>14</v>
      </c>
      <c r="W97" s="7" t="s">
        <v>444</v>
      </c>
      <c r="X97" s="20">
        <f>( V97 * (1.004*10^-6)) / (1.081*10^-5)</f>
        <v>1.3002775208140611</v>
      </c>
      <c r="Y97" s="20" t="s">
        <v>446</v>
      </c>
    </row>
    <row r="98" spans="1:25" x14ac:dyDescent="0.2">
      <c r="A98" s="1">
        <v>1</v>
      </c>
      <c r="B98" s="1">
        <v>1.2</v>
      </c>
      <c r="C98" s="1" t="s">
        <v>27</v>
      </c>
      <c r="D98" s="1" t="s">
        <v>27</v>
      </c>
      <c r="E98" s="4">
        <v>45383</v>
      </c>
      <c r="G98" s="6" t="s">
        <v>27</v>
      </c>
      <c r="H98" s="1" t="s">
        <v>27</v>
      </c>
      <c r="I98" s="1" t="s">
        <v>27</v>
      </c>
      <c r="J98" s="1" t="s">
        <v>27</v>
      </c>
      <c r="K98" s="6" t="s">
        <v>27</v>
      </c>
      <c r="S98" s="1" t="s">
        <v>27</v>
      </c>
      <c r="U98" s="1" t="s">
        <v>341</v>
      </c>
      <c r="V98" s="1" t="s">
        <v>27</v>
      </c>
    </row>
    <row r="99" spans="1:25" x14ac:dyDescent="0.2">
      <c r="A99" s="1">
        <v>1</v>
      </c>
      <c r="B99" s="1">
        <v>1.2</v>
      </c>
      <c r="C99" s="1" t="s">
        <v>27</v>
      </c>
      <c r="D99" s="1" t="s">
        <v>27</v>
      </c>
      <c r="E99" s="4">
        <v>45384</v>
      </c>
      <c r="G99" s="6" t="s">
        <v>27</v>
      </c>
      <c r="H99" s="1" t="s">
        <v>27</v>
      </c>
      <c r="I99" s="1" t="s">
        <v>27</v>
      </c>
      <c r="J99" s="1" t="s">
        <v>27</v>
      </c>
      <c r="K99" s="6" t="s">
        <v>27</v>
      </c>
      <c r="S99" s="1" t="s">
        <v>27</v>
      </c>
      <c r="U99" s="1" t="s">
        <v>340</v>
      </c>
      <c r="V99" s="1" t="s">
        <v>27</v>
      </c>
    </row>
    <row r="100" spans="1:25" x14ac:dyDescent="0.2">
      <c r="A100" s="1">
        <v>1</v>
      </c>
      <c r="B100" s="1">
        <v>1.2</v>
      </c>
      <c r="C100" s="1" t="s">
        <v>27</v>
      </c>
      <c r="D100" s="1" t="s">
        <v>27</v>
      </c>
      <c r="E100" s="4">
        <v>45384</v>
      </c>
      <c r="G100" s="1" t="s">
        <v>27</v>
      </c>
      <c r="H100" s="1" t="s">
        <v>27</v>
      </c>
      <c r="I100" s="1" t="s">
        <v>27</v>
      </c>
      <c r="J100" s="1" t="s">
        <v>27</v>
      </c>
      <c r="S100" s="1" t="s">
        <v>27</v>
      </c>
      <c r="V100" s="1" t="s">
        <v>27</v>
      </c>
    </row>
    <row r="101" spans="1:25" x14ac:dyDescent="0.2">
      <c r="A101" s="1">
        <v>1</v>
      </c>
      <c r="B101" s="1">
        <v>1.2</v>
      </c>
      <c r="C101" s="1" t="s">
        <v>27</v>
      </c>
      <c r="D101" s="1" t="s">
        <v>27</v>
      </c>
      <c r="E101" s="4">
        <v>45385</v>
      </c>
      <c r="G101" s="1" t="s">
        <v>27</v>
      </c>
      <c r="H101" s="1" t="s">
        <v>27</v>
      </c>
      <c r="I101" s="1" t="s">
        <v>27</v>
      </c>
      <c r="J101" s="1" t="s">
        <v>27</v>
      </c>
      <c r="S101" s="1" t="s">
        <v>27</v>
      </c>
      <c r="V101" s="1" t="s">
        <v>27</v>
      </c>
    </row>
    <row r="102" spans="1:25" x14ac:dyDescent="0.2">
      <c r="A102" s="1">
        <v>1</v>
      </c>
      <c r="B102" s="1">
        <v>1.2</v>
      </c>
      <c r="C102" s="1">
        <v>1</v>
      </c>
      <c r="D102" s="1" t="s">
        <v>365</v>
      </c>
      <c r="E102" s="4">
        <v>45385</v>
      </c>
      <c r="G102" s="6">
        <f>K102+H102</f>
        <v>0.79365740740740742</v>
      </c>
      <c r="H102" s="3">
        <v>0.76187499999999997</v>
      </c>
      <c r="I102" s="3">
        <v>1.6689814814814814E-2</v>
      </c>
      <c r="J102" s="3">
        <f>I102+H102</f>
        <v>0.77856481481481477</v>
      </c>
      <c r="K102" s="6">
        <v>3.1782407407407405E-2</v>
      </c>
      <c r="L102" s="1">
        <v>3</v>
      </c>
      <c r="M102" s="1" t="s">
        <v>14</v>
      </c>
      <c r="N102" s="1">
        <v>3</v>
      </c>
      <c r="O102" s="1" t="s">
        <v>14</v>
      </c>
      <c r="P102" s="40">
        <v>0.05</v>
      </c>
      <c r="Q102" s="40">
        <v>0.05</v>
      </c>
      <c r="R102" s="1"/>
      <c r="S102" s="1">
        <v>1</v>
      </c>
      <c r="T102" s="1"/>
      <c r="V102" s="1" t="s">
        <v>27</v>
      </c>
      <c r="W102" s="1" t="s">
        <v>395</v>
      </c>
    </row>
    <row r="103" spans="1:25" x14ac:dyDescent="0.2">
      <c r="A103" s="1">
        <v>1</v>
      </c>
      <c r="B103" s="1">
        <v>1.2</v>
      </c>
      <c r="C103" s="1" t="s">
        <v>27</v>
      </c>
      <c r="D103" s="1" t="s">
        <v>27</v>
      </c>
      <c r="E103" s="4">
        <v>45386</v>
      </c>
      <c r="G103" s="6" t="s">
        <v>27</v>
      </c>
      <c r="H103" s="3" t="s">
        <v>27</v>
      </c>
      <c r="I103" s="3" t="s">
        <v>27</v>
      </c>
      <c r="J103" s="3" t="s">
        <v>27</v>
      </c>
      <c r="K103" s="6" t="s">
        <v>27</v>
      </c>
      <c r="L103" s="1">
        <v>3</v>
      </c>
      <c r="N103" s="1">
        <v>3</v>
      </c>
      <c r="P103" s="40"/>
      <c r="Q103" s="40"/>
      <c r="R103" s="1"/>
      <c r="S103" s="1" t="s">
        <v>27</v>
      </c>
      <c r="T103" s="1"/>
      <c r="U103" s="1" t="s">
        <v>387</v>
      </c>
      <c r="V103" s="1" t="s">
        <v>27</v>
      </c>
    </row>
    <row r="104" spans="1:25" x14ac:dyDescent="0.2">
      <c r="A104" s="1">
        <v>1</v>
      </c>
      <c r="B104" s="1">
        <v>1.2</v>
      </c>
      <c r="C104" s="1">
        <v>1</v>
      </c>
      <c r="D104" s="1" t="s">
        <v>392</v>
      </c>
      <c r="E104" s="4">
        <v>45386</v>
      </c>
      <c r="G104" s="6">
        <f>K104+H104</f>
        <v>0.79339120370370364</v>
      </c>
      <c r="H104" s="3">
        <v>0.75894675925925925</v>
      </c>
      <c r="I104" s="3">
        <v>1.5925925925925927E-2</v>
      </c>
      <c r="J104" s="3">
        <f>I104+H104</f>
        <v>0.77487268518518515</v>
      </c>
      <c r="K104" s="6" t="s">
        <v>393</v>
      </c>
      <c r="L104" s="1">
        <v>3</v>
      </c>
      <c r="M104" s="6" t="s">
        <v>14</v>
      </c>
      <c r="N104" s="1">
        <v>3</v>
      </c>
      <c r="O104" s="1" t="s">
        <v>13</v>
      </c>
      <c r="P104" s="40">
        <v>0.05</v>
      </c>
      <c r="Q104" s="40">
        <v>0.05</v>
      </c>
      <c r="R104" s="1"/>
      <c r="S104" s="2">
        <v>0</v>
      </c>
      <c r="T104" s="1"/>
      <c r="U104" s="1" t="s">
        <v>394</v>
      </c>
      <c r="V104" s="7">
        <v>2.5100000000000001E-3</v>
      </c>
      <c r="W104" s="7" t="s">
        <v>384</v>
      </c>
      <c r="X104" s="20">
        <f>( V104 * (1.004*10^-6)) / (1.081*10^-5)</f>
        <v>2.331211840888067E-4</v>
      </c>
      <c r="Y104" s="20" t="s">
        <v>446</v>
      </c>
    </row>
    <row r="105" spans="1:25" x14ac:dyDescent="0.2">
      <c r="A105" s="1">
        <v>1</v>
      </c>
      <c r="B105" s="1">
        <v>1.2</v>
      </c>
      <c r="C105" s="1" t="s">
        <v>27</v>
      </c>
      <c r="D105" s="1" t="s">
        <v>27</v>
      </c>
      <c r="E105" s="4">
        <v>45387</v>
      </c>
      <c r="G105" s="6" t="s">
        <v>27</v>
      </c>
      <c r="H105" s="1" t="s">
        <v>27</v>
      </c>
      <c r="I105" s="1" t="s">
        <v>27</v>
      </c>
      <c r="J105" s="1" t="s">
        <v>27</v>
      </c>
      <c r="K105" s="6" t="s">
        <v>27</v>
      </c>
      <c r="L105" s="1">
        <v>3</v>
      </c>
      <c r="N105" s="1">
        <v>3</v>
      </c>
      <c r="S105" s="1" t="s">
        <v>27</v>
      </c>
      <c r="V105" s="1" t="s">
        <v>27</v>
      </c>
    </row>
    <row r="106" spans="1:25" x14ac:dyDescent="0.2">
      <c r="A106" s="1">
        <v>1</v>
      </c>
      <c r="B106" s="1">
        <v>1.2</v>
      </c>
      <c r="C106" s="1">
        <v>1</v>
      </c>
      <c r="D106" s="1" t="s">
        <v>485</v>
      </c>
      <c r="E106" s="4">
        <v>45387</v>
      </c>
      <c r="G106" s="6">
        <f>K106+H106</f>
        <v>0.79177083333333342</v>
      </c>
      <c r="H106" s="3">
        <v>0.76597222222222228</v>
      </c>
      <c r="I106" s="3">
        <v>7.6851851851851855E-3</v>
      </c>
      <c r="J106" s="3">
        <f>I106+H106</f>
        <v>0.77365740740740752</v>
      </c>
      <c r="K106" s="6">
        <v>2.5798611111111112E-2</v>
      </c>
      <c r="L106" s="1">
        <v>3</v>
      </c>
      <c r="M106" s="1" t="s">
        <v>13</v>
      </c>
      <c r="N106" s="5" t="s">
        <v>226</v>
      </c>
      <c r="O106" s="1" t="s">
        <v>14</v>
      </c>
      <c r="P106" s="40">
        <v>0.05</v>
      </c>
      <c r="Q106" s="39">
        <v>0.1</v>
      </c>
      <c r="S106" s="1">
        <v>1</v>
      </c>
      <c r="V106" s="1">
        <v>2.4099999999999998E-3</v>
      </c>
      <c r="W106" s="7" t="s">
        <v>384</v>
      </c>
    </row>
    <row r="107" spans="1:25" x14ac:dyDescent="0.2">
      <c r="A107" s="1">
        <v>1</v>
      </c>
      <c r="B107" s="1">
        <v>1.2</v>
      </c>
      <c r="C107" s="1">
        <v>1</v>
      </c>
      <c r="D107" s="1" t="s">
        <v>484</v>
      </c>
      <c r="E107" s="4">
        <v>45388</v>
      </c>
      <c r="G107" s="6">
        <f>K107+H107</f>
        <v>0.78626157407407415</v>
      </c>
      <c r="H107" s="3">
        <v>0.76644675925925931</v>
      </c>
      <c r="I107" s="1" t="s">
        <v>27</v>
      </c>
      <c r="J107" s="1" t="s">
        <v>27</v>
      </c>
      <c r="K107" s="6">
        <v>1.9814814814814816E-2</v>
      </c>
      <c r="L107" s="1">
        <v>3</v>
      </c>
      <c r="M107" s="1" t="s">
        <v>14</v>
      </c>
      <c r="N107" s="5" t="s">
        <v>226</v>
      </c>
      <c r="O107" s="1" t="s">
        <v>14</v>
      </c>
      <c r="P107" s="40">
        <v>0.05</v>
      </c>
      <c r="Q107" s="40">
        <v>0.05</v>
      </c>
      <c r="R107" s="1"/>
      <c r="S107" s="1">
        <v>1</v>
      </c>
      <c r="T107" s="1"/>
      <c r="U107" s="1" t="s">
        <v>153</v>
      </c>
      <c r="V107" s="1">
        <v>9.8099999999999993E-3</v>
      </c>
      <c r="W107" s="7" t="s">
        <v>384</v>
      </c>
    </row>
    <row r="108" spans="1:25" x14ac:dyDescent="0.2">
      <c r="A108" s="1">
        <v>1</v>
      </c>
      <c r="B108" s="1">
        <v>1.2</v>
      </c>
      <c r="C108" s="1" t="s">
        <v>27</v>
      </c>
      <c r="D108" s="1" t="s">
        <v>27</v>
      </c>
      <c r="E108" s="4">
        <v>45388</v>
      </c>
      <c r="G108" s="6" t="s">
        <v>27</v>
      </c>
      <c r="H108" s="1" t="s">
        <v>27</v>
      </c>
      <c r="I108" s="1" t="s">
        <v>27</v>
      </c>
      <c r="J108" s="1" t="s">
        <v>27</v>
      </c>
      <c r="K108" s="6" t="s">
        <v>27</v>
      </c>
      <c r="S108" s="1" t="s">
        <v>27</v>
      </c>
      <c r="V108" s="1" t="s">
        <v>27</v>
      </c>
      <c r="W108" s="1" t="s">
        <v>27</v>
      </c>
      <c r="X108" s="1" t="s">
        <v>27</v>
      </c>
      <c r="Y108" s="1" t="s">
        <v>27</v>
      </c>
    </row>
    <row r="109" spans="1:25" x14ac:dyDescent="0.2">
      <c r="A109" s="1">
        <v>1</v>
      </c>
      <c r="B109" s="1">
        <v>1.2</v>
      </c>
      <c r="C109" s="1">
        <v>1</v>
      </c>
      <c r="D109" s="1" t="s">
        <v>483</v>
      </c>
      <c r="E109" s="4">
        <v>45389</v>
      </c>
      <c r="G109" s="6">
        <f t="shared" ref="G109:G115" si="10">K109+H109</f>
        <v>0.79043981481481473</v>
      </c>
      <c r="H109" s="3">
        <v>0.76728009259259256</v>
      </c>
      <c r="I109" s="3">
        <v>2.9513888888888888E-3</v>
      </c>
      <c r="J109" s="3">
        <f>I109+H109</f>
        <v>0.77023148148148146</v>
      </c>
      <c r="K109" s="6">
        <v>2.3159722222222224E-2</v>
      </c>
      <c r="L109" s="1">
        <v>3</v>
      </c>
      <c r="M109" s="1" t="s">
        <v>14</v>
      </c>
      <c r="N109" s="1">
        <v>3</v>
      </c>
      <c r="O109" s="1" t="s">
        <v>13</v>
      </c>
      <c r="P109" s="40">
        <v>0.05</v>
      </c>
      <c r="Q109" s="40">
        <v>0.05</v>
      </c>
      <c r="R109" s="1"/>
      <c r="S109" s="1">
        <v>0</v>
      </c>
      <c r="T109" s="1"/>
      <c r="U109" s="1" t="s">
        <v>491</v>
      </c>
      <c r="V109" s="1">
        <v>1.73E-3</v>
      </c>
      <c r="W109" s="7" t="s">
        <v>384</v>
      </c>
    </row>
    <row r="110" spans="1:25" x14ac:dyDescent="0.2">
      <c r="A110" s="1">
        <v>1</v>
      </c>
      <c r="B110" s="1">
        <v>1.2</v>
      </c>
      <c r="C110" s="1">
        <v>1</v>
      </c>
      <c r="D110" s="1" t="s">
        <v>476</v>
      </c>
      <c r="E110" s="4">
        <v>45390</v>
      </c>
      <c r="G110" s="6">
        <f t="shared" si="10"/>
        <v>0.79108796296296291</v>
      </c>
      <c r="H110" s="3">
        <v>0.76578703703703699</v>
      </c>
      <c r="I110" s="1" t="s">
        <v>27</v>
      </c>
      <c r="J110" s="1" t="s">
        <v>27</v>
      </c>
      <c r="K110" s="6">
        <v>2.5300925925925925E-2</v>
      </c>
      <c r="L110" s="1">
        <v>3</v>
      </c>
      <c r="M110" s="1" t="s">
        <v>14</v>
      </c>
      <c r="N110" s="1">
        <v>3</v>
      </c>
      <c r="O110" s="1" t="s">
        <v>13</v>
      </c>
      <c r="P110" s="40">
        <v>0.05</v>
      </c>
      <c r="Q110" s="39">
        <v>0.1</v>
      </c>
      <c r="S110" s="1">
        <v>0</v>
      </c>
      <c r="U110" s="1" t="s">
        <v>478</v>
      </c>
      <c r="V110" s="1">
        <v>1.06E-3</v>
      </c>
      <c r="W110" s="7" t="s">
        <v>384</v>
      </c>
    </row>
    <row r="111" spans="1:25" x14ac:dyDescent="0.2">
      <c r="A111" s="1">
        <v>1</v>
      </c>
      <c r="B111" s="1">
        <v>1.2</v>
      </c>
      <c r="C111" s="1">
        <v>1</v>
      </c>
      <c r="D111" s="1" t="s">
        <v>482</v>
      </c>
      <c r="E111" s="4">
        <v>45390</v>
      </c>
      <c r="G111" s="6">
        <f t="shared" si="10"/>
        <v>0.24300925925925926</v>
      </c>
      <c r="H111" s="3">
        <v>0.23207175925925927</v>
      </c>
      <c r="I111" s="1" t="s">
        <v>27</v>
      </c>
      <c r="J111" s="1" t="s">
        <v>27</v>
      </c>
      <c r="K111" s="6">
        <v>1.0937499999999999E-2</v>
      </c>
      <c r="L111" s="1">
        <v>3</v>
      </c>
      <c r="M111" s="1" t="s">
        <v>13</v>
      </c>
      <c r="N111" s="1">
        <v>3</v>
      </c>
      <c r="O111" s="1" t="s">
        <v>13</v>
      </c>
      <c r="P111" s="40">
        <v>0.05</v>
      </c>
      <c r="Q111" s="40">
        <v>0.05</v>
      </c>
      <c r="R111" s="1"/>
      <c r="S111" s="1">
        <v>0</v>
      </c>
      <c r="T111" s="1"/>
      <c r="U111" s="1" t="s">
        <v>283</v>
      </c>
      <c r="V111" s="1">
        <v>5.1599999999999997E-3</v>
      </c>
      <c r="W111" s="7" t="s">
        <v>384</v>
      </c>
    </row>
    <row r="112" spans="1:25" x14ac:dyDescent="0.2">
      <c r="A112" s="1">
        <v>1</v>
      </c>
      <c r="B112" s="1">
        <v>1.2</v>
      </c>
      <c r="C112" s="1">
        <v>2</v>
      </c>
      <c r="D112" s="1" t="s">
        <v>482</v>
      </c>
      <c r="E112" s="4">
        <v>45390</v>
      </c>
      <c r="G112" s="6">
        <f t="shared" si="10"/>
        <v>0.25400462962962966</v>
      </c>
      <c r="H112" s="3">
        <v>0.23207175925925927</v>
      </c>
      <c r="I112" s="3">
        <v>1.4722222222222222E-2</v>
      </c>
      <c r="J112" s="3">
        <f>I112+H112</f>
        <v>0.24679398148148149</v>
      </c>
      <c r="K112" s="6">
        <v>2.193287037037037E-2</v>
      </c>
      <c r="L112" s="1">
        <v>3</v>
      </c>
      <c r="M112" s="1" t="s">
        <v>13</v>
      </c>
      <c r="N112" s="1">
        <v>3</v>
      </c>
      <c r="O112" s="1" t="s">
        <v>14</v>
      </c>
      <c r="P112" s="40">
        <v>0.05</v>
      </c>
      <c r="Q112" s="39">
        <v>0.1</v>
      </c>
      <c r="S112" s="1">
        <v>1</v>
      </c>
      <c r="V112" s="1">
        <v>0.94699999999999995</v>
      </c>
      <c r="W112" s="7" t="s">
        <v>384</v>
      </c>
    </row>
    <row r="113" spans="1:25" x14ac:dyDescent="0.2">
      <c r="A113" s="1">
        <v>1</v>
      </c>
      <c r="B113" s="1">
        <v>1.2</v>
      </c>
      <c r="C113" s="1">
        <v>1</v>
      </c>
      <c r="D113" s="1" t="s">
        <v>473</v>
      </c>
      <c r="E113" s="4">
        <v>45391</v>
      </c>
      <c r="G113" s="6">
        <f t="shared" si="10"/>
        <v>0.25509259259259259</v>
      </c>
      <c r="H113" s="3">
        <v>0.23136574074074073</v>
      </c>
      <c r="I113" s="3">
        <v>3.7152777777777778E-3</v>
      </c>
      <c r="J113" s="3">
        <f>I113+H113</f>
        <v>0.23508101851851851</v>
      </c>
      <c r="K113" s="6">
        <v>2.3726851851851853E-2</v>
      </c>
      <c r="L113" s="1">
        <v>3</v>
      </c>
      <c r="M113" s="1" t="s">
        <v>13</v>
      </c>
      <c r="N113" s="1">
        <v>3</v>
      </c>
      <c r="O113" s="1" t="s">
        <v>13</v>
      </c>
      <c r="P113" s="40">
        <v>0.05</v>
      </c>
      <c r="Q113" s="39">
        <v>0.15</v>
      </c>
      <c r="S113" s="1">
        <v>0</v>
      </c>
      <c r="V113" s="1">
        <v>0.94899999999999995</v>
      </c>
      <c r="W113" s="7" t="s">
        <v>384</v>
      </c>
    </row>
    <row r="114" spans="1:25" x14ac:dyDescent="0.2">
      <c r="A114" s="1">
        <v>1</v>
      </c>
      <c r="B114" s="1">
        <v>1.2</v>
      </c>
      <c r="C114" s="1">
        <v>1</v>
      </c>
      <c r="D114" s="1" t="s">
        <v>497</v>
      </c>
      <c r="E114" s="4">
        <v>45391</v>
      </c>
      <c r="G114" s="6">
        <f t="shared" si="10"/>
        <v>0.78599537037037037</v>
      </c>
      <c r="H114" s="3">
        <v>0.76300925925925922</v>
      </c>
      <c r="I114" s="3">
        <v>6.7129629629629631E-3</v>
      </c>
      <c r="J114" s="3">
        <f>I114+H114</f>
        <v>0.7697222222222222</v>
      </c>
      <c r="K114" s="6">
        <v>2.298611111111111E-2</v>
      </c>
      <c r="L114" s="1">
        <v>3</v>
      </c>
      <c r="M114" s="1" t="s">
        <v>13</v>
      </c>
      <c r="N114" s="5" t="s">
        <v>226</v>
      </c>
      <c r="O114" s="1" t="s">
        <v>14</v>
      </c>
      <c r="P114" s="39">
        <v>0.05</v>
      </c>
      <c r="Q114" s="39">
        <v>0.15</v>
      </c>
      <c r="S114" s="1">
        <v>1</v>
      </c>
      <c r="V114" s="1">
        <v>8.2100000000000003E-3</v>
      </c>
      <c r="W114" s="1" t="s">
        <v>384</v>
      </c>
    </row>
    <row r="115" spans="1:25" x14ac:dyDescent="0.2">
      <c r="A115" s="1">
        <v>1</v>
      </c>
      <c r="B115" s="1">
        <v>1.2</v>
      </c>
      <c r="C115" s="1">
        <v>1</v>
      </c>
      <c r="D115" s="1" t="s">
        <v>73</v>
      </c>
      <c r="E115" s="4">
        <v>45392</v>
      </c>
      <c r="G115" s="6">
        <f t="shared" si="10"/>
        <v>0.23944444444444443</v>
      </c>
      <c r="H115" s="3">
        <v>0.23087962962962963</v>
      </c>
      <c r="I115" s="1" t="s">
        <v>27</v>
      </c>
      <c r="J115" s="1" t="s">
        <v>27</v>
      </c>
      <c r="K115" s="6">
        <v>8.564814814814815E-3</v>
      </c>
      <c r="L115" s="1">
        <v>3</v>
      </c>
      <c r="M115" s="1" t="s">
        <v>14</v>
      </c>
      <c r="N115" s="5" t="s">
        <v>226</v>
      </c>
      <c r="O115" s="1" t="s">
        <v>13</v>
      </c>
      <c r="P115" s="39">
        <v>0.15</v>
      </c>
      <c r="Q115" s="39">
        <v>0.15</v>
      </c>
      <c r="S115" s="1">
        <v>0</v>
      </c>
      <c r="U115" s="1" t="s">
        <v>499</v>
      </c>
      <c r="V115" s="1">
        <v>7.0000000000000001E-3</v>
      </c>
      <c r="W115" s="1" t="s">
        <v>502</v>
      </c>
    </row>
    <row r="116" spans="1:25" x14ac:dyDescent="0.2">
      <c r="A116" s="1">
        <v>1</v>
      </c>
      <c r="B116" s="1">
        <v>1.2</v>
      </c>
      <c r="C116" s="1">
        <v>2</v>
      </c>
      <c r="D116" s="1" t="s">
        <v>73</v>
      </c>
      <c r="E116" s="4">
        <v>45392</v>
      </c>
      <c r="G116" s="6" t="s">
        <v>27</v>
      </c>
      <c r="H116" s="3">
        <v>0.23087962962962963</v>
      </c>
      <c r="I116" s="3">
        <v>9.8842592592592593E-3</v>
      </c>
      <c r="J116" s="3">
        <f>I116+H116</f>
        <v>0.24076388888888889</v>
      </c>
      <c r="K116" s="6" t="s">
        <v>27</v>
      </c>
      <c r="L116" s="1">
        <v>3</v>
      </c>
      <c r="M116" s="1" t="s">
        <v>13</v>
      </c>
      <c r="N116" s="5" t="s">
        <v>226</v>
      </c>
      <c r="O116" s="1" t="s">
        <v>13</v>
      </c>
      <c r="P116" s="39">
        <v>0.15</v>
      </c>
      <c r="Q116" s="39">
        <v>0.15</v>
      </c>
      <c r="S116" s="1" t="s">
        <v>27</v>
      </c>
      <c r="U116" s="1" t="s">
        <v>500</v>
      </c>
      <c r="V116" s="1" t="s">
        <v>27</v>
      </c>
      <c r="W116" s="1" t="s">
        <v>27</v>
      </c>
      <c r="X116" s="1" t="s">
        <v>27</v>
      </c>
      <c r="Y116" s="1" t="s">
        <v>27</v>
      </c>
    </row>
    <row r="117" spans="1:25" x14ac:dyDescent="0.2">
      <c r="A117" s="1">
        <v>1</v>
      </c>
      <c r="B117" s="1">
        <v>1.2</v>
      </c>
      <c r="C117" s="1">
        <v>5</v>
      </c>
      <c r="D117" s="1" t="s">
        <v>72</v>
      </c>
      <c r="E117" s="4">
        <v>45393</v>
      </c>
      <c r="G117" s="6">
        <f t="shared" ref="G117:G126" si="11">K117+H117</f>
        <v>0.27635416666666668</v>
      </c>
      <c r="H117" s="3">
        <v>0.22325231481481481</v>
      </c>
      <c r="K117" s="3">
        <v>5.3101851851851851E-2</v>
      </c>
      <c r="L117" s="1">
        <v>3</v>
      </c>
      <c r="M117" s="1" t="s">
        <v>13</v>
      </c>
      <c r="N117" s="1">
        <v>3</v>
      </c>
      <c r="O117" s="1" t="s">
        <v>13</v>
      </c>
      <c r="P117" s="40">
        <v>0.3</v>
      </c>
      <c r="Q117" s="40">
        <v>0.3</v>
      </c>
      <c r="R117" s="1"/>
      <c r="T117" s="1"/>
    </row>
    <row r="118" spans="1:25" x14ac:dyDescent="0.2">
      <c r="A118" s="1">
        <v>1</v>
      </c>
      <c r="B118" s="1">
        <v>1.2</v>
      </c>
      <c r="C118" s="1">
        <v>4</v>
      </c>
      <c r="D118" s="1" t="s">
        <v>72</v>
      </c>
      <c r="E118" s="4">
        <v>45393</v>
      </c>
      <c r="G118" s="6">
        <f t="shared" si="11"/>
        <v>0.24847222222222221</v>
      </c>
      <c r="H118" s="3">
        <v>0.22325231481481481</v>
      </c>
      <c r="K118" s="3">
        <v>2.5219907407407406E-2</v>
      </c>
      <c r="L118" s="1">
        <v>3</v>
      </c>
      <c r="M118" s="1" t="s">
        <v>13</v>
      </c>
      <c r="N118" s="1">
        <v>3</v>
      </c>
      <c r="O118" s="1" t="s">
        <v>13</v>
      </c>
      <c r="P118" s="40">
        <v>0.3</v>
      </c>
      <c r="Q118" s="40">
        <v>0.3</v>
      </c>
      <c r="R118" s="1"/>
      <c r="T118" s="1"/>
    </row>
    <row r="119" spans="1:25" x14ac:dyDescent="0.2">
      <c r="A119" s="1">
        <v>1</v>
      </c>
      <c r="B119" s="1">
        <v>1.2</v>
      </c>
      <c r="C119" s="1">
        <v>3</v>
      </c>
      <c r="D119" s="1" t="s">
        <v>72</v>
      </c>
      <c r="E119" s="4">
        <v>45393</v>
      </c>
      <c r="G119" s="6">
        <f t="shared" si="11"/>
        <v>0.24243055555555554</v>
      </c>
      <c r="H119" s="3">
        <v>0.22325231481481481</v>
      </c>
      <c r="K119" s="3">
        <v>1.9178240740740742E-2</v>
      </c>
      <c r="L119" s="1">
        <v>3</v>
      </c>
      <c r="M119" s="1" t="s">
        <v>13</v>
      </c>
      <c r="N119" s="1">
        <v>3</v>
      </c>
      <c r="O119" s="1" t="s">
        <v>13</v>
      </c>
      <c r="P119" s="40">
        <v>0.3</v>
      </c>
      <c r="Q119" s="40">
        <v>0.3</v>
      </c>
      <c r="R119" s="1"/>
      <c r="S119" s="1">
        <v>0</v>
      </c>
      <c r="T119" s="1"/>
      <c r="U119" s="1" t="s">
        <v>535</v>
      </c>
    </row>
    <row r="120" spans="1:25" x14ac:dyDescent="0.2">
      <c r="A120" s="1">
        <v>1</v>
      </c>
      <c r="B120" s="1">
        <v>1.2</v>
      </c>
      <c r="C120" s="1">
        <v>2</v>
      </c>
      <c r="D120" s="1" t="s">
        <v>72</v>
      </c>
      <c r="E120" s="4">
        <v>45393</v>
      </c>
      <c r="G120" s="6">
        <f t="shared" si="11"/>
        <v>0.2383912037037037</v>
      </c>
      <c r="H120" s="3">
        <v>0.22325231481481481</v>
      </c>
      <c r="K120" s="3">
        <v>1.5138888888888889E-2</v>
      </c>
      <c r="L120" s="1">
        <v>3</v>
      </c>
      <c r="M120" s="1" t="s">
        <v>13</v>
      </c>
      <c r="N120" s="1">
        <v>3</v>
      </c>
      <c r="O120" s="1" t="s">
        <v>13</v>
      </c>
      <c r="P120" s="40">
        <v>0.3</v>
      </c>
      <c r="Q120" s="40">
        <v>0.3</v>
      </c>
      <c r="R120" s="1"/>
      <c r="S120" s="1">
        <v>0</v>
      </c>
      <c r="T120" s="1"/>
    </row>
    <row r="121" spans="1:25" x14ac:dyDescent="0.2">
      <c r="A121" s="1">
        <v>1</v>
      </c>
      <c r="B121" s="1">
        <v>1.2</v>
      </c>
      <c r="C121" s="1">
        <v>1</v>
      </c>
      <c r="D121" s="1" t="s">
        <v>72</v>
      </c>
      <c r="E121" s="4">
        <v>45393</v>
      </c>
      <c r="G121" s="6">
        <f t="shared" si="11"/>
        <v>0.23265046296296296</v>
      </c>
      <c r="H121" s="3">
        <v>0.22325231481481481</v>
      </c>
      <c r="I121" s="3">
        <v>3.8194444444444443E-3</v>
      </c>
      <c r="K121" s="6">
        <v>9.3981481481481485E-3</v>
      </c>
      <c r="L121" s="1">
        <v>3</v>
      </c>
      <c r="M121" s="1" t="s">
        <v>13</v>
      </c>
      <c r="N121" s="5" t="s">
        <v>226</v>
      </c>
      <c r="O121" s="1" t="s">
        <v>13</v>
      </c>
      <c r="P121" s="39">
        <v>0.15</v>
      </c>
      <c r="Q121" s="39">
        <v>0.15</v>
      </c>
      <c r="S121" s="1">
        <v>0</v>
      </c>
      <c r="U121" s="1" t="s">
        <v>534</v>
      </c>
    </row>
    <row r="122" spans="1:25" ht="153" x14ac:dyDescent="0.2">
      <c r="A122" s="1">
        <v>1</v>
      </c>
      <c r="B122" s="1">
        <v>1.2</v>
      </c>
      <c r="C122" s="1">
        <v>1</v>
      </c>
      <c r="D122" s="1" t="s">
        <v>81</v>
      </c>
      <c r="E122" s="4">
        <v>45393</v>
      </c>
      <c r="G122" s="6">
        <f t="shared" si="11"/>
        <v>0.7855671296296296</v>
      </c>
      <c r="H122" s="3">
        <v>0.76173611111111106</v>
      </c>
      <c r="I122" s="3">
        <v>8.3449074074074068E-3</v>
      </c>
      <c r="J122" s="3">
        <f>K122+H122</f>
        <v>0.7855671296296296</v>
      </c>
      <c r="K122" s="3">
        <v>2.3831018518518519E-2</v>
      </c>
      <c r="L122" s="1">
        <v>3</v>
      </c>
      <c r="M122" s="1" t="s">
        <v>13</v>
      </c>
      <c r="N122" s="5" t="s">
        <v>226</v>
      </c>
      <c r="O122" s="1" t="s">
        <v>14</v>
      </c>
      <c r="P122" s="39">
        <v>0.3</v>
      </c>
      <c r="Q122" s="39">
        <v>0.3</v>
      </c>
      <c r="S122" s="1" t="s">
        <v>27</v>
      </c>
      <c r="U122" s="24" t="s">
        <v>531</v>
      </c>
    </row>
    <row r="123" spans="1:25" x14ac:dyDescent="0.2">
      <c r="A123" s="1">
        <v>1</v>
      </c>
      <c r="B123" s="1">
        <v>1.2</v>
      </c>
      <c r="C123" s="1">
        <v>3</v>
      </c>
      <c r="D123" s="1" t="s">
        <v>80</v>
      </c>
      <c r="E123" s="23">
        <v>45394</v>
      </c>
      <c r="F123" s="23"/>
      <c r="G123" s="6">
        <f t="shared" si="11"/>
        <v>0.27350694444444446</v>
      </c>
      <c r="H123" s="3">
        <v>0.22929398148148147</v>
      </c>
      <c r="I123" s="3">
        <v>2.4722222222222222E-2</v>
      </c>
      <c r="J123" s="3">
        <f>I123+H123</f>
        <v>0.2540162037037037</v>
      </c>
      <c r="K123" s="6">
        <v>4.4212962962962961E-2</v>
      </c>
      <c r="L123" s="1">
        <v>3</v>
      </c>
      <c r="M123" s="1" t="s">
        <v>14</v>
      </c>
      <c r="N123" s="5" t="s">
        <v>226</v>
      </c>
      <c r="O123" s="1" t="s">
        <v>14</v>
      </c>
      <c r="P123" s="39">
        <v>0.3</v>
      </c>
      <c r="Q123" s="39">
        <v>0.3</v>
      </c>
      <c r="S123" s="1">
        <v>1</v>
      </c>
    </row>
    <row r="124" spans="1:25" x14ac:dyDescent="0.2">
      <c r="A124" s="1">
        <v>1</v>
      </c>
      <c r="B124" s="1">
        <v>1.2</v>
      </c>
      <c r="C124" s="1">
        <v>2</v>
      </c>
      <c r="D124" s="1" t="s">
        <v>80</v>
      </c>
      <c r="E124" s="23">
        <v>45394</v>
      </c>
      <c r="F124" s="23"/>
      <c r="G124" s="6">
        <f t="shared" si="11"/>
        <v>0.25049768518518517</v>
      </c>
      <c r="H124" s="3">
        <v>0.22929398148148147</v>
      </c>
      <c r="I124" s="3">
        <v>1.4317129629629629E-2</v>
      </c>
      <c r="J124" s="3">
        <f>I124+H124</f>
        <v>0.24361111111111111</v>
      </c>
      <c r="K124" s="6">
        <v>2.1203703703703704E-2</v>
      </c>
      <c r="L124" s="1">
        <v>3</v>
      </c>
      <c r="M124" s="1" t="s">
        <v>14</v>
      </c>
      <c r="N124" s="5" t="s">
        <v>226</v>
      </c>
      <c r="O124" s="1" t="s">
        <v>14</v>
      </c>
      <c r="P124" s="39">
        <v>0.3</v>
      </c>
      <c r="Q124" s="39">
        <v>0.3</v>
      </c>
      <c r="S124" s="1">
        <v>1</v>
      </c>
    </row>
    <row r="125" spans="1:25" x14ac:dyDescent="0.2">
      <c r="A125" s="1">
        <v>1</v>
      </c>
      <c r="B125" s="1">
        <v>1.2</v>
      </c>
      <c r="C125" s="1">
        <v>1</v>
      </c>
      <c r="D125" s="1" t="s">
        <v>80</v>
      </c>
      <c r="E125" s="23">
        <v>45394</v>
      </c>
      <c r="F125" s="23"/>
      <c r="G125" s="6">
        <f t="shared" si="11"/>
        <v>0.23868055555555553</v>
      </c>
      <c r="H125" s="3">
        <v>0.22929398148148147</v>
      </c>
      <c r="I125" s="3">
        <v>1.0763888888888889E-3</v>
      </c>
      <c r="J125" s="3">
        <f>I125+H125</f>
        <v>0.23037037037037036</v>
      </c>
      <c r="K125" s="6">
        <v>9.3865740740740732E-3</v>
      </c>
      <c r="L125" s="1">
        <v>3</v>
      </c>
      <c r="M125" s="1" t="s">
        <v>14</v>
      </c>
      <c r="N125" s="5" t="s">
        <v>226</v>
      </c>
      <c r="O125" s="1" t="s">
        <v>14</v>
      </c>
      <c r="P125" s="39">
        <v>0.3</v>
      </c>
      <c r="Q125" s="39">
        <v>0.3</v>
      </c>
      <c r="S125" s="1">
        <v>1</v>
      </c>
      <c r="U125" s="1" t="s">
        <v>530</v>
      </c>
    </row>
    <row r="126" spans="1:25" x14ac:dyDescent="0.2">
      <c r="A126" s="1">
        <v>1</v>
      </c>
      <c r="B126" s="1">
        <v>1.2</v>
      </c>
      <c r="C126" s="1">
        <v>1</v>
      </c>
      <c r="D126" s="1" t="s">
        <v>87</v>
      </c>
      <c r="E126" s="23">
        <v>45394</v>
      </c>
      <c r="F126" s="23"/>
      <c r="G126" s="6">
        <f t="shared" si="11"/>
        <v>0.78399305555555554</v>
      </c>
      <c r="H126" s="3">
        <v>0.76060185185185181</v>
      </c>
      <c r="I126" s="3">
        <v>3.1134259259259257E-3</v>
      </c>
      <c r="J126" s="3">
        <f>I126+H126</f>
        <v>0.7637152777777777</v>
      </c>
      <c r="K126" s="6">
        <v>2.3391203703703702E-2</v>
      </c>
      <c r="L126" s="1">
        <v>3</v>
      </c>
      <c r="M126" s="1" t="s">
        <v>14</v>
      </c>
      <c r="N126" s="5" t="s">
        <v>527</v>
      </c>
      <c r="O126" s="1" t="s">
        <v>13</v>
      </c>
      <c r="P126" s="39">
        <v>0.3</v>
      </c>
      <c r="Q126" s="39">
        <v>0.1</v>
      </c>
      <c r="S126" s="1">
        <v>0</v>
      </c>
    </row>
    <row r="127" spans="1:25" x14ac:dyDescent="0.2">
      <c r="A127" s="1">
        <v>1</v>
      </c>
      <c r="B127" s="1">
        <v>1.2</v>
      </c>
      <c r="C127" s="1" t="s">
        <v>27</v>
      </c>
      <c r="D127" s="1" t="s">
        <v>27</v>
      </c>
      <c r="E127" s="4">
        <v>45395</v>
      </c>
      <c r="G127" s="1" t="s">
        <v>27</v>
      </c>
      <c r="H127" s="1" t="s">
        <v>27</v>
      </c>
      <c r="I127" s="1" t="s">
        <v>27</v>
      </c>
      <c r="J127" s="1" t="s">
        <v>27</v>
      </c>
      <c r="K127" s="1" t="s">
        <v>27</v>
      </c>
      <c r="N127" s="1"/>
      <c r="P127" s="40">
        <v>0.15</v>
      </c>
      <c r="Q127" s="40">
        <v>0.15</v>
      </c>
      <c r="R127" s="1"/>
      <c r="S127" s="1" t="s">
        <v>27</v>
      </c>
      <c r="T127" s="1"/>
      <c r="U127" s="1" t="s">
        <v>510</v>
      </c>
      <c r="V127" s="1" t="s">
        <v>27</v>
      </c>
      <c r="W127" s="1" t="s">
        <v>27</v>
      </c>
      <c r="X127" s="1" t="s">
        <v>27</v>
      </c>
      <c r="Y127" s="1" t="s">
        <v>27</v>
      </c>
    </row>
    <row r="128" spans="1:25" x14ac:dyDescent="0.2">
      <c r="A128" s="1">
        <v>1</v>
      </c>
      <c r="B128" s="1">
        <v>1.2</v>
      </c>
      <c r="C128" s="1" t="s">
        <v>27</v>
      </c>
      <c r="D128" s="1" t="s">
        <v>27</v>
      </c>
      <c r="E128" s="4">
        <v>45396</v>
      </c>
      <c r="G128" s="1" t="s">
        <v>27</v>
      </c>
      <c r="H128" s="1" t="s">
        <v>27</v>
      </c>
      <c r="I128" s="1" t="s">
        <v>27</v>
      </c>
      <c r="J128" s="1" t="s">
        <v>27</v>
      </c>
      <c r="K128" s="1" t="s">
        <v>27</v>
      </c>
      <c r="N128" s="1"/>
      <c r="P128" s="40">
        <v>0.15</v>
      </c>
      <c r="Q128" s="40">
        <v>0.15</v>
      </c>
      <c r="R128" s="1"/>
      <c r="S128" s="1" t="s">
        <v>27</v>
      </c>
      <c r="T128" s="1"/>
      <c r="U128" s="1" t="s">
        <v>511</v>
      </c>
      <c r="V128" s="1" t="s">
        <v>27</v>
      </c>
      <c r="W128" s="1" t="s">
        <v>27</v>
      </c>
      <c r="X128" s="1" t="s">
        <v>27</v>
      </c>
      <c r="Y128" s="1" t="s">
        <v>27</v>
      </c>
    </row>
    <row r="129" spans="1:25" x14ac:dyDescent="0.2">
      <c r="A129" s="1">
        <v>1</v>
      </c>
      <c r="B129" s="1">
        <v>1.2</v>
      </c>
      <c r="C129" s="1" t="s">
        <v>27</v>
      </c>
      <c r="D129" s="1" t="s">
        <v>164</v>
      </c>
      <c r="E129" s="23">
        <v>45396</v>
      </c>
      <c r="F129" s="23"/>
      <c r="G129" s="6" t="s">
        <v>27</v>
      </c>
      <c r="H129" s="1" t="s">
        <v>27</v>
      </c>
      <c r="I129" s="1" t="s">
        <v>27</v>
      </c>
      <c r="J129" s="1" t="s">
        <v>27</v>
      </c>
      <c r="K129" s="6" t="s">
        <v>27</v>
      </c>
      <c r="L129" s="1">
        <v>3</v>
      </c>
      <c r="M129" s="1" t="s">
        <v>14</v>
      </c>
      <c r="N129" s="5" t="s">
        <v>226</v>
      </c>
      <c r="O129" s="1" t="s">
        <v>13</v>
      </c>
      <c r="P129" s="39">
        <v>0.1</v>
      </c>
      <c r="Q129" s="39">
        <v>0.3</v>
      </c>
      <c r="S129" s="1" t="s">
        <v>27</v>
      </c>
      <c r="U129" s="1" t="s">
        <v>525</v>
      </c>
      <c r="V129" s="1" t="s">
        <v>27</v>
      </c>
      <c r="W129" s="1" t="s">
        <v>27</v>
      </c>
      <c r="X129" s="1" t="s">
        <v>27</v>
      </c>
      <c r="Y129" s="1" t="s">
        <v>27</v>
      </c>
    </row>
    <row r="130" spans="1:25" x14ac:dyDescent="0.2">
      <c r="A130" s="1">
        <v>1</v>
      </c>
      <c r="B130" s="1">
        <v>1.2</v>
      </c>
      <c r="C130" s="1" t="s">
        <v>27</v>
      </c>
      <c r="D130" s="1" t="s">
        <v>88</v>
      </c>
      <c r="E130" s="23">
        <v>45397</v>
      </c>
      <c r="F130" s="23"/>
      <c r="G130" s="6" t="s">
        <v>27</v>
      </c>
      <c r="H130" s="1" t="s">
        <v>27</v>
      </c>
      <c r="I130" s="1" t="s">
        <v>27</v>
      </c>
      <c r="J130" s="1" t="s">
        <v>27</v>
      </c>
      <c r="K130" s="6" t="s">
        <v>27</v>
      </c>
      <c r="L130" s="1">
        <v>3</v>
      </c>
      <c r="M130" s="1" t="s">
        <v>13</v>
      </c>
      <c r="N130" s="5" t="s">
        <v>226</v>
      </c>
      <c r="O130" s="1" t="s">
        <v>13</v>
      </c>
      <c r="P130" s="39">
        <v>0.3</v>
      </c>
      <c r="Q130" s="39">
        <v>0.3</v>
      </c>
      <c r="S130" s="1" t="s">
        <v>27</v>
      </c>
      <c r="U130" s="1" t="s">
        <v>526</v>
      </c>
      <c r="V130" s="1" t="s">
        <v>27</v>
      </c>
      <c r="W130" s="1" t="s">
        <v>27</v>
      </c>
      <c r="X130" s="1" t="s">
        <v>27</v>
      </c>
      <c r="Y130" s="1" t="s">
        <v>27</v>
      </c>
    </row>
    <row r="131" spans="1:25" x14ac:dyDescent="0.2">
      <c r="A131" s="1">
        <v>1</v>
      </c>
      <c r="B131" s="1">
        <v>1.3</v>
      </c>
      <c r="C131" s="1" t="s">
        <v>27</v>
      </c>
      <c r="D131" s="1" t="s">
        <v>92</v>
      </c>
      <c r="E131" s="4">
        <v>45397</v>
      </c>
      <c r="G131" s="6" t="s">
        <v>27</v>
      </c>
      <c r="H131" s="3">
        <v>0.76298611111111114</v>
      </c>
      <c r="I131" s="6" t="s">
        <v>27</v>
      </c>
      <c r="J131" s="1" t="s">
        <v>27</v>
      </c>
      <c r="K131" s="15" t="s">
        <v>27</v>
      </c>
      <c r="L131" s="15">
        <v>1</v>
      </c>
      <c r="M131" s="15" t="s">
        <v>13</v>
      </c>
      <c r="N131" s="25" t="s">
        <v>547</v>
      </c>
      <c r="O131" s="15" t="s">
        <v>13</v>
      </c>
      <c r="P131" s="39">
        <v>0.3</v>
      </c>
      <c r="Q131" s="39">
        <v>0.3</v>
      </c>
      <c r="S131" s="15" t="s">
        <v>27</v>
      </c>
      <c r="U131" s="1" t="s">
        <v>548</v>
      </c>
      <c r="V131" s="1" t="s">
        <v>27</v>
      </c>
      <c r="W131" s="1" t="s">
        <v>27</v>
      </c>
      <c r="X131" s="1" t="s">
        <v>27</v>
      </c>
      <c r="Y131" s="1" t="s">
        <v>27</v>
      </c>
    </row>
    <row r="132" spans="1:25" x14ac:dyDescent="0.2">
      <c r="A132" s="1">
        <v>1</v>
      </c>
      <c r="B132" s="1">
        <v>1.3</v>
      </c>
      <c r="C132" s="1" t="s">
        <v>27</v>
      </c>
      <c r="D132" s="1" t="s">
        <v>93</v>
      </c>
      <c r="E132" s="4">
        <v>45398</v>
      </c>
      <c r="G132" s="6" t="s">
        <v>27</v>
      </c>
      <c r="H132" s="3">
        <v>0.22712962962962963</v>
      </c>
      <c r="I132" s="6" t="s">
        <v>27</v>
      </c>
      <c r="J132" s="1" t="s">
        <v>27</v>
      </c>
      <c r="K132" s="1" t="s">
        <v>27</v>
      </c>
      <c r="L132" s="1">
        <v>1</v>
      </c>
      <c r="M132" s="1" t="s">
        <v>13</v>
      </c>
      <c r="N132" s="5" t="s">
        <v>547</v>
      </c>
      <c r="O132" s="1" t="s">
        <v>13</v>
      </c>
      <c r="P132" s="39">
        <v>0.3</v>
      </c>
      <c r="Q132" s="39">
        <v>0.3</v>
      </c>
      <c r="S132" s="1" t="s">
        <v>27</v>
      </c>
      <c r="U132" s="1" t="s">
        <v>66</v>
      </c>
      <c r="V132" s="1" t="s">
        <v>27</v>
      </c>
      <c r="W132" s="1" t="s">
        <v>27</v>
      </c>
      <c r="X132" s="1" t="s">
        <v>27</v>
      </c>
      <c r="Y132" s="1" t="s">
        <v>27</v>
      </c>
    </row>
    <row r="133" spans="1:25" x14ac:dyDescent="0.2">
      <c r="A133" s="1">
        <v>1</v>
      </c>
      <c r="B133" s="1">
        <v>1.3</v>
      </c>
      <c r="C133" s="1" t="s">
        <v>27</v>
      </c>
      <c r="D133" s="1" t="s">
        <v>97</v>
      </c>
      <c r="E133" s="4">
        <v>45398</v>
      </c>
      <c r="G133" s="6" t="s">
        <v>27</v>
      </c>
      <c r="H133" s="3">
        <v>0.75630787037037039</v>
      </c>
      <c r="I133" s="6" t="s">
        <v>27</v>
      </c>
      <c r="J133" s="1" t="s">
        <v>27</v>
      </c>
      <c r="K133" s="15" t="s">
        <v>27</v>
      </c>
      <c r="L133" s="15">
        <v>1</v>
      </c>
      <c r="M133" s="15" t="s">
        <v>13</v>
      </c>
      <c r="N133" s="25" t="s">
        <v>547</v>
      </c>
      <c r="O133" s="15" t="s">
        <v>13</v>
      </c>
      <c r="P133" s="39">
        <v>0.3</v>
      </c>
      <c r="Q133" s="39">
        <v>0.3</v>
      </c>
      <c r="S133" s="15" t="s">
        <v>27</v>
      </c>
      <c r="U133" s="1" t="s">
        <v>549</v>
      </c>
      <c r="V133" s="1" t="s">
        <v>27</v>
      </c>
      <c r="W133" s="1" t="s">
        <v>27</v>
      </c>
      <c r="X133" s="1" t="s">
        <v>27</v>
      </c>
      <c r="Y133" s="1" t="s">
        <v>27</v>
      </c>
    </row>
    <row r="134" spans="1:25" x14ac:dyDescent="0.2">
      <c r="A134" s="1">
        <v>1</v>
      </c>
      <c r="B134" s="1">
        <v>1.3</v>
      </c>
      <c r="C134" s="1" t="s">
        <v>27</v>
      </c>
      <c r="D134" s="1" t="s">
        <v>545</v>
      </c>
      <c r="E134" s="4">
        <v>45399</v>
      </c>
      <c r="G134" s="6" t="s">
        <v>27</v>
      </c>
      <c r="H134" s="6">
        <v>0.22869212962962962</v>
      </c>
      <c r="I134" s="6" t="s">
        <v>27</v>
      </c>
      <c r="J134" s="1" t="s">
        <v>27</v>
      </c>
      <c r="K134" s="1" t="s">
        <v>27</v>
      </c>
      <c r="L134" s="1">
        <v>1</v>
      </c>
      <c r="M134" s="1" t="s">
        <v>13</v>
      </c>
      <c r="N134" s="5" t="s">
        <v>547</v>
      </c>
      <c r="O134" s="1" t="s">
        <v>13</v>
      </c>
      <c r="P134" s="39">
        <v>0.3</v>
      </c>
      <c r="Q134" s="39">
        <v>0.3</v>
      </c>
      <c r="S134" s="1" t="s">
        <v>27</v>
      </c>
      <c r="U134" s="1" t="s">
        <v>546</v>
      </c>
      <c r="V134" s="1" t="s">
        <v>27</v>
      </c>
      <c r="W134" s="1" t="s">
        <v>27</v>
      </c>
      <c r="X134" s="1" t="s">
        <v>27</v>
      </c>
      <c r="Y134" s="1" t="s">
        <v>27</v>
      </c>
    </row>
    <row r="135" spans="1:25" x14ac:dyDescent="0.2">
      <c r="A135" s="1">
        <v>1</v>
      </c>
      <c r="B135" s="1" t="s">
        <v>551</v>
      </c>
      <c r="C135" s="1">
        <v>1</v>
      </c>
      <c r="D135" s="1" t="s">
        <v>550</v>
      </c>
      <c r="E135" s="4">
        <v>45399</v>
      </c>
      <c r="F135" s="4" t="s">
        <v>669</v>
      </c>
      <c r="G135" s="6">
        <f>K135+H135</f>
        <v>0.78700231481481486</v>
      </c>
      <c r="H135" s="3">
        <v>0.75390046296296298</v>
      </c>
      <c r="I135" s="26">
        <v>2.9502314814814815E-2</v>
      </c>
      <c r="J135" s="3">
        <f>I135+H135</f>
        <v>0.78340277777777778</v>
      </c>
      <c r="K135" s="6">
        <v>3.3101851851851855E-2</v>
      </c>
      <c r="L135" s="1">
        <v>1</v>
      </c>
      <c r="M135" s="1" t="s">
        <v>13</v>
      </c>
      <c r="N135" s="5" t="s">
        <v>547</v>
      </c>
      <c r="O135" s="1" t="s">
        <v>13</v>
      </c>
      <c r="P135" s="39">
        <v>0.3</v>
      </c>
      <c r="Q135" s="39">
        <v>0.3</v>
      </c>
      <c r="S135" s="1">
        <v>1</v>
      </c>
      <c r="U135" s="1" t="s">
        <v>553</v>
      </c>
      <c r="V135" s="1" t="s">
        <v>27</v>
      </c>
      <c r="W135" s="1" t="s">
        <v>541</v>
      </c>
    </row>
    <row r="136" spans="1:25" x14ac:dyDescent="0.2">
      <c r="A136" s="1">
        <v>1</v>
      </c>
      <c r="B136" s="1" t="s">
        <v>552</v>
      </c>
      <c r="C136" s="1" t="s">
        <v>27</v>
      </c>
      <c r="D136" s="1" t="s">
        <v>550</v>
      </c>
      <c r="E136" s="4">
        <v>45399</v>
      </c>
      <c r="F136" s="4" t="s">
        <v>669</v>
      </c>
      <c r="G136" s="6" t="s">
        <v>27</v>
      </c>
      <c r="H136" s="15" t="s">
        <v>27</v>
      </c>
      <c r="I136" s="15" t="s">
        <v>27</v>
      </c>
      <c r="J136" s="15" t="s">
        <v>27</v>
      </c>
      <c r="K136" s="6" t="s">
        <v>27</v>
      </c>
      <c r="L136" s="15">
        <v>1</v>
      </c>
      <c r="M136" s="1" t="s">
        <v>14</v>
      </c>
      <c r="N136" s="5" t="s">
        <v>547</v>
      </c>
      <c r="O136" s="1" t="s">
        <v>14</v>
      </c>
      <c r="P136" s="41">
        <v>0.3</v>
      </c>
      <c r="Q136" s="41">
        <v>0.3</v>
      </c>
      <c r="R136" s="22"/>
      <c r="S136" s="1" t="s">
        <v>27</v>
      </c>
      <c r="T136" s="22"/>
      <c r="U136" s="1" t="s">
        <v>554</v>
      </c>
      <c r="V136" s="1" t="s">
        <v>27</v>
      </c>
      <c r="W136" s="1" t="s">
        <v>27</v>
      </c>
      <c r="X136" s="1" t="s">
        <v>27</v>
      </c>
      <c r="Y136" s="1" t="s">
        <v>27</v>
      </c>
    </row>
    <row r="137" spans="1:25" x14ac:dyDescent="0.2">
      <c r="A137" s="1">
        <v>1</v>
      </c>
      <c r="B137" s="1" t="s">
        <v>551</v>
      </c>
      <c r="C137" s="1">
        <v>1</v>
      </c>
      <c r="D137" s="1" t="s">
        <v>120</v>
      </c>
      <c r="E137" s="4">
        <v>45400</v>
      </c>
      <c r="F137" s="4" t="s">
        <v>669</v>
      </c>
      <c r="G137" s="6">
        <f t="shared" ref="G137:G147" si="12">K137+H137</f>
        <v>0.24857638888888889</v>
      </c>
      <c r="H137" s="3">
        <v>0.22273148148148147</v>
      </c>
      <c r="I137" s="3">
        <v>6.9444444444444441E-3</v>
      </c>
      <c r="J137" s="3">
        <f>I137+H137</f>
        <v>0.22967592592592592</v>
      </c>
      <c r="K137" s="6">
        <v>2.5844907407407407E-2</v>
      </c>
      <c r="L137" s="1">
        <v>1</v>
      </c>
      <c r="M137" s="1" t="s">
        <v>13</v>
      </c>
      <c r="N137" s="5" t="s">
        <v>547</v>
      </c>
      <c r="O137" s="1" t="s">
        <v>13</v>
      </c>
      <c r="P137" s="39">
        <v>0.1</v>
      </c>
      <c r="Q137" s="39">
        <v>0.1</v>
      </c>
      <c r="S137" s="1">
        <v>1</v>
      </c>
      <c r="V137" s="1" t="s">
        <v>27</v>
      </c>
      <c r="W137" s="1" t="s">
        <v>541</v>
      </c>
    </row>
    <row r="138" spans="1:25" x14ac:dyDescent="0.2">
      <c r="A138" s="1">
        <v>1</v>
      </c>
      <c r="B138" s="1" t="s">
        <v>552</v>
      </c>
      <c r="C138" s="1">
        <v>1</v>
      </c>
      <c r="D138" s="1" t="s">
        <v>120</v>
      </c>
      <c r="E138" s="4">
        <v>45400</v>
      </c>
      <c r="F138" s="4" t="s">
        <v>669</v>
      </c>
      <c r="G138" s="6">
        <f t="shared" si="12"/>
        <v>0.26263888888888887</v>
      </c>
      <c r="H138" s="3">
        <v>0.22273148148148147</v>
      </c>
      <c r="I138" s="3">
        <v>2.4525462962962964E-2</v>
      </c>
      <c r="J138" s="3">
        <f>I138+H138</f>
        <v>0.24725694444444443</v>
      </c>
      <c r="K138" s="6">
        <v>3.9907407407407405E-2</v>
      </c>
      <c r="L138" s="15">
        <v>1</v>
      </c>
      <c r="M138" s="1" t="s">
        <v>14</v>
      </c>
      <c r="N138" s="5" t="s">
        <v>547</v>
      </c>
      <c r="O138" s="1" t="s">
        <v>14</v>
      </c>
      <c r="P138" s="39">
        <v>0.1</v>
      </c>
      <c r="Q138" s="39">
        <v>0.1</v>
      </c>
      <c r="S138" s="1">
        <v>1</v>
      </c>
      <c r="V138" s="1" t="s">
        <v>27</v>
      </c>
      <c r="W138" s="1" t="s">
        <v>541</v>
      </c>
    </row>
    <row r="139" spans="1:25" x14ac:dyDescent="0.2">
      <c r="A139" s="1">
        <v>1</v>
      </c>
      <c r="B139" s="1" t="s">
        <v>551</v>
      </c>
      <c r="C139" s="1">
        <v>1</v>
      </c>
      <c r="D139" s="1" t="s">
        <v>262</v>
      </c>
      <c r="E139" s="4">
        <v>45400</v>
      </c>
      <c r="F139" s="4" t="s">
        <v>669</v>
      </c>
      <c r="G139" s="6">
        <f t="shared" si="12"/>
        <v>0.78427083333333336</v>
      </c>
      <c r="H139" s="3">
        <v>0.76255787037037037</v>
      </c>
      <c r="I139" s="3">
        <v>1.9479166666666665E-2</v>
      </c>
      <c r="J139" s="3">
        <f>I139+H139</f>
        <v>0.78203703703703709</v>
      </c>
      <c r="K139" s="6">
        <v>2.1712962962962962E-2</v>
      </c>
      <c r="L139" s="1">
        <v>1</v>
      </c>
      <c r="M139" s="1" t="s">
        <v>14</v>
      </c>
      <c r="N139" s="5" t="s">
        <v>547</v>
      </c>
      <c r="O139" s="1" t="s">
        <v>14</v>
      </c>
      <c r="P139" s="39">
        <v>0.05</v>
      </c>
      <c r="Q139" s="39">
        <v>0.05</v>
      </c>
      <c r="S139" s="1">
        <v>1</v>
      </c>
      <c r="V139" s="1" t="s">
        <v>27</v>
      </c>
      <c r="W139" s="1" t="s">
        <v>541</v>
      </c>
    </row>
    <row r="140" spans="1:25" x14ac:dyDescent="0.2">
      <c r="A140" s="1">
        <v>1</v>
      </c>
      <c r="B140" s="1" t="s">
        <v>552</v>
      </c>
      <c r="C140" s="1">
        <v>1</v>
      </c>
      <c r="D140" s="1" t="s">
        <v>262</v>
      </c>
      <c r="E140" s="4">
        <v>45400</v>
      </c>
      <c r="F140" s="4" t="s">
        <v>669</v>
      </c>
      <c r="G140" s="6">
        <f t="shared" si="12"/>
        <v>0.78964120370370372</v>
      </c>
      <c r="H140" s="3">
        <v>0.76255787037037037</v>
      </c>
      <c r="I140" s="3">
        <v>1.7824074074074076E-2</v>
      </c>
      <c r="J140" s="3">
        <f>I140+H140</f>
        <v>0.78038194444444442</v>
      </c>
      <c r="K140" s="6">
        <v>2.7083333333333334E-2</v>
      </c>
      <c r="L140" s="1">
        <v>1</v>
      </c>
      <c r="M140" s="1" t="s">
        <v>13</v>
      </c>
      <c r="N140" s="5" t="s">
        <v>547</v>
      </c>
      <c r="O140" s="1" t="s">
        <v>13</v>
      </c>
      <c r="P140" s="39">
        <v>0.05</v>
      </c>
      <c r="Q140" s="39">
        <v>0.05</v>
      </c>
      <c r="S140" s="1">
        <v>1</v>
      </c>
      <c r="V140" s="1" t="s">
        <v>27</v>
      </c>
      <c r="W140" s="1" t="s">
        <v>541</v>
      </c>
    </row>
    <row r="141" spans="1:25" x14ac:dyDescent="0.2">
      <c r="A141" s="1">
        <v>1</v>
      </c>
      <c r="B141" s="1" t="s">
        <v>551</v>
      </c>
      <c r="C141" s="1">
        <v>1</v>
      </c>
      <c r="D141" s="1" t="s">
        <v>557</v>
      </c>
      <c r="E141" s="4">
        <v>45401</v>
      </c>
      <c r="F141" s="4" t="s">
        <v>669</v>
      </c>
      <c r="G141" s="6">
        <f t="shared" si="12"/>
        <v>0.23703703703703705</v>
      </c>
      <c r="H141" s="3">
        <v>0.22218750000000001</v>
      </c>
      <c r="I141" s="1" t="s">
        <v>27</v>
      </c>
      <c r="J141" s="1" t="s">
        <v>27</v>
      </c>
      <c r="K141" s="6">
        <v>1.4849537037037038E-2</v>
      </c>
      <c r="L141" s="1">
        <v>1</v>
      </c>
      <c r="M141" s="1" t="s">
        <v>14</v>
      </c>
      <c r="N141" s="5" t="s">
        <v>547</v>
      </c>
      <c r="O141" s="1" t="s">
        <v>14</v>
      </c>
      <c r="P141" s="39">
        <v>0.05</v>
      </c>
      <c r="Q141" s="39">
        <v>0.05</v>
      </c>
      <c r="S141" s="1">
        <v>1</v>
      </c>
      <c r="U141" s="1" t="s">
        <v>499</v>
      </c>
      <c r="V141" s="1" t="s">
        <v>27</v>
      </c>
      <c r="W141" s="1" t="s">
        <v>541</v>
      </c>
    </row>
    <row r="142" spans="1:25" x14ac:dyDescent="0.2">
      <c r="A142" s="1">
        <v>1</v>
      </c>
      <c r="B142" s="1" t="s">
        <v>551</v>
      </c>
      <c r="C142" s="1">
        <v>2</v>
      </c>
      <c r="D142" s="1" t="s">
        <v>557</v>
      </c>
      <c r="E142" s="4">
        <v>45401</v>
      </c>
      <c r="F142" s="4" t="s">
        <v>669</v>
      </c>
      <c r="G142" s="6">
        <f t="shared" si="12"/>
        <v>0.24986111111111112</v>
      </c>
      <c r="H142" s="3">
        <v>0.22218750000000001</v>
      </c>
      <c r="I142" s="3">
        <v>1.6643518518518519E-2</v>
      </c>
      <c r="J142" s="3">
        <f>I142+H142</f>
        <v>0.23883101851851854</v>
      </c>
      <c r="K142" s="6">
        <v>2.7673611111111111E-2</v>
      </c>
      <c r="L142" s="28">
        <v>1</v>
      </c>
      <c r="M142" s="1" t="s">
        <v>14</v>
      </c>
      <c r="N142" s="29" t="s">
        <v>547</v>
      </c>
      <c r="O142" s="1" t="s">
        <v>14</v>
      </c>
      <c r="P142" s="39">
        <v>0.05</v>
      </c>
      <c r="Q142" s="39">
        <v>0.05</v>
      </c>
      <c r="S142" s="1">
        <v>1</v>
      </c>
      <c r="V142" s="1" t="s">
        <v>27</v>
      </c>
      <c r="W142" s="1" t="s">
        <v>541</v>
      </c>
    </row>
    <row r="143" spans="1:25" x14ac:dyDescent="0.2">
      <c r="A143" s="1">
        <v>1</v>
      </c>
      <c r="B143" s="1" t="s">
        <v>552</v>
      </c>
      <c r="C143" s="1">
        <v>1</v>
      </c>
      <c r="D143" s="1" t="s">
        <v>557</v>
      </c>
      <c r="E143" s="4">
        <v>45401</v>
      </c>
      <c r="F143" s="4" t="s">
        <v>669</v>
      </c>
      <c r="G143" s="6">
        <f t="shared" si="12"/>
        <v>0.25265046296296295</v>
      </c>
      <c r="H143" s="3">
        <v>0.22218750000000001</v>
      </c>
      <c r="I143" s="3">
        <v>1.9166666666666665E-2</v>
      </c>
      <c r="J143" s="3">
        <f>I143+H143</f>
        <v>0.24135416666666668</v>
      </c>
      <c r="K143" s="6">
        <v>3.0462962962962963E-2</v>
      </c>
      <c r="L143" s="28">
        <v>1</v>
      </c>
      <c r="M143" s="1" t="s">
        <v>13</v>
      </c>
      <c r="N143" s="29" t="s">
        <v>547</v>
      </c>
      <c r="O143" s="1" t="s">
        <v>13</v>
      </c>
      <c r="P143" s="39">
        <v>0.05</v>
      </c>
      <c r="Q143" s="39">
        <v>0.05</v>
      </c>
      <c r="S143" s="1">
        <v>1</v>
      </c>
      <c r="V143" s="1" t="s">
        <v>27</v>
      </c>
      <c r="W143" s="15" t="s">
        <v>541</v>
      </c>
    </row>
    <row r="144" spans="1:25" x14ac:dyDescent="0.2">
      <c r="A144" s="1">
        <v>1</v>
      </c>
      <c r="B144" s="1" t="s">
        <v>551</v>
      </c>
      <c r="C144" s="1">
        <v>1</v>
      </c>
      <c r="D144" s="1" t="s">
        <v>263</v>
      </c>
      <c r="E144" s="4">
        <v>45401</v>
      </c>
      <c r="F144" s="31" t="s">
        <v>671</v>
      </c>
      <c r="G144" s="6">
        <f t="shared" si="12"/>
        <v>0.78755787037037028</v>
      </c>
      <c r="H144" s="3">
        <v>0.76921296296296293</v>
      </c>
      <c r="I144" s="3">
        <v>1.0173611111111111E-2</v>
      </c>
      <c r="J144" s="3">
        <f>I144+H144</f>
        <v>0.77938657407407408</v>
      </c>
      <c r="K144" s="6">
        <v>1.8344907407407407E-2</v>
      </c>
      <c r="L144" s="1">
        <v>2</v>
      </c>
      <c r="M144" s="1" t="s">
        <v>14</v>
      </c>
      <c r="N144" s="5" t="s">
        <v>527</v>
      </c>
      <c r="O144" s="1" t="s">
        <v>13</v>
      </c>
      <c r="P144" s="39">
        <v>0.05</v>
      </c>
      <c r="Q144" s="39">
        <v>0.05</v>
      </c>
      <c r="S144" s="1">
        <v>0</v>
      </c>
      <c r="U144" s="1" t="s">
        <v>561</v>
      </c>
      <c r="V144" s="1" t="s">
        <v>27</v>
      </c>
      <c r="W144" s="15" t="s">
        <v>541</v>
      </c>
    </row>
    <row r="145" spans="1:23" x14ac:dyDescent="0.2">
      <c r="A145" s="1">
        <v>1</v>
      </c>
      <c r="B145" s="1" t="s">
        <v>552</v>
      </c>
      <c r="C145" s="1">
        <v>1</v>
      </c>
      <c r="D145" s="1" t="s">
        <v>263</v>
      </c>
      <c r="E145" s="4">
        <v>45401</v>
      </c>
      <c r="F145" s="31" t="s">
        <v>669</v>
      </c>
      <c r="G145" s="6">
        <f t="shared" si="12"/>
        <v>0.78535879629629624</v>
      </c>
      <c r="H145" s="3">
        <v>0.76921296296296293</v>
      </c>
      <c r="I145" s="3">
        <v>6.4467592592592588E-3</v>
      </c>
      <c r="J145" s="3">
        <f>I145+H145</f>
        <v>0.77565972222222224</v>
      </c>
      <c r="K145" s="6">
        <v>1.6145833333333335E-2</v>
      </c>
      <c r="L145" s="1">
        <v>2</v>
      </c>
      <c r="M145" s="1" t="s">
        <v>13</v>
      </c>
      <c r="N145" s="5" t="s">
        <v>527</v>
      </c>
      <c r="O145" s="1" t="s">
        <v>14</v>
      </c>
      <c r="P145" s="39">
        <v>0.05</v>
      </c>
      <c r="Q145" s="39">
        <v>0.05</v>
      </c>
      <c r="S145" s="1">
        <v>1</v>
      </c>
      <c r="V145" s="1" t="s">
        <v>27</v>
      </c>
      <c r="W145" s="15" t="s">
        <v>541</v>
      </c>
    </row>
    <row r="146" spans="1:23" x14ac:dyDescent="0.2">
      <c r="A146" s="1">
        <v>1</v>
      </c>
      <c r="B146" s="1" t="s">
        <v>552</v>
      </c>
      <c r="C146" s="1">
        <v>1</v>
      </c>
      <c r="D146" s="1" t="s">
        <v>119</v>
      </c>
      <c r="E146" s="4">
        <v>45402</v>
      </c>
      <c r="F146" s="31" t="s">
        <v>669</v>
      </c>
      <c r="G146" s="6">
        <f t="shared" si="12"/>
        <v>0.24453703703703705</v>
      </c>
      <c r="H146" s="3">
        <v>0.21969907407407407</v>
      </c>
      <c r="I146" s="3">
        <v>1.337962962962963E-2</v>
      </c>
      <c r="J146" s="3">
        <f>I146+H146</f>
        <v>0.2330787037037037</v>
      </c>
      <c r="K146" s="6">
        <v>2.4837962962962964E-2</v>
      </c>
      <c r="L146" s="1">
        <v>2</v>
      </c>
      <c r="M146" s="1" t="s">
        <v>14</v>
      </c>
      <c r="N146" s="5" t="s">
        <v>527</v>
      </c>
      <c r="O146" s="1" t="s">
        <v>14</v>
      </c>
      <c r="P146" s="39">
        <v>0.05</v>
      </c>
      <c r="Q146" s="39">
        <v>0.05</v>
      </c>
      <c r="S146" s="1">
        <v>1</v>
      </c>
      <c r="U146" s="1" t="s">
        <v>562</v>
      </c>
      <c r="V146" s="1" t="s">
        <v>27</v>
      </c>
      <c r="W146" s="15" t="s">
        <v>541</v>
      </c>
    </row>
    <row r="147" spans="1:23" x14ac:dyDescent="0.2">
      <c r="A147" s="1">
        <v>1</v>
      </c>
      <c r="B147" s="1" t="s">
        <v>551</v>
      </c>
      <c r="C147" s="1">
        <v>1</v>
      </c>
      <c r="D147" s="1" t="s">
        <v>119</v>
      </c>
      <c r="E147" s="4">
        <v>45402</v>
      </c>
      <c r="F147" s="31" t="s">
        <v>671</v>
      </c>
      <c r="G147" s="6">
        <f t="shared" si="12"/>
        <v>0.24439814814814814</v>
      </c>
      <c r="H147" s="3">
        <v>0.21969907407407407</v>
      </c>
      <c r="I147" s="1" t="s">
        <v>27</v>
      </c>
      <c r="J147" s="1" t="s">
        <v>27</v>
      </c>
      <c r="K147" s="6">
        <v>2.4699074074074075E-2</v>
      </c>
      <c r="L147" s="1">
        <v>2</v>
      </c>
      <c r="M147" s="1" t="s">
        <v>13</v>
      </c>
      <c r="N147" s="5" t="s">
        <v>527</v>
      </c>
      <c r="O147" s="1" t="s">
        <v>13</v>
      </c>
      <c r="P147" s="39">
        <v>0.05</v>
      </c>
      <c r="Q147" s="39">
        <v>0.05</v>
      </c>
      <c r="S147" s="1">
        <v>1</v>
      </c>
      <c r="U147" s="1" t="s">
        <v>499</v>
      </c>
      <c r="V147" s="1" t="s">
        <v>27</v>
      </c>
      <c r="W147" s="15" t="s">
        <v>541</v>
      </c>
    </row>
    <row r="148" spans="1:23" x14ac:dyDescent="0.2">
      <c r="A148" s="1">
        <v>1</v>
      </c>
      <c r="B148" s="1" t="s">
        <v>552</v>
      </c>
      <c r="C148" s="1">
        <v>2</v>
      </c>
      <c r="D148" s="1" t="s">
        <v>119</v>
      </c>
      <c r="E148" s="23">
        <v>45402</v>
      </c>
      <c r="F148" s="31" t="s">
        <v>669</v>
      </c>
      <c r="G148" s="6" t="s">
        <v>27</v>
      </c>
      <c r="H148" s="3">
        <v>0.21969907407407407</v>
      </c>
      <c r="I148" s="3">
        <v>2.7604166666666666E-2</v>
      </c>
      <c r="J148" s="3">
        <f>I148+H148</f>
        <v>0.24730324074074073</v>
      </c>
      <c r="K148" s="6" t="s">
        <v>27</v>
      </c>
      <c r="L148" s="1">
        <v>2</v>
      </c>
      <c r="M148" s="1" t="s">
        <v>14</v>
      </c>
      <c r="N148" s="5" t="s">
        <v>527</v>
      </c>
      <c r="O148" s="1" t="s">
        <v>13</v>
      </c>
      <c r="P148" s="39">
        <v>0.05</v>
      </c>
      <c r="Q148" s="39">
        <v>0.05</v>
      </c>
      <c r="S148" s="1" t="s">
        <v>27</v>
      </c>
      <c r="U148" s="1" t="s">
        <v>563</v>
      </c>
      <c r="V148" s="1" t="s">
        <v>27</v>
      </c>
      <c r="W148" s="15" t="s">
        <v>541</v>
      </c>
    </row>
    <row r="149" spans="1:23" x14ac:dyDescent="0.2">
      <c r="A149" s="1">
        <v>1</v>
      </c>
      <c r="B149" s="1" t="s">
        <v>552</v>
      </c>
      <c r="C149" s="1">
        <v>1</v>
      </c>
      <c r="D149" s="1" t="s">
        <v>264</v>
      </c>
      <c r="E149" s="4">
        <v>45402</v>
      </c>
      <c r="F149" s="31" t="s">
        <v>669</v>
      </c>
      <c r="G149" s="6">
        <f>K149+H149</f>
        <v>0.78506944444444449</v>
      </c>
      <c r="H149" s="3">
        <v>0.75356481481481485</v>
      </c>
      <c r="I149" s="3">
        <v>2.4189814814814813E-2</v>
      </c>
      <c r="J149" s="3">
        <f>I149+H149</f>
        <v>0.77775462962962971</v>
      </c>
      <c r="K149" s="6">
        <v>3.1504629629629632E-2</v>
      </c>
      <c r="L149" s="1">
        <v>2</v>
      </c>
      <c r="M149" s="1" t="s">
        <v>13</v>
      </c>
      <c r="N149" s="5" t="s">
        <v>527</v>
      </c>
      <c r="O149" s="1" t="s">
        <v>14</v>
      </c>
      <c r="P149" s="39">
        <v>0.05</v>
      </c>
      <c r="Q149" s="39">
        <v>0.05</v>
      </c>
      <c r="S149" s="1">
        <v>0</v>
      </c>
      <c r="U149" s="1" t="s">
        <v>565</v>
      </c>
      <c r="V149" s="1" t="s">
        <v>27</v>
      </c>
      <c r="W149" s="15" t="s">
        <v>541</v>
      </c>
    </row>
    <row r="150" spans="1:23" x14ac:dyDescent="0.2">
      <c r="A150" s="1">
        <v>1</v>
      </c>
      <c r="B150" s="1" t="s">
        <v>551</v>
      </c>
      <c r="C150" s="1">
        <v>1</v>
      </c>
      <c r="D150" s="1" t="s">
        <v>264</v>
      </c>
      <c r="E150" s="4">
        <v>45402</v>
      </c>
      <c r="F150" s="31" t="s">
        <v>671</v>
      </c>
      <c r="G150" s="6" t="s">
        <v>27</v>
      </c>
      <c r="H150" s="3">
        <v>0.75356481481481485</v>
      </c>
      <c r="I150" s="1" t="s">
        <v>27</v>
      </c>
      <c r="J150" s="1" t="s">
        <v>27</v>
      </c>
      <c r="K150" s="6" t="s">
        <v>27</v>
      </c>
      <c r="L150" s="1">
        <v>2</v>
      </c>
      <c r="M150" s="1" t="s">
        <v>14</v>
      </c>
      <c r="N150" s="5" t="s">
        <v>527</v>
      </c>
      <c r="O150" s="1" t="s">
        <v>13</v>
      </c>
      <c r="P150" s="39">
        <v>0.05</v>
      </c>
      <c r="Q150" s="39">
        <v>0.05</v>
      </c>
      <c r="S150" s="1" t="s">
        <v>27</v>
      </c>
      <c r="U150" s="1" t="s">
        <v>566</v>
      </c>
      <c r="V150" s="1" t="s">
        <v>27</v>
      </c>
      <c r="W150" s="15" t="s">
        <v>541</v>
      </c>
    </row>
    <row r="151" spans="1:23" x14ac:dyDescent="0.2">
      <c r="A151" s="1">
        <v>1</v>
      </c>
      <c r="B151" s="1" t="s">
        <v>552</v>
      </c>
      <c r="C151" s="1">
        <v>1</v>
      </c>
      <c r="D151" s="1" t="s">
        <v>265</v>
      </c>
      <c r="E151" s="4">
        <v>45403</v>
      </c>
      <c r="F151" s="31" t="s">
        <v>669</v>
      </c>
      <c r="G151" s="6">
        <f t="shared" ref="G151:G157" si="13">K151+H151</f>
        <v>0.2575925925925926</v>
      </c>
      <c r="H151" s="3">
        <v>0.22217592592592592</v>
      </c>
      <c r="I151" s="3">
        <v>1.5821759259259258E-2</v>
      </c>
      <c r="J151" s="3">
        <f>I151+H151</f>
        <v>0.23799768518518516</v>
      </c>
      <c r="K151" s="6">
        <v>3.5416666666666666E-2</v>
      </c>
      <c r="L151" s="1">
        <v>2</v>
      </c>
      <c r="M151" s="1" t="s">
        <v>14</v>
      </c>
      <c r="N151" s="5" t="s">
        <v>527</v>
      </c>
      <c r="O151" s="1" t="s">
        <v>13</v>
      </c>
      <c r="P151" s="39">
        <v>0.05</v>
      </c>
      <c r="Q151" s="39">
        <v>0.05</v>
      </c>
      <c r="S151" s="1">
        <v>1</v>
      </c>
      <c r="V151" s="1" t="s">
        <v>27</v>
      </c>
      <c r="W151" s="15" t="s">
        <v>541</v>
      </c>
    </row>
    <row r="152" spans="1:23" x14ac:dyDescent="0.2">
      <c r="A152" s="1">
        <v>1</v>
      </c>
      <c r="B152" s="1" t="s">
        <v>551</v>
      </c>
      <c r="C152" s="1">
        <v>1</v>
      </c>
      <c r="D152" s="1" t="s">
        <v>265</v>
      </c>
      <c r="E152" s="4">
        <v>45403</v>
      </c>
      <c r="F152" s="31" t="s">
        <v>671</v>
      </c>
      <c r="G152" s="6">
        <f t="shared" si="13"/>
        <v>0.24523148148148147</v>
      </c>
      <c r="H152" s="3">
        <v>0.22217592592592592</v>
      </c>
      <c r="I152" s="1" t="s">
        <v>27</v>
      </c>
      <c r="J152" s="1" t="s">
        <v>27</v>
      </c>
      <c r="K152" s="6">
        <v>2.3055555555555555E-2</v>
      </c>
      <c r="L152" s="1">
        <v>2</v>
      </c>
      <c r="M152" s="1" t="s">
        <v>13</v>
      </c>
      <c r="N152" s="5" t="s">
        <v>527</v>
      </c>
      <c r="O152" s="1" t="s">
        <v>14</v>
      </c>
      <c r="P152" s="39">
        <v>0.05</v>
      </c>
      <c r="Q152" s="39">
        <v>0.05</v>
      </c>
      <c r="S152" s="1">
        <v>1</v>
      </c>
      <c r="U152" s="1" t="s">
        <v>499</v>
      </c>
      <c r="V152" s="1" t="s">
        <v>27</v>
      </c>
      <c r="W152" s="15" t="s">
        <v>541</v>
      </c>
    </row>
    <row r="153" spans="1:23" x14ac:dyDescent="0.2">
      <c r="A153" s="1">
        <v>1</v>
      </c>
      <c r="B153" s="1" t="s">
        <v>552</v>
      </c>
      <c r="C153" s="1">
        <v>1</v>
      </c>
      <c r="D153" s="1" t="s">
        <v>266</v>
      </c>
      <c r="E153" s="4">
        <v>45403</v>
      </c>
      <c r="F153" s="31" t="s">
        <v>669</v>
      </c>
      <c r="G153" s="6">
        <f t="shared" si="13"/>
        <v>0.79046296296296303</v>
      </c>
      <c r="H153" s="3">
        <v>0.77098379629629632</v>
      </c>
      <c r="I153" s="3">
        <v>1.4351851851851852E-3</v>
      </c>
      <c r="J153" s="3">
        <f>I153+H153</f>
        <v>0.77241898148148147</v>
      </c>
      <c r="K153" s="6">
        <v>1.9479166666666665E-2</v>
      </c>
      <c r="L153" s="1">
        <v>2</v>
      </c>
      <c r="M153" s="1" t="s">
        <v>13</v>
      </c>
      <c r="N153" s="5" t="s">
        <v>527</v>
      </c>
      <c r="O153" s="1" t="s">
        <v>14</v>
      </c>
      <c r="P153" s="39">
        <v>0.05</v>
      </c>
      <c r="Q153" s="39">
        <v>0.05</v>
      </c>
      <c r="S153" s="1">
        <v>1</v>
      </c>
      <c r="V153" s="1" t="s">
        <v>27</v>
      </c>
      <c r="W153" s="15" t="s">
        <v>541</v>
      </c>
    </row>
    <row r="154" spans="1:23" x14ac:dyDescent="0.2">
      <c r="A154" s="1">
        <v>1</v>
      </c>
      <c r="B154" s="1" t="s">
        <v>552</v>
      </c>
      <c r="C154" s="1">
        <v>1</v>
      </c>
      <c r="D154" s="1" t="s">
        <v>128</v>
      </c>
      <c r="E154" s="4">
        <v>45404</v>
      </c>
      <c r="F154" s="31" t="s">
        <v>669</v>
      </c>
      <c r="G154" s="6">
        <f t="shared" si="13"/>
        <v>0.23616898148148149</v>
      </c>
      <c r="H154" s="3">
        <v>0.21555555555555556</v>
      </c>
      <c r="I154" s="1" t="s">
        <v>27</v>
      </c>
      <c r="J154" s="1" t="s">
        <v>27</v>
      </c>
      <c r="K154" s="3">
        <v>2.0613425925925927E-2</v>
      </c>
      <c r="L154" s="1">
        <v>2</v>
      </c>
      <c r="M154" s="1" t="s">
        <v>14</v>
      </c>
      <c r="N154" s="5" t="s">
        <v>527</v>
      </c>
      <c r="O154" s="1" t="s">
        <v>14</v>
      </c>
      <c r="P154" s="39">
        <v>0.05</v>
      </c>
      <c r="Q154" s="39">
        <v>0.05</v>
      </c>
      <c r="S154" s="1">
        <v>0</v>
      </c>
      <c r="V154" s="1" t="s">
        <v>27</v>
      </c>
      <c r="W154" s="15" t="s">
        <v>541</v>
      </c>
    </row>
    <row r="155" spans="1:23" x14ac:dyDescent="0.2">
      <c r="A155" s="1">
        <v>1</v>
      </c>
      <c r="B155" s="1" t="s">
        <v>552</v>
      </c>
      <c r="C155" s="1">
        <v>2</v>
      </c>
      <c r="D155" s="1" t="s">
        <v>128</v>
      </c>
      <c r="E155" s="4">
        <v>45404</v>
      </c>
      <c r="F155" s="31" t="s">
        <v>669</v>
      </c>
      <c r="G155" s="6">
        <f t="shared" si="13"/>
        <v>0.24469907407407407</v>
      </c>
      <c r="H155" s="3">
        <v>0.21555555555555556</v>
      </c>
      <c r="I155" s="3">
        <v>2.4444444444444446E-2</v>
      </c>
      <c r="J155" s="3">
        <f>I155+H155</f>
        <v>0.24</v>
      </c>
      <c r="K155" s="6">
        <v>2.914351851851852E-2</v>
      </c>
      <c r="L155" s="1">
        <v>2</v>
      </c>
      <c r="M155" s="1" t="s">
        <v>14</v>
      </c>
      <c r="N155" s="5" t="s">
        <v>527</v>
      </c>
      <c r="O155" s="1" t="s">
        <v>14</v>
      </c>
      <c r="P155" s="39">
        <v>0.05</v>
      </c>
      <c r="Q155" s="39">
        <v>0.05</v>
      </c>
      <c r="S155" s="1">
        <v>0</v>
      </c>
      <c r="U155" s="1" t="s">
        <v>567</v>
      </c>
      <c r="V155" s="1" t="s">
        <v>27</v>
      </c>
      <c r="W155" s="15" t="s">
        <v>541</v>
      </c>
    </row>
    <row r="156" spans="1:23" x14ac:dyDescent="0.2">
      <c r="A156" s="1">
        <v>1</v>
      </c>
      <c r="B156" s="1" t="s">
        <v>551</v>
      </c>
      <c r="C156" s="1">
        <v>1</v>
      </c>
      <c r="D156" s="1" t="s">
        <v>128</v>
      </c>
      <c r="E156" s="4">
        <v>45404</v>
      </c>
      <c r="F156" s="31" t="s">
        <v>671</v>
      </c>
      <c r="G156" s="6">
        <f t="shared" si="13"/>
        <v>0.24150462962962962</v>
      </c>
      <c r="H156" s="3">
        <v>0.21555555555555556</v>
      </c>
      <c r="I156" s="1" t="s">
        <v>27</v>
      </c>
      <c r="J156" s="1" t="s">
        <v>27</v>
      </c>
      <c r="K156" s="6">
        <v>2.5949074074074076E-2</v>
      </c>
      <c r="L156" s="1">
        <v>2</v>
      </c>
      <c r="M156" s="1" t="s">
        <v>13</v>
      </c>
      <c r="N156" s="5" t="s">
        <v>527</v>
      </c>
      <c r="O156" s="1" t="s">
        <v>13</v>
      </c>
      <c r="P156" s="39">
        <v>0.05</v>
      </c>
      <c r="Q156" s="39">
        <v>0.05</v>
      </c>
      <c r="S156" s="1">
        <v>0</v>
      </c>
      <c r="V156" s="1" t="s">
        <v>27</v>
      </c>
      <c r="W156" s="15" t="s">
        <v>541</v>
      </c>
    </row>
    <row r="157" spans="1:23" x14ac:dyDescent="0.2">
      <c r="A157" s="1">
        <v>1</v>
      </c>
      <c r="B157" s="1" t="s">
        <v>552</v>
      </c>
      <c r="C157" s="1">
        <v>1</v>
      </c>
      <c r="D157" s="1" t="s">
        <v>178</v>
      </c>
      <c r="E157" s="4">
        <v>45404</v>
      </c>
      <c r="F157" s="31" t="s">
        <v>669</v>
      </c>
      <c r="G157" s="6">
        <f t="shared" si="13"/>
        <v>0.78515046296296287</v>
      </c>
      <c r="H157" s="3">
        <v>0.76487268518518514</v>
      </c>
      <c r="I157" s="3">
        <v>8.8425925925925929E-3</v>
      </c>
      <c r="J157" s="3">
        <f>I157+H157</f>
        <v>0.77371527777777771</v>
      </c>
      <c r="K157" s="6">
        <v>2.0277777777777777E-2</v>
      </c>
      <c r="L157" s="1">
        <v>2</v>
      </c>
      <c r="M157" s="1" t="s">
        <v>14</v>
      </c>
      <c r="N157" s="5" t="s">
        <v>527</v>
      </c>
      <c r="O157" s="1" t="s">
        <v>14</v>
      </c>
      <c r="P157" s="39">
        <v>0.05</v>
      </c>
      <c r="Q157" s="39">
        <v>0.05</v>
      </c>
      <c r="S157" s="1">
        <v>1</v>
      </c>
      <c r="V157" s="15" t="s">
        <v>27</v>
      </c>
      <c r="W157" s="15" t="s">
        <v>541</v>
      </c>
    </row>
    <row r="158" spans="1:23" x14ac:dyDescent="0.2">
      <c r="A158" s="1">
        <v>1</v>
      </c>
      <c r="B158" s="1" t="s">
        <v>551</v>
      </c>
      <c r="C158" s="1" t="s">
        <v>27</v>
      </c>
      <c r="D158" s="1" t="s">
        <v>180</v>
      </c>
      <c r="E158" s="4">
        <v>45405</v>
      </c>
      <c r="F158" s="31" t="s">
        <v>671</v>
      </c>
      <c r="G158" s="6" t="s">
        <v>27</v>
      </c>
      <c r="H158" s="3">
        <v>0.76297453703703699</v>
      </c>
      <c r="I158" s="1" t="s">
        <v>27</v>
      </c>
      <c r="J158" s="1" t="s">
        <v>27</v>
      </c>
      <c r="K158" s="1" t="s">
        <v>27</v>
      </c>
      <c r="L158" s="1">
        <v>2</v>
      </c>
      <c r="M158" s="1" t="s">
        <v>14</v>
      </c>
      <c r="N158" s="5" t="s">
        <v>527</v>
      </c>
      <c r="O158" s="1" t="s">
        <v>14</v>
      </c>
      <c r="P158" s="39">
        <v>0.05</v>
      </c>
      <c r="Q158" s="39">
        <v>0.05</v>
      </c>
      <c r="S158" s="1" t="s">
        <v>27</v>
      </c>
      <c r="U158" s="1" t="s">
        <v>570</v>
      </c>
      <c r="V158" s="1" t="s">
        <v>27</v>
      </c>
      <c r="W158" s="15" t="s">
        <v>541</v>
      </c>
    </row>
    <row r="159" spans="1:23" x14ac:dyDescent="0.2">
      <c r="A159" s="1">
        <v>1</v>
      </c>
      <c r="B159" s="1" t="s">
        <v>552</v>
      </c>
      <c r="C159" s="1" t="s">
        <v>27</v>
      </c>
      <c r="D159" s="1" t="s">
        <v>180</v>
      </c>
      <c r="E159" s="4">
        <v>45405</v>
      </c>
      <c r="F159" s="31" t="s">
        <v>669</v>
      </c>
      <c r="G159" s="6" t="s">
        <v>27</v>
      </c>
      <c r="H159" s="3">
        <v>0.76297453703703699</v>
      </c>
      <c r="I159" s="1" t="s">
        <v>27</v>
      </c>
      <c r="J159" s="1" t="s">
        <v>27</v>
      </c>
      <c r="K159" s="1" t="s">
        <v>27</v>
      </c>
      <c r="L159" s="1">
        <v>2</v>
      </c>
      <c r="M159" s="1" t="s">
        <v>13</v>
      </c>
      <c r="N159" s="5" t="s">
        <v>527</v>
      </c>
      <c r="O159" s="1" t="s">
        <v>13</v>
      </c>
      <c r="P159" s="39">
        <v>0.05</v>
      </c>
      <c r="Q159" s="39">
        <v>0.05</v>
      </c>
      <c r="S159" s="1" t="s">
        <v>27</v>
      </c>
      <c r="U159" s="1" t="s">
        <v>570</v>
      </c>
      <c r="V159" s="1" t="s">
        <v>27</v>
      </c>
      <c r="W159" s="15" t="s">
        <v>541</v>
      </c>
    </row>
    <row r="160" spans="1:23" x14ac:dyDescent="0.2">
      <c r="A160" s="1">
        <v>1</v>
      </c>
      <c r="B160" s="1" t="s">
        <v>552</v>
      </c>
      <c r="C160" s="1">
        <v>1</v>
      </c>
      <c r="D160" s="1" t="s">
        <v>316</v>
      </c>
      <c r="E160" s="4">
        <v>45405</v>
      </c>
      <c r="F160" s="31" t="s">
        <v>669</v>
      </c>
      <c r="G160" s="6">
        <f t="shared" ref="G160:G166" si="14">K160+H160</f>
        <v>0.24346064814814816</v>
      </c>
      <c r="H160" s="3">
        <v>0.22270833333333334</v>
      </c>
      <c r="I160" s="3">
        <v>1.5694444444444445E-2</v>
      </c>
      <c r="J160" s="3">
        <f>I160+H160</f>
        <v>0.2384027777777778</v>
      </c>
      <c r="K160" s="6">
        <v>2.0752314814814814E-2</v>
      </c>
      <c r="L160" s="1">
        <v>2</v>
      </c>
      <c r="M160" s="1" t="s">
        <v>13</v>
      </c>
      <c r="N160" s="5" t="s">
        <v>527</v>
      </c>
      <c r="O160" s="1" t="s">
        <v>13</v>
      </c>
      <c r="P160" s="39">
        <v>0.05</v>
      </c>
      <c r="Q160" s="39">
        <v>0.05</v>
      </c>
      <c r="S160" s="1">
        <v>1</v>
      </c>
      <c r="V160" s="1" t="s">
        <v>27</v>
      </c>
      <c r="W160" s="15" t="s">
        <v>541</v>
      </c>
    </row>
    <row r="161" spans="1:23" x14ac:dyDescent="0.2">
      <c r="A161" s="1">
        <v>1</v>
      </c>
      <c r="B161" s="1" t="s">
        <v>551</v>
      </c>
      <c r="C161" s="1">
        <v>1</v>
      </c>
      <c r="D161" s="1" t="s">
        <v>316</v>
      </c>
      <c r="E161" s="4">
        <v>45405</v>
      </c>
      <c r="F161" s="31" t="s">
        <v>671</v>
      </c>
      <c r="G161" s="6">
        <f t="shared" si="14"/>
        <v>0.24447916666666666</v>
      </c>
      <c r="H161" s="3">
        <v>0.22270833333333334</v>
      </c>
      <c r="I161" s="1" t="s">
        <v>27</v>
      </c>
      <c r="J161" s="1" t="s">
        <v>27</v>
      </c>
      <c r="K161" s="6">
        <v>2.1770833333333333E-2</v>
      </c>
      <c r="L161" s="1">
        <v>2</v>
      </c>
      <c r="M161" s="1" t="s">
        <v>14</v>
      </c>
      <c r="N161" s="5" t="s">
        <v>527</v>
      </c>
      <c r="O161" s="1" t="s">
        <v>14</v>
      </c>
      <c r="P161" s="39">
        <v>0.05</v>
      </c>
      <c r="Q161" s="39">
        <v>0.05</v>
      </c>
      <c r="S161" s="1">
        <v>1</v>
      </c>
      <c r="U161" s="1" t="s">
        <v>571</v>
      </c>
      <c r="V161" s="1" t="s">
        <v>27</v>
      </c>
      <c r="W161" s="15" t="s">
        <v>541</v>
      </c>
    </row>
    <row r="162" spans="1:23" x14ac:dyDescent="0.2">
      <c r="A162" s="1">
        <v>1</v>
      </c>
      <c r="B162" s="1" t="s">
        <v>552</v>
      </c>
      <c r="C162" s="1">
        <v>2</v>
      </c>
      <c r="D162" s="1" t="s">
        <v>316</v>
      </c>
      <c r="E162" s="4">
        <v>45405</v>
      </c>
      <c r="F162" s="31" t="s">
        <v>669</v>
      </c>
      <c r="G162" s="6">
        <f t="shared" si="14"/>
        <v>0.24832175925925926</v>
      </c>
      <c r="H162" s="3">
        <v>0.22270833333333334</v>
      </c>
      <c r="I162" s="6">
        <v>2.3252314814814816E-2</v>
      </c>
      <c r="J162" s="3">
        <f>I162+H162</f>
        <v>0.24596064814814816</v>
      </c>
      <c r="K162" s="6">
        <v>2.5613425925925925E-2</v>
      </c>
      <c r="L162" s="1">
        <v>2</v>
      </c>
      <c r="M162" s="1" t="s">
        <v>13</v>
      </c>
      <c r="N162" s="5" t="s">
        <v>527</v>
      </c>
      <c r="O162" s="1" t="s">
        <v>13</v>
      </c>
      <c r="P162" s="39">
        <v>0.05</v>
      </c>
      <c r="Q162" s="39">
        <v>0.05</v>
      </c>
      <c r="S162" s="1">
        <v>1</v>
      </c>
      <c r="V162" s="15" t="s">
        <v>27</v>
      </c>
      <c r="W162" s="15" t="s">
        <v>541</v>
      </c>
    </row>
    <row r="163" spans="1:23" x14ac:dyDescent="0.2">
      <c r="A163" s="1">
        <v>1</v>
      </c>
      <c r="B163" s="1" t="s">
        <v>552</v>
      </c>
      <c r="C163" s="1">
        <v>1</v>
      </c>
      <c r="D163" s="1" t="s">
        <v>299</v>
      </c>
      <c r="E163" s="4">
        <v>45406</v>
      </c>
      <c r="F163" s="31" t="s">
        <v>669</v>
      </c>
      <c r="G163" s="6">
        <f t="shared" si="14"/>
        <v>0.24834490740740739</v>
      </c>
      <c r="H163" s="3">
        <v>0.22096064814814814</v>
      </c>
      <c r="I163" s="1" t="s">
        <v>27</v>
      </c>
      <c r="J163" s="1" t="s">
        <v>27</v>
      </c>
      <c r="K163" s="6">
        <v>2.7384259259259261E-2</v>
      </c>
      <c r="L163" s="1">
        <v>2</v>
      </c>
      <c r="M163" s="1" t="s">
        <v>13</v>
      </c>
      <c r="N163" s="5" t="s">
        <v>527</v>
      </c>
      <c r="O163" s="1" t="s">
        <v>14</v>
      </c>
      <c r="P163" s="39">
        <v>0.05</v>
      </c>
      <c r="Q163" s="39">
        <v>0.05</v>
      </c>
      <c r="S163" s="1">
        <v>0</v>
      </c>
      <c r="U163" s="1" t="s">
        <v>569</v>
      </c>
      <c r="V163" s="1" t="s">
        <v>27</v>
      </c>
      <c r="W163" s="15" t="s">
        <v>541</v>
      </c>
    </row>
    <row r="164" spans="1:23" x14ac:dyDescent="0.2">
      <c r="A164" s="1">
        <v>1</v>
      </c>
      <c r="B164" s="1" t="s">
        <v>551</v>
      </c>
      <c r="C164" s="1">
        <v>1</v>
      </c>
      <c r="D164" s="1" t="s">
        <v>299</v>
      </c>
      <c r="E164" s="4">
        <v>45406</v>
      </c>
      <c r="F164" s="31" t="s">
        <v>671</v>
      </c>
      <c r="G164" s="6">
        <f t="shared" si="14"/>
        <v>0.24840277777777778</v>
      </c>
      <c r="H164" s="3">
        <v>0.22096064814814814</v>
      </c>
      <c r="I164" s="1" t="s">
        <v>27</v>
      </c>
      <c r="J164" s="1" t="s">
        <v>27</v>
      </c>
      <c r="K164" s="6">
        <v>2.7442129629629629E-2</v>
      </c>
      <c r="L164" s="1">
        <v>2</v>
      </c>
      <c r="M164" s="1" t="s">
        <v>14</v>
      </c>
      <c r="N164" s="5" t="s">
        <v>527</v>
      </c>
      <c r="O164" s="1" t="s">
        <v>13</v>
      </c>
      <c r="P164" s="39">
        <v>0.05</v>
      </c>
      <c r="Q164" s="39">
        <v>0.05</v>
      </c>
      <c r="S164" s="1">
        <v>0</v>
      </c>
      <c r="U164" s="1" t="s">
        <v>499</v>
      </c>
      <c r="V164" s="1" t="s">
        <v>27</v>
      </c>
      <c r="W164" s="15" t="s">
        <v>541</v>
      </c>
    </row>
    <row r="165" spans="1:23" x14ac:dyDescent="0.2">
      <c r="A165" s="1">
        <v>1</v>
      </c>
      <c r="B165" s="1" t="s">
        <v>552</v>
      </c>
      <c r="C165" s="1">
        <v>2</v>
      </c>
      <c r="D165" s="1" t="s">
        <v>299</v>
      </c>
      <c r="E165" s="4">
        <v>45406</v>
      </c>
      <c r="F165" s="31" t="s">
        <v>669</v>
      </c>
      <c r="G165" s="6">
        <f t="shared" si="14"/>
        <v>0.25394675925925925</v>
      </c>
      <c r="H165" s="3">
        <v>0.22096064814814814</v>
      </c>
      <c r="I165" s="3">
        <v>2.2731481481481481E-2</v>
      </c>
      <c r="J165" s="3">
        <f>I165+H165</f>
        <v>0.24369212962962963</v>
      </c>
      <c r="K165" s="6">
        <v>3.2986111111111112E-2</v>
      </c>
      <c r="L165" s="1">
        <v>2</v>
      </c>
      <c r="M165" s="1" t="s">
        <v>14</v>
      </c>
      <c r="N165" s="5" t="s">
        <v>527</v>
      </c>
      <c r="O165" s="1" t="s">
        <v>14</v>
      </c>
      <c r="P165" s="39">
        <v>0.05</v>
      </c>
      <c r="Q165" s="39">
        <v>0.05</v>
      </c>
      <c r="S165" s="1">
        <v>0</v>
      </c>
      <c r="U165" s="1" t="s">
        <v>568</v>
      </c>
      <c r="V165" s="1" t="s">
        <v>27</v>
      </c>
      <c r="W165" s="15" t="s">
        <v>541</v>
      </c>
    </row>
    <row r="166" spans="1:23" x14ac:dyDescent="0.2">
      <c r="A166" s="1">
        <v>1</v>
      </c>
      <c r="B166" s="1" t="s">
        <v>552</v>
      </c>
      <c r="C166" s="1">
        <v>1</v>
      </c>
      <c r="D166" s="1" t="s">
        <v>292</v>
      </c>
      <c r="E166" s="4">
        <v>45406</v>
      </c>
      <c r="F166" s="4" t="s">
        <v>671</v>
      </c>
      <c r="G166" s="6">
        <f t="shared" si="14"/>
        <v>0.78427083333333336</v>
      </c>
      <c r="H166" s="3">
        <v>0.76820601851851855</v>
      </c>
      <c r="I166" s="3">
        <v>9.1087962962962971E-3</v>
      </c>
      <c r="J166" s="3">
        <f>I166+H166</f>
        <v>0.7773148148148149</v>
      </c>
      <c r="K166" s="6">
        <v>1.6064814814814816E-2</v>
      </c>
      <c r="L166" s="1">
        <v>2</v>
      </c>
      <c r="M166" s="1" t="s">
        <v>14</v>
      </c>
      <c r="N166" s="5" t="s">
        <v>226</v>
      </c>
      <c r="O166" s="1" t="s">
        <v>13</v>
      </c>
      <c r="P166" s="39">
        <v>0.05</v>
      </c>
      <c r="Q166" s="39">
        <v>0.1</v>
      </c>
      <c r="S166" s="1">
        <v>1</v>
      </c>
      <c r="V166" s="15" t="s">
        <v>27</v>
      </c>
      <c r="W166" s="15" t="s">
        <v>541</v>
      </c>
    </row>
    <row r="167" spans="1:23" x14ac:dyDescent="0.2">
      <c r="A167" s="1">
        <v>1</v>
      </c>
      <c r="B167" s="1" t="s">
        <v>551</v>
      </c>
      <c r="C167" s="1" t="s">
        <v>27</v>
      </c>
      <c r="D167" s="1" t="s">
        <v>292</v>
      </c>
      <c r="E167" s="4">
        <v>45406</v>
      </c>
      <c r="F167" s="4" t="s">
        <v>671</v>
      </c>
      <c r="G167" s="6" t="s">
        <v>27</v>
      </c>
      <c r="H167" s="3">
        <v>0.76820601851851855</v>
      </c>
      <c r="I167" s="1" t="s">
        <v>27</v>
      </c>
      <c r="J167" s="1" t="s">
        <v>27</v>
      </c>
      <c r="K167" s="6" t="s">
        <v>27</v>
      </c>
      <c r="L167" s="1">
        <v>2</v>
      </c>
      <c r="M167" s="1" t="s">
        <v>13</v>
      </c>
      <c r="N167" s="5" t="s">
        <v>226</v>
      </c>
      <c r="O167" s="1" t="s">
        <v>14</v>
      </c>
      <c r="P167" s="39">
        <v>0.05</v>
      </c>
      <c r="Q167" s="39">
        <v>0.1</v>
      </c>
      <c r="S167" s="1" t="s">
        <v>27</v>
      </c>
      <c r="V167" s="15" t="s">
        <v>27</v>
      </c>
      <c r="W167" s="15" t="s">
        <v>541</v>
      </c>
    </row>
    <row r="168" spans="1:23" x14ac:dyDescent="0.2">
      <c r="A168" s="1">
        <v>1</v>
      </c>
      <c r="B168" s="1" t="s">
        <v>551</v>
      </c>
      <c r="C168" s="1">
        <v>1</v>
      </c>
      <c r="D168" s="1" t="s">
        <v>291</v>
      </c>
      <c r="E168" s="4">
        <v>45407</v>
      </c>
      <c r="F168" s="4" t="s">
        <v>671</v>
      </c>
      <c r="G168" s="6" t="s">
        <v>27</v>
      </c>
      <c r="H168" s="3">
        <v>0.75351851851851848</v>
      </c>
      <c r="I168" s="1" t="s">
        <v>27</v>
      </c>
      <c r="J168" s="1" t="s">
        <v>27</v>
      </c>
      <c r="K168" s="6" t="s">
        <v>27</v>
      </c>
      <c r="L168" s="1">
        <v>3</v>
      </c>
      <c r="M168" s="1" t="s">
        <v>14</v>
      </c>
      <c r="N168" s="5" t="s">
        <v>226</v>
      </c>
      <c r="O168" s="1" t="s">
        <v>14</v>
      </c>
      <c r="P168" s="39">
        <v>0.1</v>
      </c>
      <c r="Q168" s="39">
        <v>0.1</v>
      </c>
      <c r="S168" s="1" t="s">
        <v>27</v>
      </c>
      <c r="U168" s="1" t="s">
        <v>587</v>
      </c>
      <c r="V168" s="15" t="s">
        <v>27</v>
      </c>
      <c r="W168" s="15" t="s">
        <v>541</v>
      </c>
    </row>
    <row r="169" spans="1:23" x14ac:dyDescent="0.2">
      <c r="A169" s="1">
        <v>1</v>
      </c>
      <c r="B169" s="1" t="s">
        <v>552</v>
      </c>
      <c r="C169" s="1">
        <v>1</v>
      </c>
      <c r="D169" s="1" t="s">
        <v>291</v>
      </c>
      <c r="E169" s="4">
        <v>45407</v>
      </c>
      <c r="F169" s="4" t="s">
        <v>671</v>
      </c>
      <c r="G169" s="6">
        <f>K169+H169</f>
        <v>0.76717592592592587</v>
      </c>
      <c r="H169" s="3">
        <v>0.75351851851851848</v>
      </c>
      <c r="I169" s="3">
        <v>1.1817129629629629E-2</v>
      </c>
      <c r="J169" s="3">
        <f>I169+H169</f>
        <v>0.76533564814814814</v>
      </c>
      <c r="K169" s="6">
        <v>1.3657407407407408E-2</v>
      </c>
      <c r="L169" s="1">
        <v>3</v>
      </c>
      <c r="M169" s="1" t="s">
        <v>13</v>
      </c>
      <c r="N169" s="5" t="s">
        <v>226</v>
      </c>
      <c r="O169" s="1" t="s">
        <v>13</v>
      </c>
      <c r="P169" s="39">
        <v>0.1</v>
      </c>
      <c r="Q169" s="39">
        <v>0.1</v>
      </c>
      <c r="S169" s="1" t="s">
        <v>27</v>
      </c>
      <c r="U169" s="1" t="s">
        <v>586</v>
      </c>
      <c r="V169" s="15" t="s">
        <v>27</v>
      </c>
      <c r="W169" s="15" t="s">
        <v>541</v>
      </c>
    </row>
    <row r="170" spans="1:23" x14ac:dyDescent="0.2">
      <c r="A170" s="1">
        <v>1</v>
      </c>
      <c r="B170" s="1" t="s">
        <v>551</v>
      </c>
      <c r="C170" s="1">
        <v>1</v>
      </c>
      <c r="D170" s="1" t="s">
        <v>585</v>
      </c>
      <c r="E170" s="4">
        <v>45408</v>
      </c>
      <c r="F170" s="4" t="s">
        <v>671</v>
      </c>
      <c r="G170" s="6">
        <f>K170+H170</f>
        <v>0.78583333333333338</v>
      </c>
      <c r="H170" s="3">
        <v>0.75815972222222228</v>
      </c>
      <c r="I170" s="3">
        <v>2.2743055555555555E-2</v>
      </c>
      <c r="J170" s="3">
        <f>I170+H170</f>
        <v>0.78090277777777783</v>
      </c>
      <c r="K170" s="6">
        <v>2.7673611111111111E-2</v>
      </c>
      <c r="L170" s="1">
        <v>3</v>
      </c>
      <c r="M170" s="1" t="s">
        <v>14</v>
      </c>
      <c r="N170" s="5" t="s">
        <v>226</v>
      </c>
      <c r="O170" s="1" t="s">
        <v>14</v>
      </c>
      <c r="P170" s="39">
        <v>0.1</v>
      </c>
      <c r="Q170" s="39">
        <v>0.1</v>
      </c>
      <c r="S170" s="1">
        <v>1</v>
      </c>
      <c r="V170" s="15" t="s">
        <v>27</v>
      </c>
      <c r="W170" s="15" t="s">
        <v>541</v>
      </c>
    </row>
    <row r="171" spans="1:23" x14ac:dyDescent="0.2">
      <c r="A171" s="1">
        <v>1</v>
      </c>
      <c r="B171" s="1" t="s">
        <v>552</v>
      </c>
      <c r="C171" s="1" t="s">
        <v>27</v>
      </c>
      <c r="D171" s="1" t="s">
        <v>585</v>
      </c>
      <c r="E171" s="4">
        <v>45408</v>
      </c>
      <c r="F171" s="4" t="s">
        <v>671</v>
      </c>
      <c r="G171" s="6" t="s">
        <v>27</v>
      </c>
      <c r="H171" s="3">
        <v>0.75815972222222228</v>
      </c>
      <c r="I171" s="1" t="s">
        <v>27</v>
      </c>
      <c r="J171" s="1" t="s">
        <v>27</v>
      </c>
      <c r="K171" s="6" t="s">
        <v>27</v>
      </c>
      <c r="L171" s="1">
        <v>3</v>
      </c>
      <c r="M171" s="1" t="s">
        <v>13</v>
      </c>
      <c r="N171" s="5" t="s">
        <v>226</v>
      </c>
      <c r="O171" s="1" t="s">
        <v>13</v>
      </c>
      <c r="P171" s="39">
        <v>0.1</v>
      </c>
      <c r="Q171" s="39">
        <v>0.1</v>
      </c>
      <c r="S171" s="1" t="s">
        <v>27</v>
      </c>
      <c r="V171" s="15" t="s">
        <v>27</v>
      </c>
      <c r="W171" s="15" t="s">
        <v>541</v>
      </c>
    </row>
    <row r="172" spans="1:23" x14ac:dyDescent="0.2">
      <c r="A172" s="1">
        <v>1</v>
      </c>
      <c r="B172" s="1" t="s">
        <v>552</v>
      </c>
      <c r="C172" s="1">
        <v>1</v>
      </c>
      <c r="D172" s="1" t="s">
        <v>588</v>
      </c>
      <c r="E172" s="4">
        <v>45409</v>
      </c>
      <c r="F172" s="4" t="s">
        <v>671</v>
      </c>
      <c r="G172" s="6">
        <f>K172+H172</f>
        <v>0.78149305555555559</v>
      </c>
      <c r="H172" s="3">
        <v>0.77422453703703709</v>
      </c>
      <c r="I172" s="1" t="s">
        <v>27</v>
      </c>
      <c r="J172" s="1" t="s">
        <v>27</v>
      </c>
      <c r="K172" s="6">
        <v>7.2685185185185188E-3</v>
      </c>
      <c r="L172" s="1">
        <v>2</v>
      </c>
      <c r="M172" s="1" t="s">
        <v>14</v>
      </c>
      <c r="N172" s="5" t="s">
        <v>527</v>
      </c>
      <c r="O172" s="1" t="s">
        <v>14</v>
      </c>
      <c r="P172" s="39">
        <v>0.1</v>
      </c>
      <c r="Q172" s="39">
        <v>0.1</v>
      </c>
      <c r="S172" s="1">
        <v>0</v>
      </c>
      <c r="U172" s="1" t="s">
        <v>590</v>
      </c>
      <c r="V172" s="15" t="s">
        <v>27</v>
      </c>
      <c r="W172" s="15" t="s">
        <v>541</v>
      </c>
    </row>
    <row r="173" spans="1:23" x14ac:dyDescent="0.2">
      <c r="A173" s="1">
        <v>1</v>
      </c>
      <c r="B173" s="1" t="s">
        <v>551</v>
      </c>
      <c r="C173" s="1" t="s">
        <v>27</v>
      </c>
      <c r="D173" s="1" t="s">
        <v>588</v>
      </c>
      <c r="E173" s="4">
        <v>45409</v>
      </c>
      <c r="F173" s="4" t="s">
        <v>671</v>
      </c>
      <c r="G173" s="6" t="s">
        <v>27</v>
      </c>
      <c r="H173" s="3">
        <v>0.77422453703703709</v>
      </c>
      <c r="I173" s="1" t="s">
        <v>27</v>
      </c>
      <c r="J173" s="1" t="s">
        <v>27</v>
      </c>
      <c r="K173" s="6" t="s">
        <v>27</v>
      </c>
      <c r="L173" s="1">
        <v>2</v>
      </c>
      <c r="M173" s="1" t="s">
        <v>13</v>
      </c>
      <c r="N173" s="5" t="s">
        <v>527</v>
      </c>
      <c r="O173" s="1" t="s">
        <v>13</v>
      </c>
      <c r="P173" s="39">
        <v>0.1</v>
      </c>
      <c r="Q173" s="39">
        <v>0.1</v>
      </c>
      <c r="S173" s="1" t="s">
        <v>27</v>
      </c>
      <c r="U173" s="1" t="s">
        <v>566</v>
      </c>
      <c r="V173" s="15" t="s">
        <v>27</v>
      </c>
      <c r="W173" s="15" t="s">
        <v>541</v>
      </c>
    </row>
    <row r="174" spans="1:23" x14ac:dyDescent="0.2">
      <c r="A174" s="1">
        <v>1</v>
      </c>
      <c r="B174" s="1" t="s">
        <v>551</v>
      </c>
      <c r="C174" s="1">
        <v>1</v>
      </c>
      <c r="D174" s="1" t="s">
        <v>589</v>
      </c>
      <c r="E174" s="4">
        <v>45410</v>
      </c>
      <c r="F174" s="4" t="s">
        <v>671</v>
      </c>
      <c r="G174" s="6">
        <f>K174+H174</f>
        <v>0.24263888888888888</v>
      </c>
      <c r="H174" s="3">
        <v>0.23318287037037036</v>
      </c>
      <c r="I174" s="1" t="s">
        <v>27</v>
      </c>
      <c r="J174" s="1" t="s">
        <v>27</v>
      </c>
      <c r="K174" s="6">
        <v>9.4560185185185181E-3</v>
      </c>
      <c r="L174" s="1">
        <v>2</v>
      </c>
      <c r="M174" s="1" t="s">
        <v>13</v>
      </c>
      <c r="N174" s="5" t="s">
        <v>527</v>
      </c>
      <c r="O174" s="1" t="s">
        <v>13</v>
      </c>
      <c r="P174" s="39">
        <v>0.1</v>
      </c>
      <c r="Q174" s="39">
        <v>0.1</v>
      </c>
      <c r="S174" s="1">
        <v>0</v>
      </c>
      <c r="U174" s="1" t="s">
        <v>592</v>
      </c>
      <c r="V174" s="15" t="s">
        <v>27</v>
      </c>
      <c r="W174" s="15" t="s">
        <v>541</v>
      </c>
    </row>
    <row r="175" spans="1:23" x14ac:dyDescent="0.2">
      <c r="A175" s="1">
        <v>1</v>
      </c>
      <c r="B175" s="1" t="s">
        <v>552</v>
      </c>
      <c r="C175" s="1">
        <v>1</v>
      </c>
      <c r="D175" s="1" t="s">
        <v>589</v>
      </c>
      <c r="E175" s="4">
        <v>45410</v>
      </c>
      <c r="F175" s="4" t="s">
        <v>671</v>
      </c>
      <c r="G175" s="6">
        <f>K175+H175</f>
        <v>0.25074074074074071</v>
      </c>
      <c r="H175" s="3">
        <v>0.23318287037037036</v>
      </c>
      <c r="I175" s="3">
        <v>1.0254629629629629E-2</v>
      </c>
      <c r="J175" s="3">
        <f>I175+H175</f>
        <v>0.2434375</v>
      </c>
      <c r="K175" s="6">
        <v>1.755787037037037E-2</v>
      </c>
      <c r="L175" s="1">
        <v>2</v>
      </c>
      <c r="M175" s="1" t="s">
        <v>14</v>
      </c>
      <c r="N175" s="5" t="s">
        <v>527</v>
      </c>
      <c r="O175" s="1" t="s">
        <v>14</v>
      </c>
      <c r="P175" s="39">
        <v>0.1</v>
      </c>
      <c r="Q175" s="39">
        <v>0.1</v>
      </c>
      <c r="S175" s="1" t="s">
        <v>27</v>
      </c>
      <c r="U175" s="1" t="s">
        <v>591</v>
      </c>
      <c r="V175" s="15" t="s">
        <v>27</v>
      </c>
      <c r="W175" s="15" t="s">
        <v>541</v>
      </c>
    </row>
    <row r="176" spans="1:23" x14ac:dyDescent="0.2">
      <c r="A176" s="1">
        <v>1</v>
      </c>
      <c r="B176" s="1" t="s">
        <v>552</v>
      </c>
      <c r="C176" s="1">
        <v>1</v>
      </c>
      <c r="D176" s="1" t="s">
        <v>579</v>
      </c>
      <c r="E176" s="4">
        <v>45411</v>
      </c>
      <c r="F176" s="4" t="s">
        <v>671</v>
      </c>
      <c r="G176" s="6">
        <f>K176+H176</f>
        <v>0.24672453703703703</v>
      </c>
      <c r="H176" s="6">
        <v>0.23614583333333333</v>
      </c>
      <c r="I176" s="3">
        <v>3.7268518518518519E-3</v>
      </c>
      <c r="J176" s="3">
        <f>I176+H176</f>
        <v>0.23987268518518517</v>
      </c>
      <c r="K176" s="6">
        <v>1.0578703703703703E-2</v>
      </c>
      <c r="L176" s="1">
        <v>2</v>
      </c>
      <c r="M176" s="1" t="s">
        <v>13</v>
      </c>
      <c r="N176" s="5" t="s">
        <v>527</v>
      </c>
      <c r="O176" s="1" t="s">
        <v>14</v>
      </c>
      <c r="P176" s="39">
        <v>0.1</v>
      </c>
      <c r="Q176" s="39">
        <v>0.1</v>
      </c>
      <c r="S176" s="1">
        <v>1</v>
      </c>
      <c r="U176" s="1" t="s">
        <v>581</v>
      </c>
      <c r="V176" s="15" t="s">
        <v>27</v>
      </c>
      <c r="W176" s="15" t="s">
        <v>541</v>
      </c>
    </row>
    <row r="177" spans="1:23" x14ac:dyDescent="0.2">
      <c r="A177" s="1">
        <v>1</v>
      </c>
      <c r="B177" s="1" t="s">
        <v>551</v>
      </c>
      <c r="C177" s="1">
        <v>1</v>
      </c>
      <c r="D177" s="1" t="s">
        <v>579</v>
      </c>
      <c r="E177" s="4">
        <v>45411</v>
      </c>
      <c r="F177" s="4" t="s">
        <v>671</v>
      </c>
      <c r="G177" s="6">
        <f>K177+H177</f>
        <v>0.24275462962962963</v>
      </c>
      <c r="H177" s="6">
        <v>0.23614583333333333</v>
      </c>
      <c r="I177" s="1" t="s">
        <v>27</v>
      </c>
      <c r="J177" s="1" t="s">
        <v>27</v>
      </c>
      <c r="K177" s="6">
        <v>6.6087962962962966E-3</v>
      </c>
      <c r="L177" s="1">
        <v>2</v>
      </c>
      <c r="M177" s="1" t="s">
        <v>14</v>
      </c>
      <c r="N177" s="5" t="s">
        <v>527</v>
      </c>
      <c r="O177" s="1" t="s">
        <v>13</v>
      </c>
      <c r="P177" s="39">
        <v>0.1</v>
      </c>
      <c r="Q177" s="39">
        <v>0.1</v>
      </c>
      <c r="S177" s="1" t="s">
        <v>27</v>
      </c>
      <c r="U177" s="1" t="s">
        <v>580</v>
      </c>
      <c r="V177" s="15" t="s">
        <v>27</v>
      </c>
      <c r="W177" s="15" t="s">
        <v>541</v>
      </c>
    </row>
    <row r="178" spans="1:23" x14ac:dyDescent="0.2">
      <c r="A178" s="1">
        <v>1</v>
      </c>
      <c r="B178" s="1" t="s">
        <v>552</v>
      </c>
      <c r="C178" s="1" t="s">
        <v>27</v>
      </c>
      <c r="D178" s="1" t="s">
        <v>306</v>
      </c>
      <c r="E178" s="4">
        <v>45411</v>
      </c>
      <c r="F178" s="4" t="s">
        <v>671</v>
      </c>
      <c r="G178" s="6" t="s">
        <v>27</v>
      </c>
      <c r="H178" s="3">
        <v>0.76478009259259261</v>
      </c>
      <c r="I178" s="1" t="s">
        <v>27</v>
      </c>
      <c r="J178" s="1" t="s">
        <v>27</v>
      </c>
      <c r="K178" s="6" t="s">
        <v>27</v>
      </c>
      <c r="L178" s="1">
        <v>2</v>
      </c>
      <c r="M178" s="1" t="s">
        <v>14</v>
      </c>
      <c r="N178" s="5" t="s">
        <v>527</v>
      </c>
      <c r="O178" s="1" t="s">
        <v>13</v>
      </c>
      <c r="P178" s="39">
        <v>0.1</v>
      </c>
      <c r="Q178" s="39">
        <v>0.1</v>
      </c>
      <c r="S178" s="1" t="s">
        <v>27</v>
      </c>
      <c r="U178" s="1" t="s">
        <v>594</v>
      </c>
      <c r="V178" s="15" t="s">
        <v>27</v>
      </c>
      <c r="W178" s="15" t="s">
        <v>541</v>
      </c>
    </row>
    <row r="179" spans="1:23" x14ac:dyDescent="0.2">
      <c r="A179" s="1">
        <v>1</v>
      </c>
      <c r="B179" s="1" t="s">
        <v>551</v>
      </c>
      <c r="C179" s="1" t="s">
        <v>27</v>
      </c>
      <c r="D179" s="1" t="s">
        <v>306</v>
      </c>
      <c r="E179" s="4">
        <v>45411</v>
      </c>
      <c r="F179" s="4" t="s">
        <v>671</v>
      </c>
      <c r="G179" s="6" t="s">
        <v>27</v>
      </c>
      <c r="H179" s="3">
        <v>0.76478009259259261</v>
      </c>
      <c r="I179" s="1" t="s">
        <v>27</v>
      </c>
      <c r="J179" s="1" t="s">
        <v>27</v>
      </c>
      <c r="K179" s="6" t="s">
        <v>27</v>
      </c>
      <c r="L179" s="1">
        <v>2</v>
      </c>
      <c r="M179" s="1" t="s">
        <v>13</v>
      </c>
      <c r="N179" s="5" t="s">
        <v>527</v>
      </c>
      <c r="O179" s="1" t="s">
        <v>14</v>
      </c>
      <c r="P179" s="39">
        <v>0.1</v>
      </c>
      <c r="Q179" s="39">
        <v>0.1</v>
      </c>
      <c r="S179" s="1" t="s">
        <v>27</v>
      </c>
      <c r="V179" s="15" t="s">
        <v>27</v>
      </c>
      <c r="W179" s="15" t="s">
        <v>541</v>
      </c>
    </row>
    <row r="180" spans="1:23" x14ac:dyDescent="0.2">
      <c r="A180" s="1">
        <v>1</v>
      </c>
      <c r="B180" s="1" t="s">
        <v>552</v>
      </c>
      <c r="C180" s="1">
        <v>1</v>
      </c>
      <c r="D180" s="1" t="s">
        <v>595</v>
      </c>
      <c r="E180" s="4">
        <v>45412</v>
      </c>
      <c r="F180" s="4" t="s">
        <v>671</v>
      </c>
      <c r="G180" s="6">
        <f t="shared" ref="G180:G188" si="15">K180+H180</f>
        <v>0.24892361111111111</v>
      </c>
      <c r="H180" s="3">
        <v>0.22111111111111112</v>
      </c>
      <c r="I180" s="3">
        <v>1.9247685185185184E-2</v>
      </c>
      <c r="J180" s="3">
        <f>I180+H180</f>
        <v>0.24035879629629631</v>
      </c>
      <c r="K180" s="6">
        <v>2.78125E-2</v>
      </c>
      <c r="L180" s="1">
        <v>2</v>
      </c>
      <c r="M180" s="1" t="s">
        <v>13</v>
      </c>
      <c r="N180" s="5" t="s">
        <v>527</v>
      </c>
      <c r="O180" s="1" t="s">
        <v>13</v>
      </c>
      <c r="P180" s="39">
        <v>0.1</v>
      </c>
      <c r="Q180" s="39">
        <v>0.1</v>
      </c>
      <c r="S180" s="1">
        <v>1</v>
      </c>
      <c r="V180" s="15" t="s">
        <v>27</v>
      </c>
      <c r="W180" s="15" t="s">
        <v>541</v>
      </c>
    </row>
    <row r="181" spans="1:23" x14ac:dyDescent="0.2">
      <c r="A181" s="1">
        <v>1</v>
      </c>
      <c r="B181" s="1" t="s">
        <v>551</v>
      </c>
      <c r="D181" s="1" t="s">
        <v>595</v>
      </c>
      <c r="E181" s="4">
        <v>45412</v>
      </c>
      <c r="F181" s="4" t="s">
        <v>671</v>
      </c>
      <c r="G181" s="6">
        <f t="shared" si="15"/>
        <v>0.24458333333333335</v>
      </c>
      <c r="H181" s="3">
        <v>0.22111111111111112</v>
      </c>
      <c r="I181" s="1" t="s">
        <v>27</v>
      </c>
      <c r="J181" s="1" t="s">
        <v>27</v>
      </c>
      <c r="K181" s="3">
        <v>2.3472222222222221E-2</v>
      </c>
      <c r="L181" s="1">
        <v>2</v>
      </c>
      <c r="M181" s="1" t="s">
        <v>14</v>
      </c>
      <c r="N181" s="5" t="s">
        <v>527</v>
      </c>
      <c r="O181" s="1" t="s">
        <v>14</v>
      </c>
      <c r="P181" s="39">
        <v>0.1</v>
      </c>
      <c r="Q181" s="39">
        <v>0.1</v>
      </c>
      <c r="S181" s="1">
        <v>1</v>
      </c>
      <c r="V181" s="15" t="s">
        <v>27</v>
      </c>
      <c r="W181" s="15" t="s">
        <v>541</v>
      </c>
    </row>
    <row r="182" spans="1:23" x14ac:dyDescent="0.2">
      <c r="A182" s="1">
        <v>1</v>
      </c>
      <c r="B182" s="1" t="s">
        <v>551</v>
      </c>
      <c r="C182" s="1">
        <v>1</v>
      </c>
      <c r="D182" s="1" t="s">
        <v>309</v>
      </c>
      <c r="E182" s="4">
        <v>45412</v>
      </c>
      <c r="F182" s="4" t="s">
        <v>671</v>
      </c>
      <c r="G182" s="6">
        <f t="shared" si="15"/>
        <v>0.78949074074074077</v>
      </c>
      <c r="H182" s="3">
        <v>0.76178240740740744</v>
      </c>
      <c r="I182" s="3">
        <v>1.9583333333333335E-2</v>
      </c>
      <c r="J182" s="3">
        <f>I182+H182</f>
        <v>0.78136574074074072</v>
      </c>
      <c r="K182" s="6">
        <v>2.7708333333333335E-2</v>
      </c>
      <c r="L182" s="1">
        <v>2</v>
      </c>
      <c r="M182" s="1" t="s">
        <v>14</v>
      </c>
      <c r="N182" s="5" t="s">
        <v>527</v>
      </c>
      <c r="O182" s="1" t="s">
        <v>13</v>
      </c>
      <c r="P182" s="39">
        <v>0.1</v>
      </c>
      <c r="Q182" s="39">
        <v>0.1</v>
      </c>
      <c r="S182" s="1">
        <v>1</v>
      </c>
      <c r="V182" s="15" t="s">
        <v>27</v>
      </c>
      <c r="W182" s="15" t="s">
        <v>541</v>
      </c>
    </row>
    <row r="183" spans="1:23" x14ac:dyDescent="0.2">
      <c r="A183" s="1">
        <v>1</v>
      </c>
      <c r="B183" s="1" t="s">
        <v>552</v>
      </c>
      <c r="C183" s="1">
        <v>1</v>
      </c>
      <c r="D183" s="1" t="s">
        <v>596</v>
      </c>
      <c r="E183" s="4">
        <v>45413</v>
      </c>
      <c r="F183" s="4" t="s">
        <v>671</v>
      </c>
      <c r="G183" s="6">
        <f t="shared" si="15"/>
        <v>0.24297453703703703</v>
      </c>
      <c r="H183" s="3">
        <v>0.21949074074074074</v>
      </c>
      <c r="I183" s="3">
        <v>1.8368055555555554E-2</v>
      </c>
      <c r="J183" s="3">
        <f>I183+H183</f>
        <v>0.2378587962962963</v>
      </c>
      <c r="K183" s="6">
        <v>2.3483796296296298E-2</v>
      </c>
      <c r="L183" s="1">
        <v>2</v>
      </c>
      <c r="M183" s="1" t="s">
        <v>14</v>
      </c>
      <c r="N183" s="5" t="s">
        <v>527</v>
      </c>
      <c r="O183" s="1" t="s">
        <v>13</v>
      </c>
      <c r="P183" s="39">
        <v>0.1</v>
      </c>
      <c r="Q183" s="39">
        <v>0.1</v>
      </c>
      <c r="S183" s="1">
        <v>1</v>
      </c>
      <c r="V183" s="15" t="s">
        <v>27</v>
      </c>
      <c r="W183" s="15" t="s">
        <v>541</v>
      </c>
    </row>
    <row r="184" spans="1:23" x14ac:dyDescent="0.2">
      <c r="A184" s="1">
        <v>1</v>
      </c>
      <c r="B184" s="1" t="s">
        <v>551</v>
      </c>
      <c r="C184" s="1">
        <v>1</v>
      </c>
      <c r="D184" s="1" t="s">
        <v>596</v>
      </c>
      <c r="E184" s="4">
        <v>45413</v>
      </c>
      <c r="F184" s="4" t="s">
        <v>671</v>
      </c>
      <c r="G184" s="6">
        <f t="shared" si="15"/>
        <v>0.24356481481481482</v>
      </c>
      <c r="H184" s="3">
        <v>0.21949074074074074</v>
      </c>
      <c r="I184" s="1" t="s">
        <v>27</v>
      </c>
      <c r="J184" s="1" t="s">
        <v>27</v>
      </c>
      <c r="K184" s="6">
        <v>2.4074074074074074E-2</v>
      </c>
      <c r="L184" s="1">
        <v>2</v>
      </c>
      <c r="M184" s="1" t="s">
        <v>13</v>
      </c>
      <c r="N184" s="5" t="s">
        <v>527</v>
      </c>
      <c r="O184" s="1" t="s">
        <v>14</v>
      </c>
      <c r="P184" s="39">
        <v>0.1</v>
      </c>
      <c r="Q184" s="39">
        <v>0.1</v>
      </c>
      <c r="S184" s="1">
        <v>1</v>
      </c>
      <c r="U184" s="1" t="s">
        <v>606</v>
      </c>
      <c r="V184" s="15" t="s">
        <v>27</v>
      </c>
      <c r="W184" s="15" t="s">
        <v>541</v>
      </c>
    </row>
    <row r="185" spans="1:23" x14ac:dyDescent="0.2">
      <c r="A185" s="1">
        <v>1</v>
      </c>
      <c r="B185" s="1" t="s">
        <v>552</v>
      </c>
      <c r="C185" s="1">
        <v>1</v>
      </c>
      <c r="D185" s="1" t="s">
        <v>495</v>
      </c>
      <c r="E185" s="4">
        <v>45414</v>
      </c>
      <c r="F185" s="4" t="s">
        <v>671</v>
      </c>
      <c r="G185" s="6">
        <f t="shared" si="15"/>
        <v>0.24671296296296297</v>
      </c>
      <c r="H185" s="3">
        <v>0.21854166666666666</v>
      </c>
      <c r="I185" s="3">
        <v>2.2731481481481481E-2</v>
      </c>
      <c r="J185" s="3">
        <f>I185+H185</f>
        <v>0.24127314814814815</v>
      </c>
      <c r="K185" s="6">
        <v>2.8171296296296295E-2</v>
      </c>
      <c r="L185" s="1">
        <v>3</v>
      </c>
      <c r="M185" s="1" t="s">
        <v>13</v>
      </c>
      <c r="N185" s="5" t="s">
        <v>527</v>
      </c>
      <c r="O185" s="1" t="s">
        <v>14</v>
      </c>
      <c r="P185" s="39">
        <v>0.1</v>
      </c>
      <c r="Q185" s="39">
        <v>0.1</v>
      </c>
      <c r="S185" s="1">
        <v>0</v>
      </c>
      <c r="V185" s="15" t="s">
        <v>27</v>
      </c>
      <c r="W185" s="15" t="s">
        <v>541</v>
      </c>
    </row>
    <row r="186" spans="1:23" x14ac:dyDescent="0.2">
      <c r="A186" s="1">
        <v>1</v>
      </c>
      <c r="B186" s="1" t="s">
        <v>552</v>
      </c>
      <c r="C186" s="1">
        <v>2</v>
      </c>
      <c r="D186" s="1" t="s">
        <v>495</v>
      </c>
      <c r="E186" s="4">
        <v>45414</v>
      </c>
      <c r="F186" s="4" t="s">
        <v>671</v>
      </c>
      <c r="G186" s="6">
        <f t="shared" si="15"/>
        <v>0.25666666666666665</v>
      </c>
      <c r="H186" s="3">
        <v>0.21854166666666666</v>
      </c>
      <c r="I186" s="1" t="s">
        <v>27</v>
      </c>
      <c r="J186" s="1" t="s">
        <v>27</v>
      </c>
      <c r="K186" s="6">
        <v>3.8124999999999999E-2</v>
      </c>
      <c r="L186" s="1">
        <v>3</v>
      </c>
      <c r="M186" s="1" t="s">
        <v>13</v>
      </c>
      <c r="N186" s="5" t="s">
        <v>527</v>
      </c>
      <c r="O186" s="1" t="s">
        <v>14</v>
      </c>
      <c r="P186" s="39">
        <v>0.1</v>
      </c>
      <c r="Q186" s="39">
        <v>0.1</v>
      </c>
      <c r="S186" s="1">
        <v>1</v>
      </c>
      <c r="U186" s="1" t="s">
        <v>607</v>
      </c>
      <c r="V186" s="15" t="s">
        <v>27</v>
      </c>
      <c r="W186" s="15" t="s">
        <v>541</v>
      </c>
    </row>
    <row r="187" spans="1:23" x14ac:dyDescent="0.2">
      <c r="A187" s="1">
        <v>1</v>
      </c>
      <c r="B187" s="1" t="s">
        <v>551</v>
      </c>
      <c r="C187" s="1">
        <v>1</v>
      </c>
      <c r="D187" s="1" t="s">
        <v>495</v>
      </c>
      <c r="E187" s="4">
        <v>45414</v>
      </c>
      <c r="F187" s="4" t="s">
        <v>671</v>
      </c>
      <c r="G187" s="6">
        <f t="shared" si="15"/>
        <v>0.25842592592592595</v>
      </c>
      <c r="H187" s="3">
        <v>0.21854166666666666</v>
      </c>
      <c r="I187" s="1" t="s">
        <v>27</v>
      </c>
      <c r="J187" s="1" t="s">
        <v>27</v>
      </c>
      <c r="K187" s="6">
        <v>3.9884259259259258E-2</v>
      </c>
      <c r="L187" s="1">
        <v>3</v>
      </c>
      <c r="M187" s="1" t="s">
        <v>14</v>
      </c>
      <c r="N187" s="5" t="s">
        <v>527</v>
      </c>
      <c r="O187" s="1" t="s">
        <v>13</v>
      </c>
      <c r="P187" s="39">
        <v>0.1</v>
      </c>
      <c r="Q187" s="39">
        <v>0.1</v>
      </c>
      <c r="S187" s="1">
        <v>0</v>
      </c>
      <c r="U187" s="1" t="s">
        <v>607</v>
      </c>
      <c r="V187" s="15" t="s">
        <v>27</v>
      </c>
      <c r="W187" s="15" t="s">
        <v>541</v>
      </c>
    </row>
    <row r="188" spans="1:23" x14ac:dyDescent="0.2">
      <c r="A188" s="1">
        <v>1</v>
      </c>
      <c r="B188" s="1" t="s">
        <v>551</v>
      </c>
      <c r="C188" s="1">
        <v>1</v>
      </c>
      <c r="D188" s="1" t="s">
        <v>494</v>
      </c>
      <c r="E188" s="4">
        <v>45414</v>
      </c>
      <c r="F188" s="4" t="s">
        <v>671</v>
      </c>
      <c r="G188" s="6">
        <f t="shared" si="15"/>
        <v>0.78454861111111107</v>
      </c>
      <c r="H188" s="3">
        <v>0.76202546296296292</v>
      </c>
      <c r="I188" s="3">
        <v>1.4247685185185184E-2</v>
      </c>
      <c r="J188" s="3">
        <f>I188+H188</f>
        <v>0.77627314814814807</v>
      </c>
      <c r="K188" s="6">
        <v>2.252314814814815E-2</v>
      </c>
      <c r="L188" s="1">
        <v>2</v>
      </c>
      <c r="M188" s="1" t="s">
        <v>13</v>
      </c>
      <c r="N188" s="5" t="s">
        <v>527</v>
      </c>
      <c r="O188" s="1" t="s">
        <v>14</v>
      </c>
      <c r="P188" s="39">
        <v>0.1</v>
      </c>
      <c r="Q188" s="39">
        <v>0.1</v>
      </c>
      <c r="S188" s="1">
        <v>1</v>
      </c>
      <c r="V188" s="15" t="s">
        <v>27</v>
      </c>
      <c r="W188" s="15" t="s">
        <v>541</v>
      </c>
    </row>
    <row r="189" spans="1:23" x14ac:dyDescent="0.2">
      <c r="A189" s="1">
        <v>1</v>
      </c>
      <c r="B189" s="1" t="s">
        <v>552</v>
      </c>
      <c r="C189" s="1">
        <v>1</v>
      </c>
      <c r="D189" s="1" t="s">
        <v>494</v>
      </c>
      <c r="E189" s="4">
        <v>45414</v>
      </c>
      <c r="F189" s="4" t="s">
        <v>671</v>
      </c>
      <c r="G189" s="6" t="s">
        <v>27</v>
      </c>
      <c r="H189" s="3">
        <v>0.76202546296296292</v>
      </c>
      <c r="I189" s="1" t="s">
        <v>27</v>
      </c>
      <c r="J189" s="1" t="s">
        <v>27</v>
      </c>
      <c r="K189" s="6" t="s">
        <v>27</v>
      </c>
      <c r="L189" s="1">
        <v>2</v>
      </c>
      <c r="M189" s="1" t="s">
        <v>14</v>
      </c>
      <c r="N189" s="5" t="s">
        <v>527</v>
      </c>
      <c r="O189" s="1" t="s">
        <v>13</v>
      </c>
      <c r="P189" s="39">
        <v>0.1</v>
      </c>
      <c r="Q189" s="39">
        <v>0.1</v>
      </c>
      <c r="S189" s="1" t="s">
        <v>27</v>
      </c>
      <c r="U189" s="1" t="s">
        <v>176</v>
      </c>
      <c r="V189" s="15" t="s">
        <v>27</v>
      </c>
      <c r="W189" s="15" t="s">
        <v>541</v>
      </c>
    </row>
    <row r="190" spans="1:23" x14ac:dyDescent="0.2">
      <c r="A190" s="1">
        <v>1</v>
      </c>
      <c r="B190" s="1" t="s">
        <v>552</v>
      </c>
      <c r="C190" s="1">
        <v>1</v>
      </c>
      <c r="D190" s="1" t="s">
        <v>309</v>
      </c>
      <c r="E190" s="4" t="s">
        <v>27</v>
      </c>
      <c r="F190" s="4" t="s">
        <v>671</v>
      </c>
      <c r="G190" s="6" t="s">
        <v>27</v>
      </c>
      <c r="H190" s="3">
        <v>0.76178240740740744</v>
      </c>
      <c r="I190" s="3">
        <v>2.7222222222222221E-2</v>
      </c>
      <c r="J190" s="3">
        <f>I190+H190</f>
        <v>0.78900462962962969</v>
      </c>
      <c r="K190" s="6" t="s">
        <v>27</v>
      </c>
      <c r="L190" s="1">
        <v>2</v>
      </c>
      <c r="M190" s="1" t="s">
        <v>14</v>
      </c>
      <c r="N190" s="5" t="s">
        <v>527</v>
      </c>
      <c r="O190" s="1" t="s">
        <v>14</v>
      </c>
      <c r="P190" s="39">
        <v>0.1</v>
      </c>
      <c r="Q190" s="39">
        <v>0.1</v>
      </c>
      <c r="S190" s="1" t="s">
        <v>27</v>
      </c>
      <c r="U190" s="1" t="s">
        <v>605</v>
      </c>
      <c r="V190" s="15" t="s">
        <v>27</v>
      </c>
      <c r="W190" s="15" t="s">
        <v>541</v>
      </c>
    </row>
    <row r="191" spans="1:23" x14ac:dyDescent="0.2">
      <c r="A191" s="1">
        <v>1</v>
      </c>
      <c r="B191" s="1" t="s">
        <v>552</v>
      </c>
      <c r="C191" s="1">
        <v>1</v>
      </c>
      <c r="D191" s="1" t="s">
        <v>260</v>
      </c>
      <c r="E191" s="4">
        <v>45410</v>
      </c>
      <c r="F191" s="4" t="s">
        <v>671</v>
      </c>
      <c r="G191" s="6">
        <f>K191+H191</f>
        <v>0.78246527777777775</v>
      </c>
      <c r="H191" s="3">
        <v>0.76336805555555554</v>
      </c>
      <c r="I191" s="3">
        <v>9.5370370370370366E-3</v>
      </c>
      <c r="J191" s="3">
        <f>I191+H191</f>
        <v>0.77290509259259255</v>
      </c>
      <c r="K191" s="6">
        <v>1.9097222222222224E-2</v>
      </c>
      <c r="L191" s="1">
        <v>2</v>
      </c>
      <c r="M191" s="1" t="s">
        <v>14</v>
      </c>
      <c r="N191" s="5" t="s">
        <v>527</v>
      </c>
      <c r="O191" s="1" t="s">
        <v>13</v>
      </c>
      <c r="P191" s="39">
        <v>0.1</v>
      </c>
      <c r="Q191" s="39">
        <v>0.1</v>
      </c>
      <c r="S191" s="1">
        <v>1</v>
      </c>
      <c r="V191" s="15" t="s">
        <v>27</v>
      </c>
      <c r="W191" s="15" t="s">
        <v>541</v>
      </c>
    </row>
    <row r="192" spans="1:23" x14ac:dyDescent="0.2">
      <c r="A192" s="1">
        <v>1</v>
      </c>
      <c r="B192" s="1" t="s">
        <v>551</v>
      </c>
      <c r="C192" s="1">
        <v>1</v>
      </c>
      <c r="D192" s="1" t="s">
        <v>260</v>
      </c>
      <c r="E192" s="4">
        <v>45410</v>
      </c>
      <c r="F192" s="4" t="s">
        <v>671</v>
      </c>
      <c r="G192" s="6">
        <f>K192+H192</f>
        <v>0.78259259259259262</v>
      </c>
      <c r="H192" s="3">
        <v>0.76336805555555554</v>
      </c>
      <c r="K192" s="6">
        <v>1.9224537037037037E-2</v>
      </c>
      <c r="L192" s="1">
        <v>2</v>
      </c>
      <c r="M192" s="1" t="s">
        <v>13</v>
      </c>
      <c r="N192" s="5" t="s">
        <v>527</v>
      </c>
      <c r="O192" s="1" t="s">
        <v>14</v>
      </c>
      <c r="P192" s="39">
        <v>0.1</v>
      </c>
      <c r="Q192" s="39">
        <v>0.1</v>
      </c>
      <c r="S192" s="1">
        <v>0</v>
      </c>
      <c r="U192" s="1" t="s">
        <v>153</v>
      </c>
      <c r="V192" s="15" t="s">
        <v>27</v>
      </c>
      <c r="W192" s="15" t="s">
        <v>541</v>
      </c>
    </row>
    <row r="193" spans="1:23" x14ac:dyDescent="0.2">
      <c r="A193" s="1">
        <v>1</v>
      </c>
      <c r="B193" s="1" t="s">
        <v>551</v>
      </c>
      <c r="C193" s="1">
        <v>1</v>
      </c>
      <c r="D193" s="1" t="s">
        <v>597</v>
      </c>
      <c r="E193" s="4">
        <v>45413</v>
      </c>
      <c r="F193" s="4" t="s">
        <v>671</v>
      </c>
      <c r="G193" s="6">
        <f>K193+H193</f>
        <v>0.77811342592592592</v>
      </c>
      <c r="H193" s="3">
        <v>0.77603009259259259</v>
      </c>
      <c r="I193" s="3">
        <v>7.7546296296296293E-4</v>
      </c>
      <c r="J193" s="3">
        <f>I193+H193</f>
        <v>0.77680555555555553</v>
      </c>
      <c r="K193" s="6">
        <v>2.0833333333333333E-3</v>
      </c>
      <c r="L193" s="1">
        <v>2</v>
      </c>
      <c r="M193" s="1" t="s">
        <v>14</v>
      </c>
      <c r="N193" s="5" t="s">
        <v>527</v>
      </c>
      <c r="O193" s="1" t="s">
        <v>14</v>
      </c>
      <c r="P193" s="39">
        <v>0.1</v>
      </c>
      <c r="Q193" s="39">
        <v>0.1</v>
      </c>
      <c r="S193" s="1">
        <v>1</v>
      </c>
      <c r="V193" s="15" t="s">
        <v>27</v>
      </c>
      <c r="W193" s="15" t="s">
        <v>541</v>
      </c>
    </row>
    <row r="194" spans="1:23" x14ac:dyDescent="0.2">
      <c r="A194" s="1">
        <v>1</v>
      </c>
      <c r="B194" s="1" t="s">
        <v>552</v>
      </c>
      <c r="C194" s="1" t="s">
        <v>27</v>
      </c>
      <c r="D194" s="1" t="s">
        <v>597</v>
      </c>
      <c r="E194" s="4">
        <v>45413</v>
      </c>
      <c r="F194" s="4" t="s">
        <v>671</v>
      </c>
      <c r="G194" s="6" t="s">
        <v>27</v>
      </c>
      <c r="H194" s="3">
        <v>0.77603009259259259</v>
      </c>
      <c r="I194" s="1" t="s">
        <v>27</v>
      </c>
      <c r="J194" s="1" t="s">
        <v>27</v>
      </c>
      <c r="K194" s="6" t="s">
        <v>27</v>
      </c>
      <c r="L194" s="1">
        <v>2</v>
      </c>
      <c r="M194" s="1" t="s">
        <v>13</v>
      </c>
      <c r="N194" s="5" t="s">
        <v>527</v>
      </c>
      <c r="O194" s="1" t="s">
        <v>13</v>
      </c>
      <c r="P194" s="39">
        <v>0.1</v>
      </c>
      <c r="Q194" s="39">
        <v>0.1</v>
      </c>
      <c r="S194" s="1" t="s">
        <v>27</v>
      </c>
      <c r="U194" s="1" t="s">
        <v>176</v>
      </c>
      <c r="V194" s="15" t="s">
        <v>27</v>
      </c>
      <c r="W194" s="15" t="s">
        <v>541</v>
      </c>
    </row>
    <row r="195" spans="1:23" x14ac:dyDescent="0.2">
      <c r="A195" s="1">
        <v>1</v>
      </c>
      <c r="B195" s="1" t="s">
        <v>551</v>
      </c>
      <c r="C195" s="1">
        <v>1</v>
      </c>
      <c r="D195" s="1" t="s">
        <v>493</v>
      </c>
      <c r="E195" s="4">
        <v>45415</v>
      </c>
      <c r="F195" s="4" t="s">
        <v>671</v>
      </c>
      <c r="G195" s="6">
        <f>K195+H195</f>
        <v>0.24337962962962964</v>
      </c>
      <c r="H195" s="3">
        <v>0.22266203703703705</v>
      </c>
      <c r="I195" s="3">
        <v>1.0752314814814815E-2</v>
      </c>
      <c r="J195" s="3">
        <f>I195+H195</f>
        <v>0.23341435185185186</v>
      </c>
      <c r="K195" s="6">
        <v>2.0717592592592593E-2</v>
      </c>
      <c r="L195" s="1">
        <v>2</v>
      </c>
      <c r="M195" s="1" t="s">
        <v>14</v>
      </c>
      <c r="N195" s="5" t="s">
        <v>527</v>
      </c>
      <c r="O195" s="1" t="s">
        <v>13</v>
      </c>
      <c r="P195" s="39">
        <v>0.1</v>
      </c>
      <c r="Q195" s="39">
        <v>0.1</v>
      </c>
      <c r="S195" s="1">
        <v>1</v>
      </c>
      <c r="V195" s="15" t="s">
        <v>27</v>
      </c>
      <c r="W195" s="15" t="s">
        <v>541</v>
      </c>
    </row>
    <row r="196" spans="1:23" x14ac:dyDescent="0.2">
      <c r="A196" s="1">
        <v>1</v>
      </c>
      <c r="B196" s="1" t="s">
        <v>552</v>
      </c>
      <c r="C196" s="1">
        <v>1</v>
      </c>
      <c r="D196" s="1" t="s">
        <v>493</v>
      </c>
      <c r="E196" s="4">
        <v>45415</v>
      </c>
      <c r="F196" s="4" t="s">
        <v>671</v>
      </c>
      <c r="G196" s="6">
        <f>K196+H196</f>
        <v>0.24672453703703706</v>
      </c>
      <c r="H196" s="3">
        <v>0.22266203703703705</v>
      </c>
      <c r="I196" s="3">
        <v>1.6053240740740739E-2</v>
      </c>
      <c r="J196" s="3">
        <f>I196+H196</f>
        <v>0.23871527777777779</v>
      </c>
      <c r="K196" s="6">
        <v>2.4062500000000001E-2</v>
      </c>
      <c r="L196" s="1">
        <v>2</v>
      </c>
      <c r="M196" s="1" t="s">
        <v>14</v>
      </c>
      <c r="N196" s="5" t="s">
        <v>527</v>
      </c>
      <c r="O196" s="1" t="s">
        <v>14</v>
      </c>
      <c r="P196" s="39">
        <v>0.1</v>
      </c>
      <c r="Q196" s="39">
        <v>0.1</v>
      </c>
      <c r="S196" s="1">
        <v>0</v>
      </c>
      <c r="U196" s="1" t="s">
        <v>613</v>
      </c>
      <c r="V196" s="15" t="s">
        <v>27</v>
      </c>
      <c r="W196" s="15" t="s">
        <v>541</v>
      </c>
    </row>
    <row r="197" spans="1:23" x14ac:dyDescent="0.2">
      <c r="A197" s="1">
        <v>1</v>
      </c>
      <c r="B197" s="1" t="s">
        <v>552</v>
      </c>
      <c r="C197" s="1">
        <v>1</v>
      </c>
      <c r="D197" s="1" t="s">
        <v>486</v>
      </c>
      <c r="E197" s="4">
        <v>45415</v>
      </c>
      <c r="F197" s="4" t="s">
        <v>671</v>
      </c>
      <c r="G197" s="6" t="s">
        <v>27</v>
      </c>
      <c r="H197" s="3">
        <v>0.75718750000000001</v>
      </c>
      <c r="I197" s="1" t="s">
        <v>27</v>
      </c>
      <c r="J197" s="1" t="s">
        <v>27</v>
      </c>
      <c r="K197" s="6" t="s">
        <v>27</v>
      </c>
      <c r="L197" s="1">
        <v>2</v>
      </c>
      <c r="M197" s="1" t="s">
        <v>14</v>
      </c>
      <c r="N197" s="5" t="s">
        <v>527</v>
      </c>
      <c r="O197" s="1" t="s">
        <v>13</v>
      </c>
      <c r="P197" s="39">
        <v>0.1</v>
      </c>
      <c r="Q197" s="39">
        <v>0.1</v>
      </c>
      <c r="S197" s="1" t="s">
        <v>27</v>
      </c>
      <c r="U197" s="1" t="s">
        <v>594</v>
      </c>
      <c r="V197" s="15" t="s">
        <v>27</v>
      </c>
      <c r="W197" s="15" t="s">
        <v>541</v>
      </c>
    </row>
    <row r="198" spans="1:23" x14ac:dyDescent="0.2">
      <c r="A198" s="1">
        <v>1</v>
      </c>
      <c r="B198" s="1" t="s">
        <v>551</v>
      </c>
      <c r="C198" s="1">
        <v>1</v>
      </c>
      <c r="D198" s="1" t="s">
        <v>486</v>
      </c>
      <c r="E198" s="4">
        <v>45415</v>
      </c>
      <c r="F198" s="4" t="s">
        <v>671</v>
      </c>
      <c r="G198" s="6">
        <f t="shared" ref="G198:G203" si="16">K198+H198</f>
        <v>0.78275462962962961</v>
      </c>
      <c r="H198" s="3">
        <v>0.75718750000000001</v>
      </c>
      <c r="I198" s="3">
        <v>2.3969907407407409E-2</v>
      </c>
      <c r="J198" s="3">
        <f t="shared" ref="J198:J203" si="17">I198+H198</f>
        <v>0.78115740740740747</v>
      </c>
      <c r="K198" s="6">
        <v>2.5567129629629631E-2</v>
      </c>
      <c r="L198" s="1">
        <v>2</v>
      </c>
      <c r="M198" s="1" t="s">
        <v>13</v>
      </c>
      <c r="N198" s="5" t="s">
        <v>527</v>
      </c>
      <c r="O198" s="1" t="s">
        <v>13</v>
      </c>
      <c r="P198" s="39">
        <v>0.1</v>
      </c>
      <c r="Q198" s="39">
        <v>0.1</v>
      </c>
      <c r="S198" s="1">
        <v>1</v>
      </c>
      <c r="V198" s="15" t="s">
        <v>27</v>
      </c>
      <c r="W198" s="15" t="s">
        <v>541</v>
      </c>
    </row>
    <row r="199" spans="1:23" x14ac:dyDescent="0.2">
      <c r="A199" s="1">
        <v>1</v>
      </c>
      <c r="B199" s="1" t="s">
        <v>551</v>
      </c>
      <c r="C199" s="1">
        <v>1</v>
      </c>
      <c r="D199" s="1" t="s">
        <v>477</v>
      </c>
      <c r="E199" s="4">
        <v>45416</v>
      </c>
      <c r="F199" s="4" t="s">
        <v>671</v>
      </c>
      <c r="G199" s="6">
        <f t="shared" si="16"/>
        <v>0.24674768518518519</v>
      </c>
      <c r="H199" s="3">
        <v>0.22224537037037037</v>
      </c>
      <c r="I199" s="3">
        <v>9.1782407407407403E-3</v>
      </c>
      <c r="J199" s="3">
        <f t="shared" si="17"/>
        <v>0.23142361111111112</v>
      </c>
      <c r="K199" s="6">
        <v>2.4502314814814814E-2</v>
      </c>
      <c r="L199" s="1">
        <v>2</v>
      </c>
      <c r="M199" s="1" t="s">
        <v>14</v>
      </c>
      <c r="N199" s="5" t="s">
        <v>527</v>
      </c>
      <c r="O199" s="1" t="s">
        <v>14</v>
      </c>
      <c r="P199" s="39">
        <v>0.3</v>
      </c>
      <c r="Q199" s="39">
        <v>0.3</v>
      </c>
      <c r="S199" s="1">
        <v>0</v>
      </c>
      <c r="V199" s="15" t="s">
        <v>27</v>
      </c>
      <c r="W199" s="15" t="s">
        <v>541</v>
      </c>
    </row>
    <row r="200" spans="1:23" x14ac:dyDescent="0.2">
      <c r="A200" s="1">
        <v>1</v>
      </c>
      <c r="B200" s="1" t="s">
        <v>552</v>
      </c>
      <c r="C200" s="1">
        <v>1</v>
      </c>
      <c r="D200" s="1" t="s">
        <v>477</v>
      </c>
      <c r="E200" s="4">
        <v>45416</v>
      </c>
      <c r="F200" s="4" t="s">
        <v>671</v>
      </c>
      <c r="G200" s="6">
        <f t="shared" si="16"/>
        <v>0.24774305555555556</v>
      </c>
      <c r="H200" s="3">
        <v>0.22224537037037037</v>
      </c>
      <c r="I200" s="3">
        <v>1.9988425925925927E-2</v>
      </c>
      <c r="J200" s="3">
        <f t="shared" si="17"/>
        <v>0.24223379629629629</v>
      </c>
      <c r="K200" s="3">
        <v>2.5497685185185186E-2</v>
      </c>
      <c r="L200" s="1">
        <v>2</v>
      </c>
      <c r="M200" s="1" t="s">
        <v>13</v>
      </c>
      <c r="N200" s="5" t="s">
        <v>527</v>
      </c>
      <c r="O200" s="1" t="s">
        <v>13</v>
      </c>
      <c r="P200" s="39">
        <v>0.3</v>
      </c>
      <c r="Q200" s="39">
        <v>0.3</v>
      </c>
      <c r="S200" s="1">
        <v>1</v>
      </c>
      <c r="V200" s="15" t="s">
        <v>27</v>
      </c>
      <c r="W200" s="15" t="s">
        <v>541</v>
      </c>
    </row>
    <row r="201" spans="1:23" x14ac:dyDescent="0.2">
      <c r="A201" s="1">
        <v>1</v>
      </c>
      <c r="B201" s="1" t="s">
        <v>551</v>
      </c>
      <c r="C201" s="1">
        <v>1</v>
      </c>
      <c r="D201" s="1" t="s">
        <v>498</v>
      </c>
      <c r="E201" s="4">
        <v>45417</v>
      </c>
      <c r="F201" s="4" t="s">
        <v>671</v>
      </c>
      <c r="G201" s="6">
        <f t="shared" si="16"/>
        <v>0.78546296296296292</v>
      </c>
      <c r="H201" s="3">
        <v>0.75489583333333332</v>
      </c>
      <c r="I201" s="3">
        <v>2.6631944444444444E-2</v>
      </c>
      <c r="J201" s="3">
        <f t="shared" si="17"/>
        <v>0.78152777777777782</v>
      </c>
      <c r="K201" s="3">
        <v>3.0567129629629628E-2</v>
      </c>
      <c r="L201" s="1">
        <v>2</v>
      </c>
      <c r="M201" s="1" t="s">
        <v>13</v>
      </c>
      <c r="N201" s="5" t="s">
        <v>527</v>
      </c>
      <c r="O201" s="1" t="s">
        <v>14</v>
      </c>
      <c r="P201" s="39">
        <v>0.3</v>
      </c>
      <c r="Q201" s="39">
        <v>0.3</v>
      </c>
      <c r="S201" s="1">
        <v>0</v>
      </c>
      <c r="V201" s="15" t="s">
        <v>27</v>
      </c>
      <c r="W201" s="15" t="s">
        <v>541</v>
      </c>
    </row>
    <row r="202" spans="1:23" x14ac:dyDescent="0.2">
      <c r="A202" s="1">
        <v>1</v>
      </c>
      <c r="B202" s="1" t="s">
        <v>551</v>
      </c>
      <c r="C202" s="1">
        <v>1</v>
      </c>
      <c r="D202" s="1" t="s">
        <v>501</v>
      </c>
      <c r="E202" s="4">
        <v>45418</v>
      </c>
      <c r="F202" s="4" t="s">
        <v>671</v>
      </c>
      <c r="G202" s="6">
        <f t="shared" si="16"/>
        <v>0.24012731481481481</v>
      </c>
      <c r="H202" s="3">
        <v>0.22247685185185184</v>
      </c>
      <c r="I202" s="3">
        <v>1.2615740740740742E-2</v>
      </c>
      <c r="J202" s="3">
        <f t="shared" si="17"/>
        <v>0.23509259259259258</v>
      </c>
      <c r="K202" s="6">
        <v>1.7650462962962962E-2</v>
      </c>
      <c r="L202" s="1">
        <v>2</v>
      </c>
      <c r="M202" s="1" t="s">
        <v>14</v>
      </c>
      <c r="N202" s="5" t="s">
        <v>527</v>
      </c>
      <c r="O202" s="1" t="s">
        <v>13</v>
      </c>
      <c r="P202" s="39">
        <v>0.1</v>
      </c>
      <c r="Q202" s="39">
        <v>0.1</v>
      </c>
      <c r="S202" s="1">
        <v>1</v>
      </c>
      <c r="V202" s="15" t="s">
        <v>27</v>
      </c>
      <c r="W202" s="15" t="s">
        <v>541</v>
      </c>
    </row>
    <row r="203" spans="1:23" x14ac:dyDescent="0.2">
      <c r="A203" s="1">
        <v>1</v>
      </c>
      <c r="B203" s="1" t="s">
        <v>552</v>
      </c>
      <c r="C203" s="1">
        <v>1</v>
      </c>
      <c r="D203" s="1" t="s">
        <v>501</v>
      </c>
      <c r="E203" s="4">
        <v>45418</v>
      </c>
      <c r="F203" s="4" t="s">
        <v>671</v>
      </c>
      <c r="G203" s="6">
        <f t="shared" si="16"/>
        <v>0.24710648148148148</v>
      </c>
      <c r="H203" s="3">
        <v>0.22247685185185184</v>
      </c>
      <c r="I203" s="3">
        <v>2.0254629629629629E-2</v>
      </c>
      <c r="J203" s="3">
        <f t="shared" si="17"/>
        <v>0.24273148148148146</v>
      </c>
      <c r="K203" s="6">
        <v>2.462962962962963E-2</v>
      </c>
      <c r="L203" s="1">
        <v>2</v>
      </c>
      <c r="M203" s="1" t="s">
        <v>13</v>
      </c>
      <c r="N203" s="5" t="s">
        <v>527</v>
      </c>
      <c r="O203" s="1" t="s">
        <v>14</v>
      </c>
      <c r="P203" s="39">
        <v>0.1</v>
      </c>
      <c r="Q203" s="39">
        <v>0.1</v>
      </c>
      <c r="S203" s="1" t="s">
        <v>27</v>
      </c>
      <c r="U203" s="1" t="s">
        <v>628</v>
      </c>
      <c r="V203" s="15" t="s">
        <v>27</v>
      </c>
      <c r="W203" s="15" t="s">
        <v>541</v>
      </c>
    </row>
    <row r="204" spans="1:23" x14ac:dyDescent="0.2">
      <c r="A204" s="1">
        <v>1</v>
      </c>
      <c r="B204" s="1" t="s">
        <v>27</v>
      </c>
      <c r="C204" s="1" t="s">
        <v>27</v>
      </c>
      <c r="D204" s="1" t="s">
        <v>27</v>
      </c>
      <c r="E204" s="4">
        <v>45416</v>
      </c>
      <c r="F204" s="6" t="s">
        <v>27</v>
      </c>
      <c r="G204" s="6" t="s">
        <v>27</v>
      </c>
      <c r="H204" s="1" t="s">
        <v>27</v>
      </c>
      <c r="I204" s="1" t="s">
        <v>27</v>
      </c>
      <c r="J204" s="1" t="s">
        <v>27</v>
      </c>
      <c r="K204" s="1" t="s">
        <v>27</v>
      </c>
      <c r="L204" s="1" t="s">
        <v>27</v>
      </c>
      <c r="M204" s="1" t="s">
        <v>27</v>
      </c>
      <c r="N204" s="1" t="s">
        <v>27</v>
      </c>
      <c r="O204" s="1" t="s">
        <v>27</v>
      </c>
      <c r="P204" s="40" t="s">
        <v>27</v>
      </c>
      <c r="Q204" s="40" t="s">
        <v>27</v>
      </c>
      <c r="R204" s="1"/>
      <c r="S204" s="1" t="s">
        <v>27</v>
      </c>
      <c r="T204" s="1"/>
      <c r="U204" s="1" t="s">
        <v>629</v>
      </c>
      <c r="V204" s="6" t="s">
        <v>27</v>
      </c>
      <c r="W204" s="6" t="s">
        <v>27</v>
      </c>
    </row>
    <row r="205" spans="1:23" x14ac:dyDescent="0.2">
      <c r="A205" s="1">
        <v>1</v>
      </c>
      <c r="B205" s="1" t="s">
        <v>552</v>
      </c>
      <c r="C205" s="1">
        <v>1</v>
      </c>
      <c r="D205" s="1" t="s">
        <v>518</v>
      </c>
      <c r="E205" s="4">
        <v>45418</v>
      </c>
      <c r="F205" s="4" t="s">
        <v>671</v>
      </c>
      <c r="G205" s="6">
        <f>K205+H205</f>
        <v>0.79791666666666672</v>
      </c>
      <c r="H205" s="3">
        <v>0.76704861111111111</v>
      </c>
      <c r="I205" s="3">
        <v>8.0439814814814818E-3</v>
      </c>
      <c r="J205" s="3">
        <f>I205+H205</f>
        <v>0.77509259259259256</v>
      </c>
      <c r="K205" s="6">
        <v>3.0868055555555555E-2</v>
      </c>
      <c r="L205" s="1">
        <v>2</v>
      </c>
      <c r="M205" s="1" t="s">
        <v>14</v>
      </c>
      <c r="N205" s="5" t="s">
        <v>527</v>
      </c>
      <c r="O205" s="1" t="s">
        <v>13</v>
      </c>
      <c r="P205" s="39">
        <v>0.1</v>
      </c>
      <c r="Q205" s="39">
        <v>0.1</v>
      </c>
      <c r="S205" s="1">
        <v>0</v>
      </c>
      <c r="U205" s="1" t="s">
        <v>631</v>
      </c>
      <c r="V205" s="15" t="s">
        <v>27</v>
      </c>
      <c r="W205" s="15" t="s">
        <v>541</v>
      </c>
    </row>
    <row r="206" spans="1:23" x14ac:dyDescent="0.2">
      <c r="A206" s="1">
        <v>1</v>
      </c>
      <c r="B206" s="1" t="s">
        <v>551</v>
      </c>
      <c r="C206" s="1">
        <v>1</v>
      </c>
      <c r="D206" s="1" t="s">
        <v>518</v>
      </c>
      <c r="E206" s="4">
        <v>45418</v>
      </c>
      <c r="F206" s="4" t="s">
        <v>671</v>
      </c>
      <c r="G206" s="6">
        <f>K206+H206</f>
        <v>0.78592592592592592</v>
      </c>
      <c r="H206" s="3">
        <v>0.76704861111111111</v>
      </c>
      <c r="I206" s="3">
        <v>1.3078703703703703E-2</v>
      </c>
      <c r="J206" s="3">
        <f>I206+H206</f>
        <v>0.78012731481481479</v>
      </c>
      <c r="K206" s="6">
        <v>1.8877314814814816E-2</v>
      </c>
      <c r="L206" s="1">
        <v>2</v>
      </c>
      <c r="M206" s="1" t="s">
        <v>14</v>
      </c>
      <c r="N206" s="5" t="s">
        <v>527</v>
      </c>
      <c r="O206" s="1" t="s">
        <v>14</v>
      </c>
      <c r="P206" s="39">
        <v>0.1</v>
      </c>
      <c r="Q206" s="39">
        <v>0.1</v>
      </c>
      <c r="S206" s="1">
        <v>0</v>
      </c>
      <c r="V206" s="15" t="s">
        <v>27</v>
      </c>
      <c r="W206" s="15" t="s">
        <v>541</v>
      </c>
    </row>
    <row r="207" spans="1:23" x14ac:dyDescent="0.2">
      <c r="A207" s="1">
        <v>1</v>
      </c>
      <c r="B207" s="1" t="s">
        <v>552</v>
      </c>
      <c r="C207" s="1">
        <v>1</v>
      </c>
      <c r="D207" s="1" t="s">
        <v>519</v>
      </c>
      <c r="E207" s="4">
        <v>45419</v>
      </c>
      <c r="F207" s="4" t="s">
        <v>671</v>
      </c>
      <c r="G207" s="6" t="s">
        <v>27</v>
      </c>
      <c r="H207" s="3">
        <v>0.22409722222222223</v>
      </c>
      <c r="I207" s="1" t="s">
        <v>27</v>
      </c>
      <c r="J207" s="1" t="s">
        <v>27</v>
      </c>
      <c r="K207" s="1" t="s">
        <v>27</v>
      </c>
      <c r="L207" s="1">
        <v>2</v>
      </c>
      <c r="M207" s="1" t="s">
        <v>13</v>
      </c>
      <c r="N207" s="5" t="s">
        <v>527</v>
      </c>
      <c r="O207" s="1" t="s">
        <v>13</v>
      </c>
      <c r="P207" s="39">
        <v>0.1</v>
      </c>
      <c r="Q207" s="39">
        <v>0.1</v>
      </c>
      <c r="S207" s="1" t="s">
        <v>27</v>
      </c>
      <c r="U207" s="1" t="s">
        <v>632</v>
      </c>
      <c r="V207" s="15" t="s">
        <v>27</v>
      </c>
      <c r="W207" s="15" t="s">
        <v>541</v>
      </c>
    </row>
    <row r="208" spans="1:23" x14ac:dyDescent="0.2">
      <c r="A208" s="1">
        <v>1</v>
      </c>
      <c r="B208" s="1" t="s">
        <v>551</v>
      </c>
      <c r="C208" s="1" t="s">
        <v>27</v>
      </c>
      <c r="D208" s="1" t="s">
        <v>519</v>
      </c>
      <c r="E208" s="4">
        <v>45419</v>
      </c>
      <c r="F208" s="4" t="s">
        <v>671</v>
      </c>
      <c r="G208" s="6" t="s">
        <v>27</v>
      </c>
      <c r="H208" s="3">
        <v>0.22409722222222223</v>
      </c>
      <c r="I208" s="1" t="s">
        <v>27</v>
      </c>
      <c r="J208" s="1" t="s">
        <v>27</v>
      </c>
      <c r="K208" s="1" t="s">
        <v>27</v>
      </c>
      <c r="L208" s="1">
        <v>2</v>
      </c>
      <c r="M208" s="1" t="s">
        <v>14</v>
      </c>
      <c r="N208" s="5" t="s">
        <v>527</v>
      </c>
      <c r="O208" s="1" t="s">
        <v>14</v>
      </c>
      <c r="P208" s="39">
        <v>0.1</v>
      </c>
      <c r="Q208" s="39">
        <v>0.1</v>
      </c>
      <c r="S208" s="1" t="s">
        <v>27</v>
      </c>
      <c r="U208" s="1" t="s">
        <v>566</v>
      </c>
      <c r="V208" s="15" t="s">
        <v>27</v>
      </c>
      <c r="W208" s="15" t="s">
        <v>541</v>
      </c>
    </row>
    <row r="209" spans="1:23" x14ac:dyDescent="0.2">
      <c r="A209" s="1">
        <v>1</v>
      </c>
      <c r="B209" s="1" t="s">
        <v>552</v>
      </c>
      <c r="C209" s="1">
        <v>1</v>
      </c>
      <c r="D209" s="1" t="s">
        <v>638</v>
      </c>
      <c r="E209" s="4">
        <v>45420</v>
      </c>
      <c r="F209" s="4" t="s">
        <v>671</v>
      </c>
      <c r="G209" s="6">
        <f t="shared" ref="G209:G219" si="18">K209+H209</f>
        <v>0.78833333333333333</v>
      </c>
      <c r="H209" s="3">
        <v>0.75777777777777777</v>
      </c>
      <c r="I209" s="3">
        <v>1.8368055555555554E-2</v>
      </c>
      <c r="J209" s="3">
        <f t="shared" ref="J209:J214" si="19">I209+H209</f>
        <v>0.77614583333333331</v>
      </c>
      <c r="K209" s="6">
        <v>3.0555555555555555E-2</v>
      </c>
      <c r="L209" s="1">
        <v>1</v>
      </c>
      <c r="M209" s="1" t="s">
        <v>14</v>
      </c>
      <c r="N209" s="5" t="s">
        <v>527</v>
      </c>
      <c r="O209" s="1" t="s">
        <v>13</v>
      </c>
      <c r="P209" s="39">
        <v>0.1</v>
      </c>
      <c r="Q209" s="39">
        <v>0.1</v>
      </c>
      <c r="S209" s="1">
        <v>0</v>
      </c>
      <c r="U209" s="1" t="s">
        <v>639</v>
      </c>
      <c r="V209" s="15" t="s">
        <v>27</v>
      </c>
      <c r="W209" s="15" t="s">
        <v>541</v>
      </c>
    </row>
    <row r="210" spans="1:23" x14ac:dyDescent="0.2">
      <c r="A210" s="1">
        <v>1</v>
      </c>
      <c r="B210" s="1" t="s">
        <v>551</v>
      </c>
      <c r="C210" s="1">
        <v>1</v>
      </c>
      <c r="D210" s="1" t="s">
        <v>638</v>
      </c>
      <c r="E210" s="4">
        <v>45420</v>
      </c>
      <c r="F210" s="4" t="s">
        <v>671</v>
      </c>
      <c r="G210" s="6">
        <f t="shared" si="18"/>
        <v>0.78938657407407409</v>
      </c>
      <c r="H210" s="3">
        <v>0.75777777777777777</v>
      </c>
      <c r="I210" s="3">
        <v>2.9618055555555557E-2</v>
      </c>
      <c r="J210" s="3">
        <f t="shared" si="19"/>
        <v>0.78739583333333329</v>
      </c>
      <c r="K210" s="6">
        <v>3.1608796296296295E-2</v>
      </c>
      <c r="L210" s="1">
        <v>2</v>
      </c>
      <c r="M210" s="1" t="s">
        <v>14</v>
      </c>
      <c r="N210" s="5" t="s">
        <v>527</v>
      </c>
      <c r="O210" s="1" t="s">
        <v>13</v>
      </c>
      <c r="P210" s="39">
        <v>0.1</v>
      </c>
      <c r="Q210" s="39">
        <v>0.1</v>
      </c>
      <c r="S210" s="1">
        <v>1</v>
      </c>
      <c r="U210" s="1" t="s">
        <v>640</v>
      </c>
      <c r="V210" s="15" t="s">
        <v>27</v>
      </c>
      <c r="W210" s="15" t="s">
        <v>541</v>
      </c>
    </row>
    <row r="211" spans="1:23" x14ac:dyDescent="0.2">
      <c r="A211" s="1">
        <v>1</v>
      </c>
      <c r="B211" s="1" t="s">
        <v>551</v>
      </c>
      <c r="C211" s="1">
        <v>1</v>
      </c>
      <c r="D211" s="1" t="s">
        <v>517</v>
      </c>
      <c r="E211" s="4">
        <v>45420</v>
      </c>
      <c r="F211" s="4" t="s">
        <v>669</v>
      </c>
      <c r="G211" s="6">
        <f t="shared" si="18"/>
        <v>0.2462847222222222</v>
      </c>
      <c r="H211" s="3">
        <v>0.22472222222222221</v>
      </c>
      <c r="I211" s="3">
        <v>1.462962962962963E-2</v>
      </c>
      <c r="J211" s="3">
        <f t="shared" si="19"/>
        <v>0.23935185185185184</v>
      </c>
      <c r="K211" s="6">
        <v>2.1562499999999998E-2</v>
      </c>
      <c r="L211" s="1">
        <v>2</v>
      </c>
      <c r="M211" s="1" t="s">
        <v>13</v>
      </c>
      <c r="N211" s="5" t="s">
        <v>547</v>
      </c>
      <c r="O211" s="1" t="s">
        <v>13</v>
      </c>
      <c r="P211" s="39">
        <v>0.1</v>
      </c>
      <c r="Q211" s="39">
        <v>0.1</v>
      </c>
      <c r="S211" s="1">
        <v>1</v>
      </c>
      <c r="V211" s="15" t="s">
        <v>27</v>
      </c>
      <c r="W211" s="15" t="s">
        <v>541</v>
      </c>
    </row>
    <row r="212" spans="1:23" x14ac:dyDescent="0.2">
      <c r="A212" s="1">
        <v>1</v>
      </c>
      <c r="B212" s="1" t="s">
        <v>552</v>
      </c>
      <c r="C212" s="1">
        <v>1</v>
      </c>
      <c r="D212" s="1" t="s">
        <v>517</v>
      </c>
      <c r="E212" s="4">
        <v>45420</v>
      </c>
      <c r="F212" s="4" t="s">
        <v>669</v>
      </c>
      <c r="G212" s="6">
        <f t="shared" si="18"/>
        <v>0.2503009259259259</v>
      </c>
      <c r="H212" s="3">
        <v>0.22472222222222221</v>
      </c>
      <c r="I212" s="3">
        <v>1.462962962962963E-2</v>
      </c>
      <c r="J212" s="3">
        <f t="shared" si="19"/>
        <v>0.23935185185185184</v>
      </c>
      <c r="K212" s="6">
        <v>2.5578703703703704E-2</v>
      </c>
      <c r="L212" s="1">
        <v>2</v>
      </c>
      <c r="M212" s="1" t="s">
        <v>14</v>
      </c>
      <c r="N212" s="5" t="s">
        <v>547</v>
      </c>
      <c r="O212" s="1" t="s">
        <v>14</v>
      </c>
      <c r="P212" s="39">
        <v>0.1</v>
      </c>
      <c r="Q212" s="39">
        <v>0.1</v>
      </c>
      <c r="S212" s="1">
        <v>1</v>
      </c>
      <c r="V212" s="15" t="s">
        <v>27</v>
      </c>
      <c r="W212" s="15" t="s">
        <v>541</v>
      </c>
    </row>
    <row r="213" spans="1:23" x14ac:dyDescent="0.2">
      <c r="A213" s="1">
        <v>1</v>
      </c>
      <c r="B213" s="1" t="s">
        <v>551</v>
      </c>
      <c r="C213" s="1">
        <v>1</v>
      </c>
      <c r="D213" s="1" t="s">
        <v>537</v>
      </c>
      <c r="E213" s="4">
        <v>45419</v>
      </c>
      <c r="F213" s="4" t="s">
        <v>671</v>
      </c>
      <c r="G213" s="6">
        <f t="shared" si="18"/>
        <v>0.79108796296296291</v>
      </c>
      <c r="H213" s="3">
        <v>0.76631944444444444</v>
      </c>
      <c r="I213" s="3">
        <v>1.3460648148148149E-2</v>
      </c>
      <c r="J213" s="3">
        <f t="shared" si="19"/>
        <v>0.77978009259259262</v>
      </c>
      <c r="K213" s="6">
        <v>2.476851851851852E-2</v>
      </c>
      <c r="L213" s="1">
        <v>2</v>
      </c>
      <c r="M213" s="1" t="s">
        <v>14</v>
      </c>
      <c r="O213" s="1" t="s">
        <v>13</v>
      </c>
      <c r="P213" s="39">
        <v>0.1</v>
      </c>
      <c r="Q213" s="39">
        <v>0.3</v>
      </c>
      <c r="S213" s="1">
        <v>1</v>
      </c>
      <c r="T213" s="2" t="s">
        <v>711</v>
      </c>
      <c r="U213" s="1" t="s">
        <v>710</v>
      </c>
      <c r="V213" s="15" t="s">
        <v>27</v>
      </c>
      <c r="W213" s="15" t="s">
        <v>541</v>
      </c>
    </row>
    <row r="214" spans="1:23" x14ac:dyDescent="0.2">
      <c r="A214" s="1">
        <v>1</v>
      </c>
      <c r="B214" s="1" t="s">
        <v>551</v>
      </c>
      <c r="C214" s="1">
        <v>1</v>
      </c>
      <c r="D214" s="1" t="s">
        <v>520</v>
      </c>
      <c r="E214" s="4">
        <v>45421</v>
      </c>
      <c r="F214" s="4" t="s">
        <v>671</v>
      </c>
      <c r="G214" s="6">
        <f t="shared" si="18"/>
        <v>0.24347222222222223</v>
      </c>
      <c r="H214" s="3">
        <v>0.22457175925925926</v>
      </c>
      <c r="I214" s="3">
        <v>1.3761574074074074E-2</v>
      </c>
      <c r="J214" s="3">
        <f t="shared" si="19"/>
        <v>0.23833333333333334</v>
      </c>
      <c r="K214" s="6">
        <v>1.8900462962962963E-2</v>
      </c>
      <c r="L214" s="1">
        <v>2</v>
      </c>
      <c r="M214" s="1" t="s">
        <v>13</v>
      </c>
      <c r="N214" s="5" t="s">
        <v>527</v>
      </c>
      <c r="O214" s="1" t="s">
        <v>13</v>
      </c>
      <c r="P214" s="39">
        <v>0.3</v>
      </c>
      <c r="Q214" s="39">
        <v>0.3</v>
      </c>
      <c r="S214" s="1">
        <v>1</v>
      </c>
      <c r="U214" s="1" t="s">
        <v>705</v>
      </c>
      <c r="V214" s="15" t="s">
        <v>27</v>
      </c>
      <c r="W214" s="15" t="s">
        <v>541</v>
      </c>
    </row>
    <row r="215" spans="1:23" x14ac:dyDescent="0.2">
      <c r="A215" s="1">
        <v>1</v>
      </c>
      <c r="B215" s="1" t="s">
        <v>552</v>
      </c>
      <c r="C215" s="1">
        <v>1</v>
      </c>
      <c r="D215" s="1" t="s">
        <v>520</v>
      </c>
      <c r="E215" s="4">
        <v>45421</v>
      </c>
      <c r="F215" s="4" t="s">
        <v>671</v>
      </c>
      <c r="G215" s="6">
        <f t="shared" si="18"/>
        <v>0.25059027777777776</v>
      </c>
      <c r="H215" s="3">
        <v>0.22457175925925926</v>
      </c>
      <c r="I215" s="1" t="s">
        <v>27</v>
      </c>
      <c r="J215" s="1" t="s">
        <v>27</v>
      </c>
      <c r="K215" s="6">
        <v>2.6018518518518517E-2</v>
      </c>
      <c r="L215" s="1">
        <v>2</v>
      </c>
      <c r="M215" s="1" t="s">
        <v>14</v>
      </c>
      <c r="N215" s="5" t="s">
        <v>527</v>
      </c>
      <c r="O215" s="1" t="s">
        <v>14</v>
      </c>
      <c r="P215" s="39">
        <v>0.3</v>
      </c>
      <c r="Q215" s="39">
        <v>0.3</v>
      </c>
      <c r="S215" s="1">
        <v>0</v>
      </c>
      <c r="U215" s="1" t="s">
        <v>642</v>
      </c>
      <c r="V215" s="15" t="s">
        <v>27</v>
      </c>
      <c r="W215" s="15" t="s">
        <v>541</v>
      </c>
    </row>
    <row r="216" spans="1:23" x14ac:dyDescent="0.2">
      <c r="A216" s="1">
        <v>1</v>
      </c>
      <c r="B216" s="1" t="s">
        <v>552</v>
      </c>
      <c r="C216" s="1">
        <v>1</v>
      </c>
      <c r="D216" s="1" t="s">
        <v>644</v>
      </c>
      <c r="E216" s="4">
        <v>45421</v>
      </c>
      <c r="F216" s="4" t="s">
        <v>671</v>
      </c>
      <c r="G216" s="6">
        <f t="shared" si="18"/>
        <v>0.77841435185185182</v>
      </c>
      <c r="H216" s="3">
        <v>0.77351851851851849</v>
      </c>
      <c r="I216" s="1" t="s">
        <v>27</v>
      </c>
      <c r="J216" s="3" t="s">
        <v>27</v>
      </c>
      <c r="K216" s="6">
        <v>4.8958333333333336E-3</v>
      </c>
      <c r="L216" s="1">
        <v>2</v>
      </c>
      <c r="M216" s="1" t="s">
        <v>14</v>
      </c>
      <c r="N216" s="5" t="s">
        <v>527</v>
      </c>
      <c r="O216" s="1" t="s">
        <v>14</v>
      </c>
      <c r="P216" s="39">
        <v>0.3</v>
      </c>
      <c r="Q216" s="39">
        <v>0.3</v>
      </c>
      <c r="S216" s="1">
        <v>0</v>
      </c>
      <c r="U216" s="1" t="s">
        <v>499</v>
      </c>
      <c r="V216" s="15" t="s">
        <v>27</v>
      </c>
      <c r="W216" s="15" t="s">
        <v>541</v>
      </c>
    </row>
    <row r="217" spans="1:23" x14ac:dyDescent="0.2">
      <c r="A217" s="1">
        <v>1</v>
      </c>
      <c r="B217" s="1" t="s">
        <v>552</v>
      </c>
      <c r="C217" s="1">
        <v>2</v>
      </c>
      <c r="D217" s="1" t="s">
        <v>644</v>
      </c>
      <c r="E217" s="4">
        <v>45421</v>
      </c>
      <c r="F217" s="4" t="s">
        <v>671</v>
      </c>
      <c r="G217" s="6">
        <f t="shared" si="18"/>
        <v>0.78284722222222225</v>
      </c>
      <c r="H217" s="3">
        <v>0.77351851851851849</v>
      </c>
      <c r="I217" s="3">
        <v>6.0416666666666665E-3</v>
      </c>
      <c r="J217" s="3">
        <f>I217+H217</f>
        <v>0.77956018518518511</v>
      </c>
      <c r="K217" s="6">
        <v>9.3287037037037036E-3</v>
      </c>
      <c r="L217" s="1">
        <v>2</v>
      </c>
      <c r="M217" s="1" t="s">
        <v>14</v>
      </c>
      <c r="N217" s="5" t="s">
        <v>527</v>
      </c>
      <c r="O217" s="1" t="s">
        <v>14</v>
      </c>
      <c r="P217" s="39">
        <v>0.3</v>
      </c>
      <c r="Q217" s="39">
        <v>0.3</v>
      </c>
      <c r="S217" s="1">
        <v>0</v>
      </c>
      <c r="V217" s="15" t="s">
        <v>27</v>
      </c>
      <c r="W217" s="15" t="s">
        <v>541</v>
      </c>
    </row>
    <row r="218" spans="1:23" x14ac:dyDescent="0.2">
      <c r="A218" s="1">
        <v>1</v>
      </c>
      <c r="B218" s="1" t="s">
        <v>551</v>
      </c>
      <c r="C218" s="1">
        <v>1</v>
      </c>
      <c r="D218" s="1" t="s">
        <v>644</v>
      </c>
      <c r="E218" s="4">
        <v>45421</v>
      </c>
      <c r="F218" s="4" t="s">
        <v>671</v>
      </c>
      <c r="G218" s="6">
        <f t="shared" si="18"/>
        <v>0.78520833333333329</v>
      </c>
      <c r="H218" s="3">
        <v>0.77351851851851849</v>
      </c>
      <c r="I218" s="3">
        <v>8.8888888888888889E-3</v>
      </c>
      <c r="J218" s="3">
        <f>I218+H218</f>
        <v>0.78240740740740733</v>
      </c>
      <c r="K218" s="6">
        <v>1.1689814814814814E-2</v>
      </c>
      <c r="L218" s="1">
        <v>2</v>
      </c>
      <c r="M218" s="1" t="s">
        <v>13</v>
      </c>
      <c r="N218" s="5" t="s">
        <v>527</v>
      </c>
      <c r="O218" s="1" t="s">
        <v>13</v>
      </c>
      <c r="P218" s="39">
        <v>0.3</v>
      </c>
      <c r="Q218" s="39">
        <v>0.3</v>
      </c>
      <c r="S218" s="1">
        <v>1</v>
      </c>
      <c r="V218" s="15" t="s">
        <v>27</v>
      </c>
      <c r="W218" s="15" t="s">
        <v>541</v>
      </c>
    </row>
    <row r="219" spans="1:23" x14ac:dyDescent="0.2">
      <c r="A219" s="1">
        <v>1</v>
      </c>
      <c r="B219" s="1" t="s">
        <v>552</v>
      </c>
      <c r="C219" s="1">
        <v>1</v>
      </c>
      <c r="D219" s="1" t="s">
        <v>646</v>
      </c>
      <c r="E219" s="4">
        <v>45422</v>
      </c>
      <c r="F219" s="4" t="s">
        <v>671</v>
      </c>
      <c r="G219" s="6">
        <f t="shared" si="18"/>
        <v>0.24454861111111112</v>
      </c>
      <c r="H219" s="6">
        <v>0.22093750000000001</v>
      </c>
      <c r="I219" s="1" t="s">
        <v>27</v>
      </c>
      <c r="J219" s="1" t="s">
        <v>27</v>
      </c>
      <c r="K219" s="6">
        <v>2.361111111111111E-2</v>
      </c>
      <c r="L219" s="1">
        <v>2</v>
      </c>
      <c r="M219" s="1" t="s">
        <v>14</v>
      </c>
      <c r="N219" s="5" t="s">
        <v>527</v>
      </c>
      <c r="O219" s="1" t="s">
        <v>13</v>
      </c>
      <c r="P219" s="39">
        <v>0.1</v>
      </c>
      <c r="Q219" s="39">
        <v>0.1</v>
      </c>
      <c r="S219" s="1">
        <v>1</v>
      </c>
      <c r="U219" s="1" t="s">
        <v>499</v>
      </c>
      <c r="V219" s="15" t="s">
        <v>27</v>
      </c>
      <c r="W219" s="15" t="s">
        <v>541</v>
      </c>
    </row>
    <row r="220" spans="1:23" x14ac:dyDescent="0.2">
      <c r="A220" s="1">
        <v>1</v>
      </c>
      <c r="B220" s="1" t="s">
        <v>551</v>
      </c>
      <c r="C220" s="1">
        <v>1</v>
      </c>
      <c r="D220" s="1" t="s">
        <v>644</v>
      </c>
      <c r="E220" s="4">
        <v>45422</v>
      </c>
      <c r="F220" s="4" t="s">
        <v>671</v>
      </c>
      <c r="G220" s="6" t="s">
        <v>27</v>
      </c>
      <c r="H220" s="6">
        <v>0.22093750000000001</v>
      </c>
      <c r="I220" s="1" t="s">
        <v>27</v>
      </c>
      <c r="J220" s="1" t="s">
        <v>27</v>
      </c>
      <c r="K220" s="1" t="s">
        <v>27</v>
      </c>
      <c r="L220" s="1">
        <v>2</v>
      </c>
      <c r="M220" s="1" t="s">
        <v>13</v>
      </c>
      <c r="N220" s="5" t="s">
        <v>527</v>
      </c>
      <c r="O220" s="1" t="s">
        <v>14</v>
      </c>
      <c r="P220" s="39">
        <v>0.1</v>
      </c>
      <c r="Q220" s="39">
        <v>0.1</v>
      </c>
      <c r="S220" s="1" t="s">
        <v>27</v>
      </c>
      <c r="V220" s="15" t="s">
        <v>27</v>
      </c>
      <c r="W220" s="15" t="s">
        <v>541</v>
      </c>
    </row>
    <row r="221" spans="1:23" x14ac:dyDescent="0.2">
      <c r="A221" s="1">
        <v>1</v>
      </c>
      <c r="B221" s="1" t="s">
        <v>552</v>
      </c>
      <c r="C221" s="1">
        <v>1</v>
      </c>
      <c r="D221" s="1" t="s">
        <v>650</v>
      </c>
      <c r="E221" s="4">
        <v>45422</v>
      </c>
      <c r="F221" s="4" t="s">
        <v>671</v>
      </c>
      <c r="G221" s="6">
        <f>K221+H221</f>
        <v>0.78937499999999994</v>
      </c>
      <c r="H221" s="3">
        <v>0.75746527777777772</v>
      </c>
      <c r="I221" s="3">
        <v>1.275462962962963E-2</v>
      </c>
      <c r="J221" s="3">
        <f>I221+H221</f>
        <v>0.77021990740740731</v>
      </c>
      <c r="K221" s="6">
        <v>3.1909722222222221E-2</v>
      </c>
      <c r="L221" s="1">
        <v>2</v>
      </c>
      <c r="M221" s="1" t="s">
        <v>13</v>
      </c>
      <c r="N221" s="5" t="s">
        <v>527</v>
      </c>
      <c r="O221" s="1" t="s">
        <v>14</v>
      </c>
      <c r="P221" s="39">
        <v>0.1</v>
      </c>
      <c r="Q221" s="39">
        <v>0.1</v>
      </c>
      <c r="S221" s="1">
        <v>0</v>
      </c>
      <c r="V221" s="15" t="s">
        <v>27</v>
      </c>
      <c r="W221" s="15" t="s">
        <v>541</v>
      </c>
    </row>
    <row r="222" spans="1:23" x14ac:dyDescent="0.2">
      <c r="A222" s="1">
        <v>1</v>
      </c>
      <c r="B222" s="1" t="s">
        <v>551</v>
      </c>
      <c r="C222" s="1">
        <v>1</v>
      </c>
      <c r="D222" s="1" t="s">
        <v>650</v>
      </c>
      <c r="E222" s="4">
        <v>45422</v>
      </c>
      <c r="F222" s="4" t="s">
        <v>671</v>
      </c>
      <c r="G222" s="6" t="s">
        <v>27</v>
      </c>
      <c r="H222" s="3">
        <v>0.75746527777777772</v>
      </c>
      <c r="I222" s="3">
        <v>2.4363425925925927E-2</v>
      </c>
      <c r="J222" s="3">
        <f>I222+H222</f>
        <v>0.78182870370370361</v>
      </c>
      <c r="L222" s="1">
        <v>2</v>
      </c>
      <c r="M222" s="1" t="s">
        <v>13</v>
      </c>
      <c r="N222" s="5" t="s">
        <v>527</v>
      </c>
      <c r="O222" s="1" t="s">
        <v>13</v>
      </c>
      <c r="P222" s="39">
        <v>0.1</v>
      </c>
      <c r="Q222" s="39">
        <v>0.1</v>
      </c>
      <c r="S222" s="1" t="s">
        <v>27</v>
      </c>
      <c r="U222" s="1" t="s">
        <v>198</v>
      </c>
      <c r="V222" s="15" t="s">
        <v>27</v>
      </c>
      <c r="W222" s="15" t="s">
        <v>541</v>
      </c>
    </row>
    <row r="223" spans="1:23" x14ac:dyDescent="0.2">
      <c r="A223" s="1">
        <v>1</v>
      </c>
      <c r="B223" s="1" t="s">
        <v>552</v>
      </c>
      <c r="C223" s="1">
        <v>1</v>
      </c>
      <c r="D223" s="1" t="s">
        <v>651</v>
      </c>
      <c r="E223" s="4">
        <v>45423</v>
      </c>
      <c r="F223" s="4" t="s">
        <v>671</v>
      </c>
      <c r="G223" s="6">
        <f>K223+H223</f>
        <v>0.23833333333333334</v>
      </c>
      <c r="H223" s="3">
        <v>0.22107638888888889</v>
      </c>
      <c r="I223" s="1" t="s">
        <v>27</v>
      </c>
      <c r="J223" s="1" t="s">
        <v>27</v>
      </c>
      <c r="K223" s="6">
        <v>1.7256944444444443E-2</v>
      </c>
      <c r="L223" s="1">
        <v>2</v>
      </c>
      <c r="M223" s="1" t="s">
        <v>14</v>
      </c>
      <c r="N223" s="5" t="s">
        <v>527</v>
      </c>
      <c r="O223" s="1" t="s">
        <v>13</v>
      </c>
      <c r="P223" s="39">
        <v>0.1</v>
      </c>
      <c r="Q223" s="39">
        <v>0.3</v>
      </c>
      <c r="S223" s="1">
        <v>1</v>
      </c>
      <c r="U223" s="1" t="s">
        <v>499</v>
      </c>
      <c r="V223" s="15" t="s">
        <v>27</v>
      </c>
      <c r="W223" s="15" t="s">
        <v>541</v>
      </c>
    </row>
    <row r="224" spans="1:23" x14ac:dyDescent="0.2">
      <c r="A224" s="1">
        <v>1</v>
      </c>
      <c r="B224" s="1" t="s">
        <v>552</v>
      </c>
      <c r="C224" s="1">
        <v>2</v>
      </c>
      <c r="D224" s="1" t="s">
        <v>651</v>
      </c>
      <c r="E224" s="4">
        <v>45423</v>
      </c>
      <c r="F224" s="4" t="s">
        <v>671</v>
      </c>
      <c r="G224" s="6">
        <f>K224+H224</f>
        <v>0.24685185185185185</v>
      </c>
      <c r="H224" s="3">
        <v>0.22107638888888889</v>
      </c>
      <c r="I224" s="3">
        <v>2.2141203703703705E-2</v>
      </c>
      <c r="J224" s="3">
        <f>I224+H224</f>
        <v>0.2432175925925926</v>
      </c>
      <c r="K224" s="6">
        <v>2.5775462962962962E-2</v>
      </c>
      <c r="L224" s="1">
        <v>2</v>
      </c>
      <c r="M224" s="1" t="s">
        <v>13</v>
      </c>
      <c r="N224" s="5" t="s">
        <v>527</v>
      </c>
      <c r="O224" s="1" t="s">
        <v>13</v>
      </c>
      <c r="P224" s="39">
        <v>0.3</v>
      </c>
      <c r="Q224" s="39">
        <v>0.3</v>
      </c>
      <c r="S224" s="1">
        <v>1</v>
      </c>
      <c r="V224" s="15" t="s">
        <v>27</v>
      </c>
      <c r="W224" s="15" t="s">
        <v>541</v>
      </c>
    </row>
    <row r="225" spans="1:23" x14ac:dyDescent="0.2">
      <c r="A225" s="1">
        <v>1</v>
      </c>
      <c r="B225" s="1" t="s">
        <v>551</v>
      </c>
      <c r="C225" s="1">
        <v>1</v>
      </c>
      <c r="D225" s="1" t="s">
        <v>651</v>
      </c>
      <c r="E225" s="4">
        <v>45423</v>
      </c>
      <c r="F225" s="4" t="s">
        <v>671</v>
      </c>
      <c r="G225" s="6">
        <f>K225+H225</f>
        <v>0.23802083333333335</v>
      </c>
      <c r="H225" s="3">
        <v>0.22107638888888889</v>
      </c>
      <c r="I225" s="3">
        <v>1.1886574074074074E-2</v>
      </c>
      <c r="J225" s="3">
        <f>I225+H225</f>
        <v>0.23296296296296296</v>
      </c>
      <c r="K225" s="6">
        <v>1.6944444444444446E-2</v>
      </c>
      <c r="L225" s="1">
        <v>2</v>
      </c>
      <c r="M225" s="1" t="s">
        <v>13</v>
      </c>
      <c r="N225" s="5" t="s">
        <v>527</v>
      </c>
      <c r="O225" s="1" t="s">
        <v>13</v>
      </c>
      <c r="P225" s="39">
        <v>0.3</v>
      </c>
      <c r="Q225" s="39">
        <v>0.3</v>
      </c>
      <c r="S225" s="1">
        <v>0</v>
      </c>
      <c r="U225" s="1" t="s">
        <v>652</v>
      </c>
      <c r="V225" s="15" t="s">
        <v>27</v>
      </c>
      <c r="W225" s="15" t="s">
        <v>541</v>
      </c>
    </row>
    <row r="226" spans="1:23" x14ac:dyDescent="0.2">
      <c r="A226" s="1">
        <v>1</v>
      </c>
      <c r="B226" s="1" t="s">
        <v>27</v>
      </c>
      <c r="C226" s="1" t="s">
        <v>27</v>
      </c>
      <c r="D226" s="1" t="s">
        <v>27</v>
      </c>
      <c r="E226" s="4">
        <v>45423</v>
      </c>
      <c r="F226" s="4" t="s">
        <v>671</v>
      </c>
      <c r="G226" s="6" t="s">
        <v>27</v>
      </c>
      <c r="H226" s="3" t="s">
        <v>27</v>
      </c>
      <c r="I226" s="3" t="s">
        <v>27</v>
      </c>
      <c r="J226" s="3" t="s">
        <v>27</v>
      </c>
      <c r="K226" s="3" t="s">
        <v>27</v>
      </c>
      <c r="L226" s="3" t="s">
        <v>27</v>
      </c>
      <c r="M226" s="3" t="s">
        <v>27</v>
      </c>
      <c r="N226" s="3" t="s">
        <v>27</v>
      </c>
      <c r="O226" s="3" t="s">
        <v>27</v>
      </c>
      <c r="P226" s="42" t="s">
        <v>27</v>
      </c>
      <c r="Q226" s="42" t="s">
        <v>27</v>
      </c>
      <c r="R226" s="3"/>
      <c r="S226" s="3" t="s">
        <v>27</v>
      </c>
      <c r="T226" s="3"/>
      <c r="U226" s="1" t="s">
        <v>653</v>
      </c>
      <c r="V226" s="6" t="s">
        <v>27</v>
      </c>
      <c r="W226" s="6" t="s">
        <v>27</v>
      </c>
    </row>
    <row r="227" spans="1:23" x14ac:dyDescent="0.2">
      <c r="A227" s="1">
        <v>1</v>
      </c>
      <c r="B227" s="1" t="s">
        <v>552</v>
      </c>
      <c r="C227" s="1">
        <v>1</v>
      </c>
      <c r="D227" s="1" t="s">
        <v>704</v>
      </c>
      <c r="E227" s="4">
        <v>45424</v>
      </c>
      <c r="F227" s="4" t="s">
        <v>671</v>
      </c>
      <c r="G227" s="6" t="s">
        <v>27</v>
      </c>
      <c r="H227" s="3">
        <v>0.21905092592592593</v>
      </c>
      <c r="I227" s="3" t="s">
        <v>27</v>
      </c>
      <c r="J227" s="3" t="s">
        <v>27</v>
      </c>
      <c r="K227" s="3" t="s">
        <v>27</v>
      </c>
      <c r="L227" s="1">
        <v>2</v>
      </c>
      <c r="M227" s="1" t="s">
        <v>13</v>
      </c>
      <c r="N227" s="5" t="s">
        <v>527</v>
      </c>
      <c r="O227" s="1" t="s">
        <v>13</v>
      </c>
      <c r="P227" s="39">
        <v>0.1</v>
      </c>
      <c r="Q227" s="39">
        <v>0.1</v>
      </c>
      <c r="S227" s="1" t="s">
        <v>27</v>
      </c>
      <c r="U227" s="1" t="s">
        <v>660</v>
      </c>
      <c r="V227" s="15" t="s">
        <v>27</v>
      </c>
      <c r="W227" s="15" t="s">
        <v>541</v>
      </c>
    </row>
    <row r="228" spans="1:23" x14ac:dyDescent="0.2">
      <c r="A228" s="1">
        <v>1</v>
      </c>
      <c r="B228" s="1" t="s">
        <v>551</v>
      </c>
      <c r="C228" s="1">
        <v>1</v>
      </c>
      <c r="D228" s="1" t="s">
        <v>704</v>
      </c>
      <c r="E228" s="4">
        <v>45424</v>
      </c>
      <c r="F228" s="4" t="s">
        <v>671</v>
      </c>
      <c r="G228" s="6">
        <f t="shared" ref="G228:G238" si="20">K228+H228</f>
        <v>0.24171296296296296</v>
      </c>
      <c r="H228" s="3">
        <v>0.21905092592592593</v>
      </c>
      <c r="I228" s="3">
        <v>8.0902777777777778E-3</v>
      </c>
      <c r="J228" s="3">
        <f t="shared" ref="J228:J234" si="21">I228+H228</f>
        <v>0.22714120370370369</v>
      </c>
      <c r="K228" s="6">
        <v>2.2662037037037036E-2</v>
      </c>
      <c r="L228" s="1">
        <v>2</v>
      </c>
      <c r="M228" s="1" t="s">
        <v>14</v>
      </c>
      <c r="N228" s="5" t="s">
        <v>527</v>
      </c>
      <c r="O228" s="1" t="s">
        <v>14</v>
      </c>
      <c r="P228" s="39">
        <v>0.1</v>
      </c>
      <c r="Q228" s="39">
        <v>0.1</v>
      </c>
      <c r="S228" s="1">
        <v>1</v>
      </c>
      <c r="V228" s="15" t="s">
        <v>27</v>
      </c>
      <c r="W228" s="15" t="s">
        <v>541</v>
      </c>
    </row>
    <row r="229" spans="1:23" x14ac:dyDescent="0.2">
      <c r="A229" s="1">
        <v>1</v>
      </c>
      <c r="B229" s="1" t="s">
        <v>552</v>
      </c>
      <c r="C229" s="1">
        <v>1</v>
      </c>
      <c r="D229" s="1" t="s">
        <v>661</v>
      </c>
      <c r="E229" s="4">
        <v>45424</v>
      </c>
      <c r="F229" s="4" t="s">
        <v>671</v>
      </c>
      <c r="G229" s="6">
        <f t="shared" si="20"/>
        <v>0.78322916666666664</v>
      </c>
      <c r="H229" s="3">
        <v>0.76358796296296294</v>
      </c>
      <c r="I229" s="3">
        <v>2.9745370370370373E-3</v>
      </c>
      <c r="J229" s="3">
        <f t="shared" si="21"/>
        <v>0.76656249999999992</v>
      </c>
      <c r="K229" s="6">
        <v>1.9641203703703702E-2</v>
      </c>
      <c r="L229" s="1">
        <v>2</v>
      </c>
      <c r="M229" s="1" t="s">
        <v>13</v>
      </c>
      <c r="N229" s="5" t="s">
        <v>527</v>
      </c>
      <c r="O229" s="1" t="s">
        <v>14</v>
      </c>
      <c r="P229" s="39">
        <v>0.1</v>
      </c>
      <c r="Q229" s="39">
        <v>0.1</v>
      </c>
      <c r="S229" s="1" t="s">
        <v>27</v>
      </c>
      <c r="U229" s="1" t="s">
        <v>663</v>
      </c>
      <c r="V229" s="15" t="s">
        <v>27</v>
      </c>
      <c r="W229" s="15" t="s">
        <v>541</v>
      </c>
    </row>
    <row r="230" spans="1:23" x14ac:dyDescent="0.2">
      <c r="A230" s="1">
        <v>1</v>
      </c>
      <c r="B230" s="1" t="s">
        <v>551</v>
      </c>
      <c r="C230" s="1">
        <v>1</v>
      </c>
      <c r="D230" s="1" t="s">
        <v>661</v>
      </c>
      <c r="E230" s="4">
        <v>45424</v>
      </c>
      <c r="F230" s="4" t="s">
        <v>671</v>
      </c>
      <c r="G230" s="6">
        <f t="shared" si="20"/>
        <v>0.79142361111111104</v>
      </c>
      <c r="H230" s="3">
        <v>0.76358796296296294</v>
      </c>
      <c r="I230" s="3">
        <v>1.375E-2</v>
      </c>
      <c r="J230" s="3">
        <f t="shared" si="21"/>
        <v>0.77733796296296298</v>
      </c>
      <c r="K230" s="6">
        <v>2.7835648148148148E-2</v>
      </c>
      <c r="L230" s="1">
        <v>2</v>
      </c>
      <c r="M230" s="1" t="s">
        <v>14</v>
      </c>
      <c r="N230" s="5" t="s">
        <v>527</v>
      </c>
      <c r="O230" s="1" t="s">
        <v>13</v>
      </c>
      <c r="P230" s="39">
        <v>0.1</v>
      </c>
      <c r="Q230" s="39">
        <v>0.3</v>
      </c>
      <c r="S230" s="1">
        <v>0</v>
      </c>
      <c r="U230" s="1" t="s">
        <v>662</v>
      </c>
      <c r="V230" s="15" t="s">
        <v>27</v>
      </c>
      <c r="W230" s="15" t="s">
        <v>541</v>
      </c>
    </row>
    <row r="231" spans="1:23" x14ac:dyDescent="0.2">
      <c r="A231" s="1">
        <v>1</v>
      </c>
      <c r="B231" s="1" t="s">
        <v>552</v>
      </c>
      <c r="C231" s="1">
        <v>1</v>
      </c>
      <c r="D231" s="1" t="s">
        <v>665</v>
      </c>
      <c r="E231" s="4">
        <v>45425</v>
      </c>
      <c r="F231" s="4" t="s">
        <v>671</v>
      </c>
      <c r="G231" s="6">
        <f t="shared" si="20"/>
        <v>0.24660879629629628</v>
      </c>
      <c r="H231" s="3">
        <v>0.21570601851851851</v>
      </c>
      <c r="I231" s="3">
        <v>2.326388888888889E-2</v>
      </c>
      <c r="J231" s="3">
        <f t="shared" si="21"/>
        <v>0.23896990740740739</v>
      </c>
      <c r="K231" s="6">
        <v>3.0902777777777779E-2</v>
      </c>
      <c r="L231" s="1">
        <v>2</v>
      </c>
      <c r="M231" s="1" t="s">
        <v>13</v>
      </c>
      <c r="N231" s="5" t="s">
        <v>527</v>
      </c>
      <c r="O231" s="1" t="s">
        <v>13</v>
      </c>
      <c r="P231" s="39">
        <v>0.1</v>
      </c>
      <c r="Q231" s="39">
        <v>0.1</v>
      </c>
      <c r="S231" s="1">
        <v>1</v>
      </c>
      <c r="V231" s="15" t="s">
        <v>27</v>
      </c>
      <c r="W231" s="15" t="s">
        <v>541</v>
      </c>
    </row>
    <row r="232" spans="1:23" x14ac:dyDescent="0.2">
      <c r="A232" s="1">
        <v>1</v>
      </c>
      <c r="B232" s="1" t="s">
        <v>551</v>
      </c>
      <c r="C232" s="1">
        <v>1</v>
      </c>
      <c r="D232" s="1" t="s">
        <v>665</v>
      </c>
      <c r="E232" s="4">
        <v>45425</v>
      </c>
      <c r="F232" s="4" t="s">
        <v>671</v>
      </c>
      <c r="G232" s="6">
        <f t="shared" si="20"/>
        <v>0.24053240740740739</v>
      </c>
      <c r="H232" s="3">
        <v>0.21570601851851851</v>
      </c>
      <c r="I232" s="3">
        <v>7.0254629629629634E-3</v>
      </c>
      <c r="J232" s="3">
        <f t="shared" si="21"/>
        <v>0.22273148148148147</v>
      </c>
      <c r="K232" s="6">
        <v>2.4826388888888887E-2</v>
      </c>
      <c r="L232" s="1">
        <v>2</v>
      </c>
      <c r="M232" s="1" t="s">
        <v>13</v>
      </c>
      <c r="N232" s="5" t="s">
        <v>527</v>
      </c>
      <c r="O232" s="1" t="s">
        <v>14</v>
      </c>
      <c r="P232" s="39">
        <v>0.1</v>
      </c>
      <c r="Q232" s="39">
        <v>0.1</v>
      </c>
      <c r="S232" s="1">
        <v>1</v>
      </c>
      <c r="V232" s="15" t="s">
        <v>27</v>
      </c>
      <c r="W232" s="15" t="s">
        <v>541</v>
      </c>
    </row>
    <row r="233" spans="1:23" x14ac:dyDescent="0.2">
      <c r="A233" s="1">
        <v>1</v>
      </c>
      <c r="B233" s="1" t="s">
        <v>552</v>
      </c>
      <c r="C233" s="1">
        <v>1</v>
      </c>
      <c r="D233" s="1" t="s">
        <v>672</v>
      </c>
      <c r="E233" s="4">
        <v>45425</v>
      </c>
      <c r="F233" s="4" t="s">
        <v>671</v>
      </c>
      <c r="G233" s="6">
        <f t="shared" si="20"/>
        <v>0.78916666666666668</v>
      </c>
      <c r="H233" s="3">
        <v>0.76613425925925926</v>
      </c>
      <c r="I233" s="3">
        <v>8.7152777777777784E-3</v>
      </c>
      <c r="J233" s="3">
        <f t="shared" si="21"/>
        <v>0.77484953703703707</v>
      </c>
      <c r="K233" s="6">
        <v>2.3032407407407408E-2</v>
      </c>
      <c r="L233" s="1">
        <v>2</v>
      </c>
      <c r="M233" s="1" t="s">
        <v>13</v>
      </c>
      <c r="N233" s="5" t="s">
        <v>527</v>
      </c>
      <c r="O233" s="1" t="s">
        <v>14</v>
      </c>
      <c r="P233" s="39">
        <v>0.1</v>
      </c>
      <c r="Q233" s="39">
        <v>0.3</v>
      </c>
      <c r="S233" s="1">
        <v>0</v>
      </c>
      <c r="U233" s="1" t="s">
        <v>673</v>
      </c>
      <c r="V233" s="15" t="s">
        <v>27</v>
      </c>
      <c r="W233" s="15" t="s">
        <v>541</v>
      </c>
    </row>
    <row r="234" spans="1:23" x14ac:dyDescent="0.2">
      <c r="A234" s="1">
        <v>1</v>
      </c>
      <c r="B234" s="1" t="s">
        <v>551</v>
      </c>
      <c r="C234" s="1">
        <v>1</v>
      </c>
      <c r="D234" s="1" t="s">
        <v>672</v>
      </c>
      <c r="E234" s="4">
        <v>45425</v>
      </c>
      <c r="F234" s="23" t="s">
        <v>671</v>
      </c>
      <c r="G234" s="6">
        <f t="shared" si="20"/>
        <v>0.78479166666666667</v>
      </c>
      <c r="H234" s="3">
        <v>0.76613425925925926</v>
      </c>
      <c r="I234" s="3">
        <v>1.324074074074074E-2</v>
      </c>
      <c r="J234" s="3">
        <f t="shared" si="21"/>
        <v>0.77937500000000004</v>
      </c>
      <c r="K234" s="6">
        <v>1.8657407407407407E-2</v>
      </c>
      <c r="L234" s="1">
        <v>2</v>
      </c>
      <c r="M234" s="1" t="s">
        <v>14</v>
      </c>
      <c r="N234" s="5" t="s">
        <v>527</v>
      </c>
      <c r="O234" s="1" t="s">
        <v>13</v>
      </c>
      <c r="P234" s="39">
        <v>0.1</v>
      </c>
      <c r="Q234" s="39">
        <v>0.3</v>
      </c>
      <c r="S234" s="1">
        <v>1</v>
      </c>
      <c r="V234" s="15" t="s">
        <v>27</v>
      </c>
      <c r="W234" s="15" t="s">
        <v>541</v>
      </c>
    </row>
    <row r="235" spans="1:23" x14ac:dyDescent="0.2">
      <c r="A235" s="1">
        <v>1</v>
      </c>
      <c r="B235" s="1" t="s">
        <v>552</v>
      </c>
      <c r="C235" s="1">
        <v>1</v>
      </c>
      <c r="D235" s="1" t="s">
        <v>675</v>
      </c>
      <c r="E235" s="4">
        <v>45426</v>
      </c>
      <c r="F235" s="23" t="s">
        <v>671</v>
      </c>
      <c r="G235" s="6">
        <f t="shared" si="20"/>
        <v>0.24738425925925928</v>
      </c>
      <c r="H235" s="3">
        <v>0.22115740740740741</v>
      </c>
      <c r="I235" s="1" t="s">
        <v>27</v>
      </c>
      <c r="J235" s="1" t="s">
        <v>27</v>
      </c>
      <c r="K235" s="6">
        <v>2.6226851851851852E-2</v>
      </c>
      <c r="L235" s="1">
        <v>2</v>
      </c>
      <c r="M235" s="1" t="s">
        <v>13</v>
      </c>
      <c r="N235" s="5" t="s">
        <v>527</v>
      </c>
      <c r="O235" s="1" t="s">
        <v>13</v>
      </c>
      <c r="P235" s="39">
        <v>0.1</v>
      </c>
      <c r="Q235" s="39">
        <v>0.1</v>
      </c>
      <c r="S235" s="1">
        <v>1</v>
      </c>
      <c r="U235" s="1" t="s">
        <v>676</v>
      </c>
      <c r="V235" s="15" t="s">
        <v>27</v>
      </c>
      <c r="W235" s="15" t="s">
        <v>541</v>
      </c>
    </row>
    <row r="236" spans="1:23" x14ac:dyDescent="0.2">
      <c r="A236" s="1">
        <v>1</v>
      </c>
      <c r="B236" s="1" t="s">
        <v>552</v>
      </c>
      <c r="C236" s="1">
        <v>2</v>
      </c>
      <c r="D236" s="1" t="s">
        <v>675</v>
      </c>
      <c r="E236" s="4">
        <v>45426</v>
      </c>
      <c r="F236" s="23" t="s">
        <v>671</v>
      </c>
      <c r="G236" s="6">
        <f t="shared" si="20"/>
        <v>0.250462962962963</v>
      </c>
      <c r="H236" s="3">
        <v>0.22115740740740741</v>
      </c>
      <c r="I236" s="3">
        <v>2.6226851851851852E-2</v>
      </c>
      <c r="J236" s="3">
        <f>I236+H236</f>
        <v>0.24738425925925928</v>
      </c>
      <c r="K236" s="6">
        <v>2.9305555555555557E-2</v>
      </c>
      <c r="L236" s="1">
        <v>2</v>
      </c>
      <c r="M236" s="1" t="s">
        <v>13</v>
      </c>
      <c r="N236" s="5" t="s">
        <v>527</v>
      </c>
      <c r="O236" s="1" t="s">
        <v>13</v>
      </c>
      <c r="P236" s="39">
        <v>0.1</v>
      </c>
      <c r="Q236" s="39">
        <v>0.1</v>
      </c>
      <c r="S236" s="1">
        <v>1</v>
      </c>
      <c r="V236" s="15" t="s">
        <v>27</v>
      </c>
      <c r="W236" s="15" t="s">
        <v>541</v>
      </c>
    </row>
    <row r="237" spans="1:23" x14ac:dyDescent="0.2">
      <c r="A237" s="1">
        <v>1</v>
      </c>
      <c r="B237" s="1" t="s">
        <v>551</v>
      </c>
      <c r="C237" s="1">
        <v>1</v>
      </c>
      <c r="D237" s="1" t="s">
        <v>675</v>
      </c>
      <c r="E237" s="4">
        <v>45426</v>
      </c>
      <c r="F237" s="23" t="s">
        <v>671</v>
      </c>
      <c r="G237" s="6">
        <f t="shared" si="20"/>
        <v>0.24432870370370371</v>
      </c>
      <c r="H237" s="3">
        <v>0.22115740740740741</v>
      </c>
      <c r="I237" s="1" t="s">
        <v>27</v>
      </c>
      <c r="J237" s="1" t="s">
        <v>27</v>
      </c>
      <c r="K237" s="3">
        <v>2.3171296296296297E-2</v>
      </c>
      <c r="L237" s="1">
        <v>2</v>
      </c>
      <c r="M237" s="1" t="s">
        <v>13</v>
      </c>
      <c r="N237" s="5" t="s">
        <v>527</v>
      </c>
      <c r="O237" s="1" t="s">
        <v>14</v>
      </c>
      <c r="P237" s="39">
        <v>0.1</v>
      </c>
      <c r="Q237" s="39">
        <v>0.1</v>
      </c>
      <c r="S237" s="1">
        <v>1</v>
      </c>
      <c r="U237" s="1" t="s">
        <v>499</v>
      </c>
      <c r="V237" s="15" t="s">
        <v>27</v>
      </c>
      <c r="W237" s="15" t="s">
        <v>541</v>
      </c>
    </row>
    <row r="238" spans="1:23" x14ac:dyDescent="0.2">
      <c r="A238" s="1">
        <v>1</v>
      </c>
      <c r="B238" s="1" t="s">
        <v>551</v>
      </c>
      <c r="C238" s="1">
        <v>2</v>
      </c>
      <c r="D238" s="1" t="s">
        <v>675</v>
      </c>
      <c r="E238" s="4">
        <v>45426</v>
      </c>
      <c r="F238" s="23" t="s">
        <v>671</v>
      </c>
      <c r="G238" s="6">
        <f t="shared" si="20"/>
        <v>0.24689814814814814</v>
      </c>
      <c r="H238" s="3">
        <v>0.22115740740740741</v>
      </c>
      <c r="I238" s="3">
        <v>2.4571759259259258E-2</v>
      </c>
      <c r="J238" s="3">
        <f>I238+H238</f>
        <v>0.24572916666666667</v>
      </c>
      <c r="K238" s="6">
        <v>2.5740740740740741E-2</v>
      </c>
      <c r="L238" s="1">
        <v>2</v>
      </c>
      <c r="M238" s="1" t="s">
        <v>14</v>
      </c>
      <c r="N238" s="5" t="s">
        <v>527</v>
      </c>
      <c r="O238" s="1" t="s">
        <v>14</v>
      </c>
      <c r="P238" s="39">
        <v>0.1</v>
      </c>
      <c r="Q238" s="39">
        <v>0.1</v>
      </c>
      <c r="S238" s="1">
        <v>1</v>
      </c>
      <c r="V238" s="15" t="s">
        <v>27</v>
      </c>
      <c r="W238" s="15" t="s">
        <v>541</v>
      </c>
    </row>
    <row r="239" spans="1:23" x14ac:dyDescent="0.2">
      <c r="A239" s="1">
        <v>1</v>
      </c>
      <c r="B239" s="1" t="s">
        <v>552</v>
      </c>
      <c r="C239" s="1">
        <v>1</v>
      </c>
      <c r="D239" s="1" t="s">
        <v>679</v>
      </c>
      <c r="E239" s="4">
        <v>45426</v>
      </c>
      <c r="F239" s="23" t="s">
        <v>671</v>
      </c>
      <c r="G239" s="6" t="s">
        <v>27</v>
      </c>
      <c r="H239" s="3">
        <v>0.76687499999999997</v>
      </c>
      <c r="I239" s="1" t="s">
        <v>27</v>
      </c>
      <c r="J239" s="1" t="s">
        <v>27</v>
      </c>
      <c r="K239" s="6" t="s">
        <v>27</v>
      </c>
      <c r="L239" s="1">
        <v>2</v>
      </c>
      <c r="M239" s="1" t="s">
        <v>13</v>
      </c>
      <c r="N239" s="5" t="s">
        <v>527</v>
      </c>
      <c r="O239" s="1" t="s">
        <v>13</v>
      </c>
      <c r="P239" s="39">
        <v>0.1</v>
      </c>
      <c r="Q239" s="39">
        <v>0.1</v>
      </c>
      <c r="S239" s="1" t="s">
        <v>27</v>
      </c>
      <c r="U239" s="1" t="s">
        <v>682</v>
      </c>
      <c r="V239" s="15" t="s">
        <v>27</v>
      </c>
      <c r="W239" s="15" t="s">
        <v>541</v>
      </c>
    </row>
    <row r="240" spans="1:23" x14ac:dyDescent="0.2">
      <c r="A240" s="1">
        <v>1</v>
      </c>
      <c r="B240" s="1" t="s">
        <v>551</v>
      </c>
      <c r="C240" s="1">
        <v>1</v>
      </c>
      <c r="D240" s="1" t="s">
        <v>679</v>
      </c>
      <c r="E240" s="4">
        <v>45426</v>
      </c>
      <c r="F240" s="23" t="s">
        <v>671</v>
      </c>
      <c r="G240" s="6" t="s">
        <v>27</v>
      </c>
      <c r="H240" s="3">
        <v>0.76687499999999997</v>
      </c>
      <c r="I240" s="3">
        <v>1.6435185185185185E-3</v>
      </c>
      <c r="J240" s="1" t="s">
        <v>27</v>
      </c>
      <c r="K240" s="6" t="s">
        <v>27</v>
      </c>
      <c r="L240" s="1">
        <v>2</v>
      </c>
      <c r="M240" s="1" t="s">
        <v>14</v>
      </c>
      <c r="N240" s="5" t="s">
        <v>527</v>
      </c>
      <c r="O240" s="1" t="s">
        <v>14</v>
      </c>
      <c r="P240" s="39">
        <v>0.1</v>
      </c>
      <c r="Q240" s="39">
        <v>0.1</v>
      </c>
      <c r="S240" s="1" t="s">
        <v>27</v>
      </c>
      <c r="U240" s="1" t="s">
        <v>680</v>
      </c>
      <c r="V240" s="15" t="s">
        <v>27</v>
      </c>
      <c r="W240" s="15" t="s">
        <v>541</v>
      </c>
    </row>
    <row r="241" spans="1:23" x14ac:dyDescent="0.2">
      <c r="A241" s="1">
        <v>1</v>
      </c>
      <c r="B241" s="1" t="s">
        <v>552</v>
      </c>
      <c r="C241" s="1">
        <v>1</v>
      </c>
      <c r="D241" s="1" t="s">
        <v>683</v>
      </c>
      <c r="E241" s="4">
        <v>45427</v>
      </c>
      <c r="F241" s="23" t="s">
        <v>671</v>
      </c>
      <c r="G241" s="6" t="s">
        <v>27</v>
      </c>
      <c r="H241" s="3">
        <v>0.21579861111111112</v>
      </c>
      <c r="I241" s="1" t="s">
        <v>27</v>
      </c>
      <c r="J241" s="1" t="s">
        <v>27</v>
      </c>
      <c r="K241" s="6" t="s">
        <v>27</v>
      </c>
      <c r="L241" s="1">
        <v>2</v>
      </c>
      <c r="M241" s="1" t="s">
        <v>13</v>
      </c>
      <c r="N241" s="5" t="s">
        <v>527</v>
      </c>
      <c r="O241" s="1" t="s">
        <v>14</v>
      </c>
      <c r="P241" s="39">
        <v>0.1</v>
      </c>
      <c r="Q241" s="39">
        <v>0.2</v>
      </c>
      <c r="S241" s="1" t="s">
        <v>27</v>
      </c>
      <c r="U241" s="1" t="s">
        <v>594</v>
      </c>
      <c r="V241" s="15" t="s">
        <v>27</v>
      </c>
      <c r="W241" s="15" t="s">
        <v>541</v>
      </c>
    </row>
    <row r="242" spans="1:23" x14ac:dyDescent="0.2">
      <c r="A242" s="1">
        <v>1</v>
      </c>
      <c r="B242" s="1" t="s">
        <v>551</v>
      </c>
      <c r="C242" s="1">
        <v>1</v>
      </c>
      <c r="D242" s="1" t="s">
        <v>683</v>
      </c>
      <c r="E242" s="4">
        <v>45427</v>
      </c>
      <c r="F242" s="23" t="s">
        <v>671</v>
      </c>
      <c r="G242" s="6">
        <f>K242+H242</f>
        <v>0.2421527777777778</v>
      </c>
      <c r="H242" s="3">
        <v>0.21579861111111112</v>
      </c>
      <c r="I242" s="3">
        <v>1.3541666666666667E-3</v>
      </c>
      <c r="J242" s="3">
        <f>I242+H242</f>
        <v>0.21715277777777778</v>
      </c>
      <c r="K242" s="6">
        <v>2.6354166666666668E-2</v>
      </c>
      <c r="L242" s="1">
        <v>2</v>
      </c>
      <c r="M242" s="1" t="s">
        <v>14</v>
      </c>
      <c r="N242" s="5" t="s">
        <v>527</v>
      </c>
      <c r="O242" s="1" t="s">
        <v>13</v>
      </c>
      <c r="P242" s="39">
        <v>0.1</v>
      </c>
      <c r="Q242" s="39">
        <v>0.2</v>
      </c>
      <c r="S242" s="1">
        <v>1</v>
      </c>
      <c r="V242" s="15" t="s">
        <v>27</v>
      </c>
      <c r="W242" s="15" t="s">
        <v>541</v>
      </c>
    </row>
    <row r="243" spans="1:23" x14ac:dyDescent="0.2">
      <c r="A243" s="1">
        <v>1</v>
      </c>
      <c r="B243" s="1" t="s">
        <v>551</v>
      </c>
      <c r="C243" s="1">
        <v>2</v>
      </c>
      <c r="D243" s="1" t="s">
        <v>683</v>
      </c>
      <c r="E243" s="4">
        <v>45427</v>
      </c>
      <c r="F243" s="23" t="s">
        <v>671</v>
      </c>
      <c r="G243" s="6">
        <f>K243+H243</f>
        <v>0.24755787037037039</v>
      </c>
      <c r="H243" s="3">
        <v>0.21579861111111112</v>
      </c>
      <c r="I243" s="3">
        <v>2.7824074074074074E-2</v>
      </c>
      <c r="J243" s="3">
        <f>I243+H243</f>
        <v>0.24362268518518521</v>
      </c>
      <c r="K243" s="6">
        <v>3.1759259259259258E-2</v>
      </c>
      <c r="L243" s="1">
        <v>2</v>
      </c>
      <c r="M243" s="1" t="s">
        <v>13</v>
      </c>
      <c r="N243" s="5" t="s">
        <v>527</v>
      </c>
      <c r="O243" s="1" t="s">
        <v>13</v>
      </c>
      <c r="P243" s="39">
        <v>0.2</v>
      </c>
      <c r="Q243" s="39">
        <v>0.2</v>
      </c>
      <c r="S243" s="1">
        <v>1</v>
      </c>
      <c r="V243" s="15" t="s">
        <v>27</v>
      </c>
      <c r="W243" s="15" t="s">
        <v>541</v>
      </c>
    </row>
    <row r="244" spans="1:23" x14ac:dyDescent="0.2">
      <c r="A244" s="1">
        <v>1</v>
      </c>
      <c r="B244" s="1" t="s">
        <v>551</v>
      </c>
      <c r="C244" s="1">
        <v>1</v>
      </c>
      <c r="D244" s="1" t="s">
        <v>695</v>
      </c>
      <c r="E244" s="4">
        <v>45427</v>
      </c>
      <c r="F244" s="31" t="s">
        <v>669</v>
      </c>
      <c r="G244" s="6">
        <f>K244+H244</f>
        <v>0.7894444444444445</v>
      </c>
      <c r="H244" s="3">
        <v>0.7572916666666667</v>
      </c>
      <c r="I244" s="3">
        <v>2.1631944444444443E-2</v>
      </c>
      <c r="J244" s="3">
        <f>I244+H244</f>
        <v>0.77892361111111119</v>
      </c>
      <c r="K244" s="6">
        <v>3.215277777777778E-2</v>
      </c>
      <c r="L244" s="1">
        <v>2</v>
      </c>
      <c r="M244" s="1" t="s">
        <v>13</v>
      </c>
      <c r="N244" s="5" t="s">
        <v>527</v>
      </c>
      <c r="O244" s="1" t="s">
        <v>14</v>
      </c>
      <c r="P244" s="39">
        <v>0.1</v>
      </c>
      <c r="Q244" s="39">
        <v>0.1</v>
      </c>
      <c r="S244" s="1">
        <v>0</v>
      </c>
      <c r="U244" s="1" t="s">
        <v>699</v>
      </c>
      <c r="V244" s="15" t="s">
        <v>27</v>
      </c>
      <c r="W244" s="15" t="s">
        <v>541</v>
      </c>
    </row>
    <row r="245" spans="1:23" x14ac:dyDescent="0.2">
      <c r="A245" s="1">
        <v>1</v>
      </c>
      <c r="B245" s="1" t="s">
        <v>551</v>
      </c>
      <c r="C245" s="1">
        <v>2</v>
      </c>
      <c r="D245" s="1" t="s">
        <v>695</v>
      </c>
      <c r="E245" s="4">
        <v>45427</v>
      </c>
      <c r="F245" s="31" t="s">
        <v>669</v>
      </c>
      <c r="G245" s="6" t="s">
        <v>27</v>
      </c>
      <c r="H245" s="3">
        <v>0.7572916666666667</v>
      </c>
      <c r="I245" s="3">
        <v>2.3009259259259261E-2</v>
      </c>
      <c r="J245" s="3">
        <f>I245+H245</f>
        <v>0.78030092592592593</v>
      </c>
      <c r="K245" s="6" t="s">
        <v>27</v>
      </c>
      <c r="L245" s="1">
        <v>2</v>
      </c>
      <c r="M245" s="1" t="s">
        <v>13</v>
      </c>
      <c r="N245" s="5" t="s">
        <v>527</v>
      </c>
      <c r="O245" s="1" t="s">
        <v>14</v>
      </c>
      <c r="P245" s="39">
        <v>0.1</v>
      </c>
      <c r="Q245" s="39">
        <v>0.1</v>
      </c>
      <c r="S245" s="1" t="s">
        <v>27</v>
      </c>
      <c r="V245" s="15" t="s">
        <v>27</v>
      </c>
      <c r="W245" s="15" t="s">
        <v>541</v>
      </c>
    </row>
    <row r="246" spans="1:23" x14ac:dyDescent="0.2">
      <c r="A246" s="15">
        <v>1</v>
      </c>
      <c r="B246" s="15" t="s">
        <v>551</v>
      </c>
      <c r="C246" s="15">
        <v>1</v>
      </c>
      <c r="D246" s="1" t="s">
        <v>697</v>
      </c>
      <c r="E246" s="4">
        <v>45428</v>
      </c>
      <c r="F246" s="31" t="s">
        <v>669</v>
      </c>
      <c r="G246" s="6">
        <f t="shared" ref="G246:G297" si="22">K246+H246</f>
        <v>0.23916666666666664</v>
      </c>
      <c r="H246" s="3">
        <v>0.2207986111111111</v>
      </c>
      <c r="I246" s="1" t="s">
        <v>27</v>
      </c>
      <c r="J246" s="1" t="s">
        <v>27</v>
      </c>
      <c r="K246" s="6">
        <v>1.8368055555555554E-2</v>
      </c>
      <c r="L246" s="1">
        <v>2</v>
      </c>
      <c r="M246" s="1" t="s">
        <v>14</v>
      </c>
      <c r="N246" s="1">
        <v>2</v>
      </c>
      <c r="O246" s="1" t="s">
        <v>14</v>
      </c>
      <c r="P246" s="39">
        <v>0.1</v>
      </c>
      <c r="Q246" s="39">
        <v>0.2</v>
      </c>
      <c r="S246" s="1">
        <v>0</v>
      </c>
      <c r="V246" s="15" t="s">
        <v>27</v>
      </c>
      <c r="W246" s="15" t="s">
        <v>541</v>
      </c>
    </row>
    <row r="247" spans="1:23" x14ac:dyDescent="0.2">
      <c r="A247" s="15">
        <v>1</v>
      </c>
      <c r="B247" s="15" t="s">
        <v>551</v>
      </c>
      <c r="C247" s="15">
        <v>2</v>
      </c>
      <c r="D247" s="1" t="s">
        <v>697</v>
      </c>
      <c r="E247" s="4">
        <v>45428</v>
      </c>
      <c r="F247" s="31" t="s">
        <v>669</v>
      </c>
      <c r="G247" s="6">
        <f t="shared" si="22"/>
        <v>0.23951388888888889</v>
      </c>
      <c r="H247" s="3">
        <v>0.2207986111111111</v>
      </c>
      <c r="I247" s="1" t="s">
        <v>27</v>
      </c>
      <c r="J247" s="1" t="s">
        <v>27</v>
      </c>
      <c r="K247" s="6">
        <v>1.8715277777777779E-2</v>
      </c>
      <c r="L247" s="1">
        <v>2</v>
      </c>
      <c r="M247" s="1" t="s">
        <v>14</v>
      </c>
      <c r="N247" s="1">
        <v>2</v>
      </c>
      <c r="O247" s="1" t="s">
        <v>14</v>
      </c>
      <c r="P247" s="39">
        <v>0.1</v>
      </c>
      <c r="Q247" s="39">
        <v>0.2</v>
      </c>
      <c r="S247" s="1">
        <v>1</v>
      </c>
      <c r="V247" s="15" t="s">
        <v>27</v>
      </c>
      <c r="W247" s="15" t="s">
        <v>541</v>
      </c>
    </row>
    <row r="248" spans="1:23" x14ac:dyDescent="0.2">
      <c r="A248" s="15">
        <v>1</v>
      </c>
      <c r="B248" s="15" t="s">
        <v>551</v>
      </c>
      <c r="C248" s="1">
        <v>3</v>
      </c>
      <c r="D248" s="1" t="s">
        <v>697</v>
      </c>
      <c r="E248" s="4">
        <v>45428</v>
      </c>
      <c r="F248" s="31" t="s">
        <v>669</v>
      </c>
      <c r="G248" s="6">
        <f t="shared" si="22"/>
        <v>0.26446759259259256</v>
      </c>
      <c r="H248" s="3">
        <v>0.2207986111111111</v>
      </c>
      <c r="I248" s="3">
        <v>1.863425925925926E-2</v>
      </c>
      <c r="J248" s="3">
        <f>I248+H248</f>
        <v>0.23943287037037037</v>
      </c>
      <c r="K248" s="6">
        <v>4.3668981481481482E-2</v>
      </c>
      <c r="L248" s="1">
        <v>2</v>
      </c>
      <c r="M248" s="1" t="s">
        <v>14</v>
      </c>
      <c r="N248" s="5" t="s">
        <v>527</v>
      </c>
      <c r="O248" s="1" t="s">
        <v>14</v>
      </c>
      <c r="P248" s="39">
        <v>0.2</v>
      </c>
      <c r="Q248" s="39">
        <v>0.1</v>
      </c>
      <c r="S248" s="1">
        <v>0</v>
      </c>
      <c r="U248" s="1" t="s">
        <v>698</v>
      </c>
      <c r="V248" s="15" t="s">
        <v>27</v>
      </c>
      <c r="W248" s="15" t="s">
        <v>541</v>
      </c>
    </row>
    <row r="249" spans="1:23" x14ac:dyDescent="0.2">
      <c r="A249" s="15">
        <v>1</v>
      </c>
      <c r="B249" s="15" t="s">
        <v>551</v>
      </c>
      <c r="C249" s="15">
        <v>1</v>
      </c>
      <c r="D249" s="1" t="s">
        <v>706</v>
      </c>
      <c r="E249" s="4">
        <v>45428</v>
      </c>
      <c r="F249" s="31" t="s">
        <v>669</v>
      </c>
      <c r="G249" s="6">
        <f t="shared" si="22"/>
        <v>0.78464120370370372</v>
      </c>
      <c r="H249" s="3">
        <v>0.75575231481481486</v>
      </c>
      <c r="I249" s="3">
        <v>1.9178240740740742E-2</v>
      </c>
      <c r="J249" s="3">
        <f>I249+H249</f>
        <v>0.77493055555555557</v>
      </c>
      <c r="K249" s="6">
        <v>2.8888888888888888E-2</v>
      </c>
      <c r="L249" s="1">
        <v>2</v>
      </c>
      <c r="M249" s="1" t="s">
        <v>14</v>
      </c>
      <c r="N249" s="5" t="s">
        <v>527</v>
      </c>
      <c r="O249" s="1" t="s">
        <v>13</v>
      </c>
      <c r="P249" s="39">
        <v>0.1</v>
      </c>
      <c r="Q249" s="39">
        <v>0.1</v>
      </c>
      <c r="S249" s="1">
        <v>1</v>
      </c>
      <c r="V249" s="15" t="s">
        <v>27</v>
      </c>
      <c r="W249" s="15" t="s">
        <v>541</v>
      </c>
    </row>
    <row r="250" spans="1:23" x14ac:dyDescent="0.2">
      <c r="A250" s="15">
        <v>1</v>
      </c>
      <c r="B250" s="15" t="s">
        <v>551</v>
      </c>
      <c r="C250" s="1">
        <v>2</v>
      </c>
      <c r="D250" s="1" t="s">
        <v>706</v>
      </c>
      <c r="E250" s="4">
        <v>45428</v>
      </c>
      <c r="F250" s="31" t="s">
        <v>669</v>
      </c>
      <c r="G250" s="6">
        <f t="shared" si="22"/>
        <v>0.78565972222222225</v>
      </c>
      <c r="H250" s="3">
        <v>0.75575231481481486</v>
      </c>
      <c r="I250" s="3">
        <v>2.267361111111111E-2</v>
      </c>
      <c r="J250" s="3">
        <f>I250+H250</f>
        <v>0.77842592592592597</v>
      </c>
      <c r="K250" s="6">
        <v>2.9907407407407407E-2</v>
      </c>
      <c r="L250" s="1">
        <v>2</v>
      </c>
      <c r="M250" s="1" t="s">
        <v>14</v>
      </c>
      <c r="N250" s="5" t="s">
        <v>527</v>
      </c>
      <c r="O250" s="1" t="s">
        <v>13</v>
      </c>
      <c r="P250" s="39">
        <v>0.1</v>
      </c>
      <c r="Q250" s="39">
        <v>0.1</v>
      </c>
      <c r="S250" s="1">
        <v>0</v>
      </c>
      <c r="T250" s="2" t="s">
        <v>696</v>
      </c>
      <c r="U250" s="1" t="s">
        <v>707</v>
      </c>
      <c r="V250" s="15" t="s">
        <v>27</v>
      </c>
      <c r="W250" s="15" t="s">
        <v>541</v>
      </c>
    </row>
    <row r="251" spans="1:23" x14ac:dyDescent="0.2">
      <c r="A251" s="15">
        <v>1</v>
      </c>
      <c r="B251" s="15" t="s">
        <v>551</v>
      </c>
      <c r="C251" s="15">
        <v>1</v>
      </c>
      <c r="D251" s="1" t="s">
        <v>708</v>
      </c>
      <c r="E251" s="4">
        <v>45429</v>
      </c>
      <c r="F251" s="31" t="s">
        <v>669</v>
      </c>
      <c r="G251" s="6">
        <f t="shared" si="22"/>
        <v>0.24296296296296296</v>
      </c>
      <c r="H251" s="3">
        <v>0.21868055555555554</v>
      </c>
      <c r="I251" s="1" t="s">
        <v>27</v>
      </c>
      <c r="J251" s="1" t="s">
        <v>27</v>
      </c>
      <c r="K251" s="6">
        <v>2.4282407407407409E-2</v>
      </c>
      <c r="L251" s="1">
        <v>2</v>
      </c>
      <c r="M251" s="1" t="s">
        <v>13</v>
      </c>
      <c r="N251" s="5" t="s">
        <v>527</v>
      </c>
      <c r="O251" s="1" t="s">
        <v>13</v>
      </c>
      <c r="P251" s="39">
        <v>0.1</v>
      </c>
      <c r="Q251" s="39">
        <v>0.2</v>
      </c>
      <c r="S251" s="1">
        <v>1</v>
      </c>
      <c r="V251" s="15" t="s">
        <v>27</v>
      </c>
      <c r="W251" s="15" t="s">
        <v>541</v>
      </c>
    </row>
    <row r="252" spans="1:23" x14ac:dyDescent="0.2">
      <c r="A252" s="15">
        <v>1</v>
      </c>
      <c r="B252" s="15" t="s">
        <v>551</v>
      </c>
      <c r="C252" s="1">
        <v>2</v>
      </c>
      <c r="D252" s="1" t="s">
        <v>708</v>
      </c>
      <c r="E252" s="4">
        <v>45429</v>
      </c>
      <c r="F252" s="31" t="s">
        <v>669</v>
      </c>
      <c r="G252" s="6">
        <f t="shared" si="22"/>
        <v>0.24686342592592592</v>
      </c>
      <c r="H252" s="3">
        <v>0.21868055555555554</v>
      </c>
      <c r="I252" s="3">
        <v>1.0925925925925926E-2</v>
      </c>
      <c r="J252" s="3">
        <f>I252+H252</f>
        <v>0.22960648148148147</v>
      </c>
      <c r="K252" s="6">
        <v>2.8182870370370372E-2</v>
      </c>
      <c r="L252" s="1">
        <v>2</v>
      </c>
      <c r="M252" s="1" t="s">
        <v>13</v>
      </c>
      <c r="N252" s="5" t="s">
        <v>527</v>
      </c>
      <c r="O252" s="1" t="s">
        <v>13</v>
      </c>
      <c r="P252" s="39">
        <v>0.1</v>
      </c>
      <c r="Q252" s="39">
        <v>0.2</v>
      </c>
      <c r="S252" s="1">
        <v>1</v>
      </c>
      <c r="U252" s="1" t="s">
        <v>709</v>
      </c>
      <c r="V252" s="15" t="s">
        <v>27</v>
      </c>
      <c r="W252" s="15" t="s">
        <v>541</v>
      </c>
    </row>
    <row r="253" spans="1:23" x14ac:dyDescent="0.2">
      <c r="A253" s="15">
        <v>1</v>
      </c>
      <c r="B253" s="15" t="s">
        <v>551</v>
      </c>
      <c r="C253" s="15">
        <v>1</v>
      </c>
      <c r="D253" s="1" t="s">
        <v>712</v>
      </c>
      <c r="E253" s="4">
        <v>45429</v>
      </c>
      <c r="F253" s="31" t="s">
        <v>669</v>
      </c>
      <c r="G253" s="6">
        <f t="shared" si="22"/>
        <v>0.77601851851851855</v>
      </c>
      <c r="H253" s="3">
        <v>0.760625</v>
      </c>
      <c r="I253" s="3">
        <v>1.2800925925925926E-2</v>
      </c>
      <c r="J253" s="3">
        <f>I253+H253</f>
        <v>0.77342592592592596</v>
      </c>
      <c r="K253" s="6">
        <v>1.5393518518518518E-2</v>
      </c>
      <c r="L253" s="1">
        <v>2</v>
      </c>
      <c r="M253" s="1" t="s">
        <v>13</v>
      </c>
      <c r="N253" s="5" t="s">
        <v>527</v>
      </c>
      <c r="O253" s="1" t="s">
        <v>13</v>
      </c>
      <c r="P253" s="39">
        <v>0.2</v>
      </c>
      <c r="Q253" s="39">
        <v>0.2</v>
      </c>
      <c r="S253" s="1">
        <v>1</v>
      </c>
      <c r="V253" s="15" t="s">
        <v>27</v>
      </c>
      <c r="W253" s="15" t="s">
        <v>541</v>
      </c>
    </row>
    <row r="254" spans="1:23" x14ac:dyDescent="0.2">
      <c r="A254" s="15">
        <v>1</v>
      </c>
      <c r="B254" s="15" t="s">
        <v>551</v>
      </c>
      <c r="C254" s="15">
        <v>1</v>
      </c>
      <c r="D254" s="1" t="s">
        <v>716</v>
      </c>
      <c r="E254" s="4">
        <v>45430</v>
      </c>
      <c r="F254" s="31" t="s">
        <v>669</v>
      </c>
      <c r="G254" s="6">
        <f t="shared" si="22"/>
        <v>0.22422453703703704</v>
      </c>
      <c r="H254" s="3">
        <v>0.22162037037037038</v>
      </c>
      <c r="K254" s="6">
        <v>2.6041666666666665E-3</v>
      </c>
      <c r="L254" s="1">
        <v>2</v>
      </c>
      <c r="M254" s="1" t="s">
        <v>14</v>
      </c>
      <c r="N254" s="5" t="s">
        <v>527</v>
      </c>
      <c r="O254" s="1" t="s">
        <v>14</v>
      </c>
      <c r="P254" s="39">
        <v>0.1</v>
      </c>
      <c r="Q254" s="39">
        <v>0.1</v>
      </c>
      <c r="S254" s="1">
        <v>0</v>
      </c>
      <c r="T254" s="2">
        <v>1</v>
      </c>
      <c r="U254" s="1" t="s">
        <v>714</v>
      </c>
      <c r="V254" s="15" t="s">
        <v>27</v>
      </c>
      <c r="W254" s="15" t="s">
        <v>541</v>
      </c>
    </row>
    <row r="255" spans="1:23" x14ac:dyDescent="0.2">
      <c r="A255" s="15">
        <v>1</v>
      </c>
      <c r="B255" s="15" t="s">
        <v>551</v>
      </c>
      <c r="C255" s="1">
        <v>2</v>
      </c>
      <c r="D255" s="1" t="s">
        <v>716</v>
      </c>
      <c r="E255" s="4">
        <v>45430</v>
      </c>
      <c r="F255" s="31" t="s">
        <v>669</v>
      </c>
      <c r="G255" s="6">
        <f t="shared" si="22"/>
        <v>0.23569444444444446</v>
      </c>
      <c r="H255" s="3">
        <v>0.22162037037037038</v>
      </c>
      <c r="K255" s="6">
        <v>1.4074074074074074E-2</v>
      </c>
      <c r="L255" s="1">
        <v>2</v>
      </c>
      <c r="M255" s="1" t="s">
        <v>14</v>
      </c>
      <c r="N255" s="5" t="s">
        <v>527</v>
      </c>
      <c r="O255" s="1" t="s">
        <v>13</v>
      </c>
      <c r="P255" s="39">
        <v>0.1</v>
      </c>
      <c r="Q255" s="39">
        <v>0.2</v>
      </c>
      <c r="S255" s="1">
        <v>1</v>
      </c>
      <c r="V255" s="15" t="s">
        <v>27</v>
      </c>
      <c r="W255" s="15" t="s">
        <v>541</v>
      </c>
    </row>
    <row r="256" spans="1:23" x14ac:dyDescent="0.2">
      <c r="A256" s="15">
        <v>1</v>
      </c>
      <c r="B256" s="15" t="s">
        <v>551</v>
      </c>
      <c r="C256" s="1">
        <v>3</v>
      </c>
      <c r="D256" s="1" t="s">
        <v>716</v>
      </c>
      <c r="E256" s="4">
        <v>45430</v>
      </c>
      <c r="F256" s="31" t="s">
        <v>669</v>
      </c>
      <c r="G256" s="6">
        <f t="shared" si="22"/>
        <v>0.24337962962962964</v>
      </c>
      <c r="H256" s="3">
        <v>0.22162037037037038</v>
      </c>
      <c r="I256" s="3">
        <v>4.2824074074074075E-3</v>
      </c>
      <c r="J256" s="3">
        <f>I256+H256</f>
        <v>0.22590277777777779</v>
      </c>
      <c r="K256" s="6">
        <v>2.1759259259259259E-2</v>
      </c>
      <c r="L256" s="1">
        <v>2</v>
      </c>
      <c r="M256" s="1" t="s">
        <v>13</v>
      </c>
      <c r="N256" s="5" t="s">
        <v>527</v>
      </c>
      <c r="O256" s="1" t="s">
        <v>13</v>
      </c>
      <c r="P256" s="39">
        <v>0.2</v>
      </c>
      <c r="Q256" s="39">
        <v>0.2</v>
      </c>
      <c r="S256" s="1">
        <v>1</v>
      </c>
      <c r="V256" s="15" t="s">
        <v>27</v>
      </c>
      <c r="W256" s="15" t="s">
        <v>541</v>
      </c>
    </row>
    <row r="257" spans="1:23" x14ac:dyDescent="0.2">
      <c r="A257" s="15">
        <v>1</v>
      </c>
      <c r="B257" s="15" t="s">
        <v>551</v>
      </c>
      <c r="C257" s="1">
        <v>4</v>
      </c>
      <c r="D257" s="1" t="s">
        <v>716</v>
      </c>
      <c r="E257" s="4">
        <v>45430</v>
      </c>
      <c r="F257" s="31" t="s">
        <v>669</v>
      </c>
      <c r="G257" s="6">
        <f t="shared" si="22"/>
        <v>0.24533564814814815</v>
      </c>
      <c r="H257" s="3">
        <v>0.22162037037037038</v>
      </c>
      <c r="I257" s="3">
        <v>1.7314814814814814E-2</v>
      </c>
      <c r="J257" s="3">
        <f>I257+H257</f>
        <v>0.23893518518518519</v>
      </c>
      <c r="K257" s="6">
        <v>2.3715277777777776E-2</v>
      </c>
      <c r="L257" s="1">
        <v>2</v>
      </c>
      <c r="M257" s="1" t="s">
        <v>310</v>
      </c>
      <c r="N257" s="5" t="s">
        <v>527</v>
      </c>
      <c r="O257" s="1" t="s">
        <v>13</v>
      </c>
      <c r="P257" s="39">
        <v>0.2</v>
      </c>
      <c r="Q257" s="39">
        <v>0.2</v>
      </c>
      <c r="S257" s="1">
        <v>1</v>
      </c>
      <c r="V257" s="15" t="s">
        <v>27</v>
      </c>
      <c r="W257" s="15" t="s">
        <v>541</v>
      </c>
    </row>
    <row r="258" spans="1:23" x14ac:dyDescent="0.2">
      <c r="A258" s="15">
        <v>1</v>
      </c>
      <c r="B258" s="15" t="s">
        <v>551</v>
      </c>
      <c r="C258" s="1">
        <v>1</v>
      </c>
      <c r="D258" s="1" t="s">
        <v>718</v>
      </c>
      <c r="E258" s="4">
        <v>45436</v>
      </c>
      <c r="F258" s="31" t="s">
        <v>671</v>
      </c>
      <c r="G258" s="6">
        <f t="shared" si="22"/>
        <v>0.24412037037037038</v>
      </c>
      <c r="H258" s="3">
        <v>0.22707175925925926</v>
      </c>
      <c r="I258" s="1" t="s">
        <v>27</v>
      </c>
      <c r="J258" s="1" t="s">
        <v>27</v>
      </c>
      <c r="K258" s="6">
        <v>1.7048611111111112E-2</v>
      </c>
      <c r="L258" s="1">
        <v>2</v>
      </c>
      <c r="M258" s="1" t="s">
        <v>14</v>
      </c>
      <c r="N258" s="5" t="s">
        <v>527</v>
      </c>
      <c r="O258" s="1" t="s">
        <v>13</v>
      </c>
      <c r="P258" s="39">
        <v>0.1</v>
      </c>
      <c r="Q258" s="39">
        <v>0.2</v>
      </c>
      <c r="S258" s="1">
        <v>1</v>
      </c>
      <c r="V258" s="15" t="s">
        <v>27</v>
      </c>
      <c r="W258" s="15" t="s">
        <v>541</v>
      </c>
    </row>
    <row r="259" spans="1:23" x14ac:dyDescent="0.2">
      <c r="A259" s="15">
        <v>1</v>
      </c>
      <c r="B259" s="15" t="s">
        <v>551</v>
      </c>
      <c r="C259" s="1">
        <v>2</v>
      </c>
      <c r="D259" s="1" t="s">
        <v>718</v>
      </c>
      <c r="E259" s="4">
        <v>45436</v>
      </c>
      <c r="F259" s="31" t="s">
        <v>671</v>
      </c>
      <c r="G259" s="6">
        <f t="shared" si="22"/>
        <v>0.24869212962962964</v>
      </c>
      <c r="H259" s="3">
        <v>0.22707175925925926</v>
      </c>
      <c r="I259" s="1" t="s">
        <v>27</v>
      </c>
      <c r="J259" s="1" t="s">
        <v>27</v>
      </c>
      <c r="K259" s="6">
        <v>2.162037037037037E-2</v>
      </c>
      <c r="L259" s="1">
        <v>2</v>
      </c>
      <c r="M259" s="1" t="s">
        <v>14</v>
      </c>
      <c r="N259" s="5" t="s">
        <v>527</v>
      </c>
      <c r="O259" s="1" t="s">
        <v>13</v>
      </c>
      <c r="P259" s="39">
        <v>0.1</v>
      </c>
      <c r="Q259" s="39">
        <v>0.2</v>
      </c>
      <c r="S259" s="1">
        <v>1</v>
      </c>
      <c r="V259" s="15" t="s">
        <v>27</v>
      </c>
      <c r="W259" s="15" t="s">
        <v>541</v>
      </c>
    </row>
    <row r="260" spans="1:23" x14ac:dyDescent="0.2">
      <c r="A260" s="15">
        <v>1</v>
      </c>
      <c r="B260" s="15" t="s">
        <v>551</v>
      </c>
      <c r="C260" s="1">
        <v>1</v>
      </c>
      <c r="D260" s="1" t="s">
        <v>719</v>
      </c>
      <c r="E260" s="4">
        <v>45435</v>
      </c>
      <c r="F260" s="31" t="s">
        <v>671</v>
      </c>
      <c r="G260" s="6">
        <f t="shared" si="22"/>
        <v>0.24349537037037039</v>
      </c>
      <c r="H260" s="3">
        <v>0.21829861111111112</v>
      </c>
      <c r="K260" s="6">
        <v>2.5196759259259259E-2</v>
      </c>
      <c r="L260" s="1">
        <v>2</v>
      </c>
      <c r="M260" s="1" t="s">
        <v>14</v>
      </c>
      <c r="N260" s="5" t="s">
        <v>527</v>
      </c>
      <c r="O260" s="1" t="s">
        <v>14</v>
      </c>
      <c r="P260" s="39">
        <v>0.1</v>
      </c>
      <c r="Q260" s="39">
        <v>0.2</v>
      </c>
      <c r="S260" s="1" t="s">
        <v>27</v>
      </c>
      <c r="U260" s="1" t="s">
        <v>721</v>
      </c>
      <c r="V260" s="15" t="s">
        <v>27</v>
      </c>
      <c r="W260" s="15" t="s">
        <v>541</v>
      </c>
    </row>
    <row r="261" spans="1:23" x14ac:dyDescent="0.2">
      <c r="A261" s="15">
        <v>1</v>
      </c>
      <c r="B261" s="15" t="s">
        <v>551</v>
      </c>
      <c r="C261" s="1">
        <v>2</v>
      </c>
      <c r="D261" s="1" t="s">
        <v>719</v>
      </c>
      <c r="E261" s="4">
        <v>45435</v>
      </c>
      <c r="F261" s="31" t="s">
        <v>671</v>
      </c>
      <c r="G261" s="6">
        <f t="shared" si="22"/>
        <v>0.24608796296296298</v>
      </c>
      <c r="H261" s="3">
        <v>0.21829861111111112</v>
      </c>
      <c r="I261" s="3">
        <v>5.5555555555555558E-3</v>
      </c>
      <c r="J261" s="3">
        <f>I261+H261</f>
        <v>0.22385416666666669</v>
      </c>
      <c r="K261" s="6">
        <v>2.7789351851851853E-2</v>
      </c>
      <c r="L261" s="1">
        <v>2</v>
      </c>
      <c r="M261" s="1" t="s">
        <v>14</v>
      </c>
      <c r="N261" s="5" t="s">
        <v>527</v>
      </c>
      <c r="O261" s="1" t="s">
        <v>14</v>
      </c>
      <c r="P261" s="39">
        <v>0.1</v>
      </c>
      <c r="Q261" s="39">
        <v>0.2</v>
      </c>
      <c r="S261" s="1" t="s">
        <v>27</v>
      </c>
      <c r="U261" s="1" t="s">
        <v>722</v>
      </c>
      <c r="V261" s="15" t="s">
        <v>27</v>
      </c>
      <c r="W261" s="15" t="s">
        <v>541</v>
      </c>
    </row>
    <row r="262" spans="1:23" x14ac:dyDescent="0.2">
      <c r="A262" s="15">
        <v>1</v>
      </c>
      <c r="B262" s="15" t="s">
        <v>551</v>
      </c>
      <c r="C262" s="1">
        <v>1</v>
      </c>
      <c r="D262" s="1" t="s">
        <v>720</v>
      </c>
      <c r="E262" s="4">
        <v>45434</v>
      </c>
      <c r="F262" s="31" t="s">
        <v>671</v>
      </c>
      <c r="G262" s="6">
        <f t="shared" si="22"/>
        <v>0.79083333333333328</v>
      </c>
      <c r="H262" s="3">
        <v>0.76530092592592591</v>
      </c>
      <c r="I262" s="3">
        <v>1.7465277777777777E-2</v>
      </c>
      <c r="J262" s="3">
        <f>I262+H262</f>
        <v>0.78276620370370364</v>
      </c>
      <c r="K262" s="6">
        <v>2.5532407407407406E-2</v>
      </c>
      <c r="L262" s="1">
        <v>2</v>
      </c>
      <c r="M262" s="1" t="s">
        <v>13</v>
      </c>
      <c r="N262" s="5" t="s">
        <v>527</v>
      </c>
      <c r="O262" s="1" t="s">
        <v>14</v>
      </c>
      <c r="P262" s="39">
        <v>0.2</v>
      </c>
      <c r="Q262" s="39">
        <v>0.1</v>
      </c>
      <c r="S262" s="1">
        <v>1</v>
      </c>
      <c r="T262" s="2" t="s">
        <v>723</v>
      </c>
      <c r="V262" s="15" t="s">
        <v>27</v>
      </c>
      <c r="W262" s="15" t="s">
        <v>541</v>
      </c>
    </row>
    <row r="263" spans="1:23" x14ac:dyDescent="0.2">
      <c r="A263" s="15">
        <v>1</v>
      </c>
      <c r="B263" s="15" t="s">
        <v>551</v>
      </c>
      <c r="C263" s="1">
        <v>1</v>
      </c>
      <c r="D263" s="1" t="s">
        <v>656</v>
      </c>
      <c r="E263" s="4">
        <v>45434</v>
      </c>
      <c r="F263" s="31" t="s">
        <v>671</v>
      </c>
      <c r="G263" s="6">
        <f t="shared" si="22"/>
        <v>0.24187500000000001</v>
      </c>
      <c r="H263" s="3">
        <v>0.21939814814814815</v>
      </c>
      <c r="K263" s="6">
        <v>2.2476851851851852E-2</v>
      </c>
      <c r="L263" s="1">
        <v>2</v>
      </c>
      <c r="M263" s="1" t="s">
        <v>14</v>
      </c>
      <c r="N263" s="5" t="s">
        <v>527</v>
      </c>
      <c r="O263" s="1" t="s">
        <v>13</v>
      </c>
      <c r="P263" s="39">
        <v>0.1</v>
      </c>
      <c r="Q263" s="39">
        <v>0.2</v>
      </c>
      <c r="S263" s="1">
        <v>1</v>
      </c>
      <c r="V263" s="15" t="s">
        <v>27</v>
      </c>
      <c r="W263" s="15" t="s">
        <v>541</v>
      </c>
    </row>
    <row r="264" spans="1:23" x14ac:dyDescent="0.2">
      <c r="A264" s="15">
        <v>1</v>
      </c>
      <c r="B264" s="15" t="s">
        <v>551</v>
      </c>
      <c r="C264" s="1">
        <v>2</v>
      </c>
      <c r="D264" s="1" t="s">
        <v>656</v>
      </c>
      <c r="E264" s="4">
        <v>45434</v>
      </c>
      <c r="F264" s="31" t="s">
        <v>671</v>
      </c>
      <c r="G264" s="6">
        <f t="shared" si="22"/>
        <v>0.24656249999999999</v>
      </c>
      <c r="H264" s="3">
        <v>0.21939814814814815</v>
      </c>
      <c r="I264" s="3">
        <v>6.3541666666666668E-3</v>
      </c>
      <c r="J264" s="3">
        <f>I264+H264</f>
        <v>0.22575231481481481</v>
      </c>
      <c r="K264" s="6">
        <v>2.7164351851851853E-2</v>
      </c>
      <c r="L264" s="1">
        <v>2</v>
      </c>
      <c r="M264" s="1" t="s">
        <v>14</v>
      </c>
      <c r="N264" s="5" t="s">
        <v>527</v>
      </c>
      <c r="O264" s="1" t="s">
        <v>13</v>
      </c>
      <c r="P264" s="39">
        <v>0.1</v>
      </c>
      <c r="Q264" s="39">
        <v>0.2</v>
      </c>
      <c r="S264" s="1">
        <v>0</v>
      </c>
      <c r="T264" s="2">
        <v>1</v>
      </c>
      <c r="V264" s="15" t="s">
        <v>27</v>
      </c>
      <c r="W264" s="15" t="s">
        <v>541</v>
      </c>
    </row>
    <row r="265" spans="1:23" x14ac:dyDescent="0.2">
      <c r="A265" s="15">
        <v>1</v>
      </c>
      <c r="B265" s="15" t="s">
        <v>551</v>
      </c>
      <c r="C265" s="1">
        <v>1</v>
      </c>
      <c r="D265" s="1" t="s">
        <v>724</v>
      </c>
      <c r="E265" s="4">
        <v>45433</v>
      </c>
      <c r="F265" s="31" t="s">
        <v>671</v>
      </c>
      <c r="G265" s="6">
        <f t="shared" si="22"/>
        <v>0.78964120370370372</v>
      </c>
      <c r="H265" s="3">
        <v>0.76383101851851853</v>
      </c>
      <c r="I265" s="3">
        <v>1.3287037037037036E-2</v>
      </c>
      <c r="J265" s="3">
        <f>I265+H265</f>
        <v>0.77711805555555558</v>
      </c>
      <c r="K265" s="6">
        <v>2.5810185185185186E-2</v>
      </c>
      <c r="L265" s="1">
        <v>2</v>
      </c>
      <c r="M265" s="1" t="s">
        <v>14</v>
      </c>
      <c r="N265" s="5" t="s">
        <v>527</v>
      </c>
      <c r="O265" s="1" t="s">
        <v>14</v>
      </c>
      <c r="P265" s="39">
        <v>0.1</v>
      </c>
      <c r="Q265" s="39">
        <v>0.1</v>
      </c>
      <c r="S265" s="1">
        <v>1</v>
      </c>
      <c r="V265" s="15" t="s">
        <v>27</v>
      </c>
      <c r="W265" s="15" t="s">
        <v>541</v>
      </c>
    </row>
    <row r="266" spans="1:23" x14ac:dyDescent="0.2">
      <c r="A266" s="15">
        <v>1</v>
      </c>
      <c r="B266" s="15" t="s">
        <v>551</v>
      </c>
      <c r="C266" s="1">
        <v>1</v>
      </c>
      <c r="D266" s="1" t="s">
        <v>244</v>
      </c>
      <c r="E266" s="4">
        <v>45433</v>
      </c>
      <c r="F266" s="31" t="s">
        <v>671</v>
      </c>
      <c r="G266" s="6">
        <f t="shared" si="22"/>
        <v>0.24197916666666666</v>
      </c>
      <c r="H266" s="3">
        <v>0.21417824074074074</v>
      </c>
      <c r="I266" s="3">
        <v>5.8564814814814816E-3</v>
      </c>
      <c r="J266" s="3">
        <f>I266+H266</f>
        <v>0.22003472222222223</v>
      </c>
      <c r="K266" s="6">
        <v>2.7800925925925927E-2</v>
      </c>
      <c r="L266" s="1">
        <v>3</v>
      </c>
      <c r="M266" s="1" t="s">
        <v>14</v>
      </c>
      <c r="N266" s="5" t="s">
        <v>527</v>
      </c>
      <c r="O266" s="1" t="s">
        <v>14</v>
      </c>
      <c r="P266" s="39">
        <v>0.1</v>
      </c>
      <c r="Q266" s="39">
        <v>0.2</v>
      </c>
      <c r="S266" s="1">
        <v>0</v>
      </c>
      <c r="T266" s="2">
        <v>1</v>
      </c>
      <c r="V266" s="15" t="s">
        <v>27</v>
      </c>
      <c r="W266" s="15" t="s">
        <v>541</v>
      </c>
    </row>
    <row r="267" spans="1:23" x14ac:dyDescent="0.2">
      <c r="A267" s="15">
        <v>1</v>
      </c>
      <c r="B267" s="15" t="s">
        <v>551</v>
      </c>
      <c r="C267" s="1">
        <v>2</v>
      </c>
      <c r="D267" s="1" t="s">
        <v>244</v>
      </c>
      <c r="E267" s="4">
        <v>45433</v>
      </c>
      <c r="F267" s="31" t="s">
        <v>671</v>
      </c>
      <c r="G267" s="6">
        <f t="shared" si="22"/>
        <v>0.24895833333333334</v>
      </c>
      <c r="H267" s="3">
        <v>0.21417824074074074</v>
      </c>
      <c r="I267" s="3">
        <v>9.9074074074074082E-3</v>
      </c>
      <c r="J267" s="3">
        <f>I267+H267</f>
        <v>0.22408564814814816</v>
      </c>
      <c r="K267" s="6">
        <v>3.4780092592592592E-2</v>
      </c>
      <c r="L267" s="1">
        <v>3</v>
      </c>
      <c r="M267" s="1" t="s">
        <v>14</v>
      </c>
      <c r="N267" s="5" t="s">
        <v>527</v>
      </c>
      <c r="O267" s="1" t="s">
        <v>14</v>
      </c>
      <c r="P267" s="39">
        <v>0.1</v>
      </c>
      <c r="Q267" s="39">
        <v>0.2</v>
      </c>
      <c r="S267" s="1">
        <v>0</v>
      </c>
      <c r="V267" s="15" t="s">
        <v>27</v>
      </c>
      <c r="W267" s="15" t="s">
        <v>541</v>
      </c>
    </row>
    <row r="268" spans="1:23" x14ac:dyDescent="0.2">
      <c r="A268" s="15">
        <v>1</v>
      </c>
      <c r="B268" s="15" t="s">
        <v>551</v>
      </c>
      <c r="C268" s="1">
        <v>1</v>
      </c>
      <c r="D268" s="1" t="s">
        <v>242</v>
      </c>
      <c r="E268" s="4">
        <v>45432</v>
      </c>
      <c r="F268" s="31" t="s">
        <v>669</v>
      </c>
      <c r="G268" s="6">
        <f t="shared" si="22"/>
        <v>0.24289351851851851</v>
      </c>
      <c r="H268" s="3">
        <v>0.22100694444444444</v>
      </c>
      <c r="K268" s="6">
        <v>2.1886574074074076E-2</v>
      </c>
      <c r="L268" s="1">
        <v>2</v>
      </c>
      <c r="M268" s="1" t="s">
        <v>14</v>
      </c>
      <c r="N268" s="5" t="s">
        <v>527</v>
      </c>
      <c r="O268" s="1" t="s">
        <v>14</v>
      </c>
      <c r="P268" s="39">
        <v>0.2</v>
      </c>
      <c r="Q268" s="39">
        <v>0.2</v>
      </c>
      <c r="S268" s="1">
        <v>0</v>
      </c>
      <c r="T268" s="2" t="s">
        <v>725</v>
      </c>
      <c r="U268" s="1" t="s">
        <v>748</v>
      </c>
      <c r="V268" s="15" t="s">
        <v>27</v>
      </c>
      <c r="W268" s="15" t="s">
        <v>541</v>
      </c>
    </row>
    <row r="269" spans="1:23" x14ac:dyDescent="0.2">
      <c r="A269" s="15">
        <v>1</v>
      </c>
      <c r="B269" s="15" t="s">
        <v>551</v>
      </c>
      <c r="C269" s="1">
        <v>2</v>
      </c>
      <c r="D269" s="1" t="s">
        <v>242</v>
      </c>
      <c r="E269" s="4">
        <v>45432</v>
      </c>
      <c r="F269" s="31" t="s">
        <v>669</v>
      </c>
      <c r="G269" s="6">
        <f t="shared" si="22"/>
        <v>0.24484953703703702</v>
      </c>
      <c r="H269" s="3">
        <v>0.22100694444444444</v>
      </c>
      <c r="I269" s="3">
        <v>1.3078703703703703E-3</v>
      </c>
      <c r="J269" s="3">
        <f>I269+H269</f>
        <v>0.2223148148148148</v>
      </c>
      <c r="K269" s="6">
        <v>2.3842592592592592E-2</v>
      </c>
      <c r="L269" s="1">
        <v>2</v>
      </c>
      <c r="M269" s="1" t="s">
        <v>14</v>
      </c>
      <c r="N269" s="5" t="s">
        <v>527</v>
      </c>
      <c r="O269" s="1" t="s">
        <v>14</v>
      </c>
      <c r="P269" s="39">
        <v>0.2</v>
      </c>
      <c r="Q269" s="39">
        <v>0.2</v>
      </c>
      <c r="S269" s="1">
        <v>0</v>
      </c>
      <c r="U269" s="2" t="s">
        <v>726</v>
      </c>
      <c r="V269" s="15" t="s">
        <v>27</v>
      </c>
      <c r="W269" s="15" t="s">
        <v>541</v>
      </c>
    </row>
    <row r="270" spans="1:23" x14ac:dyDescent="0.2">
      <c r="A270" s="15">
        <v>1</v>
      </c>
      <c r="B270" s="15" t="s">
        <v>551</v>
      </c>
      <c r="C270" s="1">
        <v>1</v>
      </c>
      <c r="D270" s="1" t="s">
        <v>727</v>
      </c>
      <c r="E270" s="4">
        <v>45431</v>
      </c>
      <c r="F270" s="31" t="s">
        <v>669</v>
      </c>
      <c r="G270" s="6">
        <f t="shared" si="22"/>
        <v>0.24283564814814815</v>
      </c>
      <c r="H270" s="3">
        <v>0.22034722222222222</v>
      </c>
      <c r="J270" s="3"/>
      <c r="K270" s="6">
        <v>2.2488425925925926E-2</v>
      </c>
      <c r="L270" s="1">
        <v>2</v>
      </c>
      <c r="M270" s="1" t="s">
        <v>14</v>
      </c>
      <c r="N270" s="5" t="s">
        <v>527</v>
      </c>
      <c r="O270" s="1" t="s">
        <v>14</v>
      </c>
      <c r="P270" s="39">
        <v>0.2</v>
      </c>
      <c r="Q270" s="39">
        <v>0.2</v>
      </c>
      <c r="S270" s="1">
        <v>0</v>
      </c>
      <c r="U270" s="2" t="s">
        <v>726</v>
      </c>
      <c r="V270" s="15" t="s">
        <v>27</v>
      </c>
      <c r="W270" s="15" t="s">
        <v>541</v>
      </c>
    </row>
    <row r="271" spans="1:23" x14ac:dyDescent="0.2">
      <c r="A271" s="15">
        <v>1</v>
      </c>
      <c r="B271" s="15" t="s">
        <v>551</v>
      </c>
      <c r="C271" s="1">
        <v>2</v>
      </c>
      <c r="D271" s="1" t="s">
        <v>727</v>
      </c>
      <c r="E271" s="4">
        <v>45431</v>
      </c>
      <c r="F271" s="31" t="s">
        <v>669</v>
      </c>
      <c r="G271" s="6">
        <f t="shared" si="22"/>
        <v>0.26648148148148149</v>
      </c>
      <c r="H271" s="3">
        <v>0.22034722222222222</v>
      </c>
      <c r="I271" s="3">
        <v>1.40625E-2</v>
      </c>
      <c r="K271" s="6">
        <v>4.6134259259259257E-2</v>
      </c>
      <c r="L271" s="1">
        <v>2</v>
      </c>
      <c r="M271" s="1" t="s">
        <v>14</v>
      </c>
      <c r="N271" s="5" t="s">
        <v>527</v>
      </c>
      <c r="O271" s="1" t="s">
        <v>14</v>
      </c>
      <c r="P271" s="39">
        <v>0.2</v>
      </c>
      <c r="Q271" s="39">
        <v>0.2</v>
      </c>
      <c r="S271" s="1">
        <v>0</v>
      </c>
      <c r="U271" s="2" t="s">
        <v>728</v>
      </c>
      <c r="V271" s="15" t="s">
        <v>27</v>
      </c>
      <c r="W271" s="15" t="s">
        <v>541</v>
      </c>
    </row>
    <row r="272" spans="1:23" x14ac:dyDescent="0.2">
      <c r="A272" s="15">
        <v>1</v>
      </c>
      <c r="B272" s="15" t="s">
        <v>551</v>
      </c>
      <c r="C272" s="1">
        <v>1</v>
      </c>
      <c r="D272" s="1" t="s">
        <v>756</v>
      </c>
      <c r="E272" s="4">
        <v>45430</v>
      </c>
      <c r="F272" s="4" t="s">
        <v>27</v>
      </c>
      <c r="G272" s="6" t="s">
        <v>27</v>
      </c>
      <c r="H272" s="1" t="s">
        <v>27</v>
      </c>
      <c r="I272" s="1" t="s">
        <v>27</v>
      </c>
      <c r="J272" s="1" t="s">
        <v>27</v>
      </c>
      <c r="K272" s="1" t="s">
        <v>27</v>
      </c>
      <c r="L272" s="1">
        <v>2</v>
      </c>
      <c r="M272" s="1" t="s">
        <v>13</v>
      </c>
      <c r="N272" s="5" t="s">
        <v>527</v>
      </c>
      <c r="O272" s="1" t="s">
        <v>14</v>
      </c>
      <c r="P272" s="39">
        <v>0.2</v>
      </c>
      <c r="Q272" s="39">
        <v>0.1</v>
      </c>
      <c r="S272" s="1" t="s">
        <v>27</v>
      </c>
      <c r="U272" s="2" t="s">
        <v>570</v>
      </c>
      <c r="V272" s="15" t="s">
        <v>27</v>
      </c>
      <c r="W272" s="15" t="s">
        <v>541</v>
      </c>
    </row>
    <row r="273" spans="1:23" x14ac:dyDescent="0.2">
      <c r="A273" s="15">
        <v>1</v>
      </c>
      <c r="B273" s="15" t="s">
        <v>551</v>
      </c>
      <c r="C273" s="1">
        <v>1</v>
      </c>
      <c r="D273" s="1" t="s">
        <v>741</v>
      </c>
      <c r="E273" s="4">
        <v>45437</v>
      </c>
      <c r="F273" s="4" t="s">
        <v>671</v>
      </c>
      <c r="G273" s="6">
        <f t="shared" si="22"/>
        <v>0.78964120370370372</v>
      </c>
      <c r="H273" s="3">
        <v>0.75130787037037039</v>
      </c>
      <c r="I273" s="1" t="s">
        <v>27</v>
      </c>
      <c r="J273" s="1" t="s">
        <v>27</v>
      </c>
      <c r="K273" s="6">
        <v>3.833333333333333E-2</v>
      </c>
      <c r="L273" s="1">
        <v>2</v>
      </c>
      <c r="M273" s="1" t="s">
        <v>13</v>
      </c>
      <c r="N273" s="5" t="s">
        <v>527</v>
      </c>
      <c r="O273" s="1" t="s">
        <v>13</v>
      </c>
      <c r="P273" s="39">
        <v>0.2</v>
      </c>
      <c r="Q273" s="39">
        <v>0.2</v>
      </c>
      <c r="S273" s="1">
        <v>0</v>
      </c>
      <c r="T273" s="2" t="s">
        <v>742</v>
      </c>
      <c r="V273" s="15" t="s">
        <v>27</v>
      </c>
      <c r="W273" s="15" t="s">
        <v>541</v>
      </c>
    </row>
    <row r="274" spans="1:23" x14ac:dyDescent="0.2">
      <c r="A274" s="15">
        <v>1</v>
      </c>
      <c r="B274" s="15" t="s">
        <v>551</v>
      </c>
      <c r="C274" s="1">
        <v>1</v>
      </c>
      <c r="D274" s="1" t="s">
        <v>678</v>
      </c>
      <c r="E274" s="4">
        <v>45438</v>
      </c>
      <c r="F274" s="4" t="s">
        <v>671</v>
      </c>
      <c r="G274" s="6">
        <f t="shared" si="22"/>
        <v>0.2408912037037037</v>
      </c>
      <c r="H274" s="3">
        <v>0.22206018518518519</v>
      </c>
      <c r="I274" s="1" t="s">
        <v>27</v>
      </c>
      <c r="J274" s="1" t="s">
        <v>27</v>
      </c>
      <c r="K274" s="6">
        <v>1.8831018518518518E-2</v>
      </c>
      <c r="L274" s="1">
        <v>2</v>
      </c>
      <c r="M274" s="1" t="s">
        <v>13</v>
      </c>
      <c r="N274" s="5" t="s">
        <v>527</v>
      </c>
      <c r="O274" s="1" t="s">
        <v>14</v>
      </c>
      <c r="P274" s="39">
        <v>0.2</v>
      </c>
      <c r="Q274" s="39">
        <v>0.2</v>
      </c>
      <c r="S274" s="1">
        <v>0</v>
      </c>
      <c r="T274" s="2">
        <v>1</v>
      </c>
      <c r="V274" s="15" t="s">
        <v>27</v>
      </c>
      <c r="W274" s="15" t="s">
        <v>541</v>
      </c>
    </row>
    <row r="275" spans="1:23" x14ac:dyDescent="0.2">
      <c r="A275" s="15">
        <v>1</v>
      </c>
      <c r="B275" s="15" t="s">
        <v>551</v>
      </c>
      <c r="C275" s="1">
        <v>2</v>
      </c>
      <c r="D275" s="1" t="s">
        <v>678</v>
      </c>
      <c r="E275" s="4">
        <v>45438</v>
      </c>
      <c r="F275" s="4" t="s">
        <v>671</v>
      </c>
      <c r="G275" s="6">
        <f t="shared" si="22"/>
        <v>0.24142361111111113</v>
      </c>
      <c r="H275" s="3">
        <v>0.22206018518518519</v>
      </c>
      <c r="I275" s="1" t="s">
        <v>27</v>
      </c>
      <c r="J275" s="1" t="s">
        <v>27</v>
      </c>
      <c r="K275" s="6">
        <v>1.9363425925925926E-2</v>
      </c>
      <c r="L275" s="1">
        <v>2</v>
      </c>
      <c r="M275" s="1" t="s">
        <v>13</v>
      </c>
      <c r="N275" s="5" t="s">
        <v>527</v>
      </c>
      <c r="O275" s="1" t="s">
        <v>14</v>
      </c>
      <c r="P275" s="39">
        <v>0.2</v>
      </c>
      <c r="Q275" s="39">
        <v>0.2</v>
      </c>
      <c r="S275" s="1">
        <v>0</v>
      </c>
      <c r="T275" s="2">
        <v>1</v>
      </c>
      <c r="V275" s="15" t="s">
        <v>27</v>
      </c>
      <c r="W275" s="15" t="s">
        <v>541</v>
      </c>
    </row>
    <row r="276" spans="1:23" x14ac:dyDescent="0.2">
      <c r="A276" s="15">
        <v>1</v>
      </c>
      <c r="B276" s="15" t="s">
        <v>551</v>
      </c>
      <c r="C276" s="1" t="s">
        <v>27</v>
      </c>
      <c r="D276" s="1" t="s">
        <v>749</v>
      </c>
      <c r="E276" s="4">
        <v>45438</v>
      </c>
      <c r="F276" s="4" t="s">
        <v>671</v>
      </c>
      <c r="G276" s="6" t="s">
        <v>27</v>
      </c>
      <c r="H276" s="3">
        <v>0.75784722222222223</v>
      </c>
      <c r="I276" s="1" t="s">
        <v>27</v>
      </c>
      <c r="J276" s="1" t="s">
        <v>27</v>
      </c>
      <c r="K276" s="6" t="s">
        <v>27</v>
      </c>
      <c r="L276" s="1">
        <v>2</v>
      </c>
      <c r="N276" s="5" t="s">
        <v>527</v>
      </c>
      <c r="P276" s="39">
        <v>0.1</v>
      </c>
      <c r="Q276" s="39">
        <v>0.1</v>
      </c>
      <c r="S276" s="1" t="s">
        <v>27</v>
      </c>
      <c r="U276" s="1" t="s">
        <v>66</v>
      </c>
    </row>
    <row r="277" spans="1:23" x14ac:dyDescent="0.2">
      <c r="A277" s="15">
        <v>1</v>
      </c>
      <c r="B277" s="15" t="s">
        <v>551</v>
      </c>
      <c r="C277" s="1">
        <v>1</v>
      </c>
      <c r="D277" s="1" t="s">
        <v>750</v>
      </c>
      <c r="E277" s="4">
        <v>45439</v>
      </c>
      <c r="F277" s="4" t="s">
        <v>671</v>
      </c>
      <c r="G277" s="6">
        <f t="shared" si="22"/>
        <v>0.23730324074074075</v>
      </c>
      <c r="H277" s="3">
        <v>0.21502314814814816</v>
      </c>
      <c r="I277" s="1" t="s">
        <v>27</v>
      </c>
      <c r="J277" s="1" t="s">
        <v>27</v>
      </c>
      <c r="K277" s="6">
        <v>2.2280092592592591E-2</v>
      </c>
      <c r="L277" s="1">
        <v>2</v>
      </c>
      <c r="M277" s="1" t="s">
        <v>13</v>
      </c>
      <c r="N277" s="5" t="s">
        <v>527</v>
      </c>
      <c r="O277" s="1" t="s">
        <v>13</v>
      </c>
      <c r="P277" s="39">
        <v>0.2</v>
      </c>
      <c r="Q277" s="39">
        <v>0.2</v>
      </c>
      <c r="S277" s="1">
        <v>1</v>
      </c>
    </row>
    <row r="278" spans="1:23" x14ac:dyDescent="0.2">
      <c r="A278" s="15">
        <v>1</v>
      </c>
      <c r="B278" s="15" t="s">
        <v>551</v>
      </c>
      <c r="C278" s="1">
        <v>2</v>
      </c>
      <c r="D278" s="1" t="s">
        <v>750</v>
      </c>
      <c r="E278" s="4">
        <v>45439</v>
      </c>
      <c r="F278" s="4" t="s">
        <v>671</v>
      </c>
      <c r="G278" s="6">
        <f t="shared" si="22"/>
        <v>0.23995370370370372</v>
      </c>
      <c r="H278" s="3">
        <v>0.21502314814814816</v>
      </c>
      <c r="I278" s="1" t="s">
        <v>27</v>
      </c>
      <c r="J278" s="1" t="s">
        <v>27</v>
      </c>
      <c r="K278" s="6">
        <v>2.4930555555555556E-2</v>
      </c>
      <c r="L278" s="1">
        <v>2</v>
      </c>
      <c r="M278" s="1" t="s">
        <v>13</v>
      </c>
      <c r="N278" s="5" t="s">
        <v>527</v>
      </c>
      <c r="O278" s="1" t="s">
        <v>13</v>
      </c>
      <c r="P278" s="39">
        <v>0.2</v>
      </c>
      <c r="Q278" s="39">
        <v>0.2</v>
      </c>
      <c r="S278" s="1">
        <v>1</v>
      </c>
    </row>
    <row r="279" spans="1:23" x14ac:dyDescent="0.2">
      <c r="A279" s="15">
        <v>1</v>
      </c>
      <c r="B279" s="15" t="s">
        <v>551</v>
      </c>
      <c r="C279" s="1">
        <v>1</v>
      </c>
      <c r="D279" s="1" t="s">
        <v>751</v>
      </c>
      <c r="E279" s="4">
        <v>45443</v>
      </c>
      <c r="F279" s="4" t="s">
        <v>671</v>
      </c>
      <c r="G279" s="6">
        <f t="shared" si="22"/>
        <v>0.79515046296296299</v>
      </c>
      <c r="H279" s="3">
        <v>0.7628935185185185</v>
      </c>
      <c r="I279" s="3">
        <v>1.8738425925925926E-2</v>
      </c>
      <c r="J279" s="3">
        <f>I279+H279</f>
        <v>0.78163194444444439</v>
      </c>
      <c r="K279" s="6">
        <v>3.2256944444444442E-2</v>
      </c>
      <c r="L279" s="1">
        <v>2</v>
      </c>
      <c r="M279" s="1" t="s">
        <v>13</v>
      </c>
      <c r="N279" s="5" t="s">
        <v>527</v>
      </c>
      <c r="O279" s="1" t="s">
        <v>14</v>
      </c>
      <c r="P279" s="39">
        <v>0.1</v>
      </c>
      <c r="Q279" s="39">
        <v>0.15</v>
      </c>
      <c r="S279" s="1">
        <v>0</v>
      </c>
    </row>
    <row r="280" spans="1:23" x14ac:dyDescent="0.2">
      <c r="A280" s="15">
        <v>1</v>
      </c>
      <c r="B280" s="15" t="s">
        <v>551</v>
      </c>
      <c r="C280" s="1">
        <v>1</v>
      </c>
      <c r="D280" s="1" t="s">
        <v>757</v>
      </c>
      <c r="E280" s="4">
        <v>45447</v>
      </c>
      <c r="F280" s="4" t="s">
        <v>671</v>
      </c>
      <c r="G280" s="6">
        <f t="shared" si="22"/>
        <v>0.23099537037037038</v>
      </c>
      <c r="H280" s="3">
        <v>0.21865740740740741</v>
      </c>
      <c r="I280" s="1" t="s">
        <v>27</v>
      </c>
      <c r="K280" s="6">
        <v>1.2337962962962964E-2</v>
      </c>
      <c r="L280" s="1">
        <v>2</v>
      </c>
      <c r="M280" s="1" t="s">
        <v>14</v>
      </c>
      <c r="N280" s="5" t="s">
        <v>527</v>
      </c>
      <c r="O280" s="1" t="s">
        <v>13</v>
      </c>
      <c r="P280" s="39">
        <v>0.15</v>
      </c>
      <c r="Q280" s="39">
        <v>0.15</v>
      </c>
      <c r="S280" s="1">
        <v>1</v>
      </c>
    </row>
    <row r="281" spans="1:23" x14ac:dyDescent="0.2">
      <c r="A281" s="15">
        <v>1</v>
      </c>
      <c r="B281" s="15" t="s">
        <v>551</v>
      </c>
      <c r="C281" s="1">
        <v>2</v>
      </c>
      <c r="D281" s="1" t="s">
        <v>757</v>
      </c>
      <c r="E281" s="4">
        <v>45447</v>
      </c>
      <c r="F281" s="4" t="s">
        <v>671</v>
      </c>
      <c r="G281" s="6">
        <f t="shared" si="22"/>
        <v>0.24619212962962964</v>
      </c>
      <c r="H281" s="3">
        <v>0.21865740740740741</v>
      </c>
      <c r="I281" s="3">
        <v>1.3032407407407407E-2</v>
      </c>
      <c r="J281" s="3">
        <f>I281+H281</f>
        <v>0.23168981481481482</v>
      </c>
      <c r="K281" s="6">
        <v>2.7534722222222221E-2</v>
      </c>
      <c r="L281" s="1">
        <v>2</v>
      </c>
      <c r="M281" s="1" t="s">
        <v>13</v>
      </c>
      <c r="N281" s="5" t="s">
        <v>527</v>
      </c>
      <c r="O281" s="1" t="s">
        <v>13</v>
      </c>
      <c r="P281" s="39">
        <v>0.15</v>
      </c>
      <c r="Q281" s="39">
        <v>0.15</v>
      </c>
      <c r="S281" s="1">
        <v>1</v>
      </c>
    </row>
    <row r="282" spans="1:23" x14ac:dyDescent="0.2">
      <c r="A282" s="15">
        <v>1</v>
      </c>
      <c r="B282" s="15" t="s">
        <v>551</v>
      </c>
      <c r="C282" s="1">
        <v>1</v>
      </c>
      <c r="D282" s="1" t="s">
        <v>758</v>
      </c>
      <c r="E282" s="4">
        <v>45446</v>
      </c>
      <c r="F282" s="4" t="s">
        <v>671</v>
      </c>
      <c r="G282" s="6">
        <f t="shared" si="22"/>
        <v>0.79351851851851851</v>
      </c>
      <c r="H282" s="3">
        <v>0.76937500000000003</v>
      </c>
      <c r="I282" s="3">
        <v>5.6712962962962967E-3</v>
      </c>
      <c r="J282" s="3">
        <f>I282+H282</f>
        <v>0.77504629629629629</v>
      </c>
      <c r="K282" s="6">
        <v>2.4143518518518519E-2</v>
      </c>
      <c r="L282" s="1">
        <v>2</v>
      </c>
      <c r="M282" s="1" t="s">
        <v>14</v>
      </c>
      <c r="N282" s="5" t="s">
        <v>527</v>
      </c>
      <c r="O282" s="1" t="s">
        <v>14</v>
      </c>
      <c r="P282" s="39">
        <v>0.15</v>
      </c>
      <c r="Q282" s="39">
        <v>0.15</v>
      </c>
      <c r="S282" s="1">
        <v>0</v>
      </c>
    </row>
    <row r="283" spans="1:23" x14ac:dyDescent="0.2">
      <c r="A283" s="15">
        <v>1</v>
      </c>
      <c r="B283" s="15" t="s">
        <v>551</v>
      </c>
      <c r="C283" s="1">
        <v>1</v>
      </c>
      <c r="D283" s="1" t="s">
        <v>752</v>
      </c>
      <c r="E283" s="4">
        <v>45446</v>
      </c>
      <c r="F283" s="4" t="s">
        <v>671</v>
      </c>
      <c r="G283" s="6">
        <f t="shared" si="22"/>
        <v>0.23542824074074073</v>
      </c>
      <c r="H283" s="3">
        <v>0.21857638888888889</v>
      </c>
      <c r="K283" s="6">
        <v>1.6851851851851851E-2</v>
      </c>
      <c r="L283" s="1">
        <v>2</v>
      </c>
      <c r="M283" s="1" t="s">
        <v>13</v>
      </c>
      <c r="N283" s="5" t="s">
        <v>527</v>
      </c>
      <c r="O283" s="1" t="s">
        <v>14</v>
      </c>
      <c r="P283" s="39">
        <v>0.15</v>
      </c>
      <c r="Q283" s="39">
        <v>0.15</v>
      </c>
      <c r="S283" s="1">
        <v>0</v>
      </c>
    </row>
    <row r="284" spans="1:23" x14ac:dyDescent="0.2">
      <c r="A284" s="15">
        <v>1</v>
      </c>
      <c r="B284" s="15" t="s">
        <v>551</v>
      </c>
      <c r="C284" s="1">
        <v>2</v>
      </c>
      <c r="D284" s="1" t="s">
        <v>752</v>
      </c>
      <c r="E284" s="4">
        <v>45446</v>
      </c>
      <c r="F284" s="4" t="s">
        <v>671</v>
      </c>
      <c r="G284" s="6">
        <f t="shared" si="22"/>
        <v>0.24730324074074073</v>
      </c>
      <c r="H284" s="3">
        <v>0.21857638888888889</v>
      </c>
      <c r="K284" s="6">
        <v>2.8726851851851851E-2</v>
      </c>
      <c r="L284" s="1">
        <v>2</v>
      </c>
      <c r="M284" s="1" t="s">
        <v>13</v>
      </c>
      <c r="N284" s="5" t="s">
        <v>527</v>
      </c>
      <c r="O284" s="1" t="s">
        <v>14</v>
      </c>
      <c r="P284" s="39">
        <v>0.15</v>
      </c>
      <c r="Q284" s="39">
        <v>0.15</v>
      </c>
      <c r="S284" s="1">
        <v>0</v>
      </c>
    </row>
    <row r="285" spans="1:23" x14ac:dyDescent="0.2">
      <c r="A285" s="15">
        <v>1</v>
      </c>
      <c r="B285" s="15" t="s">
        <v>551</v>
      </c>
      <c r="C285" s="1">
        <v>1</v>
      </c>
      <c r="D285" s="1" t="s">
        <v>753</v>
      </c>
      <c r="E285" s="4">
        <v>45445</v>
      </c>
      <c r="F285" s="4" t="s">
        <v>671</v>
      </c>
      <c r="G285" s="6">
        <f t="shared" si="22"/>
        <v>0.78672453703703704</v>
      </c>
      <c r="H285" s="3">
        <v>0.76591435185185186</v>
      </c>
      <c r="I285" s="3">
        <v>7.2106481481481483E-3</v>
      </c>
      <c r="J285" s="3">
        <f>I285+H285</f>
        <v>0.77312500000000006</v>
      </c>
      <c r="K285" s="6">
        <v>2.0810185185185185E-2</v>
      </c>
      <c r="L285" s="1">
        <v>2</v>
      </c>
      <c r="M285" s="1" t="s">
        <v>13</v>
      </c>
      <c r="N285" s="5" t="s">
        <v>527</v>
      </c>
      <c r="O285" s="1" t="s">
        <v>13</v>
      </c>
      <c r="P285" s="39">
        <v>0.15</v>
      </c>
      <c r="Q285" s="39">
        <v>0.15</v>
      </c>
      <c r="S285" s="1">
        <v>1</v>
      </c>
    </row>
    <row r="286" spans="1:23" x14ac:dyDescent="0.2">
      <c r="A286" s="15">
        <v>1</v>
      </c>
      <c r="B286" s="15" t="s">
        <v>551</v>
      </c>
      <c r="C286" s="1">
        <v>2</v>
      </c>
      <c r="D286" s="1" t="s">
        <v>753</v>
      </c>
      <c r="E286" s="4">
        <v>45445</v>
      </c>
      <c r="F286" s="4" t="s">
        <v>671</v>
      </c>
      <c r="G286" s="6">
        <f t="shared" si="22"/>
        <v>0.79743055555555553</v>
      </c>
      <c r="H286" s="3">
        <v>0.76591435185185186</v>
      </c>
      <c r="I286" s="3">
        <v>1.7766203703703704E-2</v>
      </c>
      <c r="J286" s="3">
        <f>I286+H286</f>
        <v>0.7836805555555556</v>
      </c>
      <c r="K286" s="6">
        <v>3.1516203703703706E-2</v>
      </c>
      <c r="L286" s="1">
        <v>2</v>
      </c>
      <c r="M286" s="1" t="s">
        <v>13</v>
      </c>
      <c r="N286" s="5" t="s">
        <v>527</v>
      </c>
      <c r="O286" s="1" t="s">
        <v>13</v>
      </c>
      <c r="P286" s="39">
        <v>0.15</v>
      </c>
      <c r="Q286" s="39">
        <v>0.15</v>
      </c>
      <c r="S286" s="1">
        <v>1</v>
      </c>
    </row>
    <row r="287" spans="1:23" x14ac:dyDescent="0.2">
      <c r="A287" s="15">
        <v>1</v>
      </c>
      <c r="B287" s="15" t="s">
        <v>551</v>
      </c>
      <c r="C287" s="1">
        <v>1</v>
      </c>
      <c r="D287" s="1" t="s">
        <v>754</v>
      </c>
      <c r="E287" s="4">
        <v>45445</v>
      </c>
      <c r="F287" s="4" t="s">
        <v>671</v>
      </c>
      <c r="G287" s="6">
        <f t="shared" si="22"/>
        <v>0.23479166666666668</v>
      </c>
      <c r="H287" s="3">
        <v>0.22961805555555556</v>
      </c>
      <c r="K287" s="6">
        <v>5.1736111111111115E-3</v>
      </c>
      <c r="L287" s="1">
        <v>2</v>
      </c>
      <c r="M287" s="1" t="s">
        <v>14</v>
      </c>
      <c r="N287" s="5" t="s">
        <v>527</v>
      </c>
      <c r="O287" s="1" t="s">
        <v>13</v>
      </c>
      <c r="P287" s="39">
        <v>0.15</v>
      </c>
      <c r="Q287" s="39">
        <v>0.15</v>
      </c>
      <c r="S287" s="1">
        <v>1</v>
      </c>
    </row>
    <row r="288" spans="1:23" x14ac:dyDescent="0.2">
      <c r="A288" s="15">
        <v>1</v>
      </c>
      <c r="B288" s="15" t="s">
        <v>551</v>
      </c>
      <c r="C288" s="1">
        <v>2</v>
      </c>
      <c r="D288" s="1" t="s">
        <v>754</v>
      </c>
      <c r="E288" s="4">
        <v>45445</v>
      </c>
      <c r="F288" s="4" t="s">
        <v>671</v>
      </c>
      <c r="G288" s="6">
        <f t="shared" si="22"/>
        <v>0.24001157407407409</v>
      </c>
      <c r="H288" s="3">
        <v>0.22961805555555556</v>
      </c>
      <c r="I288" s="3">
        <v>5.8449074074074072E-3</v>
      </c>
      <c r="J288" s="3">
        <f>I288+H288</f>
        <v>0.23546296296296296</v>
      </c>
      <c r="K288" s="6">
        <v>1.0393518518518519E-2</v>
      </c>
      <c r="L288" s="1">
        <v>2</v>
      </c>
      <c r="M288" s="1" t="s">
        <v>13</v>
      </c>
      <c r="N288" s="5" t="s">
        <v>527</v>
      </c>
      <c r="O288" s="1" t="s">
        <v>13</v>
      </c>
      <c r="P288" s="39">
        <v>0.15</v>
      </c>
      <c r="Q288" s="39">
        <v>0.15</v>
      </c>
      <c r="S288" s="1">
        <v>1</v>
      </c>
    </row>
    <row r="289" spans="1:21" x14ac:dyDescent="0.2">
      <c r="A289" s="15">
        <v>1</v>
      </c>
      <c r="B289" s="15" t="s">
        <v>551</v>
      </c>
      <c r="C289" s="1">
        <v>3</v>
      </c>
      <c r="D289" s="1" t="s">
        <v>754</v>
      </c>
      <c r="E289" s="4">
        <v>45445</v>
      </c>
      <c r="F289" s="4" t="s">
        <v>671</v>
      </c>
      <c r="G289" s="6">
        <f t="shared" si="22"/>
        <v>0.24662037037037038</v>
      </c>
      <c r="H289" s="3">
        <v>0.22961805555555556</v>
      </c>
      <c r="I289" s="3">
        <v>1.1145833333333334E-2</v>
      </c>
      <c r="J289" s="3">
        <f>I289+H289</f>
        <v>0.24076388888888889</v>
      </c>
      <c r="K289" s="6">
        <v>1.7002314814814814E-2</v>
      </c>
      <c r="L289" s="1">
        <v>2</v>
      </c>
      <c r="M289" s="1" t="s">
        <v>13</v>
      </c>
      <c r="N289" s="5" t="s">
        <v>527</v>
      </c>
      <c r="O289" s="1" t="s">
        <v>13</v>
      </c>
      <c r="P289" s="39">
        <v>0.15</v>
      </c>
      <c r="Q289" s="39">
        <v>0.15</v>
      </c>
      <c r="S289" s="1">
        <v>1</v>
      </c>
    </row>
    <row r="290" spans="1:21" x14ac:dyDescent="0.2">
      <c r="A290" s="15">
        <v>1</v>
      </c>
      <c r="B290" s="15" t="s">
        <v>551</v>
      </c>
      <c r="C290" s="1">
        <v>1</v>
      </c>
      <c r="D290" s="4" t="s">
        <v>755</v>
      </c>
      <c r="E290" s="4">
        <v>45444</v>
      </c>
      <c r="F290" s="4" t="s">
        <v>671</v>
      </c>
      <c r="G290" s="6">
        <f t="shared" si="22"/>
        <v>0.22990740740740739</v>
      </c>
      <c r="H290" s="6">
        <v>0.22277777777777777</v>
      </c>
      <c r="K290" s="6">
        <v>7.1296296296296299E-3</v>
      </c>
      <c r="L290" s="1">
        <v>2</v>
      </c>
      <c r="M290" s="1" t="s">
        <v>14</v>
      </c>
      <c r="N290" s="5" t="s">
        <v>527</v>
      </c>
      <c r="O290" s="1" t="s">
        <v>14</v>
      </c>
      <c r="P290" s="39">
        <v>0.15</v>
      </c>
      <c r="Q290" s="39">
        <v>0.15</v>
      </c>
      <c r="S290" s="1">
        <v>0</v>
      </c>
    </row>
    <row r="291" spans="1:21" x14ac:dyDescent="0.2">
      <c r="A291" s="15">
        <v>1</v>
      </c>
      <c r="B291" s="15" t="s">
        <v>551</v>
      </c>
      <c r="C291" s="1">
        <v>2</v>
      </c>
      <c r="D291" s="4" t="s">
        <v>755</v>
      </c>
      <c r="E291" s="4">
        <v>45444</v>
      </c>
      <c r="F291" s="4" t="s">
        <v>671</v>
      </c>
      <c r="G291" s="6">
        <f t="shared" si="22"/>
        <v>0.2381597222222222</v>
      </c>
      <c r="H291" s="6">
        <v>0.22277777777777777</v>
      </c>
      <c r="I291" s="3">
        <v>8.067129629629629E-3</v>
      </c>
      <c r="J291" s="3">
        <f>I291+H291</f>
        <v>0.2308449074074074</v>
      </c>
      <c r="K291" s="6">
        <v>1.5381944444444445E-2</v>
      </c>
      <c r="L291" s="1">
        <v>2</v>
      </c>
      <c r="M291" s="1" t="s">
        <v>14</v>
      </c>
      <c r="N291" s="5" t="s">
        <v>527</v>
      </c>
      <c r="O291" s="1" t="s">
        <v>14</v>
      </c>
      <c r="P291" s="39">
        <v>0.15</v>
      </c>
      <c r="Q291" s="39">
        <v>0.15</v>
      </c>
      <c r="S291" s="1">
        <v>0</v>
      </c>
    </row>
    <row r="292" spans="1:21" x14ac:dyDescent="0.2">
      <c r="A292" s="15">
        <v>1</v>
      </c>
      <c r="B292" s="15" t="s">
        <v>551</v>
      </c>
      <c r="C292" s="1">
        <v>1</v>
      </c>
      <c r="D292" s="1" t="s">
        <v>759</v>
      </c>
      <c r="E292" s="4">
        <v>45448</v>
      </c>
      <c r="F292" s="4" t="s">
        <v>671</v>
      </c>
      <c r="G292" s="6">
        <f t="shared" si="22"/>
        <v>0.23193287037037039</v>
      </c>
      <c r="H292" s="6">
        <v>0.21761574074074075</v>
      </c>
      <c r="K292" s="6">
        <v>1.4317129629629629E-2</v>
      </c>
      <c r="L292" s="1">
        <v>2</v>
      </c>
      <c r="M292" s="1" t="s">
        <v>13</v>
      </c>
      <c r="N292" s="5" t="s">
        <v>527</v>
      </c>
      <c r="O292" s="1" t="s">
        <v>14</v>
      </c>
      <c r="P292" s="39">
        <v>0.15</v>
      </c>
      <c r="Q292" s="39">
        <v>0.15</v>
      </c>
      <c r="S292" s="1">
        <v>0</v>
      </c>
    </row>
    <row r="293" spans="1:21" x14ac:dyDescent="0.2">
      <c r="A293" s="15">
        <v>1</v>
      </c>
      <c r="B293" s="15" t="s">
        <v>551</v>
      </c>
      <c r="C293" s="1">
        <v>2</v>
      </c>
      <c r="D293" s="1" t="s">
        <v>759</v>
      </c>
      <c r="E293" s="4">
        <v>45448</v>
      </c>
      <c r="F293" s="4" t="s">
        <v>671</v>
      </c>
      <c r="G293" s="6">
        <f t="shared" si="22"/>
        <v>0.25498842592592591</v>
      </c>
      <c r="H293" s="6">
        <v>0.21761574074074075</v>
      </c>
      <c r="I293" s="3">
        <v>1.5219907407407408E-2</v>
      </c>
      <c r="J293" s="3">
        <f>I293+H293</f>
        <v>0.23283564814814817</v>
      </c>
      <c r="K293" s="6">
        <v>3.7372685185185182E-2</v>
      </c>
      <c r="L293" s="1">
        <v>2</v>
      </c>
      <c r="M293" s="1" t="s">
        <v>14</v>
      </c>
      <c r="N293" s="5" t="s">
        <v>527</v>
      </c>
      <c r="O293" s="1" t="s">
        <v>14</v>
      </c>
      <c r="P293" s="39">
        <v>0.15</v>
      </c>
      <c r="Q293" s="39">
        <v>0.15</v>
      </c>
      <c r="S293" s="1">
        <v>0</v>
      </c>
    </row>
    <row r="294" spans="1:21" x14ac:dyDescent="0.2">
      <c r="A294" s="15">
        <v>1</v>
      </c>
      <c r="B294" s="15" t="s">
        <v>551</v>
      </c>
      <c r="C294" s="1">
        <v>1</v>
      </c>
      <c r="D294" s="1" t="s">
        <v>760</v>
      </c>
      <c r="E294" s="4">
        <v>45449</v>
      </c>
      <c r="F294" s="4" t="s">
        <v>671</v>
      </c>
      <c r="G294" s="6">
        <f t="shared" si="22"/>
        <v>0.22938657407407409</v>
      </c>
      <c r="H294" s="3">
        <v>0.22115740740740741</v>
      </c>
      <c r="K294" s="6">
        <v>8.2291666666666659E-3</v>
      </c>
      <c r="L294" s="1">
        <v>2</v>
      </c>
      <c r="M294" s="1" t="s">
        <v>14</v>
      </c>
      <c r="N294" s="5" t="s">
        <v>527</v>
      </c>
      <c r="O294" s="1" t="s">
        <v>14</v>
      </c>
      <c r="P294" s="39">
        <v>0.15</v>
      </c>
      <c r="Q294" s="39">
        <v>0.15</v>
      </c>
      <c r="S294" s="1">
        <v>0</v>
      </c>
    </row>
    <row r="295" spans="1:21" x14ac:dyDescent="0.2">
      <c r="A295" s="15">
        <v>1</v>
      </c>
      <c r="B295" s="15" t="s">
        <v>551</v>
      </c>
      <c r="C295" s="1">
        <v>2</v>
      </c>
      <c r="D295" s="1" t="s">
        <v>760</v>
      </c>
      <c r="E295" s="4">
        <v>45449</v>
      </c>
      <c r="F295" s="4" t="s">
        <v>671</v>
      </c>
      <c r="G295" s="6">
        <f t="shared" si="22"/>
        <v>0.24318287037037037</v>
      </c>
      <c r="H295" s="3">
        <v>0.22115740740740741</v>
      </c>
      <c r="K295" s="6">
        <v>2.2025462962962962E-2</v>
      </c>
      <c r="L295" s="1">
        <v>2</v>
      </c>
      <c r="M295" s="1" t="s">
        <v>14</v>
      </c>
      <c r="N295" s="5" t="s">
        <v>527</v>
      </c>
      <c r="O295" s="1" t="s">
        <v>14</v>
      </c>
      <c r="P295" s="39">
        <v>0.15</v>
      </c>
      <c r="Q295" s="39">
        <v>0.15</v>
      </c>
      <c r="S295" s="1">
        <v>0</v>
      </c>
    </row>
    <row r="296" spans="1:21" x14ac:dyDescent="0.2">
      <c r="A296" s="15">
        <v>1</v>
      </c>
      <c r="B296" s="15" t="s">
        <v>551</v>
      </c>
      <c r="C296" s="1">
        <v>3</v>
      </c>
      <c r="D296" s="1" t="s">
        <v>760</v>
      </c>
      <c r="E296" s="4">
        <v>45449</v>
      </c>
      <c r="F296" s="4" t="s">
        <v>671</v>
      </c>
      <c r="G296" s="6">
        <f t="shared" si="22"/>
        <v>0.24925925925925926</v>
      </c>
      <c r="H296" s="3">
        <v>0.22115740740740741</v>
      </c>
      <c r="I296" s="3">
        <v>2.2881944444444444E-2</v>
      </c>
      <c r="J296" s="3">
        <f>I296+H296</f>
        <v>0.24403935185185185</v>
      </c>
      <c r="K296" s="6">
        <v>2.8101851851851854E-2</v>
      </c>
      <c r="L296" s="1">
        <v>2</v>
      </c>
      <c r="M296" s="1" t="s">
        <v>14</v>
      </c>
      <c r="N296" s="5" t="s">
        <v>527</v>
      </c>
      <c r="O296" s="1" t="s">
        <v>14</v>
      </c>
      <c r="P296" s="39">
        <v>0.15</v>
      </c>
      <c r="Q296" s="39">
        <v>0.15</v>
      </c>
      <c r="S296" s="1">
        <v>0</v>
      </c>
    </row>
    <row r="297" spans="1:21" x14ac:dyDescent="0.2">
      <c r="A297" s="15">
        <v>1</v>
      </c>
      <c r="B297" s="15" t="s">
        <v>551</v>
      </c>
      <c r="C297" s="1">
        <v>4</v>
      </c>
      <c r="D297" s="1" t="s">
        <v>760</v>
      </c>
      <c r="E297" s="4">
        <v>45449</v>
      </c>
      <c r="F297" s="4" t="s">
        <v>671</v>
      </c>
      <c r="G297" s="6">
        <f t="shared" si="22"/>
        <v>0.2553125</v>
      </c>
      <c r="H297" s="3">
        <v>0.22115740740740741</v>
      </c>
      <c r="I297" s="3">
        <v>2.8993055555555557E-2</v>
      </c>
      <c r="J297" s="3">
        <f>I297+H297</f>
        <v>0.25015046296296295</v>
      </c>
      <c r="K297" s="6">
        <v>3.4155092592592591E-2</v>
      </c>
      <c r="L297" s="1">
        <v>2</v>
      </c>
      <c r="M297" s="1" t="s">
        <v>14</v>
      </c>
      <c r="N297" s="5" t="s">
        <v>527</v>
      </c>
      <c r="O297" s="1" t="s">
        <v>14</v>
      </c>
      <c r="P297" s="39">
        <v>0.15</v>
      </c>
      <c r="Q297" s="39">
        <v>0.15</v>
      </c>
      <c r="S297" s="1">
        <v>1</v>
      </c>
    </row>
    <row r="298" spans="1:21" x14ac:dyDescent="0.2">
      <c r="A298" s="15">
        <v>1</v>
      </c>
      <c r="B298" s="15" t="s">
        <v>551</v>
      </c>
      <c r="C298" s="1">
        <v>1</v>
      </c>
      <c r="D298" s="1" t="s">
        <v>761</v>
      </c>
      <c r="E298" s="4">
        <v>45448</v>
      </c>
      <c r="F298" s="4" t="s">
        <v>671</v>
      </c>
      <c r="G298" s="6" t="s">
        <v>27</v>
      </c>
      <c r="H298" s="3">
        <v>0.76388888888888884</v>
      </c>
      <c r="I298" s="3">
        <v>0.22115740740740741</v>
      </c>
      <c r="J298" s="3"/>
      <c r="K298" s="6" t="s">
        <v>27</v>
      </c>
      <c r="L298" s="1">
        <v>2</v>
      </c>
      <c r="M298" s="1" t="s">
        <v>14</v>
      </c>
      <c r="N298" s="5" t="s">
        <v>527</v>
      </c>
      <c r="O298" s="1" t="s">
        <v>14</v>
      </c>
      <c r="P298" s="39">
        <v>0.15</v>
      </c>
      <c r="Q298" s="39">
        <v>0.15</v>
      </c>
      <c r="S298" s="1" t="s">
        <v>27</v>
      </c>
      <c r="U298" s="1" t="s">
        <v>762</v>
      </c>
    </row>
    <row r="299" spans="1:21" x14ac:dyDescent="0.2">
      <c r="A299" s="15">
        <v>1</v>
      </c>
      <c r="B299" s="15" t="s">
        <v>551</v>
      </c>
      <c r="C299" s="1">
        <v>2</v>
      </c>
      <c r="D299" s="1" t="s">
        <v>761</v>
      </c>
      <c r="E299" s="4">
        <v>45448</v>
      </c>
      <c r="F299" s="4" t="s">
        <v>671</v>
      </c>
      <c r="G299" s="6" t="s">
        <v>27</v>
      </c>
      <c r="H299" s="3">
        <v>0.76388888888888884</v>
      </c>
      <c r="I299" s="3">
        <v>1.8784722222222223E-2</v>
      </c>
      <c r="J299" s="3">
        <f>I299+H299</f>
        <v>0.78267361111111111</v>
      </c>
      <c r="K299" s="6" t="s">
        <v>27</v>
      </c>
      <c r="L299" s="1">
        <v>2</v>
      </c>
      <c r="M299" s="1" t="s">
        <v>14</v>
      </c>
      <c r="N299" s="5" t="s">
        <v>527</v>
      </c>
      <c r="O299" s="1" t="s">
        <v>14</v>
      </c>
      <c r="P299" s="39">
        <v>0.15</v>
      </c>
      <c r="Q299" s="39">
        <v>0.15</v>
      </c>
      <c r="S299" s="1" t="s">
        <v>27</v>
      </c>
    </row>
    <row r="300" spans="1:21" x14ac:dyDescent="0.2">
      <c r="A300" s="15">
        <v>1</v>
      </c>
      <c r="B300" s="15" t="s">
        <v>551</v>
      </c>
      <c r="C300" s="1">
        <v>1</v>
      </c>
      <c r="D300" s="1" t="s">
        <v>763</v>
      </c>
      <c r="E300" s="4">
        <v>45450</v>
      </c>
      <c r="F300" s="4" t="s">
        <v>671</v>
      </c>
      <c r="G300" s="6">
        <f t="shared" ref="G300:G337" si="23">K300+H300</f>
        <v>0.23401620370370371</v>
      </c>
      <c r="H300" s="3">
        <v>0.22133101851851852</v>
      </c>
      <c r="K300" s="6">
        <v>1.2685185185185185E-2</v>
      </c>
      <c r="L300" s="1">
        <v>2</v>
      </c>
      <c r="M300" s="1" t="s">
        <v>13</v>
      </c>
      <c r="N300" s="5" t="s">
        <v>527</v>
      </c>
      <c r="O300" s="1" t="s">
        <v>13</v>
      </c>
      <c r="P300" s="39">
        <v>0.15</v>
      </c>
      <c r="Q300" s="39">
        <v>0.15</v>
      </c>
      <c r="S300" s="1">
        <v>1</v>
      </c>
      <c r="T300" s="2" t="s">
        <v>696</v>
      </c>
    </row>
    <row r="301" spans="1:21" x14ac:dyDescent="0.2">
      <c r="A301" s="15">
        <v>1</v>
      </c>
      <c r="B301" s="15" t="s">
        <v>551</v>
      </c>
      <c r="C301" s="1">
        <v>2</v>
      </c>
      <c r="D301" s="1" t="s">
        <v>763</v>
      </c>
      <c r="E301" s="4">
        <v>45450</v>
      </c>
      <c r="F301" s="4" t="s">
        <v>671</v>
      </c>
      <c r="G301" s="6">
        <f t="shared" si="23"/>
        <v>0.25451388888888887</v>
      </c>
      <c r="H301" s="3">
        <v>0.22133101851851852</v>
      </c>
      <c r="I301" s="3">
        <v>1.324074074074074E-2</v>
      </c>
      <c r="J301" s="3">
        <f>I301+H301</f>
        <v>0.23457175925925927</v>
      </c>
      <c r="K301" s="6">
        <v>3.318287037037037E-2</v>
      </c>
      <c r="L301" s="1">
        <v>2</v>
      </c>
      <c r="M301" s="1" t="s">
        <v>13</v>
      </c>
      <c r="N301" s="5" t="s">
        <v>527</v>
      </c>
      <c r="O301" s="1" t="s">
        <v>13</v>
      </c>
      <c r="P301" s="39">
        <v>0.15</v>
      </c>
      <c r="Q301" s="39">
        <v>0.15</v>
      </c>
      <c r="S301" s="1">
        <v>1</v>
      </c>
    </row>
    <row r="302" spans="1:21" x14ac:dyDescent="0.2">
      <c r="A302" s="15">
        <v>1</v>
      </c>
      <c r="B302" s="15" t="s">
        <v>551</v>
      </c>
      <c r="C302" s="1">
        <v>1</v>
      </c>
      <c r="D302" s="1" t="s">
        <v>764</v>
      </c>
      <c r="E302" s="4">
        <v>45449</v>
      </c>
      <c r="F302" s="4" t="s">
        <v>671</v>
      </c>
      <c r="G302" s="6">
        <f t="shared" si="23"/>
        <v>0.78518518518518521</v>
      </c>
      <c r="H302" s="3">
        <v>0.76666666666666672</v>
      </c>
      <c r="I302" s="6">
        <v>1.2094907407407407E-2</v>
      </c>
      <c r="J302" s="3">
        <f>I302+H302</f>
        <v>0.77876157407407409</v>
      </c>
      <c r="K302" s="6">
        <v>1.8518518518518517E-2</v>
      </c>
      <c r="L302" s="1">
        <v>2</v>
      </c>
      <c r="M302" s="1" t="s">
        <v>14</v>
      </c>
      <c r="N302" s="5" t="s">
        <v>527</v>
      </c>
      <c r="O302" s="1" t="s">
        <v>13</v>
      </c>
      <c r="P302" s="39">
        <v>0.15</v>
      </c>
      <c r="Q302" s="39">
        <v>0.15</v>
      </c>
      <c r="S302" s="1">
        <v>1</v>
      </c>
    </row>
    <row r="303" spans="1:21" x14ac:dyDescent="0.2">
      <c r="A303" s="15">
        <v>1</v>
      </c>
      <c r="B303" s="15" t="s">
        <v>551</v>
      </c>
      <c r="C303" s="1">
        <v>2</v>
      </c>
      <c r="D303" s="1" t="s">
        <v>764</v>
      </c>
      <c r="E303" s="4">
        <v>45449</v>
      </c>
      <c r="F303" s="4" t="s">
        <v>671</v>
      </c>
      <c r="G303" s="6">
        <f t="shared" si="23"/>
        <v>0.79519675925925926</v>
      </c>
      <c r="H303" s="3">
        <v>0.76666666666666672</v>
      </c>
      <c r="I303" s="3">
        <v>1.695601851851852E-2</v>
      </c>
      <c r="J303" s="3">
        <f>I303+H303</f>
        <v>0.78362268518518519</v>
      </c>
      <c r="K303" s="6">
        <v>2.8530092592592593E-2</v>
      </c>
      <c r="L303" s="1">
        <v>2</v>
      </c>
      <c r="M303" s="1" t="s">
        <v>14</v>
      </c>
      <c r="N303" s="5" t="s">
        <v>527</v>
      </c>
      <c r="O303" s="1" t="s">
        <v>13</v>
      </c>
      <c r="P303" s="39">
        <v>0.15</v>
      </c>
      <c r="Q303" s="39">
        <v>0.15</v>
      </c>
      <c r="S303" s="1">
        <v>1</v>
      </c>
      <c r="T303" s="2" t="s">
        <v>765</v>
      </c>
    </row>
    <row r="304" spans="1:21" x14ac:dyDescent="0.2">
      <c r="A304" s="15">
        <v>1</v>
      </c>
      <c r="B304" s="15" t="s">
        <v>551</v>
      </c>
      <c r="C304" s="1">
        <v>1</v>
      </c>
      <c r="D304" s="1" t="s">
        <v>766</v>
      </c>
      <c r="E304" s="4">
        <v>45450</v>
      </c>
      <c r="F304" s="4" t="s">
        <v>671</v>
      </c>
      <c r="G304" s="6">
        <f t="shared" si="23"/>
        <v>0.79762731481481486</v>
      </c>
      <c r="H304" s="3">
        <v>0.76535879629629633</v>
      </c>
      <c r="I304" s="3">
        <v>6.3541666666666668E-3</v>
      </c>
      <c r="J304" s="3">
        <f>I304+H304</f>
        <v>0.77171296296296299</v>
      </c>
      <c r="K304" s="6">
        <v>3.2268518518518516E-2</v>
      </c>
      <c r="L304" s="1">
        <v>2</v>
      </c>
      <c r="M304" s="1" t="s">
        <v>13</v>
      </c>
      <c r="N304" s="5" t="s">
        <v>527</v>
      </c>
      <c r="O304" s="1" t="s">
        <v>14</v>
      </c>
      <c r="P304" s="39">
        <v>0.15</v>
      </c>
      <c r="Q304" s="39">
        <v>0.15</v>
      </c>
      <c r="S304" s="1">
        <v>0</v>
      </c>
    </row>
    <row r="305" spans="1:21" x14ac:dyDescent="0.2">
      <c r="A305" s="15">
        <v>1</v>
      </c>
      <c r="B305" s="15" t="s">
        <v>551</v>
      </c>
      <c r="C305" s="1">
        <v>1</v>
      </c>
      <c r="D305" s="1" t="s">
        <v>767</v>
      </c>
      <c r="E305" s="4">
        <v>45451</v>
      </c>
      <c r="F305" s="4" t="s">
        <v>671</v>
      </c>
      <c r="G305" s="6">
        <f t="shared" si="23"/>
        <v>0.229375</v>
      </c>
      <c r="H305" s="3">
        <v>0.21758101851851852</v>
      </c>
      <c r="I305" s="1" t="s">
        <v>27</v>
      </c>
      <c r="J305" s="1" t="s">
        <v>27</v>
      </c>
      <c r="K305" s="6">
        <v>1.1793981481481482E-2</v>
      </c>
      <c r="L305" s="1">
        <v>2</v>
      </c>
      <c r="M305" s="1" t="s">
        <v>14</v>
      </c>
      <c r="N305" s="5" t="s">
        <v>527</v>
      </c>
      <c r="O305" s="1" t="s">
        <v>14</v>
      </c>
      <c r="P305" s="39">
        <v>0.15</v>
      </c>
      <c r="Q305" s="39">
        <v>0.15</v>
      </c>
      <c r="S305" s="1">
        <v>0</v>
      </c>
      <c r="T305" s="2" t="s">
        <v>768</v>
      </c>
    </row>
    <row r="306" spans="1:21" x14ac:dyDescent="0.2">
      <c r="A306" s="15">
        <v>1</v>
      </c>
      <c r="B306" s="15" t="s">
        <v>551</v>
      </c>
      <c r="C306" s="1">
        <v>2</v>
      </c>
      <c r="D306" s="1" t="s">
        <v>767</v>
      </c>
      <c r="E306" s="4">
        <v>45451</v>
      </c>
      <c r="F306" s="4" t="s">
        <v>671</v>
      </c>
      <c r="G306" s="6">
        <f t="shared" si="23"/>
        <v>0.24319444444444444</v>
      </c>
      <c r="H306" s="3">
        <v>0.21758101851851852</v>
      </c>
      <c r="I306" s="3">
        <v>1.2407407407407407E-2</v>
      </c>
      <c r="J306" s="3">
        <f>I306+H306</f>
        <v>0.22998842592592592</v>
      </c>
      <c r="K306" s="6">
        <v>2.5613425925925925E-2</v>
      </c>
      <c r="L306" s="1">
        <v>2</v>
      </c>
      <c r="M306" s="1" t="s">
        <v>14</v>
      </c>
      <c r="N306" s="5" t="s">
        <v>527</v>
      </c>
      <c r="O306" s="1" t="s">
        <v>14</v>
      </c>
      <c r="P306" s="39">
        <v>0.15</v>
      </c>
      <c r="Q306" s="39">
        <v>0.15</v>
      </c>
      <c r="S306" s="1">
        <v>0</v>
      </c>
    </row>
    <row r="307" spans="1:21" x14ac:dyDescent="0.2">
      <c r="A307" s="15">
        <v>1</v>
      </c>
      <c r="B307" s="15" t="s">
        <v>551</v>
      </c>
      <c r="C307" s="1">
        <v>3</v>
      </c>
      <c r="D307" s="1" t="s">
        <v>767</v>
      </c>
      <c r="E307" s="4">
        <v>45451</v>
      </c>
      <c r="F307" s="4" t="s">
        <v>671</v>
      </c>
      <c r="G307" s="6">
        <f t="shared" si="23"/>
        <v>0.25528935185185186</v>
      </c>
      <c r="H307" s="3">
        <v>0.21758101851851852</v>
      </c>
      <c r="I307" s="3">
        <v>2.6180555555555554E-2</v>
      </c>
      <c r="J307" s="3">
        <f>I307+H307</f>
        <v>0.24376157407407406</v>
      </c>
      <c r="K307" s="6">
        <v>3.7708333333333337E-2</v>
      </c>
      <c r="L307" s="1">
        <v>2</v>
      </c>
      <c r="M307" s="1" t="s">
        <v>14</v>
      </c>
      <c r="N307" s="5" t="s">
        <v>527</v>
      </c>
      <c r="O307" s="1" t="s">
        <v>14</v>
      </c>
      <c r="P307" s="39">
        <v>0.15</v>
      </c>
      <c r="Q307" s="39">
        <v>0.15</v>
      </c>
      <c r="S307" s="1">
        <v>1</v>
      </c>
    </row>
    <row r="308" spans="1:21" x14ac:dyDescent="0.2">
      <c r="A308" s="15">
        <v>1</v>
      </c>
      <c r="B308" s="15" t="s">
        <v>551</v>
      </c>
      <c r="C308" s="1">
        <v>1</v>
      </c>
      <c r="D308" s="1" t="s">
        <v>769</v>
      </c>
      <c r="E308" s="4">
        <v>45451</v>
      </c>
      <c r="F308" s="4" t="s">
        <v>671</v>
      </c>
      <c r="G308" s="6">
        <f t="shared" si="23"/>
        <v>0.79278935185185184</v>
      </c>
      <c r="H308" s="3">
        <v>0.77290509259259255</v>
      </c>
      <c r="I308" s="3">
        <v>3.9120370370370368E-3</v>
      </c>
      <c r="J308" s="3">
        <f>I308+H308</f>
        <v>0.77681712962962957</v>
      </c>
      <c r="K308" s="6">
        <v>1.9884259259259258E-2</v>
      </c>
      <c r="L308" s="1">
        <v>2</v>
      </c>
      <c r="M308" s="1" t="s">
        <v>14</v>
      </c>
      <c r="N308" s="5" t="s">
        <v>527</v>
      </c>
      <c r="O308" s="1" t="s">
        <v>14</v>
      </c>
      <c r="P308" s="39">
        <v>0.15</v>
      </c>
      <c r="Q308" s="39">
        <v>0.05</v>
      </c>
      <c r="S308" s="1">
        <v>1</v>
      </c>
    </row>
    <row r="309" spans="1:21" x14ac:dyDescent="0.2">
      <c r="A309" s="15">
        <v>1</v>
      </c>
      <c r="B309" s="15" t="s">
        <v>551</v>
      </c>
      <c r="C309" s="1">
        <v>1</v>
      </c>
      <c r="D309" s="1" t="s">
        <v>771</v>
      </c>
      <c r="E309" s="4">
        <v>45452</v>
      </c>
      <c r="F309" s="4" t="s">
        <v>671</v>
      </c>
      <c r="G309" s="6">
        <f t="shared" si="23"/>
        <v>0.22699074074074074</v>
      </c>
      <c r="H309" s="3">
        <v>0.21604166666666666</v>
      </c>
      <c r="K309" s="6">
        <v>1.0949074074074075E-2</v>
      </c>
      <c r="L309" s="1">
        <v>2</v>
      </c>
      <c r="M309" s="1" t="s">
        <v>14</v>
      </c>
      <c r="N309" s="5" t="s">
        <v>527</v>
      </c>
      <c r="O309" s="1" t="s">
        <v>14</v>
      </c>
      <c r="P309" s="39">
        <v>0.05</v>
      </c>
      <c r="Q309" s="39">
        <v>0.05</v>
      </c>
      <c r="S309" s="1">
        <v>1</v>
      </c>
      <c r="U309" s="1" t="s">
        <v>770</v>
      </c>
    </row>
    <row r="310" spans="1:21" x14ac:dyDescent="0.2">
      <c r="A310" s="15">
        <v>1</v>
      </c>
      <c r="B310" s="15" t="s">
        <v>551</v>
      </c>
      <c r="C310" s="1">
        <v>2</v>
      </c>
      <c r="D310" s="1" t="s">
        <v>771</v>
      </c>
      <c r="E310" s="4">
        <v>45452</v>
      </c>
      <c r="F310" s="4" t="s">
        <v>671</v>
      </c>
      <c r="G310" s="6">
        <f t="shared" si="23"/>
        <v>0.25600694444444444</v>
      </c>
      <c r="H310" s="3">
        <v>0.21604166666666666</v>
      </c>
      <c r="I310" s="3">
        <v>1.1550925925925926E-2</v>
      </c>
      <c r="J310" s="3">
        <f>I310+H310</f>
        <v>0.2275925925925926</v>
      </c>
      <c r="K310" s="6">
        <v>3.996527777777778E-2</v>
      </c>
      <c r="L310" s="1">
        <v>2</v>
      </c>
      <c r="M310" s="1" t="s">
        <v>14</v>
      </c>
      <c r="N310" s="5" t="s">
        <v>527</v>
      </c>
      <c r="O310" s="1" t="s">
        <v>13</v>
      </c>
      <c r="P310" s="39">
        <v>0.05</v>
      </c>
      <c r="Q310" s="39">
        <v>0.05</v>
      </c>
      <c r="S310" s="1">
        <v>1</v>
      </c>
    </row>
    <row r="311" spans="1:21" x14ac:dyDescent="0.2">
      <c r="A311" s="15">
        <v>1</v>
      </c>
      <c r="B311" s="15" t="s">
        <v>551</v>
      </c>
      <c r="C311" s="1">
        <v>1</v>
      </c>
      <c r="D311" s="1" t="s">
        <v>772</v>
      </c>
      <c r="E311" s="4">
        <v>45454</v>
      </c>
      <c r="F311" s="4" t="s">
        <v>671</v>
      </c>
      <c r="G311" s="6">
        <f t="shared" si="23"/>
        <v>0.79517361111111118</v>
      </c>
      <c r="H311" s="3">
        <v>0.77659722222222227</v>
      </c>
      <c r="K311" s="6">
        <v>1.8576388888888889E-2</v>
      </c>
      <c r="L311" s="1">
        <v>2</v>
      </c>
      <c r="M311" s="1" t="s">
        <v>14</v>
      </c>
      <c r="N311" s="5" t="s">
        <v>527</v>
      </c>
      <c r="O311" s="1" t="s">
        <v>13</v>
      </c>
      <c r="P311" s="39">
        <v>0.05</v>
      </c>
      <c r="Q311" s="39">
        <v>0.05</v>
      </c>
      <c r="S311" s="1">
        <v>1</v>
      </c>
    </row>
    <row r="312" spans="1:21" x14ac:dyDescent="0.2">
      <c r="A312" s="15">
        <v>1</v>
      </c>
      <c r="B312" s="15" t="s">
        <v>551</v>
      </c>
      <c r="C312" s="1">
        <v>1</v>
      </c>
      <c r="D312" s="1" t="s">
        <v>773</v>
      </c>
      <c r="E312" s="4">
        <v>45453</v>
      </c>
      <c r="F312" s="4" t="s">
        <v>671</v>
      </c>
      <c r="G312" s="6">
        <f t="shared" si="23"/>
        <v>0.77613425925925927</v>
      </c>
      <c r="H312" s="3">
        <v>0.77437500000000004</v>
      </c>
      <c r="K312" s="6">
        <v>1.7592592592592592E-3</v>
      </c>
      <c r="L312" s="1">
        <v>2</v>
      </c>
      <c r="M312" s="1" t="s">
        <v>14</v>
      </c>
      <c r="N312" s="5" t="s">
        <v>527</v>
      </c>
      <c r="O312" s="1" t="s">
        <v>14</v>
      </c>
      <c r="P312" s="39">
        <v>0.05</v>
      </c>
      <c r="Q312" s="39">
        <v>0.05</v>
      </c>
      <c r="S312" s="1">
        <v>1</v>
      </c>
    </row>
    <row r="313" spans="1:21" x14ac:dyDescent="0.2">
      <c r="A313" s="15">
        <v>1</v>
      </c>
      <c r="B313" s="15" t="s">
        <v>551</v>
      </c>
      <c r="C313" s="1">
        <v>1</v>
      </c>
      <c r="D313" s="1" t="s">
        <v>774</v>
      </c>
      <c r="E313" s="4">
        <v>45455</v>
      </c>
      <c r="F313" s="4" t="s">
        <v>671</v>
      </c>
      <c r="G313" s="6">
        <f t="shared" si="23"/>
        <v>0.22692129629629629</v>
      </c>
      <c r="H313" s="3">
        <v>0.22078703703703703</v>
      </c>
      <c r="K313" s="6">
        <v>6.1342592592592594E-3</v>
      </c>
      <c r="L313" s="1">
        <v>2</v>
      </c>
      <c r="M313" s="1" t="s">
        <v>13</v>
      </c>
      <c r="N313" s="5" t="s">
        <v>527</v>
      </c>
      <c r="O313" s="1" t="s">
        <v>14</v>
      </c>
      <c r="P313" s="39">
        <v>0.05</v>
      </c>
      <c r="Q313" s="39">
        <v>0.05</v>
      </c>
      <c r="S313" s="1">
        <v>1</v>
      </c>
    </row>
    <row r="314" spans="1:21" x14ac:dyDescent="0.2">
      <c r="A314" s="15">
        <v>1</v>
      </c>
      <c r="B314" s="15" t="s">
        <v>551</v>
      </c>
      <c r="C314" s="1">
        <v>2</v>
      </c>
      <c r="D314" s="1" t="s">
        <v>774</v>
      </c>
      <c r="E314" s="4">
        <v>45455</v>
      </c>
      <c r="F314" s="4" t="s">
        <v>671</v>
      </c>
      <c r="G314" s="6">
        <f t="shared" si="23"/>
        <v>0.24199074074074073</v>
      </c>
      <c r="H314" s="3">
        <v>0.22078703703703703</v>
      </c>
      <c r="I314" s="3">
        <v>7.3148148148148148E-3</v>
      </c>
      <c r="J314" s="3">
        <f>I314+H314</f>
        <v>0.22810185185185183</v>
      </c>
      <c r="K314" s="6">
        <v>2.1203703703703704E-2</v>
      </c>
      <c r="L314" s="1">
        <v>2</v>
      </c>
      <c r="M314" s="1" t="s">
        <v>14</v>
      </c>
      <c r="N314" s="5" t="s">
        <v>527</v>
      </c>
      <c r="O314" s="1" t="s">
        <v>14</v>
      </c>
      <c r="P314" s="39">
        <v>0.05</v>
      </c>
      <c r="Q314" s="39">
        <v>0.05</v>
      </c>
      <c r="S314" s="1">
        <v>1</v>
      </c>
    </row>
    <row r="315" spans="1:21" x14ac:dyDescent="0.2">
      <c r="A315" s="15">
        <v>1</v>
      </c>
      <c r="B315" s="15" t="s">
        <v>551</v>
      </c>
      <c r="C315" s="1">
        <v>1</v>
      </c>
      <c r="D315" s="1" t="s">
        <v>775</v>
      </c>
      <c r="E315" s="4">
        <v>45455</v>
      </c>
      <c r="F315" s="4" t="s">
        <v>671</v>
      </c>
      <c r="G315" s="6">
        <f t="shared" si="23"/>
        <v>0.79962962962962958</v>
      </c>
      <c r="H315" s="3">
        <v>0.78144675925925922</v>
      </c>
      <c r="K315" s="6">
        <v>1.818287037037037E-2</v>
      </c>
      <c r="L315" s="1">
        <v>2</v>
      </c>
      <c r="M315" s="1" t="s">
        <v>14</v>
      </c>
      <c r="N315" s="5" t="s">
        <v>527</v>
      </c>
      <c r="O315" s="1" t="s">
        <v>13</v>
      </c>
      <c r="P315" s="39">
        <v>0.05</v>
      </c>
      <c r="Q315" s="39">
        <v>0.05</v>
      </c>
      <c r="S315" s="1">
        <v>0</v>
      </c>
    </row>
    <row r="316" spans="1:21" x14ac:dyDescent="0.2">
      <c r="A316" s="15">
        <v>1</v>
      </c>
      <c r="B316" s="15" t="s">
        <v>551</v>
      </c>
      <c r="C316" s="1">
        <v>1</v>
      </c>
      <c r="D316" s="1" t="s">
        <v>776</v>
      </c>
      <c r="E316" s="4">
        <v>45456</v>
      </c>
      <c r="F316" s="4" t="s">
        <v>671</v>
      </c>
      <c r="G316" s="6">
        <f t="shared" si="23"/>
        <v>0.23859953703703704</v>
      </c>
      <c r="H316" s="3">
        <v>0.2215625</v>
      </c>
      <c r="K316" s="6">
        <v>1.7037037037037038E-2</v>
      </c>
      <c r="L316" s="1">
        <v>2</v>
      </c>
      <c r="M316" s="1" t="s">
        <v>13</v>
      </c>
      <c r="N316" s="5" t="s">
        <v>527</v>
      </c>
      <c r="O316" s="1" t="s">
        <v>13</v>
      </c>
      <c r="P316" s="39">
        <v>0.05</v>
      </c>
      <c r="Q316" s="39">
        <v>0.05</v>
      </c>
      <c r="S316" s="1">
        <v>1</v>
      </c>
    </row>
    <row r="317" spans="1:21" x14ac:dyDescent="0.2">
      <c r="A317" s="15">
        <v>1</v>
      </c>
      <c r="B317" s="15" t="s">
        <v>551</v>
      </c>
      <c r="C317" s="1">
        <v>2</v>
      </c>
      <c r="D317" s="1" t="s">
        <v>776</v>
      </c>
      <c r="E317" s="4">
        <v>45456</v>
      </c>
      <c r="F317" s="4" t="s">
        <v>671</v>
      </c>
      <c r="G317" s="6">
        <f t="shared" si="23"/>
        <v>0.24581018518518519</v>
      </c>
      <c r="H317" s="3">
        <v>0.2215625</v>
      </c>
      <c r="I317" s="3">
        <v>1.6168981481481482E-2</v>
      </c>
      <c r="J317" s="3">
        <f>I317+H317</f>
        <v>0.23773148148148149</v>
      </c>
      <c r="K317" s="6">
        <v>2.4247685185185185E-2</v>
      </c>
      <c r="L317" s="1">
        <v>2</v>
      </c>
      <c r="M317" s="1" t="s">
        <v>13</v>
      </c>
      <c r="N317" s="5" t="s">
        <v>527</v>
      </c>
      <c r="O317" s="1" t="s">
        <v>13</v>
      </c>
      <c r="P317" s="39">
        <v>0.05</v>
      </c>
      <c r="Q317" s="39">
        <v>0.05</v>
      </c>
      <c r="S317" s="1">
        <v>1</v>
      </c>
    </row>
    <row r="318" spans="1:21" x14ac:dyDescent="0.2">
      <c r="A318" s="15">
        <v>1</v>
      </c>
      <c r="B318" s="15" t="s">
        <v>551</v>
      </c>
      <c r="C318" s="1">
        <v>3</v>
      </c>
      <c r="D318" s="1" t="s">
        <v>776</v>
      </c>
      <c r="E318" s="4">
        <v>45456</v>
      </c>
      <c r="F318" s="4" t="s">
        <v>671</v>
      </c>
      <c r="G318" s="6">
        <f t="shared" si="23"/>
        <v>0.25364583333333335</v>
      </c>
      <c r="H318" s="3">
        <v>0.2215625</v>
      </c>
      <c r="I318" s="3">
        <v>1.8344907407407407E-2</v>
      </c>
      <c r="J318" s="3">
        <f>I318+H318</f>
        <v>0.2399074074074074</v>
      </c>
      <c r="K318" s="6">
        <v>3.2083333333333332E-2</v>
      </c>
      <c r="L318" s="1">
        <v>2</v>
      </c>
      <c r="M318" s="1" t="s">
        <v>13</v>
      </c>
      <c r="N318" s="5" t="s">
        <v>527</v>
      </c>
      <c r="O318" s="1" t="s">
        <v>13</v>
      </c>
      <c r="P318" s="39">
        <v>0.05</v>
      </c>
      <c r="Q318" s="39">
        <v>0.05</v>
      </c>
      <c r="S318" s="1">
        <v>1</v>
      </c>
    </row>
    <row r="319" spans="1:21" x14ac:dyDescent="0.2">
      <c r="A319" s="15">
        <v>1</v>
      </c>
      <c r="B319" s="15" t="s">
        <v>551</v>
      </c>
      <c r="C319" s="1">
        <v>1</v>
      </c>
      <c r="D319" s="1" t="s">
        <v>777</v>
      </c>
      <c r="E319" s="4">
        <v>45456</v>
      </c>
      <c r="F319" s="4" t="s">
        <v>671</v>
      </c>
      <c r="G319" s="6">
        <f t="shared" si="23"/>
        <v>0.77089120370370379</v>
      </c>
      <c r="H319" s="3">
        <v>0.77068287037037042</v>
      </c>
      <c r="K319" s="6">
        <v>2.0833333333333335E-4</v>
      </c>
      <c r="L319" s="1">
        <v>2</v>
      </c>
      <c r="M319" s="1" t="s">
        <v>13</v>
      </c>
      <c r="N319" s="5" t="s">
        <v>527</v>
      </c>
      <c r="O319" s="1" t="s">
        <v>13</v>
      </c>
      <c r="P319" s="39">
        <v>0.05</v>
      </c>
      <c r="Q319" s="39">
        <v>0.05</v>
      </c>
      <c r="S319" s="1">
        <v>1</v>
      </c>
    </row>
    <row r="320" spans="1:21" x14ac:dyDescent="0.2">
      <c r="A320" s="15">
        <v>1</v>
      </c>
      <c r="B320" s="15" t="s">
        <v>551</v>
      </c>
      <c r="C320" s="1">
        <v>2</v>
      </c>
      <c r="D320" s="1" t="s">
        <v>777</v>
      </c>
      <c r="E320" s="4">
        <v>45456</v>
      </c>
      <c r="F320" s="4" t="s">
        <v>671</v>
      </c>
      <c r="G320" s="6">
        <f t="shared" si="23"/>
        <v>0.78609953703703705</v>
      </c>
      <c r="H320" s="3">
        <v>0.77068287037037042</v>
      </c>
      <c r="I320" s="3">
        <v>8.2175925925925927E-4</v>
      </c>
      <c r="J320" s="3">
        <f>I320+H320</f>
        <v>0.77150462962962973</v>
      </c>
      <c r="K320" s="6">
        <v>1.5416666666666667E-2</v>
      </c>
      <c r="L320" s="1">
        <v>2</v>
      </c>
      <c r="M320" s="1" t="s">
        <v>13</v>
      </c>
      <c r="N320" s="5" t="s">
        <v>527</v>
      </c>
      <c r="O320" s="1" t="s">
        <v>14</v>
      </c>
      <c r="P320" s="39">
        <v>0.05</v>
      </c>
      <c r="Q320" s="39">
        <v>0.05</v>
      </c>
      <c r="S320" s="1">
        <v>1</v>
      </c>
    </row>
    <row r="321" spans="1:21" x14ac:dyDescent="0.2">
      <c r="A321" s="15">
        <v>1</v>
      </c>
      <c r="B321" s="15" t="s">
        <v>551</v>
      </c>
      <c r="C321" s="1">
        <v>3</v>
      </c>
      <c r="D321" s="1" t="s">
        <v>777</v>
      </c>
      <c r="E321" s="4">
        <v>45456</v>
      </c>
      <c r="F321" s="4" t="s">
        <v>671</v>
      </c>
      <c r="G321" s="6">
        <f t="shared" si="23"/>
        <v>0.79278935185185195</v>
      </c>
      <c r="H321" s="3">
        <v>0.77068287037037042</v>
      </c>
      <c r="I321" s="3">
        <v>1.6226851851851853E-2</v>
      </c>
      <c r="J321" s="3">
        <f>I321+H321</f>
        <v>0.78690972222222233</v>
      </c>
      <c r="K321" s="6">
        <v>2.210648148148148E-2</v>
      </c>
      <c r="L321" s="1">
        <v>2</v>
      </c>
      <c r="M321" s="1" t="s">
        <v>14</v>
      </c>
      <c r="N321" s="5" t="s">
        <v>527</v>
      </c>
      <c r="O321" s="1" t="s">
        <v>14</v>
      </c>
      <c r="P321" s="39">
        <v>0.05</v>
      </c>
      <c r="Q321" s="39">
        <v>0.05</v>
      </c>
      <c r="S321" s="1">
        <v>1</v>
      </c>
    </row>
    <row r="322" spans="1:21" x14ac:dyDescent="0.2">
      <c r="A322" s="15">
        <v>1</v>
      </c>
      <c r="B322" s="15" t="s">
        <v>551</v>
      </c>
      <c r="C322" s="1">
        <v>1</v>
      </c>
      <c r="D322" s="1" t="s">
        <v>778</v>
      </c>
      <c r="E322" s="4">
        <v>45457</v>
      </c>
      <c r="F322" s="4" t="s">
        <v>671</v>
      </c>
      <c r="G322" s="6">
        <f t="shared" si="23"/>
        <v>0.23956018518518518</v>
      </c>
      <c r="H322" s="3">
        <v>0.21947916666666667</v>
      </c>
      <c r="K322" s="6">
        <v>2.0081018518518519E-2</v>
      </c>
      <c r="L322" s="1">
        <v>2</v>
      </c>
      <c r="M322" s="1" t="s">
        <v>14</v>
      </c>
      <c r="N322" s="5" t="s">
        <v>527</v>
      </c>
      <c r="O322" s="1" t="s">
        <v>14</v>
      </c>
      <c r="P322" s="39">
        <v>0.05</v>
      </c>
      <c r="Q322" s="39">
        <v>0.05</v>
      </c>
      <c r="S322" s="1">
        <v>1</v>
      </c>
    </row>
    <row r="323" spans="1:21" x14ac:dyDescent="0.2">
      <c r="A323" s="15">
        <v>1</v>
      </c>
      <c r="B323" s="15" t="s">
        <v>551</v>
      </c>
      <c r="C323" s="1">
        <v>2</v>
      </c>
      <c r="D323" s="1" t="s">
        <v>778</v>
      </c>
      <c r="E323" s="4">
        <v>45457</v>
      </c>
      <c r="F323" s="4" t="s">
        <v>671</v>
      </c>
      <c r="G323" s="6">
        <f t="shared" si="23"/>
        <v>0.25372685185185184</v>
      </c>
      <c r="H323" s="3">
        <v>0.21947916666666667</v>
      </c>
      <c r="I323" s="3">
        <v>2.1585648148148149E-2</v>
      </c>
      <c r="J323" s="3">
        <f>I323+H323</f>
        <v>0.24106481481481482</v>
      </c>
      <c r="K323" s="3">
        <v>3.4247685185185187E-2</v>
      </c>
      <c r="L323" s="1">
        <v>2</v>
      </c>
      <c r="M323" s="1" t="s">
        <v>14</v>
      </c>
      <c r="N323" s="5" t="s">
        <v>527</v>
      </c>
      <c r="O323" s="1" t="s">
        <v>14</v>
      </c>
      <c r="P323" s="39">
        <v>0.05</v>
      </c>
      <c r="Q323" s="39">
        <v>0.05</v>
      </c>
      <c r="S323" s="1">
        <v>1</v>
      </c>
    </row>
    <row r="324" spans="1:21" x14ac:dyDescent="0.2">
      <c r="A324" s="15">
        <v>1</v>
      </c>
      <c r="B324" s="15" t="s">
        <v>551</v>
      </c>
      <c r="C324" s="1">
        <v>1</v>
      </c>
      <c r="D324" s="1" t="s">
        <v>749</v>
      </c>
      <c r="E324" s="4">
        <v>45457</v>
      </c>
      <c r="F324" s="4" t="s">
        <v>671</v>
      </c>
      <c r="G324" s="6">
        <f t="shared" si="23"/>
        <v>0.79148148148148156</v>
      </c>
      <c r="H324" s="6">
        <v>0.76663194444444449</v>
      </c>
      <c r="K324" s="6">
        <v>2.4849537037037038E-2</v>
      </c>
      <c r="L324" s="1">
        <v>2</v>
      </c>
      <c r="M324" s="1" t="s">
        <v>14</v>
      </c>
      <c r="N324" s="5" t="s">
        <v>527</v>
      </c>
      <c r="O324" s="1" t="s">
        <v>13</v>
      </c>
      <c r="P324" s="39">
        <v>0.05</v>
      </c>
      <c r="Q324" s="39">
        <v>0.05</v>
      </c>
      <c r="S324" s="1">
        <v>0</v>
      </c>
    </row>
    <row r="325" spans="1:21" x14ac:dyDescent="0.2">
      <c r="A325" s="15">
        <v>1</v>
      </c>
      <c r="B325" s="15" t="s">
        <v>551</v>
      </c>
      <c r="C325" s="1">
        <v>1</v>
      </c>
      <c r="D325" t="s">
        <v>750</v>
      </c>
      <c r="S325" s="1" t="s">
        <v>27</v>
      </c>
      <c r="U325" s="1" t="s">
        <v>176</v>
      </c>
    </row>
    <row r="326" spans="1:21" x14ac:dyDescent="0.2">
      <c r="A326" s="15">
        <v>1</v>
      </c>
      <c r="B326" s="15" t="s">
        <v>551</v>
      </c>
      <c r="C326" s="1">
        <v>1</v>
      </c>
      <c r="D326" s="1" t="s">
        <v>779</v>
      </c>
      <c r="E326" s="4">
        <v>45459</v>
      </c>
      <c r="F326" s="4" t="s">
        <v>671</v>
      </c>
      <c r="G326" s="6">
        <f t="shared" si="23"/>
        <v>0.79706018518518518</v>
      </c>
      <c r="H326" s="3">
        <v>0.76379629629629631</v>
      </c>
      <c r="I326" s="3">
        <v>1.2592592592592593E-2</v>
      </c>
      <c r="J326" s="3">
        <f>I326+H326</f>
        <v>0.77638888888888891</v>
      </c>
      <c r="K326" s="6">
        <v>3.3263888888888891E-2</v>
      </c>
      <c r="L326" s="1">
        <v>2</v>
      </c>
      <c r="M326" s="1" t="s">
        <v>14</v>
      </c>
      <c r="N326" s="5" t="s">
        <v>527</v>
      </c>
      <c r="O326" s="1" t="s">
        <v>13</v>
      </c>
      <c r="P326" s="39">
        <v>0.05</v>
      </c>
      <c r="Q326" s="39">
        <v>0.05</v>
      </c>
      <c r="S326" s="1">
        <v>1</v>
      </c>
    </row>
    <row r="327" spans="1:21" x14ac:dyDescent="0.2">
      <c r="K327" s="6">
        <v>4.8379629629629632E-3</v>
      </c>
      <c r="L327" s="1">
        <v>2</v>
      </c>
      <c r="M327" s="1" t="s">
        <v>14</v>
      </c>
      <c r="N327" s="5" t="s">
        <v>527</v>
      </c>
      <c r="O327" s="1" t="s">
        <v>14</v>
      </c>
      <c r="P327" s="39">
        <v>0.05</v>
      </c>
      <c r="Q327" s="39">
        <v>0.05</v>
      </c>
      <c r="S327" s="1">
        <v>1</v>
      </c>
    </row>
    <row r="328" spans="1:21" x14ac:dyDescent="0.2">
      <c r="A328" s="15">
        <v>1</v>
      </c>
      <c r="B328" s="15" t="s">
        <v>551</v>
      </c>
      <c r="C328" s="1">
        <v>1</v>
      </c>
      <c r="D328" s="1" t="s">
        <v>781</v>
      </c>
      <c r="E328" s="4">
        <v>45464</v>
      </c>
      <c r="G328" s="6">
        <f t="shared" si="23"/>
        <v>0.78896990740740747</v>
      </c>
      <c r="H328" s="3">
        <v>0.76375000000000004</v>
      </c>
      <c r="I328" s="3">
        <v>1.4965277777777777E-2</v>
      </c>
      <c r="J328" s="3">
        <f>I328+H328</f>
        <v>0.77871527777777783</v>
      </c>
      <c r="K328" s="6">
        <v>2.5219907407407406E-2</v>
      </c>
      <c r="L328" s="1">
        <v>2</v>
      </c>
      <c r="M328" s="1" t="s">
        <v>13</v>
      </c>
      <c r="N328" s="5" t="s">
        <v>527</v>
      </c>
      <c r="O328" s="1" t="s">
        <v>14</v>
      </c>
      <c r="P328" s="39">
        <v>0.05</v>
      </c>
      <c r="Q328" s="39">
        <v>0.05</v>
      </c>
      <c r="S328" s="1">
        <v>1</v>
      </c>
    </row>
    <row r="329" spans="1:21" x14ac:dyDescent="0.2">
      <c r="A329" s="15">
        <v>1</v>
      </c>
      <c r="B329" s="15" t="s">
        <v>551</v>
      </c>
      <c r="C329" s="1">
        <v>1</v>
      </c>
      <c r="D329" s="1" t="s">
        <v>782</v>
      </c>
      <c r="E329" s="4">
        <v>45465</v>
      </c>
      <c r="G329" s="6">
        <f t="shared" si="23"/>
        <v>0.2260763888888889</v>
      </c>
      <c r="H329" s="6">
        <v>0.21886574074074075</v>
      </c>
      <c r="K329" s="6">
        <v>7.2106481481481483E-3</v>
      </c>
      <c r="L329" s="1">
        <v>2</v>
      </c>
      <c r="M329" s="1" t="s">
        <v>14</v>
      </c>
      <c r="N329" s="5" t="s">
        <v>527</v>
      </c>
      <c r="O329" s="1" t="s">
        <v>13</v>
      </c>
      <c r="P329" s="39">
        <v>0.05</v>
      </c>
      <c r="Q329" s="39">
        <v>0.05</v>
      </c>
      <c r="S329" s="1">
        <v>1</v>
      </c>
    </row>
    <row r="330" spans="1:21" x14ac:dyDescent="0.2">
      <c r="A330" s="15">
        <v>1</v>
      </c>
      <c r="B330" s="15" t="s">
        <v>551</v>
      </c>
      <c r="C330" s="1">
        <v>2</v>
      </c>
      <c r="D330" s="1" t="s">
        <v>782</v>
      </c>
      <c r="E330" s="4">
        <v>45465</v>
      </c>
      <c r="G330" s="6">
        <f t="shared" si="23"/>
        <v>0.2353587962962963</v>
      </c>
      <c r="H330" s="6">
        <v>0.21886574074074075</v>
      </c>
      <c r="I330" s="3">
        <v>9.0046296296296298E-3</v>
      </c>
      <c r="J330" s="3">
        <f>I330+H330</f>
        <v>0.22787037037037039</v>
      </c>
      <c r="K330" s="6">
        <v>1.6493055555555556E-2</v>
      </c>
      <c r="L330" s="1">
        <v>2</v>
      </c>
      <c r="M330" s="1" t="s">
        <v>13</v>
      </c>
      <c r="N330" s="5" t="s">
        <v>226</v>
      </c>
      <c r="O330" s="1" t="s">
        <v>13</v>
      </c>
      <c r="P330" s="39">
        <v>0.05</v>
      </c>
      <c r="Q330" s="39">
        <v>0.05</v>
      </c>
      <c r="S330" s="1">
        <v>0</v>
      </c>
    </row>
    <row r="331" spans="1:21" x14ac:dyDescent="0.2">
      <c r="A331" s="15">
        <v>1</v>
      </c>
      <c r="B331" s="15" t="s">
        <v>551</v>
      </c>
      <c r="C331" s="1">
        <v>3</v>
      </c>
      <c r="D331" s="1" t="s">
        <v>782</v>
      </c>
      <c r="E331" s="4">
        <v>45465</v>
      </c>
      <c r="G331" s="6">
        <f t="shared" si="23"/>
        <v>0.24954861111111112</v>
      </c>
      <c r="H331" s="6">
        <v>0.21886574074074075</v>
      </c>
      <c r="I331" s="3">
        <v>1.892361111111111E-2</v>
      </c>
      <c r="J331" s="3">
        <f>I331+H331</f>
        <v>0.23778935185185185</v>
      </c>
      <c r="K331" s="6">
        <v>3.0682870370370371E-2</v>
      </c>
      <c r="L331" s="1">
        <v>2</v>
      </c>
      <c r="M331" s="1" t="s">
        <v>13</v>
      </c>
      <c r="N331" s="5" t="s">
        <v>226</v>
      </c>
      <c r="O331" s="1" t="s">
        <v>13</v>
      </c>
      <c r="P331" s="39">
        <v>0.05</v>
      </c>
      <c r="Q331" s="39">
        <v>0.05</v>
      </c>
      <c r="S331" s="1">
        <v>1</v>
      </c>
    </row>
    <row r="332" spans="1:21" x14ac:dyDescent="0.2">
      <c r="A332" s="15">
        <v>1</v>
      </c>
      <c r="B332" s="15" t="s">
        <v>551</v>
      </c>
      <c r="C332" s="1">
        <v>1</v>
      </c>
      <c r="D332" s="1" t="s">
        <v>783</v>
      </c>
      <c r="E332" s="4">
        <v>45466</v>
      </c>
      <c r="G332" s="6">
        <f t="shared" si="23"/>
        <v>0.79353009259259255</v>
      </c>
      <c r="H332" s="3">
        <v>0.77468749999999997</v>
      </c>
      <c r="I332" s="3">
        <v>1.2997685185185185E-2</v>
      </c>
      <c r="J332" s="3">
        <f>I332+H332</f>
        <v>0.78768518518518515</v>
      </c>
      <c r="K332" s="6">
        <v>1.8842592592592591E-2</v>
      </c>
      <c r="L332" s="1">
        <v>3</v>
      </c>
      <c r="M332" s="1" t="s">
        <v>13</v>
      </c>
      <c r="N332" s="5" t="s">
        <v>527</v>
      </c>
      <c r="O332" s="1" t="s">
        <v>13</v>
      </c>
      <c r="P332" s="39">
        <v>0.05</v>
      </c>
      <c r="Q332" s="39">
        <v>0.05</v>
      </c>
      <c r="S332" s="1">
        <v>1</v>
      </c>
    </row>
    <row r="333" spans="1:21" x14ac:dyDescent="0.2">
      <c r="A333" s="15">
        <v>1</v>
      </c>
      <c r="B333" s="15" t="s">
        <v>551</v>
      </c>
      <c r="C333" s="1">
        <v>1</v>
      </c>
      <c r="D333" s="1" t="s">
        <v>784</v>
      </c>
      <c r="E333" s="4">
        <v>45467</v>
      </c>
      <c r="G333" s="6">
        <f t="shared" si="23"/>
        <v>0.79091435185185188</v>
      </c>
      <c r="H333" s="3">
        <v>0.78693287037037041</v>
      </c>
      <c r="K333" s="6">
        <v>3.9814814814814817E-3</v>
      </c>
      <c r="L333" s="1">
        <v>2</v>
      </c>
      <c r="M333" s="1" t="s">
        <v>13</v>
      </c>
      <c r="N333" s="5" t="s">
        <v>527</v>
      </c>
      <c r="O333" s="1" t="s">
        <v>14</v>
      </c>
      <c r="P333" s="39">
        <v>0.05</v>
      </c>
      <c r="Q333" s="39">
        <v>0.05</v>
      </c>
      <c r="S333" s="1">
        <v>0</v>
      </c>
    </row>
    <row r="334" spans="1:21" x14ac:dyDescent="0.2">
      <c r="A334" s="15">
        <v>1</v>
      </c>
      <c r="B334" s="15" t="s">
        <v>551</v>
      </c>
      <c r="C334" s="1">
        <v>1</v>
      </c>
      <c r="D334" s="1" t="s">
        <v>785</v>
      </c>
      <c r="E334" s="4">
        <v>45468</v>
      </c>
      <c r="G334" s="6">
        <f t="shared" si="23"/>
        <v>0.79616898148148141</v>
      </c>
      <c r="H334" s="3">
        <v>0.77680555555555553</v>
      </c>
      <c r="I334" s="3">
        <v>3.2986111111111111E-3</v>
      </c>
      <c r="J334" s="3">
        <f>I334+H334</f>
        <v>0.7801041666666666</v>
      </c>
      <c r="K334" s="6">
        <v>1.9363425925925926E-2</v>
      </c>
      <c r="L334" s="1">
        <v>2</v>
      </c>
      <c r="M334" s="1" t="s">
        <v>14</v>
      </c>
      <c r="N334" s="5" t="s">
        <v>527</v>
      </c>
      <c r="O334" s="1" t="s">
        <v>13</v>
      </c>
      <c r="P334" s="39">
        <v>0.05</v>
      </c>
      <c r="Q334" s="39">
        <v>0.05</v>
      </c>
      <c r="S334" s="1">
        <v>1</v>
      </c>
    </row>
    <row r="335" spans="1:21" x14ac:dyDescent="0.2">
      <c r="A335" s="15">
        <v>1</v>
      </c>
      <c r="B335" s="15" t="s">
        <v>551</v>
      </c>
      <c r="C335" s="1">
        <v>1</v>
      </c>
      <c r="D335" s="1" t="s">
        <v>786</v>
      </c>
      <c r="E335" s="4">
        <v>45469</v>
      </c>
      <c r="G335" s="6">
        <f t="shared" si="23"/>
        <v>0.79226851851851854</v>
      </c>
      <c r="H335" s="6">
        <v>0.77680555555555553</v>
      </c>
      <c r="I335" s="3">
        <v>1.7824074074074075E-3</v>
      </c>
      <c r="J335" s="3">
        <f>I335+H335</f>
        <v>0.77858796296296295</v>
      </c>
      <c r="K335" s="6">
        <v>1.5462962962962963E-2</v>
      </c>
      <c r="L335" s="1">
        <v>2</v>
      </c>
      <c r="M335" s="1" t="s">
        <v>13</v>
      </c>
      <c r="N335" s="5" t="s">
        <v>527</v>
      </c>
      <c r="O335" s="1" t="s">
        <v>13</v>
      </c>
      <c r="P335" s="39">
        <v>0.05</v>
      </c>
      <c r="Q335" s="39">
        <v>0.05</v>
      </c>
      <c r="S335" s="1">
        <v>1</v>
      </c>
    </row>
    <row r="336" spans="1:21" x14ac:dyDescent="0.2">
      <c r="A336" s="15">
        <v>1</v>
      </c>
      <c r="B336" s="15" t="s">
        <v>551</v>
      </c>
      <c r="C336" s="1">
        <v>1</v>
      </c>
      <c r="D336" s="1" t="s">
        <v>787</v>
      </c>
      <c r="E336" s="4">
        <v>45470</v>
      </c>
      <c r="G336" s="6">
        <f t="shared" si="23"/>
        <v>0.79344907407407417</v>
      </c>
      <c r="H336" s="6">
        <v>0.77612268518518523</v>
      </c>
      <c r="I336" s="3">
        <v>4.5370370370370373E-3</v>
      </c>
      <c r="J336" s="3">
        <f>I336+H336</f>
        <v>0.78065972222222224</v>
      </c>
      <c r="K336" s="6">
        <v>1.7326388888888888E-2</v>
      </c>
      <c r="L336" s="1">
        <v>2</v>
      </c>
      <c r="M336" s="1" t="s">
        <v>13</v>
      </c>
      <c r="N336" s="5" t="s">
        <v>527</v>
      </c>
      <c r="O336" s="1" t="s">
        <v>14</v>
      </c>
      <c r="P336" s="39">
        <v>0.05</v>
      </c>
      <c r="Q336" s="39">
        <v>0.05</v>
      </c>
      <c r="S336" s="1">
        <v>0</v>
      </c>
    </row>
    <row r="337" spans="1:21" x14ac:dyDescent="0.2">
      <c r="A337" s="15">
        <v>1</v>
      </c>
      <c r="B337" s="15" t="s">
        <v>551</v>
      </c>
      <c r="C337" s="1">
        <v>1</v>
      </c>
      <c r="D337" s="1" t="s">
        <v>788</v>
      </c>
      <c r="E337" s="4">
        <v>45471</v>
      </c>
      <c r="G337" s="6">
        <f t="shared" si="23"/>
        <v>0.79782407407407407</v>
      </c>
      <c r="H337" s="3">
        <v>0.77994212962962961</v>
      </c>
      <c r="I337" s="3">
        <v>7.951388888888888E-3</v>
      </c>
      <c r="J337" s="3">
        <f>I337+H337</f>
        <v>0.78789351851851852</v>
      </c>
      <c r="K337" s="6">
        <v>1.7881944444444443E-2</v>
      </c>
      <c r="L337" s="1">
        <v>2</v>
      </c>
      <c r="M337" s="1" t="s">
        <v>14</v>
      </c>
      <c r="N337" s="5" t="s">
        <v>527</v>
      </c>
      <c r="O337" s="1" t="s">
        <v>13</v>
      </c>
      <c r="P337" s="39">
        <v>0.05</v>
      </c>
      <c r="Q337" s="39">
        <v>0.05</v>
      </c>
      <c r="S337" s="1">
        <v>1</v>
      </c>
    </row>
    <row r="338" spans="1:21" x14ac:dyDescent="0.2">
      <c r="A338" s="15">
        <v>1</v>
      </c>
      <c r="B338" s="15" t="s">
        <v>551</v>
      </c>
      <c r="C338" s="1">
        <v>1</v>
      </c>
      <c r="D338" s="1" t="s">
        <v>789</v>
      </c>
      <c r="E338" s="4">
        <v>45472</v>
      </c>
      <c r="H338" s="3">
        <v>0.77797453703703701</v>
      </c>
      <c r="S338" s="1" t="s">
        <v>27</v>
      </c>
      <c r="U338" s="1" t="s">
        <v>790</v>
      </c>
    </row>
  </sheetData>
  <sortState xmlns:xlrd2="http://schemas.microsoft.com/office/spreadsheetml/2017/richdata2" ref="A2:U194">
    <sortCondition ref="E2:E194"/>
  </sortState>
  <customSheetViews>
    <customSheetView guid="{8A75D892-44B4-104C-BB94-8EB0D0E43396}" scale="90">
      <pane ySplit="1" topLeftCell="A247" activePane="bottomLeft" state="frozen"/>
      <selection pane="bottomLeft" activeCell="Q282" sqref="Q282"/>
      <pageMargins left="0.7" right="0.7" top="0.75" bottom="0.75" header="0.3" footer="0.3"/>
      <pageSetup paperSize="9" orientation="portrait" horizontalDpi="0" verticalDpi="0"/>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Y263"/>
  <sheetViews>
    <sheetView zoomScale="90" zoomScaleNormal="90" workbookViewId="0">
      <pane ySplit="1" topLeftCell="A74" activePane="bottomLeft" state="frozen"/>
      <selection pane="bottomLeft" activeCell="D102" sqref="D102"/>
    </sheetView>
  </sheetViews>
  <sheetFormatPr baseColWidth="10" defaultRowHeight="16" x14ac:dyDescent="0.2"/>
  <cols>
    <col min="1" max="1" width="8.83203125" style="1" customWidth="1"/>
    <col min="2" max="2" width="8.1640625" style="1" customWidth="1"/>
    <col min="3" max="3" width="10.33203125" style="1" customWidth="1"/>
    <col min="4" max="5" width="12.83203125" style="1" customWidth="1"/>
    <col min="6" max="6" width="12.83203125" style="4" customWidth="1"/>
    <col min="7" max="8" width="13.6640625" style="1" customWidth="1"/>
    <col min="9" max="9" width="13.1640625" style="1" customWidth="1"/>
    <col min="10" max="10" width="13.6640625" style="1" customWidth="1"/>
    <col min="11" max="11" width="12.5" style="1" customWidth="1"/>
    <col min="12" max="12" width="14.33203125" style="1" customWidth="1"/>
    <col min="13" max="13" width="13.6640625" style="1" customWidth="1"/>
    <col min="14" max="14" width="12.83203125" style="1" customWidth="1"/>
    <col min="15" max="16" width="13.6640625" style="1" customWidth="1"/>
    <col min="17" max="17" width="10.83203125" style="1"/>
    <col min="18" max="18" width="11.33203125" style="1" customWidth="1"/>
    <col min="19" max="19" width="15" style="1" customWidth="1"/>
    <col min="20" max="20" width="16.5" style="1" customWidth="1"/>
    <col min="21" max="21" width="30.33203125" style="1" customWidth="1"/>
    <col min="22" max="25" width="14.1640625" style="2" customWidth="1"/>
    <col min="26" max="16384" width="10.83203125" style="1"/>
  </cols>
  <sheetData>
    <row r="1" spans="1:25" x14ac:dyDescent="0.2">
      <c r="A1" s="1" t="s">
        <v>0</v>
      </c>
      <c r="B1" s="1" t="s">
        <v>1</v>
      </c>
      <c r="C1" s="1" t="s">
        <v>16</v>
      </c>
      <c r="D1" s="1" t="s">
        <v>2</v>
      </c>
      <c r="E1" s="1" t="s">
        <v>668</v>
      </c>
      <c r="F1" s="4" t="s">
        <v>37</v>
      </c>
      <c r="G1" s="1" t="s">
        <v>7</v>
      </c>
      <c r="H1" s="1" t="s">
        <v>10</v>
      </c>
      <c r="I1" s="1" t="s">
        <v>8</v>
      </c>
      <c r="J1" s="1" t="s">
        <v>6</v>
      </c>
      <c r="K1" s="1" t="s">
        <v>9</v>
      </c>
      <c r="L1" s="1" t="s">
        <v>3</v>
      </c>
      <c r="M1" s="1" t="s">
        <v>11</v>
      </c>
      <c r="N1" s="1" t="s">
        <v>4</v>
      </c>
      <c r="O1" s="1" t="s">
        <v>12</v>
      </c>
      <c r="P1" s="1" t="s">
        <v>792</v>
      </c>
      <c r="Q1" s="1" t="s">
        <v>209</v>
      </c>
      <c r="R1" s="1" t="s">
        <v>74</v>
      </c>
      <c r="S1" s="1" t="s">
        <v>339</v>
      </c>
      <c r="T1" s="1" t="s">
        <v>687</v>
      </c>
      <c r="U1" s="1" t="s">
        <v>21</v>
      </c>
      <c r="V1" s="2" t="s">
        <v>5</v>
      </c>
      <c r="W1" s="2" t="s">
        <v>419</v>
      </c>
      <c r="X1" s="2" t="s">
        <v>377</v>
      </c>
      <c r="Y1" s="2" t="s">
        <v>445</v>
      </c>
    </row>
    <row r="2" spans="1:25" x14ac:dyDescent="0.2">
      <c r="A2" s="1">
        <v>2</v>
      </c>
      <c r="B2" s="1">
        <v>2.1</v>
      </c>
      <c r="C2" s="1" t="s">
        <v>27</v>
      </c>
      <c r="D2" s="1" t="s">
        <v>27</v>
      </c>
      <c r="F2" s="4">
        <v>36526</v>
      </c>
      <c r="G2" s="1" t="s">
        <v>27</v>
      </c>
      <c r="H2" s="1" t="s">
        <v>27</v>
      </c>
      <c r="I2" s="1" t="s">
        <v>27</v>
      </c>
      <c r="J2" s="1" t="s">
        <v>27</v>
      </c>
      <c r="K2" s="1" t="s">
        <v>27</v>
      </c>
      <c r="L2" s="1" t="s">
        <v>27</v>
      </c>
      <c r="M2" s="1" t="s">
        <v>27</v>
      </c>
      <c r="N2" s="1" t="s">
        <v>27</v>
      </c>
      <c r="O2" s="1" t="s">
        <v>27</v>
      </c>
      <c r="S2" s="1" t="s">
        <v>27</v>
      </c>
      <c r="U2" s="1" t="s">
        <v>28</v>
      </c>
      <c r="V2" s="1" t="s">
        <v>27</v>
      </c>
      <c r="W2" s="1"/>
      <c r="X2" s="1"/>
      <c r="Y2" s="1"/>
    </row>
    <row r="3" spans="1:25" x14ac:dyDescent="0.2">
      <c r="A3" s="7">
        <v>2</v>
      </c>
      <c r="B3" s="7">
        <v>2.6</v>
      </c>
      <c r="C3" s="7" t="s">
        <v>27</v>
      </c>
      <c r="D3" s="7" t="s">
        <v>27</v>
      </c>
      <c r="E3" s="7"/>
      <c r="F3" s="9">
        <v>44995</v>
      </c>
      <c r="G3" s="8" t="s">
        <v>27</v>
      </c>
      <c r="H3" s="8" t="s">
        <v>27</v>
      </c>
      <c r="I3" s="8" t="s">
        <v>27</v>
      </c>
      <c r="J3" s="8" t="s">
        <v>27</v>
      </c>
      <c r="K3" s="8" t="s">
        <v>27</v>
      </c>
      <c r="L3" s="7"/>
      <c r="M3" s="7"/>
      <c r="N3" s="7"/>
      <c r="O3" s="7"/>
      <c r="P3" s="7"/>
      <c r="Q3" s="7"/>
      <c r="R3" s="7"/>
      <c r="S3" s="7" t="s">
        <v>27</v>
      </c>
      <c r="T3" s="7"/>
      <c r="U3" s="7" t="s">
        <v>140</v>
      </c>
      <c r="V3" s="13" t="s">
        <v>27</v>
      </c>
      <c r="W3" s="13"/>
      <c r="X3" s="13"/>
      <c r="Y3" s="13"/>
    </row>
    <row r="4" spans="1:25" x14ac:dyDescent="0.2">
      <c r="A4" s="1">
        <v>2</v>
      </c>
      <c r="B4" s="1">
        <v>2.1</v>
      </c>
      <c r="C4" s="1" t="s">
        <v>27</v>
      </c>
      <c r="D4" s="1" t="s">
        <v>20</v>
      </c>
      <c r="F4" s="4">
        <v>45343</v>
      </c>
      <c r="G4" s="1" t="s">
        <v>27</v>
      </c>
      <c r="H4" s="1" t="s">
        <v>27</v>
      </c>
      <c r="I4" s="1" t="s">
        <v>27</v>
      </c>
      <c r="J4" s="1" t="s">
        <v>27</v>
      </c>
      <c r="K4" s="1" t="s">
        <v>27</v>
      </c>
      <c r="L4" s="1" t="s">
        <v>27</v>
      </c>
      <c r="M4" s="1" t="s">
        <v>27</v>
      </c>
      <c r="N4" s="1" t="s">
        <v>27</v>
      </c>
      <c r="O4" s="1" t="s">
        <v>27</v>
      </c>
      <c r="Q4" s="1">
        <v>0.1</v>
      </c>
      <c r="S4" s="1" t="s">
        <v>27</v>
      </c>
      <c r="U4" s="1" t="s">
        <v>22</v>
      </c>
      <c r="V4" s="1" t="s">
        <v>27</v>
      </c>
      <c r="W4" s="1"/>
      <c r="X4" s="1"/>
      <c r="Y4" s="1"/>
    </row>
    <row r="5" spans="1:25" x14ac:dyDescent="0.2">
      <c r="A5" s="1">
        <v>2</v>
      </c>
      <c r="B5" s="1">
        <v>2.1</v>
      </c>
      <c r="C5" s="1">
        <v>1</v>
      </c>
      <c r="D5" s="1" t="s">
        <v>17</v>
      </c>
      <c r="F5" s="4">
        <v>45344</v>
      </c>
      <c r="G5" s="3">
        <f t="shared" ref="G5:G11" si="0">H5 + K5</f>
        <v>0.79226851851851854</v>
      </c>
      <c r="H5" s="3">
        <v>0.75143518518518515</v>
      </c>
      <c r="I5" s="3">
        <v>2.0254629629629629E-2</v>
      </c>
      <c r="J5" s="3">
        <f t="shared" ref="J5:J16" si="1">$H5 + $I5</f>
        <v>0.7716898148148148</v>
      </c>
      <c r="K5" s="3">
        <v>4.0833333333333333E-2</v>
      </c>
      <c r="L5" s="1">
        <v>1</v>
      </c>
      <c r="M5" s="1" t="s">
        <v>14</v>
      </c>
      <c r="N5" s="1">
        <v>1</v>
      </c>
      <c r="O5" s="1" t="s">
        <v>13</v>
      </c>
      <c r="Q5" s="1">
        <v>0.1</v>
      </c>
      <c r="S5" s="1">
        <v>1</v>
      </c>
    </row>
    <row r="6" spans="1:25" x14ac:dyDescent="0.2">
      <c r="A6" s="1">
        <v>2</v>
      </c>
      <c r="B6" s="1">
        <v>2.1</v>
      </c>
      <c r="C6" s="1">
        <v>1</v>
      </c>
      <c r="D6" s="1" t="s">
        <v>18</v>
      </c>
      <c r="F6" s="4">
        <v>45344</v>
      </c>
      <c r="G6" s="3">
        <f t="shared" si="0"/>
        <v>0.26064814814814813</v>
      </c>
      <c r="H6" s="3">
        <v>0.22613425925925926</v>
      </c>
      <c r="I6" s="3">
        <v>1.9988425925925927E-2</v>
      </c>
      <c r="J6" s="3">
        <f t="shared" si="1"/>
        <v>0.24612268518518518</v>
      </c>
      <c r="K6" s="3">
        <v>3.4513888888888893E-2</v>
      </c>
      <c r="L6" s="1">
        <v>1</v>
      </c>
      <c r="M6" s="1" t="s">
        <v>14</v>
      </c>
      <c r="N6" s="1">
        <v>1</v>
      </c>
      <c r="O6" s="1" t="s">
        <v>14</v>
      </c>
      <c r="Q6" s="1">
        <v>0.1</v>
      </c>
      <c r="S6" s="1">
        <v>1</v>
      </c>
    </row>
    <row r="7" spans="1:25" x14ac:dyDescent="0.2">
      <c r="A7" s="1">
        <v>2</v>
      </c>
      <c r="B7" s="1">
        <v>2.1</v>
      </c>
      <c r="C7" s="1">
        <v>2</v>
      </c>
      <c r="D7" s="1" t="s">
        <v>18</v>
      </c>
      <c r="F7" s="4">
        <v>45344</v>
      </c>
      <c r="G7" s="3">
        <f t="shared" si="0"/>
        <v>0.26922453703703703</v>
      </c>
      <c r="H7" s="3">
        <v>0.22613425925925926</v>
      </c>
      <c r="I7" s="3">
        <v>3.0150462962962962E-2</v>
      </c>
      <c r="J7" s="3">
        <f t="shared" si="1"/>
        <v>0.25628472222222221</v>
      </c>
      <c r="K7" s="3">
        <v>4.3090277777777776E-2</v>
      </c>
      <c r="L7" s="1">
        <v>1</v>
      </c>
      <c r="M7" s="1" t="s">
        <v>14</v>
      </c>
      <c r="N7" s="1">
        <v>1</v>
      </c>
      <c r="O7" s="1" t="s">
        <v>14</v>
      </c>
      <c r="Q7" s="1">
        <v>0.1</v>
      </c>
      <c r="S7" s="1">
        <v>0</v>
      </c>
    </row>
    <row r="8" spans="1:25" x14ac:dyDescent="0.2">
      <c r="A8" s="1">
        <v>2</v>
      </c>
      <c r="B8" s="1">
        <v>2.1</v>
      </c>
      <c r="C8" s="1">
        <v>3</v>
      </c>
      <c r="D8" s="1" t="s">
        <v>18</v>
      </c>
      <c r="F8" s="4">
        <v>45344</v>
      </c>
      <c r="G8" s="3">
        <f t="shared" si="0"/>
        <v>0.27217592592592593</v>
      </c>
      <c r="H8" s="3">
        <v>0.22613425925925926</v>
      </c>
      <c r="I8" s="3">
        <v>3.6689814814814821E-2</v>
      </c>
      <c r="J8" s="3">
        <f t="shared" si="1"/>
        <v>0.2628240740740741</v>
      </c>
      <c r="K8" s="3">
        <v>4.6041666666666668E-2</v>
      </c>
      <c r="L8" s="1">
        <v>1</v>
      </c>
      <c r="M8" s="1" t="s">
        <v>14</v>
      </c>
      <c r="N8" s="1">
        <v>1</v>
      </c>
      <c r="O8" s="1" t="s">
        <v>14</v>
      </c>
      <c r="Q8" s="1">
        <v>0.1</v>
      </c>
      <c r="S8" s="1">
        <v>1</v>
      </c>
    </row>
    <row r="9" spans="1:25" x14ac:dyDescent="0.2">
      <c r="A9" s="1">
        <v>2</v>
      </c>
      <c r="B9" s="1">
        <v>2.2000000000000002</v>
      </c>
      <c r="C9" s="1">
        <v>1</v>
      </c>
      <c r="D9" s="1" t="s">
        <v>50</v>
      </c>
      <c r="F9" s="4">
        <v>45345</v>
      </c>
      <c r="G9" s="3">
        <f t="shared" si="0"/>
        <v>0.78445601851851843</v>
      </c>
      <c r="H9" s="3">
        <v>0.75307870370370367</v>
      </c>
      <c r="I9" s="3">
        <v>2.6331018518518517E-2</v>
      </c>
      <c r="J9" s="3">
        <f t="shared" si="1"/>
        <v>0.77940972222222216</v>
      </c>
      <c r="K9" s="3">
        <v>3.1377314814814809E-2</v>
      </c>
      <c r="L9" s="1">
        <v>1</v>
      </c>
      <c r="M9" s="1" t="s">
        <v>13</v>
      </c>
      <c r="N9" s="1">
        <v>1</v>
      </c>
      <c r="O9" s="1" t="s">
        <v>13</v>
      </c>
      <c r="Q9" s="1">
        <v>0.1</v>
      </c>
      <c r="S9" s="1">
        <v>1</v>
      </c>
    </row>
    <row r="10" spans="1:25" x14ac:dyDescent="0.2">
      <c r="A10" s="1">
        <v>2</v>
      </c>
      <c r="B10" s="1">
        <v>2.2000000000000002</v>
      </c>
      <c r="C10" s="1">
        <v>1</v>
      </c>
      <c r="D10" s="1" t="s">
        <v>15</v>
      </c>
      <c r="F10" s="4">
        <v>45345</v>
      </c>
      <c r="G10" s="3">
        <f t="shared" si="0"/>
        <v>0.25920138888888888</v>
      </c>
      <c r="H10" s="3">
        <v>0.22300925925925927</v>
      </c>
      <c r="I10" s="3">
        <v>2.165509259259259E-2</v>
      </c>
      <c r="J10" s="3">
        <f t="shared" si="1"/>
        <v>0.24466435185185187</v>
      </c>
      <c r="K10" s="3">
        <v>3.619212962962963E-2</v>
      </c>
      <c r="L10" s="1">
        <v>1</v>
      </c>
      <c r="M10" s="1" t="s">
        <v>14</v>
      </c>
      <c r="N10" s="1">
        <v>2</v>
      </c>
      <c r="O10" s="1" t="s">
        <v>13</v>
      </c>
      <c r="Q10" s="1">
        <v>0.1</v>
      </c>
      <c r="S10" s="1">
        <v>1</v>
      </c>
    </row>
    <row r="11" spans="1:25" x14ac:dyDescent="0.2">
      <c r="A11" s="1">
        <v>2</v>
      </c>
      <c r="B11" s="1">
        <v>2.2000000000000002</v>
      </c>
      <c r="C11" s="1">
        <v>2</v>
      </c>
      <c r="D11" s="1" t="s">
        <v>15</v>
      </c>
      <c r="F11" s="4">
        <v>45345</v>
      </c>
      <c r="G11" s="3">
        <f t="shared" si="0"/>
        <v>0.26920138888888889</v>
      </c>
      <c r="H11" s="3">
        <v>0.22300925925925927</v>
      </c>
      <c r="I11" s="3">
        <v>2.7037037037037037E-2</v>
      </c>
      <c r="J11" s="3">
        <f t="shared" si="1"/>
        <v>0.25004629629629632</v>
      </c>
      <c r="K11" s="3">
        <v>4.6192129629629632E-2</v>
      </c>
      <c r="L11" s="1">
        <v>1</v>
      </c>
      <c r="M11" s="1" t="s">
        <v>14</v>
      </c>
      <c r="N11" s="1">
        <v>2</v>
      </c>
      <c r="O11" s="1" t="s">
        <v>13</v>
      </c>
      <c r="Q11" s="1">
        <v>0.1</v>
      </c>
      <c r="S11" s="1">
        <v>1</v>
      </c>
    </row>
    <row r="12" spans="1:25" x14ac:dyDescent="0.2">
      <c r="A12" s="1">
        <v>2</v>
      </c>
      <c r="B12" s="1">
        <v>2.2000000000000002</v>
      </c>
      <c r="C12" s="1">
        <v>3</v>
      </c>
      <c r="D12" s="1" t="s">
        <v>15</v>
      </c>
      <c r="F12" s="4">
        <v>45345</v>
      </c>
      <c r="G12" s="3" t="s">
        <v>27</v>
      </c>
      <c r="H12" s="3">
        <v>0.22300925925925927</v>
      </c>
      <c r="I12" s="3">
        <v>3.7627314814814815E-2</v>
      </c>
      <c r="J12" s="3">
        <f t="shared" si="1"/>
        <v>0.26063657407407409</v>
      </c>
      <c r="K12" s="3" t="s">
        <v>27</v>
      </c>
      <c r="L12" s="1">
        <v>2</v>
      </c>
      <c r="M12" s="1" t="s">
        <v>13</v>
      </c>
      <c r="N12" s="1" t="s">
        <v>27</v>
      </c>
      <c r="O12" s="1" t="s">
        <v>27</v>
      </c>
      <c r="Q12" s="1">
        <v>0.1</v>
      </c>
      <c r="S12" s="1" t="s">
        <v>27</v>
      </c>
      <c r="U12" s="1" t="s">
        <v>59</v>
      </c>
      <c r="V12" s="2" t="s">
        <v>27</v>
      </c>
    </row>
    <row r="13" spans="1:25" x14ac:dyDescent="0.2">
      <c r="A13" s="7">
        <v>2</v>
      </c>
      <c r="B13" s="7">
        <v>2.1</v>
      </c>
      <c r="C13" s="7">
        <v>1</v>
      </c>
      <c r="D13" s="7" t="s">
        <v>15</v>
      </c>
      <c r="E13" s="7"/>
      <c r="F13" s="9">
        <v>45345</v>
      </c>
      <c r="G13" s="8">
        <f>H13 + K13</f>
        <v>0.25920138888888888</v>
      </c>
      <c r="H13" s="8">
        <v>0.22300925925925927</v>
      </c>
      <c r="I13" s="8">
        <v>2.1736111111111112E-2</v>
      </c>
      <c r="J13" s="8">
        <f t="shared" si="1"/>
        <v>0.24474537037037039</v>
      </c>
      <c r="K13" s="8">
        <v>3.619212962962963E-2</v>
      </c>
      <c r="L13" s="7">
        <v>1</v>
      </c>
      <c r="M13" s="7" t="s">
        <v>13</v>
      </c>
      <c r="N13" s="7">
        <v>2</v>
      </c>
      <c r="O13" s="7" t="s">
        <v>14</v>
      </c>
      <c r="P13" s="7"/>
      <c r="Q13" s="7">
        <v>0.1</v>
      </c>
      <c r="R13" s="7"/>
      <c r="S13" s="7">
        <v>1</v>
      </c>
      <c r="T13" s="7"/>
      <c r="U13" s="7"/>
      <c r="V13" s="13"/>
      <c r="W13" s="13"/>
      <c r="X13" s="13"/>
      <c r="Y13" s="13"/>
    </row>
    <row r="14" spans="1:25" x14ac:dyDescent="0.2">
      <c r="A14" s="7">
        <v>2</v>
      </c>
      <c r="B14" s="7">
        <v>2.1</v>
      </c>
      <c r="C14" s="7">
        <v>2</v>
      </c>
      <c r="D14" s="7" t="s">
        <v>15</v>
      </c>
      <c r="E14" s="7"/>
      <c r="F14" s="9">
        <v>45345</v>
      </c>
      <c r="G14" s="8">
        <f>H14 + K14</f>
        <v>0.26922453703703703</v>
      </c>
      <c r="H14" s="8">
        <v>0.22300925925925927</v>
      </c>
      <c r="I14" s="8">
        <v>3.7627314814814815E-2</v>
      </c>
      <c r="J14" s="8">
        <f t="shared" si="1"/>
        <v>0.26063657407407409</v>
      </c>
      <c r="K14" s="8">
        <v>4.6215277777777779E-2</v>
      </c>
      <c r="L14" s="7">
        <v>2</v>
      </c>
      <c r="M14" s="7" t="s">
        <v>14</v>
      </c>
      <c r="N14" s="7">
        <v>2</v>
      </c>
      <c r="O14" s="7" t="s">
        <v>14</v>
      </c>
      <c r="P14" s="7"/>
      <c r="Q14" s="7">
        <v>0.1</v>
      </c>
      <c r="R14" s="7"/>
      <c r="S14" s="7">
        <v>1</v>
      </c>
      <c r="T14" s="7"/>
      <c r="U14" s="7"/>
      <c r="V14" s="13"/>
      <c r="W14" s="13"/>
      <c r="X14" s="13"/>
      <c r="Y14" s="13"/>
    </row>
    <row r="15" spans="1:25" x14ac:dyDescent="0.2">
      <c r="A15" s="1">
        <v>2</v>
      </c>
      <c r="B15" s="1">
        <v>2.1</v>
      </c>
      <c r="C15" s="1">
        <v>1</v>
      </c>
      <c r="D15" s="1" t="s">
        <v>54</v>
      </c>
      <c r="F15" s="4">
        <v>45346</v>
      </c>
      <c r="G15" s="3">
        <f>H15 + K15</f>
        <v>0.78956018518518523</v>
      </c>
      <c r="H15" s="3">
        <v>0.75605324074074076</v>
      </c>
      <c r="I15" s="3">
        <v>2.7627314814814813E-2</v>
      </c>
      <c r="J15" s="3">
        <f t="shared" si="1"/>
        <v>0.7836805555555556</v>
      </c>
      <c r="K15" s="3">
        <v>3.3506944444444443E-2</v>
      </c>
      <c r="L15" s="1">
        <v>1</v>
      </c>
      <c r="M15" s="1" t="s">
        <v>14</v>
      </c>
      <c r="N15" s="1">
        <v>3</v>
      </c>
      <c r="O15" s="1" t="s">
        <v>13</v>
      </c>
      <c r="Q15" s="1">
        <v>0.1</v>
      </c>
      <c r="S15" s="1">
        <v>0</v>
      </c>
      <c r="U15" s="1" t="s">
        <v>30</v>
      </c>
    </row>
    <row r="16" spans="1:25" x14ac:dyDescent="0.2">
      <c r="A16" s="1">
        <v>2</v>
      </c>
      <c r="B16" s="1">
        <v>2.1</v>
      </c>
      <c r="C16" s="1">
        <v>2</v>
      </c>
      <c r="D16" s="1" t="s">
        <v>54</v>
      </c>
      <c r="F16" s="4">
        <v>45346</v>
      </c>
      <c r="G16" s="3">
        <f>H16 + K16</f>
        <v>0.78997685185185185</v>
      </c>
      <c r="H16" s="3">
        <v>0.75605324074074076</v>
      </c>
      <c r="I16" s="3">
        <v>2.7928240740740743E-2</v>
      </c>
      <c r="J16" s="3">
        <f t="shared" si="1"/>
        <v>0.7839814814814815</v>
      </c>
      <c r="K16" s="3">
        <v>3.3923611111111113E-2</v>
      </c>
      <c r="L16" s="1">
        <v>1</v>
      </c>
      <c r="M16" s="1" t="s">
        <v>14</v>
      </c>
      <c r="N16" s="1">
        <v>3</v>
      </c>
      <c r="O16" s="1" t="s">
        <v>13</v>
      </c>
      <c r="Q16" s="1">
        <v>0.1</v>
      </c>
      <c r="S16" s="1">
        <v>0</v>
      </c>
    </row>
    <row r="17" spans="1:25" x14ac:dyDescent="0.2">
      <c r="A17" s="1">
        <v>2</v>
      </c>
      <c r="B17" s="1">
        <v>2.1</v>
      </c>
      <c r="C17" s="1" t="s">
        <v>27</v>
      </c>
      <c r="D17" s="1" t="s">
        <v>27</v>
      </c>
      <c r="F17" s="4">
        <v>45346</v>
      </c>
      <c r="G17" s="1" t="s">
        <v>27</v>
      </c>
      <c r="H17" s="1" t="s">
        <v>27</v>
      </c>
      <c r="I17" s="1" t="s">
        <v>27</v>
      </c>
      <c r="J17" s="1" t="s">
        <v>27</v>
      </c>
      <c r="K17" s="1" t="s">
        <v>27</v>
      </c>
      <c r="L17" s="1" t="s">
        <v>27</v>
      </c>
      <c r="M17" s="1" t="s">
        <v>27</v>
      </c>
      <c r="N17" s="1" t="s">
        <v>27</v>
      </c>
      <c r="O17" s="1" t="s">
        <v>27</v>
      </c>
      <c r="S17" s="1" t="s">
        <v>27</v>
      </c>
      <c r="U17" s="1" t="s">
        <v>29</v>
      </c>
      <c r="V17" s="1" t="s">
        <v>27</v>
      </c>
      <c r="W17" s="1"/>
      <c r="X17" s="1"/>
      <c r="Y17" s="1"/>
    </row>
    <row r="18" spans="1:25" x14ac:dyDescent="0.2">
      <c r="A18" s="1">
        <v>2</v>
      </c>
      <c r="B18" s="1">
        <v>2.1</v>
      </c>
      <c r="C18" s="1">
        <v>1</v>
      </c>
      <c r="D18" s="1" t="s">
        <v>38</v>
      </c>
      <c r="F18" s="4">
        <v>45347</v>
      </c>
      <c r="G18" s="3">
        <f>H18 + K18</f>
        <v>0.78881944444444441</v>
      </c>
      <c r="H18" s="3">
        <v>0.75701388888888888</v>
      </c>
      <c r="I18" s="3">
        <v>2.2858796296296294E-2</v>
      </c>
      <c r="J18" s="3">
        <f>$H18 + $I18</f>
        <v>0.77987268518518515</v>
      </c>
      <c r="K18" s="3">
        <v>3.1805555555555552E-2</v>
      </c>
      <c r="L18" s="1">
        <v>1</v>
      </c>
      <c r="M18" s="1" t="s">
        <v>13</v>
      </c>
      <c r="N18" s="1">
        <v>2</v>
      </c>
      <c r="O18" s="1" t="s">
        <v>14</v>
      </c>
      <c r="Q18" s="1">
        <v>0.1</v>
      </c>
      <c r="S18" s="1">
        <v>0</v>
      </c>
      <c r="U18" s="1" t="s">
        <v>35</v>
      </c>
    </row>
    <row r="19" spans="1:25" x14ac:dyDescent="0.2">
      <c r="A19" s="1">
        <v>2</v>
      </c>
      <c r="B19" s="1">
        <v>2.1</v>
      </c>
      <c r="C19" s="1" t="s">
        <v>27</v>
      </c>
      <c r="D19" s="1" t="s">
        <v>27</v>
      </c>
      <c r="F19" s="4">
        <v>45347</v>
      </c>
      <c r="G19" s="1" t="s">
        <v>27</v>
      </c>
      <c r="H19" s="1" t="s">
        <v>27</v>
      </c>
      <c r="I19" s="1" t="s">
        <v>27</v>
      </c>
      <c r="J19" s="1" t="s">
        <v>27</v>
      </c>
      <c r="K19" s="1" t="s">
        <v>27</v>
      </c>
      <c r="L19" s="1" t="s">
        <v>27</v>
      </c>
      <c r="M19" s="1" t="s">
        <v>27</v>
      </c>
      <c r="N19" s="1" t="s">
        <v>27</v>
      </c>
      <c r="O19" s="1" t="s">
        <v>27</v>
      </c>
      <c r="Q19" s="1">
        <v>0.1</v>
      </c>
      <c r="S19" s="1" t="s">
        <v>27</v>
      </c>
      <c r="U19" s="1" t="s">
        <v>220</v>
      </c>
      <c r="V19" s="1" t="s">
        <v>27</v>
      </c>
      <c r="W19" s="1"/>
      <c r="X19" s="1"/>
      <c r="Y19" s="1"/>
    </row>
    <row r="20" spans="1:25" x14ac:dyDescent="0.2">
      <c r="A20" s="1">
        <v>2</v>
      </c>
      <c r="B20" s="1">
        <v>2.1</v>
      </c>
      <c r="C20" s="1">
        <v>1</v>
      </c>
      <c r="D20" s="1" t="s">
        <v>55</v>
      </c>
      <c r="F20" s="4">
        <v>45348</v>
      </c>
      <c r="G20" s="3">
        <f>H20 + K20</f>
        <v>0.25278935185185186</v>
      </c>
      <c r="H20" s="3">
        <v>0.22899305555555557</v>
      </c>
      <c r="I20" s="1" t="s">
        <v>27</v>
      </c>
      <c r="J20" s="1" t="s">
        <v>27</v>
      </c>
      <c r="K20" s="3">
        <v>2.3796296296296298E-2</v>
      </c>
      <c r="L20" s="1">
        <v>1</v>
      </c>
      <c r="M20" s="1" t="s">
        <v>14</v>
      </c>
      <c r="N20" s="1">
        <v>3</v>
      </c>
      <c r="O20" s="1" t="s">
        <v>13</v>
      </c>
      <c r="Q20" s="1">
        <v>0.1</v>
      </c>
      <c r="S20" s="1">
        <v>1</v>
      </c>
      <c r="U20" s="1" t="s">
        <v>34</v>
      </c>
    </row>
    <row r="21" spans="1:25" x14ac:dyDescent="0.2">
      <c r="A21" s="1">
        <v>2</v>
      </c>
      <c r="B21" s="1">
        <v>2.1</v>
      </c>
      <c r="C21" s="1">
        <v>2</v>
      </c>
      <c r="D21" s="1" t="s">
        <v>55</v>
      </c>
      <c r="F21" s="4">
        <v>45348</v>
      </c>
      <c r="G21" s="3">
        <f>H21 + K21</f>
        <v>0.26979166666666671</v>
      </c>
      <c r="H21" s="3">
        <v>0.22899305555555557</v>
      </c>
      <c r="I21" s="3">
        <v>3.050925925925926E-2</v>
      </c>
      <c r="J21" s="3">
        <f t="shared" ref="J21:J27" si="2">$H21 + $I21</f>
        <v>0.25950231481481484</v>
      </c>
      <c r="K21" s="3">
        <v>4.0798611111111112E-2</v>
      </c>
      <c r="L21" s="1">
        <v>3</v>
      </c>
      <c r="M21" s="1" t="s">
        <v>13</v>
      </c>
      <c r="N21" s="1">
        <v>3</v>
      </c>
      <c r="O21" s="1" t="s">
        <v>13</v>
      </c>
      <c r="Q21" s="1">
        <v>0.1</v>
      </c>
      <c r="S21" s="1">
        <v>0</v>
      </c>
      <c r="U21" s="1" t="s">
        <v>36</v>
      </c>
    </row>
    <row r="22" spans="1:25" x14ac:dyDescent="0.2">
      <c r="A22" s="1">
        <v>2</v>
      </c>
      <c r="B22" s="1">
        <v>2.1</v>
      </c>
      <c r="C22" s="1">
        <v>3</v>
      </c>
      <c r="D22" s="1" t="s">
        <v>55</v>
      </c>
      <c r="F22" s="4">
        <v>45348</v>
      </c>
      <c r="G22" s="3"/>
      <c r="H22" s="3">
        <v>0.22899305555555557</v>
      </c>
      <c r="I22" s="3">
        <v>4.3101851851851856E-2</v>
      </c>
      <c r="J22" s="3">
        <f t="shared" si="2"/>
        <v>0.27209490740740744</v>
      </c>
      <c r="L22" s="1">
        <v>3</v>
      </c>
      <c r="M22" s="1" t="s">
        <v>13</v>
      </c>
      <c r="N22" s="1">
        <v>3</v>
      </c>
      <c r="O22" s="1" t="s">
        <v>13</v>
      </c>
      <c r="Q22" s="1">
        <v>0.1</v>
      </c>
      <c r="S22" s="1">
        <v>0</v>
      </c>
      <c r="U22" s="1" t="s">
        <v>35</v>
      </c>
    </row>
    <row r="23" spans="1:25" x14ac:dyDescent="0.2">
      <c r="A23" s="1">
        <v>2</v>
      </c>
      <c r="B23" s="1">
        <v>2.2000000000000002</v>
      </c>
      <c r="C23" s="1">
        <v>1</v>
      </c>
      <c r="D23" s="1" t="s">
        <v>56</v>
      </c>
      <c r="F23" s="4">
        <v>45348</v>
      </c>
      <c r="G23" s="3">
        <f>H23 + K23</f>
        <v>0.7869560185185186</v>
      </c>
      <c r="H23" s="3">
        <v>0.75724537037037043</v>
      </c>
      <c r="I23" s="3">
        <v>1.9652777777777779E-2</v>
      </c>
      <c r="J23" s="3">
        <f t="shared" si="2"/>
        <v>0.77689814814814817</v>
      </c>
      <c r="K23" s="3">
        <v>2.9710648148148149E-2</v>
      </c>
      <c r="L23" s="1">
        <v>1</v>
      </c>
      <c r="M23" s="1" t="s">
        <v>13</v>
      </c>
      <c r="N23" s="1">
        <v>1</v>
      </c>
      <c r="O23" s="1" t="s">
        <v>14</v>
      </c>
      <c r="Q23" s="1">
        <v>0.1</v>
      </c>
      <c r="S23" s="1">
        <v>1</v>
      </c>
    </row>
    <row r="24" spans="1:25" x14ac:dyDescent="0.2">
      <c r="A24" s="1">
        <v>2</v>
      </c>
      <c r="B24" s="1">
        <v>2.2999999999999998</v>
      </c>
      <c r="C24" s="1">
        <v>1</v>
      </c>
      <c r="D24" s="1" t="s">
        <v>31</v>
      </c>
      <c r="F24" s="4">
        <v>45349</v>
      </c>
      <c r="G24" s="3">
        <f>H24 + K24</f>
        <v>0.78376157407407399</v>
      </c>
      <c r="H24" s="3">
        <v>0.7584143518518518</v>
      </c>
      <c r="I24" s="3">
        <v>2.3530092592592592E-2</v>
      </c>
      <c r="J24" s="3">
        <f t="shared" si="2"/>
        <v>0.78194444444444444</v>
      </c>
      <c r="K24" s="3">
        <v>2.5347222222222219E-2</v>
      </c>
      <c r="L24" s="1">
        <v>1</v>
      </c>
      <c r="M24" s="1" t="s">
        <v>14</v>
      </c>
      <c r="N24" s="1">
        <v>1</v>
      </c>
      <c r="O24" s="1" t="s">
        <v>14</v>
      </c>
      <c r="Q24" s="1">
        <v>0.1</v>
      </c>
      <c r="S24" s="1">
        <v>1</v>
      </c>
      <c r="U24" s="1" t="s">
        <v>57</v>
      </c>
    </row>
    <row r="25" spans="1:25" x14ac:dyDescent="0.2">
      <c r="A25" s="1">
        <v>2</v>
      </c>
      <c r="B25" s="1">
        <v>2.2000000000000002</v>
      </c>
      <c r="C25" s="1">
        <v>1</v>
      </c>
      <c r="D25" s="1" t="s">
        <v>58</v>
      </c>
      <c r="F25" s="4">
        <v>45349</v>
      </c>
      <c r="G25" s="3">
        <f>H25 + K25</f>
        <v>0.2646412037037037</v>
      </c>
      <c r="H25" s="3">
        <v>0.22273148148148147</v>
      </c>
      <c r="I25" s="3">
        <v>2.4398148148148145E-2</v>
      </c>
      <c r="J25" s="3">
        <f t="shared" si="2"/>
        <v>0.24712962962962962</v>
      </c>
      <c r="K25" s="3">
        <v>4.1909722222222223E-2</v>
      </c>
      <c r="L25" s="1">
        <v>1</v>
      </c>
      <c r="M25" s="1" t="s">
        <v>14</v>
      </c>
      <c r="N25" s="1">
        <v>2</v>
      </c>
      <c r="O25" s="1" t="s">
        <v>13</v>
      </c>
      <c r="Q25" s="1">
        <v>0.1</v>
      </c>
      <c r="S25" s="1">
        <v>1</v>
      </c>
    </row>
    <row r="26" spans="1:25" x14ac:dyDescent="0.2">
      <c r="A26" s="1">
        <v>2</v>
      </c>
      <c r="B26" s="1">
        <v>2.2000000000000002</v>
      </c>
      <c r="C26" s="1">
        <v>2</v>
      </c>
      <c r="D26" s="1" t="s">
        <v>58</v>
      </c>
      <c r="F26" s="4">
        <v>45349</v>
      </c>
      <c r="G26" s="3">
        <f>H26 + K26</f>
        <v>0.26913194444444444</v>
      </c>
      <c r="H26" s="3">
        <v>0.22273148148148147</v>
      </c>
      <c r="I26" s="3">
        <v>3.7268518518518513E-2</v>
      </c>
      <c r="J26" s="3">
        <f t="shared" si="2"/>
        <v>0.26</v>
      </c>
      <c r="K26" s="3">
        <v>4.6400462962962963E-2</v>
      </c>
      <c r="L26" s="1">
        <v>2</v>
      </c>
      <c r="M26" s="1" t="s">
        <v>13</v>
      </c>
      <c r="N26" s="1">
        <v>2</v>
      </c>
      <c r="O26" s="1" t="s">
        <v>14</v>
      </c>
      <c r="Q26" s="1">
        <v>0.1</v>
      </c>
      <c r="S26" s="1">
        <v>0</v>
      </c>
    </row>
    <row r="27" spans="1:25" x14ac:dyDescent="0.2">
      <c r="A27" s="1">
        <v>2</v>
      </c>
      <c r="B27" s="1">
        <v>2.2999999999999998</v>
      </c>
      <c r="C27" s="1">
        <v>1</v>
      </c>
      <c r="D27" s="1" t="s">
        <v>43</v>
      </c>
      <c r="F27" s="4">
        <v>45350</v>
      </c>
      <c r="G27" s="3">
        <f>H27 + K27</f>
        <v>0.25624999999999998</v>
      </c>
      <c r="H27" s="3">
        <v>0.23520833333333332</v>
      </c>
      <c r="I27" s="3">
        <v>1.3611111111111114E-2</v>
      </c>
      <c r="J27" s="3">
        <f t="shared" si="2"/>
        <v>0.24881944444444443</v>
      </c>
      <c r="K27" s="3">
        <v>2.1041666666666667E-2</v>
      </c>
      <c r="L27" s="1">
        <v>1</v>
      </c>
      <c r="M27" s="1" t="s">
        <v>14</v>
      </c>
      <c r="N27" s="1">
        <v>1</v>
      </c>
      <c r="O27" s="1" t="s">
        <v>14</v>
      </c>
      <c r="Q27" s="1">
        <v>0.1</v>
      </c>
      <c r="S27" s="1" t="s">
        <v>44</v>
      </c>
      <c r="U27" s="1" t="s">
        <v>45</v>
      </c>
    </row>
    <row r="28" spans="1:25" x14ac:dyDescent="0.2">
      <c r="A28" s="1">
        <v>2</v>
      </c>
      <c r="B28" s="1">
        <v>2.2999999999999998</v>
      </c>
      <c r="C28" s="1" t="s">
        <v>27</v>
      </c>
      <c r="D28" s="1" t="s">
        <v>39</v>
      </c>
      <c r="F28" s="4">
        <v>45350</v>
      </c>
      <c r="G28" s="1" t="s">
        <v>27</v>
      </c>
      <c r="H28" s="3">
        <v>0.76768518518518514</v>
      </c>
      <c r="I28" s="1" t="s">
        <v>27</v>
      </c>
      <c r="J28" s="1" t="s">
        <v>27</v>
      </c>
      <c r="K28" s="1" t="s">
        <v>27</v>
      </c>
      <c r="L28" s="1" t="s">
        <v>27</v>
      </c>
      <c r="M28" s="1" t="s">
        <v>27</v>
      </c>
      <c r="N28" s="1" t="s">
        <v>27</v>
      </c>
      <c r="O28" s="1" t="s">
        <v>27</v>
      </c>
      <c r="Q28" s="1">
        <v>0.1</v>
      </c>
      <c r="S28" s="1" t="s">
        <v>27</v>
      </c>
      <c r="U28" s="1" t="s">
        <v>66</v>
      </c>
      <c r="V28" s="1" t="s">
        <v>27</v>
      </c>
      <c r="W28" s="1"/>
      <c r="X28" s="1"/>
      <c r="Y28" s="1"/>
    </row>
    <row r="29" spans="1:25" x14ac:dyDescent="0.2">
      <c r="A29" s="1">
        <v>2</v>
      </c>
      <c r="B29" s="1">
        <v>2.4</v>
      </c>
      <c r="C29" s="1" t="s">
        <v>27</v>
      </c>
      <c r="D29" s="1" t="s">
        <v>27</v>
      </c>
      <c r="F29" s="4">
        <v>45351</v>
      </c>
      <c r="G29" s="1" t="s">
        <v>27</v>
      </c>
      <c r="H29" s="1" t="s">
        <v>27</v>
      </c>
      <c r="I29" s="1" t="s">
        <v>219</v>
      </c>
      <c r="J29" s="1" t="s">
        <v>27</v>
      </c>
      <c r="K29" s="1" t="s">
        <v>27</v>
      </c>
      <c r="L29" s="1" t="s">
        <v>27</v>
      </c>
      <c r="M29" s="1" t="s">
        <v>27</v>
      </c>
      <c r="N29" s="1" t="s">
        <v>27</v>
      </c>
      <c r="O29" s="1" t="s">
        <v>27</v>
      </c>
      <c r="Q29" s="1">
        <v>0.1</v>
      </c>
      <c r="S29" s="1" t="s">
        <v>27</v>
      </c>
      <c r="U29" s="1" t="s">
        <v>218</v>
      </c>
      <c r="V29" s="1" t="s">
        <v>27</v>
      </c>
      <c r="W29" s="1"/>
      <c r="X29" s="1"/>
      <c r="Y29" s="1"/>
    </row>
    <row r="30" spans="1:25" x14ac:dyDescent="0.2">
      <c r="A30" s="1">
        <v>2</v>
      </c>
      <c r="B30" s="1">
        <v>2.5</v>
      </c>
      <c r="C30" s="1">
        <v>1</v>
      </c>
      <c r="D30" s="1" t="s">
        <v>52</v>
      </c>
      <c r="F30" s="4">
        <v>45351</v>
      </c>
      <c r="G30" s="1" t="s">
        <v>27</v>
      </c>
      <c r="H30" s="3">
        <v>0.75197916666666664</v>
      </c>
      <c r="I30" s="3">
        <v>9.8263888888888897E-3</v>
      </c>
      <c r="J30" s="3">
        <f>$H30 + $I30</f>
        <v>0.76180555555555551</v>
      </c>
      <c r="K30" s="1" t="s">
        <v>27</v>
      </c>
      <c r="L30" s="1">
        <v>1</v>
      </c>
      <c r="M30" s="1" t="s">
        <v>61</v>
      </c>
      <c r="N30" s="1">
        <v>1</v>
      </c>
      <c r="O30" s="1" t="s">
        <v>61</v>
      </c>
      <c r="Q30" s="1">
        <v>0.1</v>
      </c>
      <c r="S30" s="1" t="s">
        <v>27</v>
      </c>
      <c r="U30" s="1" t="s">
        <v>68</v>
      </c>
      <c r="V30" s="2" t="s">
        <v>27</v>
      </c>
    </row>
    <row r="31" spans="1:25" x14ac:dyDescent="0.2">
      <c r="A31" s="1">
        <v>2</v>
      </c>
      <c r="B31" s="1">
        <v>2.6</v>
      </c>
      <c r="C31" s="1">
        <v>1</v>
      </c>
      <c r="D31" s="1" t="s">
        <v>67</v>
      </c>
      <c r="F31" s="4">
        <v>45352</v>
      </c>
      <c r="G31" s="1" t="s">
        <v>27</v>
      </c>
      <c r="H31" s="3">
        <v>3.3032407407407406E-2</v>
      </c>
      <c r="I31" s="3">
        <v>3.7627314814814815E-2</v>
      </c>
      <c r="J31" s="1" t="s">
        <v>27</v>
      </c>
      <c r="K31" s="1" t="s">
        <v>27</v>
      </c>
      <c r="L31" s="1">
        <v>1</v>
      </c>
      <c r="M31" s="1" t="s">
        <v>61</v>
      </c>
      <c r="N31" s="1">
        <v>1</v>
      </c>
      <c r="O31" s="1" t="s">
        <v>61</v>
      </c>
      <c r="Q31" s="1">
        <v>0.1</v>
      </c>
      <c r="S31" s="1" t="s">
        <v>27</v>
      </c>
      <c r="U31" s="1" t="s">
        <v>69</v>
      </c>
      <c r="V31" s="2" t="s">
        <v>27</v>
      </c>
    </row>
    <row r="32" spans="1:25" x14ac:dyDescent="0.2">
      <c r="A32" s="1">
        <v>2</v>
      </c>
      <c r="B32" s="1">
        <v>2.6</v>
      </c>
      <c r="C32" s="1">
        <v>1</v>
      </c>
      <c r="D32" s="1" t="s">
        <v>46</v>
      </c>
      <c r="F32" s="4">
        <v>45352</v>
      </c>
      <c r="G32" s="3">
        <f>H32 + K32</f>
        <v>0.78471064814814817</v>
      </c>
      <c r="H32" s="3">
        <v>0.74805555555555558</v>
      </c>
      <c r="I32" s="3">
        <v>2.6944444444444441E-2</v>
      </c>
      <c r="J32" s="3">
        <f>$H32 + $I32</f>
        <v>0.77500000000000002</v>
      </c>
      <c r="K32" s="3">
        <v>3.6655092592592593E-2</v>
      </c>
      <c r="L32" s="1">
        <v>1</v>
      </c>
      <c r="M32" s="1" t="s">
        <v>13</v>
      </c>
      <c r="N32" s="1">
        <v>1</v>
      </c>
      <c r="O32" s="1" t="s">
        <v>13</v>
      </c>
      <c r="Q32" s="1">
        <v>0.1</v>
      </c>
      <c r="R32" s="1">
        <v>0.1</v>
      </c>
      <c r="S32" s="1">
        <v>1</v>
      </c>
      <c r="U32" s="1" t="s">
        <v>75</v>
      </c>
      <c r="V32" s="1">
        <v>1.7569999999999999E-2</v>
      </c>
      <c r="W32" s="1"/>
      <c r="X32" s="1"/>
      <c r="Y32" s="1"/>
    </row>
    <row r="33" spans="1:25" x14ac:dyDescent="0.2">
      <c r="A33" s="1">
        <v>2</v>
      </c>
      <c r="B33" s="1">
        <v>2.6</v>
      </c>
      <c r="C33" s="1" t="s">
        <v>27</v>
      </c>
      <c r="D33" s="1" t="s">
        <v>27</v>
      </c>
      <c r="F33" s="4">
        <v>45352</v>
      </c>
      <c r="G33" s="3" t="s">
        <v>27</v>
      </c>
      <c r="H33" s="3" t="s">
        <v>27</v>
      </c>
      <c r="I33" s="3" t="s">
        <v>27</v>
      </c>
      <c r="J33" s="3" t="s">
        <v>27</v>
      </c>
      <c r="K33" s="3" t="s">
        <v>27</v>
      </c>
      <c r="L33" s="1" t="s">
        <v>27</v>
      </c>
      <c r="M33" s="1" t="s">
        <v>27</v>
      </c>
      <c r="N33" s="1" t="s">
        <v>27</v>
      </c>
      <c r="O33" s="1" t="s">
        <v>27</v>
      </c>
      <c r="Q33" s="1" t="s">
        <v>27</v>
      </c>
      <c r="R33" s="1" t="s">
        <v>27</v>
      </c>
      <c r="S33" s="1" t="s">
        <v>27</v>
      </c>
      <c r="U33" s="1" t="s">
        <v>373</v>
      </c>
      <c r="V33" s="1" t="s">
        <v>27</v>
      </c>
      <c r="W33" s="1"/>
      <c r="X33" s="1"/>
      <c r="Y33" s="1"/>
    </row>
    <row r="34" spans="1:25" x14ac:dyDescent="0.2">
      <c r="A34" s="1">
        <v>2</v>
      </c>
      <c r="B34" s="1">
        <v>2.6</v>
      </c>
      <c r="C34" s="1">
        <v>1</v>
      </c>
      <c r="D34" s="1" t="s">
        <v>112</v>
      </c>
      <c r="F34" s="4">
        <v>45353</v>
      </c>
      <c r="G34" s="1" t="s">
        <v>27</v>
      </c>
      <c r="H34" s="3">
        <v>0.22057870370370369</v>
      </c>
      <c r="I34" s="3">
        <v>3.425925925925926E-2</v>
      </c>
      <c r="J34" s="3">
        <f>$H34 + $I34</f>
        <v>0.25483796296296296</v>
      </c>
      <c r="K34" s="1" t="s">
        <v>27</v>
      </c>
      <c r="L34" s="1">
        <v>1</v>
      </c>
      <c r="M34" s="1" t="s">
        <v>14</v>
      </c>
      <c r="N34" s="1">
        <v>1</v>
      </c>
      <c r="O34" s="1" t="s">
        <v>14</v>
      </c>
      <c r="Q34" s="1">
        <v>0.1</v>
      </c>
      <c r="R34" s="1">
        <v>0.1</v>
      </c>
      <c r="S34" s="1" t="s">
        <v>27</v>
      </c>
      <c r="U34" s="1" t="s">
        <v>79</v>
      </c>
      <c r="V34" s="2" t="s">
        <v>27</v>
      </c>
    </row>
    <row r="35" spans="1:25" x14ac:dyDescent="0.2">
      <c r="A35" s="1">
        <v>2</v>
      </c>
      <c r="B35" s="1">
        <v>2.6</v>
      </c>
      <c r="C35" s="1">
        <v>1</v>
      </c>
      <c r="D35" s="1" t="s">
        <v>62</v>
      </c>
      <c r="F35" s="4">
        <v>45353</v>
      </c>
      <c r="G35" s="1" t="s">
        <v>27</v>
      </c>
      <c r="H35" s="3">
        <v>0.74873842592592599</v>
      </c>
      <c r="I35" s="3">
        <v>2.630787037037037E-2</v>
      </c>
      <c r="J35" s="3">
        <f>$H35 + $I35</f>
        <v>0.7750462962962964</v>
      </c>
      <c r="K35" s="1" t="s">
        <v>27</v>
      </c>
      <c r="L35" s="1">
        <v>3</v>
      </c>
      <c r="M35" s="1" t="s">
        <v>13</v>
      </c>
      <c r="N35" s="1" t="s">
        <v>27</v>
      </c>
      <c r="O35" s="1" t="s">
        <v>27</v>
      </c>
      <c r="Q35" s="1">
        <v>0.1</v>
      </c>
      <c r="R35" s="1" t="s">
        <v>27</v>
      </c>
      <c r="S35" s="1" t="s">
        <v>27</v>
      </c>
      <c r="U35" s="1" t="s">
        <v>368</v>
      </c>
      <c r="V35" s="2" t="s">
        <v>27</v>
      </c>
    </row>
    <row r="36" spans="1:25" x14ac:dyDescent="0.2">
      <c r="A36" s="1">
        <v>2</v>
      </c>
      <c r="B36" s="1">
        <v>2.6</v>
      </c>
      <c r="C36" s="1">
        <v>1</v>
      </c>
      <c r="D36" s="1" t="s">
        <v>64</v>
      </c>
      <c r="F36" s="4">
        <v>45354</v>
      </c>
      <c r="G36" s="1" t="s">
        <v>27</v>
      </c>
      <c r="H36" s="3">
        <v>0.22113425925925925</v>
      </c>
      <c r="I36" s="3">
        <v>3.0856481481481481E-2</v>
      </c>
      <c r="J36" s="3">
        <f>$H36 + $I36</f>
        <v>0.25199074074074074</v>
      </c>
      <c r="K36" s="1" t="s">
        <v>27</v>
      </c>
      <c r="L36" s="1">
        <v>3</v>
      </c>
      <c r="M36" s="1" t="s">
        <v>13</v>
      </c>
      <c r="N36" s="1" t="s">
        <v>27</v>
      </c>
      <c r="O36" s="1" t="s">
        <v>27</v>
      </c>
      <c r="Q36" s="1">
        <v>0.1</v>
      </c>
      <c r="R36" s="1" t="s">
        <v>27</v>
      </c>
      <c r="S36" s="1" t="s">
        <v>85</v>
      </c>
      <c r="U36" s="1" t="s">
        <v>84</v>
      </c>
      <c r="V36" s="2" t="s">
        <v>27</v>
      </c>
    </row>
    <row r="37" spans="1:25" x14ac:dyDescent="0.2">
      <c r="A37" s="1">
        <v>2</v>
      </c>
      <c r="B37" s="1">
        <v>2.6</v>
      </c>
      <c r="C37" s="1">
        <v>1</v>
      </c>
      <c r="D37" s="1" t="s">
        <v>27</v>
      </c>
      <c r="F37" s="4">
        <v>45354</v>
      </c>
      <c r="G37" s="1" t="s">
        <v>27</v>
      </c>
      <c r="H37" s="3">
        <v>0.75247685185185187</v>
      </c>
      <c r="I37" s="1" t="s">
        <v>27</v>
      </c>
      <c r="J37" s="1" t="s">
        <v>27</v>
      </c>
      <c r="K37" s="1" t="s">
        <v>27</v>
      </c>
      <c r="L37" s="1" t="s">
        <v>27</v>
      </c>
      <c r="M37" s="1" t="s">
        <v>27</v>
      </c>
      <c r="N37" s="1" t="s">
        <v>27</v>
      </c>
      <c r="O37" s="1" t="s">
        <v>27</v>
      </c>
      <c r="Q37" s="1" t="s">
        <v>27</v>
      </c>
      <c r="R37" s="1" t="s">
        <v>27</v>
      </c>
      <c r="S37" s="1" t="s">
        <v>27</v>
      </c>
      <c r="U37" s="1" t="s">
        <v>277</v>
      </c>
      <c r="V37" s="1" t="s">
        <v>27</v>
      </c>
      <c r="W37" s="1"/>
      <c r="X37" s="1"/>
      <c r="Y37" s="1"/>
    </row>
    <row r="38" spans="1:25" x14ac:dyDescent="0.2">
      <c r="A38" s="1">
        <v>2</v>
      </c>
      <c r="B38" s="1">
        <v>2.6</v>
      </c>
      <c r="C38" s="1">
        <v>1</v>
      </c>
      <c r="D38" s="1" t="s">
        <v>78</v>
      </c>
      <c r="F38" s="4">
        <v>45355</v>
      </c>
      <c r="G38" s="3">
        <f>H38 + K38</f>
        <v>0.2673726851851852</v>
      </c>
      <c r="H38" s="3">
        <v>0.22809027777777779</v>
      </c>
      <c r="I38" s="3">
        <v>2.7418981481481485E-2</v>
      </c>
      <c r="J38" s="3">
        <f>$H38 + $I38</f>
        <v>0.25550925925925927</v>
      </c>
      <c r="K38" s="3">
        <v>3.9282407407407412E-2</v>
      </c>
      <c r="L38" s="1">
        <v>1</v>
      </c>
      <c r="M38" s="1" t="s">
        <v>61</v>
      </c>
      <c r="N38" s="1">
        <v>1</v>
      </c>
      <c r="O38" s="1" t="s">
        <v>61</v>
      </c>
      <c r="Q38" s="1">
        <v>0.1</v>
      </c>
      <c r="R38" s="1">
        <v>0.1</v>
      </c>
      <c r="S38" s="1">
        <v>1</v>
      </c>
      <c r="U38" s="1" t="s">
        <v>66</v>
      </c>
      <c r="V38" s="1">
        <v>0.54100000000000004</v>
      </c>
      <c r="W38" s="1"/>
      <c r="X38" s="1"/>
      <c r="Y38" s="1"/>
    </row>
    <row r="39" spans="1:25" x14ac:dyDescent="0.2">
      <c r="A39" s="1">
        <v>2</v>
      </c>
      <c r="B39" s="1">
        <v>2.6</v>
      </c>
      <c r="C39" s="1">
        <v>1</v>
      </c>
      <c r="D39" s="1" t="s">
        <v>83</v>
      </c>
      <c r="F39" s="4">
        <v>45355</v>
      </c>
      <c r="G39" s="3">
        <f>H39 + K39</f>
        <v>0.78221064814814811</v>
      </c>
      <c r="H39" s="3">
        <v>0.74259259259259258</v>
      </c>
      <c r="I39" s="3">
        <v>3.5173611111111107E-2</v>
      </c>
      <c r="J39" s="3">
        <f>$H39 + $I39</f>
        <v>0.77776620370370364</v>
      </c>
      <c r="K39" s="3">
        <v>3.9618055555555552E-2</v>
      </c>
      <c r="L39" s="1">
        <v>1</v>
      </c>
      <c r="M39" s="1" t="s">
        <v>13</v>
      </c>
      <c r="N39" s="1">
        <v>1</v>
      </c>
      <c r="O39" s="1" t="s">
        <v>13</v>
      </c>
      <c r="Q39" s="1">
        <v>0.1</v>
      </c>
      <c r="R39" s="1">
        <v>0.1</v>
      </c>
      <c r="S39" s="1">
        <v>1</v>
      </c>
      <c r="U39" s="1" t="s">
        <v>96</v>
      </c>
      <c r="V39" s="1">
        <v>5.7799999999999997E-2</v>
      </c>
      <c r="W39" s="1"/>
      <c r="X39" s="1"/>
      <c r="Y39" s="1"/>
    </row>
    <row r="40" spans="1:25" x14ac:dyDescent="0.2">
      <c r="A40" s="1">
        <v>2</v>
      </c>
      <c r="B40" s="1">
        <v>2.6</v>
      </c>
      <c r="C40" s="1">
        <v>1</v>
      </c>
      <c r="D40" s="1" t="s">
        <v>94</v>
      </c>
      <c r="F40" s="4">
        <v>45356</v>
      </c>
      <c r="G40" s="3">
        <f>H40 + K40</f>
        <v>0.27211805555555557</v>
      </c>
      <c r="H40" s="3">
        <v>0.22714120370370372</v>
      </c>
      <c r="I40" s="3">
        <v>2.5289351851851851E-2</v>
      </c>
      <c r="J40" s="3">
        <f>$H40 + $I40</f>
        <v>0.25243055555555555</v>
      </c>
      <c r="K40" s="3">
        <v>4.4976851851851851E-2</v>
      </c>
      <c r="L40" s="1">
        <v>3</v>
      </c>
      <c r="M40" s="1" t="s">
        <v>13</v>
      </c>
      <c r="N40" s="1">
        <v>3</v>
      </c>
      <c r="O40" s="1" t="s">
        <v>13</v>
      </c>
      <c r="Q40" s="1">
        <v>0.1</v>
      </c>
      <c r="R40" s="1">
        <v>0.1</v>
      </c>
      <c r="S40" s="1">
        <v>1</v>
      </c>
      <c r="U40" s="1" t="s">
        <v>95</v>
      </c>
      <c r="V40" s="1">
        <v>1.9450000000000001</v>
      </c>
      <c r="W40" s="1"/>
      <c r="X40" s="1"/>
      <c r="Y40" s="1"/>
    </row>
    <row r="41" spans="1:25" x14ac:dyDescent="0.2">
      <c r="A41" s="1">
        <v>2</v>
      </c>
      <c r="B41" s="1">
        <v>2.6</v>
      </c>
      <c r="C41" s="1">
        <v>1</v>
      </c>
      <c r="D41" s="1" t="s">
        <v>110</v>
      </c>
      <c r="F41" s="4">
        <v>45356</v>
      </c>
      <c r="G41" s="3">
        <f>H41 + K41</f>
        <v>0.77976851851851858</v>
      </c>
      <c r="H41" s="3">
        <v>0.75730324074074085</v>
      </c>
      <c r="I41" s="3">
        <v>1.5636574074074074E-2</v>
      </c>
      <c r="J41" s="3">
        <f>I41+H41</f>
        <v>0.77293981481481489</v>
      </c>
      <c r="K41" s="3">
        <v>2.2465277777777778E-2</v>
      </c>
      <c r="L41" s="1">
        <v>3</v>
      </c>
      <c r="M41" s="1" t="s">
        <v>14</v>
      </c>
      <c r="N41" s="1">
        <v>3</v>
      </c>
      <c r="O41" s="1" t="s">
        <v>14</v>
      </c>
      <c r="Q41" s="1">
        <v>0.1</v>
      </c>
      <c r="R41" s="1">
        <v>0.1</v>
      </c>
      <c r="S41" s="1">
        <v>0</v>
      </c>
      <c r="V41" s="1">
        <v>0.15620000000000001</v>
      </c>
      <c r="W41" s="1"/>
      <c r="X41" s="1"/>
      <c r="Y41" s="1"/>
    </row>
    <row r="42" spans="1:25" x14ac:dyDescent="0.2">
      <c r="A42" s="1">
        <v>2</v>
      </c>
      <c r="B42" s="1">
        <v>2.6</v>
      </c>
      <c r="C42" s="1">
        <v>1</v>
      </c>
      <c r="D42" s="1" t="s">
        <v>105</v>
      </c>
      <c r="F42" s="4">
        <v>45357</v>
      </c>
      <c r="G42" s="3">
        <f>H42 + K42</f>
        <v>0.26189814814814816</v>
      </c>
      <c r="H42" s="3">
        <v>0.22960648148148147</v>
      </c>
      <c r="I42" s="3">
        <v>2.5740740740740745E-2</v>
      </c>
      <c r="J42" s="3">
        <f>I42+H42</f>
        <v>0.25534722222222223</v>
      </c>
      <c r="K42" s="3">
        <v>3.229166666666667E-2</v>
      </c>
      <c r="L42" s="1">
        <v>3</v>
      </c>
      <c r="M42" s="1" t="s">
        <v>14</v>
      </c>
      <c r="N42" s="1">
        <v>3</v>
      </c>
      <c r="O42" s="1" t="s">
        <v>13</v>
      </c>
      <c r="Q42" s="1">
        <v>0.1</v>
      </c>
      <c r="R42" s="1">
        <v>0.1</v>
      </c>
      <c r="S42" s="1">
        <v>1</v>
      </c>
      <c r="V42" s="1">
        <v>0.14530000000000001</v>
      </c>
      <c r="W42" s="1"/>
      <c r="X42" s="1"/>
      <c r="Y42" s="1"/>
    </row>
    <row r="43" spans="1:25" x14ac:dyDescent="0.2">
      <c r="A43" s="1">
        <v>2</v>
      </c>
      <c r="B43" s="1">
        <v>2.6</v>
      </c>
      <c r="C43" s="1" t="s">
        <v>27</v>
      </c>
      <c r="D43" s="1" t="s">
        <v>117</v>
      </c>
      <c r="F43" s="4">
        <v>45357</v>
      </c>
      <c r="G43" s="1" t="s">
        <v>27</v>
      </c>
      <c r="H43" s="3">
        <v>0.74971064814814825</v>
      </c>
      <c r="I43" s="1" t="s">
        <v>27</v>
      </c>
      <c r="J43" s="1" t="s">
        <v>27</v>
      </c>
      <c r="K43" s="1" t="s">
        <v>27</v>
      </c>
      <c r="L43" s="1">
        <v>3</v>
      </c>
      <c r="M43" s="1" t="s">
        <v>13</v>
      </c>
      <c r="N43" s="1" t="s">
        <v>27</v>
      </c>
      <c r="O43" s="1" t="s">
        <v>27</v>
      </c>
      <c r="Q43" s="1">
        <v>0.1</v>
      </c>
      <c r="R43" s="1" t="s">
        <v>27</v>
      </c>
      <c r="S43" s="1" t="s">
        <v>27</v>
      </c>
      <c r="U43" s="1" t="s">
        <v>118</v>
      </c>
      <c r="V43" s="1" t="s">
        <v>27</v>
      </c>
      <c r="W43" s="1"/>
      <c r="X43" s="1"/>
      <c r="Y43" s="1"/>
    </row>
    <row r="44" spans="1:25" x14ac:dyDescent="0.2">
      <c r="A44" s="1">
        <v>2</v>
      </c>
      <c r="B44" s="1">
        <v>2.6</v>
      </c>
      <c r="C44" s="1">
        <v>1</v>
      </c>
      <c r="D44" s="1" t="s">
        <v>90</v>
      </c>
      <c r="F44" s="4">
        <v>45358</v>
      </c>
      <c r="G44" s="3">
        <f>H44 + K44</f>
        <v>0.26952546296296298</v>
      </c>
      <c r="H44" s="3">
        <v>0.21829861111111112</v>
      </c>
      <c r="I44" s="3">
        <v>4.2939814814814813E-2</v>
      </c>
      <c r="J44" s="3">
        <f>I44+H44</f>
        <v>0.26123842592592594</v>
      </c>
      <c r="K44" s="3">
        <v>5.122685185185185E-2</v>
      </c>
      <c r="L44" s="1">
        <v>3</v>
      </c>
      <c r="M44" s="1" t="s">
        <v>13</v>
      </c>
      <c r="N44" s="1">
        <v>3</v>
      </c>
      <c r="O44" s="1" t="s">
        <v>14</v>
      </c>
      <c r="Q44" s="1">
        <v>0.1</v>
      </c>
      <c r="R44" s="1">
        <v>0.05</v>
      </c>
      <c r="S44" s="1">
        <v>0</v>
      </c>
      <c r="V44" s="1">
        <v>1.389</v>
      </c>
      <c r="W44" s="1"/>
      <c r="X44" s="1"/>
      <c r="Y44" s="1"/>
    </row>
    <row r="45" spans="1:25" x14ac:dyDescent="0.2">
      <c r="A45" s="1">
        <v>2</v>
      </c>
      <c r="B45" s="1">
        <v>2.6</v>
      </c>
      <c r="C45" s="1">
        <v>1</v>
      </c>
      <c r="D45" s="1" t="s">
        <v>101</v>
      </c>
      <c r="F45" s="4">
        <v>45358</v>
      </c>
      <c r="G45" s="3">
        <f>H45 + K45</f>
        <v>0.78515046296296309</v>
      </c>
      <c r="H45" s="3">
        <v>0.75358796296296304</v>
      </c>
      <c r="I45" s="3">
        <v>2.4756944444444443E-2</v>
      </c>
      <c r="J45" s="3">
        <f>I45+H45</f>
        <v>0.77834490740740747</v>
      </c>
      <c r="K45" s="3">
        <v>3.15625E-2</v>
      </c>
      <c r="L45" s="1">
        <v>3</v>
      </c>
      <c r="M45" s="1" t="s">
        <v>14</v>
      </c>
      <c r="N45" s="1">
        <v>3</v>
      </c>
      <c r="O45" s="1" t="s">
        <v>13</v>
      </c>
      <c r="Q45" s="1">
        <v>0.1</v>
      </c>
      <c r="R45" s="1">
        <v>0.1</v>
      </c>
      <c r="S45" s="1">
        <v>1</v>
      </c>
      <c r="V45" s="1">
        <v>1.7930000000000001E-2</v>
      </c>
      <c r="W45" s="1"/>
      <c r="X45" s="1"/>
      <c r="Y45" s="1"/>
    </row>
    <row r="46" spans="1:25" x14ac:dyDescent="0.2">
      <c r="A46" s="1">
        <v>2</v>
      </c>
      <c r="B46" s="1">
        <v>2.6</v>
      </c>
      <c r="C46" s="1">
        <v>1</v>
      </c>
      <c r="D46" s="1" t="s">
        <v>104</v>
      </c>
      <c r="F46" s="4">
        <v>45359</v>
      </c>
      <c r="G46" s="3">
        <f>H46 + K46</f>
        <v>0.27240740740740743</v>
      </c>
      <c r="H46" s="3">
        <v>0.22769675925925925</v>
      </c>
      <c r="I46" s="3">
        <v>3.4699074074074077E-2</v>
      </c>
      <c r="J46" s="3">
        <f>I46+H46</f>
        <v>0.26239583333333333</v>
      </c>
      <c r="K46" s="3">
        <v>4.4710648148148152E-2</v>
      </c>
      <c r="L46" s="1">
        <v>3</v>
      </c>
      <c r="M46" s="1" t="s">
        <v>13</v>
      </c>
      <c r="N46" s="1">
        <v>3</v>
      </c>
      <c r="O46" s="1" t="s">
        <v>14</v>
      </c>
      <c r="Q46" s="1">
        <v>0.1</v>
      </c>
      <c r="R46" s="1">
        <v>0.15</v>
      </c>
      <c r="S46" s="1">
        <v>0</v>
      </c>
      <c r="V46" s="1">
        <v>2.5299999999999998</v>
      </c>
      <c r="W46" s="1"/>
      <c r="X46" s="1"/>
      <c r="Y46" s="1"/>
    </row>
    <row r="47" spans="1:25" x14ac:dyDescent="0.2">
      <c r="A47" s="1">
        <v>2</v>
      </c>
      <c r="B47" s="1">
        <v>2.6</v>
      </c>
      <c r="C47" s="1">
        <v>1</v>
      </c>
      <c r="D47" s="1" t="s">
        <v>115</v>
      </c>
      <c r="F47" s="4">
        <v>45359</v>
      </c>
      <c r="G47" s="3">
        <f>H47 + K47</f>
        <v>0.78239583333333329</v>
      </c>
      <c r="H47" s="3">
        <v>0.75249999999999995</v>
      </c>
      <c r="I47" s="3">
        <v>1.5358796296296296E-2</v>
      </c>
      <c r="J47" s="3">
        <f>I47+H47</f>
        <v>0.76785879629629628</v>
      </c>
      <c r="K47" s="3">
        <v>2.989583333333333E-2</v>
      </c>
      <c r="L47" s="1">
        <v>3</v>
      </c>
      <c r="M47" s="1" t="s">
        <v>14</v>
      </c>
      <c r="N47" s="1">
        <v>3</v>
      </c>
      <c r="O47" s="1" t="s">
        <v>13</v>
      </c>
      <c r="Q47" s="1">
        <v>0.1</v>
      </c>
      <c r="R47" s="1">
        <v>0.1</v>
      </c>
      <c r="S47" s="1">
        <v>0</v>
      </c>
      <c r="U47" s="1" t="s">
        <v>135</v>
      </c>
      <c r="V47" s="1">
        <v>4.7600000000000003E-2</v>
      </c>
      <c r="W47" s="1"/>
      <c r="X47" s="1"/>
      <c r="Y47" s="1"/>
    </row>
    <row r="48" spans="1:25" x14ac:dyDescent="0.2">
      <c r="A48" s="1">
        <v>2</v>
      </c>
      <c r="B48" s="1">
        <v>2.6</v>
      </c>
      <c r="C48" s="1" t="s">
        <v>27</v>
      </c>
      <c r="D48" s="1" t="s">
        <v>27</v>
      </c>
      <c r="F48" s="4">
        <v>45360</v>
      </c>
      <c r="G48" s="3" t="s">
        <v>27</v>
      </c>
      <c r="H48" s="3" t="s">
        <v>27</v>
      </c>
      <c r="I48" s="3" t="s">
        <v>27</v>
      </c>
      <c r="J48" s="3" t="s">
        <v>27</v>
      </c>
      <c r="K48" s="3" t="s">
        <v>27</v>
      </c>
      <c r="L48" s="1">
        <v>3</v>
      </c>
      <c r="M48" s="1" t="s">
        <v>13</v>
      </c>
      <c r="N48" s="1">
        <v>3</v>
      </c>
      <c r="O48" s="1" t="s">
        <v>13</v>
      </c>
      <c r="Q48" s="1">
        <v>0.1</v>
      </c>
      <c r="R48" s="1">
        <v>0.1</v>
      </c>
      <c r="S48" s="1" t="s">
        <v>27</v>
      </c>
      <c r="U48" s="1" t="s">
        <v>140</v>
      </c>
      <c r="V48" s="2" t="s">
        <v>27</v>
      </c>
    </row>
    <row r="49" spans="1:25" x14ac:dyDescent="0.2">
      <c r="A49" s="1">
        <v>2</v>
      </c>
      <c r="B49" s="1">
        <v>2.6</v>
      </c>
      <c r="C49" s="1">
        <v>1</v>
      </c>
      <c r="D49" s="1" t="s">
        <v>133</v>
      </c>
      <c r="F49" s="4">
        <v>45362</v>
      </c>
      <c r="G49" s="3">
        <f t="shared" ref="G49:G62" si="3">H49 + K49</f>
        <v>0.77763888888888888</v>
      </c>
      <c r="H49" s="3">
        <v>0.74478009259259259</v>
      </c>
      <c r="I49" s="3">
        <v>2.75E-2</v>
      </c>
      <c r="J49" s="3">
        <f t="shared" ref="J49:J59" si="4">I49+H49</f>
        <v>0.77228009259259256</v>
      </c>
      <c r="K49" s="3">
        <v>3.2858796296296296E-2</v>
      </c>
      <c r="L49" s="1">
        <v>3</v>
      </c>
      <c r="M49" s="1" t="s">
        <v>14</v>
      </c>
      <c r="N49" s="1">
        <v>3</v>
      </c>
      <c r="O49" s="1" t="s">
        <v>13</v>
      </c>
      <c r="Q49" s="1">
        <v>0.1</v>
      </c>
      <c r="R49" s="1">
        <v>0.15</v>
      </c>
      <c r="S49" s="1">
        <v>0</v>
      </c>
      <c r="U49" s="1" t="s">
        <v>134</v>
      </c>
      <c r="V49" s="1">
        <v>0.1764</v>
      </c>
      <c r="W49" s="1"/>
      <c r="X49" s="1"/>
      <c r="Y49" s="1"/>
    </row>
    <row r="50" spans="1:25" x14ac:dyDescent="0.2">
      <c r="A50" s="1">
        <v>2</v>
      </c>
      <c r="B50" s="1">
        <v>2.6</v>
      </c>
      <c r="C50" s="1">
        <v>1</v>
      </c>
      <c r="D50" s="1" t="s">
        <v>114</v>
      </c>
      <c r="F50" s="4">
        <v>45362</v>
      </c>
      <c r="G50" s="3">
        <f t="shared" si="3"/>
        <v>0.27355324074074072</v>
      </c>
      <c r="H50" s="3">
        <v>0.23127314814814814</v>
      </c>
      <c r="I50" s="3">
        <v>2.9965277777777775E-2</v>
      </c>
      <c r="J50" s="3">
        <f t="shared" si="4"/>
        <v>0.26123842592592594</v>
      </c>
      <c r="K50" s="3">
        <v>4.2280092592592591E-2</v>
      </c>
      <c r="L50" s="1">
        <v>3</v>
      </c>
      <c r="M50" s="1" t="s">
        <v>14</v>
      </c>
      <c r="N50" s="1">
        <v>3</v>
      </c>
      <c r="O50" s="1" t="s">
        <v>13</v>
      </c>
      <c r="Q50" s="1">
        <v>0.1</v>
      </c>
      <c r="R50" s="1">
        <v>0.05</v>
      </c>
      <c r="S50" s="1">
        <v>0</v>
      </c>
      <c r="U50" s="1" t="s">
        <v>143</v>
      </c>
      <c r="V50" s="1">
        <v>1.2969999999999999</v>
      </c>
      <c r="W50" s="1"/>
      <c r="X50" s="1"/>
      <c r="Y50" s="1"/>
    </row>
    <row r="51" spans="1:25" x14ac:dyDescent="0.2">
      <c r="A51" s="1">
        <v>2</v>
      </c>
      <c r="B51" s="1">
        <v>2.6</v>
      </c>
      <c r="C51" s="1">
        <v>1</v>
      </c>
      <c r="D51" s="1" t="s">
        <v>122</v>
      </c>
      <c r="F51" s="4">
        <v>45363</v>
      </c>
      <c r="G51" s="3">
        <f t="shared" si="3"/>
        <v>0.77273148148148152</v>
      </c>
      <c r="H51" s="3">
        <v>0.7653240740740741</v>
      </c>
      <c r="I51" s="3">
        <v>2.3032407407407407E-3</v>
      </c>
      <c r="J51" s="3">
        <f t="shared" si="4"/>
        <v>0.76762731481481483</v>
      </c>
      <c r="K51" s="3">
        <v>7.4074074074074068E-3</v>
      </c>
      <c r="L51" s="1">
        <v>3</v>
      </c>
      <c r="M51" s="1" t="s">
        <v>14</v>
      </c>
      <c r="N51" s="1">
        <v>3</v>
      </c>
      <c r="O51" s="1" t="s">
        <v>13</v>
      </c>
      <c r="Q51" s="1">
        <v>0.1</v>
      </c>
      <c r="R51" s="1">
        <v>0.05</v>
      </c>
      <c r="S51" s="1">
        <v>0</v>
      </c>
      <c r="V51" s="1">
        <v>0.13969999999999999</v>
      </c>
      <c r="W51" s="1"/>
      <c r="X51" s="1"/>
      <c r="Y51" s="1"/>
    </row>
    <row r="52" spans="1:25" x14ac:dyDescent="0.2">
      <c r="A52" s="1">
        <v>2</v>
      </c>
      <c r="B52" s="1">
        <v>2.6</v>
      </c>
      <c r="C52" s="1">
        <v>1</v>
      </c>
      <c r="D52" s="1" t="s">
        <v>132</v>
      </c>
      <c r="F52" s="4">
        <v>45363</v>
      </c>
      <c r="G52" s="3">
        <f t="shared" si="3"/>
        <v>0.26667824074074076</v>
      </c>
      <c r="H52" s="3">
        <v>0.23542824074074073</v>
      </c>
      <c r="I52" s="3">
        <v>2.3402777777777783E-2</v>
      </c>
      <c r="J52" s="3">
        <f t="shared" si="4"/>
        <v>0.25883101851851853</v>
      </c>
      <c r="K52" s="3">
        <v>3.125E-2</v>
      </c>
      <c r="L52" s="1">
        <v>3</v>
      </c>
      <c r="M52" s="1" t="s">
        <v>13</v>
      </c>
      <c r="N52" s="1">
        <v>3</v>
      </c>
      <c r="O52" s="1" t="s">
        <v>14</v>
      </c>
      <c r="Q52" s="1">
        <v>0.1</v>
      </c>
      <c r="R52" s="1">
        <v>0.15</v>
      </c>
      <c r="S52" s="1">
        <v>1</v>
      </c>
      <c r="V52" s="1">
        <v>0.64600000000000002</v>
      </c>
      <c r="W52" s="1"/>
      <c r="X52" s="1"/>
      <c r="Y52" s="1"/>
    </row>
    <row r="53" spans="1:25" x14ac:dyDescent="0.2">
      <c r="A53" s="1">
        <v>2</v>
      </c>
      <c r="B53" s="1">
        <v>2.6</v>
      </c>
      <c r="C53" s="1">
        <v>1</v>
      </c>
      <c r="D53" s="1" t="s">
        <v>146</v>
      </c>
      <c r="F53" s="4">
        <v>45364</v>
      </c>
      <c r="G53" s="3">
        <f t="shared" si="3"/>
        <v>0.77724537037037034</v>
      </c>
      <c r="H53" s="3">
        <v>0.74844907407407402</v>
      </c>
      <c r="I53" s="3">
        <v>1.7395833333333336E-2</v>
      </c>
      <c r="J53" s="3">
        <f t="shared" si="4"/>
        <v>0.7658449074074074</v>
      </c>
      <c r="K53" s="3">
        <v>2.8796296296296296E-2</v>
      </c>
      <c r="L53" s="1">
        <v>3</v>
      </c>
      <c r="M53" s="1" t="s">
        <v>14</v>
      </c>
      <c r="N53" s="1">
        <v>3</v>
      </c>
      <c r="O53" s="1" t="s">
        <v>13</v>
      </c>
      <c r="Q53" s="1">
        <v>0.05</v>
      </c>
      <c r="R53" s="1">
        <v>0.05</v>
      </c>
      <c r="S53" s="1">
        <v>0</v>
      </c>
      <c r="V53" s="1">
        <v>0.878</v>
      </c>
      <c r="W53" s="1"/>
      <c r="X53" s="1"/>
      <c r="Y53" s="1"/>
    </row>
    <row r="54" spans="1:25" x14ac:dyDescent="0.2">
      <c r="A54" s="1">
        <v>2</v>
      </c>
      <c r="B54" s="1">
        <v>2.6</v>
      </c>
      <c r="C54" s="1">
        <v>1</v>
      </c>
      <c r="D54" s="1" t="s">
        <v>423</v>
      </c>
      <c r="F54" s="4">
        <v>45364</v>
      </c>
      <c r="G54" s="3">
        <f t="shared" si="3"/>
        <v>0.26287037037037037</v>
      </c>
      <c r="H54" s="3">
        <v>0.230625</v>
      </c>
      <c r="I54" s="3">
        <v>2.2407407407407407E-2</v>
      </c>
      <c r="J54" s="3">
        <f t="shared" si="4"/>
        <v>0.2530324074074074</v>
      </c>
      <c r="K54" s="3">
        <v>3.2245370370370369E-2</v>
      </c>
      <c r="L54" s="1">
        <v>3</v>
      </c>
      <c r="M54" s="1" t="s">
        <v>13</v>
      </c>
      <c r="N54" s="1">
        <v>3</v>
      </c>
      <c r="O54" s="1" t="s">
        <v>14</v>
      </c>
      <c r="Q54" s="1">
        <v>0.05</v>
      </c>
      <c r="R54" s="1">
        <v>0.05</v>
      </c>
      <c r="S54" s="1">
        <v>1</v>
      </c>
      <c r="V54" s="1">
        <v>0.25600000000000001</v>
      </c>
      <c r="W54" s="1"/>
      <c r="X54" s="1"/>
      <c r="Y54" s="1"/>
    </row>
    <row r="55" spans="1:25" x14ac:dyDescent="0.2">
      <c r="A55" s="1">
        <v>2</v>
      </c>
      <c r="B55" s="1">
        <v>2.6</v>
      </c>
      <c r="C55" s="1">
        <v>1</v>
      </c>
      <c r="D55" s="1" t="s">
        <v>144</v>
      </c>
      <c r="F55" s="4">
        <v>45365</v>
      </c>
      <c r="G55" s="3">
        <f t="shared" si="3"/>
        <v>0.78295138888888882</v>
      </c>
      <c r="H55" s="3">
        <v>0.75175925925925924</v>
      </c>
      <c r="I55" s="3">
        <v>1.6608796296296299E-2</v>
      </c>
      <c r="J55" s="3">
        <f t="shared" si="4"/>
        <v>0.76836805555555554</v>
      </c>
      <c r="K55" s="3">
        <v>3.1192129629629629E-2</v>
      </c>
      <c r="L55" s="1">
        <v>3</v>
      </c>
      <c r="M55" s="1" t="s">
        <v>14</v>
      </c>
      <c r="N55" s="1">
        <v>3</v>
      </c>
      <c r="O55" s="1" t="s">
        <v>13</v>
      </c>
      <c r="Q55" s="1">
        <v>0.05</v>
      </c>
      <c r="R55" s="1">
        <v>0.05</v>
      </c>
      <c r="S55" s="1">
        <v>1</v>
      </c>
      <c r="U55" s="1" t="s">
        <v>424</v>
      </c>
      <c r="V55" s="1">
        <v>1.8599999999999998E-2</v>
      </c>
      <c r="W55" s="1"/>
      <c r="X55" s="1"/>
      <c r="Y55" s="1"/>
    </row>
    <row r="56" spans="1:25" x14ac:dyDescent="0.2">
      <c r="A56" s="1">
        <v>2</v>
      </c>
      <c r="B56" s="1">
        <v>2.6</v>
      </c>
      <c r="C56" s="1">
        <v>1</v>
      </c>
      <c r="D56" s="1" t="s">
        <v>139</v>
      </c>
      <c r="F56" s="4">
        <v>45365</v>
      </c>
      <c r="G56" s="3">
        <f t="shared" si="3"/>
        <v>0.26702546296296298</v>
      </c>
      <c r="H56" s="3">
        <v>0.2262962962962963</v>
      </c>
      <c r="I56" s="3">
        <v>3.1932870370370368E-2</v>
      </c>
      <c r="J56" s="3">
        <f t="shared" si="4"/>
        <v>0.25822916666666668</v>
      </c>
      <c r="K56" s="3">
        <v>4.0729166666666664E-2</v>
      </c>
      <c r="L56" s="1">
        <v>3</v>
      </c>
      <c r="M56" s="1" t="s">
        <v>13</v>
      </c>
      <c r="N56" s="1">
        <v>3</v>
      </c>
      <c r="O56" s="1" t="s">
        <v>14</v>
      </c>
      <c r="Q56" s="1">
        <v>0.05</v>
      </c>
      <c r="R56" s="1">
        <v>0.05</v>
      </c>
      <c r="S56" s="1">
        <v>0</v>
      </c>
      <c r="U56" s="1" t="s">
        <v>145</v>
      </c>
      <c r="V56" s="1">
        <v>1.6419999999999999</v>
      </c>
      <c r="W56" s="1"/>
      <c r="X56" s="1"/>
      <c r="Y56" s="1"/>
    </row>
    <row r="57" spans="1:25" x14ac:dyDescent="0.2">
      <c r="A57" s="1">
        <v>2</v>
      </c>
      <c r="B57" s="1">
        <v>2.6</v>
      </c>
      <c r="C57" s="1">
        <v>1</v>
      </c>
      <c r="D57" s="1" t="s">
        <v>138</v>
      </c>
      <c r="F57" s="4">
        <v>45366</v>
      </c>
      <c r="G57" s="3">
        <f t="shared" si="3"/>
        <v>0.26596064814814813</v>
      </c>
      <c r="H57" s="3">
        <v>0.22715277777777779</v>
      </c>
      <c r="I57" s="3">
        <v>2.6944444444444444E-2</v>
      </c>
      <c r="J57" s="3">
        <f t="shared" si="4"/>
        <v>0.25409722222222225</v>
      </c>
      <c r="K57" s="3">
        <v>3.8807870370370368E-2</v>
      </c>
      <c r="L57" s="1">
        <v>3</v>
      </c>
      <c r="M57" s="1" t="s">
        <v>13</v>
      </c>
      <c r="N57" s="1">
        <v>3</v>
      </c>
      <c r="O57" s="1" t="s">
        <v>14</v>
      </c>
      <c r="Q57" s="1">
        <v>0.05</v>
      </c>
      <c r="R57" s="1">
        <v>0.05</v>
      </c>
      <c r="S57" s="1">
        <v>1</v>
      </c>
      <c r="V57" s="1">
        <v>0.74199999999999999</v>
      </c>
      <c r="W57" s="1"/>
      <c r="X57" s="1"/>
      <c r="Y57" s="1"/>
    </row>
    <row r="58" spans="1:25" x14ac:dyDescent="0.2">
      <c r="A58" s="1">
        <v>2</v>
      </c>
      <c r="B58" s="1">
        <v>2.6</v>
      </c>
      <c r="C58" s="1">
        <v>1</v>
      </c>
      <c r="D58" s="1" t="s">
        <v>136</v>
      </c>
      <c r="F58" s="4">
        <v>45366</v>
      </c>
      <c r="G58" s="3">
        <f t="shared" si="3"/>
        <v>0.78123842592592596</v>
      </c>
      <c r="H58" s="3">
        <v>0.75766203703703705</v>
      </c>
      <c r="I58" s="3">
        <v>9.7569444444444448E-3</v>
      </c>
      <c r="J58" s="3">
        <f t="shared" si="4"/>
        <v>0.76741898148148147</v>
      </c>
      <c r="K58" s="3">
        <v>2.357638888888889E-2</v>
      </c>
      <c r="L58" s="1">
        <v>3</v>
      </c>
      <c r="M58" s="1" t="s">
        <v>14</v>
      </c>
      <c r="N58" s="1">
        <v>3</v>
      </c>
      <c r="O58" s="1" t="s">
        <v>13</v>
      </c>
      <c r="Q58" s="1">
        <v>0.05</v>
      </c>
      <c r="R58" s="1">
        <v>0.05</v>
      </c>
      <c r="S58" s="1">
        <v>0</v>
      </c>
      <c r="U58" s="1" t="s">
        <v>157</v>
      </c>
      <c r="V58" s="1">
        <v>3.56E-2</v>
      </c>
      <c r="W58" s="1"/>
      <c r="X58" s="1"/>
      <c r="Y58" s="1"/>
    </row>
    <row r="59" spans="1:25" s="7" customFormat="1" x14ac:dyDescent="0.2">
      <c r="A59" s="1">
        <v>2</v>
      </c>
      <c r="B59" s="1">
        <v>2.6</v>
      </c>
      <c r="C59" s="1">
        <v>1</v>
      </c>
      <c r="D59" s="1" t="s">
        <v>154</v>
      </c>
      <c r="E59" s="1"/>
      <c r="F59" s="4">
        <v>45367</v>
      </c>
      <c r="G59" s="3">
        <f t="shared" si="3"/>
        <v>0.26401620370370371</v>
      </c>
      <c r="H59" s="3">
        <v>0.24603009259259259</v>
      </c>
      <c r="I59" s="3">
        <v>5.6134259259259262E-3</v>
      </c>
      <c r="J59" s="3">
        <f t="shared" si="4"/>
        <v>0.25164351851851852</v>
      </c>
      <c r="K59" s="3">
        <v>1.7986111111111112E-2</v>
      </c>
      <c r="L59" s="1">
        <v>3</v>
      </c>
      <c r="M59" s="1" t="s">
        <v>13</v>
      </c>
      <c r="N59" s="1">
        <v>3</v>
      </c>
      <c r="O59" s="1" t="s">
        <v>14</v>
      </c>
      <c r="P59" s="1"/>
      <c r="Q59" s="1">
        <v>0.05</v>
      </c>
      <c r="R59" s="1">
        <v>0.05</v>
      </c>
      <c r="S59" s="1">
        <v>1</v>
      </c>
      <c r="T59" s="1"/>
      <c r="U59" s="1"/>
      <c r="V59" s="1">
        <v>0.54100000000000004</v>
      </c>
      <c r="W59" s="1"/>
      <c r="X59" s="1"/>
      <c r="Y59" s="1"/>
    </row>
    <row r="60" spans="1:25" x14ac:dyDescent="0.2">
      <c r="A60" s="1">
        <v>2</v>
      </c>
      <c r="B60" s="1">
        <v>2.6</v>
      </c>
      <c r="C60" s="1">
        <v>1</v>
      </c>
      <c r="D60" s="1" t="s">
        <v>151</v>
      </c>
      <c r="F60" s="4">
        <v>45367</v>
      </c>
      <c r="G60" s="3">
        <f t="shared" si="3"/>
        <v>0.78548611111111111</v>
      </c>
      <c r="H60" s="3">
        <v>0.75153935185185183</v>
      </c>
      <c r="I60" s="1" t="s">
        <v>27</v>
      </c>
      <c r="J60" s="1" t="s">
        <v>27</v>
      </c>
      <c r="K60" s="3">
        <v>3.394675925925926E-2</v>
      </c>
      <c r="L60" s="1">
        <v>3</v>
      </c>
      <c r="M60" s="1" t="s">
        <v>14</v>
      </c>
      <c r="N60" s="1">
        <v>3</v>
      </c>
      <c r="O60" s="1" t="s">
        <v>13</v>
      </c>
      <c r="Q60" s="1">
        <v>0.05</v>
      </c>
      <c r="R60" s="1">
        <v>0.05</v>
      </c>
      <c r="S60" s="1">
        <v>0</v>
      </c>
      <c r="U60" s="1" t="s">
        <v>649</v>
      </c>
      <c r="V60" s="1">
        <v>7.1599999999999997E-3</v>
      </c>
      <c r="W60" s="1"/>
      <c r="X60" s="1"/>
      <c r="Y60" s="1"/>
    </row>
    <row r="61" spans="1:25" x14ac:dyDescent="0.2">
      <c r="A61" s="1">
        <v>2</v>
      </c>
      <c r="B61" s="1">
        <v>2.6</v>
      </c>
      <c r="C61" s="1">
        <v>1</v>
      </c>
      <c r="D61" s="1" t="s">
        <v>149</v>
      </c>
      <c r="F61" s="4">
        <v>45368</v>
      </c>
      <c r="G61" s="3">
        <f t="shared" si="3"/>
        <v>0.2610763888888889</v>
      </c>
      <c r="H61" s="3">
        <v>0.23355324074074074</v>
      </c>
      <c r="I61" s="3">
        <v>1.7083333333333332E-2</v>
      </c>
      <c r="J61" s="3">
        <f>I61+H61</f>
        <v>0.25063657407407408</v>
      </c>
      <c r="K61" s="3">
        <v>2.7523148148148147E-2</v>
      </c>
      <c r="L61" s="1">
        <v>3</v>
      </c>
      <c r="M61" s="1" t="s">
        <v>13</v>
      </c>
      <c r="N61" s="1">
        <v>2</v>
      </c>
      <c r="O61" s="1" t="s">
        <v>14</v>
      </c>
      <c r="Q61" s="1">
        <v>0.05</v>
      </c>
      <c r="R61" s="1">
        <v>0.15</v>
      </c>
      <c r="S61" s="1">
        <v>1</v>
      </c>
      <c r="V61" s="1">
        <v>0.373</v>
      </c>
      <c r="W61" s="1"/>
      <c r="X61" s="1"/>
      <c r="Y61" s="1"/>
    </row>
    <row r="62" spans="1:25" ht="19" customHeight="1" x14ac:dyDescent="0.2">
      <c r="A62" s="1">
        <v>2</v>
      </c>
      <c r="B62" s="1">
        <v>2.6</v>
      </c>
      <c r="C62" s="1">
        <v>2</v>
      </c>
      <c r="D62" s="1" t="s">
        <v>149</v>
      </c>
      <c r="F62" s="4">
        <v>45368</v>
      </c>
      <c r="G62" s="3">
        <f t="shared" si="3"/>
        <v>0.26609953703703704</v>
      </c>
      <c r="H62" s="3">
        <v>0.23355324074074074</v>
      </c>
      <c r="I62" s="3">
        <v>2.8483796296296295E-2</v>
      </c>
      <c r="J62" s="3">
        <f>I62+H62</f>
        <v>0.26203703703703701</v>
      </c>
      <c r="K62" s="3">
        <v>3.2546296296296295E-2</v>
      </c>
      <c r="L62" s="1">
        <v>2</v>
      </c>
      <c r="M62" s="1" t="s">
        <v>14</v>
      </c>
      <c r="N62" s="1">
        <v>2</v>
      </c>
      <c r="O62" s="1" t="s">
        <v>14</v>
      </c>
      <c r="Q62" s="1">
        <v>0.15</v>
      </c>
      <c r="R62" s="1">
        <v>0.15</v>
      </c>
      <c r="S62" s="1">
        <v>1</v>
      </c>
      <c r="U62" s="1" t="s">
        <v>199</v>
      </c>
      <c r="V62" s="1">
        <v>1.1180000000000001</v>
      </c>
      <c r="W62" s="1"/>
      <c r="X62" s="1"/>
      <c r="Y62" s="1"/>
    </row>
    <row r="63" spans="1:25" s="7" customFormat="1" x14ac:dyDescent="0.2">
      <c r="A63" s="1">
        <v>2</v>
      </c>
      <c r="B63" s="1">
        <v>2.6</v>
      </c>
      <c r="C63" s="1">
        <v>1</v>
      </c>
      <c r="D63" s="1" t="s">
        <v>155</v>
      </c>
      <c r="E63" s="1"/>
      <c r="F63" s="4">
        <v>45368</v>
      </c>
      <c r="G63" s="3">
        <v>0.77284722222222224</v>
      </c>
      <c r="H63" s="1" t="s">
        <v>27</v>
      </c>
      <c r="I63" s="3">
        <v>2.060185185185185E-2</v>
      </c>
      <c r="J63" s="1" t="s">
        <v>27</v>
      </c>
      <c r="K63" s="3">
        <v>2.5810185185185186E-2</v>
      </c>
      <c r="L63" s="1">
        <v>3</v>
      </c>
      <c r="M63" s="1" t="s">
        <v>14</v>
      </c>
      <c r="N63" s="1">
        <v>3</v>
      </c>
      <c r="O63" s="1" t="s">
        <v>14</v>
      </c>
      <c r="P63" s="1"/>
      <c r="Q63" s="1">
        <v>0.05</v>
      </c>
      <c r="R63" s="1">
        <v>0.05</v>
      </c>
      <c r="S63" s="1">
        <v>1</v>
      </c>
      <c r="T63" s="1"/>
      <c r="U63" s="1" t="s">
        <v>221</v>
      </c>
      <c r="V63" s="1">
        <v>0.57099999999999995</v>
      </c>
      <c r="W63" s="1"/>
      <c r="X63" s="1"/>
      <c r="Y63" s="1"/>
    </row>
    <row r="64" spans="1:25" s="7" customFormat="1" x14ac:dyDescent="0.2">
      <c r="A64" s="1">
        <v>2</v>
      </c>
      <c r="B64" s="1">
        <v>2.6</v>
      </c>
      <c r="C64" s="1">
        <v>2</v>
      </c>
      <c r="D64" s="1" t="s">
        <v>155</v>
      </c>
      <c r="E64" s="1"/>
      <c r="F64" s="4">
        <v>45368</v>
      </c>
      <c r="G64" s="3">
        <v>0.78359953703703711</v>
      </c>
      <c r="H64" s="1" t="s">
        <v>27</v>
      </c>
      <c r="I64" s="1" t="s">
        <v>27</v>
      </c>
      <c r="J64" s="1" t="s">
        <v>27</v>
      </c>
      <c r="K64" s="3">
        <v>3.6539351851851851E-2</v>
      </c>
      <c r="L64" s="1" t="s">
        <v>27</v>
      </c>
      <c r="M64" s="1" t="s">
        <v>27</v>
      </c>
      <c r="N64" s="1">
        <v>2</v>
      </c>
      <c r="O64" s="1" t="s">
        <v>13</v>
      </c>
      <c r="P64" s="1"/>
      <c r="Q64" s="1" t="s">
        <v>27</v>
      </c>
      <c r="R64" s="1">
        <v>0.15</v>
      </c>
      <c r="S64" s="1">
        <v>0</v>
      </c>
      <c r="T64" s="1"/>
      <c r="U64" s="1" t="s">
        <v>222</v>
      </c>
      <c r="V64" s="1">
        <v>1.208E-2</v>
      </c>
      <c r="W64" s="1"/>
      <c r="X64" s="1"/>
      <c r="Y64" s="1"/>
    </row>
    <row r="65" spans="1:25" x14ac:dyDescent="0.2">
      <c r="A65" s="1">
        <v>2</v>
      </c>
      <c r="B65" s="1">
        <v>2.6</v>
      </c>
      <c r="C65" s="1" t="s">
        <v>27</v>
      </c>
      <c r="D65" s="1" t="s">
        <v>175</v>
      </c>
      <c r="F65" s="4">
        <v>45369</v>
      </c>
      <c r="G65" s="1" t="s">
        <v>27</v>
      </c>
      <c r="H65" s="3">
        <v>0.7603240740740741</v>
      </c>
      <c r="I65" s="1" t="s">
        <v>27</v>
      </c>
      <c r="J65" s="1" t="s">
        <v>27</v>
      </c>
      <c r="K65" s="1" t="s">
        <v>27</v>
      </c>
      <c r="L65" s="1">
        <v>3</v>
      </c>
      <c r="M65" s="1" t="s">
        <v>13</v>
      </c>
      <c r="N65" s="1">
        <v>3</v>
      </c>
      <c r="O65" s="1" t="s">
        <v>13</v>
      </c>
      <c r="Q65" s="1">
        <v>0.05</v>
      </c>
      <c r="R65" s="1">
        <v>0.05</v>
      </c>
      <c r="S65" s="1" t="s">
        <v>27</v>
      </c>
      <c r="U65" s="1" t="s">
        <v>350</v>
      </c>
      <c r="V65" s="2" t="s">
        <v>27</v>
      </c>
    </row>
    <row r="66" spans="1:25" x14ac:dyDescent="0.2">
      <c r="A66" s="1">
        <v>2</v>
      </c>
      <c r="B66" s="1">
        <v>2.6</v>
      </c>
      <c r="C66" s="1">
        <v>1</v>
      </c>
      <c r="D66" s="1" t="s">
        <v>160</v>
      </c>
      <c r="F66" s="4">
        <v>45369</v>
      </c>
      <c r="G66" s="3">
        <f>H66 + K66</f>
        <v>0.25927083333333334</v>
      </c>
      <c r="H66" s="3">
        <v>0.23113425925925926</v>
      </c>
      <c r="I66" s="3">
        <v>5.7754629629629631E-3</v>
      </c>
      <c r="J66" s="3">
        <f>I66+H66</f>
        <v>0.23690972222222223</v>
      </c>
      <c r="K66" s="3">
        <v>2.8136574074074074E-2</v>
      </c>
      <c r="L66" s="1">
        <v>3</v>
      </c>
      <c r="M66" s="1" t="s">
        <v>13</v>
      </c>
      <c r="N66" s="1">
        <v>3</v>
      </c>
      <c r="O66" s="1" t="s">
        <v>14</v>
      </c>
      <c r="Q66" s="1">
        <v>0.05</v>
      </c>
      <c r="R66" s="1">
        <v>0.05</v>
      </c>
      <c r="S66" s="1">
        <v>1</v>
      </c>
      <c r="U66" s="1" t="s">
        <v>177</v>
      </c>
      <c r="V66" s="1">
        <v>8.8200000000000001E-2</v>
      </c>
      <c r="W66" s="1"/>
      <c r="X66" s="1"/>
      <c r="Y66" s="1"/>
    </row>
    <row r="67" spans="1:25" x14ac:dyDescent="0.2">
      <c r="A67" s="1">
        <v>2</v>
      </c>
      <c r="B67" s="1">
        <v>2.6</v>
      </c>
      <c r="C67" s="1">
        <v>1</v>
      </c>
      <c r="D67" s="1" t="s">
        <v>165</v>
      </c>
      <c r="F67" s="4">
        <v>45370</v>
      </c>
      <c r="G67" s="3">
        <f>H67 + K67</f>
        <v>0.2697222222222222</v>
      </c>
      <c r="H67" s="3">
        <v>0.22368055555555555</v>
      </c>
      <c r="I67" s="3">
        <v>2.8761574074074075E-2</v>
      </c>
      <c r="J67" s="3">
        <f>I67+H67</f>
        <v>0.25244212962962964</v>
      </c>
      <c r="K67" s="3">
        <v>4.6041666666666668E-2</v>
      </c>
      <c r="L67" s="1">
        <v>3</v>
      </c>
      <c r="M67" s="1" t="s">
        <v>13</v>
      </c>
      <c r="N67" s="1">
        <v>3</v>
      </c>
      <c r="O67" s="1" t="s">
        <v>14</v>
      </c>
      <c r="Q67" s="1">
        <v>0.05</v>
      </c>
      <c r="R67" s="1">
        <v>0.1</v>
      </c>
      <c r="S67" s="1">
        <v>1</v>
      </c>
      <c r="U67" s="1" t="s">
        <v>174</v>
      </c>
      <c r="V67" s="1">
        <v>1.069</v>
      </c>
      <c r="W67" s="1"/>
      <c r="X67" s="1"/>
      <c r="Y67" s="1"/>
    </row>
    <row r="68" spans="1:25" x14ac:dyDescent="0.2">
      <c r="A68" s="1">
        <v>2</v>
      </c>
      <c r="B68" s="1">
        <v>2.6</v>
      </c>
      <c r="C68" s="1">
        <v>1</v>
      </c>
      <c r="D68" s="1" t="s">
        <v>171</v>
      </c>
      <c r="F68" s="4">
        <v>45370</v>
      </c>
      <c r="G68" s="3">
        <f>H68 + K68</f>
        <v>0.77118055555555554</v>
      </c>
      <c r="H68" s="3">
        <v>0.76021990740740741</v>
      </c>
      <c r="I68" s="1" t="s">
        <v>27</v>
      </c>
      <c r="J68" s="1" t="s">
        <v>27</v>
      </c>
      <c r="K68" s="3">
        <v>1.0960648148148148E-2</v>
      </c>
      <c r="L68" s="1">
        <v>3</v>
      </c>
      <c r="M68" s="1" t="s">
        <v>14</v>
      </c>
      <c r="N68" s="1">
        <v>3</v>
      </c>
      <c r="O68" s="1" t="s">
        <v>13</v>
      </c>
      <c r="Q68" s="1">
        <v>0.05</v>
      </c>
      <c r="R68" s="1">
        <v>0.1</v>
      </c>
      <c r="S68" s="1">
        <v>0</v>
      </c>
      <c r="U68" s="1" t="s">
        <v>172</v>
      </c>
      <c r="V68" s="1">
        <v>0.67900000000000005</v>
      </c>
      <c r="W68" s="1"/>
      <c r="X68" s="1"/>
      <c r="Y68" s="1"/>
    </row>
    <row r="69" spans="1:25" x14ac:dyDescent="0.2">
      <c r="A69" s="1">
        <v>2</v>
      </c>
      <c r="B69" s="1">
        <v>2.6</v>
      </c>
      <c r="C69" s="1">
        <v>2</v>
      </c>
      <c r="D69" s="1" t="s">
        <v>171</v>
      </c>
      <c r="F69" s="4">
        <v>45370</v>
      </c>
      <c r="G69" s="3">
        <f>H68 + K69</f>
        <v>0.78053240740740737</v>
      </c>
      <c r="H69" s="3">
        <v>0.76021990740740741</v>
      </c>
      <c r="I69" s="3">
        <v>1.3645833333333333E-2</v>
      </c>
      <c r="J69" s="3">
        <f>$H69 + $I69</f>
        <v>0.77386574074074077</v>
      </c>
      <c r="K69" s="3">
        <v>2.0312500000000001E-2</v>
      </c>
      <c r="L69" s="1">
        <v>3</v>
      </c>
      <c r="M69" s="1" t="s">
        <v>13</v>
      </c>
      <c r="N69" s="1">
        <v>3</v>
      </c>
      <c r="O69" s="1" t="s">
        <v>13</v>
      </c>
      <c r="Q69" s="1">
        <v>0.1</v>
      </c>
      <c r="R69" s="1">
        <v>0.1</v>
      </c>
      <c r="S69" s="1">
        <v>0</v>
      </c>
      <c r="U69" s="1" t="s">
        <v>196</v>
      </c>
      <c r="V69" s="1">
        <v>4.8500000000000001E-2</v>
      </c>
      <c r="W69" s="1"/>
      <c r="X69" s="1"/>
      <c r="Y69" s="1"/>
    </row>
    <row r="70" spans="1:25" x14ac:dyDescent="0.2">
      <c r="A70" s="1">
        <v>2</v>
      </c>
      <c r="B70" s="1">
        <v>2.6</v>
      </c>
      <c r="C70" s="1" t="s">
        <v>27</v>
      </c>
      <c r="D70" s="1" t="s">
        <v>27</v>
      </c>
      <c r="F70" s="4">
        <v>45371</v>
      </c>
      <c r="G70" s="1" t="s">
        <v>27</v>
      </c>
      <c r="H70" s="1" t="s">
        <v>27</v>
      </c>
      <c r="I70" s="1" t="s">
        <v>27</v>
      </c>
      <c r="J70" s="1" t="s">
        <v>27</v>
      </c>
      <c r="K70" s="1" t="s">
        <v>27</v>
      </c>
      <c r="L70" s="1">
        <v>3</v>
      </c>
      <c r="M70" s="1" t="s">
        <v>13</v>
      </c>
      <c r="N70" s="1">
        <v>3</v>
      </c>
      <c r="O70" s="1" t="s">
        <v>13</v>
      </c>
      <c r="S70" s="1" t="s">
        <v>27</v>
      </c>
      <c r="U70" s="1" t="s">
        <v>204</v>
      </c>
      <c r="V70" s="1" t="s">
        <v>27</v>
      </c>
      <c r="W70" s="1"/>
      <c r="X70" s="1"/>
      <c r="Y70" s="1"/>
    </row>
    <row r="71" spans="1:25" x14ac:dyDescent="0.2">
      <c r="A71" s="1">
        <v>2</v>
      </c>
      <c r="B71" s="1">
        <v>2.6</v>
      </c>
      <c r="C71" s="1" t="s">
        <v>27</v>
      </c>
      <c r="D71" s="1" t="s">
        <v>27</v>
      </c>
      <c r="F71" s="4">
        <v>45371</v>
      </c>
      <c r="G71" s="1" t="s">
        <v>27</v>
      </c>
      <c r="H71" s="1" t="s">
        <v>27</v>
      </c>
      <c r="I71" s="1" t="s">
        <v>27</v>
      </c>
      <c r="J71" s="1" t="s">
        <v>27</v>
      </c>
      <c r="K71" s="1" t="s">
        <v>27</v>
      </c>
      <c r="L71" s="1">
        <v>3</v>
      </c>
      <c r="M71" s="1" t="s">
        <v>13</v>
      </c>
      <c r="N71" s="1">
        <v>3</v>
      </c>
      <c r="O71" s="1" t="s">
        <v>13</v>
      </c>
      <c r="S71" s="1" t="s">
        <v>27</v>
      </c>
      <c r="U71" s="1" t="s">
        <v>207</v>
      </c>
      <c r="V71" s="1" t="s">
        <v>27</v>
      </c>
      <c r="W71" s="1"/>
      <c r="X71" s="1"/>
      <c r="Y71" s="1"/>
    </row>
    <row r="72" spans="1:25" x14ac:dyDescent="0.2">
      <c r="A72" s="1">
        <v>2</v>
      </c>
      <c r="B72" s="1">
        <v>2.1</v>
      </c>
      <c r="C72" s="1">
        <v>1</v>
      </c>
      <c r="D72" s="1" t="s">
        <v>170</v>
      </c>
      <c r="F72" s="4">
        <v>45372</v>
      </c>
      <c r="G72" s="3">
        <f>H72 + K72</f>
        <v>0.27496527777777779</v>
      </c>
      <c r="H72" s="3">
        <v>0.22876157407407408</v>
      </c>
      <c r="I72" s="1" t="s">
        <v>27</v>
      </c>
      <c r="J72" s="1" t="s">
        <v>27</v>
      </c>
      <c r="K72" s="3">
        <v>4.6203703703703705E-2</v>
      </c>
      <c r="L72" s="1">
        <v>3</v>
      </c>
      <c r="M72" s="1" t="s">
        <v>13</v>
      </c>
      <c r="N72" s="1">
        <v>3</v>
      </c>
      <c r="O72" s="1" t="s">
        <v>14</v>
      </c>
      <c r="Q72" s="1">
        <v>0.05</v>
      </c>
      <c r="R72" s="1">
        <v>0.15</v>
      </c>
      <c r="S72" s="1">
        <v>1</v>
      </c>
      <c r="U72" s="1" t="s">
        <v>257</v>
      </c>
      <c r="V72" s="1">
        <v>6.28</v>
      </c>
      <c r="W72" s="1"/>
      <c r="X72" s="1"/>
      <c r="Y72" s="1"/>
    </row>
    <row r="73" spans="1:25" x14ac:dyDescent="0.2">
      <c r="A73" s="1">
        <v>2</v>
      </c>
      <c r="B73" s="1">
        <v>2.1</v>
      </c>
      <c r="C73" s="1">
        <v>1</v>
      </c>
      <c r="D73" s="1" t="s">
        <v>168</v>
      </c>
      <c r="F73" s="4">
        <v>45372</v>
      </c>
      <c r="G73" s="3">
        <f>H73 + K73</f>
        <v>0.77909722222222222</v>
      </c>
      <c r="H73" s="3">
        <v>0.76504629629629628</v>
      </c>
      <c r="I73" s="3">
        <v>3.4837962962962965E-3</v>
      </c>
      <c r="J73" s="3">
        <f>$H73 + $I73</f>
        <v>0.76853009259259253</v>
      </c>
      <c r="K73" s="3">
        <v>1.4050925925925927E-2</v>
      </c>
      <c r="L73" s="1">
        <v>3</v>
      </c>
      <c r="M73" s="1" t="s">
        <v>13</v>
      </c>
      <c r="N73" s="1">
        <v>3</v>
      </c>
      <c r="O73" s="1" t="s">
        <v>14</v>
      </c>
      <c r="Q73" s="1">
        <v>0.05</v>
      </c>
      <c r="R73" s="1">
        <v>0.05</v>
      </c>
      <c r="S73" s="1">
        <v>1</v>
      </c>
      <c r="U73" s="1" t="s">
        <v>376</v>
      </c>
      <c r="V73" s="2" t="s">
        <v>27</v>
      </c>
      <c r="W73" s="2" t="s">
        <v>385</v>
      </c>
      <c r="X73" s="1">
        <v>7.9299999999999995E-2</v>
      </c>
      <c r="Y73" s="1" t="s">
        <v>460</v>
      </c>
    </row>
    <row r="74" spans="1:25" x14ac:dyDescent="0.2">
      <c r="A74" s="1">
        <v>2</v>
      </c>
      <c r="B74" s="1">
        <v>2.1</v>
      </c>
      <c r="C74" s="1">
        <v>1</v>
      </c>
      <c r="D74" s="1" t="s">
        <v>166</v>
      </c>
      <c r="F74" s="4">
        <v>45373</v>
      </c>
      <c r="G74" s="3">
        <f>H74 + K74</f>
        <v>0.26319444444444445</v>
      </c>
      <c r="H74" s="3">
        <v>0.22357638888888889</v>
      </c>
      <c r="I74" s="3">
        <v>2.9131944444444443E-2</v>
      </c>
      <c r="J74" s="3">
        <f>$H74 + $I74</f>
        <v>0.25270833333333331</v>
      </c>
      <c r="K74" s="3">
        <v>3.9618055555555552E-2</v>
      </c>
      <c r="L74" s="1">
        <v>3</v>
      </c>
      <c r="M74" s="1" t="s">
        <v>14</v>
      </c>
      <c r="N74" s="1">
        <v>3</v>
      </c>
      <c r="O74" s="1" t="s">
        <v>13</v>
      </c>
      <c r="Q74" s="1">
        <v>0.05</v>
      </c>
      <c r="R74" s="1">
        <v>0.1</v>
      </c>
      <c r="S74" s="1">
        <v>0</v>
      </c>
      <c r="U74" s="1" t="s">
        <v>258</v>
      </c>
      <c r="V74" s="1">
        <v>1.0109999999999999</v>
      </c>
    </row>
    <row r="75" spans="1:25" x14ac:dyDescent="0.2">
      <c r="A75" s="1">
        <v>2</v>
      </c>
      <c r="B75" s="1">
        <v>2.1</v>
      </c>
      <c r="C75" s="1">
        <v>1</v>
      </c>
      <c r="D75" s="1" t="s">
        <v>197</v>
      </c>
      <c r="F75" s="4">
        <v>45373</v>
      </c>
      <c r="G75" s="3">
        <f>H75 + K75</f>
        <v>0.77481481481481485</v>
      </c>
      <c r="H75" s="3">
        <v>0.75550925925925927</v>
      </c>
      <c r="I75" s="3">
        <v>1.4583333333333334E-2</v>
      </c>
      <c r="J75" s="3">
        <f>$H75 + $I75</f>
        <v>0.77009259259259255</v>
      </c>
      <c r="K75" s="3">
        <v>1.9305555555555555E-2</v>
      </c>
      <c r="L75" s="1">
        <v>3</v>
      </c>
      <c r="M75" s="1" t="s">
        <v>13</v>
      </c>
      <c r="N75" s="1">
        <v>3</v>
      </c>
      <c r="O75" s="1" t="s">
        <v>14</v>
      </c>
      <c r="Q75" s="1">
        <v>0.05</v>
      </c>
      <c r="R75" s="1">
        <v>0.1</v>
      </c>
      <c r="S75" s="1">
        <v>0</v>
      </c>
      <c r="U75" s="1" t="s">
        <v>259</v>
      </c>
      <c r="V75" s="1">
        <v>0.39</v>
      </c>
    </row>
    <row r="76" spans="1:25" x14ac:dyDescent="0.2">
      <c r="A76" s="1">
        <v>2</v>
      </c>
      <c r="B76" s="1">
        <v>2.1</v>
      </c>
      <c r="C76" s="1">
        <v>1</v>
      </c>
      <c r="D76" s="1" t="s">
        <v>260</v>
      </c>
      <c r="F76" s="4">
        <v>45374</v>
      </c>
      <c r="G76" s="3">
        <f>H76 + K76</f>
        <v>0.2701041666666667</v>
      </c>
      <c r="H76" s="3">
        <v>0.24437500000000001</v>
      </c>
      <c r="I76" s="3">
        <v>3.1018518518518517E-3</v>
      </c>
      <c r="J76" s="3">
        <f>$H76 + $I76</f>
        <v>0.24747685185185186</v>
      </c>
      <c r="K76" s="3">
        <v>2.5729166666666668E-2</v>
      </c>
      <c r="L76" s="1">
        <v>3</v>
      </c>
      <c r="M76" s="1" t="s">
        <v>14</v>
      </c>
      <c r="N76" s="1">
        <v>3</v>
      </c>
      <c r="O76" s="1" t="s">
        <v>13</v>
      </c>
      <c r="Q76" s="1">
        <v>0.05</v>
      </c>
      <c r="R76" s="1">
        <v>0.15</v>
      </c>
      <c r="S76" s="1">
        <v>1</v>
      </c>
      <c r="V76" s="1">
        <v>2.67</v>
      </c>
    </row>
    <row r="77" spans="1:25" s="7" customFormat="1" x14ac:dyDescent="0.2">
      <c r="A77" s="1">
        <v>2</v>
      </c>
      <c r="B77" s="1">
        <v>2.1</v>
      </c>
      <c r="C77" s="1">
        <v>1</v>
      </c>
      <c r="D77" s="1" t="s">
        <v>224</v>
      </c>
      <c r="E77" s="1"/>
      <c r="F77" s="4">
        <v>45374</v>
      </c>
      <c r="G77" s="1" t="s">
        <v>27</v>
      </c>
      <c r="H77" s="3">
        <v>0.76011574074074073</v>
      </c>
      <c r="I77" s="1" t="s">
        <v>27</v>
      </c>
      <c r="J77" s="1" t="s">
        <v>27</v>
      </c>
      <c r="K77" s="1" t="s">
        <v>27</v>
      </c>
      <c r="L77" s="1">
        <v>3</v>
      </c>
      <c r="M77" s="1" t="s">
        <v>13</v>
      </c>
      <c r="N77" s="1">
        <v>3</v>
      </c>
      <c r="O77" s="1" t="s">
        <v>13</v>
      </c>
      <c r="P77" s="1"/>
      <c r="Q77" s="1">
        <v>0.05</v>
      </c>
      <c r="R77" s="1">
        <v>0.05</v>
      </c>
      <c r="S77" s="1" t="s">
        <v>27</v>
      </c>
      <c r="T77" s="1"/>
      <c r="U77" s="1" t="s">
        <v>66</v>
      </c>
      <c r="V77" s="2" t="s">
        <v>27</v>
      </c>
      <c r="W77" s="2"/>
      <c r="X77" s="2"/>
      <c r="Y77" s="2"/>
    </row>
    <row r="78" spans="1:25" s="7" customFormat="1" x14ac:dyDescent="0.2">
      <c r="A78" s="1">
        <v>2</v>
      </c>
      <c r="B78" s="1" t="s">
        <v>558</v>
      </c>
      <c r="C78" s="1">
        <v>1</v>
      </c>
      <c r="D78" s="1" t="s">
        <v>242</v>
      </c>
      <c r="E78" s="1"/>
      <c r="F78" s="4">
        <v>45375</v>
      </c>
      <c r="G78" s="3">
        <f>H78+K78</f>
        <v>0.25738425925925923</v>
      </c>
      <c r="H78" s="3">
        <v>0.23726851851851852</v>
      </c>
      <c r="I78" s="3">
        <v>7.3842592592592597E-3</v>
      </c>
      <c r="J78" s="3">
        <f t="shared" ref="J78:J83" si="5">$H78 + $I78</f>
        <v>0.24465277777777777</v>
      </c>
      <c r="K78" s="3">
        <v>2.011574074074074E-2</v>
      </c>
      <c r="L78" s="1">
        <v>3</v>
      </c>
      <c r="M78" s="1" t="s">
        <v>13</v>
      </c>
      <c r="N78" s="1">
        <v>3</v>
      </c>
      <c r="O78" s="1" t="s">
        <v>14</v>
      </c>
      <c r="P78" s="1"/>
      <c r="Q78" s="1">
        <v>0.05</v>
      </c>
      <c r="R78" s="1">
        <v>0.05</v>
      </c>
      <c r="S78" s="1">
        <v>0</v>
      </c>
      <c r="T78" s="1"/>
      <c r="U78" s="1" t="s">
        <v>243</v>
      </c>
      <c r="V78" s="7">
        <v>0.1409</v>
      </c>
      <c r="W78" s="2"/>
      <c r="X78" s="2"/>
      <c r="Y78" s="2"/>
    </row>
    <row r="79" spans="1:25" s="7" customFormat="1" x14ac:dyDescent="0.2">
      <c r="A79" s="1">
        <v>2</v>
      </c>
      <c r="B79" s="1" t="s">
        <v>558</v>
      </c>
      <c r="C79" s="1">
        <v>2</v>
      </c>
      <c r="D79" s="1" t="s">
        <v>242</v>
      </c>
      <c r="E79" s="1"/>
      <c r="F79" s="4">
        <v>45375</v>
      </c>
      <c r="G79" s="3">
        <f>H79+K79</f>
        <v>0.26746527777777779</v>
      </c>
      <c r="H79" s="3">
        <v>0.23726851851851852</v>
      </c>
      <c r="I79" s="3">
        <v>2.1782407407407407E-2</v>
      </c>
      <c r="J79" s="3">
        <f t="shared" si="5"/>
        <v>0.25905092592592593</v>
      </c>
      <c r="K79" s="3">
        <v>3.019675925925926E-2</v>
      </c>
      <c r="L79" s="1">
        <v>3</v>
      </c>
      <c r="M79" s="1" t="s">
        <v>14</v>
      </c>
      <c r="N79" s="1">
        <v>3</v>
      </c>
      <c r="O79" s="1" t="s">
        <v>14</v>
      </c>
      <c r="P79" s="1"/>
      <c r="Q79" s="1">
        <v>0.05</v>
      </c>
      <c r="R79" s="1">
        <v>0.05</v>
      </c>
      <c r="S79" s="1">
        <v>0</v>
      </c>
      <c r="T79" s="1"/>
      <c r="U79" s="1"/>
      <c r="V79" s="7">
        <v>0.23799999999999999</v>
      </c>
      <c r="W79" s="2"/>
      <c r="X79" s="2"/>
      <c r="Y79" s="2"/>
    </row>
    <row r="80" spans="1:25" x14ac:dyDescent="0.2">
      <c r="A80" s="1">
        <v>2</v>
      </c>
      <c r="B80" s="1" t="s">
        <v>558</v>
      </c>
      <c r="C80" s="1">
        <v>1</v>
      </c>
      <c r="D80" s="1" t="s">
        <v>244</v>
      </c>
      <c r="F80" s="4">
        <v>45375</v>
      </c>
      <c r="G80" s="3">
        <f>H80+K80</f>
        <v>0.77380787037037035</v>
      </c>
      <c r="H80" s="3">
        <v>0.74799768518518517</v>
      </c>
      <c r="I80" s="3">
        <v>1.6006944444444445E-2</v>
      </c>
      <c r="J80" s="3">
        <f t="shared" si="5"/>
        <v>0.76400462962962956</v>
      </c>
      <c r="K80" s="3">
        <v>2.5810185185185186E-2</v>
      </c>
      <c r="L80" s="1">
        <v>3</v>
      </c>
      <c r="M80" s="1" t="s">
        <v>14</v>
      </c>
      <c r="N80" s="1">
        <v>3</v>
      </c>
      <c r="O80" s="1" t="s">
        <v>13</v>
      </c>
      <c r="Q80" s="1">
        <v>0.05</v>
      </c>
      <c r="R80" s="1">
        <v>0.1</v>
      </c>
      <c r="S80" s="1">
        <v>1</v>
      </c>
      <c r="U80" s="1" t="s">
        <v>245</v>
      </c>
      <c r="V80" s="1">
        <v>0.52900000000000003</v>
      </c>
    </row>
    <row r="81" spans="1:25" x14ac:dyDescent="0.2">
      <c r="A81" s="1">
        <v>2</v>
      </c>
      <c r="B81" s="1" t="s">
        <v>558</v>
      </c>
      <c r="C81" s="1">
        <v>1</v>
      </c>
      <c r="D81" s="1" t="s">
        <v>228</v>
      </c>
      <c r="F81" s="4">
        <v>45376</v>
      </c>
      <c r="G81" s="3" t="s">
        <v>27</v>
      </c>
      <c r="H81" s="3">
        <v>0.23921296296296296</v>
      </c>
      <c r="I81" s="3">
        <v>1.4606481481481481E-2</v>
      </c>
      <c r="J81" s="3">
        <f t="shared" si="5"/>
        <v>0.25381944444444443</v>
      </c>
      <c r="K81" s="3" t="s">
        <v>27</v>
      </c>
      <c r="L81" s="1">
        <v>3</v>
      </c>
      <c r="M81" s="1" t="s">
        <v>13</v>
      </c>
      <c r="N81" s="1">
        <v>3</v>
      </c>
      <c r="O81" s="1" t="s">
        <v>13</v>
      </c>
      <c r="Q81" s="1">
        <v>0.05</v>
      </c>
      <c r="R81" s="1">
        <v>0.05</v>
      </c>
      <c r="S81" s="1" t="s">
        <v>27</v>
      </c>
      <c r="U81" s="1" t="s">
        <v>246</v>
      </c>
      <c r="V81" s="2" t="s">
        <v>27</v>
      </c>
    </row>
    <row r="82" spans="1:25" x14ac:dyDescent="0.2">
      <c r="A82" s="1">
        <v>2</v>
      </c>
      <c r="B82" s="1" t="s">
        <v>558</v>
      </c>
      <c r="C82" s="1">
        <v>1</v>
      </c>
      <c r="D82" s="1" t="s">
        <v>269</v>
      </c>
      <c r="F82" s="4">
        <v>45376</v>
      </c>
      <c r="G82" s="3">
        <f>H82+K82</f>
        <v>0.77660879629629631</v>
      </c>
      <c r="H82" s="3">
        <v>0.75146990740740738</v>
      </c>
      <c r="I82" s="3">
        <v>1.982638888888889E-2</v>
      </c>
      <c r="J82" s="3">
        <f t="shared" si="5"/>
        <v>0.77129629629629626</v>
      </c>
      <c r="K82" s="3">
        <v>2.5138888888888888E-2</v>
      </c>
      <c r="L82" s="1">
        <v>3</v>
      </c>
      <c r="M82" s="1" t="s">
        <v>13</v>
      </c>
      <c r="N82" s="1">
        <v>3</v>
      </c>
      <c r="O82" s="1" t="s">
        <v>14</v>
      </c>
      <c r="Q82" s="1">
        <v>0.05</v>
      </c>
      <c r="R82" s="1">
        <v>0.15</v>
      </c>
      <c r="S82" s="1">
        <v>0</v>
      </c>
      <c r="U82" s="1" t="s">
        <v>252</v>
      </c>
      <c r="V82" s="1">
        <v>0.28000000000000003</v>
      </c>
    </row>
    <row r="83" spans="1:25" x14ac:dyDescent="0.2">
      <c r="A83" s="1">
        <v>2</v>
      </c>
      <c r="B83" s="1" t="s">
        <v>558</v>
      </c>
      <c r="C83" s="1">
        <v>1</v>
      </c>
      <c r="D83" s="1" t="s">
        <v>231</v>
      </c>
      <c r="F83" s="4">
        <v>45377</v>
      </c>
      <c r="G83" s="3">
        <f>H83+K83</f>
        <v>0.25671296296296298</v>
      </c>
      <c r="H83" s="3">
        <v>0.24347222222222223</v>
      </c>
      <c r="I83" s="3">
        <v>5.0578703703703706E-3</v>
      </c>
      <c r="J83" s="3">
        <f t="shared" si="5"/>
        <v>0.24853009259259259</v>
      </c>
      <c r="K83" s="3">
        <v>1.324074074074074E-2</v>
      </c>
      <c r="L83" s="1">
        <v>3</v>
      </c>
      <c r="M83" s="1" t="s">
        <v>14</v>
      </c>
      <c r="N83" s="1">
        <v>3</v>
      </c>
      <c r="O83" s="1" t="s">
        <v>13</v>
      </c>
      <c r="Q83" s="1">
        <v>0.05</v>
      </c>
      <c r="R83" s="1">
        <v>0.05</v>
      </c>
      <c r="S83" s="1">
        <v>0</v>
      </c>
      <c r="V83" s="7">
        <v>0.20200000000000001</v>
      </c>
    </row>
    <row r="84" spans="1:25" x14ac:dyDescent="0.2">
      <c r="A84" s="1">
        <v>2</v>
      </c>
      <c r="B84" s="1" t="s">
        <v>558</v>
      </c>
      <c r="C84" s="1" t="s">
        <v>27</v>
      </c>
      <c r="D84" s="1" t="s">
        <v>27</v>
      </c>
      <c r="F84" s="4">
        <v>45377</v>
      </c>
      <c r="G84" s="6" t="s">
        <v>27</v>
      </c>
      <c r="H84" s="1" t="s">
        <v>27</v>
      </c>
      <c r="I84" s="1" t="s">
        <v>27</v>
      </c>
      <c r="J84" s="1" t="s">
        <v>27</v>
      </c>
      <c r="K84" s="6" t="s">
        <v>27</v>
      </c>
      <c r="L84" s="1">
        <v>3</v>
      </c>
      <c r="M84" s="1" t="s">
        <v>13</v>
      </c>
      <c r="N84" s="5" t="s">
        <v>226</v>
      </c>
      <c r="O84" s="1" t="s">
        <v>13</v>
      </c>
      <c r="Q84" s="1">
        <v>0.05</v>
      </c>
      <c r="R84" s="1">
        <v>0.05</v>
      </c>
      <c r="S84" s="1" t="s">
        <v>27</v>
      </c>
      <c r="U84" s="1" t="s">
        <v>250</v>
      </c>
      <c r="V84" s="1" t="s">
        <v>27</v>
      </c>
      <c r="W84" s="1"/>
      <c r="X84" s="1"/>
      <c r="Y84" s="1"/>
    </row>
    <row r="85" spans="1:25" x14ac:dyDescent="0.2">
      <c r="A85" s="1">
        <v>2</v>
      </c>
      <c r="B85" s="1" t="s">
        <v>558</v>
      </c>
      <c r="C85" s="1">
        <v>1</v>
      </c>
      <c r="D85" s="1" t="s">
        <v>234</v>
      </c>
      <c r="F85" s="4">
        <v>45378</v>
      </c>
      <c r="G85" s="3">
        <f>H85+K85</f>
        <v>0.26596064814814813</v>
      </c>
      <c r="H85" s="3">
        <v>0.23434027777777777</v>
      </c>
      <c r="I85" s="3">
        <v>1.894675925925926E-2</v>
      </c>
      <c r="J85" s="3">
        <f>$H85 + $I85</f>
        <v>0.25328703703703703</v>
      </c>
      <c r="K85" s="3">
        <v>3.1620370370370368E-2</v>
      </c>
      <c r="L85" s="1">
        <v>3</v>
      </c>
      <c r="M85" s="1" t="s">
        <v>13</v>
      </c>
      <c r="N85" s="1">
        <v>3</v>
      </c>
      <c r="O85" s="1" t="s">
        <v>14</v>
      </c>
      <c r="Q85" s="1">
        <v>0.05</v>
      </c>
      <c r="R85" s="1">
        <v>0.1</v>
      </c>
      <c r="S85" s="1">
        <v>0</v>
      </c>
      <c r="U85" s="1" t="s">
        <v>247</v>
      </c>
      <c r="V85" s="7">
        <v>2.2799999999999998</v>
      </c>
      <c r="W85" s="7" t="s">
        <v>379</v>
      </c>
    </row>
    <row r="86" spans="1:25" x14ac:dyDescent="0.2">
      <c r="A86" s="1">
        <v>2</v>
      </c>
      <c r="B86" s="1" t="s">
        <v>558</v>
      </c>
      <c r="C86" s="1" t="s">
        <v>27</v>
      </c>
      <c r="D86" s="1" t="s">
        <v>237</v>
      </c>
      <c r="F86" s="4">
        <v>45378</v>
      </c>
      <c r="G86" s="1" t="s">
        <v>27</v>
      </c>
      <c r="H86" s="3">
        <v>0.75026620370370367</v>
      </c>
      <c r="I86" s="1" t="s">
        <v>27</v>
      </c>
      <c r="J86" s="1" t="s">
        <v>27</v>
      </c>
      <c r="K86" s="1" t="s">
        <v>27</v>
      </c>
      <c r="L86" s="1">
        <v>3</v>
      </c>
      <c r="M86" s="1" t="s">
        <v>14</v>
      </c>
      <c r="N86" s="1">
        <v>3</v>
      </c>
      <c r="O86" s="1" t="s">
        <v>14</v>
      </c>
      <c r="Q86" s="15">
        <v>0.05</v>
      </c>
      <c r="R86" s="15">
        <v>0.05</v>
      </c>
      <c r="S86" s="1" t="s">
        <v>27</v>
      </c>
      <c r="U86" s="1" t="s">
        <v>66</v>
      </c>
      <c r="V86" s="2" t="s">
        <v>27</v>
      </c>
    </row>
    <row r="87" spans="1:25" x14ac:dyDescent="0.2">
      <c r="A87" s="1">
        <v>2</v>
      </c>
      <c r="B87" s="1" t="s">
        <v>558</v>
      </c>
      <c r="C87" s="1">
        <v>1</v>
      </c>
      <c r="D87" s="1" t="s">
        <v>248</v>
      </c>
      <c r="F87" s="4">
        <v>45379</v>
      </c>
      <c r="G87" s="3">
        <f>H87 + K87</f>
        <v>0.26277777777777778</v>
      </c>
      <c r="H87" s="3">
        <v>0.23554398148148148</v>
      </c>
      <c r="I87" s="3">
        <v>1.4687499999999999E-2</v>
      </c>
      <c r="J87" s="3">
        <f>$H87 + $I87</f>
        <v>0.2502314814814815</v>
      </c>
      <c r="K87" s="3">
        <v>2.7233796296296298E-2</v>
      </c>
      <c r="L87" s="1">
        <v>3</v>
      </c>
      <c r="M87" s="1" t="s">
        <v>14</v>
      </c>
      <c r="N87" s="1">
        <v>3</v>
      </c>
      <c r="O87" s="1" t="s">
        <v>13</v>
      </c>
      <c r="Q87" s="1">
        <v>0.05</v>
      </c>
      <c r="R87" s="1">
        <v>0.15</v>
      </c>
      <c r="S87" s="1">
        <v>0</v>
      </c>
      <c r="U87" s="1" t="s">
        <v>380</v>
      </c>
      <c r="V87" s="7">
        <v>1.2869999999999999</v>
      </c>
      <c r="W87" s="1" t="s">
        <v>440</v>
      </c>
    </row>
    <row r="88" spans="1:25" x14ac:dyDescent="0.2">
      <c r="A88" s="1">
        <v>2</v>
      </c>
      <c r="B88" s="1" t="s">
        <v>558</v>
      </c>
      <c r="C88" s="1">
        <v>1</v>
      </c>
      <c r="D88" s="1" t="s">
        <v>249</v>
      </c>
      <c r="F88" s="4">
        <v>45379</v>
      </c>
      <c r="G88" s="1" t="s">
        <v>27</v>
      </c>
      <c r="H88" s="3">
        <v>0.75245370370370368</v>
      </c>
      <c r="I88" s="1" t="s">
        <v>27</v>
      </c>
      <c r="J88" s="1" t="s">
        <v>27</v>
      </c>
      <c r="K88" s="1" t="s">
        <v>27</v>
      </c>
      <c r="L88" s="1">
        <v>3</v>
      </c>
      <c r="M88" s="1" t="s">
        <v>13</v>
      </c>
      <c r="N88" s="1">
        <v>3</v>
      </c>
      <c r="O88" s="1" t="s">
        <v>13</v>
      </c>
      <c r="Q88" s="1">
        <v>0.05</v>
      </c>
      <c r="R88" s="1">
        <v>0.05</v>
      </c>
      <c r="S88" s="1" t="s">
        <v>27</v>
      </c>
      <c r="U88" s="1" t="s">
        <v>66</v>
      </c>
      <c r="V88" s="2" t="s">
        <v>27</v>
      </c>
    </row>
    <row r="89" spans="1:25" x14ac:dyDescent="0.2">
      <c r="A89" s="1">
        <v>2</v>
      </c>
      <c r="B89" s="1" t="s">
        <v>558</v>
      </c>
      <c r="C89" s="1">
        <v>1</v>
      </c>
      <c r="D89" s="1" t="s">
        <v>251</v>
      </c>
      <c r="F89" s="4">
        <v>45380</v>
      </c>
      <c r="G89" s="3">
        <f>H89 + K89</f>
        <v>0.26237268518518519</v>
      </c>
      <c r="H89" s="3">
        <v>0.23149305555555555</v>
      </c>
      <c r="I89" s="3">
        <v>2.0196759259259258E-2</v>
      </c>
      <c r="J89" s="3">
        <f>$H89 + $I89</f>
        <v>0.25168981481481478</v>
      </c>
      <c r="K89" s="3">
        <v>3.0879629629629628E-2</v>
      </c>
      <c r="L89" s="1">
        <v>3</v>
      </c>
      <c r="M89" s="1" t="s">
        <v>13</v>
      </c>
      <c r="N89" s="1">
        <v>3</v>
      </c>
      <c r="O89" s="1" t="s">
        <v>14</v>
      </c>
      <c r="Q89" s="1">
        <v>0.05</v>
      </c>
      <c r="R89" s="1">
        <v>0.05</v>
      </c>
      <c r="S89" s="1">
        <v>1</v>
      </c>
      <c r="U89" s="1" t="s">
        <v>314</v>
      </c>
      <c r="V89" s="7">
        <v>0.83099999999999996</v>
      </c>
      <c r="W89" s="1" t="s">
        <v>381</v>
      </c>
    </row>
    <row r="90" spans="1:25" x14ac:dyDescent="0.2">
      <c r="A90" s="1">
        <v>2</v>
      </c>
      <c r="B90" s="1" t="s">
        <v>558</v>
      </c>
      <c r="C90" s="1" t="s">
        <v>27</v>
      </c>
      <c r="D90" s="1" t="s">
        <v>253</v>
      </c>
      <c r="F90" s="4">
        <v>45380</v>
      </c>
      <c r="G90" s="1" t="s">
        <v>27</v>
      </c>
      <c r="H90" s="3">
        <v>0.75767361111111109</v>
      </c>
      <c r="I90" s="1" t="s">
        <v>27</v>
      </c>
      <c r="J90" s="1" t="s">
        <v>27</v>
      </c>
      <c r="K90" s="1" t="s">
        <v>27</v>
      </c>
      <c r="L90" s="1">
        <v>3</v>
      </c>
      <c r="M90" s="1" t="s">
        <v>14</v>
      </c>
      <c r="N90" s="1">
        <v>3</v>
      </c>
      <c r="O90" s="1" t="s">
        <v>14</v>
      </c>
      <c r="Q90" s="1">
        <v>0.05</v>
      </c>
      <c r="R90" s="1">
        <v>0.05</v>
      </c>
      <c r="S90" s="1" t="s">
        <v>27</v>
      </c>
      <c r="U90" s="1" t="s">
        <v>66</v>
      </c>
      <c r="V90" s="2" t="s">
        <v>27</v>
      </c>
    </row>
    <row r="91" spans="1:25" x14ac:dyDescent="0.2">
      <c r="A91" s="1">
        <v>2</v>
      </c>
      <c r="B91" s="1" t="s">
        <v>558</v>
      </c>
      <c r="C91" s="1">
        <v>1</v>
      </c>
      <c r="D91" s="1" t="s">
        <v>256</v>
      </c>
      <c r="F91" s="4">
        <v>45381</v>
      </c>
      <c r="G91" s="1" t="s">
        <v>27</v>
      </c>
      <c r="H91" s="3">
        <v>0.75543981481481481</v>
      </c>
      <c r="I91" s="3">
        <v>1.2407407407407407E-2</v>
      </c>
      <c r="J91" s="3">
        <f>$H91 + $I91</f>
        <v>0.76784722222222224</v>
      </c>
      <c r="K91" s="1" t="s">
        <v>27</v>
      </c>
      <c r="L91" s="1">
        <v>3</v>
      </c>
      <c r="M91" s="1" t="s">
        <v>13</v>
      </c>
      <c r="N91" s="1">
        <v>3</v>
      </c>
      <c r="O91" s="1" t="s">
        <v>13</v>
      </c>
      <c r="Q91" s="1">
        <v>0.05</v>
      </c>
      <c r="R91" s="1">
        <v>0.05</v>
      </c>
      <c r="S91" s="1" t="s">
        <v>27</v>
      </c>
      <c r="U91" s="1" t="s">
        <v>315</v>
      </c>
      <c r="V91" s="2" t="s">
        <v>27</v>
      </c>
    </row>
    <row r="92" spans="1:25" x14ac:dyDescent="0.2">
      <c r="A92" s="1">
        <v>2</v>
      </c>
      <c r="B92" s="1" t="s">
        <v>558</v>
      </c>
      <c r="C92" s="1">
        <v>1</v>
      </c>
      <c r="D92" s="1" t="s">
        <v>316</v>
      </c>
      <c r="F92" s="4">
        <v>45381</v>
      </c>
      <c r="G92" s="3">
        <f>H92 + K92</f>
        <v>0.26086805555555553</v>
      </c>
      <c r="H92" s="3">
        <v>0.23541666666666666</v>
      </c>
      <c r="I92" s="3">
        <v>1.5752314814814816E-2</v>
      </c>
      <c r="J92" s="3">
        <f>$H92 + $I92</f>
        <v>0.25116898148148148</v>
      </c>
      <c r="K92" s="3">
        <v>2.5451388888888888E-2</v>
      </c>
      <c r="L92" s="1">
        <v>3</v>
      </c>
      <c r="M92" s="1" t="s">
        <v>14</v>
      </c>
      <c r="N92" s="1">
        <v>3</v>
      </c>
      <c r="O92" s="1" t="s">
        <v>13</v>
      </c>
      <c r="Q92" s="1">
        <v>0.05</v>
      </c>
      <c r="R92" s="1">
        <v>0.1</v>
      </c>
      <c r="S92" s="1">
        <v>0</v>
      </c>
      <c r="V92" s="7">
        <v>3.05</v>
      </c>
      <c r="W92" s="1" t="s">
        <v>441</v>
      </c>
      <c r="X92" s="7">
        <f xml:space="preserve"> (V92 *(1.004*10^-6)) / (1.081*10^-5)</f>
        <v>0.28327474560592047</v>
      </c>
    </row>
    <row r="93" spans="1:25" x14ac:dyDescent="0.2">
      <c r="A93" s="1">
        <v>2</v>
      </c>
      <c r="B93" s="1" t="s">
        <v>558</v>
      </c>
      <c r="C93" s="1" t="s">
        <v>27</v>
      </c>
      <c r="D93" s="1" t="s">
        <v>27</v>
      </c>
      <c r="F93" s="4">
        <v>45382</v>
      </c>
      <c r="G93" s="6" t="s">
        <v>27</v>
      </c>
      <c r="H93" s="1" t="s">
        <v>27</v>
      </c>
      <c r="I93" s="1" t="s">
        <v>27</v>
      </c>
      <c r="J93" s="1" t="s">
        <v>27</v>
      </c>
      <c r="K93" s="6" t="s">
        <v>27</v>
      </c>
      <c r="L93" s="1">
        <v>3</v>
      </c>
      <c r="M93" s="1" t="s">
        <v>14</v>
      </c>
      <c r="N93" s="1">
        <v>3</v>
      </c>
      <c r="O93" s="1" t="s">
        <v>14</v>
      </c>
      <c r="Q93" s="1">
        <v>0.05</v>
      </c>
      <c r="R93" s="1">
        <v>0.05</v>
      </c>
      <c r="S93" s="1" t="s">
        <v>27</v>
      </c>
      <c r="U93" s="1" t="s">
        <v>304</v>
      </c>
      <c r="V93" s="1" t="s">
        <v>27</v>
      </c>
      <c r="W93" s="1"/>
      <c r="X93" s="1"/>
      <c r="Y93" s="1"/>
    </row>
    <row r="94" spans="1:25" x14ac:dyDescent="0.2">
      <c r="A94" s="1">
        <v>2</v>
      </c>
      <c r="B94" s="1" t="s">
        <v>558</v>
      </c>
      <c r="C94" s="1">
        <v>1</v>
      </c>
      <c r="D94" s="1" t="s">
        <v>298</v>
      </c>
      <c r="F94" s="4">
        <v>45382</v>
      </c>
      <c r="G94" s="3">
        <f>H94 + K94</f>
        <v>0.77803240740740742</v>
      </c>
      <c r="H94" s="3">
        <v>0.75112268518518521</v>
      </c>
      <c r="I94" s="3">
        <v>2.2812499999999999E-2</v>
      </c>
      <c r="J94" s="3">
        <f>$H94 + $I94</f>
        <v>0.77393518518518523</v>
      </c>
      <c r="K94" s="3">
        <v>2.6909722222222224E-2</v>
      </c>
      <c r="L94" s="1">
        <v>3</v>
      </c>
      <c r="M94" s="1" t="s">
        <v>13</v>
      </c>
      <c r="N94" s="1">
        <v>3</v>
      </c>
      <c r="O94" s="1" t="s">
        <v>14</v>
      </c>
      <c r="Q94" s="1">
        <v>0.05</v>
      </c>
      <c r="R94" s="1">
        <v>0.15</v>
      </c>
      <c r="S94" s="1">
        <v>0</v>
      </c>
      <c r="U94" s="1" t="s">
        <v>318</v>
      </c>
      <c r="V94" s="7">
        <v>0.71299999999999997</v>
      </c>
      <c r="W94" s="1" t="s">
        <v>459</v>
      </c>
      <c r="X94" s="7">
        <f xml:space="preserve"> (V94 *(1.004*10^-6)) / (1.081*10^-5)</f>
        <v>6.6221276595744685E-2</v>
      </c>
    </row>
    <row r="95" spans="1:25" x14ac:dyDescent="0.2">
      <c r="A95" s="1">
        <v>2</v>
      </c>
      <c r="B95" s="1" t="s">
        <v>558</v>
      </c>
      <c r="C95" s="1">
        <v>1</v>
      </c>
      <c r="D95" s="1" t="s">
        <v>282</v>
      </c>
      <c r="F95" s="4">
        <v>45383</v>
      </c>
      <c r="G95" s="3">
        <f>H95 + K95</f>
        <v>0.27090277777777777</v>
      </c>
      <c r="H95" s="3">
        <v>0.23082175925925927</v>
      </c>
      <c r="I95" s="3">
        <v>1.5821759259259258E-2</v>
      </c>
      <c r="J95" s="3">
        <f>$H95 + $I95</f>
        <v>0.24664351851851851</v>
      </c>
      <c r="K95" s="3">
        <v>4.0081018518518516E-2</v>
      </c>
      <c r="L95" s="1">
        <v>3</v>
      </c>
      <c r="M95" s="1" t="s">
        <v>14</v>
      </c>
      <c r="N95" s="1">
        <v>3</v>
      </c>
      <c r="O95" s="1" t="s">
        <v>13</v>
      </c>
      <c r="Q95" s="1">
        <v>0.05</v>
      </c>
      <c r="R95" s="1">
        <v>0.05</v>
      </c>
      <c r="S95" s="1">
        <v>1</v>
      </c>
      <c r="V95" s="7">
        <v>22.2</v>
      </c>
      <c r="W95" s="1" t="s">
        <v>386</v>
      </c>
      <c r="X95" s="7">
        <f xml:space="preserve"> (V95 *(1.004*10^-6)) / (1.081*10^-5)</f>
        <v>2.0618686401480111</v>
      </c>
    </row>
    <row r="96" spans="1:25" x14ac:dyDescent="0.2">
      <c r="A96" s="1">
        <v>2</v>
      </c>
      <c r="B96" s="1" t="s">
        <v>558</v>
      </c>
      <c r="C96" s="1" t="s">
        <v>27</v>
      </c>
      <c r="D96" s="1" t="s">
        <v>27</v>
      </c>
      <c r="F96" s="4">
        <v>45383</v>
      </c>
      <c r="G96" s="1" t="s">
        <v>27</v>
      </c>
      <c r="H96" s="1" t="s">
        <v>27</v>
      </c>
      <c r="I96" s="1" t="s">
        <v>27</v>
      </c>
      <c r="J96" s="1" t="s">
        <v>27</v>
      </c>
      <c r="K96" s="1" t="s">
        <v>27</v>
      </c>
      <c r="L96" s="1">
        <v>3</v>
      </c>
      <c r="N96" s="1">
        <v>3</v>
      </c>
      <c r="S96" s="1" t="s">
        <v>27</v>
      </c>
      <c r="U96" s="1" t="s">
        <v>341</v>
      </c>
      <c r="V96" s="2" t="s">
        <v>27</v>
      </c>
    </row>
    <row r="97" spans="1:25" x14ac:dyDescent="0.2">
      <c r="A97" s="1">
        <v>2</v>
      </c>
      <c r="B97" s="1" t="s">
        <v>558</v>
      </c>
      <c r="C97" s="1" t="s">
        <v>27</v>
      </c>
      <c r="D97" s="1" t="s">
        <v>27</v>
      </c>
      <c r="F97" s="4">
        <v>45384</v>
      </c>
      <c r="G97" s="1" t="s">
        <v>27</v>
      </c>
      <c r="H97" s="1" t="s">
        <v>27</v>
      </c>
      <c r="I97" s="1" t="s">
        <v>27</v>
      </c>
      <c r="J97" s="1" t="s">
        <v>27</v>
      </c>
      <c r="K97" s="1" t="s">
        <v>27</v>
      </c>
      <c r="L97" s="1">
        <v>3</v>
      </c>
      <c r="N97" s="1">
        <v>3</v>
      </c>
      <c r="S97" s="1" t="s">
        <v>27</v>
      </c>
      <c r="U97" s="1" t="s">
        <v>340</v>
      </c>
      <c r="V97" s="2" t="s">
        <v>27</v>
      </c>
    </row>
    <row r="98" spans="1:25" x14ac:dyDescent="0.2">
      <c r="A98" s="1">
        <v>2</v>
      </c>
      <c r="B98" s="1" t="s">
        <v>558</v>
      </c>
      <c r="C98" s="1" t="s">
        <v>27</v>
      </c>
      <c r="D98" s="1" t="s">
        <v>27</v>
      </c>
      <c r="F98" s="4">
        <v>45384</v>
      </c>
      <c r="G98" s="1" t="s">
        <v>27</v>
      </c>
      <c r="H98" s="1" t="s">
        <v>27</v>
      </c>
      <c r="I98" s="1" t="s">
        <v>27</v>
      </c>
      <c r="J98" s="1" t="s">
        <v>27</v>
      </c>
      <c r="K98" s="1" t="s">
        <v>27</v>
      </c>
      <c r="L98" s="1">
        <v>3</v>
      </c>
      <c r="N98" s="1">
        <v>3</v>
      </c>
      <c r="S98" s="1" t="s">
        <v>27</v>
      </c>
      <c r="U98" s="1" t="s">
        <v>390</v>
      </c>
      <c r="V98" s="2" t="s">
        <v>27</v>
      </c>
    </row>
    <row r="99" spans="1:25" x14ac:dyDescent="0.2">
      <c r="A99" s="1">
        <v>2</v>
      </c>
      <c r="B99" s="1" t="s">
        <v>558</v>
      </c>
      <c r="C99" s="1" t="s">
        <v>27</v>
      </c>
      <c r="D99" s="1" t="s">
        <v>27</v>
      </c>
      <c r="F99" s="4">
        <v>45385</v>
      </c>
      <c r="G99" s="1" t="s">
        <v>27</v>
      </c>
      <c r="H99" s="1" t="s">
        <v>27</v>
      </c>
      <c r="I99" s="1" t="s">
        <v>27</v>
      </c>
      <c r="J99" s="1" t="s">
        <v>27</v>
      </c>
      <c r="K99" s="1" t="s">
        <v>27</v>
      </c>
      <c r="L99" s="1">
        <v>3</v>
      </c>
      <c r="N99" s="1">
        <v>3</v>
      </c>
      <c r="S99" s="1" t="s">
        <v>27</v>
      </c>
      <c r="V99" s="2" t="s">
        <v>27</v>
      </c>
    </row>
    <row r="100" spans="1:25" x14ac:dyDescent="0.2">
      <c r="A100" s="1">
        <v>2</v>
      </c>
      <c r="B100" s="1" t="s">
        <v>558</v>
      </c>
      <c r="C100" s="1">
        <v>1</v>
      </c>
      <c r="D100" s="1" t="s">
        <v>293</v>
      </c>
      <c r="F100" s="4">
        <v>45385</v>
      </c>
      <c r="G100" s="3">
        <f>H100 + K100</f>
        <v>0.78233796296296299</v>
      </c>
      <c r="H100" s="3">
        <v>0.75766203703703705</v>
      </c>
      <c r="I100" s="3">
        <v>8.0439814814814818E-3</v>
      </c>
      <c r="J100" s="3">
        <f>$H100 + $I100</f>
        <v>0.76570601851851849</v>
      </c>
      <c r="K100" s="3">
        <v>2.4675925925925928E-2</v>
      </c>
      <c r="L100" s="1">
        <v>3</v>
      </c>
      <c r="M100" s="1" t="s">
        <v>13</v>
      </c>
      <c r="N100" s="1">
        <v>3</v>
      </c>
      <c r="O100" s="1" t="s">
        <v>14</v>
      </c>
      <c r="Q100" s="1">
        <v>0.05</v>
      </c>
      <c r="R100" s="1">
        <v>0.05</v>
      </c>
      <c r="S100" s="1">
        <v>0</v>
      </c>
      <c r="U100" s="1" t="s">
        <v>370</v>
      </c>
      <c r="V100" s="2" t="s">
        <v>27</v>
      </c>
      <c r="W100" s="1" t="s">
        <v>367</v>
      </c>
      <c r="X100" s="21">
        <f xml:space="preserve"> (0.1331*(1.004*10^-6)) / (1.081*10^-5)</f>
        <v>1.2361924144310825E-2</v>
      </c>
      <c r="Y100" s="1" t="s">
        <v>458</v>
      </c>
    </row>
    <row r="101" spans="1:25" x14ac:dyDescent="0.2">
      <c r="A101" s="1">
        <v>2</v>
      </c>
      <c r="B101" s="1" t="s">
        <v>558</v>
      </c>
      <c r="C101" s="1" t="s">
        <v>27</v>
      </c>
      <c r="D101" s="1" t="s">
        <v>27</v>
      </c>
      <c r="F101" s="4">
        <v>45386</v>
      </c>
      <c r="G101" s="3" t="s">
        <v>27</v>
      </c>
      <c r="H101" s="1" t="s">
        <v>27</v>
      </c>
      <c r="I101" s="1" t="s">
        <v>27</v>
      </c>
      <c r="J101" s="1" t="s">
        <v>27</v>
      </c>
      <c r="K101" s="3" t="s">
        <v>27</v>
      </c>
      <c r="L101" s="1">
        <v>3</v>
      </c>
      <c r="N101" s="1">
        <v>3</v>
      </c>
      <c r="S101" s="1" t="s">
        <v>27</v>
      </c>
      <c r="U101" s="1" t="s">
        <v>389</v>
      </c>
      <c r="V101" s="2" t="s">
        <v>27</v>
      </c>
    </row>
    <row r="102" spans="1:25" x14ac:dyDescent="0.2">
      <c r="A102" s="1">
        <v>2</v>
      </c>
      <c r="B102" s="1" t="s">
        <v>558</v>
      </c>
      <c r="C102" s="1">
        <v>1</v>
      </c>
      <c r="D102" s="1" t="s">
        <v>802</v>
      </c>
      <c r="F102" s="4">
        <v>45386</v>
      </c>
      <c r="G102" s="3">
        <f>H102 + K102</f>
        <v>0.78053240740740737</v>
      </c>
      <c r="H102" s="3">
        <v>0.75304398148148144</v>
      </c>
      <c r="I102" s="3">
        <v>1.7546296296296296E-2</v>
      </c>
      <c r="J102" s="3">
        <f>$H102 + $I102</f>
        <v>0.77059027777777778</v>
      </c>
      <c r="K102" s="3">
        <v>2.7488425925925927E-2</v>
      </c>
      <c r="L102" s="1">
        <v>3</v>
      </c>
      <c r="M102" s="1" t="s">
        <v>14</v>
      </c>
      <c r="N102" s="1">
        <v>3</v>
      </c>
      <c r="O102" s="1" t="s">
        <v>13</v>
      </c>
      <c r="Q102" s="1">
        <v>0.05</v>
      </c>
      <c r="R102" s="1">
        <v>0.1</v>
      </c>
      <c r="S102" s="1">
        <v>0</v>
      </c>
      <c r="U102" s="1" t="s">
        <v>310</v>
      </c>
      <c r="V102" s="7">
        <v>0.25800000000000001</v>
      </c>
      <c r="W102" s="7" t="s">
        <v>384</v>
      </c>
      <c r="X102" s="7">
        <f xml:space="preserve"> (V102 *(1.004*10^-6)) / (1.081*10^-5)</f>
        <v>2.3962257169287699E-2</v>
      </c>
    </row>
    <row r="103" spans="1:25" x14ac:dyDescent="0.2">
      <c r="A103" s="1">
        <v>2</v>
      </c>
      <c r="B103" s="1" t="s">
        <v>558</v>
      </c>
      <c r="C103" s="1" t="s">
        <v>27</v>
      </c>
      <c r="D103" s="1" t="s">
        <v>27</v>
      </c>
      <c r="F103" s="4">
        <v>45387</v>
      </c>
      <c r="G103" s="1" t="s">
        <v>27</v>
      </c>
      <c r="H103" s="1" t="s">
        <v>27</v>
      </c>
      <c r="I103" s="1" t="s">
        <v>27</v>
      </c>
      <c r="J103" s="1" t="s">
        <v>27</v>
      </c>
      <c r="K103" s="1" t="s">
        <v>27</v>
      </c>
      <c r="Q103" s="1">
        <v>0.1</v>
      </c>
      <c r="R103" s="1">
        <v>0.1</v>
      </c>
      <c r="S103" s="1" t="s">
        <v>27</v>
      </c>
      <c r="U103" s="1" t="s">
        <v>375</v>
      </c>
      <c r="V103" s="2" t="s">
        <v>27</v>
      </c>
      <c r="W103" s="2" t="s">
        <v>27</v>
      </c>
      <c r="X103" s="2" t="s">
        <v>27</v>
      </c>
      <c r="Y103" s="2" t="s">
        <v>27</v>
      </c>
    </row>
    <row r="104" spans="1:25" x14ac:dyDescent="0.2">
      <c r="A104" s="1">
        <v>2</v>
      </c>
      <c r="B104" s="1" t="s">
        <v>558</v>
      </c>
      <c r="C104" s="1">
        <v>1</v>
      </c>
      <c r="D104" s="1" t="s">
        <v>305</v>
      </c>
      <c r="F104" s="4">
        <v>45387</v>
      </c>
      <c r="G104" s="3">
        <f>H104 + K104</f>
        <v>0.7795023148148148</v>
      </c>
      <c r="H104" s="3">
        <v>0.75329861111111107</v>
      </c>
      <c r="I104" s="3">
        <v>1.7372685185185185E-2</v>
      </c>
      <c r="J104" s="3">
        <f>$H104 + $I104</f>
        <v>0.77067129629629627</v>
      </c>
      <c r="K104" s="3">
        <v>2.6203703703703705E-2</v>
      </c>
      <c r="L104" s="1">
        <v>3</v>
      </c>
      <c r="M104" s="1" t="s">
        <v>13</v>
      </c>
      <c r="N104" s="1">
        <v>3</v>
      </c>
      <c r="O104" s="1" t="s">
        <v>14</v>
      </c>
      <c r="Q104" s="1">
        <v>0.1</v>
      </c>
      <c r="R104" s="1">
        <v>0.15</v>
      </c>
      <c r="S104" s="1">
        <v>1</v>
      </c>
      <c r="V104" s="1">
        <v>0.307</v>
      </c>
      <c r="W104" s="7" t="s">
        <v>384</v>
      </c>
    </row>
    <row r="105" spans="1:25" x14ac:dyDescent="0.2">
      <c r="A105" s="1">
        <v>2</v>
      </c>
      <c r="B105" s="1" t="s">
        <v>558</v>
      </c>
      <c r="C105" s="1">
        <v>1</v>
      </c>
      <c r="D105" s="1" t="s">
        <v>307</v>
      </c>
      <c r="F105" s="4">
        <v>45388</v>
      </c>
      <c r="G105" s="1" t="s">
        <v>27</v>
      </c>
      <c r="H105" s="3">
        <v>0.75972222222222219</v>
      </c>
      <c r="I105" s="1" t="s">
        <v>27</v>
      </c>
      <c r="J105" s="1" t="s">
        <v>27</v>
      </c>
      <c r="K105" s="1" t="s">
        <v>27</v>
      </c>
      <c r="L105" s="1">
        <v>3</v>
      </c>
      <c r="M105" s="1" t="s">
        <v>14</v>
      </c>
      <c r="N105" s="1">
        <v>3</v>
      </c>
      <c r="O105" s="1" t="s">
        <v>14</v>
      </c>
      <c r="Q105" s="1">
        <v>0.05</v>
      </c>
      <c r="R105" s="1">
        <v>0.05</v>
      </c>
      <c r="S105" s="1" t="s">
        <v>27</v>
      </c>
      <c r="U105" s="1" t="s">
        <v>507</v>
      </c>
      <c r="V105" s="2" t="s">
        <v>27</v>
      </c>
      <c r="W105" s="2" t="s">
        <v>27</v>
      </c>
      <c r="X105" s="2" t="s">
        <v>27</v>
      </c>
      <c r="Y105" s="2" t="s">
        <v>27</v>
      </c>
    </row>
    <row r="106" spans="1:25" x14ac:dyDescent="0.2">
      <c r="A106" s="1">
        <v>2</v>
      </c>
      <c r="B106" s="1" t="s">
        <v>558</v>
      </c>
      <c r="C106" s="1" t="s">
        <v>27</v>
      </c>
      <c r="D106" s="1" t="s">
        <v>27</v>
      </c>
      <c r="F106" s="4">
        <v>45388</v>
      </c>
      <c r="G106" s="15" t="s">
        <v>27</v>
      </c>
      <c r="H106" s="15" t="s">
        <v>27</v>
      </c>
      <c r="I106" s="15" t="s">
        <v>27</v>
      </c>
      <c r="J106" s="15" t="s">
        <v>27</v>
      </c>
      <c r="K106" s="15" t="s">
        <v>27</v>
      </c>
      <c r="L106" s="1">
        <v>3</v>
      </c>
      <c r="N106" s="1">
        <v>3</v>
      </c>
      <c r="S106" s="1" t="s">
        <v>27</v>
      </c>
      <c r="U106" s="1" t="s">
        <v>515</v>
      </c>
      <c r="V106" s="15" t="s">
        <v>27</v>
      </c>
      <c r="W106" s="15" t="s">
        <v>27</v>
      </c>
      <c r="X106" s="15" t="s">
        <v>27</v>
      </c>
      <c r="Y106" s="15" t="s">
        <v>27</v>
      </c>
    </row>
    <row r="107" spans="1:25" x14ac:dyDescent="0.2">
      <c r="A107" s="1">
        <v>2</v>
      </c>
      <c r="B107" s="1" t="s">
        <v>558</v>
      </c>
      <c r="C107" s="1" t="s">
        <v>27</v>
      </c>
      <c r="D107" s="1" t="s">
        <v>308</v>
      </c>
      <c r="F107" s="4">
        <v>45389</v>
      </c>
      <c r="G107" s="1" t="s">
        <v>27</v>
      </c>
      <c r="H107" s="3">
        <v>0.75700231481481484</v>
      </c>
      <c r="I107" s="1" t="s">
        <v>27</v>
      </c>
      <c r="J107" s="1" t="s">
        <v>27</v>
      </c>
      <c r="K107" s="1" t="s">
        <v>27</v>
      </c>
      <c r="L107" s="1">
        <v>3</v>
      </c>
      <c r="M107" s="1" t="s">
        <v>14</v>
      </c>
      <c r="N107" s="1">
        <v>3</v>
      </c>
      <c r="O107" s="1" t="s">
        <v>14</v>
      </c>
      <c r="Q107" s="1">
        <v>0.05</v>
      </c>
      <c r="R107" s="1">
        <v>0.05</v>
      </c>
      <c r="S107" s="1" t="s">
        <v>27</v>
      </c>
      <c r="U107" s="1" t="s">
        <v>66</v>
      </c>
      <c r="V107" s="2" t="s">
        <v>27</v>
      </c>
      <c r="W107" s="1" t="s">
        <v>27</v>
      </c>
      <c r="X107" s="2" t="s">
        <v>27</v>
      </c>
      <c r="Y107" s="2" t="s">
        <v>27</v>
      </c>
    </row>
    <row r="108" spans="1:25" x14ac:dyDescent="0.2">
      <c r="A108" s="1">
        <v>2</v>
      </c>
      <c r="B108" s="1" t="s">
        <v>558</v>
      </c>
      <c r="C108" s="1" t="s">
        <v>27</v>
      </c>
      <c r="D108" s="1" t="s">
        <v>27</v>
      </c>
      <c r="F108" s="4">
        <v>45389</v>
      </c>
      <c r="G108" s="15" t="s">
        <v>27</v>
      </c>
      <c r="H108" s="15" t="s">
        <v>27</v>
      </c>
      <c r="I108" s="15" t="s">
        <v>27</v>
      </c>
      <c r="J108" s="15" t="s">
        <v>27</v>
      </c>
      <c r="K108" s="15" t="s">
        <v>27</v>
      </c>
      <c r="S108" s="1" t="s">
        <v>27</v>
      </c>
      <c r="U108" s="1" t="s">
        <v>516</v>
      </c>
      <c r="V108" s="15" t="s">
        <v>27</v>
      </c>
      <c r="W108" s="15" t="s">
        <v>27</v>
      </c>
      <c r="X108" s="15" t="s">
        <v>27</v>
      </c>
      <c r="Y108" s="15" t="s">
        <v>27</v>
      </c>
    </row>
    <row r="109" spans="1:25" x14ac:dyDescent="0.2">
      <c r="A109" s="1">
        <v>2</v>
      </c>
      <c r="B109" s="1" t="s">
        <v>558</v>
      </c>
      <c r="C109" s="1">
        <v>1</v>
      </c>
      <c r="D109" s="1" t="s">
        <v>327</v>
      </c>
      <c r="F109" s="4">
        <v>45390</v>
      </c>
      <c r="G109" s="3">
        <f>H109 + K109</f>
        <v>0.26424768518518515</v>
      </c>
      <c r="H109" s="3">
        <v>0.23758101851851851</v>
      </c>
      <c r="I109" s="3">
        <v>1.4421296296296297E-2</v>
      </c>
      <c r="J109" s="3">
        <f>$H109 + $I109</f>
        <v>0.25200231481481483</v>
      </c>
      <c r="K109" s="3">
        <v>2.6666666666666668E-2</v>
      </c>
      <c r="L109" s="1">
        <v>3</v>
      </c>
      <c r="M109" s="1" t="s">
        <v>14</v>
      </c>
      <c r="N109" s="1">
        <v>3</v>
      </c>
      <c r="O109" s="1" t="s">
        <v>13</v>
      </c>
      <c r="Q109" s="1">
        <v>0.05</v>
      </c>
      <c r="R109" s="1">
        <v>0.15</v>
      </c>
      <c r="S109" s="1">
        <v>0</v>
      </c>
      <c r="V109" s="1">
        <v>0.61099999999999999</v>
      </c>
      <c r="W109" s="7" t="s">
        <v>384</v>
      </c>
    </row>
    <row r="110" spans="1:25" x14ac:dyDescent="0.2">
      <c r="A110" s="1">
        <v>2</v>
      </c>
      <c r="B110" s="1" t="s">
        <v>558</v>
      </c>
      <c r="C110" s="1" t="s">
        <v>27</v>
      </c>
      <c r="D110" s="1" t="s">
        <v>326</v>
      </c>
      <c r="F110" s="4">
        <v>45390</v>
      </c>
      <c r="G110" s="1" t="s">
        <v>27</v>
      </c>
      <c r="H110" s="3">
        <v>0.75715277777777779</v>
      </c>
      <c r="I110" s="15" t="s">
        <v>27</v>
      </c>
      <c r="J110" s="22" t="s">
        <v>27</v>
      </c>
      <c r="K110" s="1" t="s">
        <v>27</v>
      </c>
      <c r="L110" s="1">
        <v>3</v>
      </c>
      <c r="M110" s="1" t="s">
        <v>13</v>
      </c>
      <c r="N110" s="1">
        <v>3</v>
      </c>
      <c r="O110" s="1" t="s">
        <v>13</v>
      </c>
      <c r="Q110" s="1">
        <v>0.05</v>
      </c>
      <c r="R110" s="1">
        <v>0.05</v>
      </c>
      <c r="S110" s="1" t="s">
        <v>27</v>
      </c>
      <c r="U110" s="1" t="s">
        <v>66</v>
      </c>
      <c r="V110" s="2" t="s">
        <v>27</v>
      </c>
      <c r="W110" s="1" t="s">
        <v>27</v>
      </c>
      <c r="X110" s="2" t="s">
        <v>27</v>
      </c>
      <c r="Y110" s="2" t="s">
        <v>27</v>
      </c>
    </row>
    <row r="111" spans="1:25" x14ac:dyDescent="0.2">
      <c r="A111" s="1">
        <v>2</v>
      </c>
      <c r="B111" s="1" t="s">
        <v>558</v>
      </c>
      <c r="C111" s="1">
        <v>1</v>
      </c>
      <c r="D111" s="1" t="s">
        <v>365</v>
      </c>
      <c r="F111" s="4">
        <v>45391</v>
      </c>
      <c r="G111" s="3">
        <f>H111 + K111</f>
        <v>0.2723726851851852</v>
      </c>
      <c r="H111" s="3">
        <v>0.23293981481481482</v>
      </c>
      <c r="I111" s="3">
        <v>1.8020833333333333E-2</v>
      </c>
      <c r="J111" s="3">
        <f>$H111 + $I111</f>
        <v>0.25096064814814817</v>
      </c>
      <c r="K111" s="6">
        <v>3.9432870370370368E-2</v>
      </c>
      <c r="L111" s="1">
        <v>3</v>
      </c>
      <c r="M111" s="1" t="s">
        <v>13</v>
      </c>
      <c r="N111" s="1">
        <v>3</v>
      </c>
      <c r="O111" s="1" t="s">
        <v>13</v>
      </c>
      <c r="Q111" s="1">
        <v>0.05</v>
      </c>
      <c r="R111" s="1">
        <v>0.05</v>
      </c>
      <c r="S111" s="1">
        <v>0</v>
      </c>
      <c r="V111" s="1">
        <v>31.1</v>
      </c>
      <c r="W111" s="7" t="s">
        <v>384</v>
      </c>
    </row>
    <row r="112" spans="1:25" x14ac:dyDescent="0.2">
      <c r="A112" s="1">
        <v>2</v>
      </c>
      <c r="B112" s="1" t="s">
        <v>558</v>
      </c>
      <c r="C112" s="1">
        <v>1</v>
      </c>
      <c r="D112" s="1" t="s">
        <v>506</v>
      </c>
      <c r="F112" s="4">
        <v>45391</v>
      </c>
      <c r="G112" s="3">
        <f>H112 + K112</f>
        <v>0.77521990740740732</v>
      </c>
      <c r="H112" s="3">
        <v>0.76151620370370365</v>
      </c>
      <c r="I112" s="3">
        <v>8.4953703703703701E-3</v>
      </c>
      <c r="J112" s="3">
        <f>$H112 + $I112</f>
        <v>0.77001157407407406</v>
      </c>
      <c r="K112" s="3">
        <v>1.3703703703703704E-2</v>
      </c>
      <c r="L112" s="1">
        <v>3</v>
      </c>
      <c r="M112" s="1" t="s">
        <v>13</v>
      </c>
      <c r="N112" s="1">
        <v>3</v>
      </c>
      <c r="O112" s="1" t="s">
        <v>14</v>
      </c>
      <c r="Q112" s="1">
        <v>0.05</v>
      </c>
      <c r="R112" s="1">
        <v>0.15</v>
      </c>
      <c r="S112" s="1">
        <v>1</v>
      </c>
      <c r="V112" s="1">
        <v>0.307</v>
      </c>
      <c r="W112" s="7" t="s">
        <v>384</v>
      </c>
    </row>
    <row r="113" spans="1:25" x14ac:dyDescent="0.2">
      <c r="A113" s="1">
        <v>2</v>
      </c>
      <c r="B113" s="1" t="s">
        <v>558</v>
      </c>
      <c r="C113" s="1">
        <v>1</v>
      </c>
      <c r="D113" s="1" t="s">
        <v>392</v>
      </c>
      <c r="F113" s="4">
        <v>45392</v>
      </c>
      <c r="G113" s="3">
        <f>H113 + K113</f>
        <v>0.25964120370370369</v>
      </c>
      <c r="H113" s="3">
        <v>0.24079861111111112</v>
      </c>
      <c r="I113" s="3">
        <v>1.2743055555555556E-2</v>
      </c>
      <c r="J113" s="3">
        <f>$H113 + $I113</f>
        <v>0.25354166666666667</v>
      </c>
      <c r="K113" s="3">
        <v>1.8842592592592591E-2</v>
      </c>
      <c r="L113" s="1">
        <v>3</v>
      </c>
      <c r="M113" s="1" t="s">
        <v>14</v>
      </c>
      <c r="N113" s="1">
        <v>3</v>
      </c>
      <c r="O113" s="1" t="s">
        <v>13</v>
      </c>
      <c r="Q113" s="1">
        <v>0.1</v>
      </c>
      <c r="R113" s="1">
        <v>0.3</v>
      </c>
      <c r="S113" s="1">
        <v>0</v>
      </c>
      <c r="V113" s="1">
        <v>5.79</v>
      </c>
      <c r="W113" s="7" t="s">
        <v>384</v>
      </c>
    </row>
    <row r="114" spans="1:25" x14ac:dyDescent="0.2">
      <c r="A114" s="1">
        <v>2</v>
      </c>
      <c r="B114" s="1" t="s">
        <v>558</v>
      </c>
      <c r="C114" s="1" t="s">
        <v>27</v>
      </c>
      <c r="D114" s="1" t="s">
        <v>27</v>
      </c>
      <c r="F114" s="4">
        <v>45392</v>
      </c>
      <c r="G114" s="1" t="s">
        <v>27</v>
      </c>
      <c r="H114" s="2" t="s">
        <v>27</v>
      </c>
      <c r="I114" s="2" t="s">
        <v>27</v>
      </c>
      <c r="J114" s="2" t="s">
        <v>27</v>
      </c>
      <c r="K114" s="1" t="s">
        <v>27</v>
      </c>
      <c r="S114" s="1" t="s">
        <v>27</v>
      </c>
      <c r="U114" s="1" t="s">
        <v>508</v>
      </c>
      <c r="V114" s="2" t="s">
        <v>27</v>
      </c>
      <c r="W114" s="2" t="s">
        <v>27</v>
      </c>
      <c r="X114" s="2" t="s">
        <v>27</v>
      </c>
      <c r="Y114" s="2" t="s">
        <v>27</v>
      </c>
    </row>
    <row r="115" spans="1:25" x14ac:dyDescent="0.2">
      <c r="A115" s="1">
        <v>2</v>
      </c>
      <c r="B115" s="1" t="s">
        <v>558</v>
      </c>
      <c r="C115" s="1">
        <v>1</v>
      </c>
      <c r="D115" s="1" t="s">
        <v>485</v>
      </c>
      <c r="F115" s="4">
        <v>45393</v>
      </c>
      <c r="G115" s="3">
        <f>H115 + K115</f>
        <v>0.25677083333333334</v>
      </c>
      <c r="H115" s="3">
        <v>0.22506944444444443</v>
      </c>
      <c r="I115" s="3">
        <v>2.1840277777777778E-2</v>
      </c>
      <c r="J115" s="3">
        <f>$H115 + $I115</f>
        <v>0.24690972222222221</v>
      </c>
      <c r="K115" s="3">
        <v>3.170138888888889E-2</v>
      </c>
      <c r="L115" s="1">
        <v>3</v>
      </c>
      <c r="M115" s="1" t="s">
        <v>13</v>
      </c>
      <c r="N115" s="1">
        <v>3</v>
      </c>
      <c r="O115" s="1" t="s">
        <v>13</v>
      </c>
      <c r="Q115" s="1">
        <v>0.1</v>
      </c>
      <c r="R115" s="1">
        <v>0.3</v>
      </c>
      <c r="S115" s="1">
        <v>0</v>
      </c>
      <c r="V115" s="1">
        <v>2.78</v>
      </c>
      <c r="W115" s="7" t="s">
        <v>384</v>
      </c>
    </row>
    <row r="116" spans="1:25" x14ac:dyDescent="0.2">
      <c r="A116" s="1">
        <v>2</v>
      </c>
      <c r="B116" s="1" t="s">
        <v>558</v>
      </c>
      <c r="C116" s="1">
        <v>1</v>
      </c>
      <c r="D116" s="1" t="s">
        <v>484</v>
      </c>
      <c r="F116" s="4">
        <v>45393</v>
      </c>
      <c r="G116" s="3">
        <f>H116 + K116</f>
        <v>0.76993055555555556</v>
      </c>
      <c r="H116" s="3">
        <v>0.75923611111111111</v>
      </c>
      <c r="I116" s="3">
        <v>5.9953703703703705E-3</v>
      </c>
      <c r="J116" s="3">
        <f>$H116 + $I116</f>
        <v>0.76523148148148146</v>
      </c>
      <c r="K116" s="3">
        <v>1.0694444444444444E-2</v>
      </c>
      <c r="L116" s="1">
        <v>3</v>
      </c>
      <c r="M116" s="1" t="s">
        <v>13</v>
      </c>
      <c r="N116" s="1">
        <v>3</v>
      </c>
      <c r="O116" s="1" t="s">
        <v>14</v>
      </c>
      <c r="Q116" s="1">
        <v>0.3</v>
      </c>
      <c r="R116" s="1">
        <v>0.3</v>
      </c>
      <c r="S116" s="1" t="s">
        <v>27</v>
      </c>
      <c r="U116" s="1" t="s">
        <v>512</v>
      </c>
      <c r="V116" s="1">
        <v>5.25</v>
      </c>
      <c r="W116" s="7" t="s">
        <v>384</v>
      </c>
    </row>
    <row r="117" spans="1:25" ht="18" customHeight="1" x14ac:dyDescent="0.2">
      <c r="A117" s="1">
        <v>2</v>
      </c>
      <c r="B117" s="1" t="s">
        <v>558</v>
      </c>
      <c r="C117" s="1">
        <v>1</v>
      </c>
      <c r="D117" s="1" t="s">
        <v>482</v>
      </c>
      <c r="F117" s="4">
        <v>45394</v>
      </c>
      <c r="G117" s="1" t="s">
        <v>27</v>
      </c>
      <c r="H117" s="3">
        <v>0.23190972222222223</v>
      </c>
      <c r="I117" s="3">
        <v>1.4594907407407407E-2</v>
      </c>
      <c r="J117" s="3">
        <f>$H117 + $I117</f>
        <v>0.24650462962962963</v>
      </c>
      <c r="K117" s="1" t="s">
        <v>27</v>
      </c>
      <c r="L117" s="1">
        <v>3</v>
      </c>
      <c r="M117" s="1" t="s">
        <v>14</v>
      </c>
      <c r="N117" s="1">
        <v>3</v>
      </c>
      <c r="O117" s="1" t="s">
        <v>14</v>
      </c>
      <c r="Q117" s="1">
        <v>0.3</v>
      </c>
      <c r="R117" s="1">
        <v>0.3</v>
      </c>
      <c r="S117" s="1" t="s">
        <v>27</v>
      </c>
      <c r="U117" s="1" t="s">
        <v>513</v>
      </c>
      <c r="V117" s="2" t="s">
        <v>27</v>
      </c>
      <c r="W117" s="2" t="s">
        <v>27</v>
      </c>
      <c r="X117" s="2" t="s">
        <v>27</v>
      </c>
      <c r="Y117" s="2" t="s">
        <v>27</v>
      </c>
    </row>
    <row r="118" spans="1:25" x14ac:dyDescent="0.2">
      <c r="A118" s="1">
        <v>2</v>
      </c>
      <c r="B118" s="1" t="s">
        <v>558</v>
      </c>
      <c r="C118" s="1">
        <v>1</v>
      </c>
      <c r="D118" s="1" t="s">
        <v>476</v>
      </c>
      <c r="F118" s="4">
        <v>45394</v>
      </c>
      <c r="G118" s="3">
        <f>H118 + K118</f>
        <v>0.76479166666666665</v>
      </c>
      <c r="H118" s="3">
        <v>0.75723379629629628</v>
      </c>
      <c r="I118" s="3">
        <v>3.6574074074074074E-3</v>
      </c>
      <c r="J118" s="3">
        <f>$H118 + $I118</f>
        <v>0.76089120370370367</v>
      </c>
      <c r="K118" s="3">
        <v>7.5578703703703702E-3</v>
      </c>
      <c r="L118" s="1">
        <v>3</v>
      </c>
      <c r="M118" s="1" t="s">
        <v>14</v>
      </c>
      <c r="N118" s="1">
        <v>2</v>
      </c>
      <c r="O118" s="1" t="s">
        <v>13</v>
      </c>
      <c r="Q118" s="1">
        <v>0.3</v>
      </c>
      <c r="R118" s="1">
        <v>0.15</v>
      </c>
      <c r="S118" s="1">
        <v>0</v>
      </c>
      <c r="V118" s="1">
        <v>7.26</v>
      </c>
      <c r="W118" s="7" t="s">
        <v>384</v>
      </c>
    </row>
    <row r="119" spans="1:25" x14ac:dyDescent="0.2">
      <c r="A119" s="1">
        <v>2</v>
      </c>
      <c r="B119" s="1" t="s">
        <v>558</v>
      </c>
      <c r="C119" s="1" t="s">
        <v>27</v>
      </c>
      <c r="D119" s="1" t="s">
        <v>27</v>
      </c>
      <c r="F119" s="4">
        <v>45395</v>
      </c>
      <c r="G119" s="1" t="s">
        <v>27</v>
      </c>
      <c r="H119" s="1" t="s">
        <v>27</v>
      </c>
      <c r="I119" s="1" t="s">
        <v>27</v>
      </c>
      <c r="J119" s="1" t="s">
        <v>27</v>
      </c>
      <c r="K119" s="1" t="s">
        <v>27</v>
      </c>
      <c r="L119" s="1">
        <v>3</v>
      </c>
      <c r="M119" s="1" t="s">
        <v>14</v>
      </c>
      <c r="N119" s="1">
        <v>3</v>
      </c>
      <c r="O119" s="1" t="s">
        <v>14</v>
      </c>
      <c r="Q119" s="1">
        <v>0.15</v>
      </c>
      <c r="R119" s="1">
        <v>0.15</v>
      </c>
      <c r="S119" s="1" t="s">
        <v>27</v>
      </c>
      <c r="U119" s="1" t="s">
        <v>510</v>
      </c>
      <c r="V119" s="1" t="s">
        <v>27</v>
      </c>
      <c r="W119" s="1" t="s">
        <v>27</v>
      </c>
      <c r="X119" s="1" t="s">
        <v>27</v>
      </c>
      <c r="Y119" s="1" t="s">
        <v>27</v>
      </c>
    </row>
    <row r="120" spans="1:25" x14ac:dyDescent="0.2">
      <c r="A120" s="1">
        <v>2</v>
      </c>
      <c r="B120" s="1" t="s">
        <v>558</v>
      </c>
      <c r="C120" s="1" t="s">
        <v>27</v>
      </c>
      <c r="D120" s="1" t="s">
        <v>27</v>
      </c>
      <c r="F120" s="4">
        <v>45396</v>
      </c>
      <c r="G120" s="1" t="s">
        <v>27</v>
      </c>
      <c r="H120" s="1" t="s">
        <v>27</v>
      </c>
      <c r="I120" s="1" t="s">
        <v>27</v>
      </c>
      <c r="J120" s="1" t="s">
        <v>27</v>
      </c>
      <c r="K120" s="1" t="s">
        <v>27</v>
      </c>
      <c r="L120" s="1">
        <v>3</v>
      </c>
      <c r="M120" s="1" t="s">
        <v>14</v>
      </c>
      <c r="N120" s="1">
        <v>3</v>
      </c>
      <c r="O120" s="1" t="s">
        <v>14</v>
      </c>
      <c r="Q120" s="1">
        <v>0.15</v>
      </c>
      <c r="R120" s="1">
        <v>0.15</v>
      </c>
      <c r="S120" s="1" t="s">
        <v>27</v>
      </c>
      <c r="U120" s="1" t="s">
        <v>511</v>
      </c>
      <c r="V120" s="1" t="s">
        <v>27</v>
      </c>
      <c r="W120" s="1" t="s">
        <v>27</v>
      </c>
      <c r="X120" s="1" t="s">
        <v>27</v>
      </c>
      <c r="Y120" s="1" t="s">
        <v>27</v>
      </c>
    </row>
    <row r="121" spans="1:25" x14ac:dyDescent="0.2">
      <c r="A121" s="1">
        <v>2</v>
      </c>
      <c r="B121" s="1" t="s">
        <v>558</v>
      </c>
      <c r="C121" s="1">
        <v>1</v>
      </c>
      <c r="D121" s="1" t="s">
        <v>473</v>
      </c>
      <c r="F121" s="4">
        <v>45396</v>
      </c>
      <c r="G121" s="1" t="s">
        <v>27</v>
      </c>
      <c r="H121" s="3">
        <v>0.76395833333333329</v>
      </c>
      <c r="I121" s="3">
        <v>1.2615740740740742E-2</v>
      </c>
      <c r="J121" s="3">
        <f>$H121 + $I121</f>
        <v>0.77657407407407408</v>
      </c>
      <c r="K121" s="1" t="s">
        <v>27</v>
      </c>
      <c r="L121" s="1">
        <v>3</v>
      </c>
      <c r="M121" s="1" t="s">
        <v>13</v>
      </c>
      <c r="N121" s="1">
        <v>3</v>
      </c>
      <c r="O121" s="1" t="s">
        <v>13</v>
      </c>
      <c r="Q121" s="1">
        <v>0.3</v>
      </c>
      <c r="R121" s="1">
        <v>0.3</v>
      </c>
      <c r="S121" s="1" t="s">
        <v>27</v>
      </c>
      <c r="U121" s="1" t="s">
        <v>514</v>
      </c>
      <c r="V121" s="2" t="s">
        <v>27</v>
      </c>
      <c r="W121" s="2" t="s">
        <v>27</v>
      </c>
      <c r="X121" s="2" t="s">
        <v>27</v>
      </c>
      <c r="Y121" s="2" t="s">
        <v>27</v>
      </c>
    </row>
    <row r="122" spans="1:25" x14ac:dyDescent="0.2">
      <c r="A122" s="1">
        <v>2</v>
      </c>
      <c r="B122" s="1" t="s">
        <v>558</v>
      </c>
      <c r="C122" s="1">
        <v>1</v>
      </c>
      <c r="D122" s="1" t="s">
        <v>497</v>
      </c>
      <c r="F122" s="4">
        <v>45397</v>
      </c>
      <c r="G122" s="3">
        <f>H122 + K122</f>
        <v>0.26587962962962963</v>
      </c>
      <c r="H122" s="3">
        <v>0.22761574074074073</v>
      </c>
      <c r="I122" s="3">
        <v>1.4016203703703704E-2</v>
      </c>
      <c r="J122" s="3">
        <f>$H122 + $I122</f>
        <v>0.24163194444444444</v>
      </c>
      <c r="K122" s="3">
        <v>3.8263888888888889E-2</v>
      </c>
      <c r="L122" s="1">
        <v>3</v>
      </c>
      <c r="M122" s="1" t="s">
        <v>13</v>
      </c>
      <c r="N122" s="1">
        <v>3</v>
      </c>
      <c r="O122" s="1" t="s">
        <v>13</v>
      </c>
      <c r="Q122" s="1">
        <v>0.3</v>
      </c>
      <c r="R122" s="1">
        <v>0.3</v>
      </c>
      <c r="S122" s="1">
        <v>0</v>
      </c>
      <c r="V122" s="1">
        <v>21.2</v>
      </c>
      <c r="W122" s="7" t="s">
        <v>384</v>
      </c>
    </row>
    <row r="123" spans="1:25" x14ac:dyDescent="0.2">
      <c r="A123" s="1">
        <v>2</v>
      </c>
      <c r="B123" s="1" t="s">
        <v>558</v>
      </c>
      <c r="C123" s="1" t="s">
        <v>27</v>
      </c>
      <c r="D123" s="4" t="s">
        <v>73</v>
      </c>
      <c r="E123" s="4"/>
      <c r="F123" s="27">
        <v>45397</v>
      </c>
      <c r="G123" s="1" t="s">
        <v>27</v>
      </c>
      <c r="H123" s="3">
        <v>0.76392361111111107</v>
      </c>
      <c r="I123" s="1" t="s">
        <v>27</v>
      </c>
      <c r="J123" s="1" t="s">
        <v>27</v>
      </c>
      <c r="K123" s="1" t="s">
        <v>27</v>
      </c>
      <c r="L123" s="1">
        <v>3</v>
      </c>
      <c r="M123" s="1" t="s">
        <v>13</v>
      </c>
      <c r="N123" s="1">
        <v>3</v>
      </c>
      <c r="O123" s="1" t="s">
        <v>13</v>
      </c>
      <c r="Q123" s="1">
        <v>0.3</v>
      </c>
      <c r="R123" s="1">
        <v>0.3</v>
      </c>
      <c r="U123" s="1" t="s">
        <v>543</v>
      </c>
      <c r="V123" s="1" t="s">
        <v>27</v>
      </c>
      <c r="W123" s="1" t="s">
        <v>27</v>
      </c>
      <c r="X123" s="1" t="s">
        <v>27</v>
      </c>
      <c r="Y123" s="1" t="s">
        <v>27</v>
      </c>
    </row>
    <row r="124" spans="1:25" x14ac:dyDescent="0.2">
      <c r="A124" s="1">
        <v>2</v>
      </c>
      <c r="B124" s="1" t="s">
        <v>558</v>
      </c>
      <c r="C124" s="1">
        <v>1</v>
      </c>
      <c r="D124" s="1" t="s">
        <v>72</v>
      </c>
      <c r="F124" s="4">
        <v>45398</v>
      </c>
      <c r="G124" s="3">
        <f>H124 + K124</f>
        <v>0.26069444444444445</v>
      </c>
      <c r="H124" s="3">
        <v>0.22892361111111112</v>
      </c>
      <c r="I124" s="3">
        <v>2.2499999999999999E-2</v>
      </c>
      <c r="J124" s="3">
        <f>$H124 + $I124</f>
        <v>0.25142361111111111</v>
      </c>
      <c r="K124" s="3">
        <v>3.1770833333333331E-2</v>
      </c>
      <c r="L124" s="1">
        <v>2</v>
      </c>
      <c r="M124" s="1" t="s">
        <v>13</v>
      </c>
      <c r="N124" s="1">
        <v>2</v>
      </c>
      <c r="O124" s="1" t="s">
        <v>14</v>
      </c>
      <c r="Q124" s="1">
        <v>0.3</v>
      </c>
      <c r="R124" s="1">
        <v>0.3</v>
      </c>
      <c r="S124" s="1">
        <v>1</v>
      </c>
      <c r="U124" s="1" t="s">
        <v>542</v>
      </c>
      <c r="V124" s="2" t="s">
        <v>27</v>
      </c>
      <c r="W124" s="2" t="s">
        <v>541</v>
      </c>
    </row>
    <row r="125" spans="1:25" x14ac:dyDescent="0.2">
      <c r="A125" s="1">
        <v>2</v>
      </c>
      <c r="B125" s="1" t="s">
        <v>558</v>
      </c>
      <c r="C125" s="1">
        <v>1</v>
      </c>
      <c r="D125" s="1" t="s">
        <v>81</v>
      </c>
      <c r="F125" s="4">
        <v>45398</v>
      </c>
      <c r="G125" s="3">
        <f>H125 + K125</f>
        <v>0.77694444444444444</v>
      </c>
      <c r="H125" s="3">
        <v>0.75937500000000002</v>
      </c>
      <c r="I125" s="3">
        <v>1.4108796296296296E-2</v>
      </c>
      <c r="J125" s="3">
        <f>$H125 + $I125</f>
        <v>0.77348379629629627</v>
      </c>
      <c r="K125" s="3">
        <v>1.7569444444444443E-2</v>
      </c>
      <c r="L125" s="1">
        <v>2</v>
      </c>
      <c r="M125" s="1" t="s">
        <v>14</v>
      </c>
      <c r="N125" s="1">
        <v>2</v>
      </c>
      <c r="O125" s="1" t="s">
        <v>13</v>
      </c>
      <c r="Q125" s="1">
        <v>0.05</v>
      </c>
      <c r="R125" s="1">
        <v>0.05</v>
      </c>
      <c r="S125" s="1">
        <v>1</v>
      </c>
      <c r="V125" s="2" t="s">
        <v>27</v>
      </c>
      <c r="W125" s="2" t="s">
        <v>541</v>
      </c>
    </row>
    <row r="126" spans="1:25" x14ac:dyDescent="0.2">
      <c r="A126" s="1">
        <v>2</v>
      </c>
      <c r="B126" s="1" t="s">
        <v>558</v>
      </c>
      <c r="C126" s="1">
        <v>1</v>
      </c>
      <c r="D126" s="1" t="s">
        <v>103</v>
      </c>
      <c r="F126" s="4">
        <v>45399</v>
      </c>
      <c r="G126" s="1" t="s">
        <v>27</v>
      </c>
      <c r="H126" s="3">
        <v>0.23208333333333334</v>
      </c>
      <c r="I126" s="3">
        <v>1.4768518518518519E-2</v>
      </c>
      <c r="J126" s="3">
        <f>$H126 + $I126</f>
        <v>0.24685185185185185</v>
      </c>
      <c r="K126" s="1" t="s">
        <v>27</v>
      </c>
      <c r="L126" s="1">
        <v>2</v>
      </c>
      <c r="M126" s="1" t="s">
        <v>13</v>
      </c>
      <c r="N126" s="1">
        <v>2</v>
      </c>
      <c r="O126" s="1" t="s">
        <v>14</v>
      </c>
      <c r="Q126" s="1">
        <v>0.05</v>
      </c>
      <c r="R126" s="1">
        <v>0.05</v>
      </c>
      <c r="S126" s="1" t="s">
        <v>27</v>
      </c>
      <c r="U126" s="1" t="s">
        <v>544</v>
      </c>
      <c r="V126" s="2" t="s">
        <v>27</v>
      </c>
      <c r="W126" s="2" t="s">
        <v>27</v>
      </c>
      <c r="X126" s="2" t="s">
        <v>27</v>
      </c>
      <c r="Y126" s="2" t="s">
        <v>27</v>
      </c>
    </row>
    <row r="127" spans="1:25" x14ac:dyDescent="0.2">
      <c r="A127" s="15">
        <v>2</v>
      </c>
      <c r="B127" s="1" t="s">
        <v>558</v>
      </c>
      <c r="C127" s="1" t="s">
        <v>27</v>
      </c>
      <c r="D127" s="1" t="s">
        <v>109</v>
      </c>
      <c r="F127" s="4">
        <v>45399</v>
      </c>
      <c r="G127" s="1" t="s">
        <v>27</v>
      </c>
      <c r="H127" s="3">
        <v>0.75664351851851852</v>
      </c>
      <c r="I127" s="1" t="s">
        <v>27</v>
      </c>
      <c r="J127" s="1" t="s">
        <v>27</v>
      </c>
      <c r="K127" s="1" t="s">
        <v>27</v>
      </c>
      <c r="L127" s="1">
        <v>2</v>
      </c>
      <c r="M127" s="1" t="s">
        <v>14</v>
      </c>
      <c r="N127" s="1">
        <v>2</v>
      </c>
      <c r="O127" s="1" t="s">
        <v>14</v>
      </c>
      <c r="Q127" s="1">
        <v>0.05</v>
      </c>
      <c r="R127" s="1">
        <v>0.05</v>
      </c>
      <c r="S127" s="1" t="s">
        <v>27</v>
      </c>
      <c r="U127" s="1" t="s">
        <v>555</v>
      </c>
      <c r="V127" s="1" t="s">
        <v>27</v>
      </c>
      <c r="W127" s="1" t="s">
        <v>27</v>
      </c>
      <c r="X127" s="1" t="s">
        <v>27</v>
      </c>
      <c r="Y127" s="1" t="s">
        <v>27</v>
      </c>
    </row>
    <row r="128" spans="1:25" x14ac:dyDescent="0.2">
      <c r="A128" s="1">
        <v>2</v>
      </c>
      <c r="B128" s="1" t="s">
        <v>558</v>
      </c>
      <c r="C128" s="1">
        <v>1</v>
      </c>
      <c r="D128" s="1" t="s">
        <v>164</v>
      </c>
      <c r="F128" s="4">
        <v>45400</v>
      </c>
      <c r="G128" s="3">
        <f>H128 + K128</f>
        <v>0.28089120370370368</v>
      </c>
      <c r="H128" s="3">
        <v>0.22613425925925926</v>
      </c>
      <c r="I128" s="3">
        <v>2.2361111111111109E-2</v>
      </c>
      <c r="J128" s="3">
        <f>$H128 + $I128</f>
        <v>0.24849537037037037</v>
      </c>
      <c r="K128" s="3">
        <v>5.4756944444444441E-2</v>
      </c>
      <c r="L128" s="1">
        <v>2</v>
      </c>
      <c r="M128" s="1" t="s">
        <v>14</v>
      </c>
      <c r="N128" s="1">
        <v>2</v>
      </c>
      <c r="O128" s="1" t="s">
        <v>14</v>
      </c>
      <c r="Q128" s="1">
        <v>0.05</v>
      </c>
      <c r="R128" s="1">
        <v>0.05</v>
      </c>
      <c r="S128" s="1">
        <v>1</v>
      </c>
      <c r="W128" s="2" t="s">
        <v>541</v>
      </c>
    </row>
    <row r="129" spans="1:25" x14ac:dyDescent="0.2">
      <c r="A129" s="1">
        <v>2</v>
      </c>
      <c r="B129" s="1" t="s">
        <v>558</v>
      </c>
      <c r="C129" s="1">
        <v>1</v>
      </c>
      <c r="D129" s="1" t="s">
        <v>88</v>
      </c>
      <c r="F129" s="4">
        <v>45400</v>
      </c>
      <c r="G129" s="3">
        <f>H129 + K129</f>
        <v>0.78256944444444443</v>
      </c>
      <c r="H129" s="3">
        <v>0.75631944444444443</v>
      </c>
      <c r="I129" s="3">
        <v>1.6435185185185185E-2</v>
      </c>
      <c r="J129" s="3">
        <f>$H129 + $I129</f>
        <v>0.7727546296296296</v>
      </c>
      <c r="K129" s="3">
        <v>2.6249999999999999E-2</v>
      </c>
      <c r="L129" s="1">
        <v>2</v>
      </c>
      <c r="M129" s="1" t="s">
        <v>13</v>
      </c>
      <c r="N129" s="1">
        <v>2</v>
      </c>
      <c r="O129" s="1" t="s">
        <v>13</v>
      </c>
      <c r="Q129" s="1">
        <v>0.05</v>
      </c>
      <c r="R129" s="1">
        <v>0.05</v>
      </c>
      <c r="S129" s="1">
        <v>1</v>
      </c>
      <c r="U129" s="1" t="s">
        <v>556</v>
      </c>
      <c r="V129" s="2" t="s">
        <v>27</v>
      </c>
      <c r="W129" s="2" t="s">
        <v>541</v>
      </c>
    </row>
    <row r="130" spans="1:25" x14ac:dyDescent="0.2">
      <c r="A130" s="1">
        <v>2</v>
      </c>
      <c r="B130" s="1" t="s">
        <v>558</v>
      </c>
      <c r="C130" s="1" t="s">
        <v>27</v>
      </c>
      <c r="D130" s="1" t="s">
        <v>292</v>
      </c>
      <c r="F130" s="4">
        <v>45401</v>
      </c>
      <c r="G130" s="1" t="s">
        <v>27</v>
      </c>
      <c r="H130" s="1" t="s">
        <v>27</v>
      </c>
      <c r="I130" s="1" t="s">
        <v>27</v>
      </c>
      <c r="J130" s="1" t="s">
        <v>27</v>
      </c>
      <c r="K130" s="1" t="s">
        <v>27</v>
      </c>
      <c r="L130" s="1">
        <v>2</v>
      </c>
      <c r="M130" s="1" t="s">
        <v>13</v>
      </c>
      <c r="N130" s="1">
        <v>2</v>
      </c>
      <c r="O130" s="1" t="s">
        <v>13</v>
      </c>
      <c r="Q130" s="1">
        <v>0.05</v>
      </c>
      <c r="R130" s="1">
        <v>0.05</v>
      </c>
      <c r="S130" s="1" t="s">
        <v>27</v>
      </c>
      <c r="U130" s="1" t="s">
        <v>555</v>
      </c>
      <c r="V130" s="2" t="s">
        <v>27</v>
      </c>
      <c r="W130" s="2" t="s">
        <v>541</v>
      </c>
      <c r="X130" s="2" t="s">
        <v>27</v>
      </c>
      <c r="Y130" s="2" t="s">
        <v>27</v>
      </c>
    </row>
    <row r="131" spans="1:25" x14ac:dyDescent="0.2">
      <c r="A131" s="1">
        <v>2</v>
      </c>
      <c r="B131" s="1" t="s">
        <v>558</v>
      </c>
      <c r="C131" s="1">
        <v>1</v>
      </c>
      <c r="D131" s="1" t="s">
        <v>92</v>
      </c>
      <c r="F131" s="4">
        <v>45401</v>
      </c>
      <c r="G131" s="3">
        <f>H131 + K131</f>
        <v>0.77663194444444439</v>
      </c>
      <c r="H131" s="3">
        <v>0.77177083333333329</v>
      </c>
      <c r="I131" s="1" t="s">
        <v>27</v>
      </c>
      <c r="J131" s="1" t="s">
        <v>27</v>
      </c>
      <c r="K131" s="3">
        <v>4.8611111111111112E-3</v>
      </c>
      <c r="L131" s="1">
        <v>1</v>
      </c>
      <c r="M131" s="1" t="s">
        <v>13</v>
      </c>
      <c r="N131" s="1">
        <v>1</v>
      </c>
      <c r="O131" s="1" t="s">
        <v>13</v>
      </c>
      <c r="Q131" s="1">
        <v>0.05</v>
      </c>
      <c r="R131" s="1">
        <v>0.05</v>
      </c>
      <c r="S131" s="1">
        <v>1</v>
      </c>
      <c r="U131" s="1" t="s">
        <v>499</v>
      </c>
      <c r="V131" s="2" t="s">
        <v>27</v>
      </c>
      <c r="W131" s="2" t="s">
        <v>541</v>
      </c>
    </row>
    <row r="132" spans="1:25" x14ac:dyDescent="0.2">
      <c r="A132" s="1">
        <v>2</v>
      </c>
      <c r="B132" s="1" t="s">
        <v>559</v>
      </c>
      <c r="C132" s="1" t="s">
        <v>27</v>
      </c>
      <c r="D132" s="1" t="s">
        <v>92</v>
      </c>
      <c r="F132" s="4">
        <v>45401</v>
      </c>
      <c r="G132" s="1" t="s">
        <v>27</v>
      </c>
      <c r="H132" s="1" t="s">
        <v>27</v>
      </c>
      <c r="I132" s="1" t="s">
        <v>27</v>
      </c>
      <c r="J132" s="1" t="s">
        <v>27</v>
      </c>
      <c r="K132" s="1" t="s">
        <v>27</v>
      </c>
      <c r="L132" s="1">
        <v>1</v>
      </c>
      <c r="M132" s="1" t="s">
        <v>14</v>
      </c>
      <c r="N132" s="1">
        <v>1</v>
      </c>
      <c r="O132" s="1" t="s">
        <v>14</v>
      </c>
      <c r="Q132" s="1">
        <v>0.05</v>
      </c>
      <c r="R132" s="1">
        <v>0.05</v>
      </c>
      <c r="S132" s="1" t="s">
        <v>27</v>
      </c>
      <c r="U132" s="1" t="s">
        <v>560</v>
      </c>
      <c r="V132" s="2" t="s">
        <v>27</v>
      </c>
      <c r="W132" s="2" t="s">
        <v>541</v>
      </c>
      <c r="X132" s="2" t="s">
        <v>27</v>
      </c>
      <c r="Y132" s="2" t="s">
        <v>27</v>
      </c>
    </row>
    <row r="133" spans="1:25" x14ac:dyDescent="0.2">
      <c r="A133" s="1">
        <v>2</v>
      </c>
      <c r="B133" s="1" t="s">
        <v>558</v>
      </c>
      <c r="C133" s="1" t="s">
        <v>27</v>
      </c>
      <c r="D133" s="1" t="s">
        <v>93</v>
      </c>
      <c r="F133" s="4">
        <v>45402</v>
      </c>
      <c r="G133" s="1" t="s">
        <v>27</v>
      </c>
      <c r="H133" s="3">
        <v>0.22399305555555554</v>
      </c>
      <c r="I133" s="22" t="s">
        <v>27</v>
      </c>
      <c r="J133" s="22" t="s">
        <v>27</v>
      </c>
      <c r="K133" s="1" t="s">
        <v>27</v>
      </c>
      <c r="L133" s="1">
        <v>1</v>
      </c>
      <c r="M133" s="1" t="s">
        <v>13</v>
      </c>
      <c r="N133" s="1">
        <v>1</v>
      </c>
      <c r="O133" s="1" t="s">
        <v>13</v>
      </c>
      <c r="Q133" s="1">
        <v>0.05</v>
      </c>
      <c r="R133" s="1">
        <v>0.05</v>
      </c>
      <c r="S133" s="1" t="s">
        <v>27</v>
      </c>
      <c r="V133" s="2" t="s">
        <v>27</v>
      </c>
      <c r="W133" s="2" t="s">
        <v>541</v>
      </c>
      <c r="Y133" s="2" t="s">
        <v>27</v>
      </c>
    </row>
    <row r="134" spans="1:25" x14ac:dyDescent="0.2">
      <c r="A134" s="1">
        <v>2</v>
      </c>
      <c r="B134" s="1" t="s">
        <v>559</v>
      </c>
      <c r="C134" s="1" t="s">
        <v>27</v>
      </c>
      <c r="D134" s="1" t="s">
        <v>93</v>
      </c>
      <c r="F134" s="4">
        <v>45402</v>
      </c>
      <c r="G134" s="1" t="s">
        <v>27</v>
      </c>
      <c r="H134" s="3">
        <v>0.22399305555555554</v>
      </c>
      <c r="I134" s="22" t="s">
        <v>27</v>
      </c>
      <c r="J134" s="22" t="s">
        <v>27</v>
      </c>
      <c r="K134" s="1" t="s">
        <v>27</v>
      </c>
      <c r="L134" s="1">
        <v>1</v>
      </c>
      <c r="M134" s="1" t="s">
        <v>14</v>
      </c>
      <c r="N134" s="1">
        <v>1</v>
      </c>
      <c r="O134" s="1" t="s">
        <v>14</v>
      </c>
      <c r="Q134" s="1">
        <v>0.05</v>
      </c>
      <c r="R134" s="1">
        <v>0.05</v>
      </c>
      <c r="S134" s="1" t="s">
        <v>27</v>
      </c>
      <c r="U134" s="1" t="s">
        <v>564</v>
      </c>
      <c r="V134" s="2" t="s">
        <v>27</v>
      </c>
      <c r="W134" s="2" t="s">
        <v>541</v>
      </c>
      <c r="Y134" s="2" t="s">
        <v>27</v>
      </c>
    </row>
    <row r="135" spans="1:25" x14ac:dyDescent="0.2">
      <c r="A135" s="1">
        <v>2</v>
      </c>
      <c r="B135" s="1" t="s">
        <v>558</v>
      </c>
      <c r="C135" s="1">
        <v>1</v>
      </c>
      <c r="D135" s="1" t="s">
        <v>97</v>
      </c>
      <c r="F135" s="4">
        <v>45402</v>
      </c>
      <c r="G135" s="3">
        <f>H135 + K135</f>
        <v>0.78553240740740737</v>
      </c>
      <c r="H135" s="3">
        <v>0.75383101851851853</v>
      </c>
      <c r="I135" s="3">
        <v>2.4479166666666666E-2</v>
      </c>
      <c r="J135" s="3">
        <f>$H135 + $I135</f>
        <v>0.77831018518518524</v>
      </c>
      <c r="K135" s="3">
        <v>3.170138888888889E-2</v>
      </c>
      <c r="L135" s="1">
        <v>1</v>
      </c>
      <c r="M135" s="1" t="s">
        <v>13</v>
      </c>
      <c r="N135" s="1">
        <v>1</v>
      </c>
      <c r="O135" s="1" t="s">
        <v>13</v>
      </c>
      <c r="Q135" s="1">
        <v>0.05</v>
      </c>
      <c r="R135" s="1">
        <v>0.05</v>
      </c>
      <c r="S135" s="1" t="s">
        <v>27</v>
      </c>
      <c r="U135" s="1" t="s">
        <v>572</v>
      </c>
      <c r="V135" s="2" t="s">
        <v>27</v>
      </c>
      <c r="W135" s="2" t="s">
        <v>541</v>
      </c>
    </row>
    <row r="136" spans="1:25" x14ac:dyDescent="0.2">
      <c r="A136" s="1">
        <v>2</v>
      </c>
      <c r="B136" s="1" t="s">
        <v>558</v>
      </c>
      <c r="C136" s="1" t="s">
        <v>27</v>
      </c>
      <c r="D136" s="1" t="s">
        <v>103</v>
      </c>
      <c r="F136" s="4">
        <v>45403</v>
      </c>
      <c r="G136" s="1" t="s">
        <v>27</v>
      </c>
      <c r="H136" s="3">
        <v>0.22620370370370371</v>
      </c>
      <c r="I136" s="22" t="s">
        <v>27</v>
      </c>
      <c r="J136" s="22" t="s">
        <v>27</v>
      </c>
      <c r="K136" s="1" t="s">
        <v>27</v>
      </c>
      <c r="L136" s="1">
        <v>1</v>
      </c>
      <c r="M136" s="1" t="s">
        <v>13</v>
      </c>
      <c r="N136" s="1">
        <v>1</v>
      </c>
      <c r="O136" s="1" t="s">
        <v>13</v>
      </c>
      <c r="Q136" s="1">
        <v>0.05</v>
      </c>
      <c r="R136" s="1">
        <v>0.05</v>
      </c>
      <c r="S136" s="1" t="s">
        <v>27</v>
      </c>
      <c r="U136" s="1" t="s">
        <v>555</v>
      </c>
      <c r="V136" s="2" t="s">
        <v>27</v>
      </c>
      <c r="W136" s="2" t="s">
        <v>541</v>
      </c>
      <c r="X136" s="2" t="s">
        <v>27</v>
      </c>
      <c r="Y136" s="2" t="s">
        <v>27</v>
      </c>
    </row>
    <row r="137" spans="1:25" x14ac:dyDescent="0.2">
      <c r="A137" s="1">
        <v>2</v>
      </c>
      <c r="B137" s="1" t="s">
        <v>558</v>
      </c>
      <c r="C137" s="1" t="s">
        <v>27</v>
      </c>
      <c r="D137" s="1" t="s">
        <v>191</v>
      </c>
      <c r="F137" s="4">
        <v>45403</v>
      </c>
      <c r="G137" s="1" t="s">
        <v>27</v>
      </c>
      <c r="H137" s="2" t="s">
        <v>27</v>
      </c>
      <c r="I137" s="2" t="s">
        <v>27</v>
      </c>
      <c r="J137" s="2" t="s">
        <v>27</v>
      </c>
      <c r="K137" s="1" t="s">
        <v>27</v>
      </c>
      <c r="L137" s="1">
        <v>1</v>
      </c>
      <c r="M137" s="1" t="s">
        <v>13</v>
      </c>
      <c r="N137" s="1">
        <v>1</v>
      </c>
      <c r="O137" s="1" t="s">
        <v>13</v>
      </c>
      <c r="Q137" s="1">
        <v>0.05</v>
      </c>
      <c r="R137" s="1">
        <v>0.05</v>
      </c>
      <c r="S137" s="1" t="s">
        <v>27</v>
      </c>
      <c r="U137" s="1" t="s">
        <v>555</v>
      </c>
      <c r="V137" s="2" t="s">
        <v>27</v>
      </c>
      <c r="W137" s="2" t="s">
        <v>541</v>
      </c>
      <c r="X137" s="2" t="s">
        <v>27</v>
      </c>
      <c r="Y137" s="2" t="s">
        <v>27</v>
      </c>
    </row>
    <row r="138" spans="1:25" x14ac:dyDescent="0.2">
      <c r="A138" s="1">
        <v>2</v>
      </c>
      <c r="B138" s="1" t="s">
        <v>559</v>
      </c>
      <c r="C138" s="1" t="s">
        <v>27</v>
      </c>
      <c r="D138" s="1" t="s">
        <v>191</v>
      </c>
      <c r="F138" s="4">
        <v>45403</v>
      </c>
      <c r="G138" s="1" t="s">
        <v>27</v>
      </c>
      <c r="H138" s="2" t="s">
        <v>27</v>
      </c>
      <c r="I138" s="2" t="s">
        <v>27</v>
      </c>
      <c r="J138" s="2" t="s">
        <v>27</v>
      </c>
      <c r="K138" s="1" t="s">
        <v>27</v>
      </c>
      <c r="L138" s="1">
        <v>1</v>
      </c>
      <c r="M138" s="1" t="s">
        <v>14</v>
      </c>
      <c r="N138" s="1">
        <v>1</v>
      </c>
      <c r="O138" s="1" t="s">
        <v>14</v>
      </c>
      <c r="Q138" s="1">
        <v>0.05</v>
      </c>
      <c r="R138" s="1">
        <v>0.05</v>
      </c>
      <c r="S138" s="1" t="s">
        <v>27</v>
      </c>
      <c r="V138" s="2" t="s">
        <v>27</v>
      </c>
      <c r="W138" s="2" t="s">
        <v>541</v>
      </c>
      <c r="X138" s="2" t="s">
        <v>27</v>
      </c>
      <c r="Y138" s="2" t="s">
        <v>27</v>
      </c>
    </row>
    <row r="139" spans="1:25" x14ac:dyDescent="0.2">
      <c r="A139" s="1">
        <v>2</v>
      </c>
      <c r="B139" s="1" t="s">
        <v>559</v>
      </c>
      <c r="C139" s="1">
        <v>1</v>
      </c>
      <c r="D139" s="1" t="s">
        <v>120</v>
      </c>
      <c r="F139" s="4">
        <v>45404</v>
      </c>
      <c r="G139" s="1" t="s">
        <v>27</v>
      </c>
      <c r="H139" s="3">
        <v>0.22125</v>
      </c>
      <c r="I139" s="3">
        <v>1.4548611111111111E-2</v>
      </c>
      <c r="J139" s="3">
        <f>$H139 + $I139</f>
        <v>0.23579861111111111</v>
      </c>
      <c r="K139" s="1" t="s">
        <v>27</v>
      </c>
      <c r="L139" s="1">
        <v>1</v>
      </c>
      <c r="M139" s="1" t="s">
        <v>14</v>
      </c>
      <c r="N139" s="1">
        <v>1</v>
      </c>
      <c r="O139" s="1" t="s">
        <v>14</v>
      </c>
      <c r="Q139" s="1">
        <v>0.05</v>
      </c>
      <c r="R139" s="1">
        <v>0.05</v>
      </c>
      <c r="S139" s="1" t="s">
        <v>27</v>
      </c>
      <c r="U139" s="1" t="s">
        <v>573</v>
      </c>
      <c r="V139" s="2" t="s">
        <v>27</v>
      </c>
      <c r="W139" s="2" t="s">
        <v>541</v>
      </c>
      <c r="X139" s="2" t="s">
        <v>27</v>
      </c>
      <c r="Y139" s="2" t="s">
        <v>27</v>
      </c>
    </row>
    <row r="140" spans="1:25" x14ac:dyDescent="0.2">
      <c r="A140" s="1">
        <v>2</v>
      </c>
      <c r="B140" s="1" t="s">
        <v>558</v>
      </c>
      <c r="C140" s="1" t="s">
        <v>27</v>
      </c>
      <c r="D140" s="1" t="s">
        <v>120</v>
      </c>
      <c r="F140" s="4">
        <v>45404</v>
      </c>
      <c r="G140" s="1" t="s">
        <v>27</v>
      </c>
      <c r="H140" s="3">
        <v>0.22125</v>
      </c>
      <c r="I140" s="1" t="s">
        <v>27</v>
      </c>
      <c r="J140" s="1" t="s">
        <v>27</v>
      </c>
      <c r="K140" s="1" t="s">
        <v>27</v>
      </c>
      <c r="L140" s="1">
        <v>1</v>
      </c>
      <c r="M140" s="1" t="s">
        <v>13</v>
      </c>
      <c r="N140" s="1">
        <v>1</v>
      </c>
      <c r="O140" s="1" t="s">
        <v>13</v>
      </c>
      <c r="Q140" s="1">
        <v>0.05</v>
      </c>
      <c r="R140" s="1">
        <v>0.05</v>
      </c>
      <c r="S140" s="1" t="s">
        <v>27</v>
      </c>
      <c r="V140" s="2" t="s">
        <v>27</v>
      </c>
      <c r="W140" s="2" t="s">
        <v>541</v>
      </c>
      <c r="X140" s="2" t="s">
        <v>27</v>
      </c>
      <c r="Y140" s="2" t="s">
        <v>27</v>
      </c>
    </row>
    <row r="141" spans="1:25" x14ac:dyDescent="0.2">
      <c r="A141" s="1">
        <v>2</v>
      </c>
      <c r="B141" s="1" t="s">
        <v>559</v>
      </c>
      <c r="C141" s="1" t="s">
        <v>27</v>
      </c>
      <c r="D141" s="1" t="s">
        <v>262</v>
      </c>
      <c r="F141" s="4">
        <v>45405</v>
      </c>
      <c r="G141" s="1" t="s">
        <v>27</v>
      </c>
      <c r="H141" s="3">
        <v>0.22743055555555555</v>
      </c>
      <c r="I141" s="1" t="s">
        <v>27</v>
      </c>
      <c r="J141" s="1" t="s">
        <v>27</v>
      </c>
      <c r="K141" s="1" t="s">
        <v>27</v>
      </c>
      <c r="L141" s="1">
        <v>1</v>
      </c>
      <c r="M141" s="1" t="s">
        <v>14</v>
      </c>
      <c r="N141" s="1">
        <v>1</v>
      </c>
      <c r="O141" s="1" t="s">
        <v>14</v>
      </c>
      <c r="Q141" s="1">
        <v>0.05</v>
      </c>
      <c r="R141" s="1">
        <v>0.05</v>
      </c>
      <c r="S141" s="1" t="s">
        <v>27</v>
      </c>
      <c r="V141" s="2" t="s">
        <v>27</v>
      </c>
      <c r="W141" s="2" t="s">
        <v>541</v>
      </c>
      <c r="X141" s="2" t="s">
        <v>27</v>
      </c>
      <c r="Y141" s="2" t="s">
        <v>27</v>
      </c>
    </row>
    <row r="142" spans="1:25" x14ac:dyDescent="0.2">
      <c r="A142" s="1">
        <v>2</v>
      </c>
      <c r="B142" s="1" t="s">
        <v>558</v>
      </c>
      <c r="C142" s="1" t="s">
        <v>27</v>
      </c>
      <c r="D142" s="1" t="s">
        <v>262</v>
      </c>
      <c r="F142" s="4">
        <v>45405</v>
      </c>
      <c r="G142" s="1" t="s">
        <v>27</v>
      </c>
      <c r="H142" s="3">
        <v>0.22743055555555555</v>
      </c>
      <c r="I142" s="1" t="s">
        <v>27</v>
      </c>
      <c r="J142" s="1" t="s">
        <v>27</v>
      </c>
      <c r="K142" s="1" t="s">
        <v>27</v>
      </c>
      <c r="L142" s="1">
        <v>1</v>
      </c>
      <c r="M142" s="1" t="s">
        <v>13</v>
      </c>
      <c r="N142" s="1">
        <v>1</v>
      </c>
      <c r="O142" s="1" t="s">
        <v>13</v>
      </c>
      <c r="Q142" s="1">
        <v>0.05</v>
      </c>
      <c r="R142" s="1">
        <v>0.05</v>
      </c>
      <c r="S142" s="1" t="s">
        <v>27</v>
      </c>
      <c r="V142" s="2" t="s">
        <v>27</v>
      </c>
      <c r="W142" s="2" t="s">
        <v>541</v>
      </c>
      <c r="X142" s="2" t="s">
        <v>27</v>
      </c>
      <c r="Y142" s="2" t="s">
        <v>27</v>
      </c>
    </row>
    <row r="143" spans="1:25" x14ac:dyDescent="0.2">
      <c r="A143" s="1">
        <v>2</v>
      </c>
      <c r="B143" s="1" t="s">
        <v>575</v>
      </c>
      <c r="C143" s="1">
        <v>1</v>
      </c>
      <c r="D143" s="1" t="s">
        <v>263</v>
      </c>
      <c r="F143" s="4">
        <v>45405</v>
      </c>
      <c r="G143" s="3">
        <f>H143 + K143</f>
        <v>0.7804861111111111</v>
      </c>
      <c r="H143" s="3">
        <v>0.76578703703703699</v>
      </c>
      <c r="I143" s="3">
        <v>3.1944444444444446E-3</v>
      </c>
      <c r="J143" s="3">
        <f>$H143 + $I143</f>
        <v>0.76898148148148149</v>
      </c>
      <c r="K143" s="3">
        <v>1.4699074074074074E-2</v>
      </c>
      <c r="L143" s="1">
        <v>1</v>
      </c>
      <c r="M143" s="1" t="s">
        <v>14</v>
      </c>
      <c r="N143" s="1">
        <v>1</v>
      </c>
      <c r="O143" s="1" t="s">
        <v>14</v>
      </c>
      <c r="Q143" s="1">
        <v>0.05</v>
      </c>
      <c r="R143" s="1">
        <v>0.05</v>
      </c>
      <c r="S143" s="1">
        <v>1</v>
      </c>
      <c r="U143" s="1" t="s">
        <v>574</v>
      </c>
      <c r="V143" s="2" t="s">
        <v>27</v>
      </c>
      <c r="W143" s="2" t="s">
        <v>541</v>
      </c>
    </row>
    <row r="144" spans="1:25" x14ac:dyDescent="0.2">
      <c r="A144" s="1">
        <v>2</v>
      </c>
      <c r="B144" s="1" t="s">
        <v>576</v>
      </c>
      <c r="C144" s="1">
        <v>1</v>
      </c>
      <c r="D144" s="1" t="s">
        <v>263</v>
      </c>
      <c r="F144" s="4">
        <v>45405</v>
      </c>
      <c r="G144" s="3">
        <f>H144 + K144</f>
        <v>0.7818518518518518</v>
      </c>
      <c r="H144" s="3">
        <v>0.76578703703703699</v>
      </c>
      <c r="I144" s="3">
        <v>1.2048611111111111E-2</v>
      </c>
      <c r="J144" s="3">
        <f>$H144 + $I144</f>
        <v>0.7778356481481481</v>
      </c>
      <c r="K144" s="3">
        <v>1.6064814814814816E-2</v>
      </c>
      <c r="L144" s="1">
        <v>1</v>
      </c>
      <c r="M144" s="1" t="s">
        <v>13</v>
      </c>
      <c r="N144" s="1">
        <v>1</v>
      </c>
      <c r="O144" s="1" t="s">
        <v>13</v>
      </c>
      <c r="Q144" s="1">
        <v>0.05</v>
      </c>
      <c r="R144" s="1">
        <v>0.05</v>
      </c>
      <c r="S144" s="1">
        <v>1</v>
      </c>
      <c r="U144" s="1" t="s">
        <v>577</v>
      </c>
      <c r="V144" s="2" t="s">
        <v>27</v>
      </c>
      <c r="W144" s="2" t="s">
        <v>541</v>
      </c>
    </row>
    <row r="145" spans="1:23" x14ac:dyDescent="0.2">
      <c r="A145" s="1">
        <v>2</v>
      </c>
      <c r="B145" s="1" t="s">
        <v>575</v>
      </c>
      <c r="C145" s="1" t="s">
        <v>27</v>
      </c>
      <c r="D145" s="1" t="s">
        <v>119</v>
      </c>
      <c r="F145" s="4">
        <v>45406</v>
      </c>
      <c r="G145" s="1" t="s">
        <v>27</v>
      </c>
      <c r="H145" s="3">
        <v>0.22142361111111111</v>
      </c>
      <c r="I145" s="1" t="s">
        <v>27</v>
      </c>
      <c r="J145" s="1" t="s">
        <v>27</v>
      </c>
      <c r="K145" s="1" t="s">
        <v>27</v>
      </c>
      <c r="L145" s="1">
        <v>1</v>
      </c>
      <c r="M145" s="1" t="s">
        <v>13</v>
      </c>
      <c r="N145" s="1">
        <v>1</v>
      </c>
      <c r="O145" s="1" t="s">
        <v>13</v>
      </c>
      <c r="Q145" s="1">
        <v>0.05</v>
      </c>
      <c r="R145" s="1">
        <v>0.05</v>
      </c>
      <c r="S145" s="1" t="s">
        <v>27</v>
      </c>
      <c r="U145" s="1" t="s">
        <v>578</v>
      </c>
      <c r="V145" s="1" t="s">
        <v>27</v>
      </c>
      <c r="W145" s="2" t="s">
        <v>541</v>
      </c>
    </row>
    <row r="146" spans="1:23" x14ac:dyDescent="0.2">
      <c r="A146" s="1">
        <v>2</v>
      </c>
      <c r="B146" s="1" t="s">
        <v>576</v>
      </c>
      <c r="C146" s="1" t="s">
        <v>27</v>
      </c>
      <c r="D146" s="1" t="s">
        <v>119</v>
      </c>
      <c r="F146" s="4">
        <v>45406</v>
      </c>
      <c r="G146" s="1" t="s">
        <v>27</v>
      </c>
      <c r="H146" s="3">
        <v>0.22142361111111111</v>
      </c>
      <c r="I146" s="1" t="s">
        <v>27</v>
      </c>
      <c r="J146" s="1" t="s">
        <v>27</v>
      </c>
      <c r="K146" s="1" t="s">
        <v>27</v>
      </c>
      <c r="L146" s="1">
        <v>1</v>
      </c>
      <c r="M146" s="1" t="s">
        <v>14</v>
      </c>
      <c r="N146" s="1">
        <v>1</v>
      </c>
      <c r="O146" s="1" t="s">
        <v>14</v>
      </c>
      <c r="Q146" s="1">
        <v>0.05</v>
      </c>
      <c r="R146" s="1">
        <v>0.05</v>
      </c>
      <c r="S146" s="1" t="s">
        <v>85</v>
      </c>
      <c r="V146" s="1" t="s">
        <v>27</v>
      </c>
      <c r="W146" s="2" t="s">
        <v>541</v>
      </c>
    </row>
    <row r="147" spans="1:23" x14ac:dyDescent="0.2">
      <c r="A147" s="1">
        <v>2</v>
      </c>
      <c r="B147" s="1" t="s">
        <v>558</v>
      </c>
      <c r="C147" s="1">
        <v>1</v>
      </c>
      <c r="D147" s="1" t="s">
        <v>582</v>
      </c>
      <c r="F147" s="4">
        <v>45411</v>
      </c>
      <c r="G147" s="3">
        <v>0.25972222222222224</v>
      </c>
      <c r="H147" s="1" t="s">
        <v>27</v>
      </c>
      <c r="I147" s="3">
        <v>1.8564814814814815E-2</v>
      </c>
      <c r="J147" s="3">
        <v>0.25243055555555555</v>
      </c>
      <c r="K147" s="3">
        <v>1.1689814814814816E-3</v>
      </c>
      <c r="L147" s="1">
        <v>1</v>
      </c>
      <c r="M147" s="1" t="s">
        <v>14</v>
      </c>
      <c r="N147" s="1">
        <v>2</v>
      </c>
      <c r="O147" s="1" t="s">
        <v>13</v>
      </c>
      <c r="Q147" s="1">
        <v>0.1</v>
      </c>
      <c r="R147" s="1">
        <v>0.1</v>
      </c>
      <c r="S147" s="1">
        <v>0</v>
      </c>
      <c r="U147" s="1" t="s">
        <v>584</v>
      </c>
      <c r="V147" s="1" t="s">
        <v>27</v>
      </c>
      <c r="W147" s="2" t="s">
        <v>541</v>
      </c>
    </row>
    <row r="148" spans="1:23" x14ac:dyDescent="0.2">
      <c r="A148" s="1">
        <v>2</v>
      </c>
      <c r="B148" s="1" t="s">
        <v>558</v>
      </c>
      <c r="C148" s="1">
        <v>1</v>
      </c>
      <c r="D148" s="1" t="s">
        <v>128</v>
      </c>
      <c r="F148" s="4">
        <v>45411</v>
      </c>
      <c r="G148" s="3">
        <f>H148 + K148</f>
        <v>0.77131944444444445</v>
      </c>
      <c r="H148" s="3">
        <v>0.76197916666666665</v>
      </c>
      <c r="I148" s="3">
        <v>4.7453703703703703E-3</v>
      </c>
      <c r="J148" s="3">
        <f>$H148 + $I148</f>
        <v>0.76672453703703702</v>
      </c>
      <c r="K148" s="3">
        <v>9.3402777777777772E-3</v>
      </c>
      <c r="L148" s="1">
        <v>2</v>
      </c>
      <c r="M148" s="1" t="s">
        <v>13</v>
      </c>
      <c r="N148" s="1">
        <v>2</v>
      </c>
      <c r="O148" s="1" t="s">
        <v>13</v>
      </c>
      <c r="Q148" s="1">
        <v>0.1</v>
      </c>
      <c r="R148" s="1">
        <v>0.1</v>
      </c>
      <c r="S148" s="1">
        <v>1</v>
      </c>
      <c r="U148" s="1" t="s">
        <v>593</v>
      </c>
      <c r="V148" s="1" t="s">
        <v>27</v>
      </c>
      <c r="W148" s="2" t="s">
        <v>541</v>
      </c>
    </row>
    <row r="149" spans="1:23" x14ac:dyDescent="0.2">
      <c r="A149" s="1">
        <v>2</v>
      </c>
      <c r="B149" s="1" t="s">
        <v>575</v>
      </c>
      <c r="C149" s="1" t="s">
        <v>27</v>
      </c>
      <c r="D149" s="1" t="s">
        <v>128</v>
      </c>
      <c r="F149" s="4">
        <v>45411</v>
      </c>
      <c r="G149" s="1" t="s">
        <v>27</v>
      </c>
      <c r="H149" s="3">
        <v>0.76197916666666665</v>
      </c>
      <c r="I149" s="1" t="s">
        <v>27</v>
      </c>
      <c r="J149" s="1" t="s">
        <v>27</v>
      </c>
      <c r="K149" s="1" t="s">
        <v>27</v>
      </c>
      <c r="L149" s="1">
        <v>2</v>
      </c>
      <c r="M149" s="1" t="s">
        <v>14</v>
      </c>
      <c r="N149" s="1">
        <v>2</v>
      </c>
      <c r="O149" s="1" t="s">
        <v>13</v>
      </c>
      <c r="Q149" s="1">
        <v>0.1</v>
      </c>
      <c r="R149" s="1">
        <v>0.1</v>
      </c>
      <c r="S149" s="1" t="s">
        <v>27</v>
      </c>
      <c r="V149" s="1" t="s">
        <v>27</v>
      </c>
      <c r="W149" s="2" t="s">
        <v>541</v>
      </c>
    </row>
    <row r="150" spans="1:23" x14ac:dyDescent="0.2">
      <c r="A150" s="1">
        <v>2</v>
      </c>
      <c r="B150" s="1" t="s">
        <v>575</v>
      </c>
      <c r="C150" s="1">
        <v>1</v>
      </c>
      <c r="D150" s="1" t="s">
        <v>582</v>
      </c>
      <c r="F150" s="4">
        <v>45411</v>
      </c>
      <c r="G150" s="3">
        <v>0.24861111111111112</v>
      </c>
      <c r="H150" s="1" t="s">
        <v>27</v>
      </c>
      <c r="I150" s="1" t="s">
        <v>27</v>
      </c>
      <c r="J150" s="1" t="s">
        <v>27</v>
      </c>
      <c r="K150" s="3">
        <v>1.4699074074074074E-2</v>
      </c>
      <c r="L150" s="1">
        <v>1</v>
      </c>
      <c r="M150" s="1" t="s">
        <v>14</v>
      </c>
      <c r="N150" s="1">
        <v>1</v>
      </c>
      <c r="O150" s="1" t="s">
        <v>13</v>
      </c>
      <c r="Q150" s="1">
        <v>0.1</v>
      </c>
      <c r="R150" s="1">
        <v>0.1</v>
      </c>
      <c r="S150" s="1" t="s">
        <v>27</v>
      </c>
      <c r="U150" s="1" t="s">
        <v>583</v>
      </c>
      <c r="V150" s="1" t="s">
        <v>27</v>
      </c>
      <c r="W150" s="2" t="s">
        <v>541</v>
      </c>
    </row>
    <row r="151" spans="1:23" x14ac:dyDescent="0.2">
      <c r="A151" s="1">
        <v>2</v>
      </c>
      <c r="B151" s="1" t="s">
        <v>575</v>
      </c>
      <c r="C151" s="1">
        <v>1</v>
      </c>
      <c r="D151" s="1" t="s">
        <v>178</v>
      </c>
      <c r="E151" s="1" t="s">
        <v>693</v>
      </c>
      <c r="F151" s="4">
        <v>45412</v>
      </c>
      <c r="G151" s="3">
        <f t="shared" ref="G151:G160" si="6">H151 + K151</f>
        <v>0.26519675925925923</v>
      </c>
      <c r="H151" s="3">
        <v>0.21716435185185184</v>
      </c>
      <c r="I151" s="1" t="s">
        <v>27</v>
      </c>
      <c r="J151" s="1" t="s">
        <v>27</v>
      </c>
      <c r="K151" s="3">
        <v>4.8032407407407406E-2</v>
      </c>
      <c r="L151" s="1">
        <v>2</v>
      </c>
      <c r="M151" s="1" t="s">
        <v>13</v>
      </c>
      <c r="N151" s="1">
        <v>2</v>
      </c>
      <c r="O151" s="1" t="s">
        <v>13</v>
      </c>
      <c r="Q151" s="1">
        <v>0.1</v>
      </c>
      <c r="R151" s="1">
        <v>0.1</v>
      </c>
      <c r="S151" s="1">
        <v>0</v>
      </c>
      <c r="U151" s="1" t="s">
        <v>692</v>
      </c>
      <c r="V151" s="1" t="s">
        <v>27</v>
      </c>
      <c r="W151" s="2" t="s">
        <v>541</v>
      </c>
    </row>
    <row r="152" spans="1:23" x14ac:dyDescent="0.2">
      <c r="A152" s="1">
        <v>2</v>
      </c>
      <c r="B152" s="1" t="s">
        <v>558</v>
      </c>
      <c r="C152" s="1">
        <v>1</v>
      </c>
      <c r="D152" s="1" t="s">
        <v>178</v>
      </c>
      <c r="E152" s="1" t="s">
        <v>671</v>
      </c>
      <c r="F152" s="4">
        <v>45412</v>
      </c>
      <c r="G152" s="3">
        <f t="shared" si="6"/>
        <v>0.28041666666666665</v>
      </c>
      <c r="H152" s="3">
        <v>0.21716435185185184</v>
      </c>
      <c r="I152" s="3">
        <v>2.7430555555555555E-2</v>
      </c>
      <c r="J152" s="3">
        <f>$H152 + $I152</f>
        <v>0.24459490740740741</v>
      </c>
      <c r="K152" s="3">
        <v>6.3252314814814817E-2</v>
      </c>
      <c r="L152" s="1">
        <v>2</v>
      </c>
      <c r="M152" s="1" t="s">
        <v>14</v>
      </c>
      <c r="N152" s="1">
        <v>2</v>
      </c>
      <c r="O152" s="1" t="s">
        <v>14</v>
      </c>
      <c r="Q152" s="1">
        <v>0.1</v>
      </c>
      <c r="R152" s="1">
        <v>0.1</v>
      </c>
      <c r="S152" s="1">
        <v>1</v>
      </c>
      <c r="V152" s="1" t="s">
        <v>27</v>
      </c>
      <c r="W152" s="2" t="s">
        <v>541</v>
      </c>
    </row>
    <row r="153" spans="1:23" x14ac:dyDescent="0.2">
      <c r="A153" s="1">
        <v>2</v>
      </c>
      <c r="B153" s="1" t="s">
        <v>575</v>
      </c>
      <c r="C153" s="1">
        <v>1</v>
      </c>
      <c r="D153" s="1" t="s">
        <v>800</v>
      </c>
      <c r="F153" s="4">
        <v>45412</v>
      </c>
      <c r="G153" s="3">
        <f t="shared" si="6"/>
        <v>0.7833796296296297</v>
      </c>
      <c r="H153" s="3">
        <v>0.76178240740740744</v>
      </c>
      <c r="I153" s="3">
        <v>1.8587962962962962E-2</v>
      </c>
      <c r="J153" s="3">
        <f>$H153 + $I153</f>
        <v>0.78037037037037038</v>
      </c>
      <c r="K153" s="3">
        <v>2.1597222222222223E-2</v>
      </c>
      <c r="L153" s="1">
        <v>2</v>
      </c>
      <c r="M153" s="1" t="s">
        <v>13</v>
      </c>
      <c r="N153" s="1">
        <v>2</v>
      </c>
      <c r="O153" s="1" t="s">
        <v>14</v>
      </c>
      <c r="Q153" s="1">
        <v>0.1</v>
      </c>
      <c r="R153" s="1">
        <v>0.1</v>
      </c>
      <c r="S153" s="1">
        <v>0</v>
      </c>
      <c r="U153" s="1" t="s">
        <v>604</v>
      </c>
      <c r="V153" s="1" t="s">
        <v>27</v>
      </c>
      <c r="W153" s="2" t="s">
        <v>541</v>
      </c>
    </row>
    <row r="154" spans="1:23" x14ac:dyDescent="0.2">
      <c r="A154" s="1">
        <v>2</v>
      </c>
      <c r="B154" s="1" t="s">
        <v>558</v>
      </c>
      <c r="C154" s="1">
        <v>1</v>
      </c>
      <c r="D154" s="1" t="s">
        <v>800</v>
      </c>
      <c r="F154" s="4">
        <v>45412</v>
      </c>
      <c r="G154" s="3">
        <f t="shared" si="6"/>
        <v>0.77048611111111109</v>
      </c>
      <c r="H154" s="3">
        <v>0.76178240740740744</v>
      </c>
      <c r="I154" s="1" t="s">
        <v>27</v>
      </c>
      <c r="J154" s="1" t="s">
        <v>27</v>
      </c>
      <c r="K154" s="3">
        <v>8.7037037037037031E-3</v>
      </c>
      <c r="L154" s="1">
        <v>2</v>
      </c>
      <c r="M154" s="1" t="s">
        <v>14</v>
      </c>
      <c r="N154" s="1">
        <v>2</v>
      </c>
      <c r="O154" s="1" t="s">
        <v>14</v>
      </c>
      <c r="Q154" s="1">
        <v>0.1</v>
      </c>
      <c r="R154" s="1">
        <v>0.1</v>
      </c>
      <c r="S154" s="1">
        <v>1</v>
      </c>
      <c r="U154" s="1" t="s">
        <v>499</v>
      </c>
      <c r="V154" s="1" t="s">
        <v>27</v>
      </c>
      <c r="W154" s="2" t="s">
        <v>541</v>
      </c>
    </row>
    <row r="155" spans="1:23" x14ac:dyDescent="0.2">
      <c r="A155" s="1">
        <v>2</v>
      </c>
      <c r="B155" s="1" t="s">
        <v>558</v>
      </c>
      <c r="C155" s="1">
        <v>1</v>
      </c>
      <c r="D155" s="1" t="s">
        <v>299</v>
      </c>
      <c r="F155" s="4">
        <v>45413</v>
      </c>
      <c r="G155" s="3">
        <f t="shared" si="6"/>
        <v>0.76872685185185186</v>
      </c>
      <c r="H155" s="3">
        <v>0.76399305555555552</v>
      </c>
      <c r="I155" s="1" t="s">
        <v>27</v>
      </c>
      <c r="J155" s="1" t="s">
        <v>27</v>
      </c>
      <c r="K155" s="3">
        <v>4.7337962962962967E-3</v>
      </c>
      <c r="L155" s="1">
        <v>2</v>
      </c>
      <c r="M155" s="1" t="s">
        <v>13</v>
      </c>
      <c r="N155" s="1">
        <v>2</v>
      </c>
      <c r="O155" s="1" t="s">
        <v>13</v>
      </c>
      <c r="Q155" s="1">
        <v>0.1</v>
      </c>
      <c r="R155" s="1">
        <v>0.1</v>
      </c>
      <c r="S155" s="1">
        <v>0</v>
      </c>
      <c r="U155" s="1" t="s">
        <v>499</v>
      </c>
      <c r="V155" s="1" t="s">
        <v>27</v>
      </c>
      <c r="W155" s="2" t="s">
        <v>541</v>
      </c>
    </row>
    <row r="156" spans="1:23" x14ac:dyDescent="0.2">
      <c r="A156" s="1">
        <v>2</v>
      </c>
      <c r="B156" s="1" t="s">
        <v>575</v>
      </c>
      <c r="C156" s="1">
        <v>1</v>
      </c>
      <c r="D156" s="1" t="s">
        <v>299</v>
      </c>
      <c r="F156" s="4">
        <v>45413</v>
      </c>
      <c r="G156" s="3">
        <f t="shared" si="6"/>
        <v>0.77984953703703697</v>
      </c>
      <c r="H156" s="3">
        <v>0.76399305555555552</v>
      </c>
      <c r="I156" s="3">
        <v>8.2870370370370372E-3</v>
      </c>
      <c r="J156" s="3">
        <f>$H156 + $I156</f>
        <v>0.77228009259259256</v>
      </c>
      <c r="K156" s="3">
        <v>1.5856481481481482E-2</v>
      </c>
      <c r="L156" s="1">
        <v>2</v>
      </c>
      <c r="M156" s="1" t="s">
        <v>14</v>
      </c>
      <c r="N156" s="1">
        <v>2</v>
      </c>
      <c r="O156" s="1" t="s">
        <v>14</v>
      </c>
      <c r="Q156" s="1">
        <v>0.1</v>
      </c>
      <c r="R156" s="1">
        <v>0.1</v>
      </c>
      <c r="S156" s="1">
        <v>0</v>
      </c>
      <c r="V156" s="1" t="s">
        <v>27</v>
      </c>
      <c r="W156" s="2" t="s">
        <v>541</v>
      </c>
    </row>
    <row r="157" spans="1:23" x14ac:dyDescent="0.2">
      <c r="A157" s="1">
        <v>2</v>
      </c>
      <c r="B157" s="1" t="s">
        <v>575</v>
      </c>
      <c r="C157" s="1">
        <v>2</v>
      </c>
      <c r="D157" s="1" t="s">
        <v>299</v>
      </c>
      <c r="F157" s="4">
        <v>45413</v>
      </c>
      <c r="G157" s="3">
        <f t="shared" si="6"/>
        <v>0.78475694444444444</v>
      </c>
      <c r="H157" s="3">
        <v>0.76399305555555552</v>
      </c>
      <c r="I157" s="3">
        <v>1.6724537037037038E-2</v>
      </c>
      <c r="J157" s="3">
        <f>$H157 + $I157</f>
        <v>0.78071759259259255</v>
      </c>
      <c r="K157" s="3">
        <v>2.0763888888888887E-2</v>
      </c>
      <c r="L157" s="1">
        <v>2</v>
      </c>
      <c r="M157" s="1" t="s">
        <v>14</v>
      </c>
      <c r="N157" s="1">
        <v>2</v>
      </c>
      <c r="O157" s="1" t="s">
        <v>14</v>
      </c>
      <c r="Q157" s="1">
        <v>0.1</v>
      </c>
      <c r="R157" s="1">
        <v>0.1</v>
      </c>
      <c r="S157" s="1">
        <v>0</v>
      </c>
      <c r="V157" s="1" t="s">
        <v>27</v>
      </c>
      <c r="W157" s="2" t="s">
        <v>541</v>
      </c>
    </row>
    <row r="158" spans="1:23" x14ac:dyDescent="0.2">
      <c r="A158" s="1">
        <v>2</v>
      </c>
      <c r="B158" s="1" t="s">
        <v>575</v>
      </c>
      <c r="C158" s="1">
        <v>1</v>
      </c>
      <c r="D158" s="1" t="s">
        <v>180</v>
      </c>
      <c r="F158" s="4">
        <v>45413</v>
      </c>
      <c r="G158" s="3">
        <f t="shared" si="6"/>
        <v>0.22903935185185184</v>
      </c>
      <c r="H158" s="3">
        <v>0.21650462962962963</v>
      </c>
      <c r="I158" s="1" t="s">
        <v>27</v>
      </c>
      <c r="J158" s="1" t="s">
        <v>27</v>
      </c>
      <c r="K158" s="3">
        <v>1.2534722222222221E-2</v>
      </c>
      <c r="L158" s="1">
        <v>2</v>
      </c>
      <c r="M158" s="1" t="s">
        <v>13</v>
      </c>
      <c r="N158" s="1">
        <v>2</v>
      </c>
      <c r="O158" s="1" t="s">
        <v>13</v>
      </c>
      <c r="Q158" s="1">
        <v>0.1</v>
      </c>
      <c r="R158" s="1">
        <v>0.1</v>
      </c>
      <c r="S158" s="1">
        <v>0</v>
      </c>
      <c r="U158" s="1" t="s">
        <v>600</v>
      </c>
      <c r="V158" s="1" t="s">
        <v>27</v>
      </c>
      <c r="W158" s="2" t="s">
        <v>541</v>
      </c>
    </row>
    <row r="159" spans="1:23" x14ac:dyDescent="0.2">
      <c r="A159" s="1">
        <v>2</v>
      </c>
      <c r="B159" s="1" t="s">
        <v>575</v>
      </c>
      <c r="C159" s="1">
        <v>2</v>
      </c>
      <c r="D159" s="1" t="s">
        <v>180</v>
      </c>
      <c r="F159" s="4">
        <v>45413</v>
      </c>
      <c r="G159" s="3">
        <f t="shared" si="6"/>
        <v>0.24969907407407407</v>
      </c>
      <c r="H159" s="3">
        <v>0.21650462962962963</v>
      </c>
      <c r="I159" s="3">
        <v>2.2037037037037036E-2</v>
      </c>
      <c r="J159" s="3">
        <f>$H159 + $I159</f>
        <v>0.23854166666666665</v>
      </c>
      <c r="K159" s="3">
        <v>3.3194444444444443E-2</v>
      </c>
      <c r="L159" s="1">
        <v>2</v>
      </c>
      <c r="M159" s="1" t="s">
        <v>13</v>
      </c>
      <c r="N159" s="1">
        <v>2</v>
      </c>
      <c r="O159" s="1" t="s">
        <v>14</v>
      </c>
      <c r="Q159" s="1">
        <v>0.1</v>
      </c>
      <c r="R159" s="1">
        <v>0.1</v>
      </c>
      <c r="S159" s="1">
        <v>0</v>
      </c>
      <c r="U159" s="1" t="s">
        <v>601</v>
      </c>
      <c r="V159" s="1" t="s">
        <v>27</v>
      </c>
      <c r="W159" s="2" t="s">
        <v>541</v>
      </c>
    </row>
    <row r="160" spans="1:23" x14ac:dyDescent="0.2">
      <c r="A160" s="1">
        <v>2</v>
      </c>
      <c r="B160" s="1" t="s">
        <v>575</v>
      </c>
      <c r="C160" s="1">
        <v>3</v>
      </c>
      <c r="D160" s="1" t="s">
        <v>180</v>
      </c>
      <c r="F160" s="4">
        <v>45413</v>
      </c>
      <c r="G160" s="3">
        <f t="shared" si="6"/>
        <v>0.26141203703703703</v>
      </c>
      <c r="H160" s="3">
        <v>0.21650462962962963</v>
      </c>
      <c r="I160" s="3">
        <v>3.5069444444444445E-2</v>
      </c>
      <c r="J160" s="3">
        <f>$H160 + $I160</f>
        <v>0.25157407407407406</v>
      </c>
      <c r="K160" s="3">
        <v>4.490740740740741E-2</v>
      </c>
      <c r="L160" s="1">
        <v>2</v>
      </c>
      <c r="M160" s="1" t="s">
        <v>14</v>
      </c>
      <c r="N160" s="1">
        <v>1</v>
      </c>
      <c r="O160" s="1" t="s">
        <v>14</v>
      </c>
      <c r="Q160" s="1">
        <v>0.1</v>
      </c>
      <c r="R160" s="1">
        <v>0.1</v>
      </c>
      <c r="S160" s="1">
        <v>0</v>
      </c>
      <c r="U160" s="1" t="s">
        <v>602</v>
      </c>
      <c r="V160" s="1" t="s">
        <v>27</v>
      </c>
      <c r="W160" s="2" t="s">
        <v>541</v>
      </c>
    </row>
    <row r="161" spans="1:23" x14ac:dyDescent="0.2">
      <c r="A161" s="1">
        <v>2</v>
      </c>
      <c r="B161" s="1" t="s">
        <v>558</v>
      </c>
      <c r="C161" s="1">
        <v>1</v>
      </c>
      <c r="D161" s="1" t="s">
        <v>180</v>
      </c>
      <c r="F161" s="4">
        <v>45413</v>
      </c>
      <c r="G161" s="1" t="s">
        <v>27</v>
      </c>
      <c r="H161" s="3">
        <v>0.21650462962962963</v>
      </c>
      <c r="I161" s="3">
        <v>3.3888888888888892E-2</v>
      </c>
      <c r="J161" s="3">
        <f>$H161 + $I161</f>
        <v>0.25039351851851854</v>
      </c>
      <c r="K161" s="1" t="s">
        <v>27</v>
      </c>
      <c r="L161" s="1">
        <v>2</v>
      </c>
      <c r="M161" s="1" t="s">
        <v>13</v>
      </c>
      <c r="N161" s="1">
        <v>2</v>
      </c>
      <c r="O161" s="1" t="s">
        <v>13</v>
      </c>
      <c r="Q161" s="1">
        <v>0.1</v>
      </c>
      <c r="R161" s="1">
        <v>0.1</v>
      </c>
      <c r="S161" s="1" t="s">
        <v>27</v>
      </c>
      <c r="U161" s="1" t="s">
        <v>603</v>
      </c>
      <c r="V161" s="1" t="s">
        <v>27</v>
      </c>
      <c r="W161" s="2" t="s">
        <v>541</v>
      </c>
    </row>
    <row r="162" spans="1:23" x14ac:dyDescent="0.2">
      <c r="A162" s="1">
        <v>2</v>
      </c>
      <c r="B162" s="1" t="s">
        <v>558</v>
      </c>
      <c r="C162" s="1">
        <v>1</v>
      </c>
      <c r="D162" s="1" t="s">
        <v>780</v>
      </c>
      <c r="F162" s="4">
        <v>45414</v>
      </c>
      <c r="G162" s="3">
        <f>H162 + K162</f>
        <v>0.3130324074074074</v>
      </c>
      <c r="H162" s="3">
        <v>0.21917824074074074</v>
      </c>
      <c r="I162" s="3">
        <v>2.0856481481481483E-2</v>
      </c>
      <c r="J162" s="3">
        <f>$H162 + $I162</f>
        <v>0.24003472222222222</v>
      </c>
      <c r="K162" s="3">
        <v>9.3854166666666669E-2</v>
      </c>
      <c r="L162" s="1">
        <v>2</v>
      </c>
      <c r="M162" s="1" t="s">
        <v>14</v>
      </c>
      <c r="N162" s="1">
        <v>2</v>
      </c>
      <c r="O162" s="1" t="s">
        <v>14</v>
      </c>
      <c r="Q162" s="1">
        <v>0.1</v>
      </c>
      <c r="R162" s="1">
        <v>0.1</v>
      </c>
      <c r="S162" s="1">
        <v>1</v>
      </c>
      <c r="U162" s="1" t="s">
        <v>598</v>
      </c>
      <c r="V162" s="1" t="s">
        <v>27</v>
      </c>
      <c r="W162" s="2" t="s">
        <v>541</v>
      </c>
    </row>
    <row r="163" spans="1:23" x14ac:dyDescent="0.2">
      <c r="A163" s="1">
        <v>2</v>
      </c>
      <c r="B163" s="1" t="s">
        <v>575</v>
      </c>
      <c r="C163" s="1">
        <v>1</v>
      </c>
      <c r="D163" s="1" t="s">
        <v>780</v>
      </c>
      <c r="F163" s="4">
        <v>45414</v>
      </c>
      <c r="G163" s="3">
        <f>H163 + K163</f>
        <v>0.24927083333333333</v>
      </c>
      <c r="H163" s="3">
        <v>0.21917824074074074</v>
      </c>
      <c r="I163" s="3">
        <v>9.7453703703703695E-3</v>
      </c>
      <c r="J163" s="3">
        <f>$H163 + $I163</f>
        <v>0.22892361111111112</v>
      </c>
      <c r="K163" s="3">
        <v>3.0092592592592591E-2</v>
      </c>
      <c r="L163" s="1">
        <v>2</v>
      </c>
      <c r="M163" s="1" t="s">
        <v>13</v>
      </c>
      <c r="N163" s="1">
        <v>2</v>
      </c>
      <c r="O163" s="1" t="s">
        <v>13</v>
      </c>
      <c r="Q163" s="1">
        <v>0.1</v>
      </c>
      <c r="R163" s="1">
        <v>0.1</v>
      </c>
      <c r="S163" s="1">
        <v>0</v>
      </c>
      <c r="U163" s="1" t="s">
        <v>599</v>
      </c>
      <c r="V163" s="1" t="s">
        <v>27</v>
      </c>
      <c r="W163" s="2" t="s">
        <v>541</v>
      </c>
    </row>
    <row r="164" spans="1:23" x14ac:dyDescent="0.2">
      <c r="A164" s="1">
        <v>2</v>
      </c>
      <c r="B164" s="1" t="s">
        <v>575</v>
      </c>
      <c r="C164" s="1">
        <v>1</v>
      </c>
      <c r="D164" s="1" t="s">
        <v>303</v>
      </c>
      <c r="F164" s="4">
        <v>45414</v>
      </c>
      <c r="G164" s="3">
        <f>H164 + K164</f>
        <v>0.76692129629629635</v>
      </c>
      <c r="H164" s="3">
        <v>0.75787037037037042</v>
      </c>
      <c r="I164" s="1" t="s">
        <v>27</v>
      </c>
      <c r="J164" s="1" t="s">
        <v>27</v>
      </c>
      <c r="K164" s="3">
        <v>9.0509259259259258E-3</v>
      </c>
      <c r="L164" s="1">
        <v>2</v>
      </c>
      <c r="M164" s="1" t="s">
        <v>13</v>
      </c>
      <c r="N164" s="1">
        <v>2</v>
      </c>
      <c r="O164" s="1" t="s">
        <v>14</v>
      </c>
      <c r="Q164" s="1">
        <v>0.1</v>
      </c>
      <c r="R164" s="1">
        <v>0.1</v>
      </c>
      <c r="S164" s="1">
        <v>0</v>
      </c>
      <c r="U164" s="1" t="s">
        <v>609</v>
      </c>
      <c r="V164" s="1" t="s">
        <v>27</v>
      </c>
      <c r="W164" s="2" t="s">
        <v>541</v>
      </c>
    </row>
    <row r="165" spans="1:23" x14ac:dyDescent="0.2">
      <c r="A165" s="1">
        <v>2</v>
      </c>
      <c r="B165" s="1" t="s">
        <v>558</v>
      </c>
      <c r="C165" s="1">
        <v>1</v>
      </c>
      <c r="D165" s="1" t="s">
        <v>303</v>
      </c>
      <c r="F165" s="4">
        <v>45414</v>
      </c>
      <c r="G165" s="3">
        <f>H165 + K165</f>
        <v>0.77929398148148155</v>
      </c>
      <c r="H165" s="3">
        <v>0.75787037037037042</v>
      </c>
      <c r="I165" s="1" t="s">
        <v>27</v>
      </c>
      <c r="J165" s="1" t="s">
        <v>27</v>
      </c>
      <c r="K165" s="3">
        <v>2.1423611111111112E-2</v>
      </c>
      <c r="L165" s="1">
        <v>2</v>
      </c>
      <c r="M165" s="1" t="s">
        <v>14</v>
      </c>
      <c r="N165" s="1">
        <v>2</v>
      </c>
      <c r="O165" s="1" t="s">
        <v>13</v>
      </c>
      <c r="Q165" s="1">
        <v>0.1</v>
      </c>
      <c r="R165" s="1">
        <v>0.1</v>
      </c>
      <c r="S165" s="1">
        <v>0</v>
      </c>
      <c r="U165" s="1" t="s">
        <v>608</v>
      </c>
      <c r="V165" s="1" t="s">
        <v>27</v>
      </c>
      <c r="W165" s="2" t="s">
        <v>541</v>
      </c>
    </row>
    <row r="166" spans="1:23" x14ac:dyDescent="0.2">
      <c r="A166" s="1">
        <v>2</v>
      </c>
      <c r="B166" s="1" t="s">
        <v>558</v>
      </c>
      <c r="C166" s="1">
        <v>1</v>
      </c>
      <c r="D166" s="1" t="s">
        <v>127</v>
      </c>
      <c r="F166" s="4">
        <v>45409</v>
      </c>
      <c r="G166" s="3">
        <v>0.77035879629629633</v>
      </c>
      <c r="H166" s="3">
        <v>0.77035879629629633</v>
      </c>
      <c r="I166" s="1" t="s">
        <v>27</v>
      </c>
      <c r="J166" s="1" t="s">
        <v>27</v>
      </c>
      <c r="K166" s="3">
        <v>8.5532407407407415E-3</v>
      </c>
      <c r="L166" s="1">
        <v>1</v>
      </c>
      <c r="M166" s="1" t="s">
        <v>14</v>
      </c>
      <c r="N166" s="1">
        <v>1</v>
      </c>
      <c r="O166" s="1" t="s">
        <v>14</v>
      </c>
      <c r="Q166" s="1">
        <v>0.05</v>
      </c>
      <c r="R166" s="1">
        <v>0.05</v>
      </c>
      <c r="S166" s="1">
        <v>1</v>
      </c>
      <c r="U166" s="1" t="s">
        <v>499</v>
      </c>
      <c r="V166" s="1" t="s">
        <v>27</v>
      </c>
      <c r="W166" s="2" t="s">
        <v>541</v>
      </c>
    </row>
    <row r="167" spans="1:23" x14ac:dyDescent="0.2">
      <c r="A167" s="1">
        <v>2</v>
      </c>
      <c r="B167" s="1" t="s">
        <v>575</v>
      </c>
      <c r="C167" s="1" t="s">
        <v>27</v>
      </c>
      <c r="D167" s="1" t="s">
        <v>127</v>
      </c>
      <c r="F167" s="4">
        <v>45409</v>
      </c>
      <c r="G167" s="1" t="s">
        <v>27</v>
      </c>
      <c r="H167" s="3">
        <v>0.77035879629629633</v>
      </c>
      <c r="I167" s="1" t="s">
        <v>27</v>
      </c>
      <c r="J167" s="1" t="s">
        <v>27</v>
      </c>
      <c r="K167" s="1" t="s">
        <v>27</v>
      </c>
      <c r="L167" s="1">
        <v>1</v>
      </c>
      <c r="M167" s="1" t="s">
        <v>13</v>
      </c>
      <c r="N167" s="1">
        <v>1</v>
      </c>
      <c r="O167" s="1" t="s">
        <v>13</v>
      </c>
      <c r="Q167" s="1">
        <v>0.05</v>
      </c>
      <c r="R167" s="1">
        <v>0.05</v>
      </c>
      <c r="S167" s="1" t="s">
        <v>27</v>
      </c>
      <c r="U167" s="1" t="s">
        <v>610</v>
      </c>
      <c r="V167" s="1" t="s">
        <v>27</v>
      </c>
      <c r="W167" s="2" t="s">
        <v>541</v>
      </c>
    </row>
    <row r="168" spans="1:23" x14ac:dyDescent="0.2">
      <c r="A168" s="1">
        <v>2</v>
      </c>
      <c r="B168" s="1" t="s">
        <v>558</v>
      </c>
      <c r="C168" s="1">
        <v>1</v>
      </c>
      <c r="D168" s="1" t="s">
        <v>264</v>
      </c>
      <c r="F168" s="4">
        <v>45406</v>
      </c>
      <c r="G168" s="1" t="s">
        <v>27</v>
      </c>
      <c r="H168" s="3">
        <v>0.76807870370370368</v>
      </c>
      <c r="I168" s="3">
        <v>4.6296296296296294E-5</v>
      </c>
      <c r="J168" s="3">
        <f>$H168 + $I168</f>
        <v>0.76812499999999995</v>
      </c>
      <c r="K168" s="1" t="s">
        <v>27</v>
      </c>
      <c r="L168" s="1">
        <v>1</v>
      </c>
      <c r="M168" s="1" t="s">
        <v>14</v>
      </c>
      <c r="Q168" s="1">
        <v>0.05</v>
      </c>
      <c r="R168" s="1">
        <v>0.05</v>
      </c>
      <c r="S168" s="1" t="s">
        <v>27</v>
      </c>
      <c r="U168" s="1" t="s">
        <v>612</v>
      </c>
      <c r="V168" s="1" t="s">
        <v>27</v>
      </c>
      <c r="W168" s="2" t="s">
        <v>541</v>
      </c>
    </row>
    <row r="169" spans="1:23" x14ac:dyDescent="0.2">
      <c r="A169" s="1">
        <v>2</v>
      </c>
      <c r="B169" s="1" t="s">
        <v>575</v>
      </c>
      <c r="C169" s="1">
        <v>1</v>
      </c>
      <c r="D169" s="1" t="s">
        <v>264</v>
      </c>
      <c r="F169" s="4">
        <v>45406</v>
      </c>
      <c r="G169" s="1" t="s">
        <v>27</v>
      </c>
      <c r="H169" s="3">
        <v>0.76807870370370368</v>
      </c>
      <c r="I169" s="3">
        <v>3.5879629629629629E-3</v>
      </c>
      <c r="J169" s="3">
        <f>$H169 + $I169</f>
        <v>0.77166666666666661</v>
      </c>
      <c r="K169" s="1" t="s">
        <v>27</v>
      </c>
      <c r="L169" s="1">
        <v>1</v>
      </c>
      <c r="M169" s="1" t="s">
        <v>13</v>
      </c>
      <c r="Q169" s="1">
        <v>0.05</v>
      </c>
      <c r="R169" s="1">
        <v>0.05</v>
      </c>
      <c r="S169" s="1" t="s">
        <v>27</v>
      </c>
      <c r="U169" s="1" t="s">
        <v>611</v>
      </c>
      <c r="V169" s="1" t="s">
        <v>27</v>
      </c>
      <c r="W169" s="2" t="s">
        <v>541</v>
      </c>
    </row>
    <row r="170" spans="1:23" x14ac:dyDescent="0.2">
      <c r="A170" s="1">
        <v>2</v>
      </c>
      <c r="B170" s="1" t="s">
        <v>558</v>
      </c>
      <c r="C170" s="1">
        <v>1</v>
      </c>
      <c r="D170" s="1" t="s">
        <v>265</v>
      </c>
      <c r="F170" s="4">
        <v>45410</v>
      </c>
      <c r="G170" s="3">
        <f>H170 + K170</f>
        <v>0.27209490740740744</v>
      </c>
      <c r="H170" s="3">
        <v>0.23586805555555557</v>
      </c>
      <c r="I170" s="3">
        <v>1.3726851851851851E-2</v>
      </c>
      <c r="J170" s="3">
        <f>$H170 + $I170</f>
        <v>0.24959490740740742</v>
      </c>
      <c r="K170" s="3">
        <v>3.622685185185185E-2</v>
      </c>
      <c r="L170" s="1">
        <v>1</v>
      </c>
      <c r="M170" s="1" t="s">
        <v>14</v>
      </c>
      <c r="N170" s="1">
        <v>1</v>
      </c>
      <c r="O170" s="1" t="s">
        <v>14</v>
      </c>
      <c r="Q170" s="1">
        <v>0.05</v>
      </c>
      <c r="R170" s="1">
        <v>0.05</v>
      </c>
      <c r="S170" s="1">
        <v>1</v>
      </c>
      <c r="U170" s="1" t="s">
        <v>615</v>
      </c>
      <c r="V170" s="1" t="s">
        <v>27</v>
      </c>
      <c r="W170" s="2" t="s">
        <v>541</v>
      </c>
    </row>
    <row r="171" spans="1:23" x14ac:dyDescent="0.2">
      <c r="A171" s="1">
        <v>2</v>
      </c>
      <c r="B171" s="1" t="s">
        <v>575</v>
      </c>
      <c r="C171" s="1">
        <v>1</v>
      </c>
      <c r="D171" s="1" t="s">
        <v>265</v>
      </c>
      <c r="F171" s="4">
        <v>45410</v>
      </c>
      <c r="G171" s="3">
        <f>H171 + K171</f>
        <v>0.26020833333333332</v>
      </c>
      <c r="H171" s="3">
        <v>0.23586805555555557</v>
      </c>
      <c r="I171" s="3" t="s">
        <v>27</v>
      </c>
      <c r="J171" s="1" t="s">
        <v>27</v>
      </c>
      <c r="K171" s="3">
        <v>2.4340277777777777E-2</v>
      </c>
      <c r="L171" s="1">
        <v>1</v>
      </c>
      <c r="M171" s="1" t="s">
        <v>13</v>
      </c>
      <c r="N171" s="1">
        <v>1</v>
      </c>
      <c r="O171" s="1" t="s">
        <v>13</v>
      </c>
      <c r="Q171" s="1">
        <v>0.05</v>
      </c>
      <c r="R171" s="1">
        <v>0.05</v>
      </c>
      <c r="S171" s="1" t="s">
        <v>27</v>
      </c>
      <c r="U171" s="1" t="s">
        <v>616</v>
      </c>
      <c r="V171" s="1" t="s">
        <v>27</v>
      </c>
      <c r="W171" s="2" t="s">
        <v>541</v>
      </c>
    </row>
    <row r="172" spans="1:23" x14ac:dyDescent="0.2">
      <c r="A172" s="1">
        <v>2</v>
      </c>
      <c r="B172" s="1" t="s">
        <v>558</v>
      </c>
      <c r="C172" s="1">
        <v>1</v>
      </c>
      <c r="D172" s="1" t="s">
        <v>266</v>
      </c>
      <c r="F172" s="4">
        <v>45410</v>
      </c>
      <c r="G172" s="3">
        <f>H172 + K172</f>
        <v>0.77182870370370371</v>
      </c>
      <c r="H172" s="3">
        <v>0.75760416666666663</v>
      </c>
      <c r="I172" s="3">
        <v>3.4837962962962965E-3</v>
      </c>
      <c r="J172" s="3">
        <f t="shared" ref="J172:J178" si="7">$H172 + $I172</f>
        <v>0.76108796296296288</v>
      </c>
      <c r="K172" s="3">
        <v>1.4224537037037037E-2</v>
      </c>
      <c r="L172" s="1">
        <v>1</v>
      </c>
      <c r="M172" s="1" t="s">
        <v>14</v>
      </c>
      <c r="N172" s="1">
        <v>1</v>
      </c>
      <c r="O172" s="1" t="s">
        <v>14</v>
      </c>
      <c r="Q172" s="1">
        <v>0.05</v>
      </c>
      <c r="R172" s="1">
        <v>0.05</v>
      </c>
      <c r="S172" s="1">
        <v>1</v>
      </c>
      <c r="V172" s="1" t="s">
        <v>27</v>
      </c>
      <c r="W172" s="2" t="s">
        <v>541</v>
      </c>
    </row>
    <row r="173" spans="1:23" x14ac:dyDescent="0.2">
      <c r="A173" s="1">
        <v>2</v>
      </c>
      <c r="B173" s="1" t="s">
        <v>575</v>
      </c>
      <c r="C173" s="1">
        <v>2</v>
      </c>
      <c r="D173" s="1" t="s">
        <v>266</v>
      </c>
      <c r="F173" s="4">
        <v>45410</v>
      </c>
      <c r="G173" s="1" t="s">
        <v>27</v>
      </c>
      <c r="H173" s="3">
        <v>0.75760416666666663</v>
      </c>
      <c r="I173" s="3">
        <v>2.3206018518518518E-2</v>
      </c>
      <c r="J173" s="3">
        <f t="shared" si="7"/>
        <v>0.78081018518518519</v>
      </c>
      <c r="K173" s="3" t="s">
        <v>27</v>
      </c>
      <c r="L173" s="1">
        <v>1</v>
      </c>
      <c r="M173" s="1" t="s">
        <v>13</v>
      </c>
      <c r="N173" s="1">
        <v>1</v>
      </c>
      <c r="O173" s="1" t="s">
        <v>13</v>
      </c>
      <c r="Q173" s="1">
        <v>0.05</v>
      </c>
      <c r="R173" s="1">
        <v>0.05</v>
      </c>
      <c r="S173" s="1" t="s">
        <v>27</v>
      </c>
      <c r="U173" s="1" t="s">
        <v>618</v>
      </c>
      <c r="V173" s="1" t="s">
        <v>27</v>
      </c>
      <c r="W173" s="2" t="s">
        <v>541</v>
      </c>
    </row>
    <row r="174" spans="1:23" x14ac:dyDescent="0.2">
      <c r="A174" s="1">
        <v>2</v>
      </c>
      <c r="B174" s="1" t="s">
        <v>575</v>
      </c>
      <c r="C174" s="1">
        <v>1</v>
      </c>
      <c r="D174" s="1" t="s">
        <v>266</v>
      </c>
      <c r="F174" s="4">
        <v>45410</v>
      </c>
      <c r="G174" s="1" t="s">
        <v>27</v>
      </c>
      <c r="H174" s="3">
        <v>0.75760416666666663</v>
      </c>
      <c r="I174" s="3">
        <v>1.8194444444444444E-2</v>
      </c>
      <c r="J174" s="3">
        <f t="shared" si="7"/>
        <v>0.77579861111111104</v>
      </c>
      <c r="K174" s="1" t="s">
        <v>27</v>
      </c>
      <c r="L174" s="1">
        <v>1</v>
      </c>
      <c r="M174" s="1" t="s">
        <v>13</v>
      </c>
      <c r="N174" s="1">
        <v>1</v>
      </c>
      <c r="O174" s="1" t="s">
        <v>13</v>
      </c>
      <c r="Q174" s="1">
        <v>0.05</v>
      </c>
      <c r="R174" s="1">
        <v>0.05</v>
      </c>
      <c r="S174" s="1" t="s">
        <v>27</v>
      </c>
      <c r="U174" s="1" t="s">
        <v>617</v>
      </c>
      <c r="V174" s="1" t="s">
        <v>27</v>
      </c>
      <c r="W174" s="2" t="s">
        <v>541</v>
      </c>
    </row>
    <row r="175" spans="1:23" x14ac:dyDescent="0.2">
      <c r="A175" s="1">
        <v>2</v>
      </c>
      <c r="B175" s="1" t="s">
        <v>575</v>
      </c>
      <c r="C175" s="1">
        <v>1</v>
      </c>
      <c r="D175" s="1" t="s">
        <v>306</v>
      </c>
      <c r="F175" s="4">
        <v>45415</v>
      </c>
      <c r="G175" s="3">
        <f>H175 + K175</f>
        <v>0.26935185185185184</v>
      </c>
      <c r="H175" s="3">
        <v>0.21716435185185184</v>
      </c>
      <c r="I175" s="3">
        <v>1.5219907407407408E-2</v>
      </c>
      <c r="J175" s="3">
        <f t="shared" si="7"/>
        <v>0.23238425925925926</v>
      </c>
      <c r="K175" s="3">
        <v>5.2187499999999998E-2</v>
      </c>
      <c r="L175" s="1">
        <v>3</v>
      </c>
      <c r="M175" s="1" t="s">
        <v>14</v>
      </c>
      <c r="N175" s="1">
        <v>3</v>
      </c>
      <c r="O175" s="1" t="s">
        <v>14</v>
      </c>
      <c r="Q175" s="1">
        <v>0.1</v>
      </c>
      <c r="R175" s="1">
        <v>0.1</v>
      </c>
      <c r="S175" s="1">
        <v>1</v>
      </c>
      <c r="V175" s="1" t="s">
        <v>27</v>
      </c>
      <c r="W175" s="2" t="s">
        <v>541</v>
      </c>
    </row>
    <row r="176" spans="1:23" x14ac:dyDescent="0.2">
      <c r="A176" s="1">
        <v>2</v>
      </c>
      <c r="B176" s="1" t="s">
        <v>558</v>
      </c>
      <c r="C176" s="1">
        <v>2</v>
      </c>
      <c r="D176" s="1" t="s">
        <v>306</v>
      </c>
      <c r="F176" s="4">
        <v>45415</v>
      </c>
      <c r="G176" s="3">
        <f>H176 + K176</f>
        <v>0.2772222222222222</v>
      </c>
      <c r="H176" s="3">
        <v>0.21716435185185184</v>
      </c>
      <c r="I176" s="3">
        <v>4.7939814814814817E-2</v>
      </c>
      <c r="J176" s="3">
        <f t="shared" si="7"/>
        <v>0.26510416666666664</v>
      </c>
      <c r="K176" s="3">
        <v>6.0057870370370373E-2</v>
      </c>
      <c r="L176" s="1">
        <v>3</v>
      </c>
      <c r="M176" s="1" t="s">
        <v>13</v>
      </c>
      <c r="N176" s="1">
        <v>3</v>
      </c>
      <c r="O176" s="1" t="s">
        <v>13</v>
      </c>
      <c r="Q176" s="1">
        <v>0.1</v>
      </c>
      <c r="R176" s="1">
        <v>0.1</v>
      </c>
      <c r="S176" s="1">
        <v>0</v>
      </c>
      <c r="U176" s="1" t="s">
        <v>614</v>
      </c>
      <c r="V176" s="1" t="s">
        <v>27</v>
      </c>
      <c r="W176" s="2" t="s">
        <v>541</v>
      </c>
    </row>
    <row r="177" spans="1:23" x14ac:dyDescent="0.2">
      <c r="A177" s="1">
        <v>2</v>
      </c>
      <c r="B177" s="1" t="s">
        <v>558</v>
      </c>
      <c r="C177" s="1">
        <v>1</v>
      </c>
      <c r="D177" s="1" t="s">
        <v>306</v>
      </c>
      <c r="F177" s="4">
        <v>45415</v>
      </c>
      <c r="G177" s="3">
        <f>H177 + K177</f>
        <v>0.26082175925925927</v>
      </c>
      <c r="H177" s="3">
        <v>0.21716435185185184</v>
      </c>
      <c r="I177" s="3">
        <v>2.5104166666666667E-2</v>
      </c>
      <c r="J177" s="3">
        <f t="shared" si="7"/>
        <v>0.24226851851851852</v>
      </c>
      <c r="K177" s="3">
        <v>4.3657407407407409E-2</v>
      </c>
      <c r="L177" s="1">
        <v>3</v>
      </c>
      <c r="M177" s="1" t="s">
        <v>13</v>
      </c>
      <c r="N177" s="1">
        <v>3</v>
      </c>
      <c r="O177" s="1" t="s">
        <v>13</v>
      </c>
      <c r="Q177" s="1">
        <v>0.1</v>
      </c>
      <c r="R177" s="1">
        <v>0.1</v>
      </c>
      <c r="S177" s="1">
        <v>0</v>
      </c>
      <c r="V177" s="1" t="s">
        <v>27</v>
      </c>
      <c r="W177" s="2" t="s">
        <v>541</v>
      </c>
    </row>
    <row r="178" spans="1:23" x14ac:dyDescent="0.2">
      <c r="A178" s="1">
        <v>2</v>
      </c>
      <c r="B178" s="1" t="s">
        <v>575</v>
      </c>
      <c r="C178" s="1">
        <v>1</v>
      </c>
      <c r="D178" s="1" t="s">
        <v>595</v>
      </c>
      <c r="F178" s="4">
        <v>45415</v>
      </c>
      <c r="G178" s="3">
        <f>H178 + K178</f>
        <v>0.78495370370370365</v>
      </c>
      <c r="H178" s="3">
        <v>0.75037037037037035</v>
      </c>
      <c r="I178" s="3">
        <v>8.0787037037037043E-3</v>
      </c>
      <c r="J178" s="3">
        <f t="shared" si="7"/>
        <v>0.75844907407407403</v>
      </c>
      <c r="K178" s="3">
        <v>3.4583333333333334E-2</v>
      </c>
      <c r="L178" s="1">
        <v>3</v>
      </c>
      <c r="M178" s="1" t="s">
        <v>14</v>
      </c>
      <c r="N178" s="1">
        <v>2</v>
      </c>
      <c r="O178" s="1" t="s">
        <v>13</v>
      </c>
      <c r="Q178" s="1">
        <v>0.1</v>
      </c>
      <c r="R178" s="1">
        <v>0.1</v>
      </c>
      <c r="S178" s="1">
        <v>1</v>
      </c>
      <c r="U178" s="1" t="s">
        <v>619</v>
      </c>
      <c r="V178" s="1" t="s">
        <v>27</v>
      </c>
      <c r="W178" s="2" t="s">
        <v>541</v>
      </c>
    </row>
    <row r="179" spans="1:23" x14ac:dyDescent="0.2">
      <c r="A179" s="1">
        <v>2</v>
      </c>
      <c r="B179" s="1" t="s">
        <v>558</v>
      </c>
      <c r="C179" s="1">
        <v>1</v>
      </c>
      <c r="D179" s="1" t="s">
        <v>595</v>
      </c>
      <c r="F179" s="4">
        <v>45415</v>
      </c>
      <c r="G179" s="3">
        <f>H179 + K179</f>
        <v>0.78583333333333327</v>
      </c>
      <c r="H179" s="3">
        <v>0.75037037037037035</v>
      </c>
      <c r="I179" s="1" t="s">
        <v>27</v>
      </c>
      <c r="J179" s="1" t="s">
        <v>27</v>
      </c>
      <c r="K179" s="3">
        <v>3.546296296296296E-2</v>
      </c>
      <c r="L179" s="1">
        <v>3</v>
      </c>
      <c r="M179" s="1" t="s">
        <v>13</v>
      </c>
      <c r="N179" s="1">
        <v>2</v>
      </c>
      <c r="O179" s="1" t="s">
        <v>14</v>
      </c>
      <c r="Q179" s="1">
        <v>0.1</v>
      </c>
      <c r="R179" s="1">
        <v>0.1</v>
      </c>
      <c r="S179" s="1">
        <v>1</v>
      </c>
      <c r="U179" s="1" t="s">
        <v>499</v>
      </c>
      <c r="V179" s="1" t="s">
        <v>27</v>
      </c>
      <c r="W179" s="2" t="s">
        <v>541</v>
      </c>
    </row>
    <row r="180" spans="1:23" x14ac:dyDescent="0.2">
      <c r="A180" s="1">
        <v>2</v>
      </c>
      <c r="B180" s="1" t="s">
        <v>558</v>
      </c>
      <c r="C180" s="1">
        <v>1</v>
      </c>
      <c r="D180" s="1" t="s">
        <v>621</v>
      </c>
      <c r="E180" s="1" t="s">
        <v>671</v>
      </c>
      <c r="F180" s="4">
        <v>45416</v>
      </c>
      <c r="G180" s="1" t="s">
        <v>27</v>
      </c>
      <c r="H180" s="3">
        <v>0.22187499999999999</v>
      </c>
      <c r="I180" s="3">
        <v>8.9930555555555562E-3</v>
      </c>
      <c r="J180" s="3">
        <f>$H180 + $I180</f>
        <v>0.23086805555555553</v>
      </c>
      <c r="K180" s="1" t="s">
        <v>27</v>
      </c>
      <c r="L180" s="1">
        <v>2</v>
      </c>
      <c r="M180" s="1" t="s">
        <v>13</v>
      </c>
      <c r="N180" s="1">
        <v>2</v>
      </c>
      <c r="O180" s="1" t="s">
        <v>14</v>
      </c>
      <c r="Q180" s="1">
        <v>0.1</v>
      </c>
      <c r="R180" s="1">
        <v>0.1</v>
      </c>
      <c r="S180" s="1" t="s">
        <v>27</v>
      </c>
      <c r="U180" s="1" t="s">
        <v>623</v>
      </c>
      <c r="V180" s="1" t="s">
        <v>27</v>
      </c>
      <c r="W180" s="2" t="s">
        <v>541</v>
      </c>
    </row>
    <row r="181" spans="1:23" x14ac:dyDescent="0.2">
      <c r="A181" s="1">
        <v>2</v>
      </c>
      <c r="B181" s="1" t="s">
        <v>575</v>
      </c>
      <c r="C181" s="1">
        <v>1</v>
      </c>
      <c r="D181" s="1" t="s">
        <v>620</v>
      </c>
      <c r="E181" s="1" t="s">
        <v>691</v>
      </c>
      <c r="F181" s="4">
        <v>45416</v>
      </c>
      <c r="G181" s="1" t="s">
        <v>27</v>
      </c>
      <c r="H181" s="3">
        <v>0.22187499999999999</v>
      </c>
      <c r="I181" s="3">
        <v>0</v>
      </c>
      <c r="J181" s="3">
        <f>$H181 + $I181</f>
        <v>0.22187499999999999</v>
      </c>
      <c r="K181" s="1" t="s">
        <v>27</v>
      </c>
      <c r="L181" s="1">
        <v>2</v>
      </c>
      <c r="M181" s="1" t="s">
        <v>14</v>
      </c>
      <c r="N181" s="1">
        <v>2</v>
      </c>
      <c r="O181" s="1" t="s">
        <v>13</v>
      </c>
      <c r="Q181" s="1">
        <v>0.1</v>
      </c>
      <c r="R181" s="1">
        <v>0.1</v>
      </c>
      <c r="S181" s="1" t="s">
        <v>85</v>
      </c>
      <c r="U181" s="1" t="s">
        <v>622</v>
      </c>
      <c r="V181" s="1" t="s">
        <v>27</v>
      </c>
      <c r="W181" s="2" t="s">
        <v>541</v>
      </c>
    </row>
    <row r="182" spans="1:23" x14ac:dyDescent="0.2">
      <c r="A182" s="1">
        <v>2</v>
      </c>
      <c r="B182" s="1" t="s">
        <v>624</v>
      </c>
      <c r="C182" s="1">
        <v>1</v>
      </c>
      <c r="D182" s="1" t="s">
        <v>495</v>
      </c>
      <c r="E182" s="1" t="s">
        <v>669</v>
      </c>
      <c r="F182" s="4">
        <v>45417</v>
      </c>
      <c r="G182" s="3">
        <f>H182 + K182</f>
        <v>0.78140046296296295</v>
      </c>
      <c r="H182" s="3">
        <v>0.77410879629629625</v>
      </c>
      <c r="I182" s="3">
        <v>3.5763888888888889E-3</v>
      </c>
      <c r="J182" s="3">
        <f>$H182 + $I182</f>
        <v>0.77768518518518515</v>
      </c>
      <c r="K182" s="3">
        <v>7.2916666666666668E-3</v>
      </c>
      <c r="L182" s="1">
        <v>1</v>
      </c>
      <c r="M182" s="1" t="s">
        <v>14</v>
      </c>
      <c r="N182" s="1">
        <v>1</v>
      </c>
      <c r="O182" s="1" t="s">
        <v>14</v>
      </c>
      <c r="Q182" s="1">
        <v>0.1</v>
      </c>
      <c r="R182" s="1">
        <v>0.1</v>
      </c>
      <c r="S182" s="1">
        <v>1</v>
      </c>
      <c r="U182" s="1" t="s">
        <v>626</v>
      </c>
      <c r="V182" s="1" t="s">
        <v>27</v>
      </c>
      <c r="W182" s="2" t="s">
        <v>541</v>
      </c>
    </row>
    <row r="183" spans="1:23" x14ac:dyDescent="0.2">
      <c r="A183" s="1">
        <v>2</v>
      </c>
      <c r="B183" s="1" t="s">
        <v>625</v>
      </c>
      <c r="C183" s="1" t="s">
        <v>27</v>
      </c>
      <c r="D183" s="1" t="s">
        <v>495</v>
      </c>
      <c r="E183" s="1" t="s">
        <v>669</v>
      </c>
      <c r="F183" s="4">
        <v>45417</v>
      </c>
      <c r="G183" s="1" t="s">
        <v>27</v>
      </c>
      <c r="H183" s="3">
        <v>0.77410879629629625</v>
      </c>
      <c r="I183" s="1" t="s">
        <v>27</v>
      </c>
      <c r="J183" s="1" t="s">
        <v>27</v>
      </c>
      <c r="K183" s="1" t="s">
        <v>27</v>
      </c>
      <c r="L183" s="1">
        <v>1</v>
      </c>
      <c r="M183" s="1" t="s">
        <v>13</v>
      </c>
      <c r="N183" s="1">
        <v>1</v>
      </c>
      <c r="O183" s="1" t="s">
        <v>13</v>
      </c>
      <c r="Q183" s="1">
        <v>0.1</v>
      </c>
      <c r="R183" s="1">
        <v>0.1</v>
      </c>
      <c r="S183" s="1" t="s">
        <v>27</v>
      </c>
      <c r="U183" s="1" t="s">
        <v>627</v>
      </c>
      <c r="V183" s="1" t="s">
        <v>27</v>
      </c>
      <c r="W183" s="2" t="s">
        <v>541</v>
      </c>
    </row>
    <row r="184" spans="1:23" x14ac:dyDescent="0.2">
      <c r="A184" s="1">
        <v>2</v>
      </c>
      <c r="B184" s="1" t="s">
        <v>624</v>
      </c>
      <c r="C184" s="1">
        <v>1</v>
      </c>
      <c r="D184" s="1" t="s">
        <v>494</v>
      </c>
      <c r="E184" s="1" t="s">
        <v>669</v>
      </c>
      <c r="F184" s="4">
        <v>45418</v>
      </c>
      <c r="G184" s="3">
        <f>H184 + K184</f>
        <v>0.24024305555555556</v>
      </c>
      <c r="H184" s="3">
        <v>0.22297453703703704</v>
      </c>
      <c r="I184" s="3">
        <v>1.1018518518518518E-2</v>
      </c>
      <c r="J184" s="3">
        <f>$H184 + $I184</f>
        <v>0.23399305555555555</v>
      </c>
      <c r="K184" s="3">
        <v>1.726851851851852E-2</v>
      </c>
      <c r="L184" s="1">
        <v>1</v>
      </c>
      <c r="M184" s="1" t="s">
        <v>14</v>
      </c>
      <c r="N184" s="1">
        <v>1</v>
      </c>
      <c r="O184" s="1" t="s">
        <v>14</v>
      </c>
      <c r="Q184" s="1">
        <v>0.1</v>
      </c>
      <c r="R184" s="1">
        <v>0.1</v>
      </c>
      <c r="S184" s="1">
        <v>1</v>
      </c>
      <c r="V184" s="1" t="s">
        <v>27</v>
      </c>
      <c r="W184" s="2" t="s">
        <v>541</v>
      </c>
    </row>
    <row r="185" spans="1:23" x14ac:dyDescent="0.2">
      <c r="A185" s="1">
        <v>2</v>
      </c>
      <c r="B185" s="1" t="s">
        <v>625</v>
      </c>
      <c r="C185" s="1" t="s">
        <v>27</v>
      </c>
      <c r="D185" s="1" t="s">
        <v>494</v>
      </c>
      <c r="E185" s="1" t="s">
        <v>669</v>
      </c>
      <c r="F185" s="4">
        <v>45418</v>
      </c>
      <c r="G185" s="1" t="s">
        <v>27</v>
      </c>
      <c r="H185" s="3">
        <v>0.22297453703703704</v>
      </c>
      <c r="I185" s="1" t="s">
        <v>27</v>
      </c>
      <c r="J185" s="1" t="s">
        <v>27</v>
      </c>
      <c r="K185" s="1" t="s">
        <v>27</v>
      </c>
      <c r="L185" s="1">
        <v>1</v>
      </c>
      <c r="M185" s="1" t="s">
        <v>13</v>
      </c>
      <c r="N185" s="1">
        <v>1</v>
      </c>
      <c r="O185" s="1" t="s">
        <v>13</v>
      </c>
      <c r="Q185" s="1">
        <v>0.1</v>
      </c>
      <c r="R185" s="1">
        <v>0.1</v>
      </c>
      <c r="S185" s="1" t="s">
        <v>27</v>
      </c>
      <c r="U185" s="1" t="s">
        <v>630</v>
      </c>
      <c r="V185" s="1" t="s">
        <v>27</v>
      </c>
      <c r="W185" s="2" t="s">
        <v>541</v>
      </c>
    </row>
    <row r="186" spans="1:23" x14ac:dyDescent="0.2">
      <c r="A186" s="1">
        <v>2</v>
      </c>
      <c r="B186" s="1" t="s">
        <v>624</v>
      </c>
      <c r="C186" s="1">
        <v>1</v>
      </c>
      <c r="D186" s="1" t="s">
        <v>486</v>
      </c>
      <c r="E186" s="1" t="s">
        <v>669</v>
      </c>
      <c r="F186" s="4">
        <v>45419</v>
      </c>
      <c r="G186" s="3">
        <f>H186 + K186</f>
        <v>0.23739583333333331</v>
      </c>
      <c r="H186" s="3">
        <v>0.22049768518518517</v>
      </c>
      <c r="I186" s="3">
        <v>7.5462962962962966E-3</v>
      </c>
      <c r="K186" s="3">
        <v>1.6898148148148148E-2</v>
      </c>
      <c r="L186" s="1">
        <v>1</v>
      </c>
      <c r="M186" s="1" t="s">
        <v>14</v>
      </c>
      <c r="N186" s="1">
        <v>1</v>
      </c>
      <c r="O186" s="1" t="s">
        <v>14</v>
      </c>
      <c r="Q186" s="1">
        <v>0.1</v>
      </c>
      <c r="R186" s="1">
        <v>0.1</v>
      </c>
      <c r="S186" s="1">
        <v>1</v>
      </c>
      <c r="V186" s="1" t="s">
        <v>27</v>
      </c>
      <c r="W186" s="2" t="s">
        <v>541</v>
      </c>
    </row>
    <row r="187" spans="1:23" x14ac:dyDescent="0.2">
      <c r="A187" s="1">
        <v>2</v>
      </c>
      <c r="B187" s="1" t="s">
        <v>625</v>
      </c>
      <c r="C187" s="1" t="s">
        <v>27</v>
      </c>
      <c r="D187" s="1" t="s">
        <v>261</v>
      </c>
      <c r="E187" s="1" t="s">
        <v>669</v>
      </c>
      <c r="F187" s="4">
        <v>45418</v>
      </c>
      <c r="G187" s="3" t="s">
        <v>27</v>
      </c>
      <c r="H187" s="3">
        <v>0.76620370370370372</v>
      </c>
      <c r="I187" s="1" t="s">
        <v>27</v>
      </c>
      <c r="J187" s="1" t="s">
        <v>27</v>
      </c>
      <c r="K187" s="1" t="s">
        <v>27</v>
      </c>
      <c r="L187" s="1">
        <v>1</v>
      </c>
      <c r="M187" s="1" t="s">
        <v>13</v>
      </c>
      <c r="N187" s="1">
        <v>1</v>
      </c>
      <c r="O187" s="1" t="s">
        <v>13</v>
      </c>
      <c r="Q187" s="1">
        <v>0.1</v>
      </c>
      <c r="R187" s="1">
        <v>0.1</v>
      </c>
      <c r="S187" s="1" t="s">
        <v>27</v>
      </c>
      <c r="U187" s="1" t="s">
        <v>690</v>
      </c>
      <c r="V187" s="1" t="s">
        <v>27</v>
      </c>
      <c r="W187" s="2" t="s">
        <v>541</v>
      </c>
    </row>
    <row r="188" spans="1:23" x14ac:dyDescent="0.2">
      <c r="A188" s="1">
        <v>2</v>
      </c>
      <c r="B188" s="1" t="s">
        <v>624</v>
      </c>
      <c r="C188" s="1">
        <v>1</v>
      </c>
      <c r="D188" s="1" t="s">
        <v>261</v>
      </c>
      <c r="E188" s="1" t="s">
        <v>669</v>
      </c>
      <c r="F188" s="4">
        <v>45418</v>
      </c>
      <c r="G188" s="3">
        <f>H188 + K188</f>
        <v>0.78</v>
      </c>
      <c r="H188" s="3">
        <v>0.76620370370370372</v>
      </c>
      <c r="I188" s="3">
        <v>1.1886574074074074E-2</v>
      </c>
      <c r="J188" s="3">
        <f>$H188 + $I188</f>
        <v>0.77809027777777784</v>
      </c>
      <c r="K188" s="3">
        <v>1.3796296296296296E-2</v>
      </c>
      <c r="L188" s="1">
        <v>1</v>
      </c>
      <c r="M188" s="1" t="s">
        <v>14</v>
      </c>
      <c r="N188" s="1">
        <v>1</v>
      </c>
      <c r="O188" s="1" t="s">
        <v>14</v>
      </c>
      <c r="Q188" s="1">
        <v>0.1</v>
      </c>
      <c r="R188" s="1">
        <v>0.1</v>
      </c>
      <c r="S188" s="1">
        <v>1</v>
      </c>
      <c r="V188" s="1" t="s">
        <v>27</v>
      </c>
      <c r="W188" s="2" t="s">
        <v>541</v>
      </c>
    </row>
    <row r="189" spans="1:23" x14ac:dyDescent="0.2">
      <c r="A189" s="1">
        <v>2</v>
      </c>
      <c r="B189" s="1" t="s">
        <v>624</v>
      </c>
      <c r="C189" s="1">
        <v>1</v>
      </c>
      <c r="D189" s="1" t="s">
        <v>641</v>
      </c>
      <c r="E189" s="1" t="s">
        <v>669</v>
      </c>
      <c r="G189" s="3">
        <v>2.4398148148148148E-2</v>
      </c>
      <c r="I189" s="3">
        <v>1.5902777777777776E-2</v>
      </c>
    </row>
    <row r="190" spans="1:23" x14ac:dyDescent="0.2">
      <c r="A190" s="1">
        <v>2</v>
      </c>
      <c r="B190" s="1" t="s">
        <v>625</v>
      </c>
      <c r="C190" s="1">
        <v>1</v>
      </c>
      <c r="D190" s="1" t="s">
        <v>641</v>
      </c>
      <c r="E190" s="1" t="s">
        <v>669</v>
      </c>
      <c r="G190" s="3">
        <v>2.539351851851852E-2</v>
      </c>
      <c r="I190" s="3">
        <v>1.8483796296296297E-2</v>
      </c>
    </row>
    <row r="191" spans="1:23" x14ac:dyDescent="0.2">
      <c r="A191" s="1">
        <v>2</v>
      </c>
      <c r="B191" s="1" t="s">
        <v>625</v>
      </c>
      <c r="C191" s="1">
        <v>1</v>
      </c>
      <c r="D191" s="1" t="s">
        <v>519</v>
      </c>
      <c r="E191" s="1" t="s">
        <v>669</v>
      </c>
      <c r="I191" s="1" t="s">
        <v>27</v>
      </c>
      <c r="J191" s="1" t="s">
        <v>27</v>
      </c>
      <c r="K191" s="3">
        <v>1.8773148148148146E-2</v>
      </c>
      <c r="L191" s="1">
        <v>1</v>
      </c>
      <c r="M191" s="1" t="s">
        <v>13</v>
      </c>
      <c r="N191" s="1">
        <v>1</v>
      </c>
      <c r="O191" s="1" t="s">
        <v>14</v>
      </c>
      <c r="Q191" s="1">
        <v>0.1</v>
      </c>
      <c r="R191" s="1">
        <v>0.1</v>
      </c>
      <c r="S191" s="1">
        <v>0</v>
      </c>
      <c r="V191" s="1" t="s">
        <v>27</v>
      </c>
      <c r="W191" s="2" t="s">
        <v>541</v>
      </c>
    </row>
    <row r="192" spans="1:23" x14ac:dyDescent="0.2">
      <c r="A192" s="1">
        <v>2</v>
      </c>
      <c r="B192" s="1" t="s">
        <v>624</v>
      </c>
      <c r="C192" s="1">
        <v>1</v>
      </c>
      <c r="D192" s="1" t="s">
        <v>519</v>
      </c>
      <c r="E192" s="1" t="s">
        <v>669</v>
      </c>
      <c r="G192" s="1" t="s">
        <v>27</v>
      </c>
      <c r="I192" s="1" t="s">
        <v>27</v>
      </c>
      <c r="J192" s="1" t="s">
        <v>27</v>
      </c>
      <c r="K192" s="1" t="s">
        <v>27</v>
      </c>
      <c r="L192" s="1">
        <v>1</v>
      </c>
      <c r="M192" s="1" t="s">
        <v>14</v>
      </c>
      <c r="N192" s="1">
        <v>1</v>
      </c>
      <c r="O192" s="1" t="s">
        <v>13</v>
      </c>
      <c r="Q192" s="1">
        <v>0.1</v>
      </c>
      <c r="R192" s="1">
        <v>0.1</v>
      </c>
      <c r="S192" s="1" t="s">
        <v>27</v>
      </c>
      <c r="U192" s="1" t="s">
        <v>643</v>
      </c>
      <c r="V192" s="1" t="s">
        <v>27</v>
      </c>
      <c r="W192" s="2" t="s">
        <v>541</v>
      </c>
    </row>
    <row r="193" spans="1:25" x14ac:dyDescent="0.2">
      <c r="A193" s="1">
        <v>2</v>
      </c>
      <c r="B193" s="1" t="s">
        <v>625</v>
      </c>
      <c r="C193" s="1">
        <v>1</v>
      </c>
      <c r="D193" s="1" t="s">
        <v>517</v>
      </c>
      <c r="E193" s="1" t="s">
        <v>669</v>
      </c>
      <c r="F193" s="4">
        <v>45421</v>
      </c>
      <c r="H193" s="3">
        <v>0.77157407407407408</v>
      </c>
      <c r="I193" s="3">
        <v>9.1435185185185185E-4</v>
      </c>
      <c r="J193" s="3">
        <f>$H193 + $I193</f>
        <v>0.77248842592592593</v>
      </c>
      <c r="K193" s="3">
        <v>3.5416666666666665E-3</v>
      </c>
      <c r="L193" s="1">
        <v>1</v>
      </c>
      <c r="M193" s="1" t="s">
        <v>13</v>
      </c>
      <c r="N193" s="1">
        <v>1</v>
      </c>
      <c r="O193" s="1" t="s">
        <v>13</v>
      </c>
      <c r="Q193" s="1">
        <v>0.1</v>
      </c>
      <c r="R193" s="1">
        <v>0.1</v>
      </c>
      <c r="S193" s="1">
        <v>1</v>
      </c>
      <c r="V193" s="1" t="s">
        <v>27</v>
      </c>
      <c r="W193" s="2" t="s">
        <v>541</v>
      </c>
    </row>
    <row r="194" spans="1:25" x14ac:dyDescent="0.2">
      <c r="A194" s="1">
        <v>2</v>
      </c>
      <c r="B194" s="1" t="s">
        <v>624</v>
      </c>
      <c r="C194" s="1">
        <v>1</v>
      </c>
      <c r="D194" s="1" t="s">
        <v>517</v>
      </c>
      <c r="E194" s="1" t="s">
        <v>669</v>
      </c>
      <c r="F194" s="4">
        <v>45421</v>
      </c>
      <c r="G194" s="1" t="s">
        <v>27</v>
      </c>
      <c r="H194" s="3">
        <v>0.77157407407407408</v>
      </c>
      <c r="I194" s="3">
        <v>2.6967592592592594E-3</v>
      </c>
      <c r="J194" s="1" t="s">
        <v>27</v>
      </c>
      <c r="K194" s="1" t="s">
        <v>27</v>
      </c>
      <c r="L194" s="1">
        <v>1</v>
      </c>
      <c r="M194" s="1" t="s">
        <v>14</v>
      </c>
      <c r="N194" s="1">
        <v>1</v>
      </c>
      <c r="O194" s="1" t="s">
        <v>13</v>
      </c>
      <c r="Q194" s="1">
        <v>0.1</v>
      </c>
      <c r="R194" s="1">
        <v>0.1</v>
      </c>
      <c r="S194" s="1" t="s">
        <v>27</v>
      </c>
      <c r="U194" s="1" t="s">
        <v>645</v>
      </c>
      <c r="V194" s="1" t="s">
        <v>27</v>
      </c>
      <c r="W194" s="2" t="s">
        <v>541</v>
      </c>
    </row>
    <row r="195" spans="1:25" x14ac:dyDescent="0.2">
      <c r="A195" s="1">
        <v>2</v>
      </c>
      <c r="B195" s="1" t="s">
        <v>625</v>
      </c>
      <c r="C195" s="1">
        <v>1</v>
      </c>
      <c r="D195" s="1" t="s">
        <v>638</v>
      </c>
      <c r="E195" s="1" t="s">
        <v>669</v>
      </c>
      <c r="F195" s="4">
        <v>45422</v>
      </c>
      <c r="H195" s="3">
        <v>0.22137731481481482</v>
      </c>
      <c r="I195" s="1" t="s">
        <v>27</v>
      </c>
      <c r="J195" s="1" t="s">
        <v>27</v>
      </c>
      <c r="L195" s="1">
        <v>1</v>
      </c>
      <c r="M195" s="1" t="s">
        <v>13</v>
      </c>
      <c r="N195" s="1">
        <v>1</v>
      </c>
      <c r="O195" s="1" t="s">
        <v>13</v>
      </c>
      <c r="Q195" s="1">
        <v>0.1</v>
      </c>
      <c r="R195" s="1">
        <v>0.1</v>
      </c>
      <c r="S195" s="1">
        <v>0</v>
      </c>
      <c r="U195" s="1" t="s">
        <v>648</v>
      </c>
      <c r="V195" s="1" t="s">
        <v>27</v>
      </c>
      <c r="W195" s="2" t="s">
        <v>541</v>
      </c>
    </row>
    <row r="196" spans="1:25" x14ac:dyDescent="0.2">
      <c r="A196" s="1">
        <v>2</v>
      </c>
      <c r="B196" s="1" t="s">
        <v>624</v>
      </c>
      <c r="C196" s="1">
        <v>1</v>
      </c>
      <c r="D196" s="1" t="s">
        <v>638</v>
      </c>
      <c r="E196" s="1" t="s">
        <v>669</v>
      </c>
      <c r="F196" s="4">
        <v>45422</v>
      </c>
      <c r="H196" s="3">
        <v>0.22137731481481482</v>
      </c>
      <c r="I196" s="1" t="s">
        <v>27</v>
      </c>
      <c r="J196" s="1" t="s">
        <v>27</v>
      </c>
      <c r="L196" s="1">
        <v>1</v>
      </c>
      <c r="M196" s="1" t="s">
        <v>14</v>
      </c>
      <c r="N196" s="1">
        <v>1</v>
      </c>
      <c r="O196" s="1" t="s">
        <v>14</v>
      </c>
      <c r="Q196" s="1">
        <v>0.1</v>
      </c>
      <c r="R196" s="1">
        <v>0.1</v>
      </c>
      <c r="S196" s="1">
        <v>0</v>
      </c>
      <c r="U196" s="1" t="s">
        <v>647</v>
      </c>
      <c r="V196" s="1" t="s">
        <v>27</v>
      </c>
      <c r="W196" s="2" t="s">
        <v>541</v>
      </c>
    </row>
    <row r="197" spans="1:25" x14ac:dyDescent="0.2">
      <c r="A197" s="1">
        <v>2</v>
      </c>
      <c r="B197" s="1" t="s">
        <v>625</v>
      </c>
      <c r="C197" s="1">
        <v>1</v>
      </c>
      <c r="D197" s="1" t="s">
        <v>644</v>
      </c>
      <c r="E197" s="1" t="s">
        <v>669</v>
      </c>
      <c r="F197" s="4">
        <v>45423</v>
      </c>
      <c r="G197" s="3">
        <f>H197 + K197</f>
        <v>0.24792824074074074</v>
      </c>
      <c r="H197" s="3">
        <v>0.22122685185185184</v>
      </c>
      <c r="I197" s="3">
        <v>0</v>
      </c>
      <c r="J197" s="3">
        <f>$H197 + $I197</f>
        <v>0.22122685185185184</v>
      </c>
      <c r="K197" s="3">
        <v>2.6701388888888889E-2</v>
      </c>
      <c r="L197" s="1">
        <v>2</v>
      </c>
      <c r="M197" s="1" t="s">
        <v>14</v>
      </c>
      <c r="N197" s="1">
        <v>2</v>
      </c>
      <c r="O197" s="1" t="s">
        <v>14</v>
      </c>
      <c r="Q197" s="1">
        <v>0.1</v>
      </c>
      <c r="R197" s="1">
        <v>0.1</v>
      </c>
      <c r="S197" s="1">
        <v>0</v>
      </c>
      <c r="V197" s="1" t="s">
        <v>27</v>
      </c>
      <c r="W197" s="2" t="s">
        <v>541</v>
      </c>
    </row>
    <row r="198" spans="1:25" x14ac:dyDescent="0.2">
      <c r="A198" s="1">
        <v>2</v>
      </c>
      <c r="B198" s="1" t="s">
        <v>624</v>
      </c>
      <c r="C198" s="1">
        <v>1</v>
      </c>
      <c r="D198" s="1" t="s">
        <v>644</v>
      </c>
      <c r="E198" s="1" t="s">
        <v>669</v>
      </c>
      <c r="F198" s="4">
        <v>45423</v>
      </c>
      <c r="G198" s="3">
        <f>H198 + K198</f>
        <v>0.24557870370370369</v>
      </c>
      <c r="H198" s="3">
        <v>0.22122685185185184</v>
      </c>
      <c r="I198" s="3">
        <v>4.9189814814814816E-3</v>
      </c>
      <c r="J198" s="3">
        <f>$H198 + $I198</f>
        <v>0.22614583333333332</v>
      </c>
      <c r="K198" s="3">
        <v>2.435185185185185E-2</v>
      </c>
      <c r="L198" s="1">
        <v>2</v>
      </c>
      <c r="M198" s="1" t="s">
        <v>13</v>
      </c>
      <c r="N198" s="1">
        <v>2</v>
      </c>
      <c r="O198" s="1" t="s">
        <v>13</v>
      </c>
      <c r="Q198" s="1">
        <v>0.1</v>
      </c>
      <c r="R198" s="1">
        <v>0.1</v>
      </c>
      <c r="S198" s="1">
        <v>0</v>
      </c>
      <c r="U198" s="1" t="s">
        <v>654</v>
      </c>
      <c r="V198" s="1" t="s">
        <v>27</v>
      </c>
      <c r="W198" s="2" t="s">
        <v>541</v>
      </c>
    </row>
    <row r="199" spans="1:25" x14ac:dyDescent="0.2">
      <c r="A199" s="1">
        <v>2</v>
      </c>
      <c r="B199" s="1" t="s">
        <v>625</v>
      </c>
      <c r="C199" s="1">
        <v>1</v>
      </c>
      <c r="D199" s="1" t="s">
        <v>520</v>
      </c>
      <c r="E199" s="1" t="s">
        <v>669</v>
      </c>
      <c r="F199" s="4">
        <v>45422</v>
      </c>
      <c r="G199" s="3">
        <f>H199 + K199</f>
        <v>0.78847222222222224</v>
      </c>
      <c r="H199" s="3">
        <v>0.7610069444444445</v>
      </c>
      <c r="I199" s="3">
        <v>1.4293981481481482E-2</v>
      </c>
      <c r="J199" s="3">
        <f>$H199 + $I199</f>
        <v>0.77530092592592603</v>
      </c>
      <c r="K199" s="3">
        <v>2.7465277777777779E-2</v>
      </c>
      <c r="L199" s="1">
        <v>2</v>
      </c>
      <c r="M199" s="1" t="s">
        <v>14</v>
      </c>
      <c r="N199" s="1">
        <v>2</v>
      </c>
      <c r="O199" s="1" t="s">
        <v>14</v>
      </c>
      <c r="Q199" s="1">
        <v>0.1</v>
      </c>
      <c r="R199" s="1">
        <v>0.1</v>
      </c>
      <c r="S199" s="1">
        <v>0</v>
      </c>
      <c r="V199" s="1" t="s">
        <v>27</v>
      </c>
      <c r="W199" s="2" t="s">
        <v>541</v>
      </c>
    </row>
    <row r="200" spans="1:25" x14ac:dyDescent="0.2">
      <c r="A200" s="1">
        <v>2</v>
      </c>
      <c r="B200" s="1" t="s">
        <v>624</v>
      </c>
      <c r="C200" s="1">
        <v>1</v>
      </c>
      <c r="D200" s="1" t="s">
        <v>520</v>
      </c>
      <c r="E200" s="1" t="s">
        <v>669</v>
      </c>
      <c r="F200" s="4">
        <v>45422</v>
      </c>
      <c r="G200" s="3">
        <f>H200 + K200</f>
        <v>0.78931712962962963</v>
      </c>
      <c r="H200" s="3">
        <v>0.7610069444444445</v>
      </c>
      <c r="I200" s="1" t="s">
        <v>27</v>
      </c>
      <c r="J200" s="1" t="s">
        <v>27</v>
      </c>
      <c r="K200" s="3">
        <v>2.8310185185185185E-2</v>
      </c>
      <c r="L200" s="1">
        <v>2</v>
      </c>
      <c r="M200" s="1" t="s">
        <v>13</v>
      </c>
      <c r="N200" s="1">
        <v>2</v>
      </c>
      <c r="O200" s="1" t="s">
        <v>13</v>
      </c>
      <c r="Q200" s="1">
        <v>0.1</v>
      </c>
      <c r="R200" s="1">
        <v>0.1</v>
      </c>
      <c r="S200" s="1">
        <v>0</v>
      </c>
      <c r="V200" s="1" t="s">
        <v>27</v>
      </c>
      <c r="W200" s="2" t="s">
        <v>541</v>
      </c>
    </row>
    <row r="201" spans="1:25" x14ac:dyDescent="0.2">
      <c r="A201" s="1" t="s">
        <v>27</v>
      </c>
      <c r="B201" s="1" t="s">
        <v>27</v>
      </c>
      <c r="C201" s="1" t="s">
        <v>27</v>
      </c>
      <c r="D201" s="1" t="s">
        <v>27</v>
      </c>
      <c r="E201" s="1" t="s">
        <v>27</v>
      </c>
      <c r="F201" s="4">
        <v>45423</v>
      </c>
      <c r="G201" s="1" t="s">
        <v>27</v>
      </c>
      <c r="H201" s="1" t="s">
        <v>27</v>
      </c>
      <c r="I201" s="1" t="s">
        <v>27</v>
      </c>
      <c r="J201" s="1" t="s">
        <v>27</v>
      </c>
      <c r="K201" s="1" t="s">
        <v>27</v>
      </c>
      <c r="L201" s="1" t="s">
        <v>27</v>
      </c>
      <c r="M201" s="1" t="s">
        <v>27</v>
      </c>
      <c r="N201" s="1" t="s">
        <v>27</v>
      </c>
      <c r="O201" s="1" t="s">
        <v>27</v>
      </c>
      <c r="Q201" s="1" t="s">
        <v>27</v>
      </c>
      <c r="R201" s="1" t="s">
        <v>27</v>
      </c>
      <c r="S201" s="1" t="s">
        <v>27</v>
      </c>
      <c r="T201" s="1" t="s">
        <v>27</v>
      </c>
      <c r="U201" s="1" t="s">
        <v>657</v>
      </c>
      <c r="V201" s="1" t="s">
        <v>27</v>
      </c>
      <c r="W201" s="1" t="s">
        <v>27</v>
      </c>
      <c r="X201" s="1" t="s">
        <v>27</v>
      </c>
      <c r="Y201" s="1" t="s">
        <v>27</v>
      </c>
    </row>
    <row r="202" spans="1:25" s="28" customFormat="1" x14ac:dyDescent="0.2">
      <c r="A202" s="28">
        <v>2</v>
      </c>
      <c r="B202" s="28" t="s">
        <v>625</v>
      </c>
      <c r="C202" s="28">
        <v>1</v>
      </c>
      <c r="D202" s="28" t="s">
        <v>656</v>
      </c>
      <c r="E202" s="28" t="s">
        <v>669</v>
      </c>
      <c r="F202" s="31">
        <v>45424</v>
      </c>
      <c r="G202" s="34">
        <f t="shared" ref="G202:G211" si="8">H202 + K202</f>
        <v>0.23504629629629628</v>
      </c>
      <c r="H202" s="34">
        <v>0.22221064814814814</v>
      </c>
      <c r="I202" s="28" t="s">
        <v>27</v>
      </c>
      <c r="J202" s="28" t="s">
        <v>27</v>
      </c>
      <c r="K202" s="34">
        <v>1.2835648148148148E-2</v>
      </c>
      <c r="L202" s="28">
        <v>2</v>
      </c>
      <c r="M202" s="28" t="s">
        <v>14</v>
      </c>
      <c r="N202" s="28">
        <v>2</v>
      </c>
      <c r="O202" s="28" t="s">
        <v>14</v>
      </c>
      <c r="Q202" s="28">
        <v>0.1</v>
      </c>
      <c r="R202" s="28">
        <v>0.1</v>
      </c>
      <c r="S202" s="28">
        <v>0</v>
      </c>
      <c r="U202" s="28" t="s">
        <v>658</v>
      </c>
      <c r="V202" s="28" t="s">
        <v>27</v>
      </c>
      <c r="W202" s="35" t="s">
        <v>541</v>
      </c>
      <c r="X202" s="35"/>
      <c r="Y202" s="35"/>
    </row>
    <row r="203" spans="1:25" s="28" customFormat="1" x14ac:dyDescent="0.2">
      <c r="A203" s="28">
        <v>2</v>
      </c>
      <c r="B203" s="28" t="s">
        <v>625</v>
      </c>
      <c r="C203" s="28">
        <v>2</v>
      </c>
      <c r="D203" s="28" t="s">
        <v>656</v>
      </c>
      <c r="E203" s="28" t="s">
        <v>669</v>
      </c>
      <c r="F203" s="31">
        <v>45424</v>
      </c>
      <c r="G203" s="34">
        <f t="shared" si="8"/>
        <v>0.24569444444444444</v>
      </c>
      <c r="H203" s="34">
        <v>0.22221064814814814</v>
      </c>
      <c r="I203" s="34">
        <v>1.3321759259259259E-2</v>
      </c>
      <c r="J203" s="34">
        <f t="shared" ref="J203:J210" si="9">$H203 + $I203</f>
        <v>0.23553240740740741</v>
      </c>
      <c r="K203" s="34">
        <v>2.3483796296296298E-2</v>
      </c>
      <c r="L203" s="28">
        <v>2</v>
      </c>
      <c r="M203" s="28" t="s">
        <v>14</v>
      </c>
      <c r="N203" s="28">
        <v>2</v>
      </c>
      <c r="O203" s="28" t="s">
        <v>14</v>
      </c>
      <c r="Q203" s="28">
        <v>0.1</v>
      </c>
      <c r="R203" s="28">
        <v>0.1</v>
      </c>
      <c r="S203" s="28">
        <v>1</v>
      </c>
      <c r="U203" s="28" t="s">
        <v>659</v>
      </c>
      <c r="V203" s="28" t="s">
        <v>27</v>
      </c>
      <c r="W203" s="35" t="s">
        <v>541</v>
      </c>
      <c r="X203" s="35"/>
      <c r="Y203" s="35"/>
    </row>
    <row r="204" spans="1:25" s="28" customFormat="1" x14ac:dyDescent="0.2">
      <c r="A204" s="28">
        <v>2</v>
      </c>
      <c r="B204" s="28" t="s">
        <v>624</v>
      </c>
      <c r="C204" s="28">
        <v>1</v>
      </c>
      <c r="D204" s="28" t="s">
        <v>656</v>
      </c>
      <c r="E204" s="28" t="s">
        <v>669</v>
      </c>
      <c r="F204" s="31">
        <v>45424</v>
      </c>
      <c r="G204" s="34">
        <f t="shared" si="8"/>
        <v>0.2459375</v>
      </c>
      <c r="H204" s="34">
        <v>0.22221064814814814</v>
      </c>
      <c r="I204" s="34">
        <v>8.2291666666666659E-3</v>
      </c>
      <c r="J204" s="34">
        <f t="shared" si="9"/>
        <v>0.23043981481481482</v>
      </c>
      <c r="K204" s="34">
        <v>2.3726851851851853E-2</v>
      </c>
      <c r="L204" s="28">
        <v>1</v>
      </c>
      <c r="M204" s="28" t="s">
        <v>13</v>
      </c>
      <c r="N204" s="28">
        <v>1</v>
      </c>
      <c r="O204" s="28" t="s">
        <v>13</v>
      </c>
      <c r="Q204" s="28">
        <v>0.1</v>
      </c>
      <c r="R204" s="28">
        <v>0.1</v>
      </c>
      <c r="S204" s="28">
        <v>1</v>
      </c>
      <c r="U204" s="28" t="s">
        <v>801</v>
      </c>
      <c r="V204" s="28" t="s">
        <v>27</v>
      </c>
      <c r="W204" s="35" t="s">
        <v>541</v>
      </c>
      <c r="X204" s="35"/>
      <c r="Y204" s="35"/>
    </row>
    <row r="205" spans="1:25" x14ac:dyDescent="0.2">
      <c r="A205" s="1">
        <v>2</v>
      </c>
      <c r="B205" s="1" t="s">
        <v>625</v>
      </c>
      <c r="C205" s="1">
        <v>1</v>
      </c>
      <c r="D205" s="1" t="s">
        <v>738</v>
      </c>
      <c r="E205" s="1" t="s">
        <v>670</v>
      </c>
      <c r="F205" s="4">
        <v>45424</v>
      </c>
      <c r="G205" s="3">
        <f t="shared" si="8"/>
        <v>0.7866319444444444</v>
      </c>
      <c r="H205" s="3">
        <v>0.76555555555555554</v>
      </c>
      <c r="I205" s="3">
        <v>8.8541666666666664E-3</v>
      </c>
      <c r="J205" s="3">
        <f t="shared" si="9"/>
        <v>0.77440972222222226</v>
      </c>
      <c r="K205" s="3">
        <v>2.1076388888888888E-2</v>
      </c>
      <c r="L205" s="1">
        <v>2</v>
      </c>
      <c r="M205" s="1" t="s">
        <v>14</v>
      </c>
      <c r="N205" s="1">
        <v>2</v>
      </c>
      <c r="O205" s="1" t="s">
        <v>13</v>
      </c>
      <c r="Q205" s="1">
        <v>0.1</v>
      </c>
      <c r="R205" s="1">
        <v>0.1</v>
      </c>
      <c r="S205" s="1">
        <v>0</v>
      </c>
      <c r="U205" s="1" t="s">
        <v>664</v>
      </c>
      <c r="V205" s="1" t="s">
        <v>27</v>
      </c>
      <c r="W205" s="2" t="s">
        <v>541</v>
      </c>
    </row>
    <row r="206" spans="1:25" x14ac:dyDescent="0.2">
      <c r="A206" s="1">
        <v>2</v>
      </c>
      <c r="B206" s="1" t="s">
        <v>625</v>
      </c>
      <c r="C206" s="1">
        <v>2</v>
      </c>
      <c r="D206" s="1" t="s">
        <v>738</v>
      </c>
      <c r="E206" s="1" t="s">
        <v>670</v>
      </c>
      <c r="F206" s="4">
        <v>45424</v>
      </c>
      <c r="G206" s="3">
        <f t="shared" si="8"/>
        <v>0.79677083333333332</v>
      </c>
      <c r="H206" s="3">
        <v>0.76555555555555554</v>
      </c>
      <c r="I206" s="3">
        <v>2.2222222222222223E-2</v>
      </c>
      <c r="J206" s="3">
        <f t="shared" si="9"/>
        <v>0.7877777777777778</v>
      </c>
      <c r="K206" s="3">
        <v>3.1215277777777779E-2</v>
      </c>
      <c r="L206" s="1">
        <v>2</v>
      </c>
      <c r="M206" s="1" t="s">
        <v>13</v>
      </c>
      <c r="N206" s="1">
        <v>2</v>
      </c>
      <c r="O206" s="1" t="s">
        <v>13</v>
      </c>
      <c r="Q206" s="1">
        <v>0.1</v>
      </c>
      <c r="R206" s="1">
        <v>0.1</v>
      </c>
      <c r="S206" s="1">
        <v>0</v>
      </c>
      <c r="U206" s="1" t="s">
        <v>662</v>
      </c>
      <c r="V206" s="1" t="s">
        <v>27</v>
      </c>
      <c r="W206" s="2" t="s">
        <v>541</v>
      </c>
    </row>
    <row r="207" spans="1:25" x14ac:dyDescent="0.2">
      <c r="A207" s="1">
        <v>2</v>
      </c>
      <c r="B207" s="1" t="s">
        <v>624</v>
      </c>
      <c r="C207" s="1">
        <v>1</v>
      </c>
      <c r="D207" s="1" t="s">
        <v>738</v>
      </c>
      <c r="E207" s="1" t="s">
        <v>670</v>
      </c>
      <c r="F207" s="4">
        <v>45424</v>
      </c>
      <c r="G207" s="3">
        <f t="shared" si="8"/>
        <v>0.78964120370370372</v>
      </c>
      <c r="H207" s="3">
        <v>0.76555555555555554</v>
      </c>
      <c r="I207" s="3">
        <v>5.8564814814814816E-3</v>
      </c>
      <c r="J207" s="3">
        <f t="shared" si="9"/>
        <v>0.77141203703703698</v>
      </c>
      <c r="K207" s="3">
        <v>2.4085648148148148E-2</v>
      </c>
      <c r="L207" s="1">
        <v>2</v>
      </c>
      <c r="M207" s="1" t="s">
        <v>13</v>
      </c>
      <c r="N207" s="1">
        <v>2</v>
      </c>
      <c r="O207" s="1" t="s">
        <v>14</v>
      </c>
      <c r="Q207" s="1">
        <v>0.1</v>
      </c>
      <c r="R207" s="1">
        <v>0.1</v>
      </c>
      <c r="S207" s="1">
        <v>1</v>
      </c>
      <c r="V207" s="1" t="s">
        <v>27</v>
      </c>
      <c r="W207" s="2" t="s">
        <v>541</v>
      </c>
    </row>
    <row r="208" spans="1:25" x14ac:dyDescent="0.2">
      <c r="A208" s="1">
        <v>2</v>
      </c>
      <c r="B208" s="1" t="s">
        <v>624</v>
      </c>
      <c r="C208" s="1">
        <v>1</v>
      </c>
      <c r="D208" s="1" t="s">
        <v>739</v>
      </c>
      <c r="E208" s="1" t="s">
        <v>670</v>
      </c>
      <c r="F208" s="4">
        <v>45425</v>
      </c>
      <c r="G208" s="3">
        <f t="shared" si="8"/>
        <v>0.23394675925925926</v>
      </c>
      <c r="H208" s="3">
        <v>0.2172337962962963</v>
      </c>
      <c r="I208" s="3">
        <v>4.5601851851851853E-3</v>
      </c>
      <c r="J208" s="3">
        <f t="shared" si="9"/>
        <v>0.22179398148148149</v>
      </c>
      <c r="K208" s="3">
        <v>1.6712962962962964E-2</v>
      </c>
      <c r="L208" s="1">
        <v>2</v>
      </c>
      <c r="M208" s="1" t="s">
        <v>14</v>
      </c>
      <c r="N208" s="1">
        <v>2</v>
      </c>
      <c r="O208" s="1" t="s">
        <v>13</v>
      </c>
      <c r="Q208" s="1">
        <v>0.1</v>
      </c>
      <c r="R208" s="1">
        <v>0.1</v>
      </c>
      <c r="S208" s="1">
        <v>1</v>
      </c>
      <c r="V208" s="1" t="s">
        <v>27</v>
      </c>
      <c r="W208" s="2" t="s">
        <v>541</v>
      </c>
    </row>
    <row r="209" spans="1:25" x14ac:dyDescent="0.2">
      <c r="A209" s="1">
        <v>2</v>
      </c>
      <c r="B209" s="1" t="s">
        <v>624</v>
      </c>
      <c r="C209" s="1">
        <v>2</v>
      </c>
      <c r="D209" s="1" t="s">
        <v>739</v>
      </c>
      <c r="E209" s="1" t="s">
        <v>670</v>
      </c>
      <c r="F209" s="4">
        <v>45425</v>
      </c>
      <c r="G209" s="3">
        <f t="shared" si="8"/>
        <v>0.24116898148148147</v>
      </c>
      <c r="H209" s="3">
        <v>0.2172337962962963</v>
      </c>
      <c r="I209" s="3">
        <v>1.8055555555555554E-2</v>
      </c>
      <c r="J209" s="3">
        <f t="shared" si="9"/>
        <v>0.23528935185185185</v>
      </c>
      <c r="K209" s="3">
        <v>2.3935185185185184E-2</v>
      </c>
      <c r="L209" s="1">
        <v>2</v>
      </c>
      <c r="M209" s="1" t="s">
        <v>13</v>
      </c>
      <c r="N209" s="1">
        <v>2</v>
      </c>
      <c r="O209" s="1" t="s">
        <v>13</v>
      </c>
      <c r="Q209" s="1">
        <v>0.1</v>
      </c>
      <c r="R209" s="1">
        <v>0.1</v>
      </c>
      <c r="S209" s="1">
        <v>0</v>
      </c>
      <c r="U209" s="1" t="s">
        <v>662</v>
      </c>
      <c r="V209" s="1" t="s">
        <v>27</v>
      </c>
      <c r="W209" s="2" t="s">
        <v>541</v>
      </c>
    </row>
    <row r="210" spans="1:25" x14ac:dyDescent="0.2">
      <c r="A210" s="1">
        <v>2</v>
      </c>
      <c r="B210" s="1" t="s">
        <v>624</v>
      </c>
      <c r="C210" s="1">
        <v>3</v>
      </c>
      <c r="D210" s="1" t="s">
        <v>739</v>
      </c>
      <c r="E210" s="1" t="s">
        <v>670</v>
      </c>
      <c r="F210" s="4">
        <v>45425</v>
      </c>
      <c r="G210" s="3">
        <f t="shared" si="8"/>
        <v>0.24863425925925925</v>
      </c>
      <c r="H210" s="3">
        <v>0.2172337962962963</v>
      </c>
      <c r="I210" s="3">
        <v>2.4861111111111112E-2</v>
      </c>
      <c r="J210" s="3">
        <f t="shared" si="9"/>
        <v>0.24209490740740741</v>
      </c>
      <c r="K210" s="3">
        <v>3.1400462962962963E-2</v>
      </c>
      <c r="L210" s="1">
        <v>2</v>
      </c>
      <c r="M210" s="1" t="s">
        <v>13</v>
      </c>
      <c r="N210" s="1">
        <v>2</v>
      </c>
      <c r="O210" s="1" t="s">
        <v>13</v>
      </c>
      <c r="Q210" s="1">
        <v>0.1</v>
      </c>
      <c r="R210" s="1">
        <v>0.1</v>
      </c>
      <c r="S210" s="1">
        <v>1</v>
      </c>
      <c r="V210" s="1" t="s">
        <v>27</v>
      </c>
      <c r="W210" s="2" t="s">
        <v>541</v>
      </c>
    </row>
    <row r="211" spans="1:25" x14ac:dyDescent="0.2">
      <c r="A211" s="1">
        <v>2</v>
      </c>
      <c r="B211" s="1" t="s">
        <v>625</v>
      </c>
      <c r="C211" s="1">
        <v>1</v>
      </c>
      <c r="D211" s="1" t="s">
        <v>739</v>
      </c>
      <c r="E211" s="1" t="s">
        <v>670</v>
      </c>
      <c r="F211" s="4">
        <v>45425</v>
      </c>
      <c r="G211" s="3">
        <f t="shared" si="8"/>
        <v>0.23906250000000001</v>
      </c>
      <c r="H211" s="3">
        <v>0.2172337962962963</v>
      </c>
      <c r="I211" s="1" t="s">
        <v>27</v>
      </c>
      <c r="J211" s="1" t="s">
        <v>27</v>
      </c>
      <c r="K211" s="3">
        <v>2.1828703703703704E-2</v>
      </c>
      <c r="L211" s="1">
        <v>2</v>
      </c>
      <c r="M211" s="1" t="s">
        <v>13</v>
      </c>
      <c r="N211" s="1">
        <v>2</v>
      </c>
      <c r="O211" s="1" t="s">
        <v>14</v>
      </c>
      <c r="Q211" s="1">
        <v>0.1</v>
      </c>
      <c r="R211" s="1">
        <v>0.1</v>
      </c>
      <c r="S211" s="1">
        <v>1</v>
      </c>
      <c r="U211" s="1" t="s">
        <v>667</v>
      </c>
      <c r="V211" s="1" t="s">
        <v>27</v>
      </c>
      <c r="W211" s="2" t="s">
        <v>541</v>
      </c>
    </row>
    <row r="212" spans="1:25" x14ac:dyDescent="0.2">
      <c r="A212" s="1">
        <v>2</v>
      </c>
      <c r="B212" s="1" t="s">
        <v>625</v>
      </c>
      <c r="C212" s="1">
        <v>2</v>
      </c>
      <c r="D212" s="1" t="s">
        <v>739</v>
      </c>
      <c r="E212" s="1" t="s">
        <v>670</v>
      </c>
      <c r="F212" s="4">
        <v>45425</v>
      </c>
      <c r="G212" s="1" t="s">
        <v>27</v>
      </c>
      <c r="H212" s="3">
        <v>0.2172337962962963</v>
      </c>
      <c r="I212" s="3">
        <v>3.0115740740740742E-2</v>
      </c>
      <c r="J212" s="3">
        <f t="shared" ref="J212:J217" si="10">$H212 + $I212</f>
        <v>0.24734953703703705</v>
      </c>
      <c r="K212" s="1" t="s">
        <v>27</v>
      </c>
      <c r="L212" s="1">
        <v>2</v>
      </c>
      <c r="M212" s="1" t="s">
        <v>14</v>
      </c>
      <c r="N212" s="1">
        <v>2</v>
      </c>
      <c r="O212" s="1" t="s">
        <v>14</v>
      </c>
      <c r="Q212" s="1">
        <v>0.1</v>
      </c>
      <c r="R212" s="1">
        <v>0.1</v>
      </c>
      <c r="S212" s="1" t="s">
        <v>27</v>
      </c>
      <c r="U212" s="1" t="s">
        <v>666</v>
      </c>
      <c r="V212" s="2" t="s">
        <v>27</v>
      </c>
      <c r="W212" s="2" t="s">
        <v>541</v>
      </c>
    </row>
    <row r="213" spans="1:25" s="36" customFormat="1" x14ac:dyDescent="0.2">
      <c r="A213" s="36">
        <v>2</v>
      </c>
      <c r="B213" s="36" t="s">
        <v>624</v>
      </c>
      <c r="C213" s="36">
        <v>1</v>
      </c>
      <c r="D213" s="36" t="s">
        <v>656</v>
      </c>
      <c r="E213" s="36" t="s">
        <v>671</v>
      </c>
      <c r="F213" s="27">
        <v>45425</v>
      </c>
      <c r="G213" s="37">
        <f>H213 + K213</f>
        <v>0.7901273148148148</v>
      </c>
      <c r="H213" s="37">
        <v>0.76443287037037033</v>
      </c>
      <c r="I213" s="37">
        <v>1.2777777777777779E-2</v>
      </c>
      <c r="J213" s="37">
        <f t="shared" si="10"/>
        <v>0.77721064814814811</v>
      </c>
      <c r="K213" s="37">
        <v>2.5694444444444443E-2</v>
      </c>
      <c r="L213" s="36">
        <v>2</v>
      </c>
      <c r="M213" s="36" t="s">
        <v>13</v>
      </c>
      <c r="N213" s="36">
        <v>2</v>
      </c>
      <c r="O213" s="36" t="s">
        <v>14</v>
      </c>
      <c r="Q213" s="36">
        <v>0.1</v>
      </c>
      <c r="R213" s="36">
        <v>0.1</v>
      </c>
      <c r="S213" s="36">
        <v>0</v>
      </c>
      <c r="V213" s="38" t="s">
        <v>27</v>
      </c>
      <c r="W213" s="38" t="s">
        <v>541</v>
      </c>
      <c r="X213" s="38"/>
      <c r="Y213" s="38"/>
    </row>
    <row r="214" spans="1:25" s="36" customFormat="1" x14ac:dyDescent="0.2">
      <c r="A214" s="36">
        <v>2</v>
      </c>
      <c r="B214" s="36" t="s">
        <v>625</v>
      </c>
      <c r="C214" s="36">
        <v>1</v>
      </c>
      <c r="D214" s="36" t="s">
        <v>656</v>
      </c>
      <c r="E214" s="36" t="s">
        <v>671</v>
      </c>
      <c r="F214" s="27">
        <v>45425</v>
      </c>
      <c r="G214" s="37">
        <f>H214 + K214</f>
        <v>0.78368055555555549</v>
      </c>
      <c r="H214" s="37">
        <v>0.76443287037037033</v>
      </c>
      <c r="I214" s="37">
        <v>8.2870370370370372E-3</v>
      </c>
      <c r="J214" s="37">
        <f t="shared" si="10"/>
        <v>0.77271990740740737</v>
      </c>
      <c r="K214" s="37">
        <v>1.9247685185185184E-2</v>
      </c>
      <c r="L214" s="36">
        <v>2</v>
      </c>
      <c r="M214" s="36" t="s">
        <v>14</v>
      </c>
      <c r="N214" s="36">
        <v>2</v>
      </c>
      <c r="O214" s="36" t="s">
        <v>13</v>
      </c>
      <c r="Q214" s="36">
        <v>0.1</v>
      </c>
      <c r="R214" s="36">
        <v>0.1</v>
      </c>
      <c r="S214" s="36">
        <v>0</v>
      </c>
      <c r="V214" s="38" t="s">
        <v>27</v>
      </c>
      <c r="W214" s="38" t="s">
        <v>541</v>
      </c>
      <c r="X214" s="38"/>
      <c r="Y214" s="38"/>
    </row>
    <row r="215" spans="1:25" s="36" customFormat="1" x14ac:dyDescent="0.2">
      <c r="A215" s="36">
        <v>2</v>
      </c>
      <c r="B215" s="36" t="s">
        <v>625</v>
      </c>
      <c r="C215" s="36">
        <v>2</v>
      </c>
      <c r="D215" s="36" t="s">
        <v>656</v>
      </c>
      <c r="E215" s="36" t="s">
        <v>671</v>
      </c>
      <c r="F215" s="27">
        <v>45425</v>
      </c>
      <c r="G215" s="37">
        <f>H215 + K215</f>
        <v>0.78785879629629629</v>
      </c>
      <c r="H215" s="37">
        <v>0.76443287037037033</v>
      </c>
      <c r="I215" s="37">
        <v>1.9814814814814816E-2</v>
      </c>
      <c r="J215" s="37">
        <f t="shared" si="10"/>
        <v>0.78424768518518517</v>
      </c>
      <c r="K215" s="37">
        <v>2.3425925925925926E-2</v>
      </c>
      <c r="L215" s="36">
        <v>2</v>
      </c>
      <c r="M215" s="36" t="s">
        <v>13</v>
      </c>
      <c r="N215" s="36">
        <v>2</v>
      </c>
      <c r="O215" s="36" t="s">
        <v>13</v>
      </c>
      <c r="Q215" s="36">
        <v>0.1</v>
      </c>
      <c r="R215" s="36">
        <v>0.1</v>
      </c>
      <c r="S215" s="36">
        <v>1</v>
      </c>
      <c r="V215" s="38" t="s">
        <v>27</v>
      </c>
      <c r="W215" s="38" t="s">
        <v>541</v>
      </c>
      <c r="X215" s="38"/>
      <c r="Y215" s="38"/>
    </row>
    <row r="216" spans="1:25" s="36" customFormat="1" x14ac:dyDescent="0.2">
      <c r="A216" s="36">
        <v>2</v>
      </c>
      <c r="B216" s="36" t="s">
        <v>625</v>
      </c>
      <c r="C216" s="36">
        <v>3</v>
      </c>
      <c r="D216" s="36" t="s">
        <v>656</v>
      </c>
      <c r="E216" s="36" t="s">
        <v>671</v>
      </c>
      <c r="F216" s="27">
        <v>45425</v>
      </c>
      <c r="G216" s="37">
        <f>H216 + K216</f>
        <v>0.79247685185185179</v>
      </c>
      <c r="H216" s="37">
        <v>0.76443287037037033</v>
      </c>
      <c r="I216" s="37">
        <v>2.3946759259259258E-2</v>
      </c>
      <c r="J216" s="37">
        <f t="shared" si="10"/>
        <v>0.7883796296296296</v>
      </c>
      <c r="K216" s="37">
        <v>2.8043981481481482E-2</v>
      </c>
      <c r="L216" s="36">
        <v>2</v>
      </c>
      <c r="M216" s="36" t="s">
        <v>13</v>
      </c>
      <c r="N216" s="36">
        <v>2</v>
      </c>
      <c r="O216" s="36" t="s">
        <v>13</v>
      </c>
      <c r="Q216" s="36">
        <v>0.1</v>
      </c>
      <c r="R216" s="36">
        <v>0.1</v>
      </c>
      <c r="S216" s="36">
        <v>0</v>
      </c>
      <c r="V216" s="38" t="s">
        <v>27</v>
      </c>
      <c r="W216" s="38" t="s">
        <v>541</v>
      </c>
      <c r="X216" s="38"/>
      <c r="Y216" s="38"/>
    </row>
    <row r="217" spans="1:25" s="36" customFormat="1" x14ac:dyDescent="0.2">
      <c r="A217" s="36">
        <v>2</v>
      </c>
      <c r="B217" s="36" t="s">
        <v>625</v>
      </c>
      <c r="C217" s="36">
        <v>4</v>
      </c>
      <c r="D217" s="36" t="s">
        <v>656</v>
      </c>
      <c r="E217" s="36" t="s">
        <v>671</v>
      </c>
      <c r="F217" s="27">
        <v>45425</v>
      </c>
      <c r="G217" s="37">
        <f>H217 + K217</f>
        <v>0.79731481481481481</v>
      </c>
      <c r="H217" s="37">
        <v>0.76443287037037033</v>
      </c>
      <c r="I217" s="37">
        <v>2.8796296296296296E-2</v>
      </c>
      <c r="J217" s="37">
        <f t="shared" si="10"/>
        <v>0.79322916666666665</v>
      </c>
      <c r="K217" s="37">
        <v>3.2881944444444443E-2</v>
      </c>
      <c r="L217" s="36">
        <v>2</v>
      </c>
      <c r="M217" s="36" t="s">
        <v>13</v>
      </c>
      <c r="N217" s="36">
        <v>2</v>
      </c>
      <c r="O217" s="36" t="s">
        <v>13</v>
      </c>
      <c r="Q217" s="36">
        <v>0.1</v>
      </c>
      <c r="R217" s="36">
        <v>0.1</v>
      </c>
      <c r="S217" s="36">
        <v>0</v>
      </c>
      <c r="U217" s="36" t="s">
        <v>674</v>
      </c>
      <c r="V217" s="38" t="s">
        <v>27</v>
      </c>
      <c r="W217" s="38" t="s">
        <v>541</v>
      </c>
      <c r="X217" s="38"/>
      <c r="Y217" s="38"/>
    </row>
    <row r="218" spans="1:25" x14ac:dyDescent="0.2">
      <c r="A218" s="1">
        <v>2</v>
      </c>
      <c r="B218" s="1" t="s">
        <v>625</v>
      </c>
      <c r="C218" s="1">
        <v>1</v>
      </c>
      <c r="D218" s="1" t="s">
        <v>661</v>
      </c>
      <c r="E218" s="1" t="s">
        <v>671</v>
      </c>
      <c r="F218" s="4">
        <v>45426</v>
      </c>
      <c r="G218" s="3">
        <f t="shared" ref="G218:G224" si="11">H218 + K218</f>
        <v>0.22803240740740741</v>
      </c>
      <c r="H218" s="3">
        <v>0.22282407407407406</v>
      </c>
      <c r="I218" s="1" t="s">
        <v>27</v>
      </c>
      <c r="J218" s="1" t="s">
        <v>27</v>
      </c>
      <c r="K218" s="3">
        <v>5.208333333333333E-3</v>
      </c>
      <c r="L218" s="1">
        <v>2</v>
      </c>
      <c r="M218" s="1" t="s">
        <v>13</v>
      </c>
      <c r="N218" s="1">
        <v>2</v>
      </c>
      <c r="O218" s="1" t="s">
        <v>13</v>
      </c>
      <c r="Q218" s="1">
        <v>0.1</v>
      </c>
      <c r="R218" s="1">
        <v>0.1</v>
      </c>
      <c r="S218" s="1">
        <v>1</v>
      </c>
      <c r="U218" s="1" t="s">
        <v>677</v>
      </c>
      <c r="V218" s="2" t="s">
        <v>27</v>
      </c>
      <c r="W218" s="2" t="s">
        <v>541</v>
      </c>
    </row>
    <row r="219" spans="1:25" x14ac:dyDescent="0.2">
      <c r="A219" s="1">
        <v>2</v>
      </c>
      <c r="B219" s="1" t="s">
        <v>625</v>
      </c>
      <c r="C219" s="1">
        <v>2</v>
      </c>
      <c r="D219" s="1" t="s">
        <v>661</v>
      </c>
      <c r="E219" s="1" t="s">
        <v>671</v>
      </c>
      <c r="F219" s="4">
        <v>45427</v>
      </c>
      <c r="G219" s="3">
        <f t="shared" si="11"/>
        <v>0.24171296296296296</v>
      </c>
      <c r="H219" s="3">
        <v>0.22282407407407406</v>
      </c>
      <c r="I219" s="3">
        <v>6.2268518518518515E-3</v>
      </c>
      <c r="J219" s="3">
        <f>$H219 + $I219</f>
        <v>0.22905092592592591</v>
      </c>
      <c r="K219" s="3">
        <v>1.8888888888888889E-2</v>
      </c>
      <c r="L219" s="1">
        <v>2</v>
      </c>
      <c r="M219" s="1" t="s">
        <v>13</v>
      </c>
      <c r="N219" s="1">
        <v>2</v>
      </c>
      <c r="O219" s="1" t="s">
        <v>14</v>
      </c>
      <c r="Q219" s="1">
        <v>0.1</v>
      </c>
      <c r="R219" s="1">
        <v>0.1</v>
      </c>
      <c r="S219" s="1">
        <v>1</v>
      </c>
      <c r="V219" s="2" t="s">
        <v>27</v>
      </c>
      <c r="W219" s="2" t="s">
        <v>541</v>
      </c>
    </row>
    <row r="220" spans="1:25" x14ac:dyDescent="0.2">
      <c r="A220" s="1">
        <v>2</v>
      </c>
      <c r="B220" s="1" t="s">
        <v>624</v>
      </c>
      <c r="C220" s="1">
        <v>1</v>
      </c>
      <c r="D220" s="1" t="s">
        <v>661</v>
      </c>
      <c r="E220" s="1" t="s">
        <v>671</v>
      </c>
      <c r="F220" s="4">
        <v>45428</v>
      </c>
      <c r="G220" s="3">
        <f t="shared" si="11"/>
        <v>0.23959490740740741</v>
      </c>
      <c r="H220" s="3">
        <v>0.22282407407407406</v>
      </c>
      <c r="I220" s="1" t="s">
        <v>27</v>
      </c>
      <c r="J220" s="1" t="s">
        <v>27</v>
      </c>
      <c r="K220" s="3">
        <v>1.6770833333333332E-2</v>
      </c>
      <c r="L220" s="1">
        <v>2</v>
      </c>
      <c r="M220" s="1" t="s">
        <v>14</v>
      </c>
      <c r="N220" s="1">
        <v>2</v>
      </c>
      <c r="O220" s="1" t="s">
        <v>14</v>
      </c>
      <c r="Q220" s="1">
        <v>0.1</v>
      </c>
      <c r="R220" s="1">
        <v>0.1</v>
      </c>
      <c r="S220" s="1">
        <v>1</v>
      </c>
      <c r="U220" s="1" t="s">
        <v>571</v>
      </c>
      <c r="V220" s="2" t="s">
        <v>27</v>
      </c>
      <c r="W220" s="2" t="s">
        <v>541</v>
      </c>
    </row>
    <row r="221" spans="1:25" x14ac:dyDescent="0.2">
      <c r="A221" s="1">
        <v>2</v>
      </c>
      <c r="B221" s="1" t="s">
        <v>625</v>
      </c>
      <c r="C221" s="1">
        <v>1</v>
      </c>
      <c r="D221" s="1" t="s">
        <v>665</v>
      </c>
      <c r="E221" s="1" t="s">
        <v>671</v>
      </c>
      <c r="F221" s="4">
        <v>45426</v>
      </c>
      <c r="G221" s="3">
        <f t="shared" si="11"/>
        <v>0.77475694444444443</v>
      </c>
      <c r="H221" s="3">
        <v>0.76245370370370369</v>
      </c>
      <c r="I221" s="1" t="s">
        <v>27</v>
      </c>
      <c r="J221" s="1" t="s">
        <v>27</v>
      </c>
      <c r="K221" s="3">
        <v>1.2303240740740741E-2</v>
      </c>
      <c r="L221" s="1">
        <v>2</v>
      </c>
      <c r="M221" s="1" t="s">
        <v>14</v>
      </c>
      <c r="N221" s="1">
        <v>2</v>
      </c>
      <c r="O221" s="1" t="s">
        <v>14</v>
      </c>
      <c r="Q221" s="1">
        <v>0.1</v>
      </c>
      <c r="R221" s="1">
        <v>0.1</v>
      </c>
      <c r="S221" s="1">
        <v>1</v>
      </c>
      <c r="V221" s="2" t="s">
        <v>27</v>
      </c>
      <c r="W221" s="2" t="s">
        <v>541</v>
      </c>
    </row>
    <row r="222" spans="1:25" x14ac:dyDescent="0.2">
      <c r="A222" s="1">
        <v>2</v>
      </c>
      <c r="B222" s="1" t="s">
        <v>625</v>
      </c>
      <c r="C222" s="1">
        <v>2</v>
      </c>
      <c r="D222" s="1" t="s">
        <v>665</v>
      </c>
      <c r="E222" s="1" t="s">
        <v>671</v>
      </c>
      <c r="F222" s="4">
        <v>45426</v>
      </c>
      <c r="G222" s="3">
        <f t="shared" si="11"/>
        <v>0.78489583333333335</v>
      </c>
      <c r="H222" s="3">
        <v>0.76245370370370369</v>
      </c>
      <c r="I222" s="3">
        <v>1.2997685185185185E-2</v>
      </c>
      <c r="J222" s="3">
        <f>$H222 + $I222</f>
        <v>0.77545138888888887</v>
      </c>
      <c r="K222" s="3">
        <v>2.2442129629629631E-2</v>
      </c>
      <c r="L222" s="1">
        <v>2</v>
      </c>
      <c r="M222" s="1" t="s">
        <v>14</v>
      </c>
      <c r="N222" s="1">
        <v>2</v>
      </c>
      <c r="O222" s="1" t="s">
        <v>14</v>
      </c>
      <c r="Q222" s="1">
        <v>0.1</v>
      </c>
      <c r="R222" s="1">
        <v>0.1</v>
      </c>
      <c r="S222" s="1">
        <v>1</v>
      </c>
      <c r="V222" s="2" t="s">
        <v>27</v>
      </c>
      <c r="W222" s="2" t="s">
        <v>541</v>
      </c>
    </row>
    <row r="223" spans="1:25" x14ac:dyDescent="0.2">
      <c r="A223" s="1">
        <v>2</v>
      </c>
      <c r="B223" s="1" t="s">
        <v>625</v>
      </c>
      <c r="C223" s="1">
        <v>3</v>
      </c>
      <c r="D223" s="1" t="s">
        <v>665</v>
      </c>
      <c r="E223" s="1" t="s">
        <v>671</v>
      </c>
      <c r="F223" s="4">
        <v>45426</v>
      </c>
      <c r="G223" s="3">
        <f t="shared" si="11"/>
        <v>0.79067129629629629</v>
      </c>
      <c r="H223" s="3">
        <v>0.76245370370370369</v>
      </c>
      <c r="I223" s="3">
        <v>2.3530092592592592E-2</v>
      </c>
      <c r="J223" s="3">
        <f>$H223 + $I223</f>
        <v>0.78598379629629633</v>
      </c>
      <c r="K223" s="3">
        <v>2.8217592592592593E-2</v>
      </c>
      <c r="L223" s="1">
        <v>2</v>
      </c>
      <c r="M223" s="1" t="s">
        <v>14</v>
      </c>
      <c r="N223" s="1">
        <v>2</v>
      </c>
      <c r="O223" s="1" t="s">
        <v>14</v>
      </c>
      <c r="Q223" s="1">
        <v>0.1</v>
      </c>
      <c r="R223" s="1">
        <v>0.1</v>
      </c>
      <c r="S223" s="1">
        <v>0</v>
      </c>
      <c r="U223" s="1" t="s">
        <v>681</v>
      </c>
      <c r="V223" s="2" t="s">
        <v>27</v>
      </c>
      <c r="W223" s="2" t="s">
        <v>541</v>
      </c>
    </row>
    <row r="224" spans="1:25" x14ac:dyDescent="0.2">
      <c r="A224" s="1">
        <v>2</v>
      </c>
      <c r="B224" s="1" t="s">
        <v>624</v>
      </c>
      <c r="C224" s="1">
        <v>1</v>
      </c>
      <c r="D224" s="1" t="s">
        <v>665</v>
      </c>
      <c r="E224" s="1" t="s">
        <v>671</v>
      </c>
      <c r="F224" s="4">
        <v>45426</v>
      </c>
      <c r="G224" s="3">
        <f t="shared" si="11"/>
        <v>0.78</v>
      </c>
      <c r="H224" s="3">
        <v>0.76245370370370369</v>
      </c>
      <c r="I224" s="3">
        <v>9.0277777777777774E-4</v>
      </c>
      <c r="J224" s="3">
        <f>$H224 + $I224</f>
        <v>0.7633564814814815</v>
      </c>
      <c r="K224" s="3">
        <v>1.7546296296296296E-2</v>
      </c>
      <c r="L224" s="1">
        <v>2</v>
      </c>
      <c r="M224" s="1" t="s">
        <v>13</v>
      </c>
      <c r="N224" s="1">
        <v>2</v>
      </c>
      <c r="O224" s="1" t="s">
        <v>13</v>
      </c>
      <c r="Q224" s="1">
        <v>0.1</v>
      </c>
      <c r="R224" s="1">
        <v>0.1</v>
      </c>
      <c r="S224" s="1">
        <v>1</v>
      </c>
      <c r="V224" s="2" t="s">
        <v>27</v>
      </c>
      <c r="W224" s="2" t="s">
        <v>541</v>
      </c>
    </row>
    <row r="225" spans="1:23" x14ac:dyDescent="0.2">
      <c r="A225" s="1">
        <v>2</v>
      </c>
      <c r="B225" s="1" t="s">
        <v>625</v>
      </c>
      <c r="C225" s="1">
        <v>1</v>
      </c>
      <c r="D225" s="1" t="s">
        <v>672</v>
      </c>
      <c r="E225" s="1" t="s">
        <v>671</v>
      </c>
      <c r="F225" s="4">
        <v>45427</v>
      </c>
      <c r="G225" s="3">
        <f t="shared" ref="G225:G238" si="12">H225 + K225</f>
        <v>0.22659722222222223</v>
      </c>
      <c r="H225" s="3">
        <v>0.21856481481481482</v>
      </c>
      <c r="I225" s="1" t="s">
        <v>27</v>
      </c>
      <c r="J225" s="1" t="s">
        <v>27</v>
      </c>
      <c r="K225" s="3">
        <v>8.0324074074074082E-3</v>
      </c>
      <c r="L225" s="1">
        <v>2</v>
      </c>
      <c r="M225" s="1" t="s">
        <v>14</v>
      </c>
      <c r="N225" s="1">
        <v>2</v>
      </c>
      <c r="O225" s="1" t="s">
        <v>14</v>
      </c>
      <c r="Q225" s="1">
        <v>0.1</v>
      </c>
      <c r="R225" s="1">
        <v>0.1</v>
      </c>
      <c r="S225" s="1">
        <v>1</v>
      </c>
      <c r="T225" s="1" t="s">
        <v>688</v>
      </c>
      <c r="U225" s="1" t="s">
        <v>684</v>
      </c>
      <c r="V225" s="2" t="s">
        <v>27</v>
      </c>
      <c r="W225" s="2" t="s">
        <v>541</v>
      </c>
    </row>
    <row r="226" spans="1:23" x14ac:dyDescent="0.2">
      <c r="A226" s="1">
        <v>2</v>
      </c>
      <c r="B226" s="1" t="s">
        <v>625</v>
      </c>
      <c r="C226" s="1">
        <v>2</v>
      </c>
      <c r="D226" s="1" t="s">
        <v>672</v>
      </c>
      <c r="E226" s="1" t="s">
        <v>671</v>
      </c>
      <c r="F226" s="4">
        <v>45427</v>
      </c>
      <c r="G226" s="3">
        <f t="shared" si="12"/>
        <v>0.24837962962962964</v>
      </c>
      <c r="H226" s="3">
        <v>0.21856481481481482</v>
      </c>
      <c r="I226" s="3">
        <v>8.0324074074074082E-3</v>
      </c>
      <c r="J226" s="3">
        <f>$H226 + $I226</f>
        <v>0.22659722222222223</v>
      </c>
      <c r="K226" s="3">
        <v>2.9814814814814815E-2</v>
      </c>
      <c r="L226" s="1">
        <v>2</v>
      </c>
      <c r="M226" s="1" t="s">
        <v>14</v>
      </c>
      <c r="N226" s="1">
        <v>2</v>
      </c>
      <c r="O226" s="1" t="s">
        <v>13</v>
      </c>
      <c r="Q226" s="1">
        <v>0.2</v>
      </c>
      <c r="R226" s="1">
        <v>0.2</v>
      </c>
      <c r="S226" s="1">
        <v>0</v>
      </c>
      <c r="T226" s="1" t="s">
        <v>689</v>
      </c>
      <c r="U226" s="1" t="s">
        <v>685</v>
      </c>
      <c r="V226" s="2" t="s">
        <v>27</v>
      </c>
      <c r="W226" s="2" t="s">
        <v>541</v>
      </c>
    </row>
    <row r="227" spans="1:23" x14ac:dyDescent="0.2">
      <c r="A227" s="1">
        <v>2</v>
      </c>
      <c r="B227" s="1" t="s">
        <v>624</v>
      </c>
      <c r="C227" s="1">
        <v>1</v>
      </c>
      <c r="D227" s="1" t="s">
        <v>672</v>
      </c>
      <c r="E227" s="1" t="s">
        <v>671</v>
      </c>
      <c r="F227" s="4">
        <v>45427</v>
      </c>
      <c r="G227" s="3">
        <f t="shared" si="12"/>
        <v>0.24015046296296297</v>
      </c>
      <c r="H227" s="3">
        <v>0.21856481481481482</v>
      </c>
      <c r="I227" s="1" t="s">
        <v>27</v>
      </c>
      <c r="J227" s="1" t="s">
        <v>27</v>
      </c>
      <c r="K227" s="3">
        <v>2.1585648148148149E-2</v>
      </c>
      <c r="L227" s="1">
        <v>2</v>
      </c>
      <c r="M227" s="1" t="s">
        <v>13</v>
      </c>
      <c r="N227" s="1">
        <v>2</v>
      </c>
      <c r="O227" s="1" t="s">
        <v>14</v>
      </c>
      <c r="Q227" s="1">
        <v>0.1</v>
      </c>
      <c r="R227" s="1">
        <v>0.2</v>
      </c>
      <c r="S227" s="1">
        <v>0</v>
      </c>
      <c r="U227" s="1" t="s">
        <v>686</v>
      </c>
      <c r="V227" s="2" t="s">
        <v>27</v>
      </c>
      <c r="W227" s="2" t="s">
        <v>541</v>
      </c>
    </row>
    <row r="228" spans="1:23" x14ac:dyDescent="0.2">
      <c r="A228" s="1">
        <v>2</v>
      </c>
      <c r="B228" s="1" t="s">
        <v>624</v>
      </c>
      <c r="C228" s="1">
        <v>2</v>
      </c>
      <c r="D228" s="1" t="s">
        <v>672</v>
      </c>
      <c r="E228" s="1" t="s">
        <v>671</v>
      </c>
      <c r="F228" s="4">
        <v>45427</v>
      </c>
      <c r="G228" s="3">
        <f t="shared" si="12"/>
        <v>0.24885416666666668</v>
      </c>
      <c r="H228" s="3">
        <v>0.21856481481481482</v>
      </c>
      <c r="I228" s="3">
        <v>2.3379629629629629E-2</v>
      </c>
      <c r="J228" s="3">
        <f>$H228 + $I228</f>
        <v>0.24194444444444446</v>
      </c>
      <c r="K228" s="3">
        <v>3.0289351851851852E-2</v>
      </c>
      <c r="L228" s="1">
        <v>2</v>
      </c>
      <c r="M228" s="1" t="s">
        <v>14</v>
      </c>
      <c r="N228" s="1">
        <v>2</v>
      </c>
      <c r="O228" s="1" t="s">
        <v>14</v>
      </c>
      <c r="Q228" s="1">
        <v>0.2</v>
      </c>
      <c r="R228" s="1">
        <v>0.2</v>
      </c>
      <c r="S228" s="1">
        <v>0</v>
      </c>
      <c r="V228" s="2" t="s">
        <v>27</v>
      </c>
      <c r="W228" s="2" t="s">
        <v>541</v>
      </c>
    </row>
    <row r="229" spans="1:23" x14ac:dyDescent="0.2">
      <c r="A229" s="1">
        <v>2</v>
      </c>
      <c r="B229" s="1" t="s">
        <v>624</v>
      </c>
      <c r="C229" s="1">
        <v>3</v>
      </c>
      <c r="D229" s="1" t="s">
        <v>672</v>
      </c>
      <c r="E229" s="1" t="s">
        <v>671</v>
      </c>
      <c r="F229" s="4">
        <v>45427</v>
      </c>
      <c r="G229" s="3">
        <f t="shared" si="12"/>
        <v>0.25814814814814813</v>
      </c>
      <c r="H229" s="3">
        <v>0.21856481481481482</v>
      </c>
      <c r="I229" s="3">
        <v>3.2129629629629633E-2</v>
      </c>
      <c r="J229" s="3">
        <f>$H229 + $I229</f>
        <v>0.25069444444444444</v>
      </c>
      <c r="K229" s="3">
        <v>3.9583333333333331E-2</v>
      </c>
      <c r="L229" s="1">
        <v>2</v>
      </c>
      <c r="M229" s="1" t="s">
        <v>14</v>
      </c>
      <c r="N229" s="1">
        <v>2</v>
      </c>
      <c r="O229" s="1" t="s">
        <v>14</v>
      </c>
      <c r="Q229" s="1">
        <v>0.2</v>
      </c>
      <c r="R229" s="1">
        <v>0.2</v>
      </c>
      <c r="S229" s="1">
        <v>0</v>
      </c>
      <c r="V229" s="2" t="s">
        <v>27</v>
      </c>
      <c r="W229" s="2" t="s">
        <v>541</v>
      </c>
    </row>
    <row r="230" spans="1:23" x14ac:dyDescent="0.2">
      <c r="A230" s="1">
        <v>2</v>
      </c>
      <c r="B230" s="1" t="s">
        <v>624</v>
      </c>
      <c r="C230" s="1">
        <v>1</v>
      </c>
      <c r="D230" s="1" t="s">
        <v>675</v>
      </c>
      <c r="E230" s="1" t="s">
        <v>671</v>
      </c>
      <c r="F230" s="4">
        <v>45427</v>
      </c>
      <c r="G230" s="3">
        <f t="shared" si="12"/>
        <v>0.79385416666666664</v>
      </c>
      <c r="H230" s="3">
        <v>0.75618055555555552</v>
      </c>
      <c r="I230" s="3">
        <v>1.6851851851851851E-2</v>
      </c>
      <c r="J230" s="3">
        <f t="shared" ref="J230:J234" si="13">$H230 + $I230</f>
        <v>0.77303240740740742</v>
      </c>
      <c r="K230" s="3">
        <v>3.7673611111111109E-2</v>
      </c>
      <c r="L230" s="1">
        <v>2</v>
      </c>
      <c r="M230" s="1" t="s">
        <v>14</v>
      </c>
      <c r="N230" s="1">
        <v>2</v>
      </c>
      <c r="O230" s="1" t="s">
        <v>13</v>
      </c>
      <c r="Q230" s="1">
        <v>0.1</v>
      </c>
      <c r="R230" s="1">
        <v>0.1</v>
      </c>
      <c r="S230" s="1">
        <v>1</v>
      </c>
      <c r="V230" s="2" t="s">
        <v>27</v>
      </c>
      <c r="W230" s="2" t="s">
        <v>541</v>
      </c>
    </row>
    <row r="231" spans="1:23" x14ac:dyDescent="0.2">
      <c r="A231" s="1">
        <v>2</v>
      </c>
      <c r="B231" s="1" t="s">
        <v>625</v>
      </c>
      <c r="C231" s="1">
        <v>1</v>
      </c>
      <c r="D231" s="1" t="s">
        <v>675</v>
      </c>
      <c r="E231" s="1" t="s">
        <v>671</v>
      </c>
      <c r="F231" s="4">
        <v>45427</v>
      </c>
      <c r="G231" s="3">
        <f t="shared" si="12"/>
        <v>0.7804861111111111</v>
      </c>
      <c r="H231" s="3">
        <v>0.75618055555555552</v>
      </c>
      <c r="I231" s="3">
        <v>1.34375E-2</v>
      </c>
      <c r="J231" s="3">
        <f t="shared" si="13"/>
        <v>0.76961805555555551</v>
      </c>
      <c r="K231" s="3">
        <v>2.4305555555555556E-2</v>
      </c>
      <c r="L231" s="1">
        <v>2</v>
      </c>
      <c r="M231" s="1" t="s">
        <v>13</v>
      </c>
      <c r="N231" s="1">
        <v>2</v>
      </c>
      <c r="O231" s="1" t="s">
        <v>14</v>
      </c>
      <c r="Q231" s="1">
        <v>0.1</v>
      </c>
      <c r="R231" s="1">
        <v>0.1</v>
      </c>
      <c r="S231" s="1">
        <v>1</v>
      </c>
      <c r="V231" s="2" t="s">
        <v>27</v>
      </c>
      <c r="W231" s="2" t="s">
        <v>541</v>
      </c>
    </row>
    <row r="232" spans="1:23" x14ac:dyDescent="0.2">
      <c r="A232" s="1">
        <v>2</v>
      </c>
      <c r="B232" s="1" t="s">
        <v>625</v>
      </c>
      <c r="C232" s="1">
        <v>2</v>
      </c>
      <c r="D232" s="1" t="s">
        <v>675</v>
      </c>
      <c r="E232" s="1" t="s">
        <v>671</v>
      </c>
      <c r="F232" s="4">
        <v>45427</v>
      </c>
      <c r="G232" s="3">
        <f t="shared" si="12"/>
        <v>0.78665509259259259</v>
      </c>
      <c r="H232" s="3">
        <v>0.75618055555555552</v>
      </c>
      <c r="I232" s="3">
        <v>2.4687500000000001E-2</v>
      </c>
      <c r="J232" s="3">
        <f t="shared" si="13"/>
        <v>0.7808680555555555</v>
      </c>
      <c r="K232" s="3">
        <v>3.0474537037037036E-2</v>
      </c>
      <c r="L232" s="1">
        <v>2</v>
      </c>
      <c r="M232" s="1" t="s">
        <v>14</v>
      </c>
      <c r="N232" s="1">
        <v>2</v>
      </c>
      <c r="O232" s="1" t="s">
        <v>14</v>
      </c>
      <c r="Q232" s="1">
        <v>0.1</v>
      </c>
      <c r="R232" s="1">
        <v>0.1</v>
      </c>
      <c r="S232" s="1">
        <v>0</v>
      </c>
      <c r="V232" s="2" t="s">
        <v>27</v>
      </c>
      <c r="W232" s="2" t="s">
        <v>541</v>
      </c>
    </row>
    <row r="233" spans="1:23" x14ac:dyDescent="0.2">
      <c r="A233" s="1">
        <v>2</v>
      </c>
      <c r="B233" s="1" t="s">
        <v>625</v>
      </c>
      <c r="C233" s="1">
        <v>3</v>
      </c>
      <c r="D233" s="1" t="s">
        <v>675</v>
      </c>
      <c r="E233" s="1" t="s">
        <v>671</v>
      </c>
      <c r="F233" s="4">
        <v>45427</v>
      </c>
      <c r="G233" s="3">
        <f t="shared" si="12"/>
        <v>0.79276620370370365</v>
      </c>
      <c r="H233" s="3">
        <v>0.75618055555555552</v>
      </c>
      <c r="I233" s="3">
        <v>3.0879629629629628E-2</v>
      </c>
      <c r="J233" s="3">
        <f t="shared" si="13"/>
        <v>0.78706018518518517</v>
      </c>
      <c r="K233" s="3">
        <v>3.6585648148148145E-2</v>
      </c>
      <c r="L233" s="1">
        <v>2</v>
      </c>
      <c r="M233" s="1" t="s">
        <v>14</v>
      </c>
      <c r="N233" s="1">
        <v>2</v>
      </c>
      <c r="O233" s="1" t="s">
        <v>14</v>
      </c>
      <c r="Q233" s="1">
        <v>0.1</v>
      </c>
      <c r="R233" s="1">
        <v>0.1</v>
      </c>
      <c r="S233" s="1">
        <v>1</v>
      </c>
      <c r="T233" s="1" t="s">
        <v>696</v>
      </c>
      <c r="V233" s="2" t="s">
        <v>27</v>
      </c>
      <c r="W233" s="2" t="s">
        <v>541</v>
      </c>
    </row>
    <row r="234" spans="1:23" x14ac:dyDescent="0.2">
      <c r="A234" s="1">
        <v>2</v>
      </c>
      <c r="B234" s="1" t="s">
        <v>625</v>
      </c>
      <c r="C234" s="1">
        <v>4</v>
      </c>
      <c r="D234" s="1" t="s">
        <v>675</v>
      </c>
      <c r="E234" s="1" t="s">
        <v>671</v>
      </c>
      <c r="F234" s="4">
        <v>45427</v>
      </c>
      <c r="G234" s="3">
        <f t="shared" si="12"/>
        <v>0.799224537037037</v>
      </c>
      <c r="H234" s="3">
        <v>0.75618055555555552</v>
      </c>
      <c r="I234" s="3">
        <v>3.784722222222222E-2</v>
      </c>
      <c r="J234" s="3">
        <f t="shared" si="13"/>
        <v>0.79402777777777778</v>
      </c>
      <c r="K234" s="3">
        <v>4.3043981481481482E-2</v>
      </c>
      <c r="L234" s="1">
        <v>2</v>
      </c>
      <c r="M234" s="1" t="s">
        <v>14</v>
      </c>
      <c r="N234" s="1">
        <v>2</v>
      </c>
      <c r="O234" s="1" t="s">
        <v>14</v>
      </c>
      <c r="Q234" s="1">
        <v>0.1</v>
      </c>
      <c r="R234" s="1">
        <v>0.1</v>
      </c>
      <c r="S234" s="1">
        <v>0</v>
      </c>
      <c r="T234" s="1" t="s">
        <v>703</v>
      </c>
      <c r="U234" s="1" t="s">
        <v>702</v>
      </c>
      <c r="V234" s="2" t="s">
        <v>27</v>
      </c>
      <c r="W234" s="2" t="s">
        <v>541</v>
      </c>
    </row>
    <row r="235" spans="1:23" x14ac:dyDescent="0.2">
      <c r="A235" s="1">
        <v>2</v>
      </c>
      <c r="B235" s="1" t="s">
        <v>625</v>
      </c>
      <c r="C235" s="1">
        <v>1</v>
      </c>
      <c r="D235" s="1" t="s">
        <v>678</v>
      </c>
      <c r="E235" s="1" t="s">
        <v>671</v>
      </c>
      <c r="F235" s="4">
        <v>45428</v>
      </c>
      <c r="G235" s="3">
        <f t="shared" si="12"/>
        <v>0.23674768518518519</v>
      </c>
      <c r="H235" s="3">
        <v>0.22144675925925925</v>
      </c>
      <c r="K235" s="3">
        <v>1.5300925925925926E-2</v>
      </c>
      <c r="L235" s="1">
        <v>2</v>
      </c>
      <c r="M235" s="1" t="s">
        <v>14</v>
      </c>
      <c r="N235" s="1">
        <v>2</v>
      </c>
      <c r="O235" s="1" t="s">
        <v>14</v>
      </c>
      <c r="Q235" s="1">
        <v>0.1</v>
      </c>
      <c r="R235" s="1">
        <v>0.2</v>
      </c>
      <c r="S235" s="1">
        <v>1</v>
      </c>
      <c r="T235" s="1">
        <v>1</v>
      </c>
      <c r="V235" s="2" t="s">
        <v>27</v>
      </c>
      <c r="W235" s="2" t="s">
        <v>541</v>
      </c>
    </row>
    <row r="236" spans="1:23" x14ac:dyDescent="0.2">
      <c r="A236" s="1">
        <v>2</v>
      </c>
      <c r="B236" s="1" t="s">
        <v>624</v>
      </c>
      <c r="C236" s="1">
        <v>1</v>
      </c>
      <c r="D236" s="1" t="s">
        <v>678</v>
      </c>
      <c r="E236" s="1" t="s">
        <v>671</v>
      </c>
      <c r="F236" s="4">
        <v>45428</v>
      </c>
      <c r="G236" s="3">
        <f t="shared" si="12"/>
        <v>0.22597222222222221</v>
      </c>
      <c r="H236" s="3">
        <v>0.22144675925925925</v>
      </c>
      <c r="K236" s="3">
        <v>4.5254629629629629E-3</v>
      </c>
      <c r="L236" s="1">
        <v>2</v>
      </c>
      <c r="M236" s="1" t="s">
        <v>13</v>
      </c>
      <c r="N236" s="1">
        <v>2</v>
      </c>
      <c r="O236" s="1" t="s">
        <v>13</v>
      </c>
      <c r="Q236" s="1">
        <v>0.1</v>
      </c>
      <c r="R236" s="1">
        <v>0.1</v>
      </c>
      <c r="S236" s="1" t="s">
        <v>27</v>
      </c>
      <c r="U236" s="1" t="s">
        <v>701</v>
      </c>
      <c r="V236" s="2" t="s">
        <v>27</v>
      </c>
      <c r="W236" s="2" t="s">
        <v>541</v>
      </c>
    </row>
    <row r="237" spans="1:23" x14ac:dyDescent="0.2">
      <c r="A237" s="1">
        <v>2</v>
      </c>
      <c r="B237" s="1" t="s">
        <v>624</v>
      </c>
      <c r="C237" s="1">
        <v>2</v>
      </c>
      <c r="D237" s="1" t="s">
        <v>678</v>
      </c>
      <c r="E237" s="1" t="s">
        <v>671</v>
      </c>
      <c r="F237" s="4">
        <v>45428</v>
      </c>
      <c r="G237" s="3">
        <f t="shared" si="12"/>
        <v>0.23618055555555553</v>
      </c>
      <c r="H237" s="3">
        <v>0.22144675925925925</v>
      </c>
      <c r="K237" s="3">
        <v>1.4733796296296297E-2</v>
      </c>
      <c r="L237" s="1">
        <v>2</v>
      </c>
      <c r="M237" s="1" t="s">
        <v>13</v>
      </c>
      <c r="N237" s="1">
        <v>2</v>
      </c>
      <c r="O237" s="1" t="s">
        <v>13</v>
      </c>
      <c r="Q237" s="1">
        <v>0.1</v>
      </c>
      <c r="R237" s="1">
        <v>0.2</v>
      </c>
      <c r="S237" s="1">
        <v>0</v>
      </c>
      <c r="T237" s="1" t="s">
        <v>700</v>
      </c>
      <c r="V237" s="2" t="s">
        <v>27</v>
      </c>
      <c r="W237" s="2" t="s">
        <v>541</v>
      </c>
    </row>
    <row r="238" spans="1:23" x14ac:dyDescent="0.2">
      <c r="A238" s="1">
        <v>2</v>
      </c>
      <c r="B238" s="1" t="s">
        <v>624</v>
      </c>
      <c r="C238" s="1">
        <v>3</v>
      </c>
      <c r="D238" s="1" t="s">
        <v>678</v>
      </c>
      <c r="E238" s="1" t="s">
        <v>671</v>
      </c>
      <c r="F238" s="4">
        <v>45428</v>
      </c>
      <c r="G238" s="3">
        <f t="shared" si="12"/>
        <v>0.24971064814814814</v>
      </c>
      <c r="H238" s="3">
        <v>0.22144675925925925</v>
      </c>
      <c r="I238" s="3">
        <v>1.9988425925925927E-2</v>
      </c>
      <c r="J238" s="3">
        <f t="shared" ref="J238:J243" si="14">$H238 + $I238</f>
        <v>0.24143518518518517</v>
      </c>
      <c r="K238" s="3">
        <v>2.826388888888889E-2</v>
      </c>
      <c r="L238" s="1">
        <v>2</v>
      </c>
      <c r="M238" s="1" t="s">
        <v>13</v>
      </c>
      <c r="N238" s="1">
        <v>2</v>
      </c>
      <c r="O238" s="1" t="s">
        <v>13</v>
      </c>
      <c r="Q238" s="1">
        <v>0.2</v>
      </c>
      <c r="R238" s="1">
        <v>0.1</v>
      </c>
      <c r="S238" s="1">
        <v>0</v>
      </c>
      <c r="T238" s="1">
        <v>1</v>
      </c>
      <c r="V238" s="2" t="s">
        <v>27</v>
      </c>
      <c r="W238" s="2" t="s">
        <v>541</v>
      </c>
    </row>
    <row r="239" spans="1:23" x14ac:dyDescent="0.2">
      <c r="A239" s="1">
        <v>2</v>
      </c>
      <c r="B239" s="1" t="s">
        <v>625</v>
      </c>
      <c r="C239" s="1">
        <v>1</v>
      </c>
      <c r="D239" s="1" t="s">
        <v>679</v>
      </c>
      <c r="E239" s="1" t="s">
        <v>671</v>
      </c>
      <c r="F239" s="4">
        <v>45428</v>
      </c>
      <c r="G239" s="3">
        <f t="shared" ref="G239:G253" si="15">H239 + K239</f>
        <v>0.78483796296296304</v>
      </c>
      <c r="H239" s="3">
        <v>0.7544791666666667</v>
      </c>
      <c r="I239" s="3">
        <v>1.4351851851851852E-2</v>
      </c>
      <c r="J239" s="3">
        <f t="shared" si="14"/>
        <v>0.76883101851851854</v>
      </c>
      <c r="K239" s="3">
        <v>3.0358796296296297E-2</v>
      </c>
      <c r="L239" s="1">
        <v>2</v>
      </c>
      <c r="M239" s="1" t="s">
        <v>14</v>
      </c>
      <c r="N239" s="1">
        <v>2</v>
      </c>
      <c r="O239" s="1" t="s">
        <v>13</v>
      </c>
      <c r="Q239" s="1">
        <v>0.1</v>
      </c>
      <c r="R239" s="1">
        <v>0.1</v>
      </c>
      <c r="S239" s="1">
        <v>1</v>
      </c>
      <c r="V239" s="2" t="s">
        <v>27</v>
      </c>
      <c r="W239" s="2" t="s">
        <v>541</v>
      </c>
    </row>
    <row r="240" spans="1:23" x14ac:dyDescent="0.2">
      <c r="A240" s="1">
        <v>2</v>
      </c>
      <c r="B240" s="1" t="s">
        <v>624</v>
      </c>
      <c r="C240" s="1">
        <v>1</v>
      </c>
      <c r="D240" s="1" t="s">
        <v>679</v>
      </c>
      <c r="E240" s="1" t="s">
        <v>671</v>
      </c>
      <c r="F240" s="4">
        <v>45428</v>
      </c>
      <c r="G240" s="3">
        <f t="shared" si="15"/>
        <v>0.79086805555555562</v>
      </c>
      <c r="H240" s="3">
        <v>0.7544791666666667</v>
      </c>
      <c r="I240" s="3">
        <v>1.8587962962962962E-2</v>
      </c>
      <c r="J240" s="3">
        <f t="shared" si="14"/>
        <v>0.77306712962962965</v>
      </c>
      <c r="K240" s="3">
        <v>3.6388888888888887E-2</v>
      </c>
      <c r="L240" s="1">
        <v>2</v>
      </c>
      <c r="M240" s="1" t="s">
        <v>13</v>
      </c>
      <c r="N240" s="1">
        <v>2</v>
      </c>
      <c r="O240" s="1" t="s">
        <v>14</v>
      </c>
      <c r="Q240" s="1">
        <v>0.1</v>
      </c>
      <c r="R240" s="1">
        <v>0.1</v>
      </c>
      <c r="S240" s="1">
        <v>0</v>
      </c>
      <c r="T240" s="1">
        <v>1</v>
      </c>
      <c r="V240" s="2" t="s">
        <v>27</v>
      </c>
      <c r="W240" s="2" t="s">
        <v>541</v>
      </c>
    </row>
    <row r="241" spans="1:23" x14ac:dyDescent="0.2">
      <c r="A241" s="1">
        <v>2</v>
      </c>
      <c r="B241" s="1" t="s">
        <v>625</v>
      </c>
      <c r="C241" s="1">
        <v>1</v>
      </c>
      <c r="D241" s="1" t="s">
        <v>694</v>
      </c>
      <c r="E241" s="1" t="s">
        <v>671</v>
      </c>
      <c r="F241" s="4">
        <v>45429</v>
      </c>
      <c r="G241" s="3">
        <f t="shared" si="15"/>
        <v>0.24288194444444444</v>
      </c>
      <c r="H241" s="3">
        <v>0.22107638888888889</v>
      </c>
      <c r="I241" s="3">
        <v>7.9629629629629634E-3</v>
      </c>
      <c r="J241" s="3">
        <f t="shared" si="14"/>
        <v>0.22903935185185187</v>
      </c>
      <c r="K241" s="3">
        <v>2.1805555555555557E-2</v>
      </c>
      <c r="L241" s="1">
        <v>2</v>
      </c>
      <c r="M241" s="1" t="s">
        <v>13</v>
      </c>
      <c r="N241" s="1">
        <v>2</v>
      </c>
      <c r="O241" s="1" t="s">
        <v>13</v>
      </c>
      <c r="Q241" s="1">
        <v>0.1</v>
      </c>
      <c r="R241" s="1">
        <v>0.2</v>
      </c>
      <c r="S241" s="1">
        <v>1</v>
      </c>
      <c r="T241" s="1">
        <v>1</v>
      </c>
      <c r="V241" s="2" t="s">
        <v>27</v>
      </c>
      <c r="W241" s="2" t="s">
        <v>541</v>
      </c>
    </row>
    <row r="242" spans="1:23" x14ac:dyDescent="0.2">
      <c r="A242" s="1">
        <v>2</v>
      </c>
      <c r="B242" s="1" t="s">
        <v>624</v>
      </c>
      <c r="C242" s="1">
        <v>1</v>
      </c>
      <c r="D242" s="1" t="s">
        <v>694</v>
      </c>
      <c r="E242" s="1" t="s">
        <v>671</v>
      </c>
      <c r="F242" s="4">
        <v>45429</v>
      </c>
      <c r="G242" s="3">
        <f t="shared" si="15"/>
        <v>0.23121527777777778</v>
      </c>
      <c r="H242" s="3">
        <v>0.22107638888888889</v>
      </c>
      <c r="I242" s="3">
        <v>0</v>
      </c>
      <c r="J242" s="3">
        <f t="shared" si="14"/>
        <v>0.22107638888888889</v>
      </c>
      <c r="K242" s="3">
        <v>1.0138888888888888E-2</v>
      </c>
      <c r="L242" s="1">
        <v>2</v>
      </c>
      <c r="M242" s="1" t="s">
        <v>14</v>
      </c>
      <c r="N242" s="1">
        <v>2</v>
      </c>
      <c r="O242" s="1" t="s">
        <v>14</v>
      </c>
      <c r="Q242" s="1">
        <v>0.1</v>
      </c>
      <c r="R242" s="1">
        <v>0.1</v>
      </c>
      <c r="S242" s="1">
        <v>0</v>
      </c>
      <c r="T242" s="1">
        <v>1</v>
      </c>
      <c r="V242" s="2" t="s">
        <v>27</v>
      </c>
      <c r="W242" s="2" t="s">
        <v>541</v>
      </c>
    </row>
    <row r="243" spans="1:23" x14ac:dyDescent="0.2">
      <c r="A243" s="1">
        <v>2</v>
      </c>
      <c r="B243" s="1" t="s">
        <v>624</v>
      </c>
      <c r="C243" s="1">
        <v>2</v>
      </c>
      <c r="D243" s="1" t="s">
        <v>694</v>
      </c>
      <c r="E243" s="1" t="s">
        <v>671</v>
      </c>
      <c r="F243" s="4">
        <v>45429</v>
      </c>
      <c r="G243" s="3">
        <f t="shared" si="15"/>
        <v>0.24766203703703704</v>
      </c>
      <c r="H243" s="3">
        <v>0.22107638888888889</v>
      </c>
      <c r="I243" s="3">
        <v>2.1643518518518517E-2</v>
      </c>
      <c r="J243" s="3">
        <f t="shared" si="14"/>
        <v>0.2427199074074074</v>
      </c>
      <c r="K243" s="3">
        <v>2.6585648148148146E-2</v>
      </c>
      <c r="L243" s="1">
        <v>2</v>
      </c>
      <c r="M243" s="1" t="s">
        <v>14</v>
      </c>
      <c r="N243" s="1">
        <v>2</v>
      </c>
      <c r="O243" s="1" t="s">
        <v>14</v>
      </c>
      <c r="Q243" s="1">
        <v>0.2</v>
      </c>
      <c r="R243" s="1">
        <v>0.2</v>
      </c>
      <c r="S243" s="1">
        <v>1</v>
      </c>
      <c r="T243" s="1">
        <v>1</v>
      </c>
      <c r="V243" s="2" t="s">
        <v>27</v>
      </c>
      <c r="W243" s="2" t="s">
        <v>541</v>
      </c>
    </row>
    <row r="244" spans="1:23" x14ac:dyDescent="0.2">
      <c r="A244" s="1">
        <v>2</v>
      </c>
      <c r="B244" s="1" t="s">
        <v>624</v>
      </c>
      <c r="C244" s="1">
        <v>3</v>
      </c>
      <c r="D244" s="1" t="s">
        <v>694</v>
      </c>
      <c r="E244" s="1" t="s">
        <v>671</v>
      </c>
      <c r="F244" s="4">
        <v>45429</v>
      </c>
      <c r="G244" s="3">
        <f t="shared" si="15"/>
        <v>0.25545138888888891</v>
      </c>
      <c r="H244" s="3">
        <v>0.22107638888888889</v>
      </c>
      <c r="K244" s="3">
        <v>3.4375000000000003E-2</v>
      </c>
      <c r="L244" s="1">
        <v>2</v>
      </c>
      <c r="M244" s="1" t="s">
        <v>14</v>
      </c>
      <c r="N244" s="1">
        <v>2</v>
      </c>
      <c r="O244" s="1" t="s">
        <v>14</v>
      </c>
      <c r="Q244" s="1">
        <v>0.2</v>
      </c>
      <c r="R244" s="1">
        <v>0.2</v>
      </c>
      <c r="S244" s="1">
        <v>1</v>
      </c>
      <c r="T244" s="1">
        <v>1</v>
      </c>
      <c r="V244" s="2" t="s">
        <v>27</v>
      </c>
      <c r="W244" s="2" t="s">
        <v>541</v>
      </c>
    </row>
    <row r="245" spans="1:23" x14ac:dyDescent="0.2">
      <c r="A245" s="1">
        <v>2</v>
      </c>
      <c r="B245" s="1" t="s">
        <v>624</v>
      </c>
      <c r="C245" s="1">
        <v>1</v>
      </c>
      <c r="D245" s="1" t="s">
        <v>713</v>
      </c>
      <c r="E245" s="1" t="s">
        <v>671</v>
      </c>
      <c r="F245" s="4">
        <v>45429</v>
      </c>
      <c r="G245" s="3">
        <f t="shared" si="15"/>
        <v>0.79304398148148147</v>
      </c>
      <c r="H245" s="3">
        <v>0.76368055555555558</v>
      </c>
      <c r="I245" s="3">
        <v>1.1770833333333333E-2</v>
      </c>
      <c r="J245" s="3">
        <f>$H245 + $I245</f>
        <v>0.77545138888888887</v>
      </c>
      <c r="K245" s="3">
        <v>2.9363425925925925E-2</v>
      </c>
      <c r="L245" s="1">
        <v>2</v>
      </c>
      <c r="M245" s="1" t="s">
        <v>14</v>
      </c>
      <c r="N245" s="1">
        <v>2</v>
      </c>
      <c r="O245" s="1" t="s">
        <v>13</v>
      </c>
      <c r="Q245" s="1">
        <v>0.2</v>
      </c>
      <c r="R245" s="1">
        <v>0.1</v>
      </c>
      <c r="S245" s="1">
        <v>1</v>
      </c>
      <c r="T245" s="1">
        <v>1</v>
      </c>
      <c r="V245" s="2" t="s">
        <v>27</v>
      </c>
      <c r="W245" s="2" t="s">
        <v>541</v>
      </c>
    </row>
    <row r="246" spans="1:23" x14ac:dyDescent="0.2">
      <c r="A246" s="1">
        <v>2</v>
      </c>
      <c r="B246" s="1" t="s">
        <v>625</v>
      </c>
      <c r="C246" s="1">
        <v>1</v>
      </c>
      <c r="D246" s="1" t="s">
        <v>713</v>
      </c>
      <c r="E246" s="1" t="s">
        <v>671</v>
      </c>
      <c r="F246" s="4">
        <v>45429</v>
      </c>
      <c r="G246" s="3">
        <f t="shared" si="15"/>
        <v>0.78851851851851851</v>
      </c>
      <c r="H246" s="3">
        <v>0.76368055555555558</v>
      </c>
      <c r="I246" s="3">
        <v>1.6527777777777777E-2</v>
      </c>
      <c r="J246" s="3">
        <f>$H246 + $I246</f>
        <v>0.78020833333333339</v>
      </c>
      <c r="K246" s="3">
        <v>2.4837962962962964E-2</v>
      </c>
      <c r="L246" s="1">
        <v>2</v>
      </c>
      <c r="M246" s="1" t="s">
        <v>14</v>
      </c>
      <c r="N246" s="1">
        <v>2</v>
      </c>
      <c r="O246" s="1" t="s">
        <v>14</v>
      </c>
      <c r="Q246" s="1">
        <v>0.1</v>
      </c>
      <c r="R246" s="1">
        <v>0.1</v>
      </c>
      <c r="S246" s="1">
        <v>0</v>
      </c>
      <c r="T246" s="1">
        <v>1</v>
      </c>
      <c r="V246" s="2" t="s">
        <v>27</v>
      </c>
      <c r="W246" s="2" t="s">
        <v>541</v>
      </c>
    </row>
    <row r="247" spans="1:23" x14ac:dyDescent="0.2">
      <c r="A247" s="1">
        <v>2</v>
      </c>
      <c r="B247" s="1" t="s">
        <v>624</v>
      </c>
      <c r="C247" s="1">
        <v>1</v>
      </c>
      <c r="D247" s="1" t="s">
        <v>715</v>
      </c>
      <c r="E247" s="1" t="s">
        <v>671</v>
      </c>
      <c r="F247" s="4">
        <v>45430</v>
      </c>
      <c r="G247" s="3">
        <f t="shared" si="15"/>
        <v>0.24028935185185185</v>
      </c>
      <c r="H247" s="3">
        <v>0.21936342592592592</v>
      </c>
      <c r="I247" s="3">
        <v>2.3726851851851851E-3</v>
      </c>
      <c r="J247" s="3">
        <f>$H247 + $I247</f>
        <v>0.22173611111111111</v>
      </c>
      <c r="K247" s="3">
        <v>2.0925925925925924E-2</v>
      </c>
      <c r="L247" s="1">
        <v>2</v>
      </c>
      <c r="M247" s="1" t="s">
        <v>14</v>
      </c>
      <c r="N247" s="1">
        <v>2</v>
      </c>
      <c r="O247" s="1" t="s">
        <v>13</v>
      </c>
      <c r="Q247" s="1">
        <v>0.1</v>
      </c>
      <c r="R247" s="1">
        <v>0.2</v>
      </c>
      <c r="S247" s="1">
        <v>0</v>
      </c>
      <c r="T247" s="1">
        <v>1</v>
      </c>
      <c r="V247" s="2" t="s">
        <v>27</v>
      </c>
      <c r="W247" s="2" t="s">
        <v>541</v>
      </c>
    </row>
    <row r="248" spans="1:23" x14ac:dyDescent="0.2">
      <c r="A248" s="1">
        <v>2</v>
      </c>
      <c r="B248" s="1" t="s">
        <v>624</v>
      </c>
      <c r="C248" s="1">
        <v>1</v>
      </c>
      <c r="D248" s="1" t="s">
        <v>717</v>
      </c>
      <c r="E248" s="1" t="s">
        <v>671</v>
      </c>
      <c r="F248" s="4">
        <v>45430</v>
      </c>
      <c r="G248" s="3">
        <f t="shared" si="15"/>
        <v>0.79083333333333328</v>
      </c>
      <c r="H248" s="3">
        <v>0.76873842592592589</v>
      </c>
      <c r="J248" s="3"/>
      <c r="K248" s="3">
        <v>2.2094907407407407E-2</v>
      </c>
      <c r="L248" s="1">
        <v>2</v>
      </c>
      <c r="M248" s="1" t="s">
        <v>13</v>
      </c>
      <c r="N248" s="1">
        <v>2</v>
      </c>
      <c r="O248" s="1" t="s">
        <v>14</v>
      </c>
      <c r="Q248" s="1">
        <v>0.1</v>
      </c>
      <c r="R248" s="1">
        <v>0.1</v>
      </c>
      <c r="S248" s="1">
        <v>0</v>
      </c>
      <c r="T248" s="1">
        <v>1</v>
      </c>
      <c r="V248" s="2" t="s">
        <v>27</v>
      </c>
      <c r="W248" s="2" t="s">
        <v>541</v>
      </c>
    </row>
    <row r="249" spans="1:23" x14ac:dyDescent="0.2">
      <c r="A249" s="1">
        <v>2</v>
      </c>
      <c r="B249" s="1" t="s">
        <v>624</v>
      </c>
      <c r="C249" s="1">
        <v>1</v>
      </c>
      <c r="D249" s="1" t="s">
        <v>733</v>
      </c>
      <c r="E249" s="1" t="s">
        <v>671</v>
      </c>
      <c r="F249" s="4">
        <v>45433</v>
      </c>
      <c r="G249" s="3">
        <f t="shared" si="15"/>
        <v>0.78643518518518518</v>
      </c>
      <c r="H249" s="3">
        <v>0.76209490740740737</v>
      </c>
      <c r="I249" s="3">
        <v>1.7905092592592594E-2</v>
      </c>
      <c r="J249" s="3">
        <f>$H249 + $I249</f>
        <v>0.77999999999999992</v>
      </c>
      <c r="K249" s="3">
        <v>2.4340277777777777E-2</v>
      </c>
      <c r="L249" s="1">
        <v>2</v>
      </c>
      <c r="M249" s="1" t="s">
        <v>14</v>
      </c>
      <c r="N249" s="1">
        <v>2</v>
      </c>
      <c r="O249" s="1" t="s">
        <v>14</v>
      </c>
      <c r="Q249" s="1">
        <v>0.2</v>
      </c>
      <c r="R249" s="1">
        <v>0.1</v>
      </c>
      <c r="S249" s="1">
        <v>1</v>
      </c>
      <c r="V249" s="2" t="s">
        <v>27</v>
      </c>
      <c r="W249" s="2" t="s">
        <v>541</v>
      </c>
    </row>
    <row r="250" spans="1:23" x14ac:dyDescent="0.2">
      <c r="A250" s="1">
        <v>2</v>
      </c>
      <c r="B250" s="1" t="s">
        <v>624</v>
      </c>
      <c r="C250" s="1">
        <v>1</v>
      </c>
      <c r="D250" s="1" t="s">
        <v>734</v>
      </c>
      <c r="E250" s="1" t="s">
        <v>671</v>
      </c>
      <c r="F250" s="4">
        <v>45433</v>
      </c>
      <c r="G250" s="3">
        <f t="shared" si="15"/>
        <v>0.23763888888888887</v>
      </c>
      <c r="H250" s="3">
        <v>0.21850694444444443</v>
      </c>
      <c r="I250" s="1" t="s">
        <v>27</v>
      </c>
      <c r="J250" s="1" t="s">
        <v>27</v>
      </c>
      <c r="K250" s="3">
        <v>1.9131944444444444E-2</v>
      </c>
      <c r="L250" s="1">
        <v>2</v>
      </c>
      <c r="M250" s="1" t="s">
        <v>13</v>
      </c>
      <c r="N250" s="1">
        <v>2</v>
      </c>
      <c r="O250" s="1" t="s">
        <v>14</v>
      </c>
      <c r="Q250" s="1">
        <v>0.1</v>
      </c>
      <c r="R250" s="1">
        <v>0.2</v>
      </c>
      <c r="S250" s="1">
        <v>0</v>
      </c>
      <c r="T250" s="1">
        <v>1</v>
      </c>
      <c r="U250" s="1" t="s">
        <v>735</v>
      </c>
      <c r="V250" s="2" t="s">
        <v>27</v>
      </c>
      <c r="W250" s="2" t="s">
        <v>541</v>
      </c>
    </row>
    <row r="251" spans="1:23" x14ac:dyDescent="0.2">
      <c r="A251" s="1">
        <v>2</v>
      </c>
      <c r="B251" s="1" t="s">
        <v>624</v>
      </c>
      <c r="C251" s="1">
        <v>2</v>
      </c>
      <c r="D251" s="1" t="s">
        <v>734</v>
      </c>
      <c r="E251" s="1" t="s">
        <v>671</v>
      </c>
      <c r="F251" s="4">
        <v>45433</v>
      </c>
      <c r="G251" s="3">
        <f t="shared" si="15"/>
        <v>0.25300925925925927</v>
      </c>
      <c r="H251" s="3">
        <v>0.21850694444444443</v>
      </c>
      <c r="I251" s="3">
        <v>1.9131944444444444E-2</v>
      </c>
      <c r="J251" s="3">
        <f>$H251 + $I251</f>
        <v>0.23763888888888887</v>
      </c>
      <c r="K251" s="3">
        <v>3.4502314814814812E-2</v>
      </c>
      <c r="L251" s="1">
        <v>2</v>
      </c>
      <c r="M251" s="1" t="s">
        <v>14</v>
      </c>
      <c r="N251" s="1">
        <v>2</v>
      </c>
      <c r="O251" s="1" t="s">
        <v>14</v>
      </c>
      <c r="Q251" s="1">
        <v>0.2</v>
      </c>
      <c r="R251" s="1">
        <v>0.2</v>
      </c>
      <c r="S251" s="1">
        <v>1</v>
      </c>
      <c r="V251" s="2" t="s">
        <v>27</v>
      </c>
      <c r="W251" s="2" t="s">
        <v>541</v>
      </c>
    </row>
    <row r="252" spans="1:23" x14ac:dyDescent="0.2">
      <c r="A252" s="1">
        <v>2</v>
      </c>
      <c r="B252" s="1" t="s">
        <v>624</v>
      </c>
      <c r="C252" s="1">
        <v>1</v>
      </c>
      <c r="D252" s="1" t="s">
        <v>229</v>
      </c>
      <c r="E252" s="1" t="s">
        <v>671</v>
      </c>
      <c r="F252" s="4">
        <v>45432</v>
      </c>
      <c r="G252" s="3">
        <f t="shared" si="15"/>
        <v>0.24386574074074074</v>
      </c>
      <c r="H252" s="3">
        <v>0.2215162037037037</v>
      </c>
      <c r="K252" s="3">
        <v>2.2349537037037036E-2</v>
      </c>
      <c r="L252" s="1">
        <v>2</v>
      </c>
      <c r="M252" s="1" t="s">
        <v>13</v>
      </c>
      <c r="N252" s="1">
        <v>2</v>
      </c>
      <c r="O252" s="1" t="s">
        <v>13</v>
      </c>
      <c r="Q252" s="1">
        <v>0.2</v>
      </c>
      <c r="R252" s="1">
        <v>0.2</v>
      </c>
      <c r="S252" s="1">
        <v>1</v>
      </c>
      <c r="V252" s="2" t="s">
        <v>27</v>
      </c>
      <c r="W252" s="2" t="s">
        <v>541</v>
      </c>
    </row>
    <row r="253" spans="1:23" x14ac:dyDescent="0.2">
      <c r="A253" s="1">
        <v>2</v>
      </c>
      <c r="B253" s="1" t="s">
        <v>624</v>
      </c>
      <c r="C253" s="1">
        <v>1</v>
      </c>
      <c r="D253" s="3" t="s">
        <v>737</v>
      </c>
      <c r="E253" s="1" t="s">
        <v>671</v>
      </c>
      <c r="F253" s="4">
        <v>45431</v>
      </c>
      <c r="G253" s="3">
        <f t="shared" si="15"/>
        <v>0.24098379629629629</v>
      </c>
      <c r="H253" s="3">
        <v>0.21858796296296296</v>
      </c>
      <c r="K253" s="3">
        <v>2.2395833333333334E-2</v>
      </c>
      <c r="L253" s="1">
        <v>2</v>
      </c>
      <c r="M253" s="1" t="s">
        <v>14</v>
      </c>
      <c r="N253" s="1">
        <v>2</v>
      </c>
      <c r="O253" s="1" t="s">
        <v>14</v>
      </c>
      <c r="Q253" s="1">
        <v>0.1</v>
      </c>
      <c r="R253" s="1">
        <v>0.2</v>
      </c>
      <c r="S253" s="1">
        <v>1</v>
      </c>
      <c r="V253" s="2" t="s">
        <v>27</v>
      </c>
      <c r="W253" s="2" t="s">
        <v>541</v>
      </c>
    </row>
    <row r="254" spans="1:23" x14ac:dyDescent="0.2">
      <c r="A254" s="1">
        <v>2</v>
      </c>
      <c r="B254" s="1" t="s">
        <v>624</v>
      </c>
      <c r="C254" s="1">
        <v>1</v>
      </c>
      <c r="D254" s="1" t="s">
        <v>724</v>
      </c>
      <c r="E254" s="1" t="s">
        <v>671</v>
      </c>
      <c r="F254" s="4">
        <v>45431</v>
      </c>
      <c r="G254" s="1" t="s">
        <v>27</v>
      </c>
      <c r="H254" s="3">
        <v>0.76197916666666665</v>
      </c>
      <c r="I254" s="3">
        <v>2.0532407407407409E-2</v>
      </c>
      <c r="K254" s="1" t="s">
        <v>27</v>
      </c>
      <c r="L254" s="1">
        <v>2</v>
      </c>
      <c r="M254" s="1" t="s">
        <v>14</v>
      </c>
      <c r="N254" s="1">
        <v>2</v>
      </c>
      <c r="O254" s="1" t="s">
        <v>13</v>
      </c>
      <c r="R254" s="1">
        <v>0.1</v>
      </c>
      <c r="S254" s="1" t="s">
        <v>27</v>
      </c>
      <c r="U254" s="1" t="s">
        <v>736</v>
      </c>
      <c r="V254" s="2" t="s">
        <v>27</v>
      </c>
      <c r="W254" s="2" t="s">
        <v>541</v>
      </c>
    </row>
    <row r="255" spans="1:23" x14ac:dyDescent="0.2">
      <c r="A255" s="1">
        <v>2</v>
      </c>
      <c r="B255" s="1" t="s">
        <v>624</v>
      </c>
      <c r="C255" s="1">
        <v>1</v>
      </c>
      <c r="D255" s="1" t="s">
        <v>729</v>
      </c>
      <c r="E255" s="1" t="s">
        <v>671</v>
      </c>
      <c r="F255" s="4">
        <v>45436</v>
      </c>
      <c r="G255" s="3">
        <f t="shared" ref="G255:G258" si="16">H255 + K255</f>
        <v>0.25960648148148147</v>
      </c>
      <c r="H255" s="3">
        <v>0.22819444444444445</v>
      </c>
      <c r="I255" s="1" t="s">
        <v>27</v>
      </c>
      <c r="J255" s="1" t="s">
        <v>27</v>
      </c>
      <c r="K255" s="3">
        <v>3.1412037037037037E-2</v>
      </c>
      <c r="L255" s="1">
        <v>2</v>
      </c>
      <c r="M255" s="1" t="s">
        <v>14</v>
      </c>
      <c r="N255" s="1">
        <v>2</v>
      </c>
      <c r="O255" s="1" t="s">
        <v>13</v>
      </c>
      <c r="Q255" s="1">
        <v>0.1</v>
      </c>
      <c r="R255" s="1">
        <v>0.2</v>
      </c>
      <c r="S255" s="1">
        <v>0</v>
      </c>
      <c r="T255" s="1">
        <v>1</v>
      </c>
      <c r="V255" s="2" t="s">
        <v>27</v>
      </c>
      <c r="W255" s="2" t="s">
        <v>541</v>
      </c>
    </row>
    <row r="256" spans="1:23" x14ac:dyDescent="0.2">
      <c r="A256" s="1">
        <v>2</v>
      </c>
      <c r="B256" s="1" t="s">
        <v>624</v>
      </c>
      <c r="C256" s="1">
        <v>1</v>
      </c>
      <c r="D256" s="1" t="s">
        <v>730</v>
      </c>
      <c r="E256" s="1" t="s">
        <v>671</v>
      </c>
      <c r="F256" s="4">
        <v>45435</v>
      </c>
      <c r="G256" s="3">
        <f t="shared" si="16"/>
        <v>0.24655092592592592</v>
      </c>
      <c r="H256" s="3">
        <v>0.21998842592592593</v>
      </c>
      <c r="I256" s="3">
        <v>2.2222222222222222E-3</v>
      </c>
      <c r="J256" s="3">
        <f>$H256 + $I256</f>
        <v>0.22221064814814814</v>
      </c>
      <c r="K256" s="3">
        <v>2.6562499999999999E-2</v>
      </c>
      <c r="L256" s="1">
        <v>2</v>
      </c>
      <c r="M256" s="1" t="s">
        <v>14</v>
      </c>
      <c r="N256" s="1">
        <v>2</v>
      </c>
      <c r="O256" s="1" t="s">
        <v>14</v>
      </c>
      <c r="Q256" s="1">
        <v>0.1</v>
      </c>
      <c r="R256" s="1">
        <v>0.2</v>
      </c>
      <c r="S256" s="1">
        <v>0</v>
      </c>
      <c r="T256" s="1">
        <v>1</v>
      </c>
      <c r="V256" s="2" t="s">
        <v>27</v>
      </c>
      <c r="W256" s="2" t="s">
        <v>541</v>
      </c>
    </row>
    <row r="257" spans="1:23" x14ac:dyDescent="0.2">
      <c r="A257" s="1">
        <v>2</v>
      </c>
      <c r="B257" s="1" t="s">
        <v>624</v>
      </c>
      <c r="C257" s="1">
        <v>1</v>
      </c>
      <c r="D257" s="1" t="s">
        <v>731</v>
      </c>
      <c r="E257" s="1" t="s">
        <v>671</v>
      </c>
      <c r="F257" s="4">
        <v>45434</v>
      </c>
      <c r="G257" s="3">
        <f t="shared" si="16"/>
        <v>0.78530092592592593</v>
      </c>
      <c r="H257" s="3">
        <v>0.76609953703703704</v>
      </c>
      <c r="I257" s="3">
        <v>1.2858796296296297E-2</v>
      </c>
      <c r="J257" s="3">
        <f>$H257 + $I257</f>
        <v>0.77895833333333331</v>
      </c>
      <c r="K257" s="3">
        <v>1.9201388888888889E-2</v>
      </c>
      <c r="L257" s="1">
        <v>2</v>
      </c>
      <c r="M257" s="1" t="s">
        <v>13</v>
      </c>
      <c r="N257" s="1">
        <v>2</v>
      </c>
      <c r="O257" s="1" t="s">
        <v>14</v>
      </c>
      <c r="Q257" s="1">
        <v>0.2</v>
      </c>
      <c r="R257" s="1">
        <v>0.1</v>
      </c>
      <c r="S257" s="1">
        <v>0</v>
      </c>
      <c r="T257" s="1">
        <v>1</v>
      </c>
      <c r="V257" s="2" t="s">
        <v>27</v>
      </c>
      <c r="W257" s="2" t="s">
        <v>541</v>
      </c>
    </row>
    <row r="258" spans="1:23" x14ac:dyDescent="0.2">
      <c r="A258" s="1">
        <v>2</v>
      </c>
      <c r="B258" s="1" t="s">
        <v>624</v>
      </c>
      <c r="C258" s="1">
        <v>1</v>
      </c>
      <c r="D258" s="1" t="s">
        <v>732</v>
      </c>
      <c r="E258" s="1" t="s">
        <v>671</v>
      </c>
      <c r="F258" s="4">
        <v>45434</v>
      </c>
      <c r="G258" s="3">
        <f t="shared" si="16"/>
        <v>0.2490046296296296</v>
      </c>
      <c r="H258" s="3">
        <v>0.22027777777777777</v>
      </c>
      <c r="I258" s="3">
        <v>2.3148148148148147E-5</v>
      </c>
      <c r="J258" s="3">
        <f>$H258 + $I258</f>
        <v>0.22030092592592593</v>
      </c>
      <c r="K258" s="3">
        <v>2.8726851851851851E-2</v>
      </c>
      <c r="L258" s="1">
        <v>2</v>
      </c>
      <c r="M258" s="1" t="s">
        <v>14</v>
      </c>
      <c r="N258" s="1">
        <v>2</v>
      </c>
      <c r="O258" s="1" t="s">
        <v>13</v>
      </c>
      <c r="Q258" s="1">
        <v>0.1</v>
      </c>
      <c r="R258" s="1">
        <v>0.2</v>
      </c>
      <c r="S258" s="1">
        <v>0</v>
      </c>
      <c r="T258" s="1">
        <v>1</v>
      </c>
      <c r="V258" s="2" t="s">
        <v>27</v>
      </c>
      <c r="W258" s="2" t="s">
        <v>541</v>
      </c>
    </row>
    <row r="259" spans="1:23" x14ac:dyDescent="0.2">
      <c r="A259" s="1">
        <v>2</v>
      </c>
      <c r="B259" s="1" t="s">
        <v>624</v>
      </c>
      <c r="C259" s="1">
        <v>1</v>
      </c>
      <c r="D259" s="1" t="s">
        <v>740</v>
      </c>
      <c r="E259" s="1" t="s">
        <v>671</v>
      </c>
      <c r="F259" s="4">
        <v>45437</v>
      </c>
      <c r="G259" s="1" t="s">
        <v>27</v>
      </c>
      <c r="H259" s="3">
        <v>0.75185185185185188</v>
      </c>
      <c r="I259" s="1" t="s">
        <v>27</v>
      </c>
      <c r="J259" s="1" t="s">
        <v>27</v>
      </c>
      <c r="K259" s="1" t="s">
        <v>27</v>
      </c>
      <c r="L259" s="1">
        <v>2</v>
      </c>
      <c r="M259" s="1" t="s">
        <v>13</v>
      </c>
      <c r="N259" s="1">
        <v>2</v>
      </c>
      <c r="O259" s="1" t="s">
        <v>14</v>
      </c>
      <c r="Q259" s="1">
        <v>0.2</v>
      </c>
      <c r="R259" s="1">
        <v>0.1</v>
      </c>
      <c r="S259" s="1" t="s">
        <v>27</v>
      </c>
      <c r="U259" s="1" t="s">
        <v>555</v>
      </c>
      <c r="V259" s="2" t="s">
        <v>27</v>
      </c>
      <c r="W259" s="2" t="s">
        <v>541</v>
      </c>
    </row>
    <row r="260" spans="1:23" x14ac:dyDescent="0.2">
      <c r="A260" s="1">
        <v>2</v>
      </c>
      <c r="B260" s="1" t="s">
        <v>624</v>
      </c>
      <c r="C260" s="1" t="s">
        <v>27</v>
      </c>
      <c r="D260" s="1" t="s">
        <v>248</v>
      </c>
      <c r="F260" s="4">
        <v>45438</v>
      </c>
      <c r="H260" s="3">
        <v>0.22033564814814816</v>
      </c>
      <c r="Q260" s="1">
        <v>0.1</v>
      </c>
      <c r="R260" s="1">
        <v>0.1</v>
      </c>
      <c r="S260" s="1" t="s">
        <v>27</v>
      </c>
      <c r="U260" s="1" t="s">
        <v>743</v>
      </c>
    </row>
    <row r="261" spans="1:23" x14ac:dyDescent="0.2">
      <c r="A261" s="1" t="s">
        <v>27</v>
      </c>
      <c r="B261" s="1" t="s">
        <v>27</v>
      </c>
      <c r="C261" s="1" t="s">
        <v>27</v>
      </c>
      <c r="D261" s="1" t="s">
        <v>744</v>
      </c>
      <c r="E261" s="1" t="s">
        <v>669</v>
      </c>
      <c r="T261" s="1" t="s">
        <v>27</v>
      </c>
      <c r="U261" s="1" t="s">
        <v>745</v>
      </c>
    </row>
    <row r="262" spans="1:23" x14ac:dyDescent="0.2">
      <c r="D262" s="1" t="s">
        <v>746</v>
      </c>
    </row>
    <row r="263" spans="1:23" x14ac:dyDescent="0.2">
      <c r="D263" s="1" t="s">
        <v>747</v>
      </c>
    </row>
  </sheetData>
  <sortState xmlns:xlrd2="http://schemas.microsoft.com/office/spreadsheetml/2017/richdata2" ref="A2:U165">
    <sortCondition ref="F2:F165"/>
  </sortState>
  <customSheetViews>
    <customSheetView guid="{8A75D892-44B4-104C-BB94-8EB0D0E43396}" scale="90">
      <pane ySplit="1" topLeftCell="A74" activePane="bottomLeft" state="frozen"/>
      <selection pane="bottomLeft" activeCell="D102" sqref="D102"/>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284</v>
      </c>
      <c r="B1" t="s">
        <v>37</v>
      </c>
      <c r="C1" t="s">
        <v>288</v>
      </c>
      <c r="D1" t="s">
        <v>285</v>
      </c>
      <c r="E1" t="s">
        <v>286</v>
      </c>
      <c r="F1" t="s">
        <v>241</v>
      </c>
      <c r="G1" t="s">
        <v>345</v>
      </c>
      <c r="H1" t="s">
        <v>346</v>
      </c>
      <c r="I1" t="s">
        <v>223</v>
      </c>
      <c r="J1" t="s">
        <v>337</v>
      </c>
      <c r="K1" t="s">
        <v>5</v>
      </c>
      <c r="L1" t="s">
        <v>21</v>
      </c>
    </row>
    <row r="2" spans="1:20" x14ac:dyDescent="0.2">
      <c r="A2" t="s">
        <v>289</v>
      </c>
      <c r="C2">
        <v>10</v>
      </c>
      <c r="D2" t="s">
        <v>287</v>
      </c>
      <c r="E2">
        <v>49.74</v>
      </c>
      <c r="F2" t="e">
        <f xml:space="preserve"> (E2/D2*5)+C2</f>
        <v>#VALUE!</v>
      </c>
      <c r="G2" t="e">
        <f t="shared" ref="G2:G13" si="0">$Q$7-F2</f>
        <v>#VALUE!</v>
      </c>
      <c r="H2" t="e">
        <f t="shared" ref="H2:H13" si="1" xml:space="preserve"> $J2 / (2*DEGREES(ATAN(0.5*$R$7 / $G2)))</f>
        <v>#VALUE!</v>
      </c>
      <c r="I2">
        <v>0.05</v>
      </c>
      <c r="J2">
        <v>2.17</v>
      </c>
    </row>
    <row r="3" spans="1:20" x14ac:dyDescent="0.2">
      <c r="A3" t="s">
        <v>294</v>
      </c>
      <c r="F3">
        <v>15</v>
      </c>
      <c r="G3">
        <f t="shared" si="0"/>
        <v>16.2</v>
      </c>
      <c r="H3">
        <f t="shared" si="1"/>
        <v>8.6445102133919177E-2</v>
      </c>
      <c r="I3">
        <v>0.15</v>
      </c>
      <c r="J3">
        <v>6.51</v>
      </c>
    </row>
    <row r="4" spans="1:20" x14ac:dyDescent="0.2">
      <c r="A4" t="s">
        <v>295</v>
      </c>
      <c r="C4">
        <v>10</v>
      </c>
      <c r="D4">
        <v>125.67</v>
      </c>
      <c r="E4">
        <v>84.08</v>
      </c>
      <c r="F4">
        <f xml:space="preserve"> (E4/D4*5)+C4</f>
        <v>13.345269356250498</v>
      </c>
      <c r="G4">
        <f t="shared" si="0"/>
        <v>17.854730643749502</v>
      </c>
      <c r="H4">
        <f t="shared" si="1"/>
        <v>9.3011542339628731E-2</v>
      </c>
      <c r="I4">
        <v>0.15</v>
      </c>
      <c r="J4">
        <v>6.51</v>
      </c>
    </row>
    <row r="5" spans="1:20" x14ac:dyDescent="0.2">
      <c r="A5" t="s">
        <v>296</v>
      </c>
      <c r="C5">
        <v>15</v>
      </c>
      <c r="D5">
        <v>119.92</v>
      </c>
      <c r="E5">
        <v>51.43</v>
      </c>
      <c r="F5">
        <f xml:space="preserve"> (E5/D5*5)+C5</f>
        <v>17.144346230820545</v>
      </c>
      <c r="G5">
        <f t="shared" si="0"/>
        <v>14.055653769179454</v>
      </c>
      <c r="H5">
        <f t="shared" si="1"/>
        <v>7.8156150762295956E-2</v>
      </c>
      <c r="I5">
        <v>0.15</v>
      </c>
      <c r="J5">
        <v>6.51</v>
      </c>
    </row>
    <row r="6" spans="1:20" x14ac:dyDescent="0.2">
      <c r="A6" t="s">
        <v>300</v>
      </c>
      <c r="C6">
        <v>10</v>
      </c>
      <c r="D6">
        <v>126.56</v>
      </c>
      <c r="E6">
        <v>70.66</v>
      </c>
      <c r="F6">
        <f xml:space="preserve"> (E6/D6*5)+C6</f>
        <v>12.791561314791403</v>
      </c>
      <c r="G6">
        <f t="shared" si="0"/>
        <v>18.408438685208594</v>
      </c>
      <c r="H6">
        <f t="shared" si="1"/>
        <v>3.1745630299109547E-2</v>
      </c>
      <c r="I6">
        <v>0.05</v>
      </c>
      <c r="J6">
        <v>2.17</v>
      </c>
      <c r="O6" s="1" t="s">
        <v>342</v>
      </c>
      <c r="P6" s="1" t="s">
        <v>344</v>
      </c>
      <c r="Q6" s="1" t="s">
        <v>348</v>
      </c>
      <c r="R6" s="1" t="s">
        <v>335</v>
      </c>
      <c r="S6" s="1" t="s">
        <v>336</v>
      </c>
      <c r="T6" s="1" t="s">
        <v>343</v>
      </c>
    </row>
    <row r="7" spans="1:20" x14ac:dyDescent="0.2">
      <c r="A7" t="s">
        <v>301</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347</v>
      </c>
    </row>
    <row r="8" spans="1:20" x14ac:dyDescent="0.2">
      <c r="A8" t="s">
        <v>311</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312</v>
      </c>
      <c r="C9">
        <v>10</v>
      </c>
      <c r="F9">
        <v>10</v>
      </c>
      <c r="G9">
        <f t="shared" si="0"/>
        <v>21.2</v>
      </c>
      <c r="H9">
        <f t="shared" si="1"/>
        <v>3.5545143206206414E-2</v>
      </c>
      <c r="I9">
        <v>0.05</v>
      </c>
      <c r="J9">
        <v>2.17</v>
      </c>
      <c r="O9" s="1">
        <v>0.15</v>
      </c>
      <c r="P9" s="1"/>
      <c r="Q9" s="1"/>
      <c r="R9" s="1"/>
      <c r="S9" s="1"/>
      <c r="T9" s="1"/>
    </row>
    <row r="10" spans="1:20" x14ac:dyDescent="0.2">
      <c r="A10" t="s">
        <v>333</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332</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331</v>
      </c>
      <c r="D12" t="s">
        <v>27</v>
      </c>
      <c r="E12" t="s">
        <v>27</v>
      </c>
      <c r="F12">
        <v>15</v>
      </c>
      <c r="G12">
        <f t="shared" si="0"/>
        <v>16.2</v>
      </c>
      <c r="H12">
        <f t="shared" si="1"/>
        <v>5.7630068089279451E-2</v>
      </c>
      <c r="I12">
        <v>0.1</v>
      </c>
      <c r="J12" s="17">
        <v>4.34</v>
      </c>
      <c r="O12" s="1"/>
      <c r="P12" s="1"/>
      <c r="Q12" s="1"/>
      <c r="R12" s="1"/>
      <c r="S12" s="1"/>
      <c r="T12" s="1"/>
    </row>
    <row r="13" spans="1:20" x14ac:dyDescent="0.2">
      <c r="A13" t="s">
        <v>353</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228</v>
      </c>
      <c r="C14" t="s">
        <v>27</v>
      </c>
      <c r="D14" t="s">
        <v>27</v>
      </c>
      <c r="E14" t="s">
        <v>27</v>
      </c>
      <c r="F14" t="s">
        <v>27</v>
      </c>
      <c r="G14" t="s">
        <v>27</v>
      </c>
      <c r="H14" t="s">
        <v>27</v>
      </c>
      <c r="I14" t="s">
        <v>27</v>
      </c>
      <c r="J14" t="s">
        <v>27</v>
      </c>
      <c r="K14" t="s">
        <v>27</v>
      </c>
      <c r="L14" t="s">
        <v>354</v>
      </c>
    </row>
    <row r="15" spans="1:20" x14ac:dyDescent="0.2">
      <c r="A15" t="s">
        <v>355</v>
      </c>
      <c r="B15" s="18">
        <v>45376</v>
      </c>
      <c r="C15" t="s">
        <v>27</v>
      </c>
      <c r="D15" t="s">
        <v>27</v>
      </c>
      <c r="E15" t="s">
        <v>27</v>
      </c>
      <c r="F15" t="s">
        <v>27</v>
      </c>
      <c r="G15" t="s">
        <v>27</v>
      </c>
      <c r="H15" t="s">
        <v>27</v>
      </c>
      <c r="I15" t="s">
        <v>27</v>
      </c>
      <c r="J15" t="s">
        <v>27</v>
      </c>
      <c r="K15" t="s">
        <v>27</v>
      </c>
    </row>
    <row r="16" spans="1:20" x14ac:dyDescent="0.2">
      <c r="A16" t="s">
        <v>351</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356</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234</v>
      </c>
      <c r="C18" t="s">
        <v>27</v>
      </c>
      <c r="D18" t="s">
        <v>27</v>
      </c>
      <c r="E18" t="s">
        <v>27</v>
      </c>
      <c r="F18" t="s">
        <v>27</v>
      </c>
      <c r="G18" t="s">
        <v>27</v>
      </c>
      <c r="H18" t="s">
        <v>27</v>
      </c>
      <c r="I18" t="s">
        <v>27</v>
      </c>
      <c r="J18" t="s">
        <v>27</v>
      </c>
      <c r="L18" t="s">
        <v>357</v>
      </c>
    </row>
    <row r="19" spans="1:12" x14ac:dyDescent="0.2">
      <c r="A19" t="s">
        <v>358</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248</v>
      </c>
      <c r="C20" t="s">
        <v>27</v>
      </c>
      <c r="D20" t="s">
        <v>27</v>
      </c>
      <c r="E20" t="s">
        <v>27</v>
      </c>
      <c r="F20" t="s">
        <v>27</v>
      </c>
      <c r="G20" t="s">
        <v>27</v>
      </c>
      <c r="H20" t="s">
        <v>27</v>
      </c>
      <c r="I20" t="s">
        <v>27</v>
      </c>
      <c r="J20" t="s">
        <v>27</v>
      </c>
      <c r="K20" t="s">
        <v>27</v>
      </c>
      <c r="L20" t="s">
        <v>354</v>
      </c>
    </row>
    <row r="21" spans="1:12" x14ac:dyDescent="0.2">
      <c r="A21" t="s">
        <v>359</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253</v>
      </c>
      <c r="C22" t="s">
        <v>27</v>
      </c>
      <c r="D22" t="s">
        <v>27</v>
      </c>
      <c r="E22" t="s">
        <v>27</v>
      </c>
      <c r="F22" t="s">
        <v>27</v>
      </c>
      <c r="G22" t="s">
        <v>27</v>
      </c>
      <c r="H22" t="s">
        <v>27</v>
      </c>
      <c r="I22" t="s">
        <v>27</v>
      </c>
      <c r="J22" t="s">
        <v>27</v>
      </c>
      <c r="K22" t="s">
        <v>27</v>
      </c>
      <c r="L22" t="s">
        <v>354</v>
      </c>
    </row>
    <row r="23" spans="1:12" x14ac:dyDescent="0.2">
      <c r="A23" t="s">
        <v>256</v>
      </c>
      <c r="C23" t="s">
        <v>27</v>
      </c>
      <c r="D23" t="s">
        <v>27</v>
      </c>
      <c r="E23" t="s">
        <v>27</v>
      </c>
      <c r="F23" t="s">
        <v>27</v>
      </c>
      <c r="G23" t="s">
        <v>27</v>
      </c>
      <c r="H23" t="s">
        <v>27</v>
      </c>
      <c r="I23" t="s">
        <v>27</v>
      </c>
      <c r="J23" t="s">
        <v>27</v>
      </c>
      <c r="K23" t="s">
        <v>27</v>
      </c>
      <c r="L23" t="s">
        <v>354</v>
      </c>
    </row>
    <row r="24" spans="1:12" x14ac:dyDescent="0.2">
      <c r="A24" t="s">
        <v>360</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361</v>
      </c>
      <c r="C25">
        <v>10</v>
      </c>
      <c r="F25">
        <v>10</v>
      </c>
      <c r="G25">
        <f>$Q$7-F25</f>
        <v>21.2</v>
      </c>
      <c r="H25">
        <f xml:space="preserve"> $J25 / (2*DEGREES(ATAN(0.5*$R$7 / $G25)))</f>
        <v>3.5545143206206414E-2</v>
      </c>
      <c r="I25">
        <v>0.05</v>
      </c>
      <c r="J25">
        <v>2.17</v>
      </c>
    </row>
    <row r="26" spans="1:12" x14ac:dyDescent="0.2">
      <c r="A26" s="17" t="s">
        <v>362</v>
      </c>
      <c r="C26">
        <v>20</v>
      </c>
      <c r="F26">
        <v>20</v>
      </c>
      <c r="G26">
        <f>$Q$7-F26</f>
        <v>11.2</v>
      </c>
      <c r="H26">
        <f xml:space="preserve"> $J26 / (2*DEGREES(ATAN(0.5*$R$7 / $G26)))</f>
        <v>2.2538588695232575E-2</v>
      </c>
      <c r="I26">
        <v>0.05</v>
      </c>
      <c r="J26">
        <v>2.17</v>
      </c>
    </row>
    <row r="27" spans="1:12" x14ac:dyDescent="0.2">
      <c r="A27" t="s">
        <v>363</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307</v>
      </c>
      <c r="C28" s="19" t="s">
        <v>27</v>
      </c>
      <c r="D28" s="19" t="s">
        <v>27</v>
      </c>
      <c r="E28" s="19" t="s">
        <v>27</v>
      </c>
      <c r="F28" s="19" t="s">
        <v>27</v>
      </c>
      <c r="G28" s="19" t="s">
        <v>27</v>
      </c>
      <c r="H28" s="19" t="s">
        <v>27</v>
      </c>
      <c r="I28" s="19" t="s">
        <v>27</v>
      </c>
      <c r="J28" s="19" t="s">
        <v>27</v>
      </c>
      <c r="K28" s="19" t="s">
        <v>27</v>
      </c>
      <c r="L28" s="19" t="s">
        <v>364</v>
      </c>
    </row>
    <row r="29" spans="1:12" x14ac:dyDescent="0.2">
      <c r="A29" t="s">
        <v>326</v>
      </c>
      <c r="C29" t="s">
        <v>27</v>
      </c>
      <c r="D29" t="s">
        <v>27</v>
      </c>
      <c r="E29" t="s">
        <v>27</v>
      </c>
      <c r="F29" t="s">
        <v>27</v>
      </c>
      <c r="G29" t="s">
        <v>27</v>
      </c>
      <c r="H29" t="s">
        <v>27</v>
      </c>
      <c r="I29" t="s">
        <v>27</v>
      </c>
      <c r="J29" t="s">
        <v>27</v>
      </c>
      <c r="K29" t="s">
        <v>27</v>
      </c>
      <c r="L29" t="s">
        <v>354</v>
      </c>
    </row>
    <row r="30" spans="1:12" x14ac:dyDescent="0.2">
      <c r="A30" t="s">
        <v>365</v>
      </c>
      <c r="C30" t="s">
        <v>27</v>
      </c>
      <c r="D30" t="s">
        <v>27</v>
      </c>
      <c r="E30" t="s">
        <v>27</v>
      </c>
      <c r="F30" t="s">
        <v>27</v>
      </c>
      <c r="G30" t="s">
        <v>27</v>
      </c>
      <c r="H30" t="s">
        <v>27</v>
      </c>
      <c r="I30" t="s">
        <v>27</v>
      </c>
      <c r="J30" t="s">
        <v>27</v>
      </c>
      <c r="K30" t="s">
        <v>27</v>
      </c>
      <c r="L30" t="s">
        <v>354</v>
      </c>
    </row>
    <row r="31" spans="1:12" x14ac:dyDescent="0.2">
      <c r="A31" t="s">
        <v>433</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434</v>
      </c>
      <c r="F32">
        <f xml:space="preserve"> 8.35 + (145.8/226.3)* (18.3-8.35)</f>
        <v>14.760561201944322</v>
      </c>
      <c r="G32">
        <f t="shared" si="2"/>
        <v>16.439438798055676</v>
      </c>
      <c r="H32">
        <f t="shared" si="3"/>
        <v>2.9128966957005804E-2</v>
      </c>
      <c r="I32">
        <v>0.05</v>
      </c>
      <c r="J32">
        <v>2.17</v>
      </c>
    </row>
    <row r="33" spans="1:12" x14ac:dyDescent="0.2">
      <c r="A33" t="s">
        <v>435</v>
      </c>
      <c r="F33">
        <v>8.35</v>
      </c>
      <c r="G33">
        <f t="shared" si="2"/>
        <v>22.85</v>
      </c>
      <c r="H33">
        <f t="shared" si="3"/>
        <v>3.7830336673040817E-2</v>
      </c>
      <c r="I33">
        <v>0.05</v>
      </c>
      <c r="J33">
        <v>2.17</v>
      </c>
    </row>
    <row r="34" spans="1:12" x14ac:dyDescent="0.2">
      <c r="A34" t="s">
        <v>436</v>
      </c>
      <c r="F34">
        <f xml:space="preserve"> 8.35 + (51.9/228.6)* (18.3-8.35)</f>
        <v>10.608989501312337</v>
      </c>
      <c r="G34">
        <f t="shared" si="2"/>
        <v>20.591010498687663</v>
      </c>
      <c r="H34">
        <f t="shared" si="3"/>
        <v>3.4708553522484198E-2</v>
      </c>
      <c r="I34">
        <v>0.05</v>
      </c>
      <c r="J34">
        <v>2.17</v>
      </c>
    </row>
    <row r="35" spans="1:12" x14ac:dyDescent="0.2">
      <c r="A35" t="s">
        <v>439</v>
      </c>
      <c r="F35">
        <f xml:space="preserve"> 8.35 + (177.1/230.8)* (18.3-8.35)</f>
        <v>15.984943674176776</v>
      </c>
      <c r="G35">
        <f t="shared" si="2"/>
        <v>15.215056325823223</v>
      </c>
      <c r="H35">
        <f t="shared" si="3"/>
        <v>2.7534595602459244E-2</v>
      </c>
      <c r="I35">
        <v>0.05</v>
      </c>
      <c r="J35">
        <v>2.17</v>
      </c>
    </row>
    <row r="36" spans="1:12" x14ac:dyDescent="0.2">
      <c r="A36" t="s">
        <v>437</v>
      </c>
      <c r="F36">
        <f xml:space="preserve"> 18.3 + (35.8/266.5)* (31.5-18.3)</f>
        <v>20.073208255159475</v>
      </c>
      <c r="G36">
        <f t="shared" si="2"/>
        <v>11.126791744840524</v>
      </c>
      <c r="H36">
        <f t="shared" si="3"/>
        <v>2.2451526710271889E-2</v>
      </c>
      <c r="I36">
        <v>0.05</v>
      </c>
      <c r="J36">
        <v>2.17</v>
      </c>
      <c r="L36" t="s">
        <v>438</v>
      </c>
    </row>
    <row r="37" spans="1:12" x14ac:dyDescent="0.2">
      <c r="A37" t="s">
        <v>462</v>
      </c>
      <c r="F37">
        <f xml:space="preserve"> 8.35 + (186.1/235.8)* (18.3-8.35)</f>
        <v>16.202820186598814</v>
      </c>
      <c r="G37">
        <f t="shared" si="2"/>
        <v>14.997179813401186</v>
      </c>
      <c r="H37">
        <f t="shared" si="3"/>
        <v>2.7253863391563733E-2</v>
      </c>
      <c r="I37">
        <v>0.05</v>
      </c>
      <c r="J37">
        <v>2.17</v>
      </c>
    </row>
    <row r="38" spans="1:12" x14ac:dyDescent="0.2">
      <c r="A38" t="s">
        <v>463</v>
      </c>
      <c r="F38">
        <f xml:space="preserve"> 8.35 + (174.5/230.4)* (18.3-8.35)</f>
        <v>15.885915798611112</v>
      </c>
      <c r="G38">
        <f t="shared" si="2"/>
        <v>15.314084201388887</v>
      </c>
      <c r="H38">
        <f t="shared" si="3"/>
        <v>2.7662502883388645E-2</v>
      </c>
      <c r="I38">
        <v>0.05</v>
      </c>
      <c r="J38">
        <v>2.17</v>
      </c>
    </row>
    <row r="39" spans="1:12" x14ac:dyDescent="0.2">
      <c r="A39" t="s">
        <v>465</v>
      </c>
      <c r="F39">
        <f xml:space="preserve"> 8.35 + (212.3/241)* (18.3-8.35)</f>
        <v>17.115082987551869</v>
      </c>
      <c r="G39">
        <f t="shared" si="2"/>
        <v>14.08491701244813</v>
      </c>
      <c r="H39">
        <f t="shared" si="3"/>
        <v>2.6089114062275189E-2</v>
      </c>
      <c r="I39">
        <v>0.05</v>
      </c>
      <c r="J39">
        <v>2.17</v>
      </c>
    </row>
    <row r="40" spans="1:12" x14ac:dyDescent="0.2">
      <c r="A40" t="s">
        <v>466</v>
      </c>
      <c r="F40">
        <f xml:space="preserve"> 8.35 + (165.7/229.6)* (18.3-8.35)</f>
        <v>15.530814459930312</v>
      </c>
      <c r="G40">
        <f t="shared" si="2"/>
        <v>15.669185540069687</v>
      </c>
      <c r="H40">
        <f t="shared" si="3"/>
        <v>2.8122718374816082E-2</v>
      </c>
      <c r="I40">
        <v>0.05</v>
      </c>
      <c r="J40">
        <v>2.17</v>
      </c>
      <c r="L40" t="s">
        <v>467</v>
      </c>
    </row>
    <row r="41" spans="1:12" x14ac:dyDescent="0.2">
      <c r="A41" t="s">
        <v>468</v>
      </c>
      <c r="F41">
        <f xml:space="preserve"> 8.35 + (63.1/238.7)* (18.3-8.35)</f>
        <v>10.980268118977797</v>
      </c>
      <c r="G41">
        <f t="shared" si="2"/>
        <v>20.219731881022202</v>
      </c>
      <c r="H41">
        <f t="shared" si="3"/>
        <v>3.4200493652346668E-2</v>
      </c>
      <c r="I41">
        <v>0.05</v>
      </c>
      <c r="J41">
        <v>2.17</v>
      </c>
    </row>
    <row r="42" spans="1:12" x14ac:dyDescent="0.2">
      <c r="A42" t="s">
        <v>469</v>
      </c>
      <c r="F42">
        <f xml:space="preserve"> 8.35 + (242.1/262)* (18.3-8.35)</f>
        <v>17.54425572519084</v>
      </c>
      <c r="G42">
        <f t="shared" si="2"/>
        <v>13.655744274809159</v>
      </c>
      <c r="H42">
        <f t="shared" si="3"/>
        <v>5.109499119861137E-2</v>
      </c>
      <c r="I42">
        <v>0.1</v>
      </c>
      <c r="J42" s="17">
        <v>4.34</v>
      </c>
    </row>
    <row r="43" spans="1:12" x14ac:dyDescent="0.2">
      <c r="A43" t="s">
        <v>470</v>
      </c>
      <c r="F43">
        <v>18.3</v>
      </c>
      <c r="G43">
        <f t="shared" si="2"/>
        <v>12.899999999999999</v>
      </c>
      <c r="H43">
        <f t="shared" si="3"/>
        <v>4.9208827681519053E-2</v>
      </c>
      <c r="I43">
        <v>0.1</v>
      </c>
      <c r="J43" s="17">
        <v>4.34</v>
      </c>
    </row>
    <row r="44" spans="1:12" x14ac:dyDescent="0.2">
      <c r="A44" t="s">
        <v>471</v>
      </c>
      <c r="F44">
        <f xml:space="preserve"> 18.3 + (114.6/278)* (31.5-18.3)</f>
        <v>23.741438848920865</v>
      </c>
      <c r="G44">
        <f t="shared" si="2"/>
        <v>7.4585611510791345</v>
      </c>
      <c r="H44">
        <f t="shared" si="3"/>
        <v>5.500530464216144E-2</v>
      </c>
      <c r="I44">
        <v>0.15</v>
      </c>
      <c r="J44">
        <v>6.51</v>
      </c>
    </row>
    <row r="45" spans="1:12" x14ac:dyDescent="0.2">
      <c r="A45" t="s">
        <v>472</v>
      </c>
      <c r="F45">
        <f xml:space="preserve"> 18.3 + (84.1/275.1)* (31.5-18.3)</f>
        <v>22.335332606324972</v>
      </c>
      <c r="G45">
        <f t="shared" si="2"/>
        <v>8.8646673936750275</v>
      </c>
      <c r="H45">
        <f t="shared" si="3"/>
        <v>5.9553487713183681E-2</v>
      </c>
      <c r="I45">
        <v>0.15</v>
      </c>
      <c r="J45">
        <v>6.51</v>
      </c>
    </row>
    <row r="46" spans="1:12" x14ac:dyDescent="0.2">
      <c r="A46" t="s">
        <v>475</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479</v>
      </c>
      <c r="F47">
        <v>31.5</v>
      </c>
      <c r="H47" t="s">
        <v>480</v>
      </c>
      <c r="I47">
        <v>0.1</v>
      </c>
      <c r="J47" s="17">
        <v>4.34</v>
      </c>
      <c r="L47" t="s">
        <v>481</v>
      </c>
    </row>
    <row r="48" spans="1:12" x14ac:dyDescent="0.2">
      <c r="A48" t="s">
        <v>487</v>
      </c>
      <c r="F48">
        <v>31.5</v>
      </c>
      <c r="H48" t="s">
        <v>480</v>
      </c>
      <c r="I48">
        <v>0.05</v>
      </c>
      <c r="J48">
        <v>2.17</v>
      </c>
      <c r="L48" t="s">
        <v>488</v>
      </c>
    </row>
    <row r="49" spans="1:12" x14ac:dyDescent="0.2">
      <c r="A49" t="s">
        <v>489</v>
      </c>
      <c r="C49">
        <v>15</v>
      </c>
      <c r="D49">
        <v>108.6</v>
      </c>
      <c r="E49">
        <v>26.8</v>
      </c>
      <c r="F49">
        <f xml:space="preserve"> (E49/D49*5)+C49</f>
        <v>16.233885819521177</v>
      </c>
      <c r="G49">
        <f>$Q$7-F49</f>
        <v>14.966114180478822</v>
      </c>
      <c r="H49">
        <f xml:space="preserve"> $J49 / (2*DEGREES(ATAN(0.5*$R$7 / $G49)))</f>
        <v>5.4427826243110322E-2</v>
      </c>
      <c r="I49">
        <v>0.1</v>
      </c>
      <c r="J49" s="17">
        <v>4.34</v>
      </c>
      <c r="L49" t="s">
        <v>490</v>
      </c>
    </row>
    <row r="50" spans="1:12" x14ac:dyDescent="0.2">
      <c r="A50" t="s">
        <v>505</v>
      </c>
      <c r="F50">
        <v>25</v>
      </c>
      <c r="G50">
        <f>$Q$7-F50</f>
        <v>6.1999999999999993</v>
      </c>
      <c r="H50">
        <f xml:space="preserve"> $J50 / (2*DEGREES(ATAN(0.5*$R$7 / $G50)))</f>
        <v>1.7054763794037576E-2</v>
      </c>
      <c r="I50">
        <v>0.05</v>
      </c>
      <c r="J50">
        <v>2.17</v>
      </c>
      <c r="L50" t="s">
        <v>492</v>
      </c>
    </row>
    <row r="51" spans="1:12" x14ac:dyDescent="0.2">
      <c r="A51" t="s">
        <v>504</v>
      </c>
      <c r="C51">
        <v>15</v>
      </c>
      <c r="D51">
        <v>115.1</v>
      </c>
      <c r="E51">
        <v>38.6</v>
      </c>
      <c r="F51">
        <f xml:space="preserve"> (E51/D51*5)+C51</f>
        <v>16.676802780191139</v>
      </c>
      <c r="G51">
        <f>$Q$7-F51</f>
        <v>14.523197219808861</v>
      </c>
      <c r="H51">
        <f xml:space="preserve"> $J51 / (2*DEGREES(ATAN(0.5*$R$7 / $G51)))</f>
        <v>7.9939455555224637E-2</v>
      </c>
      <c r="I51">
        <v>0.15</v>
      </c>
      <c r="J51">
        <v>6.51</v>
      </c>
      <c r="L51" t="s">
        <v>503</v>
      </c>
    </row>
    <row r="52" spans="1:12" x14ac:dyDescent="0.2">
      <c r="A52" t="s">
        <v>528</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529</v>
      </c>
    </row>
    <row r="53" spans="1:12" x14ac:dyDescent="0.2">
      <c r="A53" t="s">
        <v>532</v>
      </c>
      <c r="L53" t="s">
        <v>533</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3" customWidth="1"/>
    <col min="15" max="15" width="10.83203125" style="33"/>
    <col min="17" max="17" width="13.6640625" customWidth="1"/>
  </cols>
  <sheetData>
    <row r="1" spans="1:15" x14ac:dyDescent="0.2">
      <c r="A1" s="1" t="s">
        <v>0</v>
      </c>
      <c r="B1" s="1" t="s">
        <v>37</v>
      </c>
      <c r="C1" t="s">
        <v>2</v>
      </c>
      <c r="D1" s="1" t="s">
        <v>284</v>
      </c>
      <c r="E1" s="1" t="s">
        <v>339</v>
      </c>
      <c r="F1" s="1" t="s">
        <v>796</v>
      </c>
      <c r="G1" s="1" t="s">
        <v>795</v>
      </c>
      <c r="H1" s="1" t="s">
        <v>797</v>
      </c>
      <c r="I1" s="1" t="s">
        <v>798</v>
      </c>
      <c r="J1" s="1" t="s">
        <v>345</v>
      </c>
      <c r="K1" s="1" t="s">
        <v>792</v>
      </c>
      <c r="L1" s="1" t="s">
        <v>223</v>
      </c>
      <c r="M1" s="1" t="s">
        <v>799</v>
      </c>
      <c r="N1" s="32" t="s">
        <v>793</v>
      </c>
      <c r="O1" s="32" t="s">
        <v>21</v>
      </c>
    </row>
    <row r="2" spans="1:15" x14ac:dyDescent="0.2">
      <c r="A2" s="1">
        <v>2</v>
      </c>
      <c r="B2" s="1"/>
      <c r="C2" t="str">
        <f>_xlfn.TEXTSPLIT($D2, "_")</f>
        <v>C0080</v>
      </c>
      <c r="D2" s="1" t="s">
        <v>313</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2"/>
      <c r="O2" s="32"/>
    </row>
    <row r="3" spans="1:15" x14ac:dyDescent="0.2">
      <c r="A3" s="1">
        <v>2</v>
      </c>
      <c r="B3" s="1"/>
      <c r="C3" t="str">
        <f t="shared" ref="C3:C26" si="3">_xlfn.TEXTSPLIT($D3, "_")</f>
        <v>C0126</v>
      </c>
      <c r="D3" s="1" t="s">
        <v>323</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2"/>
      <c r="O3" s="32"/>
    </row>
    <row r="4" spans="1:15" x14ac:dyDescent="0.2">
      <c r="A4" s="1">
        <v>2</v>
      </c>
      <c r="B4" s="1"/>
      <c r="C4" t="str">
        <f t="shared" si="3"/>
        <v>C0085</v>
      </c>
      <c r="D4" s="1" t="s">
        <v>324</v>
      </c>
      <c r="E4" s="1"/>
      <c r="F4" s="1">
        <v>100</v>
      </c>
      <c r="G4" s="1">
        <v>124.5</v>
      </c>
      <c r="H4" s="1">
        <v>66.400000000000006</v>
      </c>
      <c r="I4" s="1">
        <f t="shared" si="0"/>
        <v>102.66666666666667</v>
      </c>
      <c r="J4" s="1">
        <f t="shared" si="4"/>
        <v>209.33333333333331</v>
      </c>
      <c r="K4" s="1">
        <f t="shared" si="1"/>
        <v>38.39</v>
      </c>
      <c r="L4" s="1">
        <v>0.15</v>
      </c>
      <c r="M4" s="1">
        <f t="shared" si="2"/>
        <v>9.5435605638469756E-2</v>
      </c>
      <c r="N4" s="32"/>
      <c r="O4" s="32"/>
    </row>
    <row r="5" spans="1:15" x14ac:dyDescent="0.2">
      <c r="A5" s="1">
        <v>2</v>
      </c>
      <c r="B5" s="1"/>
      <c r="C5" t="str">
        <f t="shared" si="3"/>
        <v>C0085</v>
      </c>
      <c r="D5" s="1" t="s">
        <v>325</v>
      </c>
      <c r="E5" s="1"/>
      <c r="F5" s="1">
        <v>150</v>
      </c>
      <c r="G5" s="1">
        <v>110.5</v>
      </c>
      <c r="H5" s="1">
        <v>67.599999999999994</v>
      </c>
      <c r="I5" s="1">
        <f t="shared" si="0"/>
        <v>153.05882352941177</v>
      </c>
      <c r="J5" s="1">
        <f t="shared" si="4"/>
        <v>158.94117647058823</v>
      </c>
      <c r="K5" s="1">
        <f t="shared" si="1"/>
        <v>38.39</v>
      </c>
      <c r="L5" s="1">
        <v>0.15</v>
      </c>
      <c r="M5" s="1">
        <f t="shared" si="2"/>
        <v>7.260956465522074E-2</v>
      </c>
      <c r="N5" s="32"/>
      <c r="O5" s="32"/>
    </row>
    <row r="6" spans="1:15" x14ac:dyDescent="0.2">
      <c r="A6" s="1">
        <v>2</v>
      </c>
      <c r="B6" s="1"/>
      <c r="C6" t="str">
        <f t="shared" si="3"/>
        <v>C0074</v>
      </c>
      <c r="D6" s="1" t="s">
        <v>418</v>
      </c>
      <c r="E6" s="1"/>
      <c r="F6" s="1">
        <v>200</v>
      </c>
      <c r="G6" s="1">
        <v>103.3</v>
      </c>
      <c r="H6" s="1">
        <v>21.9</v>
      </c>
      <c r="I6" s="1">
        <f t="shared" si="0"/>
        <v>201.06001936108422</v>
      </c>
      <c r="J6" s="1">
        <f t="shared" si="4"/>
        <v>110.93998063891578</v>
      </c>
      <c r="K6" s="1">
        <f t="shared" si="1"/>
        <v>57.59</v>
      </c>
      <c r="L6" s="1">
        <v>0.1</v>
      </c>
      <c r="M6" s="1">
        <f t="shared" si="2"/>
        <v>3.4363508907516056E-2</v>
      </c>
      <c r="N6" s="32" t="s">
        <v>349</v>
      </c>
      <c r="O6" s="32"/>
    </row>
    <row r="7" spans="1:15" x14ac:dyDescent="0.2">
      <c r="A7" s="1">
        <v>2</v>
      </c>
      <c r="B7" s="1"/>
      <c r="C7" t="str">
        <f t="shared" si="3"/>
        <v>C0073</v>
      </c>
      <c r="D7" s="1" t="s">
        <v>421</v>
      </c>
      <c r="E7" s="1"/>
      <c r="F7" s="1">
        <v>50</v>
      </c>
      <c r="G7" s="1">
        <v>122.5</v>
      </c>
      <c r="H7" s="1">
        <v>31.8</v>
      </c>
      <c r="I7" s="1">
        <f t="shared" si="0"/>
        <v>51.29795918367347</v>
      </c>
      <c r="J7" s="1">
        <f t="shared" si="4"/>
        <v>260.70204081632653</v>
      </c>
      <c r="K7" s="1">
        <f t="shared" si="1"/>
        <v>115.17</v>
      </c>
      <c r="L7" s="1">
        <v>0.05</v>
      </c>
      <c r="M7" s="1">
        <f t="shared" si="2"/>
        <v>4.0142136209352523E-2</v>
      </c>
      <c r="N7" s="32"/>
      <c r="O7" s="32"/>
    </row>
    <row r="8" spans="1:15" x14ac:dyDescent="0.2">
      <c r="A8" s="1">
        <v>2</v>
      </c>
      <c r="B8" s="1"/>
      <c r="C8" t="str">
        <f t="shared" si="3"/>
        <v>C0069</v>
      </c>
      <c r="D8" s="1" t="s">
        <v>461</v>
      </c>
      <c r="E8" s="1"/>
      <c r="F8" s="1">
        <v>50</v>
      </c>
      <c r="G8" s="1">
        <v>125.2</v>
      </c>
      <c r="H8" s="1">
        <v>51.5</v>
      </c>
      <c r="I8" s="1">
        <f t="shared" si="0"/>
        <v>52.056709265175719</v>
      </c>
      <c r="J8" s="1">
        <f t="shared" si="4"/>
        <v>259.9432907348243</v>
      </c>
      <c r="K8" s="1">
        <f t="shared" si="1"/>
        <v>57.59</v>
      </c>
      <c r="L8" s="1">
        <v>0.1</v>
      </c>
      <c r="M8" s="1">
        <f t="shared" si="2"/>
        <v>7.9099897933956026E-2</v>
      </c>
      <c r="N8" s="32"/>
      <c r="O8" s="32"/>
    </row>
    <row r="9" spans="1:15" x14ac:dyDescent="0.2">
      <c r="A9" s="1">
        <v>2</v>
      </c>
      <c r="B9" s="4">
        <v>45377</v>
      </c>
      <c r="C9" t="str">
        <f t="shared" si="3"/>
        <v>C0077</v>
      </c>
      <c r="D9" s="1" t="s">
        <v>351</v>
      </c>
      <c r="E9" s="1"/>
      <c r="F9" s="1">
        <v>50</v>
      </c>
      <c r="G9" s="1">
        <v>124.8</v>
      </c>
      <c r="H9" s="1">
        <v>100.6</v>
      </c>
      <c r="I9" s="1">
        <f t="shared" si="0"/>
        <v>54.030448717948715</v>
      </c>
      <c r="J9" s="1">
        <f t="shared" si="4"/>
        <v>257.96955128205127</v>
      </c>
      <c r="K9" s="1">
        <f t="shared" si="1"/>
        <v>115.17</v>
      </c>
      <c r="L9" s="1">
        <v>0.05</v>
      </c>
      <c r="M9" s="1">
        <f t="shared" si="2"/>
        <v>3.9734592950621969E-2</v>
      </c>
      <c r="N9" s="32"/>
      <c r="O9" s="32"/>
    </row>
    <row r="10" spans="1:15" x14ac:dyDescent="0.2">
      <c r="A10" s="1">
        <v>2</v>
      </c>
      <c r="B10" s="4">
        <v>45383</v>
      </c>
      <c r="C10" t="str">
        <f t="shared" si="3"/>
        <v>C0086</v>
      </c>
      <c r="D10" s="1" t="s">
        <v>352</v>
      </c>
      <c r="E10" s="1"/>
      <c r="F10" s="1">
        <v>200</v>
      </c>
      <c r="G10" s="1">
        <v>112.3</v>
      </c>
      <c r="H10" s="1">
        <v>17.5</v>
      </c>
      <c r="I10" s="1">
        <f t="shared" si="0"/>
        <v>200.77916295636686</v>
      </c>
      <c r="J10" s="1">
        <f t="shared" si="4"/>
        <v>111.22083704363314</v>
      </c>
      <c r="K10" s="1">
        <f t="shared" si="1"/>
        <v>115.17</v>
      </c>
      <c r="L10" s="1">
        <v>0.05</v>
      </c>
      <c r="M10" s="1">
        <f t="shared" si="2"/>
        <v>1.8266155278166885E-2</v>
      </c>
      <c r="N10" s="32"/>
      <c r="O10" s="32"/>
    </row>
    <row r="11" spans="1:15" x14ac:dyDescent="0.2">
      <c r="A11" s="1">
        <v>2</v>
      </c>
      <c r="B11" s="1"/>
      <c r="C11" t="str">
        <f t="shared" si="3"/>
        <v>C0058</v>
      </c>
      <c r="D11" s="1" t="s">
        <v>437</v>
      </c>
      <c r="E11" s="1"/>
      <c r="F11" s="1">
        <v>0</v>
      </c>
      <c r="G11" s="1">
        <v>52.8</v>
      </c>
      <c r="H11" s="1">
        <v>20.6</v>
      </c>
      <c r="I11" s="1">
        <f t="shared" si="0"/>
        <v>1.9507575757575759</v>
      </c>
      <c r="J11" s="1">
        <f t="shared" si="4"/>
        <v>310.04924242424244</v>
      </c>
      <c r="K11" s="1">
        <f t="shared" si="1"/>
        <v>38.39</v>
      </c>
      <c r="L11" s="1">
        <v>0.15</v>
      </c>
      <c r="M11" s="1">
        <f t="shared" si="2"/>
        <v>0.14113796901651063</v>
      </c>
      <c r="N11" s="32"/>
      <c r="O11" s="32"/>
    </row>
    <row r="12" spans="1:15" x14ac:dyDescent="0.2">
      <c r="A12" s="1">
        <v>2</v>
      </c>
      <c r="B12" s="1"/>
      <c r="C12" t="str">
        <f t="shared" si="3"/>
        <v>C0053</v>
      </c>
      <c r="D12" s="1" t="s">
        <v>464</v>
      </c>
      <c r="E12" s="1"/>
      <c r="F12" s="1">
        <v>50</v>
      </c>
      <c r="G12" s="1">
        <v>79.3</v>
      </c>
      <c r="H12" s="1">
        <v>23.7</v>
      </c>
      <c r="I12" s="1">
        <f t="shared" si="0"/>
        <v>51.494325346784365</v>
      </c>
      <c r="J12" s="1">
        <f t="shared" si="4"/>
        <v>260.50567465321564</v>
      </c>
      <c r="K12" s="1">
        <f t="shared" si="1"/>
        <v>115.17</v>
      </c>
      <c r="L12" s="1">
        <v>0.05</v>
      </c>
      <c r="M12" s="1">
        <f t="shared" si="2"/>
        <v>4.0112844329355218E-2</v>
      </c>
      <c r="O12" s="32"/>
    </row>
    <row r="13" spans="1:15" x14ac:dyDescent="0.2">
      <c r="A13" s="1">
        <v>2</v>
      </c>
      <c r="C13" t="str">
        <f t="shared" si="3"/>
        <v>C0048</v>
      </c>
      <c r="D13" s="1" t="s">
        <v>427</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426</v>
      </c>
      <c r="E14" s="1"/>
      <c r="I14">
        <v>18.3</v>
      </c>
      <c r="J14" s="1">
        <f t="shared" si="4"/>
        <v>293.7</v>
      </c>
      <c r="K14" s="1">
        <f t="shared" si="1"/>
        <v>115.17</v>
      </c>
      <c r="L14" s="1">
        <v>0.05</v>
      </c>
      <c r="M14" s="1">
        <f t="shared" si="2"/>
        <v>4.5073001563095454E-2</v>
      </c>
    </row>
    <row r="15" spans="1:15" x14ac:dyDescent="0.2">
      <c r="A15" s="1">
        <v>2</v>
      </c>
      <c r="C15" t="str">
        <f t="shared" si="3"/>
        <v>C0041</v>
      </c>
      <c r="D15" s="1" t="s">
        <v>425</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428</v>
      </c>
      <c r="I16">
        <f>18.3+  (31.5-18.3)*(83.2 / 275.5)</f>
        <v>22.286352087114338</v>
      </c>
      <c r="J16" s="1">
        <f t="shared" si="4"/>
        <v>289.71364791288568</v>
      </c>
      <c r="K16" s="1">
        <f t="shared" si="1"/>
        <v>57.59</v>
      </c>
      <c r="L16" s="1">
        <v>0.1</v>
      </c>
      <c r="M16" s="1">
        <f t="shared" si="2"/>
        <v>8.8089315496625159E-2</v>
      </c>
      <c r="O16" s="33" t="s">
        <v>429</v>
      </c>
    </row>
    <row r="17" spans="1:23" x14ac:dyDescent="0.2">
      <c r="A17" s="1">
        <v>2</v>
      </c>
      <c r="C17" t="str">
        <f t="shared" si="3"/>
        <v>C0037</v>
      </c>
      <c r="D17" t="s">
        <v>430</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431</v>
      </c>
      <c r="I18">
        <f>18.3+  (31.5-18.3)*(40.3 / 240)</f>
        <v>20.516500000000001</v>
      </c>
      <c r="J18" s="1">
        <f t="shared" si="4"/>
        <v>291.48349999999999</v>
      </c>
      <c r="K18" s="1">
        <f t="shared" si="1"/>
        <v>115.17</v>
      </c>
      <c r="L18" s="1">
        <v>0.05</v>
      </c>
      <c r="M18" s="1">
        <f t="shared" si="2"/>
        <v>4.4741311817743969E-2</v>
      </c>
      <c r="O18" s="33" t="s">
        <v>432</v>
      </c>
    </row>
    <row r="19" spans="1:23" x14ac:dyDescent="0.2">
      <c r="A19" s="1">
        <v>2</v>
      </c>
      <c r="C19" t="str">
        <f t="shared" si="3"/>
        <v>C0094</v>
      </c>
      <c r="D19" t="s">
        <v>496</v>
      </c>
      <c r="I19">
        <v>15.1</v>
      </c>
      <c r="J19" s="1">
        <f t="shared" si="4"/>
        <v>296.89999999999998</v>
      </c>
      <c r="K19" s="1">
        <f t="shared" si="1"/>
        <v>115.17</v>
      </c>
      <c r="L19" s="15">
        <v>0.05</v>
      </c>
      <c r="M19" s="1">
        <f t="shared" si="2"/>
        <v>4.5551975431436666E-2</v>
      </c>
    </row>
    <row r="20" spans="1:23" x14ac:dyDescent="0.2">
      <c r="A20" s="1">
        <v>2</v>
      </c>
      <c r="C20" t="str">
        <f t="shared" si="3"/>
        <v>C0096</v>
      </c>
      <c r="D20" t="s">
        <v>509</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333</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521</v>
      </c>
      <c r="I22">
        <v>15</v>
      </c>
      <c r="J22" s="1">
        <f t="shared" si="4"/>
        <v>297</v>
      </c>
      <c r="K22" s="1">
        <f t="shared" si="1"/>
        <v>19.2</v>
      </c>
      <c r="L22" s="1">
        <v>0.3</v>
      </c>
      <c r="M22" s="1">
        <f t="shared" si="2"/>
        <v>0.27007461695743307</v>
      </c>
    </row>
    <row r="23" spans="1:23" x14ac:dyDescent="0.2">
      <c r="A23" s="1">
        <v>2</v>
      </c>
      <c r="C23" t="str">
        <f t="shared" si="3"/>
        <v>C0098</v>
      </c>
      <c r="D23" t="s">
        <v>522</v>
      </c>
      <c r="I23">
        <v>15</v>
      </c>
      <c r="J23" s="1">
        <f t="shared" si="4"/>
        <v>297</v>
      </c>
      <c r="K23" s="1">
        <f t="shared" si="1"/>
        <v>19.2</v>
      </c>
      <c r="L23" s="1">
        <v>0.3</v>
      </c>
      <c r="M23" s="1">
        <f t="shared" si="2"/>
        <v>0.27007461695743307</v>
      </c>
    </row>
    <row r="24" spans="1:23" x14ac:dyDescent="0.2">
      <c r="A24" s="1">
        <v>2</v>
      </c>
      <c r="C24" t="str">
        <f t="shared" si="3"/>
        <v>C0101</v>
      </c>
      <c r="D24" t="s">
        <v>523</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524</v>
      </c>
      <c r="I25">
        <v>16</v>
      </c>
      <c r="J25" s="1">
        <f t="shared" si="4"/>
        <v>296</v>
      </c>
      <c r="K25" s="1">
        <f t="shared" si="1"/>
        <v>19.2</v>
      </c>
      <c r="L25" s="1">
        <v>0.3</v>
      </c>
      <c r="M25" s="1">
        <f t="shared" si="2"/>
        <v>0.26916590868943718</v>
      </c>
    </row>
    <row r="26" spans="1:23" x14ac:dyDescent="0.2">
      <c r="A26" s="1">
        <v>2</v>
      </c>
      <c r="B26" s="1"/>
      <c r="C26" t="str">
        <f t="shared" si="3"/>
        <v>C0056</v>
      </c>
      <c r="D26" s="1" t="s">
        <v>462</v>
      </c>
      <c r="E26" s="1"/>
      <c r="F26" s="1"/>
      <c r="G26" s="1"/>
      <c r="H26" s="1"/>
      <c r="I26" s="1">
        <v>2.5</v>
      </c>
      <c r="J26" s="1">
        <f xml:space="preserve"> 312 - I26</f>
        <v>309.5</v>
      </c>
      <c r="K26" s="1">
        <f t="shared" si="1"/>
        <v>115.17</v>
      </c>
      <c r="L26" s="1">
        <v>0.05</v>
      </c>
      <c r="M26" s="1">
        <f t="shared" si="2"/>
        <v>4.7439101129823226E-2</v>
      </c>
      <c r="O26" s="32"/>
    </row>
    <row r="30" spans="1:23" x14ac:dyDescent="0.2">
      <c r="P30" s="1" t="s">
        <v>342</v>
      </c>
      <c r="Q30" s="1" t="s">
        <v>794</v>
      </c>
      <c r="R30" s="1" t="s">
        <v>344</v>
      </c>
      <c r="S30" s="1" t="s">
        <v>791</v>
      </c>
      <c r="T30" s="1" t="s">
        <v>335</v>
      </c>
      <c r="U30" s="1" t="s">
        <v>336</v>
      </c>
      <c r="V30" s="1" t="s">
        <v>422</v>
      </c>
      <c r="W30" s="1" t="s">
        <v>343</v>
      </c>
    </row>
    <row r="31" spans="1:23" x14ac:dyDescent="0.2">
      <c r="P31" s="1">
        <v>0.05</v>
      </c>
      <c r="Q31" s="1">
        <v>115.17</v>
      </c>
      <c r="R31" s="1">
        <v>2.1707000000000001</v>
      </c>
      <c r="S31" s="1">
        <v>312</v>
      </c>
      <c r="T31" s="1">
        <v>25</v>
      </c>
      <c r="U31" s="1">
        <v>315</v>
      </c>
      <c r="V31" s="1">
        <v>18</v>
      </c>
      <c r="W31" s="1" t="s">
        <v>347</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70</v>
      </c>
      <c r="B1" s="1" t="s">
        <v>1</v>
      </c>
      <c r="C1" s="1" t="s">
        <v>16</v>
      </c>
      <c r="D1" s="1" t="s">
        <v>268</v>
      </c>
      <c r="E1" s="1" t="s">
        <v>37</v>
      </c>
      <c r="F1" s="1" t="s">
        <v>7</v>
      </c>
      <c r="G1" s="1" t="s">
        <v>5</v>
      </c>
      <c r="H1" s="1" t="s">
        <v>419</v>
      </c>
      <c r="I1" s="1" t="s">
        <v>377</v>
      </c>
      <c r="J1" s="1" t="s">
        <v>445</v>
      </c>
      <c r="K1" s="1" t="s">
        <v>267</v>
      </c>
      <c r="L1" s="1" t="s">
        <v>10</v>
      </c>
      <c r="M1" s="1" t="s">
        <v>71</v>
      </c>
      <c r="N1" s="1" t="s">
        <v>162</v>
      </c>
      <c r="O1" s="1" t="s">
        <v>338</v>
      </c>
      <c r="P1" s="1" t="s">
        <v>21</v>
      </c>
      <c r="S1" s="1" t="s">
        <v>100</v>
      </c>
    </row>
    <row r="2" spans="1:19" x14ac:dyDescent="0.2">
      <c r="A2" s="1">
        <v>2</v>
      </c>
      <c r="B2" s="1">
        <v>2.6</v>
      </c>
      <c r="C2" s="1">
        <v>1</v>
      </c>
      <c r="D2" s="1" t="s">
        <v>46</v>
      </c>
      <c r="E2" s="4">
        <v>45352</v>
      </c>
      <c r="F2" s="3">
        <v>0.78471064814814817</v>
      </c>
      <c r="G2" s="1">
        <v>1.7569999999999999E-2</v>
      </c>
      <c r="K2" s="1" t="s">
        <v>81</v>
      </c>
      <c r="L2" s="3">
        <v>0.75744212962962953</v>
      </c>
      <c r="M2" s="3">
        <f>F2 - L2</f>
        <v>2.7268518518518636E-2</v>
      </c>
    </row>
    <row r="3" spans="1:19" x14ac:dyDescent="0.2">
      <c r="A3" s="1">
        <v>2</v>
      </c>
      <c r="B3" s="1">
        <v>2.6</v>
      </c>
      <c r="C3" s="1">
        <v>1</v>
      </c>
      <c r="D3" s="1" t="s">
        <v>27</v>
      </c>
      <c r="E3" s="4">
        <v>45352</v>
      </c>
      <c r="F3" s="3" t="s">
        <v>27</v>
      </c>
      <c r="G3" s="1" t="s">
        <v>27</v>
      </c>
      <c r="K3" s="1" t="s">
        <v>72</v>
      </c>
      <c r="L3" s="3">
        <v>0.22700231481481481</v>
      </c>
      <c r="M3" s="3"/>
    </row>
    <row r="4" spans="1:19" x14ac:dyDescent="0.2">
      <c r="A4" s="1">
        <v>2</v>
      </c>
      <c r="B4" s="1">
        <v>2.6</v>
      </c>
      <c r="C4" s="1">
        <v>1</v>
      </c>
      <c r="D4" s="1" t="s">
        <v>112</v>
      </c>
      <c r="E4" s="4">
        <v>45353</v>
      </c>
      <c r="F4" s="1" t="s">
        <v>27</v>
      </c>
      <c r="G4" s="1" t="s">
        <v>27</v>
      </c>
      <c r="K4" s="4" t="s">
        <v>80</v>
      </c>
      <c r="L4" s="3">
        <v>0.22784722222222223</v>
      </c>
      <c r="M4" s="1" t="s">
        <v>27</v>
      </c>
      <c r="N4" s="1" t="s">
        <v>27</v>
      </c>
      <c r="P4" s="1" t="s">
        <v>79</v>
      </c>
    </row>
    <row r="5" spans="1:19" x14ac:dyDescent="0.2">
      <c r="A5" s="1">
        <v>2</v>
      </c>
      <c r="B5" s="1">
        <v>2.6</v>
      </c>
      <c r="C5" s="1">
        <v>1</v>
      </c>
      <c r="D5" s="1" t="s">
        <v>62</v>
      </c>
      <c r="E5" s="4">
        <v>45353</v>
      </c>
      <c r="F5" s="1" t="s">
        <v>27</v>
      </c>
      <c r="G5" s="1" t="s">
        <v>27</v>
      </c>
      <c r="K5" s="1" t="s">
        <v>87</v>
      </c>
      <c r="L5" s="3">
        <v>0.76015046296296296</v>
      </c>
      <c r="M5" s="1" t="s">
        <v>27</v>
      </c>
      <c r="P5" s="1" t="s">
        <v>369</v>
      </c>
    </row>
    <row r="6" spans="1:19" x14ac:dyDescent="0.2">
      <c r="A6" s="1">
        <v>2</v>
      </c>
      <c r="B6" s="1">
        <v>2.6</v>
      </c>
      <c r="C6" s="1">
        <v>1</v>
      </c>
      <c r="D6" s="1" t="s">
        <v>64</v>
      </c>
      <c r="E6" s="4">
        <v>45354</v>
      </c>
      <c r="F6" s="1" t="s">
        <v>27</v>
      </c>
      <c r="G6" s="1" t="s">
        <v>27</v>
      </c>
      <c r="K6" s="1" t="s">
        <v>88</v>
      </c>
      <c r="L6" s="3">
        <v>0.23024305555555555</v>
      </c>
      <c r="M6" s="1" t="s">
        <v>27</v>
      </c>
      <c r="N6" s="1" t="s">
        <v>27</v>
      </c>
      <c r="P6" s="1" t="s">
        <v>372</v>
      </c>
    </row>
    <row r="7" spans="1:19" x14ac:dyDescent="0.2">
      <c r="A7" s="1">
        <v>2</v>
      </c>
      <c r="B7" s="1">
        <v>2.6</v>
      </c>
      <c r="C7" s="1">
        <v>1</v>
      </c>
      <c r="D7" s="1" t="s">
        <v>27</v>
      </c>
      <c r="E7" s="4">
        <v>45354</v>
      </c>
      <c r="F7" s="1" t="s">
        <v>27</v>
      </c>
      <c r="G7" s="1" t="s">
        <v>27</v>
      </c>
      <c r="K7" s="1" t="s">
        <v>92</v>
      </c>
      <c r="L7" s="3">
        <v>0.7471875</v>
      </c>
      <c r="M7" s="1" t="s">
        <v>27</v>
      </c>
      <c r="P7" s="1" t="s">
        <v>371</v>
      </c>
    </row>
    <row r="8" spans="1:19" x14ac:dyDescent="0.2">
      <c r="A8" s="1">
        <v>2</v>
      </c>
      <c r="B8" s="1">
        <v>2.6</v>
      </c>
      <c r="C8" s="1">
        <v>1</v>
      </c>
      <c r="D8" s="1" t="s">
        <v>78</v>
      </c>
      <c r="E8" s="4">
        <v>45355</v>
      </c>
      <c r="F8" s="3">
        <v>0.2673726851851852</v>
      </c>
      <c r="G8" s="1">
        <v>0.54100000000000004</v>
      </c>
      <c r="K8" s="1" t="s">
        <v>93</v>
      </c>
      <c r="L8" s="3">
        <v>0.23173611111111111</v>
      </c>
      <c r="M8" s="3">
        <f>F8 - L8</f>
        <v>3.5636574074074084E-2</v>
      </c>
    </row>
    <row r="9" spans="1:19" x14ac:dyDescent="0.2">
      <c r="A9" s="1">
        <v>2</v>
      </c>
      <c r="B9" s="1">
        <v>2.6</v>
      </c>
      <c r="C9" s="1">
        <v>1</v>
      </c>
      <c r="D9" s="1" t="s">
        <v>83</v>
      </c>
      <c r="E9" s="4">
        <v>45355</v>
      </c>
      <c r="F9" s="3">
        <v>0.78221064814814811</v>
      </c>
      <c r="G9" s="1">
        <v>5.7799999999999997E-2</v>
      </c>
      <c r="K9" s="1" t="s">
        <v>97</v>
      </c>
      <c r="L9" s="3">
        <v>0.75074074074074071</v>
      </c>
      <c r="M9" s="3">
        <f>F9 - L9</f>
        <v>3.1469907407407405E-2</v>
      </c>
    </row>
    <row r="10" spans="1:19" x14ac:dyDescent="0.2">
      <c r="A10" s="1">
        <v>2</v>
      </c>
      <c r="B10" s="1">
        <v>2.6</v>
      </c>
      <c r="C10" s="1">
        <v>1</v>
      </c>
      <c r="D10" s="1" t="s">
        <v>94</v>
      </c>
      <c r="E10" s="4">
        <v>45356</v>
      </c>
      <c r="F10" s="3">
        <v>0.27211805555555557</v>
      </c>
      <c r="G10" s="1">
        <v>1.9450000000000001</v>
      </c>
      <c r="K10" s="1" t="s">
        <v>103</v>
      </c>
      <c r="L10" s="3">
        <v>0.23202546296296298</v>
      </c>
      <c r="M10" s="3">
        <f>F10 - L10</f>
        <v>4.0092592592592596E-2</v>
      </c>
    </row>
    <row r="11" spans="1:19" x14ac:dyDescent="0.2">
      <c r="A11" s="1">
        <v>2</v>
      </c>
      <c r="B11" s="1">
        <v>2.6</v>
      </c>
      <c r="C11" s="1">
        <v>1</v>
      </c>
      <c r="D11" s="1" t="s">
        <v>110</v>
      </c>
      <c r="E11" s="4">
        <v>45356</v>
      </c>
      <c r="F11" s="3">
        <v>0.77976851851851858</v>
      </c>
      <c r="G11" s="1">
        <v>0.15620000000000001</v>
      </c>
      <c r="K11" s="1" t="s">
        <v>109</v>
      </c>
      <c r="L11" s="3">
        <v>0.76247685185185177</v>
      </c>
      <c r="M11" s="3">
        <f>F11 - L11</f>
        <v>1.7291666666666816E-2</v>
      </c>
    </row>
    <row r="12" spans="1:19" x14ac:dyDescent="0.2">
      <c r="A12" s="1">
        <v>2</v>
      </c>
      <c r="B12" s="1">
        <v>2.6</v>
      </c>
      <c r="C12" s="1">
        <v>1</v>
      </c>
      <c r="D12" s="1" t="s">
        <v>105</v>
      </c>
      <c r="E12" s="4">
        <v>45357</v>
      </c>
      <c r="F12" s="1" t="s">
        <v>27</v>
      </c>
      <c r="G12" s="1">
        <v>0.14530000000000001</v>
      </c>
      <c r="K12" s="1" t="s">
        <v>27</v>
      </c>
      <c r="L12" s="1" t="s">
        <v>27</v>
      </c>
      <c r="M12" s="1" t="s">
        <v>27</v>
      </c>
      <c r="P12" s="1" t="s">
        <v>108</v>
      </c>
    </row>
    <row r="13" spans="1:19" x14ac:dyDescent="0.2">
      <c r="A13" s="1">
        <v>2</v>
      </c>
      <c r="B13" s="1">
        <v>2.6</v>
      </c>
      <c r="C13" s="1" t="s">
        <v>27</v>
      </c>
      <c r="D13" s="1" t="s">
        <v>117</v>
      </c>
      <c r="E13" s="4">
        <v>45357</v>
      </c>
      <c r="F13" s="1" t="s">
        <v>27</v>
      </c>
      <c r="G13" s="1" t="s">
        <v>27</v>
      </c>
      <c r="K13" s="1" t="s">
        <v>120</v>
      </c>
      <c r="L13" s="3">
        <v>0.74782407407407403</v>
      </c>
      <c r="M13" s="1" t="s">
        <v>27</v>
      </c>
      <c r="N13" s="1" t="s">
        <v>27</v>
      </c>
      <c r="P13" s="1" t="s">
        <v>86</v>
      </c>
    </row>
    <row r="14" spans="1:19" x14ac:dyDescent="0.2">
      <c r="A14" s="1">
        <v>2</v>
      </c>
      <c r="B14" s="1">
        <v>2.6</v>
      </c>
      <c r="C14" s="1">
        <v>1</v>
      </c>
      <c r="D14" s="1" t="s">
        <v>90</v>
      </c>
      <c r="E14" s="4">
        <v>45358</v>
      </c>
      <c r="F14" s="3">
        <v>0.26952546296296298</v>
      </c>
      <c r="G14" s="1">
        <v>1.389</v>
      </c>
      <c r="K14" s="1" t="s">
        <v>119</v>
      </c>
      <c r="L14" s="3">
        <v>0.23011574074074073</v>
      </c>
      <c r="M14" s="3">
        <f t="shared" ref="M14:M34" si="0">F14 - L14</f>
        <v>3.9409722222222249E-2</v>
      </c>
    </row>
    <row r="15" spans="1:19" x14ac:dyDescent="0.2">
      <c r="A15" s="1">
        <v>2</v>
      </c>
      <c r="B15" s="1">
        <v>2.6</v>
      </c>
      <c r="C15" s="1">
        <v>1</v>
      </c>
      <c r="D15" s="1" t="s">
        <v>101</v>
      </c>
      <c r="E15" s="4">
        <v>45358</v>
      </c>
      <c r="F15" s="3">
        <v>0.78515046296296309</v>
      </c>
      <c r="G15" s="1">
        <v>1.7930000000000001E-2</v>
      </c>
      <c r="K15" s="1" t="s">
        <v>127</v>
      </c>
      <c r="L15" s="3">
        <v>0.75884259259259268</v>
      </c>
      <c r="M15" s="3">
        <f t="shared" si="0"/>
        <v>2.6307870370370412E-2</v>
      </c>
    </row>
    <row r="16" spans="1:19" x14ac:dyDescent="0.2">
      <c r="A16" s="1">
        <v>2</v>
      </c>
      <c r="B16" s="1">
        <v>2.6</v>
      </c>
      <c r="C16" s="1">
        <v>1</v>
      </c>
      <c r="D16" s="1" t="s">
        <v>104</v>
      </c>
      <c r="E16" s="4">
        <v>45359</v>
      </c>
      <c r="F16" s="3">
        <v>0.27240740740740743</v>
      </c>
      <c r="G16" s="1">
        <v>2.5299999999999998</v>
      </c>
      <c r="K16" s="1" t="s">
        <v>128</v>
      </c>
      <c r="L16" s="3">
        <v>0.23064814814814816</v>
      </c>
      <c r="M16" s="3">
        <f t="shared" si="0"/>
        <v>4.1759259259259274E-2</v>
      </c>
      <c r="P16" s="1" t="s">
        <v>129</v>
      </c>
    </row>
    <row r="17" spans="1:19" x14ac:dyDescent="0.2">
      <c r="A17" s="1">
        <v>2</v>
      </c>
      <c r="B17" s="1">
        <v>2.6</v>
      </c>
      <c r="C17" s="1">
        <v>1</v>
      </c>
      <c r="D17" s="1" t="s">
        <v>115</v>
      </c>
      <c r="E17" s="4">
        <v>45359</v>
      </c>
      <c r="F17" s="3">
        <v>0.78239583333333329</v>
      </c>
      <c r="G17" s="1">
        <v>4.7600000000000003E-2</v>
      </c>
      <c r="K17" s="1" t="s">
        <v>178</v>
      </c>
      <c r="L17" s="3">
        <v>0.73781249999999998</v>
      </c>
      <c r="M17" s="3">
        <f t="shared" si="0"/>
        <v>4.4583333333333308E-2</v>
      </c>
      <c r="N17" s="1" t="s">
        <v>27</v>
      </c>
      <c r="P17" s="1" t="s">
        <v>179</v>
      </c>
    </row>
    <row r="18" spans="1:19" x14ac:dyDescent="0.2">
      <c r="A18" s="1">
        <v>2</v>
      </c>
      <c r="B18" s="1">
        <v>2.6</v>
      </c>
      <c r="C18" s="1">
        <v>1</v>
      </c>
      <c r="D18" s="1" t="s">
        <v>114</v>
      </c>
      <c r="E18" s="4">
        <v>45362</v>
      </c>
      <c r="F18" s="3">
        <v>0.27355324074074072</v>
      </c>
      <c r="G18" s="1">
        <v>1.2969999999999999</v>
      </c>
      <c r="K18" s="1" t="s">
        <v>180</v>
      </c>
      <c r="L18" s="3">
        <v>0.22348379629629631</v>
      </c>
      <c r="M18" s="3">
        <f t="shared" si="0"/>
        <v>5.0069444444444416E-2</v>
      </c>
      <c r="N18" s="1" t="s">
        <v>27</v>
      </c>
      <c r="P18" s="1" t="s">
        <v>179</v>
      </c>
    </row>
    <row r="19" spans="1:19" s="7" customFormat="1" x14ac:dyDescent="0.2">
      <c r="A19" s="1">
        <v>2</v>
      </c>
      <c r="B19" s="1">
        <v>2.6</v>
      </c>
      <c r="C19" s="1">
        <v>1</v>
      </c>
      <c r="D19" s="1" t="s">
        <v>133</v>
      </c>
      <c r="E19" s="4">
        <v>45362</v>
      </c>
      <c r="F19" s="3">
        <v>0.77763888888888888</v>
      </c>
      <c r="G19" s="1">
        <v>0.1764</v>
      </c>
      <c r="H19" s="1"/>
      <c r="I19" s="1"/>
      <c r="J19" s="1"/>
      <c r="K19" s="1" t="s">
        <v>164</v>
      </c>
      <c r="L19" s="3">
        <v>0.75906249999999997</v>
      </c>
      <c r="M19" s="3">
        <f t="shared" si="0"/>
        <v>1.8576388888888906E-2</v>
      </c>
      <c r="N19" s="3">
        <v>1.9502314814814816E-2</v>
      </c>
      <c r="O19" s="3"/>
      <c r="P19" s="1" t="s">
        <v>374</v>
      </c>
      <c r="Q19" s="1"/>
      <c r="R19" s="1"/>
      <c r="S19" s="1"/>
    </row>
    <row r="20" spans="1:19" x14ac:dyDescent="0.2">
      <c r="A20" s="1">
        <v>2</v>
      </c>
      <c r="B20" s="1">
        <v>2.6</v>
      </c>
      <c r="C20" s="1">
        <v>1</v>
      </c>
      <c r="D20" s="1" t="s">
        <v>132</v>
      </c>
      <c r="E20" s="4">
        <v>45363</v>
      </c>
      <c r="F20" s="3">
        <v>0.26667824074074076</v>
      </c>
      <c r="G20" s="1">
        <v>0.64600000000000002</v>
      </c>
      <c r="K20" s="1" t="s">
        <v>161</v>
      </c>
      <c r="L20" s="3">
        <v>0.22644675925925925</v>
      </c>
      <c r="M20" s="3">
        <f t="shared" si="0"/>
        <v>4.0231481481481507E-2</v>
      </c>
      <c r="N20" s="3">
        <v>4.0254629629629626E-2</v>
      </c>
      <c r="O20" s="3"/>
    </row>
    <row r="21" spans="1:19" x14ac:dyDescent="0.2">
      <c r="A21" s="1">
        <v>2</v>
      </c>
      <c r="B21" s="1">
        <v>2.6</v>
      </c>
      <c r="C21" s="1">
        <v>1</v>
      </c>
      <c r="D21" s="1" t="s">
        <v>122</v>
      </c>
      <c r="E21" s="4">
        <v>45363</v>
      </c>
      <c r="F21" s="3">
        <v>0.77273148148148152</v>
      </c>
      <c r="G21" s="1">
        <v>0.13969999999999999</v>
      </c>
      <c r="K21" s="1" t="s">
        <v>163</v>
      </c>
      <c r="L21" s="3">
        <v>0.75655092592592588</v>
      </c>
      <c r="M21" s="3">
        <f t="shared" si="0"/>
        <v>1.6180555555555642E-2</v>
      </c>
      <c r="N21" s="3">
        <v>1.6226851851851853E-2</v>
      </c>
      <c r="O21" s="3"/>
    </row>
    <row r="22" spans="1:19" x14ac:dyDescent="0.2">
      <c r="A22" s="1">
        <v>2</v>
      </c>
      <c r="B22" s="1">
        <v>2.6</v>
      </c>
      <c r="C22" s="1">
        <v>1</v>
      </c>
      <c r="D22" s="1" t="s">
        <v>154</v>
      </c>
      <c r="E22" s="4">
        <v>45364</v>
      </c>
      <c r="F22" s="3">
        <v>0.26287037037037037</v>
      </c>
      <c r="G22" s="1">
        <v>0.25600000000000001</v>
      </c>
      <c r="K22" s="1" t="s">
        <v>181</v>
      </c>
      <c r="L22" s="3">
        <v>0.2348611111111111</v>
      </c>
      <c r="M22" s="3">
        <f t="shared" si="0"/>
        <v>2.8009259259259262E-2</v>
      </c>
      <c r="N22" s="1" t="s">
        <v>27</v>
      </c>
      <c r="P22" s="1" t="s">
        <v>182</v>
      </c>
    </row>
    <row r="23" spans="1:19" x14ac:dyDescent="0.2">
      <c r="A23" s="1">
        <v>2</v>
      </c>
      <c r="B23" s="1">
        <v>2.6</v>
      </c>
      <c r="C23" s="1">
        <v>1</v>
      </c>
      <c r="D23" s="1" t="s">
        <v>146</v>
      </c>
      <c r="E23" s="4">
        <v>45364</v>
      </c>
      <c r="F23" s="3">
        <v>0.77724537037037034</v>
      </c>
      <c r="G23" s="1">
        <v>0.878</v>
      </c>
      <c r="K23" s="1" t="s">
        <v>183</v>
      </c>
      <c r="L23" s="3">
        <v>0.76083333333333336</v>
      </c>
      <c r="M23" s="3">
        <f t="shared" si="0"/>
        <v>1.6412037037036975E-2</v>
      </c>
      <c r="N23" s="3">
        <v>1.6331018518518519E-2</v>
      </c>
      <c r="O23" s="3"/>
    </row>
    <row r="24" spans="1:19" x14ac:dyDescent="0.2">
      <c r="A24" s="1">
        <v>2</v>
      </c>
      <c r="B24" s="1">
        <v>2.6</v>
      </c>
      <c r="C24" s="1">
        <v>1</v>
      </c>
      <c r="D24" s="1" t="s">
        <v>139</v>
      </c>
      <c r="E24" s="4">
        <v>45365</v>
      </c>
      <c r="F24" s="3">
        <v>0.26702546296296298</v>
      </c>
      <c r="G24" s="1">
        <v>1.6419999999999999</v>
      </c>
      <c r="K24" s="1" t="s">
        <v>185</v>
      </c>
      <c r="L24" s="3">
        <v>0.23493055555555556</v>
      </c>
      <c r="M24" s="3">
        <f t="shared" si="0"/>
        <v>3.2094907407407419E-2</v>
      </c>
      <c r="N24" s="1" t="s">
        <v>27</v>
      </c>
      <c r="P24" s="1" t="s">
        <v>179</v>
      </c>
    </row>
    <row r="25" spans="1:19" x14ac:dyDescent="0.2">
      <c r="A25" s="1">
        <v>2</v>
      </c>
      <c r="B25" s="1">
        <v>2.6</v>
      </c>
      <c r="C25" s="1">
        <v>1</v>
      </c>
      <c r="D25" s="1" t="s">
        <v>144</v>
      </c>
      <c r="E25" s="4">
        <v>45365</v>
      </c>
      <c r="F25" s="3">
        <v>0.78295138888888882</v>
      </c>
      <c r="G25" s="1">
        <v>1.8599999999999998E-2</v>
      </c>
      <c r="K25" s="1" t="s">
        <v>186</v>
      </c>
      <c r="L25" s="3">
        <v>0.75518518518518518</v>
      </c>
      <c r="M25" s="3">
        <f t="shared" si="0"/>
        <v>2.776620370370364E-2</v>
      </c>
      <c r="N25" s="3">
        <v>2.7662037037037037E-2</v>
      </c>
      <c r="O25" s="3"/>
    </row>
    <row r="26" spans="1:19" x14ac:dyDescent="0.2">
      <c r="A26" s="1">
        <v>2</v>
      </c>
      <c r="B26" s="1">
        <v>2.6</v>
      </c>
      <c r="C26" s="1">
        <v>1</v>
      </c>
      <c r="D26" s="1" t="s">
        <v>138</v>
      </c>
      <c r="E26" s="4">
        <v>45366</v>
      </c>
      <c r="F26" s="3">
        <v>0.26596064814814813</v>
      </c>
      <c r="G26" s="1">
        <v>0.74199999999999999</v>
      </c>
      <c r="K26" s="1" t="s">
        <v>187</v>
      </c>
      <c r="L26" s="3">
        <v>0.23423611111111112</v>
      </c>
      <c r="M26" s="3">
        <f t="shared" si="0"/>
        <v>3.1724537037037009E-2</v>
      </c>
      <c r="N26" s="3">
        <v>3.1585648148148147E-2</v>
      </c>
      <c r="O26" s="3"/>
    </row>
    <row r="27" spans="1:19" x14ac:dyDescent="0.2">
      <c r="A27" s="1">
        <v>2</v>
      </c>
      <c r="B27" s="1">
        <v>2.6</v>
      </c>
      <c r="C27" s="1">
        <v>1</v>
      </c>
      <c r="D27" s="1" t="s">
        <v>136</v>
      </c>
      <c r="E27" s="4">
        <v>45366</v>
      </c>
      <c r="F27" s="3">
        <v>0.78123842592592596</v>
      </c>
      <c r="G27" s="1">
        <v>3.56E-2</v>
      </c>
      <c r="K27" s="1" t="s">
        <v>188</v>
      </c>
      <c r="L27" s="3">
        <v>0.75768518518518524</v>
      </c>
      <c r="M27" s="3">
        <f t="shared" si="0"/>
        <v>2.3553240740740722E-2</v>
      </c>
      <c r="N27" s="3">
        <v>2.3506944444444445E-2</v>
      </c>
      <c r="O27" s="3"/>
    </row>
    <row r="28" spans="1:19" x14ac:dyDescent="0.2">
      <c r="A28" s="1">
        <v>2</v>
      </c>
      <c r="B28" s="1">
        <v>2.6</v>
      </c>
      <c r="C28" s="1">
        <v>1</v>
      </c>
      <c r="D28" s="1" t="s">
        <v>154</v>
      </c>
      <c r="E28" s="4">
        <v>45367</v>
      </c>
      <c r="F28" s="3">
        <v>0.26401620370370371</v>
      </c>
      <c r="G28" s="1">
        <v>0.54100000000000004</v>
      </c>
      <c r="K28" s="1" t="s">
        <v>189</v>
      </c>
      <c r="L28" s="3">
        <v>0.2401851851851852</v>
      </c>
      <c r="M28" s="3">
        <f t="shared" si="0"/>
        <v>2.3831018518518515E-2</v>
      </c>
      <c r="N28" s="3">
        <v>2.3692129629629629E-2</v>
      </c>
      <c r="O28" s="3"/>
    </row>
    <row r="29" spans="1:19" x14ac:dyDescent="0.2">
      <c r="A29" s="1">
        <v>2</v>
      </c>
      <c r="B29" s="1">
        <v>2.6</v>
      </c>
      <c r="C29" s="1">
        <v>1</v>
      </c>
      <c r="D29" s="1" t="s">
        <v>151</v>
      </c>
      <c r="E29" s="4">
        <v>45367</v>
      </c>
      <c r="F29" s="3">
        <v>0.78548611111111111</v>
      </c>
      <c r="G29" s="1">
        <v>7.1599999999999997E-3</v>
      </c>
      <c r="K29" s="1" t="s">
        <v>190</v>
      </c>
      <c r="L29" s="3">
        <v>0.75130787037037039</v>
      </c>
      <c r="M29" s="3">
        <f t="shared" si="0"/>
        <v>3.4178240740740717E-2</v>
      </c>
      <c r="N29" s="3">
        <v>3.4201388888888892E-2</v>
      </c>
      <c r="O29" s="3"/>
    </row>
    <row r="30" spans="1:19" x14ac:dyDescent="0.2">
      <c r="A30" s="1">
        <v>2</v>
      </c>
      <c r="B30" s="1">
        <v>2.6</v>
      </c>
      <c r="C30" s="1">
        <v>1</v>
      </c>
      <c r="D30" s="1" t="s">
        <v>149</v>
      </c>
      <c r="E30" s="4">
        <v>45368</v>
      </c>
      <c r="F30" s="3">
        <v>0.2610763888888889</v>
      </c>
      <c r="G30" s="1">
        <v>0.373</v>
      </c>
      <c r="K30" s="1" t="s">
        <v>191</v>
      </c>
      <c r="L30" s="3">
        <v>0.23671296296296296</v>
      </c>
      <c r="M30" s="3">
        <f t="shared" si="0"/>
        <v>2.4363425925925941E-2</v>
      </c>
      <c r="N30" s="12">
        <v>2.5046296296296296E-2</v>
      </c>
      <c r="O30" s="12"/>
      <c r="P30" s="1" t="s">
        <v>179</v>
      </c>
    </row>
    <row r="31" spans="1:19" x14ac:dyDescent="0.2">
      <c r="A31" s="1">
        <v>2</v>
      </c>
      <c r="B31" s="1">
        <v>2.6</v>
      </c>
      <c r="C31" s="1">
        <v>2</v>
      </c>
      <c r="D31" s="1" t="s">
        <v>149</v>
      </c>
      <c r="E31" s="4">
        <v>45368</v>
      </c>
      <c r="F31" s="3">
        <v>0.26609953703703704</v>
      </c>
      <c r="G31" s="1">
        <v>1.1180000000000001</v>
      </c>
      <c r="K31" s="1" t="s">
        <v>191</v>
      </c>
      <c r="L31" s="3">
        <v>0.23671296296296296</v>
      </c>
      <c r="M31" s="3">
        <f t="shared" si="0"/>
        <v>2.9386574074074079E-2</v>
      </c>
      <c r="P31" s="1" t="s">
        <v>179</v>
      </c>
    </row>
    <row r="32" spans="1:19" x14ac:dyDescent="0.2">
      <c r="A32" s="1">
        <v>2</v>
      </c>
      <c r="B32" s="1">
        <v>2.6</v>
      </c>
      <c r="C32" s="1">
        <v>2</v>
      </c>
      <c r="D32" s="1" t="s">
        <v>155</v>
      </c>
      <c r="E32" s="4">
        <v>45368</v>
      </c>
      <c r="F32" s="3">
        <v>0.78359953703703711</v>
      </c>
      <c r="G32" s="1">
        <v>1.208E-2</v>
      </c>
      <c r="K32" s="1" t="s">
        <v>201</v>
      </c>
      <c r="L32" s="3">
        <v>0.75736111111111115</v>
      </c>
      <c r="M32" s="3">
        <f t="shared" si="0"/>
        <v>2.6238425925925957E-2</v>
      </c>
      <c r="N32" s="3">
        <v>2.5833333333333333E-2</v>
      </c>
      <c r="O32" s="3"/>
    </row>
    <row r="33" spans="1:16" x14ac:dyDescent="0.2">
      <c r="A33" s="1">
        <v>2</v>
      </c>
      <c r="B33" s="1">
        <v>2.6</v>
      </c>
      <c r="C33" s="1">
        <v>1</v>
      </c>
      <c r="D33" s="1" t="s">
        <v>155</v>
      </c>
      <c r="E33" s="4">
        <v>45368</v>
      </c>
      <c r="F33" s="3">
        <v>0.77284722222222224</v>
      </c>
      <c r="G33" s="1">
        <v>0.57099999999999995</v>
      </c>
      <c r="K33" s="1" t="s">
        <v>201</v>
      </c>
      <c r="L33" s="3">
        <v>0.75736111111111115</v>
      </c>
      <c r="M33" s="3">
        <f t="shared" si="0"/>
        <v>1.5486111111111089E-2</v>
      </c>
      <c r="N33" s="3">
        <v>1.5069444444444444E-2</v>
      </c>
      <c r="O33" s="3"/>
      <c r="P33" s="1" t="s">
        <v>202</v>
      </c>
    </row>
    <row r="34" spans="1:16" x14ac:dyDescent="0.2">
      <c r="A34" s="1">
        <v>2</v>
      </c>
      <c r="B34" s="1">
        <v>2.6</v>
      </c>
      <c r="C34" s="1">
        <v>1</v>
      </c>
      <c r="D34" s="1" t="s">
        <v>160</v>
      </c>
      <c r="E34" s="4">
        <v>45369</v>
      </c>
      <c r="F34" s="3">
        <v>0.25927083333333334</v>
      </c>
      <c r="G34" s="1">
        <v>8.8200000000000001E-2</v>
      </c>
      <c r="K34" s="1" t="s">
        <v>203</v>
      </c>
      <c r="L34" s="3">
        <v>0.2326388888888889</v>
      </c>
      <c r="M34" s="3">
        <f t="shared" si="0"/>
        <v>2.6631944444444444E-2</v>
      </c>
      <c r="N34" s="3">
        <v>2.6412037037037036E-2</v>
      </c>
      <c r="O34" s="3"/>
    </row>
    <row r="35" spans="1:16" x14ac:dyDescent="0.2">
      <c r="A35" s="1">
        <v>2</v>
      </c>
      <c r="B35" s="1">
        <v>2.6</v>
      </c>
      <c r="C35" s="1" t="s">
        <v>27</v>
      </c>
      <c r="D35" s="1" t="s">
        <v>175</v>
      </c>
      <c r="E35" s="4">
        <v>45369</v>
      </c>
      <c r="F35" s="1" t="s">
        <v>27</v>
      </c>
      <c r="G35" s="1" t="s">
        <v>27</v>
      </c>
      <c r="K35" s="1" t="s">
        <v>205</v>
      </c>
      <c r="L35" s="3">
        <v>0.75791666666666668</v>
      </c>
      <c r="M35" s="1" t="s">
        <v>27</v>
      </c>
      <c r="P35" s="1" t="s">
        <v>176</v>
      </c>
    </row>
    <row r="36" spans="1:16" x14ac:dyDescent="0.2">
      <c r="A36" s="1">
        <v>2</v>
      </c>
      <c r="B36" s="1">
        <v>2.6</v>
      </c>
      <c r="C36" s="1">
        <v>1</v>
      </c>
      <c r="D36" s="1" t="s">
        <v>165</v>
      </c>
      <c r="E36" s="4">
        <v>45370</v>
      </c>
      <c r="F36" s="3">
        <v>0.2697222222222222</v>
      </c>
      <c r="G36" s="1">
        <v>1.069</v>
      </c>
      <c r="K36" s="1" t="s">
        <v>208</v>
      </c>
      <c r="L36" s="3">
        <v>0.26671296296296299</v>
      </c>
      <c r="M36" s="3">
        <f>F36 - L36</f>
        <v>3.0092592592592116E-3</v>
      </c>
      <c r="N36" s="1" t="s">
        <v>27</v>
      </c>
      <c r="P36" s="1" t="s">
        <v>179</v>
      </c>
    </row>
    <row r="37" spans="1:16" x14ac:dyDescent="0.2">
      <c r="A37" s="1">
        <v>2</v>
      </c>
      <c r="B37" s="1">
        <v>2.6</v>
      </c>
      <c r="C37" s="1">
        <v>1</v>
      </c>
      <c r="D37" s="1" t="s">
        <v>171</v>
      </c>
      <c r="E37" s="4">
        <v>45370</v>
      </c>
      <c r="F37" s="3">
        <v>0.77118055555555554</v>
      </c>
      <c r="G37" s="1">
        <v>0.67900000000000005</v>
      </c>
      <c r="K37" s="1" t="s">
        <v>281</v>
      </c>
      <c r="L37" s="3">
        <v>0.75416666666666665</v>
      </c>
      <c r="M37" s="3">
        <f>F37 - L37</f>
        <v>1.7013888888888884E-2</v>
      </c>
      <c r="N37" s="3">
        <v>1.6863425925925928E-2</v>
      </c>
      <c r="O37" s="3"/>
    </row>
    <row r="38" spans="1:16" x14ac:dyDescent="0.2">
      <c r="A38" s="1">
        <v>2</v>
      </c>
      <c r="B38" s="1">
        <v>2.6</v>
      </c>
      <c r="C38" s="1">
        <v>2</v>
      </c>
      <c r="D38" s="1" t="s">
        <v>171</v>
      </c>
      <c r="E38" s="4">
        <v>45370</v>
      </c>
      <c r="F38" s="3">
        <v>0.78053240740740737</v>
      </c>
      <c r="G38" s="1">
        <v>4.8500000000000001E-2</v>
      </c>
      <c r="K38" s="1" t="s">
        <v>281</v>
      </c>
      <c r="L38" s="3">
        <v>0.75416666666666665</v>
      </c>
      <c r="M38" s="3">
        <f>F38 - L38</f>
        <v>2.6365740740740717E-2</v>
      </c>
      <c r="N38" s="3">
        <v>2.6226851851851852E-2</v>
      </c>
      <c r="O38" s="3"/>
    </row>
    <row r="39" spans="1:16" x14ac:dyDescent="0.2">
      <c r="A39" s="1">
        <v>2</v>
      </c>
      <c r="B39" s="1">
        <v>2.6</v>
      </c>
      <c r="C39" s="1" t="s">
        <v>27</v>
      </c>
      <c r="D39" s="1" t="s">
        <v>27</v>
      </c>
      <c r="E39" s="4">
        <v>45371</v>
      </c>
      <c r="F39" s="14" t="s">
        <v>27</v>
      </c>
      <c r="G39" s="1" t="s">
        <v>27</v>
      </c>
      <c r="K39" s="1" t="s">
        <v>27</v>
      </c>
      <c r="L39" s="1" t="s">
        <v>27</v>
      </c>
      <c r="M39" s="1" t="s">
        <v>27</v>
      </c>
      <c r="N39" s="1" t="s">
        <v>27</v>
      </c>
      <c r="P39" s="1" t="s">
        <v>204</v>
      </c>
    </row>
    <row r="40" spans="1:16" x14ac:dyDescent="0.2">
      <c r="A40" s="1">
        <v>2</v>
      </c>
      <c r="B40" s="1">
        <v>2.6</v>
      </c>
      <c r="C40" s="1" t="s">
        <v>27</v>
      </c>
      <c r="D40" s="1" t="s">
        <v>27</v>
      </c>
      <c r="E40" s="4">
        <v>45371</v>
      </c>
      <c r="F40" s="14" t="s">
        <v>27</v>
      </c>
      <c r="G40" s="1" t="s">
        <v>27</v>
      </c>
      <c r="K40" s="1" t="s">
        <v>27</v>
      </c>
      <c r="L40" s="1" t="s">
        <v>27</v>
      </c>
      <c r="M40" s="1" t="s">
        <v>27</v>
      </c>
      <c r="N40" s="1" t="s">
        <v>27</v>
      </c>
      <c r="P40" s="1" t="s">
        <v>207</v>
      </c>
    </row>
    <row r="41" spans="1:16" x14ac:dyDescent="0.2">
      <c r="A41" s="1">
        <v>2</v>
      </c>
      <c r="B41" s="1">
        <v>2.1</v>
      </c>
      <c r="C41" s="1">
        <v>1</v>
      </c>
      <c r="D41" s="1" t="s">
        <v>170</v>
      </c>
      <c r="E41" s="4">
        <v>45372</v>
      </c>
      <c r="F41" s="3">
        <v>0.27496527777777779</v>
      </c>
      <c r="G41" s="1">
        <v>6.28</v>
      </c>
      <c r="K41" s="1" t="s">
        <v>279</v>
      </c>
      <c r="L41" s="3">
        <v>0.26805555555555555</v>
      </c>
      <c r="M41" s="3">
        <f>F41 - L41</f>
        <v>6.9097222222222476E-3</v>
      </c>
      <c r="N41" s="3">
        <v>6.8865740740740745E-3</v>
      </c>
      <c r="O41" s="3"/>
    </row>
    <row r="42" spans="1:16" x14ac:dyDescent="0.2">
      <c r="A42" s="1">
        <v>2</v>
      </c>
      <c r="B42" s="1">
        <v>2.1</v>
      </c>
      <c r="C42" s="1">
        <v>1</v>
      </c>
      <c r="D42" s="1" t="s">
        <v>168</v>
      </c>
      <c r="E42" s="4">
        <v>45372</v>
      </c>
      <c r="F42" s="3">
        <v>0.77909722222222222</v>
      </c>
      <c r="G42" s="1" t="s">
        <v>27</v>
      </c>
      <c r="H42" s="2" t="s">
        <v>385</v>
      </c>
      <c r="I42" s="1">
        <v>7.9299999999999995E-2</v>
      </c>
      <c r="J42" s="1" t="s">
        <v>460</v>
      </c>
      <c r="K42" s="1" t="s">
        <v>27</v>
      </c>
      <c r="L42" s="1" t="s">
        <v>27</v>
      </c>
      <c r="M42" s="1" t="s">
        <v>27</v>
      </c>
      <c r="N42" s="1" t="s">
        <v>27</v>
      </c>
      <c r="P42" s="1" t="s">
        <v>280</v>
      </c>
    </row>
    <row r="43" spans="1:16" x14ac:dyDescent="0.2">
      <c r="A43" s="1">
        <v>2</v>
      </c>
      <c r="B43" s="1">
        <v>2.1</v>
      </c>
      <c r="C43" s="1">
        <v>1</v>
      </c>
      <c r="D43" s="1" t="s">
        <v>166</v>
      </c>
      <c r="E43" s="4">
        <v>45373</v>
      </c>
      <c r="F43" s="3">
        <v>0.26319444444444445</v>
      </c>
      <c r="G43" s="1">
        <v>1.0109999999999999</v>
      </c>
      <c r="K43" s="1" t="s">
        <v>261</v>
      </c>
      <c r="L43" s="3">
        <v>0.22378472222222223</v>
      </c>
      <c r="M43" s="3">
        <f>F43 - L43</f>
        <v>3.9409722222222221E-2</v>
      </c>
      <c r="N43" s="3">
        <v>3.951388888888889E-2</v>
      </c>
      <c r="O43" s="3"/>
    </row>
    <row r="44" spans="1:16" x14ac:dyDescent="0.2">
      <c r="A44" s="1">
        <v>2</v>
      </c>
      <c r="B44" s="1">
        <v>2.1</v>
      </c>
      <c r="C44" s="1">
        <v>1</v>
      </c>
      <c r="D44" s="1" t="s">
        <v>197</v>
      </c>
      <c r="E44" s="4">
        <v>45373</v>
      </c>
      <c r="F44" s="3">
        <v>0.77481481481481485</v>
      </c>
      <c r="G44" s="1">
        <v>0.39</v>
      </c>
      <c r="K44" s="1" t="s">
        <v>262</v>
      </c>
      <c r="L44" s="3">
        <v>0.75416666666666665</v>
      </c>
      <c r="M44" s="3">
        <f>F44 - L44</f>
        <v>2.0648148148148193E-2</v>
      </c>
      <c r="N44" s="3">
        <v>2.0312500000000001E-2</v>
      </c>
      <c r="O44" s="3"/>
    </row>
    <row r="45" spans="1:16" x14ac:dyDescent="0.2">
      <c r="A45" s="1">
        <v>2</v>
      </c>
      <c r="B45" s="1">
        <v>2.1</v>
      </c>
      <c r="C45" s="1">
        <v>1</v>
      </c>
      <c r="D45" s="15" t="s">
        <v>260</v>
      </c>
      <c r="E45" s="4">
        <v>45374</v>
      </c>
      <c r="F45" s="3">
        <v>0.2701041666666667</v>
      </c>
      <c r="G45" s="1">
        <v>2.67</v>
      </c>
      <c r="K45" s="1" t="s">
        <v>263</v>
      </c>
      <c r="L45" s="3">
        <v>0.2399537037037037</v>
      </c>
      <c r="M45" s="3">
        <f>F45 - L45</f>
        <v>3.0150462962963004E-2</v>
      </c>
      <c r="N45" s="3">
        <v>3.0289351851851852E-2</v>
      </c>
      <c r="O45" s="3"/>
    </row>
    <row r="46" spans="1:16" x14ac:dyDescent="0.2">
      <c r="A46" s="1">
        <v>2</v>
      </c>
      <c r="B46" s="1">
        <v>2.1</v>
      </c>
      <c r="C46" s="1">
        <v>1</v>
      </c>
      <c r="D46" s="1" t="s">
        <v>224</v>
      </c>
      <c r="E46" s="4">
        <v>45374</v>
      </c>
      <c r="F46" s="1" t="s">
        <v>27</v>
      </c>
      <c r="G46" s="1" t="s">
        <v>27</v>
      </c>
      <c r="K46" s="1" t="s">
        <v>119</v>
      </c>
      <c r="L46" s="3">
        <v>0.75451388888888893</v>
      </c>
      <c r="M46" s="1" t="s">
        <v>27</v>
      </c>
      <c r="N46" s="1" t="s">
        <v>27</v>
      </c>
      <c r="P46" s="1" t="s">
        <v>176</v>
      </c>
    </row>
    <row r="47" spans="1:16" x14ac:dyDescent="0.2">
      <c r="A47" s="1">
        <v>2</v>
      </c>
      <c r="B47" s="1">
        <v>2.6</v>
      </c>
      <c r="C47" s="1">
        <v>1</v>
      </c>
      <c r="D47" s="1" t="s">
        <v>242</v>
      </c>
      <c r="E47" s="4">
        <v>45375</v>
      </c>
      <c r="F47" s="14">
        <v>0.25738425925925923</v>
      </c>
      <c r="G47" s="7">
        <v>0.1409</v>
      </c>
      <c r="H47" s="7" t="s">
        <v>378</v>
      </c>
      <c r="I47" s="7"/>
      <c r="J47" s="7"/>
      <c r="K47" s="1" t="s">
        <v>264</v>
      </c>
      <c r="L47" s="3">
        <v>0.23355324074074074</v>
      </c>
      <c r="M47" s="3">
        <f>F47 - L47</f>
        <v>2.3831018518518488E-2</v>
      </c>
      <c r="N47" s="3">
        <v>2.3923611111111111E-2</v>
      </c>
      <c r="O47" s="3"/>
    </row>
    <row r="48" spans="1:16" x14ac:dyDescent="0.2">
      <c r="A48" s="1">
        <v>2</v>
      </c>
      <c r="B48" s="1">
        <v>2.6</v>
      </c>
      <c r="C48" s="1">
        <v>2</v>
      </c>
      <c r="D48" s="1" t="s">
        <v>242</v>
      </c>
      <c r="E48" s="4">
        <v>45375</v>
      </c>
      <c r="F48" s="14">
        <v>0.26746527777777779</v>
      </c>
      <c r="G48" s="7">
        <v>0.23799999999999999</v>
      </c>
      <c r="H48" s="7" t="s">
        <v>378</v>
      </c>
      <c r="I48" s="7"/>
      <c r="J48" s="7"/>
      <c r="K48" s="1" t="s">
        <v>264</v>
      </c>
      <c r="L48" s="3">
        <v>0.23355324074074074</v>
      </c>
      <c r="M48" s="3">
        <f>F48 - L48</f>
        <v>3.3912037037037046E-2</v>
      </c>
      <c r="N48" s="3">
        <v>3.4004629629629628E-2</v>
      </c>
      <c r="O48" s="3"/>
    </row>
    <row r="49" spans="1:19" x14ac:dyDescent="0.2">
      <c r="A49" s="1">
        <v>2</v>
      </c>
      <c r="B49" s="1">
        <v>2.6</v>
      </c>
      <c r="C49" s="1">
        <v>1</v>
      </c>
      <c r="D49" s="1" t="s">
        <v>244</v>
      </c>
      <c r="E49" s="4">
        <v>45375</v>
      </c>
      <c r="F49" s="14">
        <v>0.77380787037037035</v>
      </c>
      <c r="G49" s="1">
        <v>0.52900000000000003</v>
      </c>
      <c r="K49" s="1" t="s">
        <v>127</v>
      </c>
      <c r="L49" s="3">
        <v>0.74961805555555561</v>
      </c>
      <c r="M49" s="3">
        <f>F49 - L49</f>
        <v>2.4189814814814747E-2</v>
      </c>
      <c r="N49" s="3">
        <v>2.4328703703703703E-2</v>
      </c>
      <c r="O49" s="3"/>
    </row>
    <row r="50" spans="1:19" s="7" customFormat="1" x14ac:dyDescent="0.2">
      <c r="A50" s="1">
        <v>2</v>
      </c>
      <c r="B50" s="1">
        <v>2.6</v>
      </c>
      <c r="C50" s="1">
        <v>1</v>
      </c>
      <c r="D50" s="1" t="s">
        <v>228</v>
      </c>
      <c r="E50" s="4">
        <v>45376</v>
      </c>
      <c r="F50" s="14" t="s">
        <v>27</v>
      </c>
      <c r="G50" s="1" t="s">
        <v>27</v>
      </c>
      <c r="H50" s="1"/>
      <c r="I50" s="1"/>
      <c r="J50" s="1"/>
      <c r="K50" s="1" t="s">
        <v>265</v>
      </c>
      <c r="L50" s="3">
        <v>0.23734953703703704</v>
      </c>
      <c r="M50" s="3" t="s">
        <v>27</v>
      </c>
      <c r="N50" s="1" t="s">
        <v>27</v>
      </c>
      <c r="O50" s="1"/>
      <c r="P50" s="1" t="s">
        <v>246</v>
      </c>
      <c r="Q50" s="1"/>
      <c r="R50" s="1"/>
      <c r="S50" s="1"/>
    </row>
    <row r="51" spans="1:19" x14ac:dyDescent="0.2">
      <c r="A51" s="1">
        <v>2</v>
      </c>
      <c r="B51" s="1">
        <v>2.6</v>
      </c>
      <c r="C51" s="1">
        <v>1</v>
      </c>
      <c r="D51" s="1" t="s">
        <v>269</v>
      </c>
      <c r="E51" s="4">
        <v>45376</v>
      </c>
      <c r="F51" s="14">
        <v>0.77660879629629631</v>
      </c>
      <c r="G51" s="1">
        <v>0.28000000000000003</v>
      </c>
      <c r="K51" s="1" t="s">
        <v>266</v>
      </c>
      <c r="L51" s="3">
        <v>0.75342592592592594</v>
      </c>
      <c r="M51" s="3">
        <f>F51 - L51</f>
        <v>2.3182870370370368E-2</v>
      </c>
      <c r="N51" s="3">
        <v>2.2905092592592591E-2</v>
      </c>
      <c r="O51" s="3"/>
    </row>
    <row r="52" spans="1:19" x14ac:dyDescent="0.2">
      <c r="A52" s="1">
        <v>2</v>
      </c>
      <c r="B52" s="1">
        <v>2.6</v>
      </c>
      <c r="C52" s="1">
        <v>1</v>
      </c>
      <c r="D52" s="1" t="s">
        <v>231</v>
      </c>
      <c r="E52" s="4">
        <v>45377</v>
      </c>
      <c r="F52" s="14">
        <v>0.25671296296296298</v>
      </c>
      <c r="G52" s="7">
        <v>0.20200000000000001</v>
      </c>
      <c r="I52" s="7"/>
      <c r="J52" s="7"/>
      <c r="K52" s="1" t="s">
        <v>128</v>
      </c>
      <c r="L52" s="3">
        <v>0.23350694444444445</v>
      </c>
      <c r="M52" s="3">
        <f>F52 - L52</f>
        <v>2.3206018518518529E-2</v>
      </c>
      <c r="N52" s="3">
        <v>2.3356481481481482E-2</v>
      </c>
      <c r="O52" s="3"/>
    </row>
    <row r="53" spans="1:19" x14ac:dyDescent="0.2">
      <c r="A53" s="1">
        <v>2</v>
      </c>
      <c r="B53" s="1">
        <v>2.6</v>
      </c>
      <c r="C53" s="1" t="s">
        <v>27</v>
      </c>
      <c r="D53" s="1" t="s">
        <v>27</v>
      </c>
      <c r="E53" s="4">
        <v>45377</v>
      </c>
      <c r="F53" s="14" t="s">
        <v>27</v>
      </c>
      <c r="G53" s="1" t="s">
        <v>27</v>
      </c>
      <c r="K53" s="1" t="s">
        <v>27</v>
      </c>
      <c r="L53" s="1" t="s">
        <v>27</v>
      </c>
      <c r="M53" s="1" t="s">
        <v>27</v>
      </c>
      <c r="N53" s="1" t="s">
        <v>27</v>
      </c>
      <c r="P53" s="1" t="s">
        <v>270</v>
      </c>
    </row>
    <row r="54" spans="1:19" x14ac:dyDescent="0.2">
      <c r="A54" s="1">
        <v>2</v>
      </c>
      <c r="B54" s="1">
        <v>2.6</v>
      </c>
      <c r="C54" s="1">
        <v>1</v>
      </c>
      <c r="D54" s="1" t="s">
        <v>234</v>
      </c>
      <c r="E54" s="4">
        <v>45378</v>
      </c>
      <c r="F54" s="14">
        <v>0.26596064814814813</v>
      </c>
      <c r="G54" s="7">
        <v>2.2799999999999998</v>
      </c>
      <c r="H54" s="7" t="s">
        <v>379</v>
      </c>
      <c r="I54" s="7"/>
      <c r="J54" s="7"/>
      <c r="K54" s="1" t="s">
        <v>420</v>
      </c>
      <c r="L54" s="3">
        <v>0.23856481481481481</v>
      </c>
      <c r="M54" s="3">
        <f>F54 - L54</f>
        <v>2.7395833333333314E-2</v>
      </c>
      <c r="N54" s="3">
        <v>2.75E-2</v>
      </c>
      <c r="O54" s="3"/>
      <c r="P54" s="1" t="s">
        <v>379</v>
      </c>
    </row>
    <row r="55" spans="1:19" x14ac:dyDescent="0.2">
      <c r="A55" s="1">
        <v>2</v>
      </c>
      <c r="B55" s="1">
        <v>2.6</v>
      </c>
      <c r="C55" s="1" t="s">
        <v>27</v>
      </c>
      <c r="D55" s="1" t="s">
        <v>249</v>
      </c>
      <c r="E55" s="4">
        <v>45379</v>
      </c>
      <c r="F55" s="14" t="s">
        <v>27</v>
      </c>
      <c r="G55" s="1" t="s">
        <v>27</v>
      </c>
      <c r="K55" s="1" t="s">
        <v>291</v>
      </c>
      <c r="L55" s="3">
        <v>0.76531249999999995</v>
      </c>
      <c r="M55" s="3" t="s">
        <v>27</v>
      </c>
      <c r="N55" s="3" t="s">
        <v>27</v>
      </c>
      <c r="O55" s="3"/>
      <c r="P55" s="1" t="s">
        <v>176</v>
      </c>
    </row>
    <row r="56" spans="1:19" s="7" customFormat="1" x14ac:dyDescent="0.2">
      <c r="A56" s="1">
        <v>2</v>
      </c>
      <c r="B56" s="1">
        <v>2.6</v>
      </c>
      <c r="C56" s="1">
        <v>1</v>
      </c>
      <c r="D56" s="1" t="s">
        <v>248</v>
      </c>
      <c r="E56" s="4">
        <v>45379</v>
      </c>
      <c r="F56" s="3">
        <v>0.26277777777777778</v>
      </c>
      <c r="G56" s="7">
        <v>1.2869999999999999</v>
      </c>
      <c r="H56" s="1" t="s">
        <v>440</v>
      </c>
      <c r="K56" s="1" t="s">
        <v>292</v>
      </c>
      <c r="L56" s="3">
        <v>0.23756944444444444</v>
      </c>
      <c r="M56" s="3">
        <f>F56 - L56</f>
        <v>2.5208333333333333E-2</v>
      </c>
      <c r="N56" s="3" t="s">
        <v>27</v>
      </c>
      <c r="O56" s="3"/>
      <c r="S56" s="13"/>
    </row>
    <row r="57" spans="1:19" x14ac:dyDescent="0.2">
      <c r="A57" s="1">
        <v>2</v>
      </c>
      <c r="B57" s="1">
        <v>2.6</v>
      </c>
      <c r="C57" s="1">
        <v>1</v>
      </c>
      <c r="D57" s="1" t="s">
        <v>251</v>
      </c>
      <c r="E57" s="4">
        <v>45380</v>
      </c>
      <c r="F57" s="3">
        <v>0.26237268518518519</v>
      </c>
      <c r="G57" s="7">
        <v>0.83099999999999996</v>
      </c>
      <c r="H57" s="1" t="s">
        <v>381</v>
      </c>
      <c r="I57" s="7"/>
      <c r="J57" s="7"/>
      <c r="K57" s="1" t="s">
        <v>303</v>
      </c>
      <c r="L57" s="3">
        <v>0.2282986111111111</v>
      </c>
      <c r="M57" s="3">
        <f>F57 - L57</f>
        <v>3.407407407407409E-2</v>
      </c>
      <c r="N57" s="3">
        <v>3.4189814814814812E-2</v>
      </c>
      <c r="O57" s="3"/>
      <c r="S57" s="2"/>
    </row>
    <row r="58" spans="1:19" x14ac:dyDescent="0.2">
      <c r="A58" s="1">
        <v>2</v>
      </c>
      <c r="B58" s="1">
        <v>2.6</v>
      </c>
      <c r="C58" s="1" t="s">
        <v>27</v>
      </c>
      <c r="D58" s="1" t="s">
        <v>253</v>
      </c>
      <c r="E58" s="4">
        <v>45380</v>
      </c>
      <c r="F58" s="3" t="s">
        <v>27</v>
      </c>
      <c r="G58" s="1" t="s">
        <v>27</v>
      </c>
      <c r="K58" s="1" t="s">
        <v>306</v>
      </c>
      <c r="L58" s="3">
        <v>0.77248842592592593</v>
      </c>
      <c r="M58" s="3" t="s">
        <v>27</v>
      </c>
      <c r="N58" s="3" t="s">
        <v>27</v>
      </c>
      <c r="O58" s="3"/>
      <c r="P58" s="1" t="s">
        <v>176</v>
      </c>
      <c r="S58" s="2"/>
    </row>
    <row r="59" spans="1:19" x14ac:dyDescent="0.2">
      <c r="A59" s="1">
        <v>2</v>
      </c>
      <c r="B59" s="1">
        <v>2.6</v>
      </c>
      <c r="C59" s="1">
        <v>1</v>
      </c>
      <c r="D59" s="1" t="s">
        <v>256</v>
      </c>
      <c r="E59" s="4">
        <v>45381</v>
      </c>
      <c r="F59" s="3" t="s">
        <v>27</v>
      </c>
      <c r="G59" s="1" t="s">
        <v>27</v>
      </c>
      <c r="K59" s="1" t="s">
        <v>383</v>
      </c>
      <c r="L59" s="3">
        <v>0.75232638888888892</v>
      </c>
      <c r="M59" s="3" t="s">
        <v>27</v>
      </c>
      <c r="N59" s="3" t="s">
        <v>27</v>
      </c>
      <c r="O59" s="3"/>
      <c r="P59" s="1" t="s">
        <v>369</v>
      </c>
      <c r="S59" s="2"/>
    </row>
    <row r="60" spans="1:19" s="7" customFormat="1" x14ac:dyDescent="0.2">
      <c r="A60" s="1">
        <v>2</v>
      </c>
      <c r="B60" s="1">
        <v>2.6</v>
      </c>
      <c r="C60" s="1">
        <v>1</v>
      </c>
      <c r="D60" s="1" t="s">
        <v>316</v>
      </c>
      <c r="E60" s="4">
        <v>45381</v>
      </c>
      <c r="F60" s="3">
        <v>0.26086805555555553</v>
      </c>
      <c r="G60" s="7">
        <v>3.05</v>
      </c>
      <c r="H60" s="1" t="s">
        <v>441</v>
      </c>
      <c r="I60" s="7">
        <f xml:space="preserve"> (G60 *(1.004*10^-6)) / (1.081*10^-5)</f>
        <v>0.28327474560592047</v>
      </c>
      <c r="J60" s="7" t="s">
        <v>655</v>
      </c>
      <c r="K60" s="1" t="s">
        <v>317</v>
      </c>
      <c r="L60" s="3">
        <v>0.2303125</v>
      </c>
      <c r="M60" s="3">
        <f>F60 - L60</f>
        <v>3.055555555555553E-2</v>
      </c>
      <c r="N60" s="3" t="s">
        <v>27</v>
      </c>
      <c r="O60" s="3" t="s">
        <v>320</v>
      </c>
      <c r="Q60" s="1"/>
      <c r="S60" s="13"/>
    </row>
    <row r="61" spans="1:19" x14ac:dyDescent="0.2">
      <c r="A61" s="1">
        <v>2</v>
      </c>
      <c r="B61" s="1">
        <v>2.6</v>
      </c>
      <c r="C61" s="1" t="s">
        <v>27</v>
      </c>
      <c r="D61" s="1" t="s">
        <v>27</v>
      </c>
      <c r="E61" s="4">
        <v>45382</v>
      </c>
      <c r="F61" s="3" t="s">
        <v>27</v>
      </c>
      <c r="G61" s="1" t="s">
        <v>27</v>
      </c>
      <c r="K61" s="1" t="s">
        <v>27</v>
      </c>
      <c r="L61" s="3" t="s">
        <v>27</v>
      </c>
      <c r="M61" s="3" t="s">
        <v>27</v>
      </c>
      <c r="N61" s="3" t="s">
        <v>27</v>
      </c>
      <c r="O61" s="3"/>
      <c r="P61" s="1" t="s">
        <v>382</v>
      </c>
      <c r="S61" s="2"/>
    </row>
    <row r="62" spans="1:19" x14ac:dyDescent="0.2">
      <c r="A62" s="1">
        <v>2</v>
      </c>
      <c r="B62" s="1">
        <v>2.6</v>
      </c>
      <c r="C62" s="1">
        <v>1</v>
      </c>
      <c r="D62" s="1" t="s">
        <v>298</v>
      </c>
      <c r="E62" s="4">
        <v>45382</v>
      </c>
      <c r="F62" s="3">
        <v>0.77803240740740742</v>
      </c>
      <c r="G62" s="7">
        <v>0.71299999999999997</v>
      </c>
      <c r="H62" s="1" t="s">
        <v>459</v>
      </c>
      <c r="I62" s="7">
        <f xml:space="preserve"> (G62 *(1.004*10^-6)) / (1.081*10^-5)</f>
        <v>6.6221276595744685E-2</v>
      </c>
      <c r="J62" s="7" t="s">
        <v>655</v>
      </c>
      <c r="K62" s="1" t="s">
        <v>321</v>
      </c>
      <c r="L62" s="3">
        <v>0.75362268518518516</v>
      </c>
      <c r="M62" s="3">
        <f>F62 - L62</f>
        <v>2.4409722222222263E-2</v>
      </c>
      <c r="N62" s="3">
        <v>2.4895833333333332E-2</v>
      </c>
      <c r="O62" s="3" t="s">
        <v>319</v>
      </c>
      <c r="S62" s="2"/>
    </row>
    <row r="63" spans="1:19" x14ac:dyDescent="0.2">
      <c r="A63" s="1">
        <v>2</v>
      </c>
      <c r="B63" s="1">
        <v>2.6</v>
      </c>
      <c r="C63" s="1">
        <v>1</v>
      </c>
      <c r="D63" s="1" t="s">
        <v>282</v>
      </c>
      <c r="E63" s="4">
        <v>45383</v>
      </c>
      <c r="F63" s="3">
        <v>0.27090277777777777</v>
      </c>
      <c r="G63" s="7">
        <v>22.2</v>
      </c>
      <c r="H63" s="1" t="s">
        <v>386</v>
      </c>
      <c r="I63" s="7">
        <f xml:space="preserve"> (G63 *(1.004*10^-6)) / (1.081*10^-5)</f>
        <v>2.0618686401480111</v>
      </c>
      <c r="J63" s="7" t="s">
        <v>655</v>
      </c>
      <c r="K63" s="1" t="s">
        <v>322</v>
      </c>
      <c r="L63" s="3">
        <v>0.22976851851851851</v>
      </c>
      <c r="M63" s="3">
        <f>F63 - L63</f>
        <v>4.1134259259259259E-2</v>
      </c>
      <c r="N63" s="3">
        <v>4.1284722222222223E-2</v>
      </c>
      <c r="O63" s="3" t="s">
        <v>319</v>
      </c>
    </row>
    <row r="64" spans="1:19" x14ac:dyDescent="0.2">
      <c r="A64" s="1">
        <v>2</v>
      </c>
      <c r="B64" s="1">
        <v>2.6</v>
      </c>
      <c r="C64" s="1" t="s">
        <v>27</v>
      </c>
      <c r="D64" s="1" t="s">
        <v>27</v>
      </c>
      <c r="E64" s="4">
        <v>45383</v>
      </c>
      <c r="F64" s="3" t="s">
        <v>27</v>
      </c>
      <c r="G64" s="1" t="s">
        <v>27</v>
      </c>
      <c r="K64" s="1" t="s">
        <v>27</v>
      </c>
      <c r="L64" s="1" t="s">
        <v>27</v>
      </c>
      <c r="M64" s="1" t="s">
        <v>27</v>
      </c>
      <c r="N64" s="1" t="s">
        <v>27</v>
      </c>
      <c r="O64" s="3"/>
      <c r="P64" s="1" t="s">
        <v>341</v>
      </c>
    </row>
    <row r="65" spans="1:16" s="7" customFormat="1" x14ac:dyDescent="0.2">
      <c r="A65" s="1">
        <v>2</v>
      </c>
      <c r="B65" s="1">
        <v>2.6</v>
      </c>
      <c r="C65" s="1" t="s">
        <v>27</v>
      </c>
      <c r="D65" s="1" t="s">
        <v>27</v>
      </c>
      <c r="E65" s="4">
        <v>45384</v>
      </c>
      <c r="F65" s="3" t="s">
        <v>27</v>
      </c>
      <c r="G65" s="1" t="s">
        <v>27</v>
      </c>
      <c r="H65" s="1"/>
      <c r="I65" s="1"/>
      <c r="J65" s="1"/>
      <c r="K65" s="1" t="s">
        <v>27</v>
      </c>
      <c r="L65" s="1" t="s">
        <v>27</v>
      </c>
      <c r="M65" s="1" t="s">
        <v>27</v>
      </c>
      <c r="N65" s="1" t="s">
        <v>27</v>
      </c>
      <c r="O65" s="8"/>
      <c r="P65" s="1" t="s">
        <v>387</v>
      </c>
    </row>
    <row r="66" spans="1:16" s="7" customFormat="1" x14ac:dyDescent="0.2">
      <c r="A66" s="1">
        <v>2</v>
      </c>
      <c r="B66" s="1">
        <v>2.6</v>
      </c>
      <c r="C66" s="1" t="s">
        <v>27</v>
      </c>
      <c r="D66" s="1" t="s">
        <v>27</v>
      </c>
      <c r="E66" s="4">
        <v>45384</v>
      </c>
      <c r="F66" s="3" t="s">
        <v>27</v>
      </c>
      <c r="G66" s="1" t="s">
        <v>27</v>
      </c>
      <c r="H66" s="1"/>
      <c r="I66" s="1"/>
      <c r="J66" s="1"/>
      <c r="K66" s="1" t="s">
        <v>27</v>
      </c>
      <c r="L66" s="1" t="s">
        <v>27</v>
      </c>
      <c r="M66" s="1" t="s">
        <v>27</v>
      </c>
      <c r="N66" s="1" t="s">
        <v>27</v>
      </c>
      <c r="O66" s="8"/>
      <c r="P66" s="1" t="s">
        <v>391</v>
      </c>
    </row>
    <row r="67" spans="1:16" x14ac:dyDescent="0.2">
      <c r="A67" s="1">
        <v>2</v>
      </c>
      <c r="B67" s="1">
        <v>2.6</v>
      </c>
      <c r="C67" s="1">
        <v>1</v>
      </c>
      <c r="D67" t="s">
        <v>293</v>
      </c>
      <c r="E67" s="4">
        <v>45385</v>
      </c>
      <c r="F67" s="3">
        <v>0.78233796296296299</v>
      </c>
      <c r="G67" s="1" t="s">
        <v>27</v>
      </c>
      <c r="H67" s="1" t="s">
        <v>367</v>
      </c>
      <c r="I67" s="21">
        <f xml:space="preserve"> (0.1331*(1.004*10^-6)) / (1.081*10^-5)</f>
        <v>1.2361924144310825E-2</v>
      </c>
      <c r="J67" s="1" t="s">
        <v>458</v>
      </c>
      <c r="K67" s="1" t="s">
        <v>27</v>
      </c>
      <c r="L67" s="1" t="s">
        <v>27</v>
      </c>
      <c r="M67" s="1" t="s">
        <v>27</v>
      </c>
      <c r="N67" s="1" t="s">
        <v>27</v>
      </c>
      <c r="O67" s="1" t="s">
        <v>27</v>
      </c>
    </row>
    <row r="68" spans="1:16" x14ac:dyDescent="0.2">
      <c r="A68" s="1">
        <v>2</v>
      </c>
      <c r="B68" s="1">
        <v>2.6</v>
      </c>
      <c r="C68" s="1" t="s">
        <v>27</v>
      </c>
      <c r="D68" s="1" t="s">
        <v>27</v>
      </c>
      <c r="E68" s="4">
        <v>45385</v>
      </c>
      <c r="F68" s="3" t="s">
        <v>27</v>
      </c>
      <c r="G68" s="1" t="s">
        <v>27</v>
      </c>
      <c r="K68" s="1" t="s">
        <v>27</v>
      </c>
      <c r="L68" s="1" t="s">
        <v>27</v>
      </c>
      <c r="M68" s="1" t="s">
        <v>27</v>
      </c>
      <c r="N68" s="1" t="s">
        <v>27</v>
      </c>
      <c r="P68" s="1" t="s">
        <v>387</v>
      </c>
    </row>
    <row r="69" spans="1:16" x14ac:dyDescent="0.2">
      <c r="A69" s="1">
        <v>2</v>
      </c>
      <c r="B69" s="1">
        <v>2.6</v>
      </c>
      <c r="C69" s="1" t="s">
        <v>27</v>
      </c>
      <c r="D69" s="1" t="s">
        <v>27</v>
      </c>
      <c r="E69" s="4">
        <v>45386</v>
      </c>
      <c r="F69" s="3" t="s">
        <v>27</v>
      </c>
      <c r="G69" s="1" t="s">
        <v>27</v>
      </c>
      <c r="K69" s="1" t="s">
        <v>27</v>
      </c>
      <c r="L69" s="1" t="s">
        <v>27</v>
      </c>
      <c r="M69" s="1" t="s">
        <v>27</v>
      </c>
      <c r="N69" s="1" t="s">
        <v>27</v>
      </c>
      <c r="P69" s="1" t="s">
        <v>387</v>
      </c>
    </row>
    <row r="70" spans="1:16" x14ac:dyDescent="0.2">
      <c r="A70" s="1">
        <v>2</v>
      </c>
      <c r="B70" s="1">
        <v>2.6</v>
      </c>
      <c r="C70" s="1">
        <v>1</v>
      </c>
      <c r="D70" s="1" t="s">
        <v>180</v>
      </c>
      <c r="E70" s="4">
        <v>45386</v>
      </c>
      <c r="F70" s="3">
        <v>0.78053240740740737</v>
      </c>
      <c r="G70" s="7">
        <v>0.25800000000000001</v>
      </c>
      <c r="H70" s="7" t="s">
        <v>384</v>
      </c>
      <c r="I70" s="7">
        <f xml:space="preserve"> (G70 *(1.004*10^-6)) / (1.081*10^-5)</f>
        <v>2.3962257169287699E-2</v>
      </c>
      <c r="J70" s="7" t="s">
        <v>655</v>
      </c>
      <c r="K70" s="1" t="s">
        <v>297</v>
      </c>
      <c r="L70" s="3">
        <v>0.75498842592592597</v>
      </c>
      <c r="M70" s="3">
        <f>F70 - L70</f>
        <v>2.5543981481481404E-2</v>
      </c>
      <c r="N70" s="3">
        <v>2.5694444444444443E-2</v>
      </c>
      <c r="O70" s="3" t="s">
        <v>319</v>
      </c>
    </row>
    <row r="71" spans="1:16" x14ac:dyDescent="0.2">
      <c r="A71" s="1">
        <v>2</v>
      </c>
      <c r="B71" s="1">
        <v>2.6</v>
      </c>
      <c r="C71" s="1" t="s">
        <v>27</v>
      </c>
      <c r="D71" s="1" t="s">
        <v>27</v>
      </c>
      <c r="E71" s="4">
        <v>45387</v>
      </c>
      <c r="F71" s="3" t="s">
        <v>27</v>
      </c>
      <c r="G71" s="1" t="s">
        <v>27</v>
      </c>
      <c r="K71" s="1" t="s">
        <v>27</v>
      </c>
      <c r="L71" s="1" t="s">
        <v>27</v>
      </c>
      <c r="M71" s="1" t="s">
        <v>27</v>
      </c>
      <c r="N71" s="1" t="s">
        <v>27</v>
      </c>
      <c r="P71" s="1" t="s">
        <v>388</v>
      </c>
    </row>
    <row r="72" spans="1:16" x14ac:dyDescent="0.2">
      <c r="A72" s="1">
        <v>2</v>
      </c>
      <c r="B72" s="1">
        <v>2.6</v>
      </c>
      <c r="C72" s="1">
        <v>1</v>
      </c>
      <c r="D72" s="1" t="s">
        <v>365</v>
      </c>
      <c r="E72" s="4">
        <v>45391</v>
      </c>
      <c r="F72" s="3">
        <v>0.2723726851851852</v>
      </c>
      <c r="G72" s="1">
        <v>31.1</v>
      </c>
      <c r="H72" s="7" t="s">
        <v>384</v>
      </c>
      <c r="I72" s="7">
        <f xml:space="preserve"> (G72 *(1.004*10^-6)) / (1.081*10^-5)</f>
        <v>2.8884736355226646</v>
      </c>
      <c r="J72" s="7" t="s">
        <v>655</v>
      </c>
      <c r="K72" s="1" t="s">
        <v>474</v>
      </c>
      <c r="L72" s="3">
        <v>0.23653935185185185</v>
      </c>
      <c r="M72" s="3">
        <f t="shared" ref="M72:M80" si="1">F72 - L72</f>
        <v>3.5833333333333356E-2</v>
      </c>
      <c r="N72" s="3">
        <v>3.5995370370370372E-2</v>
      </c>
      <c r="O72" s="3" t="s">
        <v>319</v>
      </c>
    </row>
    <row r="73" spans="1:16" x14ac:dyDescent="0.2">
      <c r="A73" s="1">
        <v>2</v>
      </c>
      <c r="B73" s="1">
        <v>2.6</v>
      </c>
      <c r="C73" s="1">
        <v>1</v>
      </c>
      <c r="D73" s="1" t="s">
        <v>392</v>
      </c>
      <c r="E73" s="4">
        <v>45392</v>
      </c>
      <c r="F73" s="3">
        <v>0.25964120370370369</v>
      </c>
      <c r="G73" s="1">
        <v>5.79</v>
      </c>
      <c r="H73" s="7" t="s">
        <v>384</v>
      </c>
      <c r="K73" s="1" t="s">
        <v>501</v>
      </c>
      <c r="L73" s="3">
        <v>0.23417824074074073</v>
      </c>
      <c r="M73" s="3">
        <f t="shared" si="1"/>
        <v>2.5462962962962965E-2</v>
      </c>
      <c r="N73" s="3">
        <v>2.5810185185185186E-2</v>
      </c>
      <c r="O73" s="3" t="s">
        <v>319</v>
      </c>
    </row>
    <row r="74" spans="1:16" x14ac:dyDescent="0.2">
      <c r="A74" s="1">
        <v>2</v>
      </c>
      <c r="B74" s="1">
        <v>2.6</v>
      </c>
      <c r="C74" s="1">
        <v>1</v>
      </c>
      <c r="D74" s="1" t="s">
        <v>506</v>
      </c>
      <c r="E74" s="4">
        <v>45391</v>
      </c>
      <c r="F74" s="3">
        <v>0.77521990740740732</v>
      </c>
      <c r="G74" s="1">
        <v>0.307</v>
      </c>
      <c r="H74" s="7" t="s">
        <v>384</v>
      </c>
      <c r="K74" s="1" t="s">
        <v>498</v>
      </c>
      <c r="L74" s="3">
        <v>0.76300925925925922</v>
      </c>
      <c r="M74" s="3">
        <f t="shared" si="1"/>
        <v>1.2210648148148096E-2</v>
      </c>
      <c r="O74" s="3" t="s">
        <v>319</v>
      </c>
    </row>
    <row r="75" spans="1:16" x14ac:dyDescent="0.2">
      <c r="A75" s="1">
        <v>2</v>
      </c>
      <c r="B75" s="1">
        <v>2.6</v>
      </c>
      <c r="C75" s="1">
        <v>1</v>
      </c>
      <c r="D75" s="1" t="s">
        <v>305</v>
      </c>
      <c r="E75" s="4">
        <v>45387</v>
      </c>
      <c r="F75" s="3">
        <v>0.7795023148148148</v>
      </c>
      <c r="G75" s="1">
        <v>0.307</v>
      </c>
      <c r="H75" s="7" t="s">
        <v>384</v>
      </c>
      <c r="K75" s="1" t="s">
        <v>495</v>
      </c>
      <c r="L75" s="3">
        <v>0.76537037037037037</v>
      </c>
      <c r="M75" s="3">
        <f t="shared" si="1"/>
        <v>1.4131944444444433E-2</v>
      </c>
      <c r="N75" s="3">
        <v>1.4282407407407407E-2</v>
      </c>
      <c r="O75" s="3" t="s">
        <v>319</v>
      </c>
    </row>
    <row r="76" spans="1:16" x14ac:dyDescent="0.2">
      <c r="A76" s="1">
        <v>2</v>
      </c>
      <c r="B76" s="1">
        <v>2.6</v>
      </c>
      <c r="C76" s="1">
        <v>1</v>
      </c>
      <c r="D76" s="1" t="s">
        <v>327</v>
      </c>
      <c r="E76" s="4">
        <v>45390</v>
      </c>
      <c r="F76" s="3">
        <v>0.26424768518518515</v>
      </c>
      <c r="G76" s="1">
        <v>0.61099999999999999</v>
      </c>
      <c r="H76" s="7" t="s">
        <v>384</v>
      </c>
      <c r="K76" s="1" t="s">
        <v>486</v>
      </c>
      <c r="L76" s="3">
        <v>0.2351273148148148</v>
      </c>
      <c r="M76" s="3">
        <f t="shared" si="1"/>
        <v>2.9120370370370352E-2</v>
      </c>
      <c r="N76" s="3">
        <v>2.9328703703703704E-2</v>
      </c>
      <c r="O76" s="3" t="s">
        <v>319</v>
      </c>
    </row>
    <row r="77" spans="1:16" x14ac:dyDescent="0.2">
      <c r="A77" s="1">
        <v>2</v>
      </c>
      <c r="B77" s="1">
        <v>2.6</v>
      </c>
      <c r="C77" s="1">
        <v>1</v>
      </c>
      <c r="D77" s="1" t="s">
        <v>476</v>
      </c>
      <c r="E77" s="4">
        <v>45394</v>
      </c>
      <c r="F77" s="3">
        <v>0.76479166666666665</v>
      </c>
      <c r="G77" s="1">
        <v>7.26</v>
      </c>
      <c r="H77" s="7" t="s">
        <v>384</v>
      </c>
      <c r="K77" s="1" t="s">
        <v>517</v>
      </c>
      <c r="L77" s="3">
        <v>0.76234953703703701</v>
      </c>
      <c r="M77" s="3">
        <f t="shared" si="1"/>
        <v>2.4421296296296413E-3</v>
      </c>
      <c r="N77" s="3">
        <v>2.6967592592592594E-3</v>
      </c>
      <c r="O77" s="3" t="s">
        <v>319</v>
      </c>
    </row>
    <row r="78" spans="1:16" x14ac:dyDescent="0.2">
      <c r="A78" s="1">
        <v>2</v>
      </c>
      <c r="B78" s="1">
        <v>2.6</v>
      </c>
      <c r="C78" s="1">
        <v>1</v>
      </c>
      <c r="D78" s="1" t="s">
        <v>485</v>
      </c>
      <c r="E78" s="4">
        <v>45393</v>
      </c>
      <c r="F78" s="3">
        <v>0.25677083333333334</v>
      </c>
      <c r="G78" s="1">
        <v>2.78</v>
      </c>
      <c r="H78" s="7" t="s">
        <v>384</v>
      </c>
      <c r="K78" s="1" t="s">
        <v>518</v>
      </c>
      <c r="L78" s="3">
        <v>0.23177083333333334</v>
      </c>
      <c r="M78" s="3">
        <f t="shared" si="1"/>
        <v>2.4999999999999994E-2</v>
      </c>
      <c r="O78" s="3" t="s">
        <v>319</v>
      </c>
    </row>
    <row r="79" spans="1:16" x14ac:dyDescent="0.2">
      <c r="A79" s="1">
        <v>2</v>
      </c>
      <c r="B79" s="1">
        <v>2.6</v>
      </c>
      <c r="C79" s="1">
        <v>1</v>
      </c>
      <c r="D79" s="1" t="s">
        <v>484</v>
      </c>
      <c r="E79" s="4">
        <v>45393</v>
      </c>
      <c r="F79" s="3">
        <v>0.76993055555555556</v>
      </c>
      <c r="G79" s="1">
        <v>5.25</v>
      </c>
      <c r="H79" s="7" t="s">
        <v>384</v>
      </c>
      <c r="K79" s="1" t="s">
        <v>519</v>
      </c>
      <c r="L79" s="3">
        <v>0.75616898148148148</v>
      </c>
      <c r="M79" s="3">
        <f t="shared" si="1"/>
        <v>1.3761574074074079E-2</v>
      </c>
      <c r="O79" s="3" t="s">
        <v>319</v>
      </c>
    </row>
    <row r="80" spans="1:16" x14ac:dyDescent="0.2">
      <c r="A80" s="1">
        <v>2</v>
      </c>
      <c r="B80" s="1">
        <v>2.6</v>
      </c>
      <c r="C80" s="1">
        <v>1</v>
      </c>
      <c r="D80" s="1" t="s">
        <v>497</v>
      </c>
      <c r="E80" s="4">
        <v>45397</v>
      </c>
      <c r="F80" s="3">
        <v>0.26587962962962963</v>
      </c>
      <c r="G80" s="1">
        <v>21.2</v>
      </c>
      <c r="H80" s="7" t="s">
        <v>384</v>
      </c>
      <c r="K80" s="1" t="s">
        <v>520</v>
      </c>
      <c r="L80" s="3">
        <v>0.2303125</v>
      </c>
      <c r="M80" s="3">
        <f t="shared" si="1"/>
        <v>3.5567129629629629E-2</v>
      </c>
      <c r="N80" s="3">
        <v>3.6412037037037034E-2</v>
      </c>
      <c r="O80" s="3" t="s">
        <v>319</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70</v>
      </c>
      <c r="B1" s="1" t="s">
        <v>1</v>
      </c>
      <c r="C1" s="1" t="s">
        <v>16</v>
      </c>
      <c r="D1" s="1" t="s">
        <v>268</v>
      </c>
      <c r="E1" s="1" t="s">
        <v>267</v>
      </c>
      <c r="F1" s="1" t="s">
        <v>37</v>
      </c>
      <c r="G1" s="1" t="s">
        <v>7</v>
      </c>
      <c r="H1" s="1" t="s">
        <v>5</v>
      </c>
      <c r="I1" s="1" t="s">
        <v>419</v>
      </c>
      <c r="J1" s="1" t="s">
        <v>377</v>
      </c>
      <c r="K1" s="1" t="s">
        <v>445</v>
      </c>
      <c r="L1" s="1" t="s">
        <v>10</v>
      </c>
      <c r="M1" s="1" t="s">
        <v>71</v>
      </c>
      <c r="N1" s="1" t="s">
        <v>338</v>
      </c>
      <c r="O1" s="1" t="s">
        <v>162</v>
      </c>
      <c r="P1" s="1" t="s">
        <v>21</v>
      </c>
      <c r="S1" s="1" t="s">
        <v>100</v>
      </c>
    </row>
    <row r="2" spans="1:19" x14ac:dyDescent="0.2">
      <c r="A2" s="1">
        <v>1</v>
      </c>
      <c r="B2" s="1">
        <v>1.2</v>
      </c>
      <c r="C2" s="1">
        <v>1</v>
      </c>
      <c r="E2" s="1" t="s">
        <v>73</v>
      </c>
      <c r="F2" s="4">
        <v>45351</v>
      </c>
      <c r="G2" s="3">
        <v>0.78778935185185184</v>
      </c>
      <c r="H2" s="1">
        <v>4.9699999999999996E-3</v>
      </c>
      <c r="L2" s="3">
        <v>0.76006944444444446</v>
      </c>
      <c r="M2" s="3">
        <f>G2 - L2</f>
        <v>2.7719907407407374E-2</v>
      </c>
    </row>
    <row r="3" spans="1:19" x14ac:dyDescent="0.2">
      <c r="A3" s="1">
        <v>1</v>
      </c>
      <c r="B3" s="1">
        <v>1.2</v>
      </c>
      <c r="C3" s="1">
        <v>1</v>
      </c>
      <c r="E3" s="1" t="s">
        <v>72</v>
      </c>
      <c r="F3" s="4">
        <v>45352</v>
      </c>
      <c r="G3" s="3">
        <v>0.24906249999999999</v>
      </c>
      <c r="H3" s="1">
        <v>3.5300000000000002E-3</v>
      </c>
      <c r="L3" s="3">
        <v>0.22700231481481481</v>
      </c>
      <c r="M3" s="3">
        <f>G3 - L3</f>
        <v>2.2060185185185183E-2</v>
      </c>
    </row>
    <row r="4" spans="1:19" x14ac:dyDescent="0.2">
      <c r="A4" s="1">
        <v>1</v>
      </c>
      <c r="B4" s="1">
        <v>1.2</v>
      </c>
      <c r="C4" s="1">
        <v>2</v>
      </c>
      <c r="E4" s="1" t="s">
        <v>72</v>
      </c>
      <c r="F4" s="4">
        <v>45352</v>
      </c>
      <c r="G4" s="3">
        <v>0.27140046296296294</v>
      </c>
      <c r="H4" s="1">
        <v>1.7849999999999999</v>
      </c>
      <c r="L4" s="3">
        <v>0.22700231481481481</v>
      </c>
      <c r="M4" s="3">
        <f>G4 - L4</f>
        <v>4.4398148148148131E-2</v>
      </c>
    </row>
    <row r="5" spans="1:19" x14ac:dyDescent="0.2">
      <c r="A5" s="1">
        <v>1</v>
      </c>
      <c r="B5" s="1">
        <v>1.2</v>
      </c>
      <c r="C5" s="1">
        <v>1</v>
      </c>
      <c r="E5" s="1" t="s">
        <v>81</v>
      </c>
      <c r="F5" s="4">
        <v>45352</v>
      </c>
      <c r="G5" s="1" t="s">
        <v>27</v>
      </c>
      <c r="H5" s="1" t="s">
        <v>27</v>
      </c>
      <c r="L5" s="3">
        <v>0.75744212962962953</v>
      </c>
      <c r="M5" s="1" t="s">
        <v>27</v>
      </c>
    </row>
    <row r="6" spans="1:19" x14ac:dyDescent="0.2">
      <c r="A6" s="1">
        <v>1</v>
      </c>
      <c r="B6" s="1">
        <v>1.2</v>
      </c>
      <c r="C6" s="1">
        <v>1</v>
      </c>
      <c r="E6" s="4" t="s">
        <v>80</v>
      </c>
      <c r="F6" s="4">
        <v>45353</v>
      </c>
      <c r="G6" s="3">
        <v>0.25237268518518519</v>
      </c>
      <c r="H6" s="1">
        <v>1.39E-3</v>
      </c>
      <c r="L6" s="3">
        <v>0.22784722222222223</v>
      </c>
      <c r="M6" s="3">
        <f>G6 - L6</f>
        <v>2.4525462962962957E-2</v>
      </c>
    </row>
    <row r="7" spans="1:19" x14ac:dyDescent="0.2">
      <c r="A7" s="1" t="s">
        <v>27</v>
      </c>
      <c r="B7" s="1" t="s">
        <v>27</v>
      </c>
      <c r="C7" s="1" t="s">
        <v>27</v>
      </c>
      <c r="E7" s="1" t="s">
        <v>87</v>
      </c>
      <c r="F7" s="4">
        <v>45353</v>
      </c>
      <c r="G7" s="1" t="s">
        <v>27</v>
      </c>
      <c r="H7" s="1" t="s">
        <v>27</v>
      </c>
      <c r="L7" s="3">
        <v>0.76015046296296296</v>
      </c>
      <c r="M7" s="1" t="s">
        <v>27</v>
      </c>
      <c r="O7" s="1" t="s">
        <v>27</v>
      </c>
      <c r="P7" s="1" t="s">
        <v>86</v>
      </c>
    </row>
    <row r="8" spans="1:19" x14ac:dyDescent="0.2">
      <c r="A8" s="1">
        <v>1</v>
      </c>
      <c r="B8" s="1">
        <v>1.2</v>
      </c>
      <c r="C8" s="1">
        <v>1</v>
      </c>
      <c r="E8" s="1" t="s">
        <v>88</v>
      </c>
      <c r="F8" s="4">
        <v>45354</v>
      </c>
      <c r="G8" s="3">
        <v>0.25850694444444444</v>
      </c>
      <c r="H8" s="1">
        <v>2.0199999999999999E-2</v>
      </c>
      <c r="L8" s="3">
        <v>0.23024305555555555</v>
      </c>
      <c r="M8" s="3">
        <f>G8 - L8</f>
        <v>2.8263888888888894E-2</v>
      </c>
    </row>
    <row r="9" spans="1:19" x14ac:dyDescent="0.2">
      <c r="A9" s="1" t="s">
        <v>27</v>
      </c>
      <c r="B9" s="1" t="s">
        <v>27</v>
      </c>
      <c r="C9" s="1" t="s">
        <v>27</v>
      </c>
      <c r="E9" s="1" t="s">
        <v>92</v>
      </c>
      <c r="F9" s="4">
        <v>45354</v>
      </c>
      <c r="G9" s="1" t="s">
        <v>27</v>
      </c>
      <c r="H9" s="1" t="s">
        <v>27</v>
      </c>
      <c r="L9" s="3">
        <v>0.7471875</v>
      </c>
      <c r="M9" s="1" t="s">
        <v>27</v>
      </c>
      <c r="O9" s="1" t="s">
        <v>27</v>
      </c>
    </row>
    <row r="10" spans="1:19" x14ac:dyDescent="0.2">
      <c r="A10" s="1">
        <v>1</v>
      </c>
      <c r="B10" s="1">
        <v>1.2</v>
      </c>
      <c r="C10" s="1">
        <v>1</v>
      </c>
      <c r="E10" s="1" t="s">
        <v>93</v>
      </c>
      <c r="F10" s="4">
        <v>45355</v>
      </c>
      <c r="G10" s="3">
        <v>0.25762731481481482</v>
      </c>
      <c r="H10" s="1">
        <v>1.562E-2</v>
      </c>
      <c r="L10" s="3">
        <v>0.23173611111111111</v>
      </c>
      <c r="M10" s="3">
        <f>G10 - L10</f>
        <v>2.5891203703703708E-2</v>
      </c>
    </row>
    <row r="11" spans="1:19" x14ac:dyDescent="0.2">
      <c r="A11" s="1">
        <v>1</v>
      </c>
      <c r="B11" s="1">
        <v>1.2</v>
      </c>
      <c r="C11" s="1">
        <v>1</v>
      </c>
      <c r="E11" s="1" t="s">
        <v>97</v>
      </c>
      <c r="F11" s="4">
        <v>45355</v>
      </c>
      <c r="G11" s="3">
        <v>0.78077546296296285</v>
      </c>
      <c r="H11" s="1">
        <v>0.1085</v>
      </c>
      <c r="L11" s="3">
        <v>0.75074074074074071</v>
      </c>
      <c r="M11" s="3">
        <f>G11 - L11</f>
        <v>3.0034722222222143E-2</v>
      </c>
    </row>
    <row r="12" spans="1:19" x14ac:dyDescent="0.2">
      <c r="A12" s="1">
        <v>1</v>
      </c>
      <c r="B12" s="1">
        <v>1.2</v>
      </c>
      <c r="C12" s="1">
        <v>1</v>
      </c>
      <c r="E12" s="1" t="s">
        <v>103</v>
      </c>
      <c r="F12" s="4">
        <v>45356</v>
      </c>
      <c r="G12" s="3">
        <v>0.25917824074074075</v>
      </c>
      <c r="H12" s="1">
        <v>3.61E-2</v>
      </c>
      <c r="L12" s="3">
        <v>0.23202546296296298</v>
      </c>
      <c r="M12" s="3">
        <f>G12 - L12</f>
        <v>2.7152777777777776E-2</v>
      </c>
    </row>
    <row r="13" spans="1:19" x14ac:dyDescent="0.2">
      <c r="A13" s="1" t="s">
        <v>27</v>
      </c>
      <c r="B13" s="1" t="s">
        <v>27</v>
      </c>
      <c r="C13" s="1" t="s">
        <v>27</v>
      </c>
      <c r="E13" s="1" t="s">
        <v>120</v>
      </c>
      <c r="F13" s="4">
        <v>45357</v>
      </c>
      <c r="G13" s="1" t="s">
        <v>27</v>
      </c>
      <c r="H13" s="1" t="s">
        <v>27</v>
      </c>
      <c r="L13" s="3">
        <v>0.74782407407407403</v>
      </c>
      <c r="M13" s="1" t="s">
        <v>27</v>
      </c>
      <c r="O13" s="1" t="s">
        <v>27</v>
      </c>
      <c r="P13" s="1" t="s">
        <v>86</v>
      </c>
    </row>
    <row r="14" spans="1:19" x14ac:dyDescent="0.2">
      <c r="A14" s="1">
        <v>1</v>
      </c>
      <c r="B14" s="1">
        <v>1.2</v>
      </c>
      <c r="C14" s="1">
        <v>1</v>
      </c>
      <c r="D14" s="1" t="s">
        <v>114</v>
      </c>
      <c r="E14" s="1" t="s">
        <v>119</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125</v>
      </c>
      <c r="E15" s="1" t="s">
        <v>127</v>
      </c>
      <c r="F15" s="4">
        <v>45358</v>
      </c>
      <c r="G15" s="3">
        <v>0.78069444444444447</v>
      </c>
      <c r="H15" s="1">
        <v>0.1134</v>
      </c>
      <c r="L15" s="3">
        <v>0.75884259259259268</v>
      </c>
      <c r="M15" s="3">
        <f t="shared" si="0"/>
        <v>2.1851851851851789E-2</v>
      </c>
    </row>
    <row r="16" spans="1:19" x14ac:dyDescent="0.2">
      <c r="A16" s="1">
        <v>1</v>
      </c>
      <c r="B16" s="1">
        <v>1.2</v>
      </c>
      <c r="C16" s="1" t="s">
        <v>121</v>
      </c>
      <c r="D16" s="1" t="s">
        <v>122</v>
      </c>
      <c r="E16" s="1" t="s">
        <v>128</v>
      </c>
      <c r="F16" s="4">
        <v>45359</v>
      </c>
      <c r="G16" s="3">
        <v>0.27071759259259259</v>
      </c>
      <c r="H16" s="1">
        <v>1.899</v>
      </c>
      <c r="L16" s="3">
        <v>0.23064814814814816</v>
      </c>
      <c r="M16" s="3">
        <f t="shared" si="0"/>
        <v>4.0069444444444435E-2</v>
      </c>
      <c r="P16" s="1" t="s">
        <v>129</v>
      </c>
    </row>
    <row r="17" spans="1:16" x14ac:dyDescent="0.2">
      <c r="A17" s="1">
        <v>1</v>
      </c>
      <c r="B17" s="1">
        <v>1.2</v>
      </c>
      <c r="C17" s="1">
        <v>1</v>
      </c>
      <c r="D17" s="1" t="s">
        <v>142</v>
      </c>
      <c r="E17" s="1" t="s">
        <v>178</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139</v>
      </c>
      <c r="E18" s="1" t="s">
        <v>180</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139</v>
      </c>
      <c r="E19" s="1" t="s">
        <v>180</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138</v>
      </c>
      <c r="E20" s="1" t="s">
        <v>164</v>
      </c>
      <c r="F20" s="4">
        <v>45362</v>
      </c>
      <c r="G20" s="3">
        <v>0.78787037037037033</v>
      </c>
      <c r="H20" s="1">
        <v>2.9099999999999998E-3</v>
      </c>
      <c r="L20" s="3">
        <v>0.75906249999999997</v>
      </c>
      <c r="M20" s="3">
        <f t="shared" si="0"/>
        <v>2.8807870370370359E-2</v>
      </c>
    </row>
    <row r="21" spans="1:16" x14ac:dyDescent="0.2">
      <c r="A21" s="1">
        <v>1</v>
      </c>
      <c r="B21" s="1">
        <v>1.2</v>
      </c>
      <c r="C21" s="1">
        <v>1</v>
      </c>
      <c r="D21" s="1" t="s">
        <v>130</v>
      </c>
      <c r="E21" s="1" t="s">
        <v>161</v>
      </c>
      <c r="F21" s="4">
        <v>45363</v>
      </c>
      <c r="G21" s="3">
        <v>0.25710648148148146</v>
      </c>
      <c r="H21" s="1">
        <v>1.6039999999999999E-2</v>
      </c>
      <c r="L21" s="3">
        <v>0.22644675925925925</v>
      </c>
      <c r="M21" s="3">
        <f t="shared" si="0"/>
        <v>3.0659722222222213E-2</v>
      </c>
    </row>
    <row r="22" spans="1:16" x14ac:dyDescent="0.2">
      <c r="A22" s="1">
        <v>1</v>
      </c>
      <c r="B22" s="1">
        <v>1.2</v>
      </c>
      <c r="C22" s="1">
        <v>2</v>
      </c>
      <c r="D22" s="1" t="s">
        <v>130</v>
      </c>
      <c r="E22" s="1" t="s">
        <v>161</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136</v>
      </c>
      <c r="E23" s="1" t="s">
        <v>163</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136</v>
      </c>
      <c r="E24" s="1" t="s">
        <v>163</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147</v>
      </c>
      <c r="E25" s="1" t="s">
        <v>181</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152</v>
      </c>
      <c r="E26" s="1" t="s">
        <v>183</v>
      </c>
      <c r="F26" s="4">
        <v>45364</v>
      </c>
      <c r="G26" s="3">
        <v>0.75667824074074075</v>
      </c>
      <c r="H26" s="1" t="s">
        <v>27</v>
      </c>
      <c r="L26" s="3">
        <v>0.76083333333333336</v>
      </c>
      <c r="M26" s="3" t="s">
        <v>27</v>
      </c>
      <c r="O26" s="1" t="s">
        <v>27</v>
      </c>
      <c r="P26" s="1" t="s">
        <v>184</v>
      </c>
    </row>
    <row r="27" spans="1:16" x14ac:dyDescent="0.2">
      <c r="A27" s="1">
        <v>1</v>
      </c>
      <c r="B27" s="1">
        <v>1.2</v>
      </c>
      <c r="C27" s="1">
        <v>2</v>
      </c>
      <c r="D27" s="1" t="s">
        <v>152</v>
      </c>
      <c r="E27" s="1" t="s">
        <v>183</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151</v>
      </c>
      <c r="E28" s="1" t="s">
        <v>185</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149</v>
      </c>
      <c r="E29" s="1" t="s">
        <v>186</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149</v>
      </c>
      <c r="E30" s="1" t="s">
        <v>186</v>
      </c>
      <c r="F30" s="4">
        <v>45365</v>
      </c>
      <c r="G30" s="3">
        <v>0.79114583333333344</v>
      </c>
      <c r="H30" s="1">
        <v>8.6E-3</v>
      </c>
      <c r="L30" s="3">
        <v>0.75518518518518518</v>
      </c>
      <c r="M30" s="3">
        <f t="shared" si="1"/>
        <v>3.5960648148148255E-2</v>
      </c>
      <c r="O30" s="3">
        <v>3.5648148148148151E-2</v>
      </c>
      <c r="P30" s="1" t="s">
        <v>194</v>
      </c>
    </row>
    <row r="31" spans="1:16" x14ac:dyDescent="0.2">
      <c r="A31" s="1">
        <v>1</v>
      </c>
      <c r="B31" s="1">
        <v>1.2</v>
      </c>
      <c r="C31" s="1">
        <v>1</v>
      </c>
      <c r="D31" s="1" t="s">
        <v>155</v>
      </c>
      <c r="E31" s="1" t="s">
        <v>187</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155</v>
      </c>
      <c r="E32" s="1" t="s">
        <v>187</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156</v>
      </c>
      <c r="E33" s="1" t="s">
        <v>188</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158</v>
      </c>
      <c r="E34" s="1" t="s">
        <v>189</v>
      </c>
      <c r="F34" s="4">
        <v>45367</v>
      </c>
      <c r="G34" s="3">
        <v>0.25092592592592594</v>
      </c>
      <c r="H34" s="7">
        <v>0.159</v>
      </c>
      <c r="I34" s="7" t="s">
        <v>415</v>
      </c>
      <c r="J34" s="7">
        <v>5.0600000000000005E-4</v>
      </c>
      <c r="K34" s="7" t="s">
        <v>449</v>
      </c>
      <c r="L34" s="3">
        <v>0.2401851851851852</v>
      </c>
      <c r="M34" s="3">
        <f t="shared" si="1"/>
        <v>1.0740740740740745E-2</v>
      </c>
      <c r="O34" s="3">
        <v>1.0474537037037037E-2</v>
      </c>
    </row>
    <row r="35" spans="1:22" x14ac:dyDescent="0.2">
      <c r="A35" s="1">
        <v>1</v>
      </c>
      <c r="B35" s="1">
        <v>1.2</v>
      </c>
      <c r="C35" s="1">
        <v>1</v>
      </c>
      <c r="D35" s="1" t="s">
        <v>160</v>
      </c>
      <c r="E35" s="1" t="s">
        <v>190</v>
      </c>
      <c r="F35" s="4">
        <v>45367</v>
      </c>
      <c r="G35" s="3">
        <v>0.78707175925925921</v>
      </c>
      <c r="H35" s="1">
        <v>4.5900000000000003E-3</v>
      </c>
      <c r="L35" s="3">
        <v>0.75130787037037039</v>
      </c>
      <c r="M35" s="3">
        <f t="shared" si="1"/>
        <v>3.5763888888888817E-2</v>
      </c>
      <c r="O35" s="3">
        <v>3.5578703703703703E-2</v>
      </c>
      <c r="P35" s="1" t="s">
        <v>195</v>
      </c>
    </row>
    <row r="36" spans="1:22" x14ac:dyDescent="0.2">
      <c r="A36" s="1">
        <v>1</v>
      </c>
      <c r="B36" s="1">
        <v>1.2</v>
      </c>
      <c r="C36" s="1">
        <v>1</v>
      </c>
      <c r="D36" s="1" t="s">
        <v>158</v>
      </c>
      <c r="E36" s="1" t="s">
        <v>189</v>
      </c>
      <c r="F36" s="4">
        <v>45367</v>
      </c>
      <c r="G36" s="1" t="s">
        <v>27</v>
      </c>
      <c r="H36" s="1" t="s">
        <v>27</v>
      </c>
      <c r="L36" s="3">
        <v>0.2401851851851852</v>
      </c>
      <c r="M36" s="1" t="s">
        <v>27</v>
      </c>
      <c r="O36" s="1" t="s">
        <v>27</v>
      </c>
      <c r="P36" s="1" t="s">
        <v>192</v>
      </c>
    </row>
    <row r="37" spans="1:22" x14ac:dyDescent="0.2">
      <c r="A37" s="1">
        <v>1</v>
      </c>
      <c r="B37" s="1">
        <v>1.2</v>
      </c>
      <c r="C37" s="1">
        <v>3</v>
      </c>
      <c r="D37" s="1" t="s">
        <v>158</v>
      </c>
      <c r="E37" s="1" t="s">
        <v>189</v>
      </c>
      <c r="F37" s="4">
        <v>45367</v>
      </c>
      <c r="G37" s="1" t="s">
        <v>27</v>
      </c>
      <c r="H37" s="1" t="s">
        <v>27</v>
      </c>
      <c r="L37" s="3">
        <v>0.2401851851851852</v>
      </c>
      <c r="M37" s="1" t="s">
        <v>27</v>
      </c>
      <c r="O37" s="1" t="s">
        <v>27</v>
      </c>
      <c r="P37" s="1" t="s">
        <v>193</v>
      </c>
    </row>
    <row r="38" spans="1:22" x14ac:dyDescent="0.2">
      <c r="A38" s="1">
        <v>1</v>
      </c>
      <c r="B38" s="1">
        <v>1.2</v>
      </c>
      <c r="C38" s="1">
        <v>1</v>
      </c>
      <c r="D38" s="1" t="s">
        <v>165</v>
      </c>
      <c r="E38" s="1" t="s">
        <v>191</v>
      </c>
      <c r="F38" s="4">
        <v>45368</v>
      </c>
      <c r="G38" s="3">
        <v>0.25017361111111114</v>
      </c>
      <c r="H38" s="7">
        <v>1.1469999999999999E-2</v>
      </c>
      <c r="I38" s="1" t="s">
        <v>452</v>
      </c>
      <c r="L38" s="3">
        <v>0.23671296296296296</v>
      </c>
      <c r="M38" s="3">
        <f t="shared" ref="M38:M44" si="2">G38 - L38</f>
        <v>1.346064814814818E-2</v>
      </c>
      <c r="O38" s="3"/>
    </row>
    <row r="39" spans="1:22" x14ac:dyDescent="0.2">
      <c r="A39" s="1">
        <v>1</v>
      </c>
      <c r="B39" s="1">
        <v>1.2</v>
      </c>
      <c r="C39" s="1">
        <v>2</v>
      </c>
      <c r="D39" s="1" t="s">
        <v>165</v>
      </c>
      <c r="E39" s="1" t="s">
        <v>191</v>
      </c>
      <c r="F39" s="4">
        <v>45368</v>
      </c>
      <c r="G39" s="3">
        <v>0.26189814814814816</v>
      </c>
      <c r="H39" s="1">
        <v>0.39300000000000002</v>
      </c>
      <c r="L39" s="3">
        <v>0.23671296296296296</v>
      </c>
      <c r="M39" s="3">
        <f t="shared" si="2"/>
        <v>2.5185185185185199E-2</v>
      </c>
    </row>
    <row r="40" spans="1:22" x14ac:dyDescent="0.2">
      <c r="A40" s="1">
        <v>1</v>
      </c>
      <c r="B40" s="1">
        <v>1.2</v>
      </c>
      <c r="C40" s="1">
        <v>1</v>
      </c>
      <c r="D40" s="1" t="s">
        <v>171</v>
      </c>
      <c r="E40" s="1" t="s">
        <v>201</v>
      </c>
      <c r="F40" s="4">
        <v>45368</v>
      </c>
      <c r="G40" s="3">
        <v>0.78758101851851858</v>
      </c>
      <c r="H40" s="1">
        <v>1.14E-3</v>
      </c>
      <c r="L40" s="3">
        <v>0.75736111111111115</v>
      </c>
      <c r="M40" s="3">
        <f t="shared" si="2"/>
        <v>3.0219907407407431E-2</v>
      </c>
      <c r="O40" s="3">
        <v>2.9965277777777778E-2</v>
      </c>
      <c r="P40" s="1" t="s">
        <v>200</v>
      </c>
    </row>
    <row r="41" spans="1:22" x14ac:dyDescent="0.2">
      <c r="A41" s="1">
        <v>1</v>
      </c>
      <c r="B41" s="1">
        <v>1.2</v>
      </c>
      <c r="C41" s="1">
        <v>1</v>
      </c>
      <c r="D41" s="1" t="s">
        <v>170</v>
      </c>
      <c r="E41" s="1" t="s">
        <v>203</v>
      </c>
      <c r="F41" s="4">
        <v>45369</v>
      </c>
      <c r="G41" s="3">
        <v>0.24724537037037037</v>
      </c>
      <c r="H41" s="7">
        <v>6.7000000000000002E-3</v>
      </c>
      <c r="I41" s="1" t="s">
        <v>453</v>
      </c>
      <c r="L41" s="3">
        <v>0.2326388888888889</v>
      </c>
      <c r="M41" s="3">
        <f t="shared" si="2"/>
        <v>1.460648148148147E-2</v>
      </c>
      <c r="O41" s="3">
        <v>1.4201388888888888E-2</v>
      </c>
    </row>
    <row r="42" spans="1:22" x14ac:dyDescent="0.2">
      <c r="A42" s="1">
        <v>1</v>
      </c>
      <c r="B42" s="1">
        <v>1.2</v>
      </c>
      <c r="C42" s="1">
        <v>2</v>
      </c>
      <c r="D42" s="1" t="s">
        <v>170</v>
      </c>
      <c r="E42" s="1" t="s">
        <v>203</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168</v>
      </c>
      <c r="E43" s="1" t="s">
        <v>205</v>
      </c>
      <c r="F43" s="4">
        <v>45369</v>
      </c>
      <c r="G43" s="3">
        <v>0.78405092592592596</v>
      </c>
      <c r="H43" s="7" t="s">
        <v>414</v>
      </c>
      <c r="I43" s="1" t="s">
        <v>217</v>
      </c>
      <c r="J43" s="1">
        <v>9.7699999999999992E-3</v>
      </c>
      <c r="K43" s="7" t="s">
        <v>451</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166</v>
      </c>
      <c r="E44" s="1" t="s">
        <v>206</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197</v>
      </c>
      <c r="E45" s="1" t="s">
        <v>396</v>
      </c>
      <c r="F45" s="4">
        <v>45370</v>
      </c>
      <c r="G45" s="3" t="s">
        <v>27</v>
      </c>
      <c r="H45" s="1" t="s">
        <v>27</v>
      </c>
      <c r="L45" s="3" t="s">
        <v>397</v>
      </c>
      <c r="M45" s="1" t="s">
        <v>27</v>
      </c>
      <c r="O45" s="6" t="s">
        <v>27</v>
      </c>
      <c r="P45" s="1" t="s">
        <v>198</v>
      </c>
      <c r="U45" s="2"/>
      <c r="V45" s="2"/>
    </row>
    <row r="46" spans="1:22" x14ac:dyDescent="0.2">
      <c r="A46" s="1">
        <v>1</v>
      </c>
      <c r="B46" s="1">
        <v>1.2</v>
      </c>
      <c r="C46" s="1">
        <v>1</v>
      </c>
      <c r="D46" s="1" t="s">
        <v>210</v>
      </c>
      <c r="E46" s="1" t="s">
        <v>278</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224</v>
      </c>
      <c r="E47" s="4" t="s">
        <v>27</v>
      </c>
      <c r="F47" s="4">
        <v>45372</v>
      </c>
      <c r="G47" s="6">
        <v>0.77483796296296303</v>
      </c>
      <c r="H47" s="1" t="s">
        <v>27</v>
      </c>
      <c r="I47" s="1" t="s">
        <v>413</v>
      </c>
      <c r="J47" s="1">
        <v>0.54600000000000004</v>
      </c>
      <c r="K47" s="1" t="s">
        <v>456</v>
      </c>
      <c r="L47" s="1" t="s">
        <v>27</v>
      </c>
      <c r="M47" s="1" t="s">
        <v>27</v>
      </c>
      <c r="O47" s="1" t="s">
        <v>27</v>
      </c>
      <c r="P47" s="1" t="s">
        <v>271</v>
      </c>
    </row>
    <row r="48" spans="1:22" x14ac:dyDescent="0.2">
      <c r="A48" s="1">
        <v>1</v>
      </c>
      <c r="B48" s="1">
        <v>1.2</v>
      </c>
      <c r="C48" s="1">
        <v>2</v>
      </c>
      <c r="D48" s="1" t="s">
        <v>224</v>
      </c>
      <c r="E48" s="4" t="s">
        <v>27</v>
      </c>
      <c r="F48" s="4">
        <v>45372</v>
      </c>
      <c r="G48" s="6" t="s">
        <v>27</v>
      </c>
      <c r="H48" s="1" t="s">
        <v>27</v>
      </c>
      <c r="L48" s="1" t="s">
        <v>27</v>
      </c>
      <c r="M48" s="1" t="s">
        <v>27</v>
      </c>
      <c r="O48" s="1" t="s">
        <v>27</v>
      </c>
      <c r="P48" s="1" t="s">
        <v>274</v>
      </c>
    </row>
    <row r="49" spans="1:22" x14ac:dyDescent="0.2">
      <c r="A49" s="1">
        <v>1</v>
      </c>
      <c r="B49" s="1">
        <v>1.2</v>
      </c>
      <c r="C49" s="1">
        <v>1</v>
      </c>
      <c r="D49" s="1" t="s">
        <v>228</v>
      </c>
      <c r="E49" s="1" t="s">
        <v>261</v>
      </c>
      <c r="F49" s="4">
        <v>45373</v>
      </c>
      <c r="G49" s="6">
        <v>0.25677083333333334</v>
      </c>
      <c r="H49" s="1">
        <v>9.2299999999999993E-2</v>
      </c>
      <c r="L49" s="3">
        <v>0.22378472222222223</v>
      </c>
      <c r="M49" s="3">
        <f t="shared" ref="M49:M55" si="3">G49 - L49</f>
        <v>3.2986111111111105E-2</v>
      </c>
      <c r="O49" s="3">
        <v>3.2916666666666664E-2</v>
      </c>
      <c r="P49" s="1" t="s">
        <v>276</v>
      </c>
    </row>
    <row r="50" spans="1:22" x14ac:dyDescent="0.2">
      <c r="A50" s="1">
        <v>1</v>
      </c>
      <c r="B50" s="1">
        <v>1.2</v>
      </c>
      <c r="C50" s="1">
        <v>1</v>
      </c>
      <c r="D50" s="1" t="s">
        <v>229</v>
      </c>
      <c r="E50" s="1" t="s">
        <v>262</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231</v>
      </c>
      <c r="E51" s="1" t="s">
        <v>263</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231</v>
      </c>
      <c r="E52" s="1" t="s">
        <v>263</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234</v>
      </c>
      <c r="E53" s="1" t="s">
        <v>119</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234</v>
      </c>
      <c r="E54" s="1" t="s">
        <v>119</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237</v>
      </c>
      <c r="E55" s="1" t="s">
        <v>264</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237</v>
      </c>
      <c r="E56" s="1" t="s">
        <v>264</v>
      </c>
      <c r="F56" s="4">
        <v>45375</v>
      </c>
      <c r="G56" s="6" t="s">
        <v>27</v>
      </c>
      <c r="H56" s="1" t="s">
        <v>27</v>
      </c>
      <c r="L56" s="3">
        <v>0.23355324074074074</v>
      </c>
      <c r="M56" s="1" t="s">
        <v>27</v>
      </c>
      <c r="O56" s="1" t="s">
        <v>27</v>
      </c>
      <c r="P56" s="1" t="s">
        <v>272</v>
      </c>
    </row>
    <row r="57" spans="1:22" x14ac:dyDescent="0.2">
      <c r="A57" s="1">
        <v>1</v>
      </c>
      <c r="B57" s="1">
        <v>1.2</v>
      </c>
      <c r="C57" s="1">
        <v>1</v>
      </c>
      <c r="D57" s="1" t="s">
        <v>248</v>
      </c>
      <c r="E57" s="1" t="s">
        <v>127</v>
      </c>
      <c r="F57" s="4">
        <v>45375</v>
      </c>
      <c r="G57" s="6">
        <v>0.7900462962962963</v>
      </c>
      <c r="H57" s="1">
        <v>6.8999999999999997E-4</v>
      </c>
      <c r="L57" s="3">
        <v>0.74961805555555561</v>
      </c>
      <c r="M57" s="3">
        <f>G57 - L57</f>
        <v>4.0428240740740695E-2</v>
      </c>
      <c r="O57" s="1" t="s">
        <v>27</v>
      </c>
      <c r="P57" s="1" t="s">
        <v>275</v>
      </c>
    </row>
    <row r="58" spans="1:22" x14ac:dyDescent="0.2">
      <c r="A58" s="1">
        <v>1</v>
      </c>
      <c r="B58" s="1">
        <v>1.2</v>
      </c>
      <c r="C58" s="1">
        <v>1</v>
      </c>
      <c r="D58" s="1" t="s">
        <v>355</v>
      </c>
      <c r="E58" s="1" t="s">
        <v>266</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249</v>
      </c>
      <c r="E59" s="1" t="s">
        <v>265</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27</v>
      </c>
      <c r="D60" s="1" t="s">
        <v>27</v>
      </c>
      <c r="E60" s="1" t="s">
        <v>27</v>
      </c>
      <c r="F60" s="4">
        <v>45377</v>
      </c>
      <c r="G60" s="6" t="s">
        <v>27</v>
      </c>
      <c r="H60" s="1" t="s">
        <v>27</v>
      </c>
      <c r="L60" s="1" t="s">
        <v>27</v>
      </c>
      <c r="M60" s="1" t="s">
        <v>27</v>
      </c>
      <c r="O60" s="1" t="s">
        <v>27</v>
      </c>
      <c r="P60" s="1" t="s">
        <v>273</v>
      </c>
    </row>
    <row r="61" spans="1:22" x14ac:dyDescent="0.2">
      <c r="A61" s="1">
        <v>1</v>
      </c>
      <c r="B61" s="1">
        <v>1.2</v>
      </c>
      <c r="C61" s="1">
        <v>1</v>
      </c>
      <c r="D61" s="1" t="s">
        <v>253</v>
      </c>
      <c r="E61" s="1" t="s">
        <v>128</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253</v>
      </c>
      <c r="E62" s="1" t="s">
        <v>128</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256</v>
      </c>
      <c r="E63" s="1" t="s">
        <v>420</v>
      </c>
      <c r="F63" s="4">
        <v>45378</v>
      </c>
      <c r="G63" s="6">
        <v>0.25310185185185186</v>
      </c>
      <c r="H63" s="7">
        <v>3.6400000000000002E-2</v>
      </c>
      <c r="I63" s="1" t="s">
        <v>454</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298</v>
      </c>
      <c r="E64" s="1" t="s">
        <v>299</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282</v>
      </c>
      <c r="E65" s="7" t="s">
        <v>407</v>
      </c>
      <c r="F65" s="9">
        <v>45379</v>
      </c>
      <c r="G65" s="10">
        <v>0.24640046296296297</v>
      </c>
      <c r="H65" s="7" t="s">
        <v>410</v>
      </c>
      <c r="I65" s="7" t="s">
        <v>409</v>
      </c>
      <c r="J65" s="7">
        <v>1.2869999999999999E-2</v>
      </c>
      <c r="K65" s="7" t="s">
        <v>450</v>
      </c>
      <c r="L65" s="8">
        <v>0.23756944444444444</v>
      </c>
      <c r="M65" s="8">
        <f t="shared" si="4"/>
        <v>8.8310185185185297E-3</v>
      </c>
      <c r="O65" s="6">
        <v>8.5416666666666662E-3</v>
      </c>
    </row>
    <row r="66" spans="1:22" s="7" customFormat="1" x14ac:dyDescent="0.2">
      <c r="A66" s="7">
        <v>1</v>
      </c>
      <c r="B66" s="7">
        <v>1.2</v>
      </c>
      <c r="C66" s="7">
        <v>2</v>
      </c>
      <c r="D66" s="7" t="s">
        <v>282</v>
      </c>
      <c r="E66" s="7" t="s">
        <v>407</v>
      </c>
      <c r="F66" s="9">
        <v>45379</v>
      </c>
      <c r="G66" s="10">
        <v>0.25540509259259259</v>
      </c>
      <c r="H66" s="7" t="s">
        <v>411</v>
      </c>
      <c r="I66" s="7" t="s">
        <v>409</v>
      </c>
      <c r="J66" s="7">
        <v>0.14929999999999999</v>
      </c>
      <c r="K66" s="7" t="s">
        <v>449</v>
      </c>
      <c r="L66" s="8">
        <v>0.23756944444444444</v>
      </c>
      <c r="M66" s="8">
        <f t="shared" si="4"/>
        <v>1.7835648148148142E-2</v>
      </c>
      <c r="O66" s="6">
        <v>1.7824074074074076E-2</v>
      </c>
      <c r="Q66" s="11"/>
      <c r="V66" s="13"/>
    </row>
    <row r="67" spans="1:22" s="7" customFormat="1" x14ac:dyDescent="0.2">
      <c r="A67" s="7">
        <v>1</v>
      </c>
      <c r="B67" s="7">
        <v>1.2</v>
      </c>
      <c r="C67" s="7">
        <v>3</v>
      </c>
      <c r="D67" s="7" t="s">
        <v>282</v>
      </c>
      <c r="E67" s="7" t="s">
        <v>407</v>
      </c>
      <c r="F67" s="9">
        <v>45379</v>
      </c>
      <c r="G67" s="10">
        <v>0.26923611111111112</v>
      </c>
      <c r="H67" s="7">
        <v>3.83</v>
      </c>
      <c r="L67" s="8">
        <v>0.23756944444444444</v>
      </c>
      <c r="M67" s="8">
        <f t="shared" si="4"/>
        <v>3.1666666666666676E-2</v>
      </c>
      <c r="O67" s="6">
        <v>3.1296296296296294E-2</v>
      </c>
      <c r="P67" s="7" t="s">
        <v>409</v>
      </c>
      <c r="Q67" s="11"/>
      <c r="V67" s="13"/>
    </row>
    <row r="68" spans="1:22" x14ac:dyDescent="0.2">
      <c r="A68" s="1">
        <v>1</v>
      </c>
      <c r="B68" s="1">
        <v>1.2</v>
      </c>
      <c r="C68" s="1">
        <v>1</v>
      </c>
      <c r="D68" s="1" t="s">
        <v>293</v>
      </c>
      <c r="E68" s="1" t="s">
        <v>408</v>
      </c>
      <c r="F68" s="4">
        <v>45379</v>
      </c>
      <c r="G68" s="6">
        <v>0.78693287037037041</v>
      </c>
      <c r="H68" s="7" t="s">
        <v>405</v>
      </c>
      <c r="I68" s="7" t="s">
        <v>404</v>
      </c>
      <c r="J68" s="7">
        <v>6.5199999999999998E-3</v>
      </c>
      <c r="K68" s="7" t="s">
        <v>447</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297</v>
      </c>
      <c r="E69" s="1" t="s">
        <v>303</v>
      </c>
      <c r="F69" s="4">
        <v>45380</v>
      </c>
      <c r="G69" s="6">
        <v>0.25002314814814813</v>
      </c>
      <c r="H69" s="1">
        <v>1.0630000000000001E-2</v>
      </c>
      <c r="L69" s="3">
        <v>0.2282986111111111</v>
      </c>
      <c r="M69" s="3">
        <f t="shared" si="4"/>
        <v>2.1724537037037028E-2</v>
      </c>
      <c r="O69" s="6">
        <v>2.1458333333333333E-2</v>
      </c>
      <c r="P69" s="1" t="s">
        <v>403</v>
      </c>
      <c r="Q69" s="5"/>
    </row>
    <row r="70" spans="1:22" x14ac:dyDescent="0.2">
      <c r="A70" s="1">
        <v>1</v>
      </c>
      <c r="B70" s="1">
        <v>1.2</v>
      </c>
      <c r="C70" s="1">
        <v>2</v>
      </c>
      <c r="D70" s="1" t="s">
        <v>297</v>
      </c>
      <c r="E70" s="1" t="s">
        <v>303</v>
      </c>
      <c r="F70" s="4">
        <v>45380</v>
      </c>
      <c r="G70" s="6">
        <v>0.26598379629629632</v>
      </c>
      <c r="H70" s="1">
        <v>1.5820000000000001</v>
      </c>
      <c r="L70" s="3">
        <v>0.2282986111111111</v>
      </c>
      <c r="M70" s="3">
        <f t="shared" si="4"/>
        <v>3.768518518518521E-2</v>
      </c>
      <c r="O70" s="6">
        <v>3.7384259259259256E-2</v>
      </c>
      <c r="P70" s="1" t="s">
        <v>402</v>
      </c>
      <c r="Q70" s="5"/>
    </row>
    <row r="71" spans="1:22" x14ac:dyDescent="0.2">
      <c r="A71" s="1">
        <v>1</v>
      </c>
      <c r="B71" s="1">
        <v>1.2</v>
      </c>
      <c r="C71" s="1">
        <v>1</v>
      </c>
      <c r="D71" s="1" t="s">
        <v>305</v>
      </c>
      <c r="E71" s="1" t="s">
        <v>306</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307</v>
      </c>
      <c r="E72" s="1" t="s">
        <v>317</v>
      </c>
      <c r="F72" s="4">
        <v>45381</v>
      </c>
      <c r="G72" s="6">
        <v>0.26030092592592591</v>
      </c>
      <c r="H72" s="7">
        <v>2.4500000000000002</v>
      </c>
      <c r="I72" s="7" t="s">
        <v>443</v>
      </c>
      <c r="J72" s="20">
        <f>( H72 * (1.004*10^-6)) / (1.081*10^-5)</f>
        <v>0.22754856614246069</v>
      </c>
      <c r="K72" s="20" t="s">
        <v>446</v>
      </c>
      <c r="L72" s="3">
        <v>0.2303125</v>
      </c>
      <c r="M72" s="3">
        <f t="shared" si="4"/>
        <v>2.9988425925925905E-2</v>
      </c>
      <c r="N72" s="7" t="s">
        <v>329</v>
      </c>
      <c r="O72" s="10">
        <v>2.9664351851851851E-2</v>
      </c>
      <c r="Q72" s="11" t="s">
        <v>310</v>
      </c>
      <c r="V72" s="13"/>
    </row>
    <row r="73" spans="1:22" x14ac:dyDescent="0.2">
      <c r="A73" s="1">
        <v>1</v>
      </c>
      <c r="B73" s="1">
        <v>1.2</v>
      </c>
      <c r="C73" s="1">
        <v>1</v>
      </c>
      <c r="D73" s="1" t="s">
        <v>308</v>
      </c>
      <c r="E73" s="1" t="s">
        <v>309</v>
      </c>
      <c r="F73" s="4">
        <v>45381</v>
      </c>
      <c r="G73" s="6">
        <v>0.78467592592592594</v>
      </c>
      <c r="H73" s="7">
        <v>5.0099999999999999E-2</v>
      </c>
      <c r="I73" s="7" t="s">
        <v>442</v>
      </c>
      <c r="J73" s="20">
        <f>( H73 * (1.004*10^-6)) / (1.081*10^-5)</f>
        <v>4.6531359851988904E-3</v>
      </c>
      <c r="K73" s="20" t="s">
        <v>446</v>
      </c>
      <c r="L73" s="3">
        <v>0.75232638888888892</v>
      </c>
      <c r="M73" s="3">
        <f t="shared" si="4"/>
        <v>3.2349537037037024E-2</v>
      </c>
      <c r="N73" s="1" t="s">
        <v>330</v>
      </c>
      <c r="O73" s="3">
        <v>3.2141203703703707E-2</v>
      </c>
    </row>
    <row r="74" spans="1:22" x14ac:dyDescent="0.2">
      <c r="A74" s="1">
        <v>1</v>
      </c>
      <c r="B74" s="1">
        <v>1.2</v>
      </c>
      <c r="C74" s="1" t="s">
        <v>27</v>
      </c>
      <c r="D74" s="1" t="s">
        <v>27</v>
      </c>
      <c r="E74" s="1" t="s">
        <v>27</v>
      </c>
      <c r="F74" s="4">
        <v>45382</v>
      </c>
      <c r="G74" s="6" t="s">
        <v>27</v>
      </c>
      <c r="H74" s="1" t="s">
        <v>27</v>
      </c>
      <c r="L74" s="3" t="s">
        <v>27</v>
      </c>
      <c r="M74" s="3" t="s">
        <v>27</v>
      </c>
      <c r="O74" s="3"/>
      <c r="P74" s="1" t="s">
        <v>382</v>
      </c>
    </row>
    <row r="75" spans="1:22" s="7" customFormat="1" x14ac:dyDescent="0.2">
      <c r="A75" s="7">
        <v>1</v>
      </c>
      <c r="B75" s="7">
        <v>1.2</v>
      </c>
      <c r="C75" s="7">
        <v>1</v>
      </c>
      <c r="D75" s="7" t="s">
        <v>327</v>
      </c>
      <c r="E75" s="7" t="s">
        <v>321</v>
      </c>
      <c r="F75" s="9">
        <v>45382</v>
      </c>
      <c r="G75" s="10">
        <v>0.79083333333333328</v>
      </c>
      <c r="H75" s="7" t="s">
        <v>334</v>
      </c>
      <c r="I75" s="11" t="s">
        <v>455</v>
      </c>
      <c r="J75" s="21">
        <f>(0.00477* (1.004*10^-6)) / (1.081*10^-5)</f>
        <v>4.4302312673450507E-4</v>
      </c>
      <c r="K75" s="7" t="s">
        <v>448</v>
      </c>
      <c r="L75" s="8">
        <v>0.75362268518518516</v>
      </c>
      <c r="M75" s="8">
        <f>G75 - L75</f>
        <v>3.7210648148148118E-2</v>
      </c>
      <c r="N75" s="7" t="s">
        <v>319</v>
      </c>
      <c r="O75" s="8">
        <v>3.6944444444444446E-2</v>
      </c>
      <c r="T75" s="13"/>
      <c r="U75" s="13"/>
    </row>
    <row r="76" spans="1:22" x14ac:dyDescent="0.2">
      <c r="A76" s="1">
        <v>1</v>
      </c>
      <c r="B76" s="1">
        <v>1.2</v>
      </c>
      <c r="C76" s="1">
        <v>1</v>
      </c>
      <c r="D76" s="1" t="s">
        <v>326</v>
      </c>
      <c r="E76" s="1" t="s">
        <v>322</v>
      </c>
      <c r="F76" s="4">
        <v>45383</v>
      </c>
      <c r="G76" s="6" t="s">
        <v>27</v>
      </c>
      <c r="H76" s="1" t="s">
        <v>27</v>
      </c>
      <c r="L76" s="3">
        <v>0.22976851851851851</v>
      </c>
      <c r="M76" s="3" t="s">
        <v>27</v>
      </c>
      <c r="O76" s="3" t="s">
        <v>27</v>
      </c>
      <c r="P76" s="5" t="s">
        <v>398</v>
      </c>
      <c r="T76" s="2"/>
      <c r="U76" s="2"/>
    </row>
    <row r="77" spans="1:22" s="7" customFormat="1" x14ac:dyDescent="0.2">
      <c r="A77" s="7">
        <v>1</v>
      </c>
      <c r="B77" s="7">
        <v>1.2</v>
      </c>
      <c r="C77" s="7">
        <v>2</v>
      </c>
      <c r="D77" s="7" t="s">
        <v>326</v>
      </c>
      <c r="E77" s="7" t="s">
        <v>322</v>
      </c>
      <c r="F77" s="9">
        <v>45383</v>
      </c>
      <c r="G77" s="10">
        <v>0.26740740740740743</v>
      </c>
      <c r="H77" s="7">
        <v>14</v>
      </c>
      <c r="I77" s="7" t="s">
        <v>444</v>
      </c>
      <c r="J77" s="20">
        <f>( H77 * (1.004*10^-6)) / (1.081*10^-5)</f>
        <v>1.3002775208140611</v>
      </c>
      <c r="K77" s="20" t="s">
        <v>446</v>
      </c>
      <c r="L77" s="8">
        <v>0.22976851851851851</v>
      </c>
      <c r="M77" s="8">
        <f>G77 - L77</f>
        <v>3.7638888888888916E-2</v>
      </c>
      <c r="N77" s="7" t="s">
        <v>319</v>
      </c>
      <c r="O77" s="10">
        <v>3.7245370370370373E-2</v>
      </c>
      <c r="Q77" s="11"/>
      <c r="U77" s="13"/>
      <c r="V77" s="13"/>
    </row>
    <row r="78" spans="1:22" s="7" customFormat="1" x14ac:dyDescent="0.2">
      <c r="A78" s="1">
        <v>1</v>
      </c>
      <c r="B78" s="1">
        <v>1.2</v>
      </c>
      <c r="C78" s="1" t="s">
        <v>27</v>
      </c>
      <c r="D78" s="1" t="s">
        <v>27</v>
      </c>
      <c r="E78" s="1" t="s">
        <v>27</v>
      </c>
      <c r="F78" s="4">
        <v>45384</v>
      </c>
      <c r="G78" s="3" t="s">
        <v>27</v>
      </c>
      <c r="H78" s="3" t="s">
        <v>27</v>
      </c>
      <c r="I78" s="3"/>
      <c r="J78" s="3"/>
      <c r="K78" s="3"/>
      <c r="L78" s="3" t="s">
        <v>27</v>
      </c>
      <c r="M78" s="3" t="s">
        <v>27</v>
      </c>
      <c r="O78" s="6" t="s">
        <v>27</v>
      </c>
      <c r="P78" s="1" t="s">
        <v>399</v>
      </c>
      <c r="Q78" s="11"/>
      <c r="U78" s="13"/>
      <c r="V78" s="13"/>
    </row>
    <row r="79" spans="1:22" s="7" customFormat="1" x14ac:dyDescent="0.2">
      <c r="A79" s="1">
        <v>1</v>
      </c>
      <c r="B79" s="1">
        <v>1.2</v>
      </c>
      <c r="C79" s="1" t="s">
        <v>27</v>
      </c>
      <c r="D79" s="1" t="s">
        <v>27</v>
      </c>
      <c r="E79" s="1" t="s">
        <v>27</v>
      </c>
      <c r="F79" s="4">
        <v>45384</v>
      </c>
      <c r="G79" s="1" t="s">
        <v>27</v>
      </c>
      <c r="H79" s="1" t="s">
        <v>27</v>
      </c>
      <c r="I79" s="1"/>
      <c r="J79" s="1"/>
      <c r="K79" s="1"/>
      <c r="L79" s="1" t="s">
        <v>27</v>
      </c>
      <c r="M79" s="1" t="s">
        <v>27</v>
      </c>
      <c r="O79" s="6" t="s">
        <v>27</v>
      </c>
      <c r="P79" s="1" t="s">
        <v>401</v>
      </c>
      <c r="Q79" s="11"/>
      <c r="U79" s="13"/>
      <c r="V79" s="13"/>
    </row>
    <row r="80" spans="1:22" s="7" customFormat="1" x14ac:dyDescent="0.2">
      <c r="A80" s="1">
        <v>1</v>
      </c>
      <c r="B80" s="1">
        <v>1.2</v>
      </c>
      <c r="C80" s="1" t="s">
        <v>27</v>
      </c>
      <c r="D80" s="1" t="s">
        <v>27</v>
      </c>
      <c r="E80" s="1" t="s">
        <v>27</v>
      </c>
      <c r="F80" s="4">
        <v>45385</v>
      </c>
      <c r="G80" s="3" t="s">
        <v>27</v>
      </c>
      <c r="H80" s="3" t="s">
        <v>27</v>
      </c>
      <c r="I80" s="3"/>
      <c r="J80" s="3"/>
      <c r="K80" s="3"/>
      <c r="L80" s="3" t="s">
        <v>27</v>
      </c>
      <c r="M80" s="3" t="s">
        <v>27</v>
      </c>
      <c r="O80" s="6" t="s">
        <v>27</v>
      </c>
      <c r="P80" s="1" t="s">
        <v>399</v>
      </c>
      <c r="Q80" s="11"/>
      <c r="U80" s="13"/>
      <c r="V80" s="13"/>
    </row>
    <row r="81" spans="1:16" x14ac:dyDescent="0.2">
      <c r="A81" s="1">
        <v>1</v>
      </c>
      <c r="B81" s="1">
        <v>1.2</v>
      </c>
      <c r="C81" s="1">
        <v>1</v>
      </c>
      <c r="D81" s="1" t="s">
        <v>365</v>
      </c>
      <c r="E81" s="1" t="s">
        <v>27</v>
      </c>
      <c r="F81" s="4">
        <v>45385</v>
      </c>
      <c r="G81" s="6">
        <v>0.79365740740740742</v>
      </c>
      <c r="H81" s="1" t="s">
        <v>27</v>
      </c>
      <c r="I81" s="1" t="s">
        <v>366</v>
      </c>
      <c r="J81" s="1">
        <v>2.331211840888067E-4</v>
      </c>
      <c r="K81" s="1" t="s">
        <v>447</v>
      </c>
      <c r="L81" s="1" t="s">
        <v>27</v>
      </c>
      <c r="M81" s="1" t="s">
        <v>27</v>
      </c>
      <c r="O81" s="1" t="s">
        <v>27</v>
      </c>
    </row>
    <row r="82" spans="1:16" x14ac:dyDescent="0.2">
      <c r="A82" s="1">
        <v>1</v>
      </c>
      <c r="B82" s="1">
        <v>1.2</v>
      </c>
      <c r="C82" s="1" t="s">
        <v>27</v>
      </c>
      <c r="D82" s="1" t="s">
        <v>27</v>
      </c>
      <c r="E82" s="1" t="s">
        <v>27</v>
      </c>
      <c r="F82" s="4">
        <v>45386</v>
      </c>
      <c r="G82" s="6" t="s">
        <v>27</v>
      </c>
      <c r="H82" s="1" t="s">
        <v>27</v>
      </c>
      <c r="J82" s="20"/>
      <c r="L82" s="1" t="s">
        <v>27</v>
      </c>
      <c r="M82" s="1" t="s">
        <v>27</v>
      </c>
      <c r="O82" s="1" t="s">
        <v>27</v>
      </c>
      <c r="P82" s="1" t="s">
        <v>399</v>
      </c>
    </row>
    <row r="83" spans="1:16" x14ac:dyDescent="0.2">
      <c r="A83" s="1">
        <v>1</v>
      </c>
      <c r="B83" s="1">
        <v>1.2</v>
      </c>
      <c r="C83" s="1">
        <v>1</v>
      </c>
      <c r="D83" s="1" t="s">
        <v>392</v>
      </c>
      <c r="E83" s="1" t="s">
        <v>297</v>
      </c>
      <c r="F83" s="4">
        <v>45386</v>
      </c>
      <c r="G83" s="6">
        <v>0.79339120370370364</v>
      </c>
      <c r="H83" s="7">
        <v>2.5100000000000001E-3</v>
      </c>
      <c r="I83" s="7" t="s">
        <v>384</v>
      </c>
      <c r="J83" s="20">
        <f>( H83 * (1.004*10^-6)) / (1.081*10^-5)</f>
        <v>2.331211840888067E-4</v>
      </c>
      <c r="K83" s="20" t="s">
        <v>446</v>
      </c>
      <c r="L83" s="3">
        <v>0.75498842592592597</v>
      </c>
      <c r="M83" s="3">
        <f>G83 - L83</f>
        <v>3.8402777777777675E-2</v>
      </c>
      <c r="N83" s="1" t="s">
        <v>319</v>
      </c>
      <c r="O83" s="3">
        <v>3.8391203703703705E-2</v>
      </c>
    </row>
    <row r="84" spans="1:16" x14ac:dyDescent="0.2">
      <c r="A84" s="1">
        <v>1</v>
      </c>
      <c r="B84" s="1">
        <v>1.2</v>
      </c>
      <c r="C84" s="1" t="s">
        <v>27</v>
      </c>
      <c r="D84" s="1" t="s">
        <v>27</v>
      </c>
      <c r="E84" s="1" t="s">
        <v>27</v>
      </c>
      <c r="F84" s="4">
        <v>45387</v>
      </c>
      <c r="G84" s="1" t="s">
        <v>27</v>
      </c>
      <c r="H84" s="1" t="s">
        <v>27</v>
      </c>
      <c r="L84" s="1" t="s">
        <v>27</v>
      </c>
      <c r="M84" s="1" t="s">
        <v>27</v>
      </c>
      <c r="O84" s="1" t="s">
        <v>27</v>
      </c>
      <c r="P84" s="1" t="s">
        <v>400</v>
      </c>
    </row>
    <row r="85" spans="1:16" x14ac:dyDescent="0.2">
      <c r="A85" s="1">
        <v>1</v>
      </c>
      <c r="B85" s="1">
        <v>1.2</v>
      </c>
      <c r="C85" s="1">
        <v>1</v>
      </c>
      <c r="D85" s="1" t="s">
        <v>473</v>
      </c>
      <c r="E85" s="1" t="s">
        <v>474</v>
      </c>
      <c r="F85" s="4">
        <v>45391</v>
      </c>
      <c r="G85" s="6">
        <v>0.25509259259259259</v>
      </c>
      <c r="H85" s="1">
        <v>0.94899999999999995</v>
      </c>
      <c r="I85" s="7" t="s">
        <v>384</v>
      </c>
      <c r="L85" s="3">
        <v>0.23653935185185185</v>
      </c>
      <c r="M85" s="3">
        <f t="shared" ref="M85:M100" si="5">G85 - L85</f>
        <v>1.8553240740740745E-2</v>
      </c>
      <c r="O85" s="3">
        <v>1.8622685185185187E-2</v>
      </c>
    </row>
    <row r="86" spans="1:16" x14ac:dyDescent="0.2">
      <c r="A86" s="1">
        <v>1</v>
      </c>
      <c r="B86" s="1">
        <v>1.2</v>
      </c>
      <c r="C86" s="1">
        <v>1</v>
      </c>
      <c r="D86" s="1" t="s">
        <v>476</v>
      </c>
      <c r="E86" s="6" t="s">
        <v>477</v>
      </c>
      <c r="F86" s="4">
        <v>45390</v>
      </c>
      <c r="G86" s="6">
        <v>0.79108796296296291</v>
      </c>
      <c r="H86" s="1">
        <v>1.06E-3</v>
      </c>
      <c r="I86" s="7" t="s">
        <v>384</v>
      </c>
      <c r="L86" s="3">
        <v>0.76604166666666662</v>
      </c>
      <c r="M86" s="3">
        <f t="shared" si="5"/>
        <v>2.5046296296296289E-2</v>
      </c>
      <c r="O86" s="1" t="s">
        <v>27</v>
      </c>
    </row>
    <row r="87" spans="1:16" x14ac:dyDescent="0.2">
      <c r="A87" s="1">
        <v>1</v>
      </c>
      <c r="B87" s="1">
        <v>1.2</v>
      </c>
      <c r="C87" s="1">
        <v>1</v>
      </c>
      <c r="D87" s="1" t="s">
        <v>482</v>
      </c>
      <c r="E87" s="1" t="s">
        <v>486</v>
      </c>
      <c r="F87" s="4">
        <v>45390</v>
      </c>
      <c r="G87" s="6">
        <v>0.24300925925925926</v>
      </c>
      <c r="H87" s="1">
        <v>5.1599999999999997E-3</v>
      </c>
      <c r="I87" s="7" t="s">
        <v>384</v>
      </c>
      <c r="L87" s="3">
        <v>0.2351273148148148</v>
      </c>
      <c r="M87" s="3">
        <f t="shared" si="5"/>
        <v>7.8819444444444553E-3</v>
      </c>
      <c r="O87" s="3">
        <v>7.9166666666666673E-3</v>
      </c>
    </row>
    <row r="88" spans="1:16" x14ac:dyDescent="0.2">
      <c r="A88" s="1">
        <v>1</v>
      </c>
      <c r="B88" s="1">
        <v>1.2</v>
      </c>
      <c r="C88" s="1">
        <v>2</v>
      </c>
      <c r="D88" s="1" t="s">
        <v>482</v>
      </c>
      <c r="E88" s="1" t="s">
        <v>486</v>
      </c>
      <c r="F88" s="4">
        <v>45390</v>
      </c>
      <c r="G88" s="6">
        <v>0.25400462962962966</v>
      </c>
      <c r="H88" s="1">
        <v>0.94699999999999995</v>
      </c>
      <c r="I88" s="7" t="s">
        <v>384</v>
      </c>
      <c r="L88" s="3">
        <v>0.2351273148148148</v>
      </c>
      <c r="M88" s="3">
        <f t="shared" si="5"/>
        <v>1.8877314814814861E-2</v>
      </c>
      <c r="O88" s="3">
        <v>1.8622685185185187E-2</v>
      </c>
    </row>
    <row r="89" spans="1:16" x14ac:dyDescent="0.2">
      <c r="A89" s="1">
        <v>1</v>
      </c>
      <c r="B89" s="1">
        <v>1.2</v>
      </c>
      <c r="C89" s="1">
        <v>1</v>
      </c>
      <c r="D89" s="1" t="s">
        <v>483</v>
      </c>
      <c r="E89" s="1" t="s">
        <v>493</v>
      </c>
      <c r="F89" s="4">
        <v>45389</v>
      </c>
      <c r="G89" s="6">
        <v>0.79043981481481473</v>
      </c>
      <c r="H89" s="1">
        <v>1.73E-3</v>
      </c>
      <c r="I89" s="7" t="s">
        <v>384</v>
      </c>
      <c r="L89" s="3">
        <v>0.76695601851851847</v>
      </c>
      <c r="M89" s="3">
        <f t="shared" si="5"/>
        <v>2.3483796296296267E-2</v>
      </c>
      <c r="O89" s="3">
        <v>2.3472222222222221E-2</v>
      </c>
    </row>
    <row r="90" spans="1:16" x14ac:dyDescent="0.2">
      <c r="A90" s="1">
        <v>1</v>
      </c>
      <c r="B90" s="1">
        <v>1.2</v>
      </c>
      <c r="C90" s="1">
        <v>1</v>
      </c>
      <c r="D90" s="1" t="s">
        <v>484</v>
      </c>
      <c r="E90" s="1" t="s">
        <v>494</v>
      </c>
      <c r="F90" s="4">
        <v>45388</v>
      </c>
      <c r="G90" s="6">
        <v>0.78626157407407415</v>
      </c>
      <c r="H90" s="1">
        <v>9.8099999999999993E-3</v>
      </c>
      <c r="I90" s="7" t="s">
        <v>384</v>
      </c>
      <c r="L90" s="3">
        <v>0.7645601851851852</v>
      </c>
      <c r="M90" s="3">
        <f t="shared" si="5"/>
        <v>2.1701388888888951E-2</v>
      </c>
      <c r="O90" s="1" t="s">
        <v>27</v>
      </c>
    </row>
    <row r="91" spans="1:16" x14ac:dyDescent="0.2">
      <c r="A91" s="1">
        <v>1</v>
      </c>
      <c r="B91" s="1">
        <v>1.2</v>
      </c>
      <c r="C91" s="1">
        <v>1</v>
      </c>
      <c r="D91" s="1" t="s">
        <v>485</v>
      </c>
      <c r="E91" s="1" t="s">
        <v>495</v>
      </c>
      <c r="F91" s="4">
        <v>45387</v>
      </c>
      <c r="G91" s="6">
        <v>0.79177083333333342</v>
      </c>
      <c r="H91" s="1">
        <v>2.4099999999999998E-3</v>
      </c>
      <c r="I91" s="7" t="s">
        <v>384</v>
      </c>
      <c r="L91" s="3">
        <v>0.76537037037037037</v>
      </c>
      <c r="M91" s="3">
        <f t="shared" si="5"/>
        <v>2.6400462962963056E-2</v>
      </c>
      <c r="O91" s="3">
        <v>2.6006944444444444E-2</v>
      </c>
    </row>
    <row r="92" spans="1:16" x14ac:dyDescent="0.2">
      <c r="A92" s="1">
        <v>1</v>
      </c>
      <c r="B92" s="1">
        <v>1.2</v>
      </c>
      <c r="C92" s="1">
        <v>1</v>
      </c>
      <c r="D92" s="1" t="s">
        <v>497</v>
      </c>
      <c r="E92" s="1" t="s">
        <v>498</v>
      </c>
      <c r="F92" s="4">
        <v>45391</v>
      </c>
      <c r="G92" s="6">
        <v>0.78599537037037037</v>
      </c>
      <c r="H92" s="1">
        <v>8.2100000000000003E-3</v>
      </c>
      <c r="I92" s="1" t="s">
        <v>384</v>
      </c>
      <c r="L92" s="3">
        <v>0.76300925925925922</v>
      </c>
      <c r="M92" s="3">
        <f t="shared" si="5"/>
        <v>2.2986111111111152E-2</v>
      </c>
      <c r="O92" s="3">
        <v>2.2754629629629628E-2</v>
      </c>
    </row>
    <row r="93" spans="1:16" x14ac:dyDescent="0.2">
      <c r="A93" s="1">
        <v>1</v>
      </c>
      <c r="B93" s="1">
        <v>1.2</v>
      </c>
      <c r="C93" s="1">
        <v>1</v>
      </c>
      <c r="D93" s="1" t="s">
        <v>73</v>
      </c>
      <c r="E93" s="1" t="s">
        <v>501</v>
      </c>
      <c r="F93" s="4">
        <v>45392</v>
      </c>
      <c r="G93" s="6">
        <v>0.23944444444444443</v>
      </c>
      <c r="H93" s="1">
        <v>7.0000000000000001E-3</v>
      </c>
      <c r="I93" s="1" t="s">
        <v>502</v>
      </c>
      <c r="L93" s="3">
        <v>0.23417824074074073</v>
      </c>
      <c r="M93" s="3">
        <f t="shared" si="5"/>
        <v>5.2662037037037035E-3</v>
      </c>
      <c r="O93" s="3">
        <v>4.8611111111111112E-3</v>
      </c>
    </row>
    <row r="94" spans="1:16" x14ac:dyDescent="0.2">
      <c r="A94" s="1">
        <v>1</v>
      </c>
      <c r="B94" s="1">
        <v>1.2</v>
      </c>
      <c r="C94" s="1">
        <v>5</v>
      </c>
      <c r="D94" s="1" t="s">
        <v>72</v>
      </c>
      <c r="E94" s="1" t="s">
        <v>518</v>
      </c>
      <c r="F94" s="4">
        <v>45393</v>
      </c>
      <c r="G94" s="6">
        <v>0.27635416666666668</v>
      </c>
      <c r="H94" s="1">
        <v>25</v>
      </c>
      <c r="I94" s="1" t="s">
        <v>536</v>
      </c>
      <c r="L94" s="3">
        <v>0.23177083333333334</v>
      </c>
      <c r="M94" s="3">
        <f t="shared" si="5"/>
        <v>4.4583333333333336E-2</v>
      </c>
    </row>
    <row r="95" spans="1:16" x14ac:dyDescent="0.2">
      <c r="A95" s="1">
        <v>1</v>
      </c>
      <c r="B95" s="1">
        <v>1.2</v>
      </c>
      <c r="C95" s="1">
        <v>4</v>
      </c>
      <c r="D95" s="1" t="s">
        <v>72</v>
      </c>
      <c r="E95" s="1" t="s">
        <v>518</v>
      </c>
      <c r="F95" s="4">
        <v>45393</v>
      </c>
      <c r="G95" s="6">
        <v>0.24847222222222221</v>
      </c>
      <c r="H95" s="1">
        <v>0.23</v>
      </c>
      <c r="I95" s="1" t="s">
        <v>384</v>
      </c>
      <c r="L95" s="3">
        <v>0.23177083333333334</v>
      </c>
      <c r="M95" s="3">
        <f t="shared" si="5"/>
        <v>1.6701388888888863E-2</v>
      </c>
      <c r="O95" s="3">
        <v>1.6261574074074074E-2</v>
      </c>
    </row>
    <row r="96" spans="1:16" x14ac:dyDescent="0.2">
      <c r="A96" s="1">
        <v>1</v>
      </c>
      <c r="B96" s="1">
        <v>1.2</v>
      </c>
      <c r="C96" s="1">
        <v>3</v>
      </c>
      <c r="D96" s="1" t="s">
        <v>72</v>
      </c>
      <c r="E96" s="1" t="s">
        <v>518</v>
      </c>
      <c r="F96" s="4">
        <v>45393</v>
      </c>
      <c r="G96" s="6">
        <v>0.24243055555555554</v>
      </c>
      <c r="H96" s="1">
        <v>2.3400000000000001E-2</v>
      </c>
      <c r="I96" s="1" t="s">
        <v>384</v>
      </c>
      <c r="L96" s="3">
        <v>0.23177083333333334</v>
      </c>
      <c r="M96" s="3">
        <f t="shared" si="5"/>
        <v>1.0659722222222195E-2</v>
      </c>
      <c r="O96" s="3">
        <v>1.0439814814814815E-2</v>
      </c>
    </row>
    <row r="97" spans="1:16" x14ac:dyDescent="0.2">
      <c r="A97" s="1">
        <v>1</v>
      </c>
      <c r="B97" s="1">
        <v>1.2</v>
      </c>
      <c r="C97" s="1">
        <v>2</v>
      </c>
      <c r="D97" s="1" t="s">
        <v>72</v>
      </c>
      <c r="E97" s="1" t="s">
        <v>518</v>
      </c>
      <c r="F97" s="4">
        <v>45393</v>
      </c>
      <c r="G97" s="6">
        <v>0.2383912037037037</v>
      </c>
      <c r="H97" s="1">
        <v>6.8300000000000001E-3</v>
      </c>
      <c r="I97" s="1" t="s">
        <v>384</v>
      </c>
      <c r="L97" s="3">
        <v>0.23177083333333334</v>
      </c>
      <c r="M97" s="3">
        <f t="shared" si="5"/>
        <v>6.6203703703703598E-3</v>
      </c>
    </row>
    <row r="98" spans="1:16" x14ac:dyDescent="0.2">
      <c r="A98" s="1">
        <v>1</v>
      </c>
      <c r="B98" s="1">
        <v>1.2</v>
      </c>
      <c r="C98" s="1">
        <v>1</v>
      </c>
      <c r="D98" s="1" t="s">
        <v>72</v>
      </c>
      <c r="E98" s="1" t="s">
        <v>518</v>
      </c>
      <c r="F98" s="4">
        <v>45393</v>
      </c>
      <c r="G98" s="6">
        <v>0.23265046296296296</v>
      </c>
      <c r="H98" s="1">
        <v>3.6600000000000001E-3</v>
      </c>
      <c r="I98" s="1" t="s">
        <v>384</v>
      </c>
      <c r="L98" s="3">
        <v>0.23177083333333334</v>
      </c>
      <c r="M98" s="3">
        <f t="shared" si="5"/>
        <v>8.796296296296191E-4</v>
      </c>
    </row>
    <row r="99" spans="1:16" x14ac:dyDescent="0.2">
      <c r="A99" s="1">
        <v>1</v>
      </c>
      <c r="B99" s="1">
        <v>1.2</v>
      </c>
      <c r="C99" s="1">
        <v>1</v>
      </c>
      <c r="D99" s="1" t="s">
        <v>81</v>
      </c>
      <c r="E99" s="1" t="s">
        <v>519</v>
      </c>
      <c r="F99" s="4">
        <v>45393</v>
      </c>
      <c r="G99" s="6">
        <v>0.7855671296296296</v>
      </c>
      <c r="H99" s="1">
        <v>3.5799999999999998E-2</v>
      </c>
      <c r="I99" s="1" t="s">
        <v>384</v>
      </c>
      <c r="L99" s="3">
        <v>0.75616898148148148</v>
      </c>
      <c r="M99" s="3">
        <f t="shared" si="5"/>
        <v>2.9398148148148118E-2</v>
      </c>
      <c r="O99" s="3">
        <v>2.8946759259259259E-2</v>
      </c>
    </row>
    <row r="100" spans="1:16" x14ac:dyDescent="0.2">
      <c r="A100" s="1">
        <v>1</v>
      </c>
      <c r="B100" s="1">
        <v>1.2</v>
      </c>
      <c r="C100" s="1">
        <v>3</v>
      </c>
      <c r="D100" s="1" t="s">
        <v>80</v>
      </c>
      <c r="E100" s="1" t="s">
        <v>537</v>
      </c>
      <c r="F100" s="4">
        <v>45394</v>
      </c>
      <c r="G100" s="6">
        <v>0.27350694444444446</v>
      </c>
      <c r="H100" s="1">
        <v>34.200000000000003</v>
      </c>
      <c r="I100" s="1" t="s">
        <v>384</v>
      </c>
      <c r="L100" s="3">
        <v>0.24976851851851853</v>
      </c>
      <c r="M100" s="3">
        <f t="shared" si="5"/>
        <v>2.3738425925925927E-2</v>
      </c>
    </row>
    <row r="101" spans="1:16" x14ac:dyDescent="0.2">
      <c r="A101" s="1">
        <v>1</v>
      </c>
      <c r="B101" s="1">
        <v>1.2</v>
      </c>
      <c r="C101" s="1">
        <v>2</v>
      </c>
      <c r="D101" s="1" t="s">
        <v>80</v>
      </c>
      <c r="E101" s="1" t="s">
        <v>537</v>
      </c>
      <c r="F101" s="4">
        <v>45394</v>
      </c>
      <c r="G101" s="6">
        <v>0.25049768518518517</v>
      </c>
      <c r="H101" s="1">
        <v>0.14499999999999999</v>
      </c>
      <c r="I101" s="1" t="s">
        <v>384</v>
      </c>
      <c r="L101" s="3">
        <v>0.24976851851851853</v>
      </c>
      <c r="M101" s="3">
        <f t="shared" ref="M101" si="6">G101 - L101</f>
        <v>7.2916666666664187E-4</v>
      </c>
    </row>
    <row r="102" spans="1:16" x14ac:dyDescent="0.2">
      <c r="A102" s="1">
        <v>1</v>
      </c>
      <c r="B102" s="1">
        <v>1.2</v>
      </c>
      <c r="C102" s="1">
        <v>1</v>
      </c>
      <c r="D102" s="1" t="s">
        <v>80</v>
      </c>
      <c r="E102" s="1" t="s">
        <v>537</v>
      </c>
      <c r="F102" s="4">
        <v>45394</v>
      </c>
      <c r="G102" s="6">
        <v>0.23868055555555553</v>
      </c>
      <c r="H102" s="1" t="s">
        <v>27</v>
      </c>
      <c r="I102" s="1" t="s">
        <v>539</v>
      </c>
      <c r="J102" s="1">
        <v>6.8300000000000001E-3</v>
      </c>
      <c r="K102" s="1" t="s">
        <v>540</v>
      </c>
      <c r="L102" s="3">
        <v>0.24976851851851853</v>
      </c>
      <c r="M102" s="3"/>
      <c r="P102" s="1" t="s">
        <v>538</v>
      </c>
    </row>
    <row r="103" spans="1:16" x14ac:dyDescent="0.2">
      <c r="A103" s="1">
        <v>1</v>
      </c>
      <c r="B103" s="1">
        <v>1.2</v>
      </c>
      <c r="C103" s="1">
        <v>1</v>
      </c>
      <c r="D103" s="1" t="s">
        <v>87</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634</v>
      </c>
      <c r="B1" t="s">
        <v>633</v>
      </c>
      <c r="C1" t="s">
        <v>637</v>
      </c>
      <c r="D1" t="s">
        <v>636</v>
      </c>
      <c r="E1" t="s">
        <v>635</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30"/>
      <c r="F2" s="30"/>
      <c r="G2" s="30"/>
      <c r="H2" s="30"/>
      <c r="I2" s="30"/>
      <c r="J2" s="30"/>
      <c r="K2" s="30"/>
      <c r="L2" s="30"/>
    </row>
    <row r="3" spans="4:12" x14ac:dyDescent="0.2">
      <c r="D3" s="18"/>
      <c r="E3" s="30"/>
    </row>
    <row r="4" spans="4:12" x14ac:dyDescent="0.2">
      <c r="D4" s="18"/>
      <c r="E4" s="30"/>
    </row>
    <row r="5" spans="4:12" x14ac:dyDescent="0.2">
      <c r="D5" s="18"/>
      <c r="E5" s="30"/>
    </row>
    <row r="6" spans="4:12" x14ac:dyDescent="0.2">
      <c r="F6" s="30"/>
      <c r="G6" s="30"/>
      <c r="H6" s="30"/>
    </row>
    <row r="7" spans="4:12" x14ac:dyDescent="0.2">
      <c r="F7" s="30"/>
      <c r="H7" s="30"/>
    </row>
    <row r="8" spans="4:12" x14ac:dyDescent="0.2">
      <c r="F8" s="30"/>
      <c r="H8" s="30"/>
    </row>
    <row r="9" spans="4:12" x14ac:dyDescent="0.2">
      <c r="F9" s="30"/>
      <c r="H9" s="30"/>
    </row>
    <row r="11" spans="4:12" x14ac:dyDescent="0.2">
      <c r="F11" s="30"/>
      <c r="H11" s="30"/>
    </row>
    <row r="12" spans="4:12" x14ac:dyDescent="0.2">
      <c r="F12" s="30"/>
      <c r="H12" s="30"/>
    </row>
    <row r="13" spans="4:12" x14ac:dyDescent="0.2">
      <c r="F13" s="30"/>
      <c r="H13" s="30"/>
    </row>
    <row r="14" spans="4:12" x14ac:dyDescent="0.2">
      <c r="H14" s="30"/>
    </row>
    <row r="15" spans="4:12" x14ac:dyDescent="0.2">
      <c r="D15" s="18"/>
      <c r="E15" s="30"/>
      <c r="H15" s="30"/>
      <c r="I15" s="30"/>
      <c r="J15" s="30"/>
      <c r="K15" s="30"/>
      <c r="L15" s="30"/>
    </row>
    <row r="16" spans="4:12" x14ac:dyDescent="0.2">
      <c r="D16" s="18"/>
      <c r="E16" s="30"/>
      <c r="F16" s="30"/>
      <c r="G16" s="30"/>
      <c r="H16" s="30"/>
      <c r="I16" s="30"/>
      <c r="J16" s="30"/>
      <c r="K16" s="30"/>
      <c r="L16" s="30"/>
    </row>
    <row r="17" spans="1:12" x14ac:dyDescent="0.2">
      <c r="D17" s="18"/>
      <c r="E17" s="30"/>
      <c r="H17" s="30"/>
      <c r="I17" s="30"/>
      <c r="J17" s="30"/>
      <c r="K17" s="30"/>
      <c r="L17" s="30"/>
    </row>
    <row r="18" spans="1:12" x14ac:dyDescent="0.2">
      <c r="D18" s="18"/>
      <c r="E18" s="30"/>
    </row>
    <row r="19" spans="1:12" x14ac:dyDescent="0.2">
      <c r="D19" s="18"/>
      <c r="E19" s="30"/>
      <c r="H19" s="30"/>
      <c r="I19" s="30"/>
      <c r="J19" s="30"/>
      <c r="K19" s="30"/>
      <c r="L19" s="30"/>
    </row>
    <row r="20" spans="1:12" x14ac:dyDescent="0.2">
      <c r="D20" s="18"/>
      <c r="E20" s="30"/>
      <c r="H20" s="30"/>
      <c r="I20" s="30"/>
      <c r="J20" s="30"/>
      <c r="K20" s="30"/>
      <c r="L20" s="30"/>
    </row>
    <row r="21" spans="1:12" x14ac:dyDescent="0.2">
      <c r="A21" s="17"/>
      <c r="D21" s="18"/>
      <c r="E21" s="30"/>
      <c r="H21" s="30"/>
      <c r="I21" s="30"/>
      <c r="J21" s="30"/>
      <c r="K21" s="30"/>
      <c r="L21" s="30"/>
    </row>
    <row r="22" spans="1:12" x14ac:dyDescent="0.2">
      <c r="A22" s="17"/>
      <c r="D22" s="18"/>
      <c r="E22" s="30"/>
      <c r="F22" s="30"/>
      <c r="G22" s="30"/>
      <c r="H22" s="30"/>
      <c r="I22" s="30"/>
      <c r="J22" s="30"/>
      <c r="K22" s="30"/>
      <c r="L22" s="30"/>
    </row>
    <row r="23" spans="1:12" x14ac:dyDescent="0.2">
      <c r="A23" s="17"/>
      <c r="D23" s="18"/>
      <c r="E23" s="30"/>
      <c r="F23" s="30"/>
      <c r="G23" s="30"/>
      <c r="H23" s="30"/>
      <c r="I23" s="30"/>
      <c r="J23" s="30"/>
      <c r="K23" s="30"/>
      <c r="L23" s="30"/>
    </row>
    <row r="24" spans="1:12" x14ac:dyDescent="0.2">
      <c r="A24" s="17"/>
      <c r="D24" s="18"/>
      <c r="E24" s="30"/>
      <c r="F24" s="30"/>
      <c r="G24" s="30"/>
      <c r="H24" s="30"/>
      <c r="I24" s="30"/>
      <c r="J24" s="30"/>
      <c r="K24" s="30"/>
      <c r="L24" s="30"/>
    </row>
    <row r="25" spans="1:12" x14ac:dyDescent="0.2">
      <c r="A25" s="17"/>
      <c r="D25" s="18"/>
      <c r="E25" s="30"/>
      <c r="H25" s="30"/>
      <c r="I25" s="30"/>
      <c r="J25" s="30"/>
      <c r="K25" s="30"/>
      <c r="L25" s="30"/>
    </row>
    <row r="26" spans="1:12" x14ac:dyDescent="0.2">
      <c r="A26" s="17"/>
      <c r="D26" s="18"/>
      <c r="E26" s="30"/>
      <c r="F26" s="30"/>
      <c r="G26" s="30"/>
      <c r="H26" s="30"/>
    </row>
    <row r="27" spans="1:12" x14ac:dyDescent="0.2">
      <c r="D27" s="18"/>
      <c r="E27" s="30"/>
      <c r="H27" s="30"/>
      <c r="I27" s="30"/>
      <c r="J27" s="30"/>
      <c r="K27" s="30"/>
      <c r="L27" s="30"/>
    </row>
    <row r="28" spans="1:12" x14ac:dyDescent="0.2">
      <c r="A28" s="17"/>
      <c r="D28" s="18"/>
      <c r="E28" s="30"/>
      <c r="F28" s="30"/>
      <c r="G28" s="30"/>
      <c r="H28" s="30"/>
      <c r="I28" s="30"/>
      <c r="J28" s="30"/>
      <c r="K28" s="30"/>
      <c r="L28" s="30"/>
    </row>
    <row r="29" spans="1:12" x14ac:dyDescent="0.2">
      <c r="D29" s="18"/>
      <c r="E29" s="30"/>
      <c r="H29" s="30"/>
      <c r="I29" s="30"/>
      <c r="J29" s="30"/>
      <c r="K29" s="30"/>
      <c r="L29" s="30"/>
    </row>
    <row r="30" spans="1:12" x14ac:dyDescent="0.2">
      <c r="D30" s="18"/>
      <c r="E30" s="30"/>
      <c r="F30" s="30"/>
      <c r="H30" s="30"/>
      <c r="I30" s="30"/>
      <c r="J30" s="30"/>
      <c r="K30" s="30"/>
      <c r="L30" s="30"/>
    </row>
    <row r="31" spans="1:12" x14ac:dyDescent="0.2">
      <c r="A31" s="17"/>
      <c r="D31" s="18"/>
      <c r="E31" s="30"/>
      <c r="H31" s="30"/>
      <c r="I31" s="30"/>
      <c r="J31" s="30"/>
      <c r="K31" s="30"/>
      <c r="L31" s="30"/>
    </row>
    <row r="32" spans="1:12" x14ac:dyDescent="0.2">
      <c r="A32" s="17"/>
      <c r="D32" s="18"/>
      <c r="E32" s="30"/>
      <c r="F32" s="30"/>
      <c r="H32" s="30"/>
      <c r="I32" s="30"/>
      <c r="J32" s="30"/>
      <c r="K32" s="30"/>
      <c r="L32" s="30"/>
    </row>
    <row r="33" spans="4:9" x14ac:dyDescent="0.2">
      <c r="D33" s="18"/>
      <c r="E33" s="30"/>
      <c r="G33" s="30"/>
      <c r="H33" s="30"/>
      <c r="I33" s="30"/>
    </row>
    <row r="34" spans="4:9" x14ac:dyDescent="0.2">
      <c r="D34" s="18"/>
      <c r="E34" s="30"/>
      <c r="F34" s="30"/>
      <c r="G34" s="30"/>
      <c r="H34" s="30"/>
      <c r="I34" s="30"/>
    </row>
    <row r="35" spans="4:9" x14ac:dyDescent="0.2">
      <c r="D35" s="18"/>
      <c r="E35" s="30"/>
      <c r="F35" s="30"/>
      <c r="G35" s="30"/>
      <c r="H35" s="30"/>
      <c r="I35" s="30"/>
    </row>
    <row r="36" spans="4:9" x14ac:dyDescent="0.2">
      <c r="D36" s="18"/>
      <c r="E36" s="30"/>
      <c r="F36" s="30"/>
      <c r="G36" s="30"/>
      <c r="H36" s="30"/>
      <c r="I36" s="30"/>
    </row>
    <row r="37" spans="4:9" x14ac:dyDescent="0.2">
      <c r="D37" s="18"/>
      <c r="E37" s="30"/>
      <c r="H37" s="30"/>
      <c r="I37" s="30"/>
    </row>
    <row r="38" spans="4:9" x14ac:dyDescent="0.2">
      <c r="D38" s="18"/>
      <c r="E38" s="30"/>
      <c r="F38" s="30"/>
      <c r="G38" s="30"/>
      <c r="H38" s="30"/>
      <c r="I38" s="30"/>
    </row>
    <row r="39" spans="4:9" x14ac:dyDescent="0.2">
      <c r="D39" s="18"/>
      <c r="E39" s="30"/>
    </row>
    <row r="40" spans="4:9" x14ac:dyDescent="0.2">
      <c r="D40" s="18"/>
      <c r="E40" s="30"/>
      <c r="H40" s="30"/>
      <c r="I40" s="30"/>
    </row>
    <row r="41" spans="4:9" x14ac:dyDescent="0.2">
      <c r="D41" s="18"/>
      <c r="E41" s="30"/>
      <c r="F41" s="30"/>
      <c r="G41" s="30"/>
      <c r="H41" s="30"/>
      <c r="I41" s="30"/>
    </row>
    <row r="42" spans="4:9" x14ac:dyDescent="0.2">
      <c r="D42" s="18"/>
      <c r="E42" s="30"/>
    </row>
    <row r="43" spans="4:9" x14ac:dyDescent="0.2">
      <c r="D43" s="18"/>
      <c r="E43" s="30"/>
      <c r="F43" s="30"/>
      <c r="G43" s="30"/>
      <c r="H43" s="30"/>
      <c r="I43" s="30"/>
    </row>
    <row r="44" spans="4:9" x14ac:dyDescent="0.2">
      <c r="D44" s="18"/>
      <c r="E44" s="30"/>
    </row>
    <row r="45" spans="4:9" x14ac:dyDescent="0.2">
      <c r="D45" s="18"/>
      <c r="E45" s="30"/>
      <c r="F45" s="30"/>
      <c r="G45" s="30"/>
      <c r="H45" s="30"/>
      <c r="I45" s="30"/>
    </row>
    <row r="46" spans="4:9" x14ac:dyDescent="0.2">
      <c r="D46" s="18"/>
      <c r="E46" s="30"/>
      <c r="H46" s="30"/>
      <c r="I46" s="30"/>
    </row>
    <row r="47" spans="4:9" x14ac:dyDescent="0.2">
      <c r="D47" s="18"/>
      <c r="E47" s="30"/>
      <c r="F47" s="30"/>
      <c r="G47" s="30"/>
      <c r="H47" s="30"/>
      <c r="I47" s="30"/>
    </row>
    <row r="48" spans="4:9" x14ac:dyDescent="0.2">
      <c r="D48" s="18"/>
      <c r="E48" s="30"/>
      <c r="F48" s="30"/>
      <c r="G48" s="30"/>
      <c r="H48" s="30"/>
      <c r="I48" s="30"/>
    </row>
    <row r="49" spans="4:9" x14ac:dyDescent="0.2">
      <c r="D49" s="18"/>
      <c r="E49" s="30"/>
      <c r="F49" s="30"/>
      <c r="G49" s="30"/>
      <c r="H49" s="30"/>
      <c r="I49" s="30"/>
    </row>
    <row r="50" spans="4:9" x14ac:dyDescent="0.2">
      <c r="D50" s="18"/>
      <c r="E50" s="30"/>
      <c r="F50" s="30"/>
      <c r="G50" s="30"/>
      <c r="H50" s="30"/>
      <c r="I50" s="30"/>
    </row>
    <row r="51" spans="4:9" x14ac:dyDescent="0.2">
      <c r="D51" s="18"/>
      <c r="E51" s="30"/>
    </row>
    <row r="52" spans="4:9" x14ac:dyDescent="0.2">
      <c r="D52" s="18"/>
      <c r="E52" s="30"/>
      <c r="H52" s="30"/>
      <c r="I52" s="30"/>
    </row>
    <row r="53" spans="4:9" x14ac:dyDescent="0.2">
      <c r="D53" s="18"/>
      <c r="E53" s="30"/>
      <c r="F53" s="30"/>
      <c r="G53" s="30"/>
      <c r="H53" s="30"/>
      <c r="I53" s="30"/>
    </row>
    <row r="54" spans="4:9" x14ac:dyDescent="0.2">
      <c r="D54" s="18"/>
      <c r="E54" s="30"/>
      <c r="H54" s="30"/>
      <c r="I54" s="30"/>
    </row>
    <row r="55" spans="4:9" x14ac:dyDescent="0.2">
      <c r="D55" s="18"/>
      <c r="E55" s="30"/>
      <c r="F55" s="30"/>
      <c r="G55" s="30"/>
      <c r="H55" s="30"/>
      <c r="I55" s="30"/>
    </row>
    <row r="56" spans="4:9" x14ac:dyDescent="0.2">
      <c r="D56" s="18"/>
      <c r="E56" s="30"/>
      <c r="H56" s="30"/>
      <c r="I56" s="30"/>
    </row>
    <row r="57" spans="4:9" x14ac:dyDescent="0.2">
      <c r="D57" s="18"/>
      <c r="E57" s="30"/>
      <c r="F57" s="30"/>
      <c r="H57" s="30"/>
      <c r="I57" s="30"/>
    </row>
    <row r="58" spans="4:9" x14ac:dyDescent="0.2">
      <c r="D58" s="18"/>
      <c r="E58" s="30"/>
      <c r="F58" s="30"/>
      <c r="H58" s="30"/>
      <c r="I58" s="30"/>
    </row>
    <row r="59" spans="4:9" x14ac:dyDescent="0.2">
      <c r="D59" s="18"/>
      <c r="E59" s="30"/>
      <c r="F59" s="30"/>
      <c r="G59" s="30"/>
      <c r="H59" s="30"/>
      <c r="I59" s="30"/>
    </row>
    <row r="60" spans="4:9" x14ac:dyDescent="0.2">
      <c r="D60" s="18"/>
      <c r="E60" s="30"/>
      <c r="F60" s="30"/>
      <c r="G60" s="30"/>
      <c r="H60" s="30"/>
      <c r="I60" s="30"/>
    </row>
    <row r="61" spans="4:9" x14ac:dyDescent="0.2">
      <c r="D61" s="18"/>
      <c r="E61" s="30"/>
      <c r="F61" s="30"/>
      <c r="G61" s="30"/>
      <c r="H61" s="30"/>
      <c r="I61" s="30"/>
    </row>
    <row r="62" spans="4:9" x14ac:dyDescent="0.2">
      <c r="D62" s="18"/>
      <c r="E62" s="30"/>
      <c r="F62" s="30"/>
      <c r="G62" s="30"/>
      <c r="H62" s="30"/>
      <c r="I62" s="30"/>
    </row>
    <row r="63" spans="4:9" x14ac:dyDescent="0.2">
      <c r="D63" s="18"/>
      <c r="E63" s="30"/>
      <c r="F63" s="30"/>
      <c r="G63" s="30"/>
      <c r="H63" s="30"/>
      <c r="I63" s="30"/>
    </row>
    <row r="64" spans="4:9" x14ac:dyDescent="0.2">
      <c r="D64" s="18"/>
      <c r="E64" s="30"/>
      <c r="H64" s="30"/>
      <c r="I64" s="30"/>
    </row>
    <row r="65" spans="4:9" x14ac:dyDescent="0.2">
      <c r="D65" s="18"/>
      <c r="E65" s="30"/>
      <c r="F65" s="30"/>
      <c r="G65" s="30"/>
      <c r="H65" s="30"/>
      <c r="I65" s="30"/>
    </row>
    <row r="66" spans="4:9" x14ac:dyDescent="0.2">
      <c r="D66" s="18"/>
      <c r="E66" s="30"/>
      <c r="H66" s="30"/>
      <c r="I66" s="30"/>
    </row>
    <row r="67" spans="4:9" x14ac:dyDescent="0.2">
      <c r="D67" s="18"/>
      <c r="E67" s="30"/>
      <c r="H67" s="30"/>
      <c r="I67" s="30"/>
    </row>
    <row r="68" spans="4:9" x14ac:dyDescent="0.2">
      <c r="D68" s="18"/>
      <c r="E68" s="30"/>
      <c r="H68" s="30"/>
      <c r="I68" s="30"/>
    </row>
    <row r="69" spans="4:9" x14ac:dyDescent="0.2">
      <c r="D69" s="18"/>
      <c r="E69" s="30"/>
      <c r="F69" s="30"/>
      <c r="H69" s="30"/>
      <c r="I69" s="30"/>
    </row>
    <row r="70" spans="4:9" x14ac:dyDescent="0.2">
      <c r="D70" s="18"/>
      <c r="E70" s="30"/>
      <c r="H70" s="30"/>
      <c r="I70" s="30"/>
    </row>
    <row r="71" spans="4:9" x14ac:dyDescent="0.2">
      <c r="D71" s="18"/>
      <c r="E71" s="30"/>
      <c r="H71" s="30"/>
      <c r="I71" s="30"/>
    </row>
    <row r="72" spans="4:9" x14ac:dyDescent="0.2">
      <c r="D72" s="18"/>
      <c r="E72" s="30"/>
      <c r="F72" s="30"/>
      <c r="H72" s="30"/>
      <c r="I72" s="30"/>
    </row>
    <row r="73" spans="4:9" x14ac:dyDescent="0.2">
      <c r="D73" s="18"/>
      <c r="E73" s="30"/>
      <c r="F73" s="30"/>
      <c r="H73" s="30"/>
      <c r="I73" s="30"/>
    </row>
    <row r="74" spans="4:9" x14ac:dyDescent="0.2">
      <c r="D74" s="18"/>
      <c r="E74" s="30"/>
      <c r="H74" s="30"/>
      <c r="I74" s="30"/>
    </row>
    <row r="75" spans="4:9" x14ac:dyDescent="0.2">
      <c r="D75" s="18"/>
      <c r="E75" s="30"/>
      <c r="H75" s="30"/>
      <c r="I75" s="30"/>
    </row>
    <row r="76" spans="4:9" x14ac:dyDescent="0.2">
      <c r="D76" s="18"/>
      <c r="E76" s="30"/>
      <c r="H76" s="30"/>
      <c r="I76" s="30"/>
    </row>
    <row r="77" spans="4:9" x14ac:dyDescent="0.2">
      <c r="D77" s="18"/>
      <c r="E77" s="30"/>
      <c r="F77" s="30"/>
      <c r="H77" s="30"/>
      <c r="I77" s="30"/>
    </row>
    <row r="78" spans="4:9" x14ac:dyDescent="0.2">
      <c r="D78" s="18"/>
      <c r="E78" s="30"/>
      <c r="F78" s="30"/>
      <c r="H78" s="30"/>
      <c r="I78" s="30"/>
    </row>
    <row r="79" spans="4:9" x14ac:dyDescent="0.2">
      <c r="D79" s="18"/>
      <c r="E79" s="30"/>
      <c r="F79" s="30"/>
    </row>
    <row r="80" spans="4:9" x14ac:dyDescent="0.2">
      <c r="D80" s="18"/>
      <c r="E80" s="30"/>
      <c r="F80" s="30"/>
      <c r="H80" s="30"/>
      <c r="I80" s="30"/>
    </row>
    <row r="81" spans="3:9" x14ac:dyDescent="0.2">
      <c r="D81" s="18"/>
      <c r="E81" s="30"/>
      <c r="H81" s="30"/>
      <c r="I81" s="30"/>
    </row>
    <row r="82" spans="3:9" x14ac:dyDescent="0.2">
      <c r="D82" s="18"/>
      <c r="E82" s="30"/>
      <c r="F82" s="30"/>
      <c r="H82" s="30"/>
      <c r="I82" s="30"/>
    </row>
    <row r="83" spans="3:9" x14ac:dyDescent="0.2">
      <c r="D83" s="18"/>
      <c r="E83" s="30"/>
      <c r="F83" s="30"/>
      <c r="H83" s="30"/>
      <c r="I83" s="30"/>
    </row>
    <row r="84" spans="3:9" x14ac:dyDescent="0.2">
      <c r="C84" s="1"/>
      <c r="D84" s="4"/>
      <c r="E84" s="6"/>
      <c r="F84" s="30"/>
      <c r="H84" s="30"/>
      <c r="I84" s="30"/>
    </row>
    <row r="85" spans="3:9" x14ac:dyDescent="0.2">
      <c r="C85" s="1"/>
      <c r="D85" s="4"/>
      <c r="E85" s="6"/>
      <c r="H85" s="30"/>
      <c r="I85" s="30"/>
    </row>
    <row r="86" spans="3:9" x14ac:dyDescent="0.2">
      <c r="C86" s="1"/>
      <c r="D86" s="4"/>
      <c r="E86" s="6"/>
      <c r="F86" s="30"/>
      <c r="H86" s="30"/>
      <c r="I86" s="30"/>
    </row>
    <row r="87" spans="3:9" x14ac:dyDescent="0.2">
      <c r="C87" s="1"/>
      <c r="D87" s="4"/>
      <c r="E87" s="6"/>
      <c r="F87" s="30"/>
      <c r="H87" s="30"/>
      <c r="I87" s="30"/>
    </row>
    <row r="88" spans="3:9" x14ac:dyDescent="0.2">
      <c r="D88" s="18"/>
      <c r="E88" s="30"/>
      <c r="H88" s="30"/>
      <c r="I88" s="30"/>
    </row>
    <row r="89" spans="3:9" x14ac:dyDescent="0.2">
      <c r="D89" s="18"/>
      <c r="E89" s="30"/>
      <c r="H89" s="30"/>
      <c r="I89" s="30"/>
    </row>
    <row r="90" spans="3:9" x14ac:dyDescent="0.2">
      <c r="D90" s="18"/>
      <c r="E90" s="30"/>
      <c r="F90" s="30"/>
      <c r="G90" s="30"/>
      <c r="H90" s="30"/>
      <c r="I90" s="30"/>
    </row>
    <row r="91" spans="3:9" x14ac:dyDescent="0.2">
      <c r="D91" s="18"/>
      <c r="E91" s="30"/>
      <c r="F91" s="30"/>
      <c r="G91" s="30"/>
      <c r="H91" s="30"/>
      <c r="I91" s="30"/>
    </row>
    <row r="92" spans="3:9" x14ac:dyDescent="0.2">
      <c r="D92" s="18"/>
      <c r="E92" s="30"/>
    </row>
    <row r="93" spans="3:9" x14ac:dyDescent="0.2">
      <c r="D93" s="18"/>
      <c r="E93" s="30"/>
      <c r="H93" s="30"/>
      <c r="I93" s="30"/>
    </row>
    <row r="94" spans="3:9" x14ac:dyDescent="0.2">
      <c r="D94" s="18"/>
      <c r="E94" s="30"/>
      <c r="H94" s="30"/>
      <c r="I94" s="30"/>
    </row>
    <row r="95" spans="3:9" x14ac:dyDescent="0.2">
      <c r="D95" s="18"/>
      <c r="E95" s="30"/>
      <c r="H95" s="30"/>
      <c r="I95" s="30"/>
    </row>
    <row r="96" spans="3:9" x14ac:dyDescent="0.2">
      <c r="D96" s="18"/>
      <c r="E96" s="30"/>
      <c r="F96" s="30"/>
      <c r="H96" s="30"/>
      <c r="I96" s="30"/>
    </row>
    <row r="97" spans="1:9" x14ac:dyDescent="0.2">
      <c r="D97" s="18"/>
      <c r="E97" s="30"/>
      <c r="F97" s="30"/>
      <c r="H97" s="30"/>
      <c r="I97" s="30"/>
    </row>
    <row r="98" spans="1:9" x14ac:dyDescent="0.2">
      <c r="D98" s="18"/>
      <c r="E98" s="30"/>
      <c r="F98" s="30"/>
      <c r="H98" s="30"/>
      <c r="I98" s="30"/>
    </row>
    <row r="99" spans="1:9" x14ac:dyDescent="0.2">
      <c r="D99" s="18"/>
      <c r="E99" s="30"/>
      <c r="F99" s="30"/>
      <c r="H99" s="30"/>
      <c r="I99" s="30"/>
    </row>
    <row r="100" spans="1:9" x14ac:dyDescent="0.2">
      <c r="D100" s="18"/>
      <c r="E100" s="30"/>
      <c r="H100" s="30"/>
      <c r="I100" s="30"/>
    </row>
    <row r="101" spans="1:9" x14ac:dyDescent="0.2">
      <c r="D101" s="18"/>
      <c r="E101" s="30"/>
      <c r="F101" s="30"/>
      <c r="H101" s="30"/>
      <c r="I101" s="30"/>
    </row>
    <row r="102" spans="1:9" x14ac:dyDescent="0.2">
      <c r="D102" s="18"/>
      <c r="E102" s="30"/>
      <c r="F102" s="30"/>
      <c r="H102" s="30"/>
      <c r="I102" s="30"/>
    </row>
    <row r="103" spans="1:9" x14ac:dyDescent="0.2">
      <c r="A103" s="17"/>
      <c r="D103" s="18"/>
      <c r="E103" s="30"/>
      <c r="F103" s="30"/>
    </row>
    <row r="104" spans="1:9" x14ac:dyDescent="0.2">
      <c r="A104" s="17"/>
      <c r="D104" s="18"/>
      <c r="E104" s="30"/>
      <c r="H104" s="30"/>
      <c r="I104" s="30"/>
    </row>
    <row r="105" spans="1:9" x14ac:dyDescent="0.2">
      <c r="A105" s="17"/>
      <c r="D105" s="18"/>
      <c r="E105" s="30"/>
      <c r="F105" s="30"/>
      <c r="H105" s="30"/>
      <c r="I105" s="30"/>
    </row>
    <row r="106" spans="1:9" x14ac:dyDescent="0.2">
      <c r="A106" s="17"/>
      <c r="D106" s="18"/>
      <c r="E106" s="30"/>
      <c r="F106" s="30"/>
      <c r="H106" s="30"/>
      <c r="I106" s="30"/>
    </row>
    <row r="107" spans="1:9" x14ac:dyDescent="0.2">
      <c r="A107" s="17"/>
      <c r="D107" s="18"/>
      <c r="E107" s="30"/>
      <c r="F107" s="30"/>
      <c r="H107" s="30"/>
      <c r="I107" s="30"/>
    </row>
    <row r="108" spans="1:9" x14ac:dyDescent="0.2">
      <c r="A108" s="17"/>
      <c r="D108" s="18"/>
      <c r="E108" s="30"/>
      <c r="H108" s="30"/>
      <c r="I108" s="30"/>
    </row>
    <row r="109" spans="1:9" x14ac:dyDescent="0.2">
      <c r="A109" s="17"/>
      <c r="D109" s="18"/>
      <c r="E109" s="30"/>
      <c r="F109" s="30"/>
      <c r="H109" s="30"/>
      <c r="I109" s="30"/>
    </row>
    <row r="110" spans="1:9" x14ac:dyDescent="0.2">
      <c r="A110" s="17"/>
      <c r="D110" s="18"/>
      <c r="E110" s="30"/>
      <c r="H110" s="30"/>
      <c r="I110" s="30"/>
    </row>
    <row r="111" spans="1:9" x14ac:dyDescent="0.2">
      <c r="A111" s="17"/>
      <c r="D111" s="18"/>
      <c r="E111" s="30"/>
      <c r="F111" s="30"/>
      <c r="G111" s="30"/>
      <c r="H111" s="30"/>
      <c r="I111" s="30"/>
    </row>
    <row r="112" spans="1:9" x14ac:dyDescent="0.2">
      <c r="A112" s="17"/>
      <c r="D112" s="18"/>
      <c r="E112" s="30"/>
      <c r="F112" s="30"/>
      <c r="G112" s="30"/>
      <c r="H112" s="30"/>
      <c r="I112" s="30"/>
    </row>
    <row r="113" spans="1:9" x14ac:dyDescent="0.2">
      <c r="A113" s="17"/>
      <c r="D113" s="18"/>
      <c r="E113" s="30"/>
      <c r="G113" s="30"/>
      <c r="H113" s="30"/>
      <c r="I113" s="30"/>
    </row>
    <row r="114" spans="1:9" x14ac:dyDescent="0.2">
      <c r="A114" s="17"/>
      <c r="D114" s="18"/>
      <c r="E114" s="30"/>
      <c r="F114" s="30"/>
      <c r="G114" s="30"/>
      <c r="H114" s="30"/>
      <c r="I114" s="30"/>
    </row>
    <row r="115" spans="1:9" x14ac:dyDescent="0.2">
      <c r="A115" s="17"/>
      <c r="D115" s="18"/>
      <c r="E115" s="30"/>
      <c r="F115" s="30"/>
      <c r="G115" s="30"/>
    </row>
    <row r="116" spans="1:9" x14ac:dyDescent="0.2">
      <c r="A116" s="17"/>
      <c r="D116" s="18"/>
      <c r="E116" s="30"/>
    </row>
    <row r="117" spans="1:9" x14ac:dyDescent="0.2">
      <c r="A117" s="17"/>
      <c r="D117" s="18"/>
      <c r="E117" s="30"/>
    </row>
    <row r="118" spans="1:9" x14ac:dyDescent="0.2">
      <c r="A118" s="17"/>
      <c r="D118" s="18"/>
      <c r="E118" s="30"/>
      <c r="F118" s="30"/>
      <c r="G118" s="30"/>
      <c r="H118" s="30"/>
      <c r="I118" s="30"/>
    </row>
    <row r="119" spans="1:9" x14ac:dyDescent="0.2">
      <c r="A119" s="17"/>
      <c r="D119" s="18"/>
      <c r="E119" s="30"/>
      <c r="F119" s="30"/>
      <c r="G119" s="30"/>
      <c r="H119" s="30"/>
      <c r="I119" s="30"/>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2026-09-26T15:36:09Z</dcterms:modified>
</cp:coreProperties>
</file>